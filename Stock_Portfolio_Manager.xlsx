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arah\Documents\05. Programmieren (29.05.2025)\02. Excel\"/>
    </mc:Choice>
  </mc:AlternateContent>
  <xr:revisionPtr revIDLastSave="0" documentId="13_ncr:1_{27DDD767-A94E-4622-BA5C-528587FF23A5}" xr6:coauthVersionLast="47" xr6:coauthVersionMax="47" xr10:uidLastSave="{00000000-0000-0000-0000-000000000000}"/>
  <bookViews>
    <workbookView xWindow="-110" yWindow="-110" windowWidth="19420" windowHeight="10300" xr2:uid="{7FF362F3-F34D-4D23-9DD2-08D48BDB709E}"/>
  </bookViews>
  <sheets>
    <sheet name="Dashboard" sheetId="3" r:id="rId1"/>
    <sheet name="Portfolio" sheetId="2" r:id="rId2"/>
    <sheet name="Transaktionen" sheetId="1" r:id="rId3"/>
    <sheet name="Realtime-Kurse A0NCFR" sheetId="10" r:id="rId4"/>
    <sheet name="Realtime-Kurse DBX0TR" sheetId="8" r:id="rId5"/>
    <sheet name="Realtime-Kurse ETF903" sheetId="4" r:id="rId6"/>
  </sheets>
  <definedNames>
    <definedName name="ExternalData_1" localSheetId="5" hidden="1">'Realtime-Kurse ETF903'!$A$1:$B$5</definedName>
    <definedName name="ExternalData_3" localSheetId="3" hidden="1">'Realtime-Kurse A0NCFR'!$A$1:$B$5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2" l="1"/>
  <c r="G7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6" i="2"/>
  <c r="F6" i="2"/>
  <c r="M6" i="2" s="1"/>
  <c r="N6" i="2" s="1"/>
  <c r="F9" i="2"/>
  <c r="F10" i="2"/>
  <c r="F11" i="2"/>
  <c r="F12" i="2"/>
  <c r="F13" i="2"/>
  <c r="F14" i="2"/>
  <c r="F15" i="2"/>
  <c r="F16" i="2"/>
  <c r="F17" i="2"/>
  <c r="F18" i="2"/>
  <c r="F19" i="2"/>
  <c r="F20" i="2"/>
  <c r="AA8" i="3" a="1"/>
  <c r="AA8" i="3" s="1"/>
  <c r="Z8" i="3" a="1"/>
  <c r="Z8" i="3" s="1"/>
  <c r="Y8" i="3" a="1"/>
  <c r="Y8" i="3" s="1"/>
  <c r="X8" i="3" a="1"/>
  <c r="X8" i="3" s="1"/>
  <c r="W8" i="3" a="1"/>
  <c r="W8" i="3" s="1"/>
  <c r="V8" i="3" a="1"/>
  <c r="V8" i="3" s="1"/>
  <c r="U8" i="3" a="1"/>
  <c r="U8" i="3" s="1"/>
  <c r="T8" i="3" a="1"/>
  <c r="T8" i="3" s="1"/>
  <c r="G6" i="3"/>
  <c r="H6" i="2"/>
  <c r="H8" i="2"/>
  <c r="O20" i="3"/>
  <c r="G9" i="1"/>
  <c r="K20" i="3" s="1"/>
  <c r="O21" i="3" l="1"/>
  <c r="H7" i="2"/>
  <c r="U9" i="3" a="1"/>
  <c r="U9" i="3" s="1"/>
  <c r="V9" i="3" a="1"/>
  <c r="V9" i="3" s="1"/>
  <c r="W9" i="3" a="1"/>
  <c r="W9" i="3" s="1"/>
  <c r="X9" i="3" a="1"/>
  <c r="X9" i="3" s="1"/>
  <c r="Y9" i="3" a="1"/>
  <c r="Y9" i="3" s="1"/>
  <c r="Z9" i="3" a="1"/>
  <c r="Z9" i="3" s="1"/>
  <c r="AA9" i="3" a="1"/>
  <c r="AA9" i="3" s="1"/>
  <c r="T9" i="3" a="1"/>
  <c r="T9" i="3" s="1"/>
  <c r="U7" i="3" a="1"/>
  <c r="U7" i="3" s="1"/>
  <c r="V7" i="3" a="1"/>
  <c r="V7" i="3" s="1"/>
  <c r="W7" i="3" a="1"/>
  <c r="W7" i="3" s="1"/>
  <c r="X7" i="3" a="1"/>
  <c r="X7" i="3" s="1"/>
  <c r="Y7" i="3" a="1"/>
  <c r="Y7" i="3" s="1"/>
  <c r="Z7" i="3" a="1"/>
  <c r="Z7" i="3" s="1"/>
  <c r="AA7" i="3" a="1"/>
  <c r="AA7" i="3" s="1"/>
  <c r="T7" i="3" a="1"/>
  <c r="T7" i="3" s="1"/>
  <c r="T6" i="3" a="1"/>
  <c r="T6" i="3" s="1"/>
  <c r="X6" i="3" a="1"/>
  <c r="X6" i="3" s="1"/>
  <c r="Y6" i="3" a="1"/>
  <c r="Y6" i="3" s="1"/>
  <c r="Z6" i="3" a="1"/>
  <c r="Z6" i="3" s="1"/>
  <c r="U6" i="3" a="1"/>
  <c r="U6" i="3" s="1"/>
  <c r="V6" i="3" a="1"/>
  <c r="V6" i="3" s="1"/>
  <c r="W6" i="3" a="1"/>
  <c r="W6" i="3" s="1"/>
  <c r="AA6" i="3" a="1"/>
  <c r="AA6" i="3" s="1"/>
  <c r="G7" i="1"/>
  <c r="G8" i="1"/>
  <c r="G6" i="1"/>
  <c r="O14" i="3"/>
  <c r="O8" i="3"/>
  <c r="K8" i="3" l="1"/>
  <c r="O9" i="3" s="1"/>
  <c r="C6" i="3"/>
  <c r="G7" i="3" s="1"/>
  <c r="K14" i="3"/>
  <c r="O15" i="3" s="1"/>
  <c r="F7" i="2"/>
  <c r="M7" i="2" s="1"/>
  <c r="F8" i="2"/>
  <c r="M9" i="2"/>
  <c r="M10" i="2"/>
  <c r="M11" i="2"/>
  <c r="M12" i="2"/>
  <c r="M13" i="2"/>
  <c r="M14" i="2"/>
  <c r="M15" i="2"/>
  <c r="M16" i="2"/>
  <c r="M17" i="2"/>
  <c r="M18" i="2"/>
  <c r="M19" i="2"/>
  <c r="M20" i="2"/>
  <c r="F21" i="2"/>
  <c r="M21" i="2" s="1"/>
  <c r="M8" i="3"/>
  <c r="M20" i="3" l="1"/>
  <c r="M21" i="3" s="1"/>
  <c r="M8" i="2"/>
  <c r="M14" i="3"/>
  <c r="M15" i="3" s="1"/>
  <c r="M9" i="3"/>
  <c r="N20" i="2" l="1"/>
  <c r="N21" i="2"/>
  <c r="N8" i="2"/>
  <c r="N10" i="2"/>
  <c r="N11" i="2"/>
  <c r="N12" i="2"/>
  <c r="N13" i="2"/>
  <c r="N14" i="2"/>
  <c r="N15" i="2"/>
  <c r="N16" i="2"/>
  <c r="N17" i="2"/>
  <c r="E6" i="3"/>
  <c r="E7" i="3" s="1"/>
  <c r="N18" i="2"/>
  <c r="N7" i="2"/>
  <c r="N19" i="2"/>
  <c r="N9" i="2"/>
  <c r="E9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C5328A-5F10-4563-B1C6-D85FC1C92A45}" keepAlive="1" name="Query - Realtime-Kurse Lyxor 1 DivDax UCITS ETF (I)" description="Connection to the 'Realtime-Kurse Lyxor 1 DivDax UCITS ETF (I)' query in the workbook." type="5" refreshedVersion="8" background="1" saveData="1">
    <dbPr connection="Provider=Microsoft.Mashup.OleDb.1;Data Source=$Workbook$;Location=&quot;Realtime-Kurse Lyxor 1 DivDax UCITS ETF (I)&quot;;Extended Properties=&quot;&quot;" command="SELECT * FROM [Realtime-Kurse Lyxor 1 DivDax UCITS ETF (I)]"/>
  </connection>
  <connection id="2" xr16:uid="{771C0508-9D73-4215-A816-2018C4CE7655}" keepAlive="1" name="Query - Realtime-Kurse UBS ETF MSCI WORLD" description="Connection to the 'Realtime-Kurse UBS ETF MSCI WORLD' query in the workbook." type="5" refreshedVersion="8" background="1" saveData="1">
    <dbPr connection="Provider=Microsoft.Mashup.OleDb.1;Data Source=$Workbook$;Location=&quot;Realtime-Kurse UBS ETF MSCI WORLD&quot;;Extended Properties=&quot;&quot;" command="SELECT * FROM [Realtime-Kurse UBS ETF MSCI WORLD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<sst xmlns="http://schemas.openxmlformats.org/spreadsheetml/2006/main" count="102" uniqueCount="50">
  <si>
    <t>Datum</t>
  </si>
  <si>
    <t>Aktie</t>
  </si>
  <si>
    <t>Dividende</t>
  </si>
  <si>
    <t>Bestand</t>
  </si>
  <si>
    <t>Gesamtbetrag</t>
  </si>
  <si>
    <t>A0NCFR</t>
  </si>
  <si>
    <t>ETF903</t>
  </si>
  <si>
    <t>WKN</t>
  </si>
  <si>
    <t>ISIN</t>
  </si>
  <si>
    <t>Bezeichnung</t>
  </si>
  <si>
    <t>Lyxor 1 DivDAX</t>
  </si>
  <si>
    <t>DE000ETF9033</t>
  </si>
  <si>
    <t>Preis p.S.</t>
  </si>
  <si>
    <t>An-/ Verkauf</t>
  </si>
  <si>
    <t>Investition</t>
  </si>
  <si>
    <t>Portfolio</t>
  </si>
  <si>
    <t>Positionen</t>
  </si>
  <si>
    <t>UBS (Lux) Fund Solutions - MSCI World UCITS ETF(USD)A-dis</t>
  </si>
  <si>
    <t>LU0340285161</t>
  </si>
  <si>
    <t>Durchschn. Preis p. S.</t>
  </si>
  <si>
    <t>Gesamt</t>
  </si>
  <si>
    <t>Position</t>
  </si>
  <si>
    <t>Column1</t>
  </si>
  <si>
    <t>Column2</t>
  </si>
  <si>
    <t>Börsenplatz:</t>
  </si>
  <si>
    <t>aktueller Kurs:</t>
  </si>
  <si>
    <t>Veränderung:</t>
  </si>
  <si>
    <t>Veränderung in %:</t>
  </si>
  <si>
    <t>LU2581375156</t>
  </si>
  <si>
    <t>DBX0TR</t>
  </si>
  <si>
    <t>Xtrackers Stoxx Europe 600 ETF 1D</t>
  </si>
  <si>
    <t>L&amp;S RT
                                            Düsseldorf
                                            Frankfurt
                                            Hamburg
                                            München
                                            Stuttgart (EUWAX)</t>
  </si>
  <si>
    <t>Gewichtung</t>
  </si>
  <si>
    <t>Gesamtanteil</t>
  </si>
  <si>
    <t>Prozentualer Anteil</t>
  </si>
  <si>
    <t>L&amp;S RT
                                            Düsseldorf
                                            Frankfurt
                                            Hamburg
                                            Hannover
                                            München
                                            Stuttgart (EUWAX)</t>
  </si>
  <si>
    <t>L&amp;S RT
                                            Düsseldorf
                                            Fondsgesellschaft
                                            Frankfurt
                                            Hamburg
                                            München
                                            Stuttgart (EUWAX)</t>
  </si>
  <si>
    <t>95,18</t>
  </si>
  <si>
    <t>0,22</t>
  </si>
  <si>
    <t>0,23 %</t>
  </si>
  <si>
    <t>Column3</t>
  </si>
  <si>
    <t>396,76</t>
  </si>
  <si>
    <t>0,01</t>
  </si>
  <si>
    <t>0,00 %</t>
  </si>
  <si>
    <t>221,68</t>
  </si>
  <si>
    <t>0,00</t>
  </si>
  <si>
    <t>Aktueller Wert</t>
  </si>
  <si>
    <t>Aktueller Wert p. S. (€)</t>
  </si>
  <si>
    <t>Gewinn</t>
  </si>
  <si>
    <t>Dividende gesamt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</si>
</sst>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.00\ [$€-407]_-;\-* #,##0.00\ [$€-407]_-;_-* &quot;-&quot;??\ [$€-407]_-;_-@_-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b/>
      <sz val="11"/>
      <color theme="7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sz val="11"/>
      <color theme="6"/>
      <name val="Aptos Narrow"/>
      <family val="2"/>
      <scheme val="minor"/>
    </font>
    <font>
      <sz val="11"/>
      <color theme="7"/>
      <name val="Aptos Narrow"/>
      <family val="2"/>
      <scheme val="minor"/>
    </font>
    <font>
      <sz val="11"/>
      <color theme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44" fontId="0" fillId="2" borderId="0" xfId="1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2" fillId="0" borderId="1" xfId="0" applyFont="1" applyBorder="1"/>
    <xf numFmtId="14" fontId="0" fillId="0" borderId="12" xfId="0" applyNumberFormat="1" applyBorder="1"/>
    <xf numFmtId="44" fontId="0" fillId="0" borderId="0" xfId="1" applyFont="1" applyFill="1" applyBorder="1"/>
    <xf numFmtId="44" fontId="0" fillId="0" borderId="13" xfId="1" applyFont="1" applyFill="1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44" fontId="0" fillId="0" borderId="21" xfId="0" applyNumberFormat="1" applyBorder="1"/>
    <xf numFmtId="44" fontId="0" fillId="0" borderId="21" xfId="1" applyFont="1" applyFill="1" applyBorder="1"/>
    <xf numFmtId="0" fontId="2" fillId="0" borderId="10" xfId="0" applyFont="1" applyBorder="1"/>
    <xf numFmtId="14" fontId="0" fillId="0" borderId="12" xfId="0" applyNumberFormat="1" applyBorder="1" applyAlignment="1">
      <alignment wrapText="1"/>
    </xf>
    <xf numFmtId="0" fontId="0" fillId="0" borderId="0" xfId="1" applyNumberFormat="1" applyFont="1" applyFill="1" applyBorder="1"/>
    <xf numFmtId="0" fontId="0" fillId="0" borderId="15" xfId="1" applyNumberFormat="1" applyFont="1" applyFill="1" applyBorder="1"/>
    <xf numFmtId="44" fontId="0" fillId="0" borderId="13" xfId="1" applyFont="1" applyBorder="1"/>
    <xf numFmtId="44" fontId="0" fillId="0" borderId="16" xfId="1" applyFont="1" applyBorder="1"/>
    <xf numFmtId="9" fontId="0" fillId="0" borderId="10" xfId="2" applyFont="1" applyBorder="1"/>
    <xf numFmtId="44" fontId="0" fillId="0" borderId="0" xfId="1" applyFont="1" applyBorder="1"/>
    <xf numFmtId="44" fontId="0" fillId="0" borderId="15" xfId="1" applyFont="1" applyBorder="1"/>
    <xf numFmtId="44" fontId="2" fillId="0" borderId="22" xfId="1" applyFont="1" applyBorder="1"/>
    <xf numFmtId="44" fontId="2" fillId="0" borderId="11" xfId="1" applyFont="1" applyBorder="1"/>
    <xf numFmtId="0" fontId="2" fillId="0" borderId="20" xfId="0" applyFont="1" applyBorder="1"/>
    <xf numFmtId="44" fontId="0" fillId="0" borderId="21" xfId="1" applyFont="1" applyBorder="1"/>
    <xf numFmtId="44" fontId="0" fillId="0" borderId="10" xfId="2" applyNumberFormat="1" applyFont="1" applyBorder="1"/>
    <xf numFmtId="164" fontId="0" fillId="0" borderId="0" xfId="0" applyNumberFormat="1"/>
    <xf numFmtId="9" fontId="0" fillId="0" borderId="13" xfId="2" applyFont="1" applyBorder="1"/>
    <xf numFmtId="14" fontId="0" fillId="0" borderId="24" xfId="0" applyNumberFormat="1" applyBorder="1" applyAlignment="1">
      <alignment wrapText="1"/>
    </xf>
    <xf numFmtId="164" fontId="0" fillId="0" borderId="22" xfId="0" applyNumberFormat="1" applyBorder="1"/>
    <xf numFmtId="9" fontId="0" fillId="0" borderId="11" xfId="2" applyFont="1" applyBorder="1"/>
    <xf numFmtId="164" fontId="0" fillId="0" borderId="15" xfId="0" applyNumberFormat="1" applyBorder="1"/>
    <xf numFmtId="9" fontId="0" fillId="0" borderId="16" xfId="2" applyFont="1" applyBorder="1"/>
    <xf numFmtId="0" fontId="2" fillId="0" borderId="24" xfId="0" applyFont="1" applyBorder="1"/>
    <xf numFmtId="0" fontId="2" fillId="0" borderId="22" xfId="0" applyFont="1" applyBorder="1"/>
    <xf numFmtId="0" fontId="2" fillId="0" borderId="11" xfId="0" applyFont="1" applyBorder="1"/>
    <xf numFmtId="44" fontId="0" fillId="0" borderId="15" xfId="1" applyFont="1" applyFill="1" applyBorder="1"/>
    <xf numFmtId="0" fontId="4" fillId="0" borderId="10" xfId="0" applyFont="1" applyBorder="1"/>
    <xf numFmtId="0" fontId="5" fillId="0" borderId="10" xfId="0" applyFont="1" applyBorder="1"/>
    <xf numFmtId="0" fontId="6" fillId="0" borderId="10" xfId="0" applyFont="1" applyBorder="1"/>
    <xf numFmtId="0" fontId="7" fillId="0" borderId="20" xfId="0" applyFont="1" applyBorder="1"/>
    <xf numFmtId="0" fontId="8" fillId="0" borderId="23" xfId="0" applyFont="1" applyBorder="1"/>
    <xf numFmtId="0" fontId="9" fillId="0" borderId="23" xfId="0" applyFont="1" applyBorder="1"/>
    <xf numFmtId="14" fontId="10" fillId="0" borderId="21" xfId="0" applyNumberFormat="1" applyFont="1" applyBorder="1"/>
  </cellXfs>
  <cellStyles count="3">
    <cellStyle name="Currency" xfId="1" builtinId="4"/>
    <cellStyle name="Normal" xfId="0" builtinId="0"/>
    <cellStyle name="Percent" xfId="2" builtinId="5"/>
  </cellStyles>
  <dxfs count="43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Dividende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Dashboard!$S$6</c:f>
              <c:strCache>
                <c:ptCount val="1"/>
                <c:pt idx="0">
                  <c:v>Gesamt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Dashboard!$T$5:$AA$5</c15:sqref>
                  </c15:fullRef>
                </c:ext>
              </c:extLst>
              <c:f>Dashboard!$T$5:$W$5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Dashboard!$T$6:$AA$6</c15:sqref>
                  </c15:fullRef>
                </c:ext>
              </c:extLst>
              <c:f>Dashboard!$T$6:$W$6</c:f>
              <c:numCache>
                <c:formatCode>_("€"* #,##0.00_);_("€"* \(#,##0.00\);_("€"* "-"??_);_(@_)</c:formatCode>
                <c:ptCount val="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B9-450D-B51E-8E33B3857FB1}"/>
            </c:ext>
          </c:extLst>
        </c:ser>
        <c:ser>
          <c:idx val="2"/>
          <c:order val="2"/>
          <c:tx>
            <c:strRef>
              <c:f>Dashboard!$S$7</c:f>
              <c:strCache>
                <c:ptCount val="1"/>
                <c:pt idx="0">
                  <c:v>A0NCFR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Dashboard!$T$5:$AA$5</c15:sqref>
                  </c15:fullRef>
                </c:ext>
              </c:extLst>
              <c:f>Dashboard!$T$5:$W$5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Dashboard!$T$7:$AA$7</c15:sqref>
                  </c15:fullRef>
                </c:ext>
              </c:extLst>
              <c:f>Dashboard!$T$7:$W$7</c:f>
              <c:numCache>
                <c:formatCode>_("€"* #,##0.00_);_("€"* \(#,##0.00\);_("€"* "-"??_);_(@_)</c:formatCode>
                <c:ptCount val="4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B9-450D-B51E-8E33B3857FB1}"/>
            </c:ext>
          </c:extLst>
        </c:ser>
        <c:ser>
          <c:idx val="3"/>
          <c:order val="3"/>
          <c:tx>
            <c:strRef>
              <c:f>Dashboard!$S$8</c:f>
              <c:strCache>
                <c:ptCount val="1"/>
                <c:pt idx="0">
                  <c:v>ETF903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Dashboard!$T$5:$AA$5</c15:sqref>
                  </c15:fullRef>
                </c:ext>
              </c:extLst>
              <c:f>Dashboard!$T$5:$W$5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Dashboard!$T$8:$AA$8</c15:sqref>
                  </c15:fullRef>
                </c:ext>
              </c:extLst>
              <c:f>Dashboard!$T$8:$W$8</c:f>
              <c:numCache>
                <c:formatCode>_("€"* #,##0.00_);_("€"* \(#,##0.00\);_("€"* "-"??_);_(@_)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B9-450D-B51E-8E33B3857FB1}"/>
            </c:ext>
          </c:extLst>
        </c:ser>
        <c:ser>
          <c:idx val="4"/>
          <c:order val="4"/>
          <c:tx>
            <c:strRef>
              <c:f>Dashboard!$S$9</c:f>
              <c:strCache>
                <c:ptCount val="1"/>
                <c:pt idx="0">
                  <c:v>DBX0TR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Lit>
              <c:ptCount val="4"/>
              <c:pt idx="0">
                <c:v>2022</c:v>
              </c:pt>
              <c:pt idx="1">
                <c:v>2023</c:v>
              </c:pt>
              <c:pt idx="2">
                <c:v>2024</c:v>
              </c:pt>
              <c:pt idx="3">
                <c:v>2025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Dashboard!$T$9:$AA$9</c15:sqref>
                  </c15:fullRef>
                </c:ext>
              </c:extLst>
              <c:f>Dashboard!$T$9:$W$9</c:f>
              <c:numCache>
                <c:formatCode>_("€"* #,##0.00_);_("€"* \(#,##0.00\);_("€"* "-"??_);_(@_)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A6-488C-B575-604CD04C8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3232415"/>
        <c:axId val="155320937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Dashboard!$S$5</c15:sqref>
                        </c15:formulaRef>
                      </c:ext>
                    </c:extLst>
                    <c:strCache>
                      <c:ptCount val="1"/>
                      <c:pt idx="0">
                        <c:v>Position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ullRef>
                          <c15:sqref>Dashboard!$T$5:$AA$5</c15:sqref>
                        </c15:fullRef>
                        <c15:formulaRef>
                          <c15:sqref>Dashboard!$T$5:$W$5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  <c:pt idx="3">
                        <c:v>2025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Dashboard!$T$5:$AA$5</c15:sqref>
                        </c15:fullRef>
                        <c15:formulaRef>
                          <c15:sqref>Dashboard!$T$5:$W$5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  <c:pt idx="3">
                        <c:v>2025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7B9-450D-B51E-8E33B3857FB1}"/>
                  </c:ext>
                </c:extLst>
              </c15:ser>
            </c15:filteredLineSeries>
          </c:ext>
        </c:extLst>
      </c:lineChart>
      <c:catAx>
        <c:axId val="1553232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53209375"/>
        <c:crosses val="autoZero"/>
        <c:auto val="1"/>
        <c:lblAlgn val="ctr"/>
        <c:lblOffset val="100"/>
        <c:noMultiLvlLbl val="0"/>
      </c:catAx>
      <c:valAx>
        <c:axId val="155320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53232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Anteile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Portfolio!$L$6:$L$21</c:f>
              <c:strCache>
                <c:ptCount val="16"/>
                <c:pt idx="0">
                  <c:v>A0NCFR</c:v>
                </c:pt>
                <c:pt idx="1">
                  <c:v>ETF903</c:v>
                </c:pt>
                <c:pt idx="2">
                  <c:v>DBX0TR</c:v>
                </c:pt>
              </c:strCache>
            </c:strRef>
          </c:tx>
          <c:dPt>
            <c:idx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AF8-46D7-B786-F9511F549654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AF8-46D7-B786-F9511F549654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AF8-46D7-B786-F9511F54965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Portfolio!$L$6:$L$8</c15:sqref>
                  </c15:fullRef>
                </c:ext>
              </c:extLst>
              <c:f>Portfolio!$L$6:$L$8</c:f>
              <c:strCache>
                <c:ptCount val="3"/>
                <c:pt idx="0">
                  <c:v>A0NCFR</c:v>
                </c:pt>
                <c:pt idx="1">
                  <c:v>ETF903</c:v>
                </c:pt>
                <c:pt idx="2">
                  <c:v>DBX0TR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Portfolio!$N$6:$N$21</c15:sqref>
                  </c15:fullRef>
                </c:ext>
              </c:extLst>
              <c:f>Portfolio!$N$6:$N$8</c:f>
              <c:numCache>
                <c:formatCode>0%</c:formatCode>
                <c:ptCount val="3"/>
                <c:pt idx="0">
                  <c:v>0.42420613706832033</c:v>
                </c:pt>
                <c:pt idx="1">
                  <c:v>0.47402972308350266</c:v>
                </c:pt>
                <c:pt idx="2">
                  <c:v>0.10176413984817706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8AF8-46D7-B786-F9511F549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11333</xdr:colOff>
      <xdr:row>10</xdr:row>
      <xdr:rowOff>2828</xdr:rowOff>
    </xdr:from>
    <xdr:to>
      <xdr:col>23</xdr:col>
      <xdr:colOff>524126</xdr:colOff>
      <xdr:row>23</xdr:row>
      <xdr:rowOff>171350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4E0A631-DE48-3C4A-2C44-6DACB15379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19539</xdr:colOff>
      <xdr:row>9</xdr:row>
      <xdr:rowOff>172104</xdr:rowOff>
    </xdr:from>
    <xdr:to>
      <xdr:col>7</xdr:col>
      <xdr:colOff>0</xdr:colOff>
      <xdr:row>24</xdr:row>
      <xdr:rowOff>178038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F2F7B6-C77D-50E8-D2EB-BD28A36349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E13ED9ED-B9D0-45FB-BAB2-7EE0DC79B320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Column1" tableColumnId="1"/>
      <queryTableField id="2" name="Column2" tableColumnId="2"/>
      <queryTableField id="3" dataBound="0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8F27B0F-734F-4CBE-A3D8-69BF2D366240}" autoFormatId="16" applyNumberFormats="0" applyBorderFormats="0" applyFontFormats="0" applyPatternFormats="0" applyAlignmentFormats="0" applyWidthHeightFormats="0">
  <queryTableRefresh nextId="4" unboundColumnsRight="1">
    <queryTableFields count="3">
      <queryTableField id="1" name="Column1" tableColumnId="1"/>
      <queryTableField id="2" name="Column2" tableColumnId="2"/>
      <queryTableField id="3" dataBound="0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CE19090-2905-4952-8C7B-D72F5C07F184}" name="Realtime_Kurse_UBS_ETF_MSCI_WORLD_" displayName="Realtime_Kurse_UBS_ETF_MSCI_WORLD_" ref="A1:C5" tableType="queryTable" totalsRowShown="0">
  <autoFilter ref="A1:C5" xr:uid="{ACE19090-2905-4952-8C7B-D72F5C07F184}"/>
  <tableColumns count="3">
    <tableColumn id="1" xr3:uid="{AD04E943-DFA5-4AA8-80F0-EC301BFDF391}" uniqueName="1" name="Column1" queryTableFieldId="1" dataDxfId="42"/>
    <tableColumn id="2" xr3:uid="{97BD2EB0-1DA9-4691-94C4-3C9CEEDE7C5F}" uniqueName="2" name="Column2" queryTableFieldId="2" dataDxfId="41"/>
    <tableColumn id="3" xr3:uid="{94A8EAFF-5B00-4344-BAD1-F590259F0A6C}" uniqueName="3" name="Column3" queryTableFieldId="3" dataDxfId="4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BAA73C-DB09-4D6D-B067-7AA647FFBBAA}" name="Table2" displayName="Table2" ref="A1:C5" totalsRowShown="0">
  <autoFilter ref="A1:C5" xr:uid="{50BAA73C-DB09-4D6D-B067-7AA647FFBBAA}"/>
  <tableColumns count="3">
    <tableColumn id="1" xr3:uid="{8200884A-5537-4C04-B213-C2E8AB5BC0A3}" name="Column1"/>
    <tableColumn id="2" xr3:uid="{91046709-BD89-40B1-83FE-BDFB34C7BB0E}" name="Column2"/>
    <tableColumn id="3" xr3:uid="{A7047B19-01CA-4EF6-B2C3-DBDB4558CCBB}" name="Column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D1C5DA-24E0-4949-8E7A-F755AB028C08}" name="Realtime_Kurse_Lyxor_1_DivDax_UCITS_ETF__I" displayName="Realtime_Kurse_Lyxor_1_DivDax_UCITS_ETF__I" ref="A1:C5" tableType="queryTable" totalsRowShown="0">
  <autoFilter ref="A1:C5" xr:uid="{5FD1C5DA-24E0-4949-8E7A-F755AB028C08}"/>
  <tableColumns count="3">
    <tableColumn id="1" xr3:uid="{FAE67247-FFC1-4EC8-830E-33D262040965}" uniqueName="1" name="Column1" queryTableFieldId="1" dataDxfId="39"/>
    <tableColumn id="2" xr3:uid="{76FF8DD9-503A-4314-84ED-FE1E72493681}" uniqueName="2" name="Column2" queryTableFieldId="2" dataDxfId="38"/>
    <tableColumn id="3" xr3:uid="{04ECDD48-E9D7-4E1D-B3ED-642D087570CD}" uniqueName="3" name="Column3" queryTableFieldId="3" dataDxfId="3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0476F-1494-427E-8F63-86EF89080B2C}">
  <dimension ref="B1:AB26"/>
  <sheetViews>
    <sheetView tabSelected="1" zoomScale="70" zoomScaleNormal="70" workbookViewId="0">
      <selection activeCell="G6" sqref="G6"/>
    </sheetView>
  </sheetViews>
  <sheetFormatPr defaultRowHeight="14.5" x14ac:dyDescent="0.35"/>
  <cols>
    <col min="1" max="2" width="2.81640625" customWidth="1"/>
    <col min="3" max="3" width="12.36328125" bestFit="1" customWidth="1"/>
    <col min="4" max="4" width="2.81640625" customWidth="1"/>
    <col min="5" max="5" width="13.453125" bestFit="1" customWidth="1"/>
    <col min="6" max="6" width="2.81640625" customWidth="1"/>
    <col min="7" max="7" width="15.90625" bestFit="1" customWidth="1"/>
    <col min="8" max="10" width="2.81640625" customWidth="1"/>
    <col min="11" max="11" width="11.90625" bestFit="1" customWidth="1"/>
    <col min="12" max="12" width="2.81640625" customWidth="1"/>
    <col min="13" max="13" width="13.453125" bestFit="1" customWidth="1"/>
    <col min="14" max="14" width="2.81640625" customWidth="1"/>
    <col min="15" max="15" width="12.36328125" bestFit="1" customWidth="1"/>
    <col min="16" max="18" width="2.81640625" customWidth="1"/>
    <col min="19" max="19" width="15.08984375" bestFit="1" customWidth="1"/>
    <col min="20" max="20" width="8.81640625" bestFit="1" customWidth="1"/>
    <col min="21" max="21" width="13.1796875" bestFit="1" customWidth="1"/>
    <col min="22" max="27" width="11.26953125" bestFit="1" customWidth="1"/>
    <col min="28" max="28" width="2.81640625" customWidth="1"/>
  </cols>
  <sheetData>
    <row r="1" spans="2:28" ht="15" thickBot="1" x14ac:dyDescent="0.4"/>
    <row r="2" spans="2:28" ht="15" thickBot="1" x14ac:dyDescent="0.4">
      <c r="B2" s="1"/>
      <c r="C2" s="2"/>
      <c r="D2" s="2"/>
      <c r="E2" s="2"/>
      <c r="F2" s="2"/>
      <c r="G2" s="2"/>
      <c r="H2" s="3"/>
      <c r="J2" s="1"/>
      <c r="K2" s="2"/>
      <c r="L2" s="2"/>
      <c r="M2" s="2"/>
      <c r="N2" s="2"/>
      <c r="O2" s="2"/>
      <c r="P2" s="3"/>
      <c r="R2" s="1"/>
      <c r="S2" s="2"/>
      <c r="T2" s="2"/>
      <c r="U2" s="2"/>
      <c r="V2" s="2"/>
      <c r="W2" s="2"/>
      <c r="X2" s="2"/>
      <c r="Y2" s="2"/>
      <c r="Z2" s="2"/>
      <c r="AA2" s="2"/>
      <c r="AB2" s="3"/>
    </row>
    <row r="3" spans="2:28" ht="15" thickBot="1" x14ac:dyDescent="0.4">
      <c r="B3" s="4"/>
      <c r="C3" s="11" t="s">
        <v>15</v>
      </c>
      <c r="D3" s="5"/>
      <c r="E3" s="5"/>
      <c r="F3" s="5"/>
      <c r="G3" s="5"/>
      <c r="H3" s="6"/>
      <c r="J3" s="4"/>
      <c r="K3" s="11" t="s">
        <v>16</v>
      </c>
      <c r="L3" s="5"/>
      <c r="M3" s="5"/>
      <c r="N3" s="5"/>
      <c r="O3" s="5"/>
      <c r="P3" s="6"/>
      <c r="R3" s="4"/>
      <c r="S3" s="11" t="s">
        <v>2</v>
      </c>
      <c r="T3" s="5"/>
      <c r="U3" s="5"/>
      <c r="V3" s="5"/>
      <c r="W3" s="5"/>
      <c r="X3" s="5"/>
      <c r="Y3" s="5"/>
      <c r="Z3" s="5"/>
      <c r="AA3" s="5"/>
      <c r="AB3" s="6"/>
    </row>
    <row r="4" spans="2:28" x14ac:dyDescent="0.35">
      <c r="B4" s="4"/>
      <c r="C4" s="5"/>
      <c r="D4" s="5"/>
      <c r="E4" s="5"/>
      <c r="F4" s="5"/>
      <c r="G4" s="5"/>
      <c r="H4" s="6"/>
      <c r="J4" s="4"/>
      <c r="K4" s="5"/>
      <c r="L4" s="5"/>
      <c r="M4" s="5"/>
      <c r="N4" s="5"/>
      <c r="O4" s="5"/>
      <c r="P4" s="6"/>
      <c r="R4" s="4"/>
      <c r="S4" s="5"/>
      <c r="T4" s="5"/>
      <c r="U4" s="5"/>
      <c r="V4" s="5"/>
      <c r="W4" s="5"/>
      <c r="X4" s="5"/>
      <c r="Y4" s="5"/>
      <c r="Z4" s="5"/>
      <c r="AA4" s="5"/>
      <c r="AB4" s="6"/>
    </row>
    <row r="5" spans="2:28" x14ac:dyDescent="0.35">
      <c r="B5" s="4"/>
      <c r="C5" s="35" t="s">
        <v>14</v>
      </c>
      <c r="D5" s="5"/>
      <c r="E5" s="35" t="s">
        <v>46</v>
      </c>
      <c r="F5" s="5"/>
      <c r="G5" s="35" t="s">
        <v>49</v>
      </c>
      <c r="H5" s="6"/>
      <c r="J5" s="4"/>
      <c r="K5" s="49" t="s">
        <v>5</v>
      </c>
      <c r="L5" s="5"/>
      <c r="M5" s="5"/>
      <c r="N5" s="5"/>
      <c r="O5" s="5"/>
      <c r="P5" s="6"/>
      <c r="R5" s="4"/>
      <c r="S5" s="45" t="s">
        <v>21</v>
      </c>
      <c r="T5" s="46">
        <v>2022</v>
      </c>
      <c r="U5" s="46">
        <v>2023</v>
      </c>
      <c r="V5" s="46">
        <v>2024</v>
      </c>
      <c r="W5" s="46">
        <v>2025</v>
      </c>
      <c r="X5" s="46">
        <v>2026</v>
      </c>
      <c r="Y5" s="46">
        <v>2027</v>
      </c>
      <c r="Z5" s="46">
        <v>2028</v>
      </c>
      <c r="AA5" s="47">
        <v>2029</v>
      </c>
      <c r="AB5" s="6"/>
    </row>
    <row r="6" spans="2:28" x14ac:dyDescent="0.35">
      <c r="B6" s="4"/>
      <c r="C6" s="22">
        <f>-SUM(Transaktionen!G6:G21)</f>
        <v>4500</v>
      </c>
      <c r="D6" s="5"/>
      <c r="E6" s="36">
        <f>M8+M14+M20</f>
        <v>9353</v>
      </c>
      <c r="F6" s="7"/>
      <c r="G6" s="23">
        <f>SUM(Transaktionen!M6:M21)</f>
        <v>80</v>
      </c>
      <c r="H6" s="6"/>
      <c r="J6" s="4"/>
      <c r="K6" s="5"/>
      <c r="L6" s="5"/>
      <c r="M6" s="5"/>
      <c r="N6" s="5"/>
      <c r="O6" s="5"/>
      <c r="P6" s="6"/>
      <c r="R6" s="4"/>
      <c r="S6" s="52" t="s">
        <v>20</v>
      </c>
      <c r="T6" s="33" cm="1">
        <f t="array" ref="T6">SUMPRODUCT(--(YEAR(Transaktionen!$K$6:$K$21)=Dashboard!T$5),Transaktionen!$M$6:$M$21)</f>
        <v>0</v>
      </c>
      <c r="U6" s="33" cm="1">
        <f t="array" ref="U6">SUMPRODUCT(--(YEAR(Transaktionen!$K$6:$K$21)=Dashboard!U$5),Transaktionen!$M$6:$M$21)</f>
        <v>10</v>
      </c>
      <c r="V6" s="33" cm="1">
        <f t="array" ref="V6">SUMPRODUCT(--(YEAR(Transaktionen!$K$6:$K$21)=Dashboard!V$5),Transaktionen!$M$6:$M$21)</f>
        <v>20</v>
      </c>
      <c r="W6" s="33" cm="1">
        <f t="array" ref="W6">SUMPRODUCT(--(YEAR(Transaktionen!$K$6:$K$21)=Dashboard!W$5),Transaktionen!$M$6:$M$21)</f>
        <v>20</v>
      </c>
      <c r="X6" s="33" cm="1">
        <f t="array" ref="X6">SUMPRODUCT(--(YEAR(Transaktionen!$K$6:$K$21)=Dashboard!X$5),Transaktionen!$M$6:$M$21)</f>
        <v>30</v>
      </c>
      <c r="Y6" s="33" cm="1">
        <f t="array" ref="Y6">SUMPRODUCT(--(YEAR(Transaktionen!$K$6:$K$21)=Dashboard!Y$5),Transaktionen!$M$6:$M$21)</f>
        <v>0</v>
      </c>
      <c r="Z6" s="33" cm="1">
        <f t="array" ref="Z6">SUMPRODUCT(--(YEAR(Transaktionen!$K$6:$K$21)=Dashboard!Z$5),Transaktionen!$M$6:$M$21)</f>
        <v>0</v>
      </c>
      <c r="AA6" s="34" cm="1">
        <f t="array" ref="AA6">SUMPRODUCT(--(YEAR(Transaktionen!$K$6:$K$21)=Dashboard!AA$5),Transaktionen!$M$6:$M$21)</f>
        <v>0</v>
      </c>
      <c r="AB6" s="6"/>
    </row>
    <row r="7" spans="2:28" x14ac:dyDescent="0.35">
      <c r="B7" s="4"/>
      <c r="C7" s="5"/>
      <c r="D7" s="5"/>
      <c r="E7" s="30">
        <f>E6/C6</f>
        <v>2.0784444444444445</v>
      </c>
      <c r="F7" s="5"/>
      <c r="G7" s="30">
        <f>G6/C6</f>
        <v>1.7777777777777778E-2</v>
      </c>
      <c r="H7" s="6"/>
      <c r="J7" s="4"/>
      <c r="K7" s="35" t="s">
        <v>14</v>
      </c>
      <c r="L7" s="5"/>
      <c r="M7" s="35" t="s">
        <v>46</v>
      </c>
      <c r="N7" s="5"/>
      <c r="O7" s="35" t="s">
        <v>2</v>
      </c>
      <c r="P7" s="6"/>
      <c r="R7" s="4"/>
      <c r="S7" s="53" t="s">
        <v>5</v>
      </c>
      <c r="T7" s="31" cm="1">
        <f t="array" ref="T7">SUMPRODUCT(--(YEAR(Transaktionen!$K$6:$K$21)=Dashboard!T$5),Transaktionen!$M$6:$M$21,--(Transaktionen!$L$6:$L$21=$S7))</f>
        <v>0</v>
      </c>
      <c r="U7" s="31" cm="1">
        <f t="array" ref="U7">SUMPRODUCT(--(YEAR(Transaktionen!$K$6:$K$21)=Dashboard!U$5),Transaktionen!$M$6:$M$21,--(Transaktionen!$L$6:$L$21=$S7))</f>
        <v>10</v>
      </c>
      <c r="V7" s="31" cm="1">
        <f t="array" ref="V7">SUMPRODUCT(--(YEAR(Transaktionen!$K$6:$K$21)=Dashboard!V$5),Transaktionen!$M$6:$M$21,--(Transaktionen!$L$6:$L$21=$S7))</f>
        <v>10</v>
      </c>
      <c r="W7" s="31" cm="1">
        <f t="array" ref="W7">SUMPRODUCT(--(YEAR(Transaktionen!$K$6:$K$21)=Dashboard!W$5),Transaktionen!$M$6:$M$21,--(Transaktionen!$L$6:$L$21=$S7))</f>
        <v>10</v>
      </c>
      <c r="X7" s="31" cm="1">
        <f t="array" ref="X7">SUMPRODUCT(--(YEAR(Transaktionen!$K$6:$K$21)=Dashboard!X$5),Transaktionen!$M$6:$M$21,--(Transaktionen!$L$6:$L$21=$S7))</f>
        <v>10</v>
      </c>
      <c r="Y7" s="31" cm="1">
        <f t="array" ref="Y7">SUMPRODUCT(--(YEAR(Transaktionen!$K$6:$K$21)=Dashboard!Y$5),Transaktionen!$M$6:$M$21,--(Transaktionen!$L$6:$L$21=$S7))</f>
        <v>0</v>
      </c>
      <c r="Z7" s="31" cm="1">
        <f t="array" ref="Z7">SUMPRODUCT(--(YEAR(Transaktionen!$K$6:$K$21)=Dashboard!Z$5),Transaktionen!$M$6:$M$21,--(Transaktionen!$L$6:$L$21=$S7))</f>
        <v>0</v>
      </c>
      <c r="AA7" s="28" cm="1">
        <f t="array" ref="AA7">SUMPRODUCT(--(YEAR(Transaktionen!$K$6:$K$21)=Dashboard!AA$5),Transaktionen!$M$6:$M$21,--(Transaktionen!$L$6:$L$21=$S7))</f>
        <v>0</v>
      </c>
      <c r="AB7" s="6"/>
    </row>
    <row r="8" spans="2:28" x14ac:dyDescent="0.35">
      <c r="B8" s="4"/>
      <c r="C8" s="5"/>
      <c r="D8" s="5"/>
      <c r="E8" s="24" t="s">
        <v>48</v>
      </c>
      <c r="F8" s="5"/>
      <c r="G8" s="5"/>
      <c r="H8" s="6"/>
      <c r="J8" s="4"/>
      <c r="K8" s="22">
        <f>-SUMIF(Transaktionen!$D$6:$D$21,Dashboard!K5,Transaktionen!$G$6:$G$21)</f>
        <v>1000</v>
      </c>
      <c r="L8" s="5"/>
      <c r="M8" s="36">
        <f>_xlfn.XLOOKUP(K5,Portfolio!$D$6:$D$21,Portfolio!$F$6:$F$21)*_xlfn.XLOOKUP(K5,Portfolio!$D$6:$D$21,Portfolio!$H$6:$H$21)</f>
        <v>3967.6</v>
      </c>
      <c r="N8" s="7"/>
      <c r="O8" s="23">
        <f>SUMIF(Transaktionen!$L$6:$L$21,Dashboard!K5,Transaktionen!$M$6:$M$21)</f>
        <v>40</v>
      </c>
      <c r="P8" s="6"/>
      <c r="R8" s="4"/>
      <c r="S8" s="54" t="s">
        <v>6</v>
      </c>
      <c r="T8" s="31" cm="1">
        <f t="array" ref="T8">SUMPRODUCT(--(YEAR(Transaktionen!$K$6:$K$21)=Dashboard!T$5),Transaktionen!$M$6:$M$21,--(Transaktionen!$L$6:$L$21=$S8))</f>
        <v>0</v>
      </c>
      <c r="U8" s="31" cm="1">
        <f t="array" ref="U8">SUMPRODUCT(--(YEAR(Transaktionen!$K$6:$K$21)=Dashboard!U$5),Transaktionen!$M$6:$M$21,--(Transaktionen!$L$6:$L$21=$S8))</f>
        <v>0</v>
      </c>
      <c r="V8" s="31" cm="1">
        <f t="array" ref="V8">SUMPRODUCT(--(YEAR(Transaktionen!$K$6:$K$21)=Dashboard!V$5),Transaktionen!$M$6:$M$21,--(Transaktionen!$L$6:$L$21=$S8))</f>
        <v>10</v>
      </c>
      <c r="W8" s="31" cm="1">
        <f t="array" ref="W8">SUMPRODUCT(--(YEAR(Transaktionen!$K$6:$K$21)=Dashboard!W$5),Transaktionen!$M$6:$M$21,--(Transaktionen!$L$6:$L$21=$S8))</f>
        <v>10</v>
      </c>
      <c r="X8" s="31" cm="1">
        <f t="array" ref="X8">SUMPRODUCT(--(YEAR(Transaktionen!$K$6:$K$21)=Dashboard!X$5),Transaktionen!$M$6:$M$21,--(Transaktionen!$L$6:$L$21=$S8))</f>
        <v>10</v>
      </c>
      <c r="Y8" s="31" cm="1">
        <f t="array" ref="Y8">SUMPRODUCT(--(YEAR(Transaktionen!$K$6:$K$21)=Dashboard!Y$5),Transaktionen!$M$6:$M$21,--(Transaktionen!$L$6:$L$21=$S8))</f>
        <v>0</v>
      </c>
      <c r="Z8" s="31" cm="1">
        <f t="array" ref="Z8">SUMPRODUCT(--(YEAR(Transaktionen!$K$6:$K$21)=Dashboard!Z$5),Transaktionen!$M$6:$M$21,--(Transaktionen!$L$6:$L$21=$S8))</f>
        <v>0</v>
      </c>
      <c r="AA8" s="28" cm="1">
        <f t="array" ref="AA8">SUMPRODUCT(--(YEAR(Transaktionen!$K$6:$K$21)=Dashboard!AA$5),Transaktionen!$M$6:$M$21,--(Transaktionen!$L$6:$L$21=$S8))</f>
        <v>0</v>
      </c>
      <c r="AB8" s="6"/>
    </row>
    <row r="9" spans="2:28" x14ac:dyDescent="0.35">
      <c r="B9" s="4"/>
      <c r="C9" s="5"/>
      <c r="D9" s="5"/>
      <c r="E9" s="37">
        <f>E6-C6</f>
        <v>4853</v>
      </c>
      <c r="F9" s="5"/>
      <c r="G9" s="5"/>
      <c r="H9" s="6"/>
      <c r="J9" s="4"/>
      <c r="K9" s="5"/>
      <c r="L9" s="5"/>
      <c r="M9" s="30">
        <f>M8/K8</f>
        <v>3.9676</v>
      </c>
      <c r="N9" s="5"/>
      <c r="O9" s="30">
        <f>O8/K8</f>
        <v>0.04</v>
      </c>
      <c r="P9" s="6"/>
      <c r="R9" s="4"/>
      <c r="S9" s="55" t="s">
        <v>29</v>
      </c>
      <c r="T9" s="32" cm="1">
        <f t="array" ref="T9">SUMPRODUCT(--(YEAR(Transaktionen!$K$6:$K$21)=Dashboard!T$5),Transaktionen!$M$6:$M$21,--(Transaktionen!$L$6:$L$21=$S9))</f>
        <v>0</v>
      </c>
      <c r="U9" s="32" cm="1">
        <f t="array" ref="U9">SUMPRODUCT(--(YEAR(Transaktionen!$K$6:$K$21)=Dashboard!U$5),Transaktionen!$M$6:$M$21,--(Transaktionen!$L$6:$L$21=$S9))</f>
        <v>0</v>
      </c>
      <c r="V9" s="32" cm="1">
        <f t="array" ref="V9">SUMPRODUCT(--(YEAR(Transaktionen!$K$6:$K$21)=Dashboard!V$5),Transaktionen!$M$6:$M$21,--(Transaktionen!$L$6:$L$21=$S9))</f>
        <v>0</v>
      </c>
      <c r="W9" s="32" cm="1">
        <f t="array" ref="W9">SUMPRODUCT(--(YEAR(Transaktionen!$K$6:$K$21)=Dashboard!W$5),Transaktionen!$M$6:$M$21,--(Transaktionen!$L$6:$L$21=$S9))</f>
        <v>0</v>
      </c>
      <c r="X9" s="32" cm="1">
        <f t="array" ref="X9">SUMPRODUCT(--(YEAR(Transaktionen!$K$6:$K$21)=Dashboard!X$5),Transaktionen!$M$6:$M$21,--(Transaktionen!$L$6:$L$21=$S9))</f>
        <v>10</v>
      </c>
      <c r="Y9" s="32" cm="1">
        <f t="array" ref="Y9">SUMPRODUCT(--(YEAR(Transaktionen!$K$6:$K$21)=Dashboard!Y$5),Transaktionen!$M$6:$M$21,--(Transaktionen!$L$6:$L$21=$S9))</f>
        <v>0</v>
      </c>
      <c r="Z9" s="32" cm="1">
        <f t="array" ref="Z9">SUMPRODUCT(--(YEAR(Transaktionen!$K$6:$K$21)=Dashboard!Z$5),Transaktionen!$M$6:$M$21,--(Transaktionen!$L$6:$L$21=$S9))</f>
        <v>0</v>
      </c>
      <c r="AA9" s="29" cm="1">
        <f t="array" ref="AA9">SUMPRODUCT(--(YEAR(Transaktionen!$K$6:$K$21)=Dashboard!AA$5),Transaktionen!$M$6:$M$21,--(Transaktionen!$L$6:$L$21=$S9))</f>
        <v>0</v>
      </c>
      <c r="AB9" s="6"/>
    </row>
    <row r="10" spans="2:28" x14ac:dyDescent="0.35">
      <c r="B10" s="4"/>
      <c r="C10" s="5"/>
      <c r="D10" s="5"/>
      <c r="E10" s="5"/>
      <c r="F10" s="5"/>
      <c r="G10" s="5"/>
      <c r="H10" s="6"/>
      <c r="J10" s="4"/>
      <c r="K10" s="5"/>
      <c r="L10" s="5"/>
      <c r="M10" s="5"/>
      <c r="N10" s="5"/>
      <c r="O10" s="5"/>
      <c r="P10" s="6"/>
      <c r="R10" s="4"/>
      <c r="S10" s="5"/>
      <c r="T10" s="5"/>
      <c r="U10" s="5"/>
      <c r="V10" s="5"/>
      <c r="W10" s="5"/>
      <c r="X10" s="5"/>
      <c r="Y10" s="5"/>
      <c r="Z10" s="5"/>
      <c r="AA10" s="5"/>
      <c r="AB10" s="6"/>
    </row>
    <row r="11" spans="2:28" x14ac:dyDescent="0.35">
      <c r="B11" s="4"/>
      <c r="C11" s="5"/>
      <c r="D11" s="5"/>
      <c r="E11" s="5"/>
      <c r="F11" s="5"/>
      <c r="G11" s="5"/>
      <c r="H11" s="6"/>
      <c r="J11" s="4"/>
      <c r="K11" s="50" t="s">
        <v>6</v>
      </c>
      <c r="L11" s="5"/>
      <c r="M11" s="5"/>
      <c r="N11" s="5"/>
      <c r="O11" s="5"/>
      <c r="P11" s="6"/>
      <c r="R11" s="4"/>
      <c r="S11" s="5"/>
      <c r="T11" s="5"/>
      <c r="U11" s="5"/>
      <c r="V11" s="5"/>
      <c r="W11" s="5"/>
      <c r="X11" s="5"/>
      <c r="Y11" s="5"/>
      <c r="Z11" s="5"/>
      <c r="AA11" s="5"/>
      <c r="AB11" s="6"/>
    </row>
    <row r="12" spans="2:28" x14ac:dyDescent="0.35">
      <c r="B12" s="4"/>
      <c r="C12" s="5"/>
      <c r="D12" s="5"/>
      <c r="E12" s="5"/>
      <c r="F12" s="5"/>
      <c r="G12" s="5"/>
      <c r="H12" s="6"/>
      <c r="J12" s="4"/>
      <c r="K12" s="5"/>
      <c r="L12" s="5"/>
      <c r="M12" s="5"/>
      <c r="N12" s="5"/>
      <c r="O12" s="5"/>
      <c r="P12" s="6"/>
      <c r="R12" s="4"/>
      <c r="S12" s="5"/>
      <c r="T12" s="5"/>
      <c r="U12" s="5"/>
      <c r="V12" s="5"/>
      <c r="W12" s="5"/>
      <c r="X12" s="5"/>
      <c r="Y12" s="5"/>
      <c r="Z12" s="5"/>
      <c r="AA12" s="5"/>
      <c r="AB12" s="6"/>
    </row>
    <row r="13" spans="2:28" x14ac:dyDescent="0.35">
      <c r="B13" s="4"/>
      <c r="C13" s="5"/>
      <c r="D13" s="5"/>
      <c r="E13" s="5"/>
      <c r="F13" s="5"/>
      <c r="G13" s="5"/>
      <c r="H13" s="6"/>
      <c r="J13" s="4"/>
      <c r="K13" s="35" t="s">
        <v>14</v>
      </c>
      <c r="L13" s="5"/>
      <c r="M13" s="35" t="s">
        <v>46</v>
      </c>
      <c r="N13" s="5"/>
      <c r="O13" s="35" t="s">
        <v>2</v>
      </c>
      <c r="P13" s="6"/>
      <c r="R13" s="4"/>
      <c r="S13" s="5"/>
      <c r="T13" s="5"/>
      <c r="U13" s="5"/>
      <c r="V13" s="5"/>
      <c r="W13" s="5"/>
      <c r="X13" s="5"/>
      <c r="Y13" s="5"/>
      <c r="Z13" s="5"/>
      <c r="AA13" s="5"/>
      <c r="AB13" s="6"/>
    </row>
    <row r="14" spans="2:28" x14ac:dyDescent="0.35">
      <c r="B14" s="4"/>
      <c r="C14" s="5"/>
      <c r="D14" s="5"/>
      <c r="E14" s="5"/>
      <c r="F14" s="5"/>
      <c r="G14" s="5"/>
      <c r="H14" s="6"/>
      <c r="J14" s="4"/>
      <c r="K14" s="22">
        <f>-SUMIF(Transaktionen!$D$6:$D$21,Dashboard!K11,Transaktionen!$G$6:$G$21)</f>
        <v>2500</v>
      </c>
      <c r="L14" s="5"/>
      <c r="M14" s="36">
        <f>_xlfn.XLOOKUP(K11,Portfolio!$D$6:$D$21,Portfolio!$F$6:$F$21)*_xlfn.XLOOKUP(K11,Portfolio!$D$6:$D$21,Portfolio!$H$6:$H$21)</f>
        <v>4433.6000000000004</v>
      </c>
      <c r="N14" s="7"/>
      <c r="O14" s="23">
        <f>SUMIF(Transaktionen!$L$6:$L$21,Dashboard!K11,Transaktionen!$M$6:$M$21)</f>
        <v>30</v>
      </c>
      <c r="P14" s="6"/>
      <c r="R14" s="4"/>
      <c r="S14" s="5"/>
      <c r="T14" s="5"/>
      <c r="U14" s="5"/>
      <c r="V14" s="5"/>
      <c r="W14" s="5"/>
      <c r="X14" s="5"/>
      <c r="Y14" s="5"/>
      <c r="Z14" s="5"/>
      <c r="AA14" s="5"/>
      <c r="AB14" s="6"/>
    </row>
    <row r="15" spans="2:28" x14ac:dyDescent="0.35">
      <c r="B15" s="4"/>
      <c r="C15" s="5"/>
      <c r="D15" s="5"/>
      <c r="E15" s="5"/>
      <c r="F15" s="5"/>
      <c r="G15" s="5"/>
      <c r="H15" s="6"/>
      <c r="J15" s="4"/>
      <c r="K15" s="5"/>
      <c r="L15" s="5"/>
      <c r="M15" s="30">
        <f>M14/K14</f>
        <v>1.7734400000000001</v>
      </c>
      <c r="N15" s="5"/>
      <c r="O15" s="30">
        <f>O14/K14</f>
        <v>1.2E-2</v>
      </c>
      <c r="P15" s="6"/>
      <c r="R15" s="4"/>
      <c r="S15" s="5"/>
      <c r="T15" s="5"/>
      <c r="U15" s="5"/>
      <c r="V15" s="5"/>
      <c r="W15" s="5"/>
      <c r="X15" s="5"/>
      <c r="Y15" s="5"/>
      <c r="Z15" s="5"/>
      <c r="AA15" s="5"/>
      <c r="AB15" s="6"/>
    </row>
    <row r="16" spans="2:28" x14ac:dyDescent="0.35">
      <c r="B16" s="4"/>
      <c r="C16" s="5"/>
      <c r="D16" s="5"/>
      <c r="E16" s="5"/>
      <c r="F16" s="5"/>
      <c r="G16" s="5"/>
      <c r="H16" s="6"/>
      <c r="J16" s="4"/>
      <c r="K16" s="5"/>
      <c r="L16" s="5"/>
      <c r="M16" s="5"/>
      <c r="N16" s="5"/>
      <c r="O16" s="5"/>
      <c r="P16" s="6"/>
      <c r="R16" s="4"/>
      <c r="S16" s="5"/>
      <c r="T16" s="5"/>
      <c r="U16" s="5"/>
      <c r="V16" s="5"/>
      <c r="W16" s="5"/>
      <c r="X16" s="5"/>
      <c r="Y16" s="5"/>
      <c r="Z16" s="5"/>
      <c r="AA16" s="5"/>
      <c r="AB16" s="6"/>
    </row>
    <row r="17" spans="2:28" x14ac:dyDescent="0.35">
      <c r="B17" s="4"/>
      <c r="C17" s="5"/>
      <c r="D17" s="5"/>
      <c r="E17" s="5"/>
      <c r="F17" s="5"/>
      <c r="G17" s="5"/>
      <c r="H17" s="6"/>
      <c r="J17" s="4"/>
      <c r="K17" s="51" t="s">
        <v>29</v>
      </c>
      <c r="L17" s="5"/>
      <c r="M17" s="5"/>
      <c r="N17" s="5"/>
      <c r="O17" s="5"/>
      <c r="P17" s="6"/>
      <c r="R17" s="4"/>
      <c r="S17" s="5"/>
      <c r="T17" s="5"/>
      <c r="U17" s="5"/>
      <c r="V17" s="5"/>
      <c r="W17" s="5"/>
      <c r="X17" s="5"/>
      <c r="Y17" s="5"/>
      <c r="Z17" s="5"/>
      <c r="AA17" s="5"/>
      <c r="AB17" s="6"/>
    </row>
    <row r="18" spans="2:28" x14ac:dyDescent="0.35">
      <c r="B18" s="4"/>
      <c r="C18" s="5"/>
      <c r="D18" s="5"/>
      <c r="E18" s="5"/>
      <c r="F18" s="5"/>
      <c r="G18" s="5"/>
      <c r="H18" s="6"/>
      <c r="J18" s="4"/>
      <c r="K18" s="5"/>
      <c r="L18" s="5"/>
      <c r="M18" s="5"/>
      <c r="N18" s="5"/>
      <c r="O18" s="5"/>
      <c r="P18" s="6"/>
      <c r="R18" s="4"/>
      <c r="S18" s="5"/>
      <c r="T18" s="5"/>
      <c r="U18" s="5"/>
      <c r="V18" s="5"/>
      <c r="W18" s="5"/>
      <c r="X18" s="5"/>
      <c r="Y18" s="5"/>
      <c r="Z18" s="5"/>
      <c r="AA18" s="5"/>
      <c r="AB18" s="6"/>
    </row>
    <row r="19" spans="2:28" x14ac:dyDescent="0.35">
      <c r="B19" s="4"/>
      <c r="C19" s="5"/>
      <c r="D19" s="5"/>
      <c r="E19" s="5"/>
      <c r="F19" s="5"/>
      <c r="G19" s="5"/>
      <c r="H19" s="6"/>
      <c r="J19" s="4"/>
      <c r="K19" s="35" t="s">
        <v>14</v>
      </c>
      <c r="L19" s="5"/>
      <c r="M19" s="35" t="s">
        <v>46</v>
      </c>
      <c r="N19" s="5"/>
      <c r="O19" s="35" t="s">
        <v>2</v>
      </c>
      <c r="P19" s="6"/>
      <c r="R19" s="4"/>
      <c r="S19" s="5"/>
      <c r="T19" s="5"/>
      <c r="U19" s="5"/>
      <c r="V19" s="5"/>
      <c r="W19" s="5"/>
      <c r="X19" s="5"/>
      <c r="Y19" s="5"/>
      <c r="Z19" s="5"/>
      <c r="AA19" s="5"/>
      <c r="AB19" s="6"/>
    </row>
    <row r="20" spans="2:28" x14ac:dyDescent="0.35">
      <c r="B20" s="4"/>
      <c r="C20" s="5"/>
      <c r="D20" s="5"/>
      <c r="E20" s="5"/>
      <c r="F20" s="5"/>
      <c r="G20" s="5"/>
      <c r="H20" s="6"/>
      <c r="J20" s="4"/>
      <c r="K20" s="22">
        <f>-SUMIF(Transaktionen!$D$6:$D$21,Dashboard!K17,Transaktionen!$G$6:$G$21)</f>
        <v>1000</v>
      </c>
      <c r="L20" s="5"/>
      <c r="M20" s="36">
        <f>_xlfn.XLOOKUP(K17,Portfolio!$D$6:$D$21,Portfolio!$F$6:$F$21)*_xlfn.XLOOKUP(K17,Portfolio!$D$6:$D$21,Portfolio!$H$6:$H$21)</f>
        <v>951.80000000000007</v>
      </c>
      <c r="N20" s="7"/>
      <c r="O20" s="23">
        <f>SUMIF(Transaktionen!$L$6:$L$21,Dashboard!K17,Transaktionen!$M$6:$M$21)</f>
        <v>10</v>
      </c>
      <c r="P20" s="6"/>
      <c r="R20" s="4"/>
      <c r="S20" s="5"/>
      <c r="T20" s="5"/>
      <c r="U20" s="5"/>
      <c r="V20" s="5"/>
      <c r="W20" s="5"/>
      <c r="X20" s="5"/>
      <c r="Y20" s="5"/>
      <c r="Z20" s="5"/>
      <c r="AA20" s="5"/>
      <c r="AB20" s="6"/>
    </row>
    <row r="21" spans="2:28" x14ac:dyDescent="0.35">
      <c r="B21" s="4"/>
      <c r="C21" s="5"/>
      <c r="D21" s="5"/>
      <c r="E21" s="5"/>
      <c r="F21" s="5"/>
      <c r="G21" s="5"/>
      <c r="H21" s="6"/>
      <c r="J21" s="4"/>
      <c r="K21" s="5"/>
      <c r="L21" s="5"/>
      <c r="M21" s="30">
        <f>M20/K20</f>
        <v>0.95180000000000009</v>
      </c>
      <c r="N21" s="5"/>
      <c r="O21" s="30">
        <f>O20/K20</f>
        <v>0.01</v>
      </c>
      <c r="P21" s="6"/>
      <c r="R21" s="4"/>
      <c r="S21" s="5"/>
      <c r="T21" s="5"/>
      <c r="U21" s="5"/>
      <c r="V21" s="5"/>
      <c r="W21" s="5"/>
      <c r="X21" s="5"/>
      <c r="Y21" s="5"/>
      <c r="Z21" s="5"/>
      <c r="AA21" s="5"/>
      <c r="AB21" s="6"/>
    </row>
    <row r="22" spans="2:28" ht="15" thickBot="1" x14ac:dyDescent="0.4">
      <c r="B22" s="4"/>
      <c r="C22" s="5"/>
      <c r="D22" s="5"/>
      <c r="E22" s="5"/>
      <c r="F22" s="5"/>
      <c r="G22" s="5"/>
      <c r="H22" s="6"/>
      <c r="J22" s="8"/>
      <c r="K22" s="9"/>
      <c r="L22" s="9"/>
      <c r="M22" s="9"/>
      <c r="N22" s="9"/>
      <c r="O22" s="9"/>
      <c r="P22" s="10"/>
      <c r="R22" s="4"/>
      <c r="S22" s="5"/>
      <c r="T22" s="5"/>
      <c r="U22" s="5"/>
      <c r="V22" s="5"/>
      <c r="W22" s="5"/>
      <c r="X22" s="5"/>
      <c r="Y22" s="5"/>
      <c r="Z22" s="5"/>
      <c r="AA22" s="5"/>
      <c r="AB22" s="6"/>
    </row>
    <row r="23" spans="2:28" x14ac:dyDescent="0.35">
      <c r="B23" s="4"/>
      <c r="C23" s="5"/>
      <c r="D23" s="5"/>
      <c r="E23" s="5"/>
      <c r="F23" s="5"/>
      <c r="G23" s="5"/>
      <c r="H23" s="6"/>
      <c r="R23" s="4"/>
      <c r="S23" s="5"/>
      <c r="T23" s="5"/>
      <c r="U23" s="5"/>
      <c r="V23" s="5"/>
      <c r="W23" s="5"/>
      <c r="X23" s="5"/>
      <c r="Y23" s="5"/>
      <c r="Z23" s="5"/>
      <c r="AA23" s="5"/>
      <c r="AB23" s="6"/>
    </row>
    <row r="24" spans="2:28" x14ac:dyDescent="0.35">
      <c r="B24" s="4"/>
      <c r="C24" s="5"/>
      <c r="D24" s="5"/>
      <c r="E24" s="5"/>
      <c r="F24" s="5"/>
      <c r="G24" s="5"/>
      <c r="H24" s="6"/>
      <c r="R24" s="4"/>
      <c r="S24" s="5"/>
      <c r="T24" s="5"/>
      <c r="U24" s="5"/>
      <c r="V24" s="5"/>
      <c r="W24" s="5"/>
      <c r="X24" s="5"/>
      <c r="Y24" s="5"/>
      <c r="Z24" s="5"/>
      <c r="AA24" s="5"/>
      <c r="AB24" s="6"/>
    </row>
    <row r="25" spans="2:28" ht="15" thickBot="1" x14ac:dyDescent="0.4">
      <c r="B25" s="4"/>
      <c r="C25" s="5"/>
      <c r="D25" s="5"/>
      <c r="E25" s="5"/>
      <c r="F25" s="5"/>
      <c r="G25" s="5"/>
      <c r="H25" s="6"/>
      <c r="R25" s="8"/>
      <c r="S25" s="9"/>
      <c r="T25" s="9"/>
      <c r="U25" s="9"/>
      <c r="V25" s="9"/>
      <c r="W25" s="9"/>
      <c r="X25" s="9"/>
      <c r="Y25" s="9"/>
      <c r="Z25" s="9"/>
      <c r="AA25" s="9"/>
      <c r="AB25" s="10"/>
    </row>
    <row r="26" spans="2:28" ht="15" thickBot="1" x14ac:dyDescent="0.4">
      <c r="B26" s="8"/>
      <c r="C26" s="9"/>
      <c r="D26" s="9"/>
      <c r="E26" s="9"/>
      <c r="F26" s="9"/>
      <c r="G26" s="9"/>
      <c r="H26" s="10"/>
    </row>
  </sheetData>
  <conditionalFormatting sqref="M9 M15 M21 E7">
    <cfRule type="cellIs" dxfId="7" priority="9" operator="greaterThan">
      <formula>1</formula>
    </cfRule>
  </conditionalFormatting>
  <conditionalFormatting sqref="G7 O9 O15 O21">
    <cfRule type="cellIs" dxfId="6" priority="8" operator="greaterThan">
      <formula>0</formula>
    </cfRule>
  </conditionalFormatting>
  <conditionalFormatting sqref="M21 M15 M9 E7">
    <cfRule type="cellIs" dxfId="5" priority="6" operator="lessThan">
      <formula>1</formula>
    </cfRule>
    <cfRule type="cellIs" dxfId="4" priority="7" operator="equal">
      <formula>1</formula>
    </cfRule>
  </conditionalFormatting>
  <conditionalFormatting sqref="O21 O15 O9 G7">
    <cfRule type="cellIs" dxfId="3" priority="4" operator="equal">
      <formula>0</formula>
    </cfRule>
  </conditionalFormatting>
  <conditionalFormatting sqref="E9">
    <cfRule type="cellIs" dxfId="2" priority="1" operator="greaterThan">
      <formula>0</formula>
    </cfRule>
    <cfRule type="cellIs" dxfId="1" priority="2" operator="lessThan">
      <formula>0</formula>
    </cfRule>
    <cfRule type="cellIs" dxfId="0" priority="3" operator="equal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5F6F8-4F13-445E-8CC9-F8A284715BAB}">
  <dimension ref="B1:O22"/>
  <sheetViews>
    <sheetView topLeftCell="C1" zoomScale="66" workbookViewId="0">
      <selection activeCell="G8" sqref="G8"/>
    </sheetView>
  </sheetViews>
  <sheetFormatPr defaultRowHeight="14.5" x14ac:dyDescent="0.35"/>
  <cols>
    <col min="1" max="2" width="2.81640625" customWidth="1"/>
    <col min="3" max="3" width="29.26953125" customWidth="1"/>
    <col min="4" max="4" width="7.54296875" bestFit="1" customWidth="1"/>
    <col min="5" max="5" width="13.54296875" bestFit="1" customWidth="1"/>
    <col min="6" max="6" width="9" bestFit="1" customWidth="1"/>
    <col min="7" max="7" width="23" bestFit="1" customWidth="1"/>
    <col min="8" max="8" width="22.453125" bestFit="1" customWidth="1"/>
    <col min="9" max="11" width="2.81640625" customWidth="1"/>
    <col min="12" max="12" width="29.26953125" customWidth="1"/>
    <col min="13" max="13" width="11.7265625" bestFit="1" customWidth="1"/>
    <col min="14" max="14" width="19.54296875" bestFit="1" customWidth="1"/>
    <col min="15" max="15" width="2.81640625" customWidth="1"/>
  </cols>
  <sheetData>
    <row r="1" spans="2:15" ht="15" thickBot="1" x14ac:dyDescent="0.4"/>
    <row r="2" spans="2:15" ht="15" thickBot="1" x14ac:dyDescent="0.4">
      <c r="B2" s="1"/>
      <c r="C2" s="2"/>
      <c r="D2" s="2"/>
      <c r="E2" s="2"/>
      <c r="F2" s="2"/>
      <c r="G2" s="2"/>
      <c r="H2" s="2"/>
      <c r="I2" s="3"/>
      <c r="K2" s="1"/>
      <c r="L2" s="2"/>
      <c r="M2" s="2"/>
      <c r="N2" s="2"/>
      <c r="O2" s="3"/>
    </row>
    <row r="3" spans="2:15" ht="15" thickBot="1" x14ac:dyDescent="0.4">
      <c r="B3" s="4"/>
      <c r="C3" s="11" t="s">
        <v>16</v>
      </c>
      <c r="D3" s="5"/>
      <c r="E3" s="5"/>
      <c r="F3" s="5"/>
      <c r="G3" s="5"/>
      <c r="H3" s="5"/>
      <c r="I3" s="6"/>
      <c r="K3" s="4"/>
      <c r="L3" s="11" t="s">
        <v>32</v>
      </c>
      <c r="M3" s="5"/>
      <c r="N3" s="5"/>
      <c r="O3" s="6"/>
    </row>
    <row r="4" spans="2:15" x14ac:dyDescent="0.35">
      <c r="B4" s="4"/>
      <c r="C4" s="5"/>
      <c r="D4" s="5"/>
      <c r="E4" s="5"/>
      <c r="F4" s="5"/>
      <c r="G4" s="5"/>
      <c r="H4" s="5"/>
      <c r="I4" s="6"/>
      <c r="K4" s="4"/>
      <c r="L4" s="5"/>
      <c r="M4" s="5"/>
      <c r="N4" s="5"/>
      <c r="O4" s="6"/>
    </row>
    <row r="5" spans="2:15" x14ac:dyDescent="0.35">
      <c r="B5" s="4"/>
      <c r="C5" s="19" t="s">
        <v>9</v>
      </c>
      <c r="D5" s="20" t="s">
        <v>7</v>
      </c>
      <c r="E5" s="20" t="s">
        <v>8</v>
      </c>
      <c r="F5" s="20" t="s">
        <v>3</v>
      </c>
      <c r="G5" s="20" t="s">
        <v>19</v>
      </c>
      <c r="H5" s="21" t="s">
        <v>47</v>
      </c>
      <c r="I5" s="6"/>
      <c r="K5" s="4"/>
      <c r="L5" s="19" t="s">
        <v>7</v>
      </c>
      <c r="M5" s="20" t="s">
        <v>33</v>
      </c>
      <c r="N5" s="21" t="s">
        <v>34</v>
      </c>
      <c r="O5" s="6"/>
    </row>
    <row r="6" spans="2:15" ht="29" x14ac:dyDescent="0.35">
      <c r="B6" s="4"/>
      <c r="C6" s="25" t="s">
        <v>17</v>
      </c>
      <c r="D6" t="s">
        <v>5</v>
      </c>
      <c r="E6" t="s">
        <v>18</v>
      </c>
      <c r="F6" s="26">
        <f>SUMIF(Transaktionen!$D$6:$D$21,Portfolio!$D6,Transaktionen!$E$6:$E$21)</f>
        <v>10</v>
      </c>
      <c r="G6" s="13">
        <f>IF(F6&gt;0,(-SUMIF(Transaktionen!$D$6:$D$21,Portfolio!$D6,Transaktionen!$G$6:$G$21)/F6),0)</f>
        <v>100</v>
      </c>
      <c r="H6" s="14" t="str">
        <f>'Realtime-Kurse A0NCFR'!B3</f>
        <v>396,76</v>
      </c>
      <c r="I6" s="6"/>
      <c r="K6" s="4"/>
      <c r="L6" s="40" t="s">
        <v>5</v>
      </c>
      <c r="M6" s="41">
        <f>H6*F6</f>
        <v>3967.6</v>
      </c>
      <c r="N6" s="42">
        <f>M6/SUM($M$6:$M$21)</f>
        <v>0.42420613706832033</v>
      </c>
      <c r="O6" s="6"/>
    </row>
    <row r="7" spans="2:15" x14ac:dyDescent="0.35">
      <c r="B7" s="4"/>
      <c r="C7" s="12" t="s">
        <v>10</v>
      </c>
      <c r="D7" t="s">
        <v>6</v>
      </c>
      <c r="E7" t="s">
        <v>11</v>
      </c>
      <c r="F7" s="26">
        <f>SUMIF(Transaktionen!$D$6:$D$21,Portfolio!$D7,Transaktionen!$E$6:$E$21)</f>
        <v>20</v>
      </c>
      <c r="G7" s="13">
        <f>IF(F7&gt;0,(-SUMIF(Transaktionen!$D$6:$D$21,Portfolio!$D7,Transaktionen!$G$6:$G$21)/F7),0)</f>
        <v>125</v>
      </c>
      <c r="H7" s="14" t="str">
        <f>'Realtime-Kurse ETF903'!B3</f>
        <v>221,68</v>
      </c>
      <c r="I7" s="6"/>
      <c r="K7" s="4"/>
      <c r="L7" s="12" t="s">
        <v>6</v>
      </c>
      <c r="M7" s="38">
        <f>H7*F7</f>
        <v>4433.6000000000004</v>
      </c>
      <c r="N7" s="39">
        <f t="shared" ref="N7:N21" si="0">M7/SUM($M$6:$M$21)</f>
        <v>0.47402972308350266</v>
      </c>
      <c r="O7" s="6"/>
    </row>
    <row r="8" spans="2:15" x14ac:dyDescent="0.35">
      <c r="B8" s="4"/>
      <c r="C8" s="12" t="s">
        <v>30</v>
      </c>
      <c r="D8" t="s">
        <v>29</v>
      </c>
      <c r="E8" t="s">
        <v>28</v>
      </c>
      <c r="F8" s="26">
        <f>SUMIF(Transaktionen!$D$6:$D$21,Portfolio!$D8,Transaktionen!$E$6:$E$21)</f>
        <v>10</v>
      </c>
      <c r="G8" s="13">
        <f>IF(F8&gt;0,(-SUMIF(Transaktionen!$D$6:$D$21,Portfolio!$D8,Transaktionen!$G$6:$G$21)/F8),0)</f>
        <v>100</v>
      </c>
      <c r="H8" s="14" t="str">
        <f>'Realtime-Kurse DBX0TR'!B3</f>
        <v>95,18</v>
      </c>
      <c r="I8" s="6"/>
      <c r="K8" s="4"/>
      <c r="L8" s="12" t="s">
        <v>29</v>
      </c>
      <c r="M8" s="38">
        <f>H8*F8</f>
        <v>951.80000000000007</v>
      </c>
      <c r="N8" s="39">
        <f t="shared" si="0"/>
        <v>0.10176413984817706</v>
      </c>
      <c r="O8" s="6"/>
    </row>
    <row r="9" spans="2:15" x14ac:dyDescent="0.35">
      <c r="B9" s="4"/>
      <c r="C9" s="15"/>
      <c r="F9" s="26">
        <f>SUMIF(Transaktionen!$D$6:$D$21,Portfolio!$D9,Transaktionen!$E$6:$E$21)</f>
        <v>0</v>
      </c>
      <c r="G9" s="13">
        <f>IF(F9&gt;0,(-SUMIF(Transaktionen!$D$6:$D$21,Portfolio!$D9,Transaktionen!$G$6:$G$21)/F9),0)</f>
        <v>0</v>
      </c>
      <c r="H9" s="14"/>
      <c r="I9" s="6"/>
      <c r="K9" s="4"/>
      <c r="L9" s="15"/>
      <c r="M9" s="38">
        <f>H9*F9</f>
        <v>0</v>
      </c>
      <c r="N9" s="39">
        <f t="shared" si="0"/>
        <v>0</v>
      </c>
      <c r="O9" s="6"/>
    </row>
    <row r="10" spans="2:15" x14ac:dyDescent="0.35">
      <c r="B10" s="4"/>
      <c r="C10" s="15"/>
      <c r="F10" s="26">
        <f>SUMIF(Transaktionen!$D$6:$D$21,Portfolio!$D10,Transaktionen!$E$6:$E$21)</f>
        <v>0</v>
      </c>
      <c r="G10" s="13">
        <f>IF(F10&gt;0,(-SUMIF(Transaktionen!$D$6:$D$21,Portfolio!$D10,Transaktionen!$G$6:$G$21)/F10),0)</f>
        <v>0</v>
      </c>
      <c r="H10" s="14"/>
      <c r="I10" s="6"/>
      <c r="K10" s="4"/>
      <c r="L10" s="15"/>
      <c r="M10" s="38">
        <f>H10*F10</f>
        <v>0</v>
      </c>
      <c r="N10" s="39">
        <f t="shared" si="0"/>
        <v>0</v>
      </c>
      <c r="O10" s="6"/>
    </row>
    <row r="11" spans="2:15" x14ac:dyDescent="0.35">
      <c r="B11" s="4"/>
      <c r="C11" s="15"/>
      <c r="F11" s="26">
        <f>SUMIF(Transaktionen!$D$6:$D$21,Portfolio!$D11,Transaktionen!$E$6:$E$21)</f>
        <v>0</v>
      </c>
      <c r="G11" s="13">
        <f>IF(F11&gt;0,(-SUMIF(Transaktionen!$D$6:$D$21,Portfolio!$D11,Transaktionen!$G$6:$G$21)/F11),0)</f>
        <v>0</v>
      </c>
      <c r="H11" s="14"/>
      <c r="I11" s="6"/>
      <c r="K11" s="4"/>
      <c r="L11" s="15"/>
      <c r="M11" s="38">
        <f>H11*F11</f>
        <v>0</v>
      </c>
      <c r="N11" s="39">
        <f t="shared" si="0"/>
        <v>0</v>
      </c>
      <c r="O11" s="6"/>
    </row>
    <row r="12" spans="2:15" x14ac:dyDescent="0.35">
      <c r="B12" s="4"/>
      <c r="C12" s="15"/>
      <c r="F12" s="26">
        <f>SUMIF(Transaktionen!$D$6:$D$21,Portfolio!$D12,Transaktionen!$E$6:$E$21)</f>
        <v>0</v>
      </c>
      <c r="G12" s="13">
        <f>IF(F12&gt;0,(-SUMIF(Transaktionen!$D$6:$D$21,Portfolio!$D12,Transaktionen!$G$6:$G$21)/F12),0)</f>
        <v>0</v>
      </c>
      <c r="H12" s="14"/>
      <c r="I12" s="6"/>
      <c r="K12" s="4"/>
      <c r="L12" s="15"/>
      <c r="M12" s="38">
        <f>H12*F12</f>
        <v>0</v>
      </c>
      <c r="N12" s="39">
        <f t="shared" si="0"/>
        <v>0</v>
      </c>
      <c r="O12" s="6"/>
    </row>
    <row r="13" spans="2:15" x14ac:dyDescent="0.35">
      <c r="B13" s="4"/>
      <c r="C13" s="15"/>
      <c r="F13" s="26">
        <f>SUMIF(Transaktionen!$D$6:$D$21,Portfolio!$D13,Transaktionen!$E$6:$E$21)</f>
        <v>0</v>
      </c>
      <c r="G13" s="13">
        <f>IF(F13&gt;0,(-SUMIF(Transaktionen!$D$6:$D$21,Portfolio!$D13,Transaktionen!$G$6:$G$21)/F13),0)</f>
        <v>0</v>
      </c>
      <c r="H13" s="14"/>
      <c r="I13" s="6"/>
      <c r="K13" s="4"/>
      <c r="L13" s="15"/>
      <c r="M13" s="38">
        <f>H13*F13</f>
        <v>0</v>
      </c>
      <c r="N13" s="39">
        <f t="shared" si="0"/>
        <v>0</v>
      </c>
      <c r="O13" s="6"/>
    </row>
    <row r="14" spans="2:15" x14ac:dyDescent="0.35">
      <c r="B14" s="4"/>
      <c r="C14" s="15"/>
      <c r="F14" s="26">
        <f>SUMIF(Transaktionen!$D$6:$D$21,Portfolio!$D14,Transaktionen!$E$6:$E$21)</f>
        <v>0</v>
      </c>
      <c r="G14" s="13">
        <f>IF(F14&gt;0,(-SUMIF(Transaktionen!$D$6:$D$21,Portfolio!$D14,Transaktionen!$G$6:$G$21)/F14),0)</f>
        <v>0</v>
      </c>
      <c r="H14" s="14"/>
      <c r="I14" s="6"/>
      <c r="K14" s="4"/>
      <c r="L14" s="15"/>
      <c r="M14" s="38">
        <f>H14*F14</f>
        <v>0</v>
      </c>
      <c r="N14" s="39">
        <f t="shared" si="0"/>
        <v>0</v>
      </c>
      <c r="O14" s="6"/>
    </row>
    <row r="15" spans="2:15" x14ac:dyDescent="0.35">
      <c r="B15" s="4"/>
      <c r="C15" s="15"/>
      <c r="F15" s="26">
        <f>SUMIF(Transaktionen!$D$6:$D$21,Portfolio!$D15,Transaktionen!$E$6:$E$21)</f>
        <v>0</v>
      </c>
      <c r="G15" s="13">
        <f>IF(F15&gt;0,(-SUMIF(Transaktionen!$D$6:$D$21,Portfolio!$D15,Transaktionen!$G$6:$G$21)/F15),0)</f>
        <v>0</v>
      </c>
      <c r="H15" s="14"/>
      <c r="I15" s="6"/>
      <c r="K15" s="4"/>
      <c r="L15" s="15"/>
      <c r="M15" s="38">
        <f>H15*F15</f>
        <v>0</v>
      </c>
      <c r="N15" s="39">
        <f t="shared" si="0"/>
        <v>0</v>
      </c>
      <c r="O15" s="6"/>
    </row>
    <row r="16" spans="2:15" x14ac:dyDescent="0.35">
      <c r="B16" s="4"/>
      <c r="C16" s="15"/>
      <c r="F16" s="26">
        <f>SUMIF(Transaktionen!$D$6:$D$21,Portfolio!$D16,Transaktionen!$E$6:$E$21)</f>
        <v>0</v>
      </c>
      <c r="G16" s="13">
        <f>IF(F16&gt;0,(-SUMIF(Transaktionen!$D$6:$D$21,Portfolio!$D16,Transaktionen!$G$6:$G$21)/F16),0)</f>
        <v>0</v>
      </c>
      <c r="H16" s="14"/>
      <c r="I16" s="6"/>
      <c r="K16" s="4"/>
      <c r="L16" s="15"/>
      <c r="M16" s="38">
        <f>H16*F16</f>
        <v>0</v>
      </c>
      <c r="N16" s="39">
        <f t="shared" si="0"/>
        <v>0</v>
      </c>
      <c r="O16" s="6"/>
    </row>
    <row r="17" spans="2:15" x14ac:dyDescent="0.35">
      <c r="B17" s="4"/>
      <c r="C17" s="15"/>
      <c r="F17" s="26">
        <f>SUMIF(Transaktionen!$D$6:$D$21,Portfolio!$D17,Transaktionen!$E$6:$E$21)</f>
        <v>0</v>
      </c>
      <c r="G17" s="13">
        <f>IF(F17&gt;0,(-SUMIF(Transaktionen!$D$6:$D$21,Portfolio!$D17,Transaktionen!$G$6:$G$21)/F17),0)</f>
        <v>0</v>
      </c>
      <c r="H17" s="14"/>
      <c r="I17" s="6"/>
      <c r="K17" s="4"/>
      <c r="L17" s="15"/>
      <c r="M17" s="38">
        <f>H17*F17</f>
        <v>0</v>
      </c>
      <c r="N17" s="39">
        <f t="shared" si="0"/>
        <v>0</v>
      </c>
      <c r="O17" s="6"/>
    </row>
    <row r="18" spans="2:15" x14ac:dyDescent="0.35">
      <c r="B18" s="4"/>
      <c r="C18" s="15"/>
      <c r="F18" s="26">
        <f>SUMIF(Transaktionen!$D$6:$D$21,Portfolio!$D18,Transaktionen!$E$6:$E$21)</f>
        <v>0</v>
      </c>
      <c r="G18" s="13">
        <f>IF(F18&gt;0,(-SUMIF(Transaktionen!$D$6:$D$21,Portfolio!$D18,Transaktionen!$G$6:$G$21)/F18),0)</f>
        <v>0</v>
      </c>
      <c r="H18" s="14"/>
      <c r="I18" s="6"/>
      <c r="K18" s="4"/>
      <c r="L18" s="15"/>
      <c r="M18" s="38">
        <f>H18*F18</f>
        <v>0</v>
      </c>
      <c r="N18" s="39">
        <f t="shared" si="0"/>
        <v>0</v>
      </c>
      <c r="O18" s="6"/>
    </row>
    <row r="19" spans="2:15" x14ac:dyDescent="0.35">
      <c r="B19" s="4"/>
      <c r="C19" s="15"/>
      <c r="F19" s="26">
        <f>SUMIF(Transaktionen!$D$6:$D$21,Portfolio!$D19,Transaktionen!$E$6:$E$21)</f>
        <v>0</v>
      </c>
      <c r="G19" s="13">
        <f>IF(F19&gt;0,(-SUMIF(Transaktionen!$D$6:$D$21,Portfolio!$D19,Transaktionen!$G$6:$G$21)/F19),0)</f>
        <v>0</v>
      </c>
      <c r="H19" s="14"/>
      <c r="I19" s="6"/>
      <c r="K19" s="4"/>
      <c r="L19" s="15"/>
      <c r="M19" s="38">
        <f>H19*F19</f>
        <v>0</v>
      </c>
      <c r="N19" s="39">
        <f t="shared" si="0"/>
        <v>0</v>
      </c>
      <c r="O19" s="6"/>
    </row>
    <row r="20" spans="2:15" x14ac:dyDescent="0.35">
      <c r="B20" s="4"/>
      <c r="C20" s="15"/>
      <c r="F20" s="26">
        <f>SUMIF(Transaktionen!$D$6:$D$21,Portfolio!$D20,Transaktionen!$E$6:$E$21)</f>
        <v>0</v>
      </c>
      <c r="G20" s="13">
        <f>IF(F20&gt;0,(-SUMIF(Transaktionen!$D$6:$D$21,Portfolio!$D20,Transaktionen!$G$6:$G$21)/F20),0)</f>
        <v>0</v>
      </c>
      <c r="H20" s="14"/>
      <c r="I20" s="6"/>
      <c r="K20" s="4"/>
      <c r="L20" s="15"/>
      <c r="M20" s="38">
        <f>H20*F20</f>
        <v>0</v>
      </c>
      <c r="N20" s="39">
        <f t="shared" si="0"/>
        <v>0</v>
      </c>
      <c r="O20" s="6"/>
    </row>
    <row r="21" spans="2:15" x14ac:dyDescent="0.35">
      <c r="B21" s="4"/>
      <c r="C21" s="16"/>
      <c r="D21" s="17"/>
      <c r="E21" s="17"/>
      <c r="F21" s="27">
        <f>SUMIF(Transaktionen!$D$6:$D$21,Portfolio!$D21,Transaktionen!$E$6:$E$21)</f>
        <v>0</v>
      </c>
      <c r="G21" s="48">
        <f>IF(F21&gt;0,(-SUMIF(Transaktionen!$D$6:$D$21,Portfolio!$D21,Transaktionen!$G$6:$G$21)/F21),0)</f>
        <v>0</v>
      </c>
      <c r="H21" s="29"/>
      <c r="I21" s="6"/>
      <c r="K21" s="4"/>
      <c r="L21" s="16"/>
      <c r="M21" s="43">
        <f>H21*F21</f>
        <v>0</v>
      </c>
      <c r="N21" s="44">
        <f t="shared" si="0"/>
        <v>0</v>
      </c>
      <c r="O21" s="6"/>
    </row>
    <row r="22" spans="2:15" ht="15" thickBot="1" x14ac:dyDescent="0.4">
      <c r="B22" s="8"/>
      <c r="C22" s="9"/>
      <c r="D22" s="9"/>
      <c r="E22" s="9"/>
      <c r="F22" s="9"/>
      <c r="G22" s="9"/>
      <c r="H22" s="9"/>
      <c r="I22" s="10"/>
      <c r="K22" s="8"/>
      <c r="L22" s="9"/>
      <c r="M22" s="9"/>
      <c r="N22" s="9"/>
      <c r="O22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18B9A-8873-42CE-81AA-198FBA4C48DE}">
  <dimension ref="B1:N22"/>
  <sheetViews>
    <sheetView zoomScale="95" workbookViewId="0">
      <selection activeCell="F10" sqref="F10"/>
    </sheetView>
  </sheetViews>
  <sheetFormatPr defaultRowHeight="14.5" x14ac:dyDescent="0.35"/>
  <cols>
    <col min="1" max="2" width="2.81640625" customWidth="1"/>
    <col min="3" max="3" width="11.1796875" bestFit="1" customWidth="1"/>
    <col min="4" max="4" width="7.54296875" bestFit="1" customWidth="1"/>
    <col min="5" max="5" width="10.7265625" bestFit="1" customWidth="1"/>
    <col min="6" max="6" width="9" bestFit="1" customWidth="1"/>
    <col min="7" max="7" width="12.36328125" bestFit="1" customWidth="1"/>
    <col min="8" max="10" width="2.81640625" customWidth="1"/>
    <col min="11" max="11" width="11.1796875" bestFit="1" customWidth="1"/>
    <col min="12" max="12" width="7.54296875" bestFit="1" customWidth="1"/>
    <col min="13" max="13" width="10.7265625" bestFit="1" customWidth="1"/>
    <col min="14" max="14" width="2.81640625" customWidth="1"/>
  </cols>
  <sheetData>
    <row r="1" spans="2:14" ht="15" thickBot="1" x14ac:dyDescent="0.4"/>
    <row r="2" spans="2:14" ht="15" thickBot="1" x14ac:dyDescent="0.4">
      <c r="B2" s="1"/>
      <c r="C2" s="2"/>
      <c r="D2" s="2"/>
      <c r="E2" s="2"/>
      <c r="F2" s="2"/>
      <c r="G2" s="2"/>
      <c r="H2" s="3"/>
      <c r="J2" s="1"/>
      <c r="K2" s="2"/>
      <c r="L2" s="2"/>
      <c r="M2" s="2"/>
      <c r="N2" s="3"/>
    </row>
    <row r="3" spans="2:14" ht="15" thickBot="1" x14ac:dyDescent="0.4">
      <c r="B3" s="4"/>
      <c r="C3" s="11" t="s">
        <v>13</v>
      </c>
      <c r="D3" s="5"/>
      <c r="E3" s="5"/>
      <c r="F3" s="5"/>
      <c r="G3" s="5"/>
      <c r="H3" s="6"/>
      <c r="J3" s="4"/>
      <c r="K3" s="11" t="s">
        <v>2</v>
      </c>
      <c r="L3" s="5"/>
      <c r="M3" s="5"/>
      <c r="N3" s="6"/>
    </row>
    <row r="4" spans="2:14" x14ac:dyDescent="0.35">
      <c r="B4" s="4"/>
      <c r="C4" s="5"/>
      <c r="D4" s="5"/>
      <c r="E4" s="5"/>
      <c r="F4" s="5"/>
      <c r="G4" s="5"/>
      <c r="H4" s="6"/>
      <c r="J4" s="4"/>
      <c r="K4" s="5"/>
      <c r="L4" s="5"/>
      <c r="M4" s="5"/>
      <c r="N4" s="6"/>
    </row>
    <row r="5" spans="2:14" x14ac:dyDescent="0.35">
      <c r="B5" s="4"/>
      <c r="C5" s="19" t="s">
        <v>0</v>
      </c>
      <c r="D5" s="20" t="s">
        <v>1</v>
      </c>
      <c r="E5" s="20" t="s">
        <v>13</v>
      </c>
      <c r="F5" s="20" t="s">
        <v>12</v>
      </c>
      <c r="G5" s="21" t="s">
        <v>4</v>
      </c>
      <c r="H5" s="6"/>
      <c r="J5" s="4"/>
      <c r="K5" s="19" t="s">
        <v>0</v>
      </c>
      <c r="L5" s="20" t="s">
        <v>1</v>
      </c>
      <c r="M5" s="21" t="s">
        <v>2</v>
      </c>
      <c r="N5" s="6"/>
    </row>
    <row r="6" spans="2:14" x14ac:dyDescent="0.35">
      <c r="B6" s="4"/>
      <c r="C6" s="12">
        <v>44562</v>
      </c>
      <c r="D6" t="s">
        <v>5</v>
      </c>
      <c r="E6">
        <v>10</v>
      </c>
      <c r="F6" s="13">
        <v>100</v>
      </c>
      <c r="G6" s="14">
        <f>-F6*E6</f>
        <v>-1000</v>
      </c>
      <c r="H6" s="6"/>
      <c r="J6" s="4"/>
      <c r="K6" s="12">
        <v>44927</v>
      </c>
      <c r="L6" t="s">
        <v>5</v>
      </c>
      <c r="M6" s="28">
        <v>10</v>
      </c>
      <c r="N6" s="6"/>
    </row>
    <row r="7" spans="2:14" x14ac:dyDescent="0.35">
      <c r="B7" s="4"/>
      <c r="C7" s="12">
        <v>44927</v>
      </c>
      <c r="D7" t="s">
        <v>6</v>
      </c>
      <c r="E7">
        <v>10</v>
      </c>
      <c r="F7" s="13">
        <v>100</v>
      </c>
      <c r="G7" s="14">
        <f t="shared" ref="G7:G9" si="0">-F7*E7</f>
        <v>-1000</v>
      </c>
      <c r="H7" s="6"/>
      <c r="J7" s="4"/>
      <c r="K7" s="12">
        <v>45292</v>
      </c>
      <c r="L7" t="s">
        <v>5</v>
      </c>
      <c r="M7" s="28">
        <v>10</v>
      </c>
      <c r="N7" s="6"/>
    </row>
    <row r="8" spans="2:14" x14ac:dyDescent="0.35">
      <c r="B8" s="4"/>
      <c r="C8" s="12">
        <v>45292</v>
      </c>
      <c r="D8" t="s">
        <v>6</v>
      </c>
      <c r="E8">
        <v>10</v>
      </c>
      <c r="F8" s="13">
        <v>150</v>
      </c>
      <c r="G8" s="14">
        <f t="shared" si="0"/>
        <v>-1500</v>
      </c>
      <c r="H8" s="6"/>
      <c r="J8" s="4"/>
      <c r="K8" s="12">
        <v>45292</v>
      </c>
      <c r="L8" t="s">
        <v>6</v>
      </c>
      <c r="M8" s="28">
        <v>10</v>
      </c>
      <c r="N8" s="6"/>
    </row>
    <row r="9" spans="2:14" x14ac:dyDescent="0.35">
      <c r="B9" s="4"/>
      <c r="C9" s="12">
        <v>45658</v>
      </c>
      <c r="D9" t="s">
        <v>29</v>
      </c>
      <c r="E9">
        <v>10</v>
      </c>
      <c r="F9" s="13">
        <v>100</v>
      </c>
      <c r="G9" s="14">
        <f t="shared" si="0"/>
        <v>-1000</v>
      </c>
      <c r="H9" s="6"/>
      <c r="J9" s="4"/>
      <c r="K9" s="12">
        <v>45658</v>
      </c>
      <c r="L9" t="s">
        <v>5</v>
      </c>
      <c r="M9" s="28">
        <v>10</v>
      </c>
      <c r="N9" s="6"/>
    </row>
    <row r="10" spans="2:14" x14ac:dyDescent="0.35">
      <c r="B10" s="4"/>
      <c r="C10" s="15"/>
      <c r="F10" s="13"/>
      <c r="G10" s="14"/>
      <c r="H10" s="6"/>
      <c r="J10" s="4"/>
      <c r="K10" s="12">
        <v>45658</v>
      </c>
      <c r="L10" t="s">
        <v>6</v>
      </c>
      <c r="M10" s="28">
        <v>10</v>
      </c>
      <c r="N10" s="6"/>
    </row>
    <row r="11" spans="2:14" x14ac:dyDescent="0.35">
      <c r="B11" s="4"/>
      <c r="C11" s="15"/>
      <c r="F11" s="13"/>
      <c r="G11" s="14"/>
      <c r="H11" s="6"/>
      <c r="J11" s="4"/>
      <c r="K11" s="12">
        <v>46023</v>
      </c>
      <c r="L11" t="s">
        <v>5</v>
      </c>
      <c r="M11" s="28">
        <v>10</v>
      </c>
      <c r="N11" s="6"/>
    </row>
    <row r="12" spans="2:14" x14ac:dyDescent="0.35">
      <c r="B12" s="4"/>
      <c r="C12" s="15"/>
      <c r="F12" s="13"/>
      <c r="G12" s="14"/>
      <c r="H12" s="6"/>
      <c r="J12" s="4"/>
      <c r="K12" s="12">
        <v>46023</v>
      </c>
      <c r="L12" t="s">
        <v>6</v>
      </c>
      <c r="M12" s="28">
        <v>10</v>
      </c>
      <c r="N12" s="6"/>
    </row>
    <row r="13" spans="2:14" x14ac:dyDescent="0.35">
      <c r="B13" s="4"/>
      <c r="C13" s="15"/>
      <c r="F13" s="13"/>
      <c r="G13" s="14"/>
      <c r="H13" s="6"/>
      <c r="J13" s="4"/>
      <c r="K13" s="12">
        <v>46023</v>
      </c>
      <c r="L13" t="s">
        <v>29</v>
      </c>
      <c r="M13" s="28">
        <v>10</v>
      </c>
      <c r="N13" s="6"/>
    </row>
    <row r="14" spans="2:14" x14ac:dyDescent="0.35">
      <c r="B14" s="4"/>
      <c r="C14" s="15"/>
      <c r="F14" s="13"/>
      <c r="G14" s="14"/>
      <c r="H14" s="6"/>
      <c r="J14" s="4"/>
      <c r="K14" s="12"/>
      <c r="M14" s="28"/>
      <c r="N14" s="6"/>
    </row>
    <row r="15" spans="2:14" x14ac:dyDescent="0.35">
      <c r="B15" s="4"/>
      <c r="C15" s="15"/>
      <c r="F15" s="13"/>
      <c r="G15" s="14"/>
      <c r="H15" s="6"/>
      <c r="J15" s="4"/>
      <c r="K15" s="12"/>
      <c r="M15" s="28"/>
      <c r="N15" s="6"/>
    </row>
    <row r="16" spans="2:14" x14ac:dyDescent="0.35">
      <c r="B16" s="4"/>
      <c r="C16" s="15"/>
      <c r="F16" s="13"/>
      <c r="G16" s="14"/>
      <c r="H16" s="6"/>
      <c r="J16" s="4"/>
      <c r="K16" s="12"/>
      <c r="M16" s="28"/>
      <c r="N16" s="6"/>
    </row>
    <row r="17" spans="2:14" x14ac:dyDescent="0.35">
      <c r="B17" s="4"/>
      <c r="C17" s="15"/>
      <c r="F17" s="13"/>
      <c r="G17" s="14"/>
      <c r="H17" s="6"/>
      <c r="J17" s="4"/>
      <c r="K17" s="12"/>
      <c r="M17" s="28"/>
      <c r="N17" s="6"/>
    </row>
    <row r="18" spans="2:14" x14ac:dyDescent="0.35">
      <c r="B18" s="4"/>
      <c r="C18" s="15"/>
      <c r="F18" s="13"/>
      <c r="G18" s="14"/>
      <c r="H18" s="6"/>
      <c r="J18" s="4"/>
      <c r="K18" s="15"/>
      <c r="M18" s="28"/>
      <c r="N18" s="6"/>
    </row>
    <row r="19" spans="2:14" x14ac:dyDescent="0.35">
      <c r="B19" s="4"/>
      <c r="C19" s="15"/>
      <c r="F19" s="13"/>
      <c r="G19" s="14"/>
      <c r="H19" s="6"/>
      <c r="J19" s="4"/>
      <c r="K19" s="15"/>
      <c r="M19" s="28"/>
      <c r="N19" s="6"/>
    </row>
    <row r="20" spans="2:14" x14ac:dyDescent="0.35">
      <c r="B20" s="4"/>
      <c r="C20" s="15"/>
      <c r="F20" s="13"/>
      <c r="G20" s="14"/>
      <c r="H20" s="6"/>
      <c r="J20" s="4"/>
      <c r="K20" s="15"/>
      <c r="M20" s="28"/>
      <c r="N20" s="6"/>
    </row>
    <row r="21" spans="2:14" x14ac:dyDescent="0.35">
      <c r="B21" s="4"/>
      <c r="C21" s="16"/>
      <c r="D21" s="17"/>
      <c r="E21" s="17"/>
      <c r="F21" s="17"/>
      <c r="G21" s="18"/>
      <c r="H21" s="6"/>
      <c r="J21" s="4"/>
      <c r="K21" s="16"/>
      <c r="L21" s="17"/>
      <c r="M21" s="29"/>
      <c r="N21" s="6"/>
    </row>
    <row r="22" spans="2:14" ht="15" thickBot="1" x14ac:dyDescent="0.4">
      <c r="B22" s="8"/>
      <c r="C22" s="9"/>
      <c r="D22" s="9"/>
      <c r="E22" s="9"/>
      <c r="F22" s="9"/>
      <c r="G22" s="9"/>
      <c r="H22" s="10"/>
      <c r="J22" s="8"/>
      <c r="K22" s="9"/>
      <c r="L22" s="9"/>
      <c r="M22" s="9"/>
      <c r="N22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591F1-B123-456A-A8E8-336D0B739239}">
  <dimension ref="A1:C5"/>
  <sheetViews>
    <sheetView workbookViewId="0">
      <selection activeCell="B11" sqref="B11"/>
    </sheetView>
  </sheetViews>
  <sheetFormatPr defaultRowHeight="14.5" x14ac:dyDescent="0.35"/>
  <cols>
    <col min="1" max="1" width="15.453125" bestFit="1" customWidth="1"/>
    <col min="2" max="2" width="80.7265625" bestFit="1" customWidth="1"/>
    <col min="3" max="3" width="10.7265625" bestFit="1" customWidth="1"/>
  </cols>
  <sheetData>
    <row r="1" spans="1:3" x14ac:dyDescent="0.35">
      <c r="A1" t="s">
        <v>22</v>
      </c>
      <c r="B1" t="s">
        <v>23</v>
      </c>
      <c r="C1" t="s">
        <v>40</v>
      </c>
    </row>
    <row r="2" spans="1:3" x14ac:dyDescent="0.35">
      <c r="A2" t="s">
        <v>24</v>
      </c>
      <c r="B2" t="s">
        <v>35</v>
      </c>
    </row>
    <row r="3" spans="1:3" x14ac:dyDescent="0.35">
      <c r="A3" t="s">
        <v>25</v>
      </c>
      <c r="B3" t="s">
        <v>41</v>
      </c>
    </row>
    <row r="4" spans="1:3" x14ac:dyDescent="0.35">
      <c r="A4" t="s">
        <v>26</v>
      </c>
      <c r="B4" t="s">
        <v>42</v>
      </c>
    </row>
    <row r="5" spans="1:3" x14ac:dyDescent="0.35">
      <c r="A5" t="s">
        <v>27</v>
      </c>
      <c r="B5" t="s">
        <v>43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65AE4-A753-4EB1-A1A7-2E488B4CE055}">
  <dimension ref="A1:C5"/>
  <sheetViews>
    <sheetView workbookViewId="0">
      <selection activeCell="B3" sqref="B3"/>
    </sheetView>
  </sheetViews>
  <sheetFormatPr defaultRowHeight="14.5" x14ac:dyDescent="0.35"/>
  <cols>
    <col min="1" max="1" width="15.453125" bestFit="1" customWidth="1"/>
    <col min="2" max="2" width="80.7265625" bestFit="1" customWidth="1"/>
    <col min="3" max="3" width="10.453125" customWidth="1"/>
  </cols>
  <sheetData>
    <row r="1" spans="1:3" x14ac:dyDescent="0.35">
      <c r="A1" t="s">
        <v>22</v>
      </c>
      <c r="B1" t="s">
        <v>23</v>
      </c>
      <c r="C1" t="s">
        <v>40</v>
      </c>
    </row>
    <row r="2" spans="1:3" x14ac:dyDescent="0.35">
      <c r="A2" t="s">
        <v>24</v>
      </c>
      <c r="B2" t="s">
        <v>31</v>
      </c>
    </row>
    <row r="3" spans="1:3" x14ac:dyDescent="0.35">
      <c r="A3" t="s">
        <v>25</v>
      </c>
      <c r="B3" t="s">
        <v>37</v>
      </c>
    </row>
    <row r="4" spans="1:3" x14ac:dyDescent="0.35">
      <c r="A4" t="s">
        <v>26</v>
      </c>
      <c r="B4" t="s">
        <v>38</v>
      </c>
    </row>
    <row r="5" spans="1:3" x14ac:dyDescent="0.35">
      <c r="A5" t="s">
        <v>27</v>
      </c>
      <c r="B5" t="s">
        <v>39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90F62-859C-4450-B439-06D691D8647A}">
  <dimension ref="A1:C5"/>
  <sheetViews>
    <sheetView workbookViewId="0">
      <selection activeCell="A2" sqref="A2:XFD2"/>
    </sheetView>
  </sheetViews>
  <sheetFormatPr defaultRowHeight="14.5" x14ac:dyDescent="0.35"/>
  <cols>
    <col min="1" max="1" width="15.453125" bestFit="1" customWidth="1"/>
    <col min="2" max="2" width="80.7265625" bestFit="1" customWidth="1"/>
    <col min="3" max="3" width="10.7265625" bestFit="1" customWidth="1"/>
  </cols>
  <sheetData>
    <row r="1" spans="1:3" x14ac:dyDescent="0.35">
      <c r="A1" t="s">
        <v>22</v>
      </c>
      <c r="B1" t="s">
        <v>23</v>
      </c>
      <c r="C1" t="s">
        <v>40</v>
      </c>
    </row>
    <row r="2" spans="1:3" x14ac:dyDescent="0.35">
      <c r="A2" t="s">
        <v>24</v>
      </c>
      <c r="B2" t="s">
        <v>36</v>
      </c>
    </row>
    <row r="3" spans="1:3" x14ac:dyDescent="0.35">
      <c r="A3" t="s">
        <v>25</v>
      </c>
      <c r="B3" t="s">
        <v>44</v>
      </c>
    </row>
    <row r="4" spans="1:3" x14ac:dyDescent="0.35">
      <c r="A4" t="s">
        <v>26</v>
      </c>
      <c r="B4" t="s">
        <v>45</v>
      </c>
    </row>
    <row r="5" spans="1:3" x14ac:dyDescent="0.35">
      <c r="A5" t="s">
        <v>27</v>
      </c>
      <c r="B5" t="s">
        <v>43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22CFCA-841C-4F54-B7E0-E13EE5E2A6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Portfolio</vt:lpstr>
      <vt:lpstr>Transaktionen</vt:lpstr>
      <vt:lpstr>Realtime-Kurse A0NCFR</vt:lpstr>
      <vt:lpstr>Realtime-Kurse DBX0TR</vt:lpstr>
      <vt:lpstr>Realtime-Kurse ETF903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Wortmann</dc:creator>
  <cp:lastModifiedBy>Sarah Wortmann</cp:lastModifiedBy>
  <dcterms:created xsi:type="dcterms:W3CDTF">2025-02-09T13:15:39Z</dcterms:created>
  <dcterms:modified xsi:type="dcterms:W3CDTF">2026-04-18T12:16:09Z</dcterms:modified>
</cp:coreProperties>
</file>