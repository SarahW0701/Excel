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rah\Documents\05. Programmieren (29.05.2025)\02. Excel\"/>
    </mc:Choice>
  </mc:AlternateContent>
  <xr:revisionPtr revIDLastSave="0" documentId="13_ncr:1_{280A00E7-37A9-4E38-889A-D25B6E6E4C60}" xr6:coauthVersionLast="47" xr6:coauthVersionMax="47" xr10:uidLastSave="{00000000-0000-0000-0000-000000000000}"/>
  <bookViews>
    <workbookView xWindow="-110" yWindow="-110" windowWidth="19420" windowHeight="10300" xr2:uid="{DDAC6941-ED84-4F91-8511-1E6ABEDB8601}"/>
  </bookViews>
  <sheets>
    <sheet name="Eingabe" sheetId="4" r:id="rId1"/>
    <sheet name="Übersicht" sheetId="7" r:id="rId2"/>
    <sheet name="Budget 2026" sheetId="22" r:id="rId3"/>
    <sheet name="Ausgaben 2026" sheetId="25" r:id="rId4"/>
    <sheet name="Budget 2025" sheetId="12" r:id="rId5"/>
    <sheet name="Ausgaben 2025" sheetId="19" r:id="rId6"/>
    <sheet name="Budget 2024" sheetId="8" r:id="rId7"/>
    <sheet name="Ausgaben 2024" sheetId="1" r:id="rId8"/>
    <sheet name="Budget 2023" sheetId="14" r:id="rId9"/>
    <sheet name="Ausgaben 2023" sheetId="18" r:id="rId10"/>
    <sheet name="Einzelbeträge" sheetId="6" r:id="rId11"/>
    <sheet name="Budget 2027" sheetId="23" r:id="rId12"/>
    <sheet name="Ausgaben 2027" sheetId="26" r:id="rId13"/>
    <sheet name="Budget 2028" sheetId="24" r:id="rId14"/>
    <sheet name="Ausgaben 2028" sheetId="27" r:id="rId15"/>
    <sheet name="Budget Vorlage" sheetId="13" r:id="rId16"/>
    <sheet name="Ausgaben Vorlage" sheetId="20" r:id="rId17"/>
  </sheets>
  <definedNames>
    <definedName name="_xleta.COUN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20" l="1"/>
  <c r="R7" i="27"/>
  <c r="R7" i="26"/>
  <c r="R7" i="25"/>
  <c r="R7" i="19"/>
  <c r="R7" i="1"/>
  <c r="R7" i="18"/>
  <c r="R6" i="18"/>
  <c r="C8" i="27"/>
  <c r="L8" i="27" s="1"/>
  <c r="N7" i="27"/>
  <c r="M7" i="27"/>
  <c r="L7" i="27"/>
  <c r="K7" i="27"/>
  <c r="J7" i="27"/>
  <c r="I7" i="27"/>
  <c r="H7" i="27"/>
  <c r="G7" i="27"/>
  <c r="F7" i="27"/>
  <c r="E7" i="27"/>
  <c r="D7" i="27"/>
  <c r="R6" i="27"/>
  <c r="C8" i="26"/>
  <c r="C9" i="26" s="1"/>
  <c r="N7" i="26"/>
  <c r="M7" i="26"/>
  <c r="L7" i="26"/>
  <c r="K7" i="26"/>
  <c r="J7" i="26"/>
  <c r="I7" i="26"/>
  <c r="H7" i="26"/>
  <c r="G7" i="26"/>
  <c r="F7" i="26"/>
  <c r="E7" i="26"/>
  <c r="D7" i="26"/>
  <c r="R6" i="26"/>
  <c r="C8" i="25"/>
  <c r="R8" i="25" s="1"/>
  <c r="N7" i="25"/>
  <c r="M7" i="25"/>
  <c r="L7" i="25"/>
  <c r="K7" i="25"/>
  <c r="J7" i="25"/>
  <c r="I7" i="25"/>
  <c r="H7" i="25"/>
  <c r="G7" i="25"/>
  <c r="F7" i="25"/>
  <c r="E7" i="25"/>
  <c r="D7" i="25"/>
  <c r="R6" i="25"/>
  <c r="R8" i="27" l="1"/>
  <c r="R9" i="26"/>
  <c r="R8" i="26"/>
  <c r="M8" i="27"/>
  <c r="C9" i="27"/>
  <c r="E8" i="27"/>
  <c r="N8" i="26"/>
  <c r="K8" i="26"/>
  <c r="I8" i="26"/>
  <c r="J8" i="26"/>
  <c r="M8" i="26"/>
  <c r="N8" i="27"/>
  <c r="K8" i="27"/>
  <c r="H8" i="27"/>
  <c r="J8" i="27"/>
  <c r="F8" i="27"/>
  <c r="I8" i="27"/>
  <c r="G8" i="27"/>
  <c r="D8" i="27"/>
  <c r="M9" i="26"/>
  <c r="K9" i="26"/>
  <c r="I9" i="26"/>
  <c r="H9" i="26"/>
  <c r="G9" i="26"/>
  <c r="C10" i="26"/>
  <c r="N9" i="26"/>
  <c r="L9" i="26"/>
  <c r="J9" i="26"/>
  <c r="F9" i="26"/>
  <c r="E9" i="26"/>
  <c r="D9" i="26"/>
  <c r="L8" i="26"/>
  <c r="H8" i="26"/>
  <c r="G8" i="26"/>
  <c r="F8" i="26"/>
  <c r="D8" i="26"/>
  <c r="E8" i="26"/>
  <c r="J8" i="25"/>
  <c r="G8" i="25"/>
  <c r="F8" i="25"/>
  <c r="C9" i="25"/>
  <c r="D8" i="25"/>
  <c r="E8" i="25"/>
  <c r="H8" i="25"/>
  <c r="I8" i="25"/>
  <c r="K8" i="25"/>
  <c r="L8" i="25"/>
  <c r="M8" i="25"/>
  <c r="N8" i="25"/>
  <c r="D8" i="24"/>
  <c r="AC68" i="24"/>
  <c r="X68" i="24"/>
  <c r="S68" i="24"/>
  <c r="N68" i="24"/>
  <c r="I68" i="24"/>
  <c r="D68" i="24"/>
  <c r="AC39" i="24"/>
  <c r="X39" i="24"/>
  <c r="S39" i="24"/>
  <c r="N39" i="24"/>
  <c r="I39" i="24"/>
  <c r="D39" i="24"/>
  <c r="D15" i="24"/>
  <c r="D14" i="24"/>
  <c r="D13" i="24"/>
  <c r="D9" i="24"/>
  <c r="D7" i="24"/>
  <c r="D6" i="24"/>
  <c r="AC68" i="23"/>
  <c r="X68" i="23"/>
  <c r="S68" i="23"/>
  <c r="N68" i="23"/>
  <c r="I68" i="23"/>
  <c r="D68" i="23"/>
  <c r="AC39" i="23"/>
  <c r="X39" i="23"/>
  <c r="S39" i="23"/>
  <c r="N39" i="23"/>
  <c r="I39" i="23"/>
  <c r="D39" i="23"/>
  <c r="D15" i="23"/>
  <c r="D14" i="23"/>
  <c r="D13" i="23"/>
  <c r="D9" i="23"/>
  <c r="D8" i="23"/>
  <c r="D7" i="23"/>
  <c r="D6" i="23"/>
  <c r="AC68" i="22"/>
  <c r="X68" i="22"/>
  <c r="S68" i="22"/>
  <c r="N68" i="22"/>
  <c r="I68" i="22"/>
  <c r="D68" i="22"/>
  <c r="AC39" i="22"/>
  <c r="X39" i="22"/>
  <c r="S39" i="22"/>
  <c r="N39" i="22"/>
  <c r="I39" i="22"/>
  <c r="D39" i="22"/>
  <c r="D15" i="22"/>
  <c r="D14" i="22"/>
  <c r="D13" i="22"/>
  <c r="D9" i="22"/>
  <c r="D8" i="22"/>
  <c r="D7" i="22"/>
  <c r="D6" i="22"/>
  <c r="AA12" i="4"/>
  <c r="AE6" i="4"/>
  <c r="N68" i="8"/>
  <c r="AN6" i="4"/>
  <c r="AK6" i="4"/>
  <c r="E9" i="27" l="1"/>
  <c r="D9" i="27"/>
  <c r="C10" i="27"/>
  <c r="M10" i="27" s="1"/>
  <c r="I9" i="27"/>
  <c r="M9" i="27"/>
  <c r="K9" i="27"/>
  <c r="R9" i="27"/>
  <c r="N9" i="27"/>
  <c r="R10" i="26"/>
  <c r="R9" i="25"/>
  <c r="D10" i="23"/>
  <c r="D10" i="22"/>
  <c r="L9" i="27"/>
  <c r="J9" i="27"/>
  <c r="H9" i="27"/>
  <c r="D10" i="24"/>
  <c r="G9" i="27"/>
  <c r="F9" i="27"/>
  <c r="J10" i="26"/>
  <c r="K10" i="26"/>
  <c r="L10" i="26"/>
  <c r="I10" i="26"/>
  <c r="H10" i="26"/>
  <c r="C11" i="26"/>
  <c r="F10" i="26"/>
  <c r="E10" i="26"/>
  <c r="D10" i="26"/>
  <c r="N10" i="26"/>
  <c r="M10" i="26"/>
  <c r="G10" i="26"/>
  <c r="G9" i="25"/>
  <c r="F9" i="25"/>
  <c r="E9" i="25"/>
  <c r="H9" i="25"/>
  <c r="D9" i="25"/>
  <c r="M9" i="25"/>
  <c r="L9" i="25"/>
  <c r="K9" i="25"/>
  <c r="J9" i="25"/>
  <c r="I9" i="25"/>
  <c r="C10" i="25"/>
  <c r="N9" i="25"/>
  <c r="AH6" i="4"/>
  <c r="I10" i="27" l="1"/>
  <c r="E10" i="27"/>
  <c r="F10" i="27"/>
  <c r="G10" i="27"/>
  <c r="J10" i="27"/>
  <c r="D10" i="27"/>
  <c r="R10" i="27"/>
  <c r="C11" i="27"/>
  <c r="M11" i="27" s="1"/>
  <c r="N10" i="27"/>
  <c r="L10" i="27"/>
  <c r="H10" i="27"/>
  <c r="K10" i="27"/>
  <c r="R11" i="26"/>
  <c r="R10" i="25"/>
  <c r="G11" i="26"/>
  <c r="J11" i="26"/>
  <c r="M11" i="26"/>
  <c r="L11" i="26"/>
  <c r="K11" i="26"/>
  <c r="N11" i="26"/>
  <c r="I11" i="26"/>
  <c r="H11" i="26"/>
  <c r="F11" i="26"/>
  <c r="E11" i="26"/>
  <c r="D11" i="26"/>
  <c r="C12" i="26"/>
  <c r="D10" i="25"/>
  <c r="F10" i="25"/>
  <c r="E10" i="25"/>
  <c r="K10" i="25"/>
  <c r="J10" i="25"/>
  <c r="I10" i="25"/>
  <c r="H10" i="25"/>
  <c r="G10" i="25"/>
  <c r="N10" i="25"/>
  <c r="C11" i="25"/>
  <c r="M10" i="25"/>
  <c r="L10" i="25"/>
  <c r="D8" i="13"/>
  <c r="D8" i="12"/>
  <c r="D8" i="8"/>
  <c r="D8" i="14"/>
  <c r="D7" i="14"/>
  <c r="W6" i="4"/>
  <c r="U6" i="4"/>
  <c r="S6" i="4"/>
  <c r="Q6" i="4"/>
  <c r="C8" i="20"/>
  <c r="N7" i="20"/>
  <c r="M7" i="20"/>
  <c r="L7" i="20"/>
  <c r="K7" i="20"/>
  <c r="J7" i="20"/>
  <c r="I7" i="20"/>
  <c r="H7" i="20"/>
  <c r="G7" i="20"/>
  <c r="F7" i="20"/>
  <c r="E7" i="20"/>
  <c r="D7" i="20"/>
  <c r="R6" i="20"/>
  <c r="C8" i="19"/>
  <c r="N7" i="19"/>
  <c r="M7" i="19"/>
  <c r="L7" i="19"/>
  <c r="K7" i="19"/>
  <c r="J7" i="19"/>
  <c r="I7" i="19"/>
  <c r="H7" i="19"/>
  <c r="G7" i="19"/>
  <c r="F7" i="19"/>
  <c r="E7" i="19"/>
  <c r="D7" i="19"/>
  <c r="R6" i="19"/>
  <c r="C8" i="18"/>
  <c r="N7" i="18"/>
  <c r="M7" i="18"/>
  <c r="L7" i="18"/>
  <c r="K7" i="18"/>
  <c r="J7" i="18"/>
  <c r="I7" i="18"/>
  <c r="H7" i="18"/>
  <c r="G7" i="18"/>
  <c r="F7" i="18"/>
  <c r="E7" i="18"/>
  <c r="D7" i="18"/>
  <c r="C8" i="1"/>
  <c r="R6" i="1"/>
  <c r="N84" i="14"/>
  <c r="I84" i="14"/>
  <c r="D84" i="14"/>
  <c r="AC68" i="14"/>
  <c r="X68" i="14"/>
  <c r="S68" i="14"/>
  <c r="N68" i="14"/>
  <c r="I68" i="14"/>
  <c r="D68" i="14"/>
  <c r="AC55" i="14"/>
  <c r="X55" i="14"/>
  <c r="S55" i="14"/>
  <c r="N55" i="14"/>
  <c r="I55" i="14"/>
  <c r="D55" i="14"/>
  <c r="AC39" i="14"/>
  <c r="X39" i="14"/>
  <c r="S39" i="14"/>
  <c r="N39" i="14"/>
  <c r="I39" i="14"/>
  <c r="D39" i="14"/>
  <c r="D15" i="14"/>
  <c r="D14" i="14"/>
  <c r="D13" i="14"/>
  <c r="D9" i="14"/>
  <c r="D6" i="14"/>
  <c r="AC84" i="13"/>
  <c r="X84" i="13"/>
  <c r="S84" i="13"/>
  <c r="N84" i="13"/>
  <c r="I84" i="13"/>
  <c r="D84" i="13"/>
  <c r="AC68" i="13"/>
  <c r="X68" i="13"/>
  <c r="S68" i="13"/>
  <c r="N68" i="13"/>
  <c r="I68" i="13"/>
  <c r="D68" i="13"/>
  <c r="AC55" i="13"/>
  <c r="X55" i="13"/>
  <c r="S55" i="13"/>
  <c r="N55" i="13"/>
  <c r="I55" i="13"/>
  <c r="D55" i="13"/>
  <c r="AC39" i="13"/>
  <c r="X39" i="13"/>
  <c r="S39" i="13"/>
  <c r="N39" i="13"/>
  <c r="I39" i="13"/>
  <c r="D39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9" i="13"/>
  <c r="D7" i="13"/>
  <c r="D6" i="13"/>
  <c r="AC68" i="12"/>
  <c r="X68" i="12"/>
  <c r="S68" i="12"/>
  <c r="N68" i="12"/>
  <c r="I68" i="12"/>
  <c r="D68" i="12"/>
  <c r="AC39" i="12"/>
  <c r="X39" i="12"/>
  <c r="S39" i="12"/>
  <c r="N39" i="12"/>
  <c r="I39" i="12"/>
  <c r="D39" i="12"/>
  <c r="D15" i="12"/>
  <c r="D14" i="12"/>
  <c r="D13" i="12"/>
  <c r="D9" i="12"/>
  <c r="D7" i="12"/>
  <c r="D6" i="12"/>
  <c r="AC68" i="8"/>
  <c r="X68" i="8"/>
  <c r="S68" i="8"/>
  <c r="I68" i="8"/>
  <c r="D68" i="8"/>
  <c r="AC39" i="8"/>
  <c r="X39" i="8"/>
  <c r="S39" i="8"/>
  <c r="N39" i="8"/>
  <c r="I39" i="8"/>
  <c r="D39" i="8"/>
  <c r="D14" i="8"/>
  <c r="D15" i="8"/>
  <c r="D13" i="8"/>
  <c r="D7" i="8"/>
  <c r="D9" i="8"/>
  <c r="D6" i="8"/>
  <c r="C35" i="7"/>
  <c r="H35" i="7" s="1"/>
  <c r="C34" i="7"/>
  <c r="K34" i="7" s="1"/>
  <c r="C33" i="7"/>
  <c r="F33" i="7" s="1"/>
  <c r="C32" i="7"/>
  <c r="D32" i="7" s="1"/>
  <c r="C31" i="7"/>
  <c r="G31" i="7" s="1"/>
  <c r="C30" i="7"/>
  <c r="G30" i="7" s="1"/>
  <c r="C29" i="7"/>
  <c r="E29" i="7" s="1"/>
  <c r="C28" i="7"/>
  <c r="E28" i="7" s="1"/>
  <c r="C27" i="7"/>
  <c r="H27" i="7" s="1"/>
  <c r="C26" i="7"/>
  <c r="K26" i="7" s="1"/>
  <c r="C25" i="7"/>
  <c r="F25" i="7" s="1"/>
  <c r="C24" i="7"/>
  <c r="D24" i="7" s="1"/>
  <c r="C23" i="7"/>
  <c r="D23" i="7" s="1"/>
  <c r="C22" i="7"/>
  <c r="G22" i="7" s="1"/>
  <c r="C21" i="7"/>
  <c r="J21" i="7" s="1"/>
  <c r="C20" i="7"/>
  <c r="E20" i="7" s="1"/>
  <c r="C19" i="7"/>
  <c r="H19" i="7" s="1"/>
  <c r="C18" i="7"/>
  <c r="K18" i="7" s="1"/>
  <c r="C17" i="7"/>
  <c r="F17" i="7" s="1"/>
  <c r="C16" i="7"/>
  <c r="I16" i="7" s="1"/>
  <c r="C15" i="7"/>
  <c r="D15" i="7" s="1"/>
  <c r="C14" i="7"/>
  <c r="G14" i="7" s="1"/>
  <c r="C13" i="7"/>
  <c r="J13" i="7" s="1"/>
  <c r="C12" i="7"/>
  <c r="E12" i="7" s="1"/>
  <c r="C11" i="7"/>
  <c r="H11" i="7" s="1"/>
  <c r="C10" i="7"/>
  <c r="K10" i="7" s="1"/>
  <c r="C9" i="7"/>
  <c r="F9" i="7" s="1"/>
  <c r="C8" i="7"/>
  <c r="I8" i="7" s="1"/>
  <c r="C7" i="7"/>
  <c r="D7" i="7" s="1"/>
  <c r="C6" i="7"/>
  <c r="E11" i="27" l="1"/>
  <c r="H11" i="27"/>
  <c r="D11" i="27"/>
  <c r="K11" i="27"/>
  <c r="C12" i="27"/>
  <c r="R12" i="27" s="1"/>
  <c r="J11" i="27"/>
  <c r="I8" i="20"/>
  <c r="R8" i="20"/>
  <c r="R11" i="27"/>
  <c r="L11" i="27"/>
  <c r="N11" i="27"/>
  <c r="G11" i="27"/>
  <c r="I11" i="27"/>
  <c r="F11" i="27"/>
  <c r="R12" i="26"/>
  <c r="R11" i="25"/>
  <c r="R8" i="19"/>
  <c r="R8" i="1"/>
  <c r="I8" i="18"/>
  <c r="R8" i="18"/>
  <c r="N8" i="19"/>
  <c r="G8" i="20"/>
  <c r="H8" i="20"/>
  <c r="D8" i="20"/>
  <c r="E8" i="20"/>
  <c r="E12" i="27"/>
  <c r="N12" i="27"/>
  <c r="L12" i="27"/>
  <c r="C13" i="27"/>
  <c r="M12" i="27"/>
  <c r="F12" i="27"/>
  <c r="D12" i="27"/>
  <c r="D12" i="26"/>
  <c r="I12" i="26"/>
  <c r="N12" i="26"/>
  <c r="M12" i="26"/>
  <c r="L12" i="26"/>
  <c r="C13" i="26"/>
  <c r="K12" i="26"/>
  <c r="J12" i="26"/>
  <c r="H12" i="26"/>
  <c r="G12" i="26"/>
  <c r="F12" i="26"/>
  <c r="E12" i="26"/>
  <c r="E11" i="25"/>
  <c r="C12" i="25"/>
  <c r="D11" i="25"/>
  <c r="N11" i="25"/>
  <c r="M11" i="25"/>
  <c r="L11" i="25"/>
  <c r="K11" i="25"/>
  <c r="J11" i="25"/>
  <c r="I11" i="25"/>
  <c r="H11" i="25"/>
  <c r="G11" i="25"/>
  <c r="F11" i="25"/>
  <c r="X57" i="13"/>
  <c r="D57" i="13"/>
  <c r="N86" i="14"/>
  <c r="S86" i="13"/>
  <c r="L8" i="20"/>
  <c r="D86" i="14"/>
  <c r="M8" i="20"/>
  <c r="N57" i="13"/>
  <c r="F8" i="19"/>
  <c r="AC86" i="13"/>
  <c r="AC57" i="14"/>
  <c r="G8" i="19"/>
  <c r="C9" i="19"/>
  <c r="H9" i="19" s="1"/>
  <c r="F6" i="7"/>
  <c r="E6" i="7"/>
  <c r="AG6" i="7"/>
  <c r="D10" i="8"/>
  <c r="S57" i="13"/>
  <c r="AC57" i="13"/>
  <c r="D86" i="13"/>
  <c r="I86" i="13"/>
  <c r="D10" i="13"/>
  <c r="N86" i="13"/>
  <c r="X86" i="13"/>
  <c r="I57" i="13"/>
  <c r="D10" i="12"/>
  <c r="I57" i="14"/>
  <c r="D57" i="14"/>
  <c r="N57" i="14"/>
  <c r="I86" i="14"/>
  <c r="D26" i="13"/>
  <c r="F8" i="20"/>
  <c r="N8" i="20"/>
  <c r="C9" i="20"/>
  <c r="J8" i="20"/>
  <c r="K8" i="20"/>
  <c r="D8" i="19"/>
  <c r="L8" i="19"/>
  <c r="E8" i="19"/>
  <c r="M8" i="19"/>
  <c r="H8" i="19"/>
  <c r="I8" i="19"/>
  <c r="J8" i="19"/>
  <c r="K8" i="19"/>
  <c r="J8" i="18"/>
  <c r="K8" i="18"/>
  <c r="D8" i="18"/>
  <c r="L8" i="18"/>
  <c r="E8" i="18"/>
  <c r="M8" i="18"/>
  <c r="F8" i="18"/>
  <c r="N8" i="18"/>
  <c r="C9" i="18"/>
  <c r="G8" i="18"/>
  <c r="H8" i="18"/>
  <c r="C9" i="1"/>
  <c r="C10" i="1" s="1"/>
  <c r="C11" i="1" s="1"/>
  <c r="C12" i="1" s="1"/>
  <c r="R6" i="7"/>
  <c r="R15" i="7"/>
  <c r="R14" i="7"/>
  <c r="R13" i="7"/>
  <c r="R12" i="7"/>
  <c r="R11" i="7"/>
  <c r="R10" i="7"/>
  <c r="R9" i="7"/>
  <c r="R8" i="7"/>
  <c r="R7" i="7"/>
  <c r="S57" i="14"/>
  <c r="X57" i="14"/>
  <c r="D10" i="14"/>
  <c r="AG7" i="7"/>
  <c r="AG9" i="7"/>
  <c r="AG8" i="7"/>
  <c r="M33" i="7"/>
  <c r="J32" i="7"/>
  <c r="G33" i="7"/>
  <c r="F32" i="7"/>
  <c r="N30" i="7"/>
  <c r="J29" i="7"/>
  <c r="I29" i="7"/>
  <c r="G35" i="7"/>
  <c r="D29" i="7"/>
  <c r="J34" i="7"/>
  <c r="H32" i="7"/>
  <c r="E31" i="7"/>
  <c r="G29" i="7"/>
  <c r="J24" i="7"/>
  <c r="G19" i="7"/>
  <c r="I13" i="7"/>
  <c r="D31" i="7"/>
  <c r="I24" i="7"/>
  <c r="J18" i="7"/>
  <c r="G11" i="7"/>
  <c r="N31" i="7"/>
  <c r="G27" i="7"/>
  <c r="H24" i="7"/>
  <c r="M17" i="7"/>
  <c r="J10" i="7"/>
  <c r="M35" i="7"/>
  <c r="E33" i="7"/>
  <c r="M31" i="7"/>
  <c r="F30" i="7"/>
  <c r="J26" i="7"/>
  <c r="F24" i="7"/>
  <c r="E17" i="7"/>
  <c r="M9" i="7"/>
  <c r="J35" i="7"/>
  <c r="N32" i="7"/>
  <c r="L31" i="7"/>
  <c r="L29" i="7"/>
  <c r="M25" i="7"/>
  <c r="K23" i="7"/>
  <c r="H16" i="7"/>
  <c r="E9" i="7"/>
  <c r="I35" i="7"/>
  <c r="K32" i="7"/>
  <c r="K31" i="7"/>
  <c r="K29" i="7"/>
  <c r="E25" i="7"/>
  <c r="N22" i="7"/>
  <c r="K15" i="7"/>
  <c r="H8" i="7"/>
  <c r="I31" i="7"/>
  <c r="N24" i="7"/>
  <c r="F22" i="7"/>
  <c r="N14" i="7"/>
  <c r="K7" i="7"/>
  <c r="E35" i="7"/>
  <c r="I32" i="7"/>
  <c r="F31" i="7"/>
  <c r="K24" i="7"/>
  <c r="I21" i="7"/>
  <c r="F14" i="7"/>
  <c r="N35" i="7"/>
  <c r="L20" i="7"/>
  <c r="D20" i="7"/>
  <c r="L12" i="7"/>
  <c r="D12" i="7"/>
  <c r="F35" i="7"/>
  <c r="I34" i="7"/>
  <c r="L33" i="7"/>
  <c r="D33" i="7"/>
  <c r="G32" i="7"/>
  <c r="J31" i="7"/>
  <c r="M30" i="7"/>
  <c r="E30" i="7"/>
  <c r="H29" i="7"/>
  <c r="K28" i="7"/>
  <c r="N27" i="7"/>
  <c r="F27" i="7"/>
  <c r="I26" i="7"/>
  <c r="L25" i="7"/>
  <c r="D25" i="7"/>
  <c r="G24" i="7"/>
  <c r="J23" i="7"/>
  <c r="M22" i="7"/>
  <c r="E22" i="7"/>
  <c r="H21" i="7"/>
  <c r="K20" i="7"/>
  <c r="N19" i="7"/>
  <c r="F19" i="7"/>
  <c r="I18" i="7"/>
  <c r="L17" i="7"/>
  <c r="D17" i="7"/>
  <c r="G16" i="7"/>
  <c r="J15" i="7"/>
  <c r="M14" i="7"/>
  <c r="E14" i="7"/>
  <c r="H13" i="7"/>
  <c r="K12" i="7"/>
  <c r="N11" i="7"/>
  <c r="F11" i="7"/>
  <c r="I10" i="7"/>
  <c r="L9" i="7"/>
  <c r="D9" i="7"/>
  <c r="G8" i="7"/>
  <c r="J7" i="7"/>
  <c r="L28" i="7"/>
  <c r="H34" i="7"/>
  <c r="K33" i="7"/>
  <c r="L30" i="7"/>
  <c r="D30" i="7"/>
  <c r="J28" i="7"/>
  <c r="M27" i="7"/>
  <c r="E27" i="7"/>
  <c r="H26" i="7"/>
  <c r="K25" i="7"/>
  <c r="I23" i="7"/>
  <c r="L22" i="7"/>
  <c r="D22" i="7"/>
  <c r="G21" i="7"/>
  <c r="J20" i="7"/>
  <c r="M19" i="7"/>
  <c r="E19" i="7"/>
  <c r="H18" i="7"/>
  <c r="K17" i="7"/>
  <c r="N16" i="7"/>
  <c r="F16" i="7"/>
  <c r="I15" i="7"/>
  <c r="L14" i="7"/>
  <c r="D14" i="7"/>
  <c r="G13" i="7"/>
  <c r="J12" i="7"/>
  <c r="M11" i="7"/>
  <c r="E11" i="7"/>
  <c r="H10" i="7"/>
  <c r="K9" i="7"/>
  <c r="N8" i="7"/>
  <c r="F8" i="7"/>
  <c r="I7" i="7"/>
  <c r="M6" i="7"/>
  <c r="L35" i="7"/>
  <c r="D35" i="7"/>
  <c r="G34" i="7"/>
  <c r="J33" i="7"/>
  <c r="M32" i="7"/>
  <c r="E32" i="7"/>
  <c r="H31" i="7"/>
  <c r="K30" i="7"/>
  <c r="N29" i="7"/>
  <c r="F29" i="7"/>
  <c r="I28" i="7"/>
  <c r="L27" i="7"/>
  <c r="D27" i="7"/>
  <c r="G26" i="7"/>
  <c r="J25" i="7"/>
  <c r="M24" i="7"/>
  <c r="E24" i="7"/>
  <c r="H23" i="7"/>
  <c r="K22" i="7"/>
  <c r="N21" i="7"/>
  <c r="F21" i="7"/>
  <c r="I20" i="7"/>
  <c r="L19" i="7"/>
  <c r="D19" i="7"/>
  <c r="G18" i="7"/>
  <c r="J17" i="7"/>
  <c r="M16" i="7"/>
  <c r="E16" i="7"/>
  <c r="H15" i="7"/>
  <c r="K14" i="7"/>
  <c r="N13" i="7"/>
  <c r="F13" i="7"/>
  <c r="I12" i="7"/>
  <c r="L11" i="7"/>
  <c r="D11" i="7"/>
  <c r="G10" i="7"/>
  <c r="J9" i="7"/>
  <c r="M8" i="7"/>
  <c r="E8" i="7"/>
  <c r="H7" i="7"/>
  <c r="D28" i="7"/>
  <c r="K35" i="7"/>
  <c r="N34" i="7"/>
  <c r="F34" i="7"/>
  <c r="I33" i="7"/>
  <c r="L32" i="7"/>
  <c r="J30" i="7"/>
  <c r="M29" i="7"/>
  <c r="H28" i="7"/>
  <c r="K27" i="7"/>
  <c r="N26" i="7"/>
  <c r="F26" i="7"/>
  <c r="I25" i="7"/>
  <c r="L24" i="7"/>
  <c r="G23" i="7"/>
  <c r="J22" i="7"/>
  <c r="M21" i="7"/>
  <c r="E21" i="7"/>
  <c r="H20" i="7"/>
  <c r="K19" i="7"/>
  <c r="N18" i="7"/>
  <c r="F18" i="7"/>
  <c r="I17" i="7"/>
  <c r="L16" i="7"/>
  <c r="D16" i="7"/>
  <c r="G15" i="7"/>
  <c r="J14" i="7"/>
  <c r="M13" i="7"/>
  <c r="E13" i="7"/>
  <c r="H12" i="7"/>
  <c r="K11" i="7"/>
  <c r="N10" i="7"/>
  <c r="F10" i="7"/>
  <c r="I9" i="7"/>
  <c r="L8" i="7"/>
  <c r="D8" i="7"/>
  <c r="G7" i="7"/>
  <c r="M34" i="7"/>
  <c r="E34" i="7"/>
  <c r="H33" i="7"/>
  <c r="I30" i="7"/>
  <c r="G28" i="7"/>
  <c r="J27" i="7"/>
  <c r="M26" i="7"/>
  <c r="E26" i="7"/>
  <c r="H25" i="7"/>
  <c r="N23" i="7"/>
  <c r="F23" i="7"/>
  <c r="I22" i="7"/>
  <c r="L21" i="7"/>
  <c r="D21" i="7"/>
  <c r="G20" i="7"/>
  <c r="J19" i="7"/>
  <c r="M18" i="7"/>
  <c r="E18" i="7"/>
  <c r="H17" i="7"/>
  <c r="K16" i="7"/>
  <c r="N15" i="7"/>
  <c r="F15" i="7"/>
  <c r="I14" i="7"/>
  <c r="L13" i="7"/>
  <c r="D13" i="7"/>
  <c r="G12" i="7"/>
  <c r="J11" i="7"/>
  <c r="M10" i="7"/>
  <c r="E10" i="7"/>
  <c r="H9" i="7"/>
  <c r="K8" i="7"/>
  <c r="N7" i="7"/>
  <c r="F7" i="7"/>
  <c r="L34" i="7"/>
  <c r="D34" i="7"/>
  <c r="H30" i="7"/>
  <c r="N28" i="7"/>
  <c r="F28" i="7"/>
  <c r="I27" i="7"/>
  <c r="L26" i="7"/>
  <c r="D26" i="7"/>
  <c r="G25" i="7"/>
  <c r="M23" i="7"/>
  <c r="E23" i="7"/>
  <c r="H22" i="7"/>
  <c r="K21" i="7"/>
  <c r="N20" i="7"/>
  <c r="F20" i="7"/>
  <c r="I19" i="7"/>
  <c r="L18" i="7"/>
  <c r="D18" i="7"/>
  <c r="G17" i="7"/>
  <c r="J16" i="7"/>
  <c r="M15" i="7"/>
  <c r="E15" i="7"/>
  <c r="H14" i="7"/>
  <c r="K13" i="7"/>
  <c r="N12" i="7"/>
  <c r="F12" i="7"/>
  <c r="I11" i="7"/>
  <c r="L10" i="7"/>
  <c r="D10" i="7"/>
  <c r="G9" i="7"/>
  <c r="J8" i="7"/>
  <c r="M7" i="7"/>
  <c r="E7" i="7"/>
  <c r="N33" i="7"/>
  <c r="M28" i="7"/>
  <c r="N25" i="7"/>
  <c r="L23" i="7"/>
  <c r="M20" i="7"/>
  <c r="N17" i="7"/>
  <c r="L15" i="7"/>
  <c r="M12" i="7"/>
  <c r="N9" i="7"/>
  <c r="L7" i="7"/>
  <c r="L6" i="7"/>
  <c r="K6" i="7"/>
  <c r="J6" i="7"/>
  <c r="I6" i="7"/>
  <c r="H6" i="7"/>
  <c r="G6" i="7"/>
  <c r="N6" i="7"/>
  <c r="D6" i="7"/>
  <c r="J12" i="27" l="1"/>
  <c r="K12" i="27"/>
  <c r="G12" i="27"/>
  <c r="H12" i="27"/>
  <c r="I12" i="27"/>
  <c r="C13" i="1"/>
  <c r="G13" i="1" s="1"/>
  <c r="D28" i="13"/>
  <c r="R11" i="1"/>
  <c r="R9" i="20"/>
  <c r="R13" i="27"/>
  <c r="R13" i="26"/>
  <c r="R12" i="25"/>
  <c r="R9" i="19"/>
  <c r="R9" i="1"/>
  <c r="R10" i="1"/>
  <c r="R12" i="1"/>
  <c r="R9" i="18"/>
  <c r="C14" i="27"/>
  <c r="D13" i="27"/>
  <c r="N13" i="27"/>
  <c r="M13" i="27"/>
  <c r="L13" i="27"/>
  <c r="K13" i="27"/>
  <c r="J13" i="27"/>
  <c r="I13" i="27"/>
  <c r="H13" i="27"/>
  <c r="G13" i="27"/>
  <c r="F13" i="27"/>
  <c r="E13" i="27"/>
  <c r="H13" i="26"/>
  <c r="N13" i="26"/>
  <c r="M13" i="26"/>
  <c r="J13" i="26"/>
  <c r="I13" i="26"/>
  <c r="G13" i="26"/>
  <c r="F13" i="26"/>
  <c r="E13" i="26"/>
  <c r="D13" i="26"/>
  <c r="C14" i="26"/>
  <c r="L13" i="26"/>
  <c r="K13" i="26"/>
  <c r="N12" i="25"/>
  <c r="C13" i="25"/>
  <c r="D12" i="25"/>
  <c r="M12" i="25"/>
  <c r="L12" i="25"/>
  <c r="K12" i="25"/>
  <c r="J12" i="25"/>
  <c r="I12" i="25"/>
  <c r="H12" i="25"/>
  <c r="G12" i="25"/>
  <c r="F12" i="25"/>
  <c r="E12" i="25"/>
  <c r="N9" i="19"/>
  <c r="F9" i="19"/>
  <c r="K9" i="19"/>
  <c r="M9" i="19"/>
  <c r="E9" i="19"/>
  <c r="D9" i="19"/>
  <c r="J9" i="19"/>
  <c r="G9" i="19"/>
  <c r="L9" i="19"/>
  <c r="I9" i="19"/>
  <c r="C10" i="19"/>
  <c r="I9" i="20"/>
  <c r="H9" i="20"/>
  <c r="D9" i="20"/>
  <c r="G9" i="20"/>
  <c r="L9" i="20"/>
  <c r="C10" i="20"/>
  <c r="N9" i="20"/>
  <c r="F9" i="20"/>
  <c r="M9" i="20"/>
  <c r="E9" i="20"/>
  <c r="K9" i="20"/>
  <c r="J9" i="20"/>
  <c r="M9" i="18"/>
  <c r="E9" i="18"/>
  <c r="F9" i="18"/>
  <c r="L9" i="18"/>
  <c r="D9" i="18"/>
  <c r="K9" i="18"/>
  <c r="N9" i="18"/>
  <c r="J9" i="18"/>
  <c r="I9" i="18"/>
  <c r="H9" i="18"/>
  <c r="G9" i="18"/>
  <c r="C10" i="18"/>
  <c r="E8" i="1"/>
  <c r="F8" i="1"/>
  <c r="G8" i="1"/>
  <c r="H8" i="1"/>
  <c r="I8" i="1"/>
  <c r="J8" i="1"/>
  <c r="K8" i="1"/>
  <c r="L8" i="1"/>
  <c r="M8" i="1"/>
  <c r="N8" i="1"/>
  <c r="E9" i="1"/>
  <c r="F9" i="1"/>
  <c r="G9" i="1"/>
  <c r="H9" i="1"/>
  <c r="I9" i="1"/>
  <c r="J9" i="1"/>
  <c r="K9" i="1"/>
  <c r="L9" i="1"/>
  <c r="M9" i="1"/>
  <c r="N9" i="1"/>
  <c r="E10" i="1"/>
  <c r="F10" i="1"/>
  <c r="G10" i="1"/>
  <c r="H10" i="1"/>
  <c r="I10" i="1"/>
  <c r="J10" i="1"/>
  <c r="K10" i="1"/>
  <c r="L10" i="1"/>
  <c r="M10" i="1"/>
  <c r="N10" i="1"/>
  <c r="E11" i="1"/>
  <c r="F11" i="1"/>
  <c r="G11" i="1"/>
  <c r="H11" i="1"/>
  <c r="I11" i="1"/>
  <c r="J11" i="1"/>
  <c r="K11" i="1"/>
  <c r="L11" i="1"/>
  <c r="M11" i="1"/>
  <c r="N11" i="1"/>
  <c r="E12" i="1"/>
  <c r="F12" i="1"/>
  <c r="G12" i="1"/>
  <c r="H12" i="1"/>
  <c r="I12" i="1"/>
  <c r="J12" i="1"/>
  <c r="K12" i="1"/>
  <c r="L12" i="1"/>
  <c r="M12" i="1"/>
  <c r="N12" i="1"/>
  <c r="N13" i="1"/>
  <c r="F7" i="1"/>
  <c r="G7" i="1"/>
  <c r="H7" i="1"/>
  <c r="I7" i="1"/>
  <c r="J7" i="1"/>
  <c r="K7" i="1"/>
  <c r="L7" i="1"/>
  <c r="M7" i="1"/>
  <c r="N7" i="1"/>
  <c r="E7" i="1"/>
  <c r="D8" i="1"/>
  <c r="D9" i="1"/>
  <c r="D10" i="1"/>
  <c r="D11" i="1"/>
  <c r="D12" i="1"/>
  <c r="D7" i="1"/>
  <c r="L13" i="1" l="1"/>
  <c r="K13" i="1"/>
  <c r="I13" i="1"/>
  <c r="H13" i="1"/>
  <c r="F13" i="1"/>
  <c r="E13" i="1"/>
  <c r="J13" i="1"/>
  <c r="C14" i="1"/>
  <c r="R14" i="1" s="1"/>
  <c r="M13" i="1"/>
  <c r="D13" i="1"/>
  <c r="R13" i="1"/>
  <c r="R10" i="20"/>
  <c r="R14" i="27"/>
  <c r="R14" i="26"/>
  <c r="R13" i="25"/>
  <c r="R10" i="19"/>
  <c r="R10" i="18"/>
  <c r="J10" i="19"/>
  <c r="L14" i="27"/>
  <c r="I14" i="27"/>
  <c r="G14" i="27"/>
  <c r="F14" i="27"/>
  <c r="H14" i="27"/>
  <c r="N14" i="27"/>
  <c r="M14" i="27"/>
  <c r="C15" i="27"/>
  <c r="K14" i="27"/>
  <c r="J14" i="27"/>
  <c r="E14" i="27"/>
  <c r="D14" i="27"/>
  <c r="N14" i="26"/>
  <c r="G14" i="26"/>
  <c r="M14" i="26"/>
  <c r="C15" i="26"/>
  <c r="L14" i="26"/>
  <c r="K14" i="26"/>
  <c r="J14" i="26"/>
  <c r="I14" i="26"/>
  <c r="H14" i="26"/>
  <c r="F14" i="26"/>
  <c r="E14" i="26"/>
  <c r="D14" i="26"/>
  <c r="K13" i="25"/>
  <c r="D13" i="25"/>
  <c r="C14" i="25"/>
  <c r="M13" i="25"/>
  <c r="L13" i="25"/>
  <c r="J13" i="25"/>
  <c r="I13" i="25"/>
  <c r="H13" i="25"/>
  <c r="G13" i="25"/>
  <c r="F13" i="25"/>
  <c r="E13" i="25"/>
  <c r="N13" i="25"/>
  <c r="H10" i="19"/>
  <c r="K10" i="19"/>
  <c r="D10" i="19"/>
  <c r="L10" i="19"/>
  <c r="E10" i="19"/>
  <c r="F10" i="19"/>
  <c r="C11" i="19"/>
  <c r="R11" i="19" s="1"/>
  <c r="G10" i="19"/>
  <c r="M10" i="19"/>
  <c r="N10" i="19"/>
  <c r="I10" i="19"/>
  <c r="C11" i="20"/>
  <c r="N10" i="20"/>
  <c r="F10" i="20"/>
  <c r="M10" i="20"/>
  <c r="E10" i="20"/>
  <c r="L10" i="20"/>
  <c r="D10" i="20"/>
  <c r="I10" i="20"/>
  <c r="K10" i="20"/>
  <c r="J10" i="20"/>
  <c r="H10" i="20"/>
  <c r="G10" i="20"/>
  <c r="N11" i="19"/>
  <c r="J10" i="18"/>
  <c r="K10" i="18"/>
  <c r="I10" i="18"/>
  <c r="H10" i="18"/>
  <c r="G10" i="18"/>
  <c r="C11" i="18"/>
  <c r="N10" i="18"/>
  <c r="F10" i="18"/>
  <c r="M10" i="18"/>
  <c r="E10" i="18"/>
  <c r="L10" i="18"/>
  <c r="D10" i="18"/>
  <c r="C15" i="1" l="1"/>
  <c r="F14" i="1"/>
  <c r="H14" i="1"/>
  <c r="I14" i="1"/>
  <c r="G14" i="1"/>
  <c r="K14" i="1"/>
  <c r="M14" i="1"/>
  <c r="L14" i="1"/>
  <c r="D14" i="1"/>
  <c r="N14" i="1"/>
  <c r="E14" i="1"/>
  <c r="J14" i="1"/>
  <c r="R11" i="20"/>
  <c r="R15" i="27"/>
  <c r="R15" i="26"/>
  <c r="R14" i="25"/>
  <c r="R11" i="18"/>
  <c r="M11" i="19"/>
  <c r="F11" i="19"/>
  <c r="D11" i="19"/>
  <c r="L11" i="19"/>
  <c r="K11" i="19"/>
  <c r="L15" i="27"/>
  <c r="I15" i="27"/>
  <c r="D15" i="27"/>
  <c r="N15" i="27"/>
  <c r="M15" i="27"/>
  <c r="J15" i="27"/>
  <c r="H15" i="27"/>
  <c r="C16" i="27"/>
  <c r="G15" i="27"/>
  <c r="F15" i="27"/>
  <c r="E15" i="27"/>
  <c r="K15" i="27"/>
  <c r="K15" i="26"/>
  <c r="F15" i="26"/>
  <c r="H15" i="26"/>
  <c r="G15" i="26"/>
  <c r="E15" i="26"/>
  <c r="D15" i="26"/>
  <c r="L15" i="26"/>
  <c r="J15" i="26"/>
  <c r="I15" i="26"/>
  <c r="C16" i="26"/>
  <c r="N15" i="26"/>
  <c r="M15" i="26"/>
  <c r="H14" i="25"/>
  <c r="G14" i="25"/>
  <c r="F14" i="25"/>
  <c r="E14" i="25"/>
  <c r="D14" i="25"/>
  <c r="J14" i="25"/>
  <c r="I14" i="25"/>
  <c r="N14" i="25"/>
  <c r="M14" i="25"/>
  <c r="C15" i="25"/>
  <c r="L14" i="25"/>
  <c r="K14" i="25"/>
  <c r="C12" i="19"/>
  <c r="G11" i="19"/>
  <c r="H11" i="19"/>
  <c r="I11" i="19"/>
  <c r="E11" i="19"/>
  <c r="J11" i="19"/>
  <c r="K11" i="20"/>
  <c r="J11" i="20"/>
  <c r="N11" i="20"/>
  <c r="I11" i="20"/>
  <c r="H11" i="20"/>
  <c r="G11" i="20"/>
  <c r="C12" i="20"/>
  <c r="F11" i="20"/>
  <c r="M11" i="20"/>
  <c r="E11" i="20"/>
  <c r="L11" i="20"/>
  <c r="D11" i="20"/>
  <c r="G11" i="18"/>
  <c r="H11" i="18"/>
  <c r="C12" i="18"/>
  <c r="N11" i="18"/>
  <c r="F11" i="18"/>
  <c r="M11" i="18"/>
  <c r="E11" i="18"/>
  <c r="L11" i="18"/>
  <c r="D11" i="18"/>
  <c r="K11" i="18"/>
  <c r="J11" i="18"/>
  <c r="I11" i="18"/>
  <c r="C16" i="1" l="1"/>
  <c r="R16" i="1" s="1"/>
  <c r="I15" i="1"/>
  <c r="L15" i="1"/>
  <c r="N15" i="1"/>
  <c r="M15" i="1"/>
  <c r="E15" i="1"/>
  <c r="H15" i="1"/>
  <c r="K15" i="1"/>
  <c r="D15" i="1"/>
  <c r="F15" i="1"/>
  <c r="G15" i="1"/>
  <c r="J15" i="1"/>
  <c r="R15" i="1"/>
  <c r="R12" i="20"/>
  <c r="R16" i="27"/>
  <c r="R16" i="26"/>
  <c r="R15" i="25"/>
  <c r="R12" i="19"/>
  <c r="R12" i="18"/>
  <c r="G12" i="19"/>
  <c r="D12" i="19"/>
  <c r="I12" i="19"/>
  <c r="N12" i="19"/>
  <c r="M12" i="19"/>
  <c r="F12" i="19"/>
  <c r="C13" i="19"/>
  <c r="H12" i="19"/>
  <c r="K12" i="19"/>
  <c r="L12" i="19"/>
  <c r="E12" i="19"/>
  <c r="J12" i="19"/>
  <c r="I16" i="27"/>
  <c r="C17" i="27"/>
  <c r="F16" i="27"/>
  <c r="E16" i="27"/>
  <c r="G16" i="27"/>
  <c r="D16" i="27"/>
  <c r="M16" i="27"/>
  <c r="L16" i="27"/>
  <c r="K16" i="27"/>
  <c r="J16" i="27"/>
  <c r="H16" i="27"/>
  <c r="N16" i="27"/>
  <c r="H16" i="26"/>
  <c r="E16" i="26"/>
  <c r="C17" i="26"/>
  <c r="R17" i="26" s="1"/>
  <c r="N16" i="26"/>
  <c r="M16" i="26"/>
  <c r="L16" i="26"/>
  <c r="K16" i="26"/>
  <c r="J16" i="26"/>
  <c r="I16" i="26"/>
  <c r="G16" i="26"/>
  <c r="F16" i="26"/>
  <c r="D16" i="26"/>
  <c r="E15" i="25"/>
  <c r="K15" i="25"/>
  <c r="J15" i="25"/>
  <c r="I15" i="25"/>
  <c r="H15" i="25"/>
  <c r="G15" i="25"/>
  <c r="N15" i="25"/>
  <c r="M15" i="25"/>
  <c r="L15" i="25"/>
  <c r="C16" i="25"/>
  <c r="F15" i="25"/>
  <c r="D15" i="25"/>
  <c r="H12" i="20"/>
  <c r="G12" i="20"/>
  <c r="K12" i="20"/>
  <c r="C13" i="20"/>
  <c r="N12" i="20"/>
  <c r="F12" i="20"/>
  <c r="M12" i="20"/>
  <c r="E12" i="20"/>
  <c r="L12" i="20"/>
  <c r="D12" i="20"/>
  <c r="J12" i="20"/>
  <c r="I12" i="20"/>
  <c r="L12" i="18"/>
  <c r="D12" i="18"/>
  <c r="K12" i="18"/>
  <c r="J12" i="18"/>
  <c r="I12" i="18"/>
  <c r="E12" i="18"/>
  <c r="H12" i="18"/>
  <c r="G12" i="18"/>
  <c r="M12" i="18"/>
  <c r="C13" i="18"/>
  <c r="N12" i="18"/>
  <c r="F12" i="18"/>
  <c r="C17" i="1" l="1"/>
  <c r="R17" i="1" s="1"/>
  <c r="D16" i="1"/>
  <c r="E16" i="1"/>
  <c r="L16" i="1"/>
  <c r="M16" i="1"/>
  <c r="N16" i="1"/>
  <c r="F16" i="1"/>
  <c r="G16" i="1"/>
  <c r="H16" i="1"/>
  <c r="I16" i="1"/>
  <c r="J16" i="1"/>
  <c r="K16" i="1"/>
  <c r="R13" i="20"/>
  <c r="R17" i="27"/>
  <c r="R16" i="25"/>
  <c r="R13" i="19"/>
  <c r="R13" i="18"/>
  <c r="J13" i="19"/>
  <c r="H13" i="19"/>
  <c r="N13" i="19"/>
  <c r="M13" i="19"/>
  <c r="E13" i="19"/>
  <c r="I13" i="19"/>
  <c r="F13" i="19"/>
  <c r="C14" i="19"/>
  <c r="D13" i="19"/>
  <c r="G13" i="19"/>
  <c r="K13" i="19"/>
  <c r="L13" i="19"/>
  <c r="C18" i="27"/>
  <c r="R18" i="27" s="1"/>
  <c r="F17" i="27"/>
  <c r="H17" i="27"/>
  <c r="D17" i="27"/>
  <c r="J17" i="27"/>
  <c r="E17" i="27"/>
  <c r="I17" i="27"/>
  <c r="G17" i="27"/>
  <c r="N17" i="27"/>
  <c r="M17" i="27"/>
  <c r="L17" i="27"/>
  <c r="K17" i="27"/>
  <c r="E17" i="26"/>
  <c r="D17" i="26"/>
  <c r="C18" i="26"/>
  <c r="R18" i="26" s="1"/>
  <c r="G17" i="26"/>
  <c r="F17" i="26"/>
  <c r="N17" i="26"/>
  <c r="M17" i="26"/>
  <c r="L17" i="26"/>
  <c r="K17" i="26"/>
  <c r="I17" i="26"/>
  <c r="H17" i="26"/>
  <c r="J17" i="26"/>
  <c r="N16" i="25"/>
  <c r="M16" i="25"/>
  <c r="L16" i="25"/>
  <c r="K16" i="25"/>
  <c r="J16" i="25"/>
  <c r="I16" i="25"/>
  <c r="H16" i="25"/>
  <c r="G16" i="25"/>
  <c r="C17" i="25"/>
  <c r="R17" i="25" s="1"/>
  <c r="F16" i="25"/>
  <c r="E16" i="25"/>
  <c r="D16" i="25"/>
  <c r="L13" i="20"/>
  <c r="I13" i="20"/>
  <c r="E13" i="20"/>
  <c r="C14" i="20"/>
  <c r="N13" i="20"/>
  <c r="D13" i="20"/>
  <c r="H13" i="20"/>
  <c r="M13" i="20"/>
  <c r="K13" i="20"/>
  <c r="J13" i="20"/>
  <c r="G13" i="20"/>
  <c r="F13" i="20"/>
  <c r="I13" i="18"/>
  <c r="H13" i="18"/>
  <c r="G13" i="18"/>
  <c r="J13" i="18"/>
  <c r="C14" i="18"/>
  <c r="N13" i="18"/>
  <c r="F13" i="18"/>
  <c r="M13" i="18"/>
  <c r="E13" i="18"/>
  <c r="L13" i="18"/>
  <c r="D13" i="18"/>
  <c r="K13" i="18"/>
  <c r="C18" i="1" l="1"/>
  <c r="E17" i="1"/>
  <c r="H17" i="1"/>
  <c r="D17" i="1"/>
  <c r="J17" i="1"/>
  <c r="K17" i="1"/>
  <c r="I17" i="1"/>
  <c r="G17" i="1"/>
  <c r="N17" i="1"/>
  <c r="L17" i="1"/>
  <c r="M17" i="1"/>
  <c r="F17" i="1"/>
  <c r="R18" i="1"/>
  <c r="R14" i="20"/>
  <c r="R14" i="19"/>
  <c r="R14" i="18"/>
  <c r="L14" i="19"/>
  <c r="E14" i="19"/>
  <c r="F14" i="19"/>
  <c r="D14" i="19"/>
  <c r="M14" i="19"/>
  <c r="J14" i="19"/>
  <c r="K14" i="19"/>
  <c r="C15" i="19"/>
  <c r="H14" i="19"/>
  <c r="N14" i="19"/>
  <c r="G14" i="19"/>
  <c r="I14" i="19"/>
  <c r="C19" i="27"/>
  <c r="R19" i="27" s="1"/>
  <c r="I18" i="27"/>
  <c r="F18" i="27"/>
  <c r="L18" i="27"/>
  <c r="N18" i="27"/>
  <c r="M18" i="27"/>
  <c r="K18" i="27"/>
  <c r="J18" i="27"/>
  <c r="H18" i="27"/>
  <c r="G18" i="27"/>
  <c r="E18" i="27"/>
  <c r="D18" i="27"/>
  <c r="D18" i="26"/>
  <c r="E18" i="26"/>
  <c r="N18" i="26"/>
  <c r="M18" i="26"/>
  <c r="L18" i="26"/>
  <c r="K18" i="26"/>
  <c r="J18" i="26"/>
  <c r="I18" i="26"/>
  <c r="H18" i="26"/>
  <c r="G18" i="26"/>
  <c r="C19" i="26"/>
  <c r="R19" i="26" s="1"/>
  <c r="F18" i="26"/>
  <c r="C18" i="25"/>
  <c r="R18" i="25" s="1"/>
  <c r="N17" i="25"/>
  <c r="M17" i="25"/>
  <c r="L17" i="25"/>
  <c r="K17" i="25"/>
  <c r="J17" i="25"/>
  <c r="I17" i="25"/>
  <c r="H17" i="25"/>
  <c r="G17" i="25"/>
  <c r="F17" i="25"/>
  <c r="E17" i="25"/>
  <c r="D17" i="25"/>
  <c r="I14" i="20"/>
  <c r="H14" i="20"/>
  <c r="C15" i="20"/>
  <c r="R15" i="20" s="1"/>
  <c r="N14" i="20"/>
  <c r="F14" i="20"/>
  <c r="D14" i="20"/>
  <c r="M14" i="20"/>
  <c r="J14" i="20"/>
  <c r="L14" i="20"/>
  <c r="K14" i="20"/>
  <c r="G14" i="20"/>
  <c r="E14" i="20"/>
  <c r="C15" i="18"/>
  <c r="N14" i="18"/>
  <c r="F14" i="18"/>
  <c r="M14" i="18"/>
  <c r="E14" i="18"/>
  <c r="L14" i="18"/>
  <c r="D14" i="18"/>
  <c r="K14" i="18"/>
  <c r="J14" i="18"/>
  <c r="I14" i="18"/>
  <c r="H14" i="18"/>
  <c r="G14" i="18"/>
  <c r="C19" i="1" l="1"/>
  <c r="K18" i="1"/>
  <c r="N18" i="1"/>
  <c r="D18" i="1"/>
  <c r="G18" i="1"/>
  <c r="E18" i="1"/>
  <c r="F18" i="1"/>
  <c r="H18" i="1"/>
  <c r="I18" i="1"/>
  <c r="J18" i="1"/>
  <c r="L18" i="1"/>
  <c r="M18" i="1"/>
  <c r="D15" i="19"/>
  <c r="R15" i="19"/>
  <c r="R15" i="18"/>
  <c r="L15" i="19"/>
  <c r="E15" i="19"/>
  <c r="F15" i="19"/>
  <c r="M15" i="19"/>
  <c r="I15" i="19"/>
  <c r="N15" i="19"/>
  <c r="C16" i="19"/>
  <c r="R16" i="19" s="1"/>
  <c r="H15" i="19"/>
  <c r="G15" i="19"/>
  <c r="K15" i="19"/>
  <c r="J15" i="19"/>
  <c r="C20" i="27"/>
  <c r="R20" i="27" s="1"/>
  <c r="K19" i="27"/>
  <c r="H19" i="27"/>
  <c r="M19" i="27"/>
  <c r="I19" i="27"/>
  <c r="L19" i="27"/>
  <c r="J19" i="27"/>
  <c r="E19" i="27"/>
  <c r="D19" i="27"/>
  <c r="N19" i="27"/>
  <c r="G19" i="27"/>
  <c r="F19" i="27"/>
  <c r="J19" i="26"/>
  <c r="N19" i="26"/>
  <c r="L19" i="26"/>
  <c r="K19" i="26"/>
  <c r="I19" i="26"/>
  <c r="H19" i="26"/>
  <c r="G19" i="26"/>
  <c r="F19" i="26"/>
  <c r="C20" i="26"/>
  <c r="R20" i="26" s="1"/>
  <c r="E19" i="26"/>
  <c r="D19" i="26"/>
  <c r="M19" i="26"/>
  <c r="L18" i="25"/>
  <c r="D18" i="25"/>
  <c r="I18" i="25"/>
  <c r="H18" i="25"/>
  <c r="G18" i="25"/>
  <c r="F18" i="25"/>
  <c r="E18" i="25"/>
  <c r="C19" i="25"/>
  <c r="R19" i="25" s="1"/>
  <c r="N18" i="25"/>
  <c r="M18" i="25"/>
  <c r="K18" i="25"/>
  <c r="J18" i="25"/>
  <c r="C16" i="20"/>
  <c r="R16" i="20" s="1"/>
  <c r="N15" i="20"/>
  <c r="F15" i="20"/>
  <c r="M15" i="20"/>
  <c r="E15" i="20"/>
  <c r="K15" i="20"/>
  <c r="H15" i="20"/>
  <c r="G15" i="20"/>
  <c r="D15" i="20"/>
  <c r="L15" i="20"/>
  <c r="J15" i="20"/>
  <c r="I15" i="20"/>
  <c r="K15" i="18"/>
  <c r="J15" i="18"/>
  <c r="I15" i="18"/>
  <c r="D15" i="18"/>
  <c r="H15" i="18"/>
  <c r="G15" i="18"/>
  <c r="C16" i="18"/>
  <c r="N15" i="18"/>
  <c r="F15" i="18"/>
  <c r="L15" i="18"/>
  <c r="M15" i="18"/>
  <c r="E15" i="18"/>
  <c r="C20" i="1" l="1"/>
  <c r="R20" i="1" s="1"/>
  <c r="F19" i="1"/>
  <c r="G19" i="1"/>
  <c r="E19" i="1"/>
  <c r="D19" i="1"/>
  <c r="H19" i="1"/>
  <c r="J19" i="1"/>
  <c r="L19" i="1"/>
  <c r="I19" i="1"/>
  <c r="M19" i="1"/>
  <c r="N19" i="1"/>
  <c r="K19" i="1"/>
  <c r="R19" i="1"/>
  <c r="I16" i="19"/>
  <c r="J16" i="19"/>
  <c r="F16" i="19"/>
  <c r="C17" i="19"/>
  <c r="R17" i="19" s="1"/>
  <c r="K16" i="19"/>
  <c r="R16" i="18"/>
  <c r="D16" i="19"/>
  <c r="L16" i="19"/>
  <c r="M16" i="19"/>
  <c r="G16" i="19"/>
  <c r="E16" i="19"/>
  <c r="H16" i="19"/>
  <c r="N16" i="19"/>
  <c r="L20" i="27"/>
  <c r="I20" i="27"/>
  <c r="F20" i="27"/>
  <c r="H20" i="27"/>
  <c r="C21" i="27"/>
  <c r="R21" i="27" s="1"/>
  <c r="G20" i="27"/>
  <c r="N20" i="27"/>
  <c r="M20" i="27"/>
  <c r="K20" i="27"/>
  <c r="J20" i="27"/>
  <c r="E20" i="27"/>
  <c r="D20" i="27"/>
  <c r="G20" i="26"/>
  <c r="K20" i="26"/>
  <c r="J20" i="26"/>
  <c r="C21" i="26"/>
  <c r="R21" i="26" s="1"/>
  <c r="I20" i="26"/>
  <c r="M20" i="26"/>
  <c r="L20" i="26"/>
  <c r="H20" i="26"/>
  <c r="F20" i="26"/>
  <c r="E20" i="26"/>
  <c r="D20" i="26"/>
  <c r="N20" i="26"/>
  <c r="D19" i="25"/>
  <c r="I19" i="25"/>
  <c r="H19" i="25"/>
  <c r="N19" i="25"/>
  <c r="L19" i="25"/>
  <c r="K19" i="25"/>
  <c r="J19" i="25"/>
  <c r="G19" i="25"/>
  <c r="F19" i="25"/>
  <c r="E19" i="25"/>
  <c r="C20" i="25"/>
  <c r="R20" i="25" s="1"/>
  <c r="M19" i="25"/>
  <c r="K16" i="20"/>
  <c r="J16" i="20"/>
  <c r="H16" i="20"/>
  <c r="L16" i="20"/>
  <c r="I16" i="20"/>
  <c r="D16" i="20"/>
  <c r="G16" i="20"/>
  <c r="F16" i="20"/>
  <c r="E16" i="20"/>
  <c r="N16" i="20"/>
  <c r="C17" i="20"/>
  <c r="R17" i="20" s="1"/>
  <c r="M16" i="20"/>
  <c r="H16" i="18"/>
  <c r="G16" i="18"/>
  <c r="C17" i="18"/>
  <c r="R17" i="18" s="1"/>
  <c r="N16" i="18"/>
  <c r="F16" i="18"/>
  <c r="M16" i="18"/>
  <c r="E16" i="18"/>
  <c r="L16" i="18"/>
  <c r="D16" i="18"/>
  <c r="I16" i="18"/>
  <c r="K16" i="18"/>
  <c r="J16" i="18"/>
  <c r="I17" i="19" l="1"/>
  <c r="D17" i="19"/>
  <c r="L17" i="19"/>
  <c r="C18" i="19"/>
  <c r="R18" i="19" s="1"/>
  <c r="M17" i="19"/>
  <c r="G17" i="19"/>
  <c r="H17" i="19"/>
  <c r="C21" i="1"/>
  <c r="G20" i="1"/>
  <c r="J20" i="1"/>
  <c r="L20" i="1"/>
  <c r="M20" i="1"/>
  <c r="K20" i="1"/>
  <c r="E20" i="1"/>
  <c r="H20" i="1"/>
  <c r="I20" i="1"/>
  <c r="D20" i="1"/>
  <c r="F20" i="1"/>
  <c r="N20" i="1"/>
  <c r="E17" i="19"/>
  <c r="J17" i="19"/>
  <c r="K17" i="19"/>
  <c r="F17" i="19"/>
  <c r="N17" i="19"/>
  <c r="C22" i="27"/>
  <c r="R22" i="27" s="1"/>
  <c r="K21" i="27"/>
  <c r="H21" i="27"/>
  <c r="J21" i="27"/>
  <c r="F21" i="27"/>
  <c r="E21" i="27"/>
  <c r="D21" i="27"/>
  <c r="I21" i="27"/>
  <c r="G21" i="27"/>
  <c r="N21" i="27"/>
  <c r="M21" i="27"/>
  <c r="L21" i="27"/>
  <c r="J21" i="26"/>
  <c r="E21" i="26"/>
  <c r="D21" i="26"/>
  <c r="K21" i="26"/>
  <c r="I21" i="26"/>
  <c r="H21" i="26"/>
  <c r="G21" i="26"/>
  <c r="F21" i="26"/>
  <c r="C22" i="26"/>
  <c r="R22" i="26" s="1"/>
  <c r="N21" i="26"/>
  <c r="M21" i="26"/>
  <c r="L21" i="26"/>
  <c r="L20" i="25"/>
  <c r="N20" i="25"/>
  <c r="M20" i="25"/>
  <c r="K20" i="25"/>
  <c r="J20" i="25"/>
  <c r="I20" i="25"/>
  <c r="H20" i="25"/>
  <c r="G20" i="25"/>
  <c r="F20" i="25"/>
  <c r="E20" i="25"/>
  <c r="D20" i="25"/>
  <c r="C21" i="25"/>
  <c r="R21" i="25" s="1"/>
  <c r="H17" i="20"/>
  <c r="G17" i="20"/>
  <c r="M17" i="20"/>
  <c r="E17" i="20"/>
  <c r="N17" i="20"/>
  <c r="C18" i="20"/>
  <c r="R18" i="20" s="1"/>
  <c r="L17" i="20"/>
  <c r="K17" i="20"/>
  <c r="J17" i="20"/>
  <c r="I17" i="20"/>
  <c r="F17" i="20"/>
  <c r="D17" i="20"/>
  <c r="N18" i="19"/>
  <c r="M18" i="19"/>
  <c r="E18" i="19"/>
  <c r="L18" i="19"/>
  <c r="D18" i="19"/>
  <c r="K18" i="19"/>
  <c r="J18" i="19"/>
  <c r="H18" i="19"/>
  <c r="I18" i="19"/>
  <c r="C19" i="19"/>
  <c r="R19" i="19" s="1"/>
  <c r="G18" i="19"/>
  <c r="F18" i="19"/>
  <c r="M17" i="18"/>
  <c r="E17" i="18"/>
  <c r="C18" i="18"/>
  <c r="R18" i="18" s="1"/>
  <c r="L17" i="18"/>
  <c r="D17" i="18"/>
  <c r="F17" i="18"/>
  <c r="K17" i="18"/>
  <c r="J17" i="18"/>
  <c r="I17" i="18"/>
  <c r="H17" i="18"/>
  <c r="G17" i="18"/>
  <c r="N17" i="18"/>
  <c r="C22" i="1" l="1"/>
  <c r="M21" i="1"/>
  <c r="I21" i="1"/>
  <c r="K21" i="1"/>
  <c r="N21" i="1"/>
  <c r="D21" i="1"/>
  <c r="J21" i="1"/>
  <c r="L21" i="1"/>
  <c r="E21" i="1"/>
  <c r="F21" i="1"/>
  <c r="G21" i="1"/>
  <c r="H21" i="1"/>
  <c r="R21" i="1"/>
  <c r="R22" i="1"/>
  <c r="E22" i="27"/>
  <c r="D22" i="27"/>
  <c r="H22" i="27"/>
  <c r="G22" i="27"/>
  <c r="F22" i="27"/>
  <c r="C23" i="27"/>
  <c r="R23" i="27" s="1"/>
  <c r="N22" i="27"/>
  <c r="M22" i="27"/>
  <c r="L22" i="27"/>
  <c r="K22" i="27"/>
  <c r="J22" i="27"/>
  <c r="I22" i="27"/>
  <c r="C23" i="26"/>
  <c r="R23" i="26" s="1"/>
  <c r="J22" i="26"/>
  <c r="H22" i="26"/>
  <c r="G22" i="26"/>
  <c r="F22" i="26"/>
  <c r="E22" i="26"/>
  <c r="D22" i="26"/>
  <c r="N22" i="26"/>
  <c r="M22" i="26"/>
  <c r="K22" i="26"/>
  <c r="I22" i="26"/>
  <c r="L22" i="26"/>
  <c r="D21" i="25"/>
  <c r="L21" i="25"/>
  <c r="K21" i="25"/>
  <c r="I21" i="25"/>
  <c r="C22" i="25"/>
  <c r="R22" i="25" s="1"/>
  <c r="H21" i="25"/>
  <c r="G21" i="25"/>
  <c r="F21" i="25"/>
  <c r="E21" i="25"/>
  <c r="N21" i="25"/>
  <c r="M21" i="25"/>
  <c r="J21" i="25"/>
  <c r="M18" i="20"/>
  <c r="E18" i="20"/>
  <c r="L18" i="20"/>
  <c r="D18" i="20"/>
  <c r="J18" i="20"/>
  <c r="F18" i="20"/>
  <c r="C19" i="20"/>
  <c r="R19" i="20" s="1"/>
  <c r="N18" i="20"/>
  <c r="I18" i="20"/>
  <c r="K18" i="20"/>
  <c r="H18" i="20"/>
  <c r="G18" i="20"/>
  <c r="N19" i="19"/>
  <c r="F19" i="19"/>
  <c r="J19" i="19"/>
  <c r="K19" i="19"/>
  <c r="I19" i="19"/>
  <c r="H19" i="19"/>
  <c r="G19" i="19"/>
  <c r="D19" i="19"/>
  <c r="C20" i="19"/>
  <c r="R20" i="19" s="1"/>
  <c r="E19" i="19"/>
  <c r="M19" i="19"/>
  <c r="L19" i="19"/>
  <c r="J18" i="18"/>
  <c r="I18" i="18"/>
  <c r="H18" i="18"/>
  <c r="G18" i="18"/>
  <c r="N18" i="18"/>
  <c r="F18" i="18"/>
  <c r="M18" i="18"/>
  <c r="E18" i="18"/>
  <c r="K18" i="18"/>
  <c r="L18" i="18"/>
  <c r="D18" i="18"/>
  <c r="C19" i="18"/>
  <c r="R19" i="18" s="1"/>
  <c r="C23" i="1" l="1"/>
  <c r="F22" i="1"/>
  <c r="H22" i="1"/>
  <c r="I22" i="1"/>
  <c r="G22" i="1"/>
  <c r="K22" i="1"/>
  <c r="E22" i="1"/>
  <c r="D22" i="1"/>
  <c r="J22" i="1"/>
  <c r="N22" i="1"/>
  <c r="L22" i="1"/>
  <c r="M22" i="1"/>
  <c r="C24" i="27"/>
  <c r="R24" i="27" s="1"/>
  <c r="K23" i="27"/>
  <c r="H23" i="27"/>
  <c r="N23" i="27"/>
  <c r="I23" i="27"/>
  <c r="G23" i="27"/>
  <c r="F23" i="27"/>
  <c r="E23" i="27"/>
  <c r="D23" i="27"/>
  <c r="M23" i="27"/>
  <c r="L23" i="27"/>
  <c r="J23" i="27"/>
  <c r="J23" i="26"/>
  <c r="L23" i="26"/>
  <c r="K23" i="26"/>
  <c r="I23" i="26"/>
  <c r="F23" i="26"/>
  <c r="C24" i="26"/>
  <c r="R24" i="26" s="1"/>
  <c r="E23" i="26"/>
  <c r="D23" i="26"/>
  <c r="M23" i="26"/>
  <c r="H23" i="26"/>
  <c r="G23" i="26"/>
  <c r="N23" i="26"/>
  <c r="L22" i="25"/>
  <c r="E22" i="25"/>
  <c r="D22" i="25"/>
  <c r="F22" i="25"/>
  <c r="C23" i="25"/>
  <c r="R23" i="25" s="1"/>
  <c r="N22" i="25"/>
  <c r="M22" i="25"/>
  <c r="K22" i="25"/>
  <c r="J22" i="25"/>
  <c r="I22" i="25"/>
  <c r="H22" i="25"/>
  <c r="G22" i="25"/>
  <c r="M19" i="20"/>
  <c r="E19" i="20"/>
  <c r="L19" i="20"/>
  <c r="D19" i="20"/>
  <c r="J19" i="20"/>
  <c r="G19" i="20"/>
  <c r="F19" i="20"/>
  <c r="K19" i="20"/>
  <c r="C20" i="20"/>
  <c r="R20" i="20" s="1"/>
  <c r="N19" i="20"/>
  <c r="I19" i="20"/>
  <c r="H19" i="20"/>
  <c r="N20" i="19"/>
  <c r="F20" i="19"/>
  <c r="J20" i="19"/>
  <c r="H20" i="19"/>
  <c r="L20" i="19"/>
  <c r="G20" i="19"/>
  <c r="C21" i="19"/>
  <c r="R21" i="19" s="1"/>
  <c r="E20" i="19"/>
  <c r="D20" i="19"/>
  <c r="M20" i="19"/>
  <c r="K20" i="19"/>
  <c r="I20" i="19"/>
  <c r="J19" i="18"/>
  <c r="I19" i="18"/>
  <c r="H19" i="18"/>
  <c r="G19" i="18"/>
  <c r="N19" i="18"/>
  <c r="F19" i="18"/>
  <c r="K19" i="18"/>
  <c r="M19" i="18"/>
  <c r="E19" i="18"/>
  <c r="C20" i="18"/>
  <c r="R20" i="18" s="1"/>
  <c r="L19" i="18"/>
  <c r="D19" i="18"/>
  <c r="C24" i="1" l="1"/>
  <c r="I23" i="1"/>
  <c r="L23" i="1"/>
  <c r="N23" i="1"/>
  <c r="M23" i="1"/>
  <c r="K23" i="1"/>
  <c r="D23" i="1"/>
  <c r="G23" i="1"/>
  <c r="H23" i="1"/>
  <c r="F23" i="1"/>
  <c r="J23" i="1"/>
  <c r="E23" i="1"/>
  <c r="R23" i="1"/>
  <c r="K24" i="27"/>
  <c r="H24" i="27"/>
  <c r="N24" i="27"/>
  <c r="L24" i="27"/>
  <c r="J24" i="27"/>
  <c r="I24" i="27"/>
  <c r="G24" i="27"/>
  <c r="F24" i="27"/>
  <c r="E24" i="27"/>
  <c r="M24" i="27"/>
  <c r="D24" i="27"/>
  <c r="C25" i="27"/>
  <c r="R25" i="27" s="1"/>
  <c r="M24" i="26"/>
  <c r="F24" i="26"/>
  <c r="E24" i="26"/>
  <c r="D24" i="26"/>
  <c r="G24" i="26"/>
  <c r="C25" i="26"/>
  <c r="R25" i="26" s="1"/>
  <c r="N24" i="26"/>
  <c r="L24" i="26"/>
  <c r="K24" i="26"/>
  <c r="I24" i="26"/>
  <c r="H24" i="26"/>
  <c r="J24" i="26"/>
  <c r="D23" i="25"/>
  <c r="N23" i="25"/>
  <c r="E23" i="25"/>
  <c r="C24" i="25"/>
  <c r="R24" i="25" s="1"/>
  <c r="M23" i="25"/>
  <c r="L23" i="25"/>
  <c r="K23" i="25"/>
  <c r="J23" i="25"/>
  <c r="I23" i="25"/>
  <c r="H23" i="25"/>
  <c r="G23" i="25"/>
  <c r="F23" i="25"/>
  <c r="M20" i="20"/>
  <c r="E20" i="20"/>
  <c r="L20" i="20"/>
  <c r="D20" i="20"/>
  <c r="J20" i="20"/>
  <c r="H20" i="20"/>
  <c r="G20" i="20"/>
  <c r="F20" i="20"/>
  <c r="N20" i="20"/>
  <c r="C21" i="20"/>
  <c r="R21" i="20" s="1"/>
  <c r="K20" i="20"/>
  <c r="I20" i="20"/>
  <c r="N21" i="19"/>
  <c r="F21" i="19"/>
  <c r="J21" i="19"/>
  <c r="C22" i="19"/>
  <c r="R22" i="19" s="1"/>
  <c r="E21" i="19"/>
  <c r="D21" i="19"/>
  <c r="I21" i="19"/>
  <c r="M21" i="19"/>
  <c r="L21" i="19"/>
  <c r="K21" i="19"/>
  <c r="H21" i="19"/>
  <c r="G21" i="19"/>
  <c r="J20" i="18"/>
  <c r="I20" i="18"/>
  <c r="H20" i="18"/>
  <c r="K20" i="18"/>
  <c r="G20" i="18"/>
  <c r="N20" i="18"/>
  <c r="F20" i="18"/>
  <c r="M20" i="18"/>
  <c r="E20" i="18"/>
  <c r="C21" i="18"/>
  <c r="R21" i="18" s="1"/>
  <c r="L20" i="18"/>
  <c r="D20" i="18"/>
  <c r="C25" i="1" l="1"/>
  <c r="E24" i="1"/>
  <c r="G24" i="1"/>
  <c r="I24" i="1"/>
  <c r="L24" i="1"/>
  <c r="D24" i="1"/>
  <c r="M24" i="1"/>
  <c r="F24" i="1"/>
  <c r="J24" i="1"/>
  <c r="K24" i="1"/>
  <c r="H24" i="1"/>
  <c r="N24" i="1"/>
  <c r="R24" i="1"/>
  <c r="C26" i="27"/>
  <c r="R26" i="27" s="1"/>
  <c r="K25" i="27"/>
  <c r="H25" i="27"/>
  <c r="E25" i="27"/>
  <c r="L25" i="27"/>
  <c r="N25" i="27"/>
  <c r="M25" i="27"/>
  <c r="J25" i="27"/>
  <c r="I25" i="27"/>
  <c r="G25" i="27"/>
  <c r="F25" i="27"/>
  <c r="D25" i="27"/>
  <c r="J25" i="26"/>
  <c r="F25" i="26"/>
  <c r="C26" i="26"/>
  <c r="R26" i="26" s="1"/>
  <c r="D25" i="26"/>
  <c r="H25" i="26"/>
  <c r="G25" i="26"/>
  <c r="E25" i="26"/>
  <c r="N25" i="26"/>
  <c r="M25" i="26"/>
  <c r="L25" i="26"/>
  <c r="K25" i="26"/>
  <c r="I25" i="26"/>
  <c r="L24" i="25"/>
  <c r="H24" i="25"/>
  <c r="G24" i="25"/>
  <c r="N24" i="25"/>
  <c r="M24" i="25"/>
  <c r="K24" i="25"/>
  <c r="E24" i="25"/>
  <c r="D24" i="25"/>
  <c r="C25" i="25"/>
  <c r="R25" i="25" s="1"/>
  <c r="J24" i="25"/>
  <c r="I24" i="25"/>
  <c r="F24" i="25"/>
  <c r="M21" i="20"/>
  <c r="E21" i="20"/>
  <c r="L21" i="20"/>
  <c r="D21" i="20"/>
  <c r="J21" i="20"/>
  <c r="I21" i="20"/>
  <c r="H21" i="20"/>
  <c r="G21" i="20"/>
  <c r="F21" i="20"/>
  <c r="N21" i="20"/>
  <c r="C22" i="20"/>
  <c r="R22" i="20" s="1"/>
  <c r="K21" i="20"/>
  <c r="N22" i="19"/>
  <c r="F22" i="19"/>
  <c r="J22" i="19"/>
  <c r="M22" i="19"/>
  <c r="G22" i="19"/>
  <c r="L22" i="19"/>
  <c r="K22" i="19"/>
  <c r="I22" i="19"/>
  <c r="H22" i="19"/>
  <c r="C23" i="19"/>
  <c r="R23" i="19" s="1"/>
  <c r="E22" i="19"/>
  <c r="D22" i="19"/>
  <c r="C22" i="18"/>
  <c r="R22" i="18" s="1"/>
  <c r="J21" i="18"/>
  <c r="I21" i="18"/>
  <c r="K21" i="18"/>
  <c r="H21" i="18"/>
  <c r="G21" i="18"/>
  <c r="N21" i="18"/>
  <c r="F21" i="18"/>
  <c r="M21" i="18"/>
  <c r="E21" i="18"/>
  <c r="L21" i="18"/>
  <c r="D21" i="18"/>
  <c r="C26" i="1" l="1"/>
  <c r="E25" i="1"/>
  <c r="H25" i="1"/>
  <c r="J25" i="1"/>
  <c r="K25" i="1"/>
  <c r="I25" i="1"/>
  <c r="D25" i="1"/>
  <c r="F25" i="1"/>
  <c r="G25" i="1"/>
  <c r="L25" i="1"/>
  <c r="M25" i="1"/>
  <c r="N25" i="1"/>
  <c r="R25" i="1"/>
  <c r="N26" i="27"/>
  <c r="K26" i="27"/>
  <c r="I26" i="27"/>
  <c r="H26" i="27"/>
  <c r="J26" i="27"/>
  <c r="M26" i="27"/>
  <c r="L26" i="27"/>
  <c r="G26" i="27"/>
  <c r="F26" i="27"/>
  <c r="E26" i="27"/>
  <c r="D26" i="27"/>
  <c r="C27" i="27"/>
  <c r="R27" i="27" s="1"/>
  <c r="L26" i="26"/>
  <c r="K26" i="26"/>
  <c r="J26" i="26"/>
  <c r="C27" i="26"/>
  <c r="R27" i="26" s="1"/>
  <c r="N26" i="26"/>
  <c r="M26" i="26"/>
  <c r="I26" i="26"/>
  <c r="H26" i="26"/>
  <c r="G26" i="26"/>
  <c r="E26" i="26"/>
  <c r="D26" i="26"/>
  <c r="F26" i="26"/>
  <c r="D25" i="25"/>
  <c r="K25" i="25"/>
  <c r="J25" i="25"/>
  <c r="I25" i="25"/>
  <c r="C26" i="25"/>
  <c r="R26" i="25" s="1"/>
  <c r="H25" i="25"/>
  <c r="G25" i="25"/>
  <c r="M25" i="25"/>
  <c r="L25" i="25"/>
  <c r="F25" i="25"/>
  <c r="E25" i="25"/>
  <c r="N25" i="25"/>
  <c r="G22" i="20"/>
  <c r="M22" i="20"/>
  <c r="E22" i="20"/>
  <c r="L22" i="20"/>
  <c r="D22" i="20"/>
  <c r="J22" i="20"/>
  <c r="H22" i="20"/>
  <c r="N22" i="20"/>
  <c r="C23" i="20"/>
  <c r="R23" i="20" s="1"/>
  <c r="K22" i="20"/>
  <c r="I22" i="20"/>
  <c r="F22" i="20"/>
  <c r="N23" i="19"/>
  <c r="F23" i="19"/>
  <c r="J23" i="19"/>
  <c r="K23" i="19"/>
  <c r="D23" i="19"/>
  <c r="I23" i="19"/>
  <c r="H23" i="19"/>
  <c r="G23" i="19"/>
  <c r="C24" i="19"/>
  <c r="R24" i="19" s="1"/>
  <c r="E23" i="19"/>
  <c r="M23" i="19"/>
  <c r="L23" i="19"/>
  <c r="N22" i="18"/>
  <c r="F22" i="18"/>
  <c r="M22" i="18"/>
  <c r="L22" i="18"/>
  <c r="D22" i="18"/>
  <c r="J22" i="18"/>
  <c r="E22" i="18"/>
  <c r="C23" i="18"/>
  <c r="R23" i="18" s="1"/>
  <c r="K22" i="18"/>
  <c r="I22" i="18"/>
  <c r="H22" i="18"/>
  <c r="G22" i="18"/>
  <c r="C27" i="1" l="1"/>
  <c r="K26" i="1"/>
  <c r="N26" i="1"/>
  <c r="F26" i="1"/>
  <c r="H26" i="1"/>
  <c r="J26" i="1"/>
  <c r="D26" i="1"/>
  <c r="G26" i="1"/>
  <c r="L26" i="1"/>
  <c r="I26" i="1"/>
  <c r="M26" i="1"/>
  <c r="E26" i="1"/>
  <c r="R26" i="1"/>
  <c r="C28" i="27"/>
  <c r="R28" i="27" s="1"/>
  <c r="K27" i="27"/>
  <c r="H27" i="27"/>
  <c r="M27" i="27"/>
  <c r="I27" i="27"/>
  <c r="G27" i="27"/>
  <c r="E27" i="27"/>
  <c r="D27" i="27"/>
  <c r="F27" i="27"/>
  <c r="N27" i="27"/>
  <c r="L27" i="27"/>
  <c r="J27" i="27"/>
  <c r="J27" i="26"/>
  <c r="C28" i="26"/>
  <c r="R28" i="26" s="1"/>
  <c r="I27" i="26"/>
  <c r="F27" i="26"/>
  <c r="E27" i="26"/>
  <c r="D27" i="26"/>
  <c r="N27" i="26"/>
  <c r="M27" i="26"/>
  <c r="L27" i="26"/>
  <c r="K27" i="26"/>
  <c r="H27" i="26"/>
  <c r="G27" i="26"/>
  <c r="L26" i="25"/>
  <c r="K26" i="25"/>
  <c r="C27" i="25"/>
  <c r="R27" i="25" s="1"/>
  <c r="J26" i="25"/>
  <c r="F26" i="25"/>
  <c r="E26" i="25"/>
  <c r="D26" i="25"/>
  <c r="N26" i="25"/>
  <c r="M26" i="25"/>
  <c r="I26" i="25"/>
  <c r="H26" i="25"/>
  <c r="G26" i="25"/>
  <c r="G23" i="20"/>
  <c r="M23" i="20"/>
  <c r="E23" i="20"/>
  <c r="L23" i="20"/>
  <c r="D23" i="20"/>
  <c r="J23" i="20"/>
  <c r="I23" i="20"/>
  <c r="H23" i="20"/>
  <c r="F23" i="20"/>
  <c r="N23" i="20"/>
  <c r="C24" i="20"/>
  <c r="R24" i="20" s="1"/>
  <c r="K23" i="20"/>
  <c r="N24" i="19"/>
  <c r="F24" i="19"/>
  <c r="J24" i="19"/>
  <c r="H24" i="19"/>
  <c r="G24" i="19"/>
  <c r="C25" i="19"/>
  <c r="R25" i="19" s="1"/>
  <c r="E24" i="19"/>
  <c r="L24" i="19"/>
  <c r="D24" i="19"/>
  <c r="M24" i="19"/>
  <c r="K24" i="19"/>
  <c r="I24" i="19"/>
  <c r="N23" i="18"/>
  <c r="F23" i="18"/>
  <c r="M23" i="18"/>
  <c r="E23" i="18"/>
  <c r="L23" i="18"/>
  <c r="D23" i="18"/>
  <c r="J23" i="18"/>
  <c r="I23" i="18"/>
  <c r="H23" i="18"/>
  <c r="G23" i="18"/>
  <c r="C24" i="18"/>
  <c r="R24" i="18" s="1"/>
  <c r="K23" i="18"/>
  <c r="C28" i="1" l="1"/>
  <c r="F27" i="1"/>
  <c r="G27" i="1"/>
  <c r="E27" i="1"/>
  <c r="H27" i="1"/>
  <c r="K27" i="1"/>
  <c r="I27" i="1"/>
  <c r="J27" i="1"/>
  <c r="D27" i="1"/>
  <c r="N27" i="1"/>
  <c r="L27" i="1"/>
  <c r="M27" i="1"/>
  <c r="R27" i="1"/>
  <c r="G28" i="27"/>
  <c r="D28" i="27"/>
  <c r="C29" i="27"/>
  <c r="R29" i="27" s="1"/>
  <c r="F28" i="27"/>
  <c r="E28" i="27"/>
  <c r="M28" i="27"/>
  <c r="L28" i="27"/>
  <c r="K28" i="27"/>
  <c r="J28" i="27"/>
  <c r="I28" i="27"/>
  <c r="H28" i="27"/>
  <c r="N28" i="27"/>
  <c r="N28" i="26"/>
  <c r="M28" i="26"/>
  <c r="L28" i="26"/>
  <c r="K28" i="26"/>
  <c r="J28" i="26"/>
  <c r="I28" i="26"/>
  <c r="H28" i="26"/>
  <c r="G28" i="26"/>
  <c r="D28" i="26"/>
  <c r="F28" i="26"/>
  <c r="E28" i="26"/>
  <c r="C29" i="26"/>
  <c r="R29" i="26" s="1"/>
  <c r="D27" i="25"/>
  <c r="E27" i="25"/>
  <c r="N27" i="25"/>
  <c r="M27" i="25"/>
  <c r="L27" i="25"/>
  <c r="K27" i="25"/>
  <c r="J27" i="25"/>
  <c r="I27" i="25"/>
  <c r="H27" i="25"/>
  <c r="G27" i="25"/>
  <c r="F27" i="25"/>
  <c r="C28" i="25"/>
  <c r="R28" i="25" s="1"/>
  <c r="G24" i="20"/>
  <c r="M24" i="20"/>
  <c r="E24" i="20"/>
  <c r="L24" i="20"/>
  <c r="D24" i="20"/>
  <c r="J24" i="20"/>
  <c r="N24" i="20"/>
  <c r="C25" i="20"/>
  <c r="R25" i="20" s="1"/>
  <c r="K24" i="20"/>
  <c r="I24" i="20"/>
  <c r="H24" i="20"/>
  <c r="F24" i="20"/>
  <c r="N25" i="19"/>
  <c r="F25" i="19"/>
  <c r="L25" i="19"/>
  <c r="D25" i="19"/>
  <c r="J25" i="19"/>
  <c r="G25" i="19"/>
  <c r="K25" i="19"/>
  <c r="E25" i="19"/>
  <c r="C26" i="19"/>
  <c r="R26" i="19" s="1"/>
  <c r="M25" i="19"/>
  <c r="I25" i="19"/>
  <c r="H25" i="19"/>
  <c r="N24" i="18"/>
  <c r="F24" i="18"/>
  <c r="M24" i="18"/>
  <c r="E24" i="18"/>
  <c r="L24" i="18"/>
  <c r="D24" i="18"/>
  <c r="J24" i="18"/>
  <c r="C25" i="18"/>
  <c r="R25" i="18" s="1"/>
  <c r="K24" i="18"/>
  <c r="I24" i="18"/>
  <c r="H24" i="18"/>
  <c r="G24" i="18"/>
  <c r="C29" i="1" l="1"/>
  <c r="G28" i="1"/>
  <c r="J28" i="1"/>
  <c r="L28" i="1"/>
  <c r="M28" i="1"/>
  <c r="K28" i="1"/>
  <c r="H28" i="1"/>
  <c r="N28" i="1"/>
  <c r="I28" i="1"/>
  <c r="E28" i="1"/>
  <c r="F28" i="1"/>
  <c r="D28" i="1"/>
  <c r="R28" i="1"/>
  <c r="C30" i="27"/>
  <c r="R30" i="27" s="1"/>
  <c r="K29" i="27"/>
  <c r="H29" i="27"/>
  <c r="F29" i="27"/>
  <c r="E29" i="27"/>
  <c r="D29" i="27"/>
  <c r="N29" i="27"/>
  <c r="M29" i="27"/>
  <c r="L29" i="27"/>
  <c r="J29" i="27"/>
  <c r="I29" i="27"/>
  <c r="G29" i="27"/>
  <c r="J29" i="26"/>
  <c r="M29" i="26"/>
  <c r="N29" i="26"/>
  <c r="L29" i="26"/>
  <c r="K29" i="26"/>
  <c r="I29" i="26"/>
  <c r="H29" i="26"/>
  <c r="C30" i="26"/>
  <c r="R30" i="26" s="1"/>
  <c r="G29" i="26"/>
  <c r="F29" i="26"/>
  <c r="E29" i="26"/>
  <c r="D29" i="26"/>
  <c r="L28" i="25"/>
  <c r="N28" i="25"/>
  <c r="M28" i="25"/>
  <c r="K28" i="25"/>
  <c r="J28" i="25"/>
  <c r="I28" i="25"/>
  <c r="H28" i="25"/>
  <c r="G28" i="25"/>
  <c r="F28" i="25"/>
  <c r="E28" i="25"/>
  <c r="D28" i="25"/>
  <c r="C29" i="25"/>
  <c r="R29" i="25" s="1"/>
  <c r="G25" i="20"/>
  <c r="M25" i="20"/>
  <c r="E25" i="20"/>
  <c r="L25" i="20"/>
  <c r="D25" i="20"/>
  <c r="J25" i="20"/>
  <c r="I25" i="20"/>
  <c r="H25" i="20"/>
  <c r="F25" i="20"/>
  <c r="N25" i="20"/>
  <c r="C26" i="20"/>
  <c r="R26" i="20" s="1"/>
  <c r="K25" i="20"/>
  <c r="N26" i="19"/>
  <c r="F26" i="19"/>
  <c r="L26" i="19"/>
  <c r="D26" i="19"/>
  <c r="J26" i="19"/>
  <c r="H26" i="19"/>
  <c r="G26" i="19"/>
  <c r="E26" i="19"/>
  <c r="C27" i="19"/>
  <c r="R27" i="19" s="1"/>
  <c r="M26" i="19"/>
  <c r="K26" i="19"/>
  <c r="I26" i="19"/>
  <c r="N25" i="18"/>
  <c r="F25" i="18"/>
  <c r="M25" i="18"/>
  <c r="E25" i="18"/>
  <c r="L25" i="18"/>
  <c r="D25" i="18"/>
  <c r="J25" i="18"/>
  <c r="I25" i="18"/>
  <c r="K25" i="18"/>
  <c r="H25" i="18"/>
  <c r="C26" i="18"/>
  <c r="R26" i="18" s="1"/>
  <c r="G25" i="18"/>
  <c r="C30" i="1" l="1"/>
  <c r="M29" i="1"/>
  <c r="D29" i="1"/>
  <c r="F29" i="1"/>
  <c r="I29" i="1"/>
  <c r="G29" i="1"/>
  <c r="H29" i="1"/>
  <c r="L29" i="1"/>
  <c r="E29" i="1"/>
  <c r="J29" i="1"/>
  <c r="K29" i="1"/>
  <c r="N29" i="1"/>
  <c r="R29" i="1"/>
  <c r="M30" i="27"/>
  <c r="J30" i="27"/>
  <c r="H30" i="27"/>
  <c r="G30" i="27"/>
  <c r="F30" i="27"/>
  <c r="E30" i="27"/>
  <c r="D30" i="27"/>
  <c r="C31" i="27"/>
  <c r="R31" i="27" s="1"/>
  <c r="L30" i="27"/>
  <c r="K30" i="27"/>
  <c r="I30" i="27"/>
  <c r="N30" i="27"/>
  <c r="F30" i="26"/>
  <c r="H30" i="26"/>
  <c r="G30" i="26"/>
  <c r="E30" i="26"/>
  <c r="N30" i="26"/>
  <c r="M30" i="26"/>
  <c r="L30" i="26"/>
  <c r="K30" i="26"/>
  <c r="J30" i="26"/>
  <c r="I30" i="26"/>
  <c r="D30" i="26"/>
  <c r="C31" i="26"/>
  <c r="R31" i="26" s="1"/>
  <c r="D29" i="25"/>
  <c r="H29" i="25"/>
  <c r="G29" i="25"/>
  <c r="M29" i="25"/>
  <c r="L29" i="25"/>
  <c r="K29" i="25"/>
  <c r="J29" i="25"/>
  <c r="I29" i="25"/>
  <c r="C30" i="25"/>
  <c r="R30" i="25" s="1"/>
  <c r="N29" i="25"/>
  <c r="F29" i="25"/>
  <c r="E29" i="25"/>
  <c r="G26" i="20"/>
  <c r="M26" i="20"/>
  <c r="E26" i="20"/>
  <c r="L26" i="20"/>
  <c r="D26" i="20"/>
  <c r="J26" i="20"/>
  <c r="N26" i="20"/>
  <c r="H26" i="20"/>
  <c r="C27" i="20"/>
  <c r="R27" i="20" s="1"/>
  <c r="K26" i="20"/>
  <c r="I26" i="20"/>
  <c r="F26" i="20"/>
  <c r="N27" i="19"/>
  <c r="F27" i="19"/>
  <c r="L27" i="19"/>
  <c r="D27" i="19"/>
  <c r="J27" i="19"/>
  <c r="I27" i="19"/>
  <c r="H27" i="19"/>
  <c r="G27" i="19"/>
  <c r="E27" i="19"/>
  <c r="M27" i="19"/>
  <c r="C28" i="19"/>
  <c r="R28" i="19" s="1"/>
  <c r="K27" i="19"/>
  <c r="N26" i="18"/>
  <c r="F26" i="18"/>
  <c r="M26" i="18"/>
  <c r="E26" i="18"/>
  <c r="L26" i="18"/>
  <c r="D26" i="18"/>
  <c r="J26" i="18"/>
  <c r="C27" i="18"/>
  <c r="R27" i="18" s="1"/>
  <c r="K26" i="18"/>
  <c r="I26" i="18"/>
  <c r="H26" i="18"/>
  <c r="G26" i="18"/>
  <c r="C31" i="1" l="1"/>
  <c r="F30" i="1"/>
  <c r="H30" i="1"/>
  <c r="I30" i="1"/>
  <c r="G30" i="1"/>
  <c r="M30" i="1"/>
  <c r="N30" i="1"/>
  <c r="J30" i="1"/>
  <c r="K30" i="1"/>
  <c r="E30" i="1"/>
  <c r="L30" i="1"/>
  <c r="D30" i="1"/>
  <c r="R30" i="1"/>
  <c r="C32" i="27"/>
  <c r="R32" i="27" s="1"/>
  <c r="K31" i="27"/>
  <c r="H31" i="27"/>
  <c r="G31" i="27"/>
  <c r="D31" i="27"/>
  <c r="N31" i="27"/>
  <c r="L31" i="27"/>
  <c r="J31" i="27"/>
  <c r="I31" i="27"/>
  <c r="F31" i="27"/>
  <c r="E31" i="27"/>
  <c r="M31" i="27"/>
  <c r="J31" i="26"/>
  <c r="N31" i="26"/>
  <c r="M31" i="26"/>
  <c r="L31" i="26"/>
  <c r="K31" i="26"/>
  <c r="I31" i="26"/>
  <c r="H31" i="26"/>
  <c r="G31" i="26"/>
  <c r="C32" i="26"/>
  <c r="R32" i="26" s="1"/>
  <c r="F31" i="26"/>
  <c r="E31" i="26"/>
  <c r="D31" i="26"/>
  <c r="L30" i="25"/>
  <c r="C31" i="25"/>
  <c r="R31" i="25" s="1"/>
  <c r="H30" i="25"/>
  <c r="G30" i="25"/>
  <c r="F30" i="25"/>
  <c r="E30" i="25"/>
  <c r="D30" i="25"/>
  <c r="N30" i="25"/>
  <c r="M30" i="25"/>
  <c r="K30" i="25"/>
  <c r="J30" i="25"/>
  <c r="I30" i="25"/>
  <c r="G27" i="20"/>
  <c r="M27" i="20"/>
  <c r="E27" i="20"/>
  <c r="L27" i="20"/>
  <c r="D27" i="20"/>
  <c r="J27" i="20"/>
  <c r="I27" i="20"/>
  <c r="H27" i="20"/>
  <c r="F27" i="20"/>
  <c r="N27" i="20"/>
  <c r="C28" i="20"/>
  <c r="R28" i="20" s="1"/>
  <c r="K27" i="20"/>
  <c r="G28" i="19"/>
  <c r="N28" i="19"/>
  <c r="F28" i="19"/>
  <c r="L28" i="19"/>
  <c r="D28" i="19"/>
  <c r="J28" i="19"/>
  <c r="M28" i="19"/>
  <c r="C29" i="19"/>
  <c r="R29" i="19" s="1"/>
  <c r="K28" i="19"/>
  <c r="H28" i="19"/>
  <c r="I28" i="19"/>
  <c r="E28" i="19"/>
  <c r="N27" i="18"/>
  <c r="F27" i="18"/>
  <c r="M27" i="18"/>
  <c r="E27" i="18"/>
  <c r="L27" i="18"/>
  <c r="D27" i="18"/>
  <c r="J27" i="18"/>
  <c r="I27" i="18"/>
  <c r="H27" i="18"/>
  <c r="G27" i="18"/>
  <c r="C28" i="18"/>
  <c r="R28" i="18" s="1"/>
  <c r="K27" i="18"/>
  <c r="C32" i="1" l="1"/>
  <c r="I31" i="1"/>
  <c r="L31" i="1"/>
  <c r="M31" i="1"/>
  <c r="N31" i="1"/>
  <c r="E31" i="1"/>
  <c r="G31" i="1"/>
  <c r="K31" i="1"/>
  <c r="H31" i="1"/>
  <c r="J31" i="1"/>
  <c r="F31" i="1"/>
  <c r="D31" i="1"/>
  <c r="R31" i="1"/>
  <c r="M32" i="27"/>
  <c r="K32" i="27"/>
  <c r="J32" i="27"/>
  <c r="L32" i="27"/>
  <c r="N32" i="27"/>
  <c r="I32" i="27"/>
  <c r="H32" i="27"/>
  <c r="G32" i="27"/>
  <c r="E32" i="27"/>
  <c r="D32" i="27"/>
  <c r="C33" i="27"/>
  <c r="R33" i="27" s="1"/>
  <c r="F32" i="27"/>
  <c r="C33" i="26"/>
  <c r="R33" i="26" s="1"/>
  <c r="I32" i="26"/>
  <c r="N32" i="26"/>
  <c r="M32" i="26"/>
  <c r="L32" i="26"/>
  <c r="K32" i="26"/>
  <c r="J32" i="26"/>
  <c r="H32" i="26"/>
  <c r="G32" i="26"/>
  <c r="F32" i="26"/>
  <c r="E32" i="26"/>
  <c r="D32" i="26"/>
  <c r="D31" i="25"/>
  <c r="K31" i="25"/>
  <c r="C32" i="25"/>
  <c r="R32" i="25" s="1"/>
  <c r="J31" i="25"/>
  <c r="I31" i="25"/>
  <c r="H31" i="25"/>
  <c r="G31" i="25"/>
  <c r="F31" i="25"/>
  <c r="E31" i="25"/>
  <c r="N31" i="25"/>
  <c r="M31" i="25"/>
  <c r="L31" i="25"/>
  <c r="G28" i="20"/>
  <c r="M28" i="20"/>
  <c r="E28" i="20"/>
  <c r="L28" i="20"/>
  <c r="D28" i="20"/>
  <c r="J28" i="20"/>
  <c r="H28" i="20"/>
  <c r="N28" i="20"/>
  <c r="C29" i="20"/>
  <c r="R29" i="20" s="1"/>
  <c r="K28" i="20"/>
  <c r="I28" i="20"/>
  <c r="F28" i="20"/>
  <c r="H29" i="19"/>
  <c r="G29" i="19"/>
  <c r="N29" i="19"/>
  <c r="F29" i="19"/>
  <c r="M29" i="19"/>
  <c r="L29" i="19"/>
  <c r="D29" i="19"/>
  <c r="J29" i="19"/>
  <c r="K29" i="19"/>
  <c r="I29" i="19"/>
  <c r="E29" i="19"/>
  <c r="C30" i="19"/>
  <c r="R30" i="19" s="1"/>
  <c r="N28" i="18"/>
  <c r="F28" i="18"/>
  <c r="M28" i="18"/>
  <c r="E28" i="18"/>
  <c r="L28" i="18"/>
  <c r="D28" i="18"/>
  <c r="J28" i="18"/>
  <c r="C29" i="18"/>
  <c r="R29" i="18" s="1"/>
  <c r="K28" i="18"/>
  <c r="I28" i="18"/>
  <c r="H28" i="18"/>
  <c r="G28" i="18"/>
  <c r="C33" i="1" l="1"/>
  <c r="D32" i="1"/>
  <c r="E32" i="1"/>
  <c r="N32" i="1"/>
  <c r="F32" i="1"/>
  <c r="H32" i="1"/>
  <c r="G32" i="1"/>
  <c r="M32" i="1"/>
  <c r="I32" i="1"/>
  <c r="J32" i="1"/>
  <c r="K32" i="1"/>
  <c r="L32" i="1"/>
  <c r="R32" i="1"/>
  <c r="C34" i="27"/>
  <c r="R34" i="27" s="1"/>
  <c r="K33" i="27"/>
  <c r="H33" i="27"/>
  <c r="L33" i="27"/>
  <c r="J33" i="27"/>
  <c r="F33" i="27"/>
  <c r="I33" i="27"/>
  <c r="G33" i="27"/>
  <c r="N33" i="27"/>
  <c r="M33" i="27"/>
  <c r="E33" i="27"/>
  <c r="D33" i="27"/>
  <c r="J33" i="26"/>
  <c r="I33" i="26"/>
  <c r="H33" i="26"/>
  <c r="C34" i="26"/>
  <c r="R34" i="26" s="1"/>
  <c r="G33" i="26"/>
  <c r="N33" i="26"/>
  <c r="M33" i="26"/>
  <c r="L33" i="26"/>
  <c r="K33" i="26"/>
  <c r="F33" i="26"/>
  <c r="E33" i="26"/>
  <c r="D33" i="26"/>
  <c r="L32" i="25"/>
  <c r="D32" i="25"/>
  <c r="N32" i="25"/>
  <c r="K32" i="25"/>
  <c r="J32" i="25"/>
  <c r="I32" i="25"/>
  <c r="H32" i="25"/>
  <c r="G32" i="25"/>
  <c r="F32" i="25"/>
  <c r="E32" i="25"/>
  <c r="C33" i="25"/>
  <c r="R33" i="25" s="1"/>
  <c r="M32" i="25"/>
  <c r="G29" i="20"/>
  <c r="M29" i="20"/>
  <c r="E29" i="20"/>
  <c r="L29" i="20"/>
  <c r="D29" i="20"/>
  <c r="J29" i="20"/>
  <c r="I29" i="20"/>
  <c r="H29" i="20"/>
  <c r="F29" i="20"/>
  <c r="N29" i="20"/>
  <c r="C30" i="20"/>
  <c r="R30" i="20" s="1"/>
  <c r="K29" i="20"/>
  <c r="H30" i="19"/>
  <c r="G30" i="19"/>
  <c r="N30" i="19"/>
  <c r="F30" i="19"/>
  <c r="M30" i="19"/>
  <c r="E30" i="19"/>
  <c r="L30" i="19"/>
  <c r="D30" i="19"/>
  <c r="J30" i="19"/>
  <c r="K30" i="19"/>
  <c r="I30" i="19"/>
  <c r="C31" i="19"/>
  <c r="R31" i="19" s="1"/>
  <c r="N29" i="18"/>
  <c r="F29" i="18"/>
  <c r="M29" i="18"/>
  <c r="E29" i="18"/>
  <c r="L29" i="18"/>
  <c r="D29" i="18"/>
  <c r="J29" i="18"/>
  <c r="I29" i="18"/>
  <c r="K29" i="18"/>
  <c r="H29" i="18"/>
  <c r="C30" i="18"/>
  <c r="R30" i="18" s="1"/>
  <c r="G29" i="18"/>
  <c r="C34" i="1" l="1"/>
  <c r="E33" i="1"/>
  <c r="H33" i="1"/>
  <c r="D33" i="1"/>
  <c r="J33" i="1"/>
  <c r="K33" i="1"/>
  <c r="I33" i="1"/>
  <c r="G33" i="1"/>
  <c r="M33" i="1"/>
  <c r="F33" i="1"/>
  <c r="N33" i="1"/>
  <c r="L33" i="1"/>
  <c r="R33" i="1"/>
  <c r="C35" i="27"/>
  <c r="R35" i="27" s="1"/>
  <c r="I34" i="27"/>
  <c r="F34" i="27"/>
  <c r="H34" i="27"/>
  <c r="D34" i="27"/>
  <c r="G34" i="27"/>
  <c r="E34" i="27"/>
  <c r="N34" i="27"/>
  <c r="M34" i="27"/>
  <c r="L34" i="27"/>
  <c r="K34" i="27"/>
  <c r="J34" i="27"/>
  <c r="M34" i="26"/>
  <c r="L34" i="26"/>
  <c r="E34" i="26"/>
  <c r="D34" i="26"/>
  <c r="N34" i="26"/>
  <c r="K34" i="26"/>
  <c r="J34" i="26"/>
  <c r="I34" i="26"/>
  <c r="H34" i="26"/>
  <c r="G34" i="26"/>
  <c r="F34" i="26"/>
  <c r="C35" i="26"/>
  <c r="R35" i="26" s="1"/>
  <c r="D33" i="25"/>
  <c r="N33" i="25"/>
  <c r="M33" i="25"/>
  <c r="L33" i="25"/>
  <c r="K33" i="25"/>
  <c r="J33" i="25"/>
  <c r="I33" i="25"/>
  <c r="C34" i="25"/>
  <c r="R34" i="25" s="1"/>
  <c r="H33" i="25"/>
  <c r="G33" i="25"/>
  <c r="F33" i="25"/>
  <c r="E33" i="25"/>
  <c r="G30" i="20"/>
  <c r="M30" i="20"/>
  <c r="E30" i="20"/>
  <c r="L30" i="20"/>
  <c r="D30" i="20"/>
  <c r="J30" i="20"/>
  <c r="H30" i="20"/>
  <c r="N30" i="20"/>
  <c r="C31" i="20"/>
  <c r="R31" i="20" s="1"/>
  <c r="K30" i="20"/>
  <c r="I30" i="20"/>
  <c r="F30" i="20"/>
  <c r="H31" i="19"/>
  <c r="G31" i="19"/>
  <c r="N31" i="19"/>
  <c r="F31" i="19"/>
  <c r="M31" i="19"/>
  <c r="E31" i="19"/>
  <c r="L31" i="19"/>
  <c r="D31" i="19"/>
  <c r="J31" i="19"/>
  <c r="C32" i="19"/>
  <c r="R32" i="19" s="1"/>
  <c r="I31" i="19"/>
  <c r="K31" i="19"/>
  <c r="N30" i="18"/>
  <c r="F30" i="18"/>
  <c r="M30" i="18"/>
  <c r="E30" i="18"/>
  <c r="L30" i="18"/>
  <c r="D30" i="18"/>
  <c r="J30" i="18"/>
  <c r="C31" i="18"/>
  <c r="R31" i="18" s="1"/>
  <c r="K30" i="18"/>
  <c r="I30" i="18"/>
  <c r="H30" i="18"/>
  <c r="G30" i="18"/>
  <c r="C35" i="1" l="1"/>
  <c r="K34" i="1"/>
  <c r="N34" i="1"/>
  <c r="D34" i="1"/>
  <c r="E34" i="1"/>
  <c r="F34" i="1"/>
  <c r="I34" i="1"/>
  <c r="G34" i="1"/>
  <c r="H34" i="1"/>
  <c r="J34" i="1"/>
  <c r="L34" i="1"/>
  <c r="M34" i="1"/>
  <c r="R34" i="1"/>
  <c r="C36" i="27"/>
  <c r="R36" i="27" s="1"/>
  <c r="K35" i="27"/>
  <c r="H35" i="27"/>
  <c r="E35" i="27"/>
  <c r="D35" i="27"/>
  <c r="N35" i="27"/>
  <c r="M35" i="27"/>
  <c r="L35" i="27"/>
  <c r="J35" i="27"/>
  <c r="I35" i="27"/>
  <c r="G35" i="27"/>
  <c r="F35" i="27"/>
  <c r="J35" i="26"/>
  <c r="F35" i="26"/>
  <c r="E35" i="26"/>
  <c r="N35" i="26"/>
  <c r="M35" i="26"/>
  <c r="L35" i="26"/>
  <c r="K35" i="26"/>
  <c r="I35" i="26"/>
  <c r="H35" i="26"/>
  <c r="G35" i="26"/>
  <c r="D35" i="26"/>
  <c r="C36" i="26"/>
  <c r="R36" i="26" s="1"/>
  <c r="L34" i="25"/>
  <c r="G34" i="25"/>
  <c r="F34" i="25"/>
  <c r="J34" i="25"/>
  <c r="I34" i="25"/>
  <c r="C35" i="25"/>
  <c r="R35" i="25" s="1"/>
  <c r="H34" i="25"/>
  <c r="E34" i="25"/>
  <c r="D34" i="25"/>
  <c r="N34" i="25"/>
  <c r="M34" i="25"/>
  <c r="K34" i="25"/>
  <c r="G31" i="20"/>
  <c r="M31" i="20"/>
  <c r="E31" i="20"/>
  <c r="L31" i="20"/>
  <c r="D31" i="20"/>
  <c r="J31" i="20"/>
  <c r="I31" i="20"/>
  <c r="H31" i="20"/>
  <c r="F31" i="20"/>
  <c r="N31" i="20"/>
  <c r="C32" i="20"/>
  <c r="R32" i="20" s="1"/>
  <c r="K31" i="20"/>
  <c r="H32" i="19"/>
  <c r="G32" i="19"/>
  <c r="N32" i="19"/>
  <c r="F32" i="19"/>
  <c r="M32" i="19"/>
  <c r="E32" i="19"/>
  <c r="L32" i="19"/>
  <c r="D32" i="19"/>
  <c r="J32" i="19"/>
  <c r="C33" i="19"/>
  <c r="R33" i="19" s="1"/>
  <c r="K32" i="19"/>
  <c r="I32" i="19"/>
  <c r="N31" i="18"/>
  <c r="F31" i="18"/>
  <c r="M31" i="18"/>
  <c r="E31" i="18"/>
  <c r="L31" i="18"/>
  <c r="D31" i="18"/>
  <c r="J31" i="18"/>
  <c r="I31" i="18"/>
  <c r="H31" i="18"/>
  <c r="G31" i="18"/>
  <c r="C32" i="18"/>
  <c r="R32" i="18" s="1"/>
  <c r="K31" i="18"/>
  <c r="C36" i="1" l="1"/>
  <c r="E35" i="1"/>
  <c r="F35" i="1"/>
  <c r="G35" i="1"/>
  <c r="D35" i="1"/>
  <c r="J35" i="1"/>
  <c r="L35" i="1"/>
  <c r="K35" i="1"/>
  <c r="M35" i="1"/>
  <c r="N35" i="1"/>
  <c r="H35" i="1"/>
  <c r="I35" i="1"/>
  <c r="R35" i="1"/>
  <c r="L36" i="27"/>
  <c r="F36" i="27"/>
  <c r="E36" i="27"/>
  <c r="D36" i="27"/>
  <c r="C37" i="27"/>
  <c r="G36" i="27"/>
  <c r="N36" i="27"/>
  <c r="M36" i="27"/>
  <c r="K36" i="27"/>
  <c r="J36" i="27"/>
  <c r="I36" i="27"/>
  <c r="H36" i="27"/>
  <c r="N36" i="26"/>
  <c r="M36" i="26"/>
  <c r="L36" i="26"/>
  <c r="K36" i="26"/>
  <c r="J36" i="26"/>
  <c r="I36" i="26"/>
  <c r="H36" i="26"/>
  <c r="G36" i="26"/>
  <c r="F36" i="26"/>
  <c r="C37" i="26"/>
  <c r="E36" i="26"/>
  <c r="D36" i="26"/>
  <c r="D35" i="25"/>
  <c r="F35" i="25"/>
  <c r="E35" i="25"/>
  <c r="C36" i="25"/>
  <c r="R36" i="25" s="1"/>
  <c r="N35" i="25"/>
  <c r="M35" i="25"/>
  <c r="L35" i="25"/>
  <c r="K35" i="25"/>
  <c r="J35" i="25"/>
  <c r="I35" i="25"/>
  <c r="H35" i="25"/>
  <c r="G35" i="25"/>
  <c r="G32" i="20"/>
  <c r="M32" i="20"/>
  <c r="E32" i="20"/>
  <c r="L32" i="20"/>
  <c r="D32" i="20"/>
  <c r="J32" i="20"/>
  <c r="N32" i="20"/>
  <c r="C33" i="20"/>
  <c r="R33" i="20" s="1"/>
  <c r="K32" i="20"/>
  <c r="I32" i="20"/>
  <c r="H32" i="20"/>
  <c r="F32" i="20"/>
  <c r="H33" i="19"/>
  <c r="G33" i="19"/>
  <c r="N33" i="19"/>
  <c r="F33" i="19"/>
  <c r="M33" i="19"/>
  <c r="E33" i="19"/>
  <c r="L33" i="19"/>
  <c r="D33" i="19"/>
  <c r="J33" i="19"/>
  <c r="K33" i="19"/>
  <c r="I33" i="19"/>
  <c r="C34" i="19"/>
  <c r="R34" i="19" s="1"/>
  <c r="N32" i="18"/>
  <c r="F32" i="18"/>
  <c r="M32" i="18"/>
  <c r="E32" i="18"/>
  <c r="L32" i="18"/>
  <c r="D32" i="18"/>
  <c r="J32" i="18"/>
  <c r="C33" i="18"/>
  <c r="R33" i="18" s="1"/>
  <c r="K32" i="18"/>
  <c r="I32" i="18"/>
  <c r="H32" i="18"/>
  <c r="G32" i="18"/>
  <c r="C37" i="1" l="1"/>
  <c r="G36" i="1"/>
  <c r="J36" i="1"/>
  <c r="L36" i="1"/>
  <c r="K36" i="1"/>
  <c r="M36" i="1"/>
  <c r="H36" i="1"/>
  <c r="F36" i="1"/>
  <c r="E36" i="1"/>
  <c r="I36" i="1"/>
  <c r="N36" i="1"/>
  <c r="D36" i="1"/>
  <c r="R36" i="1"/>
  <c r="R37" i="27"/>
  <c r="R39" i="27"/>
  <c r="R38" i="27"/>
  <c r="R40" i="27"/>
  <c r="R37" i="26"/>
  <c r="R38" i="26"/>
  <c r="R39" i="26"/>
  <c r="R40" i="26"/>
  <c r="K37" i="27"/>
  <c r="AO6" i="27" s="1"/>
  <c r="D51" i="24" s="1"/>
  <c r="H37" i="27"/>
  <c r="AL6" i="27" s="1"/>
  <c r="D48" i="24" s="1"/>
  <c r="J37" i="27"/>
  <c r="AN6" i="27" s="1"/>
  <c r="D50" i="24" s="1"/>
  <c r="C41" i="27"/>
  <c r="R41" i="27" s="1"/>
  <c r="F37" i="27"/>
  <c r="AJ6" i="27" s="1"/>
  <c r="D46" i="24" s="1"/>
  <c r="G37" i="27"/>
  <c r="AK6" i="27" s="1"/>
  <c r="D47" i="24" s="1"/>
  <c r="E37" i="27"/>
  <c r="AI6" i="27" s="1"/>
  <c r="D45" i="24" s="1"/>
  <c r="D37" i="27"/>
  <c r="AH6" i="27" s="1"/>
  <c r="N37" i="27"/>
  <c r="AR6" i="27" s="1"/>
  <c r="D54" i="24" s="1"/>
  <c r="M37" i="27"/>
  <c r="AQ6" i="27" s="1"/>
  <c r="D53" i="24" s="1"/>
  <c r="L37" i="27"/>
  <c r="AP6" i="27" s="1"/>
  <c r="D52" i="24" s="1"/>
  <c r="I37" i="27"/>
  <c r="AM6" i="27" s="1"/>
  <c r="D49" i="24" s="1"/>
  <c r="J37" i="26"/>
  <c r="AN6" i="26" s="1"/>
  <c r="D50" i="23" s="1"/>
  <c r="I37" i="26"/>
  <c r="AM6" i="26" s="1"/>
  <c r="D49" i="23" s="1"/>
  <c r="H37" i="26"/>
  <c r="AL6" i="26" s="1"/>
  <c r="D48" i="23" s="1"/>
  <c r="L37" i="26"/>
  <c r="AP6" i="26" s="1"/>
  <c r="D52" i="23" s="1"/>
  <c r="K37" i="26"/>
  <c r="AO6" i="26" s="1"/>
  <c r="D51" i="23" s="1"/>
  <c r="G37" i="26"/>
  <c r="AK6" i="26" s="1"/>
  <c r="D47" i="23" s="1"/>
  <c r="C41" i="26"/>
  <c r="R41" i="26" s="1"/>
  <c r="N37" i="26"/>
  <c r="AR6" i="26" s="1"/>
  <c r="D54" i="23" s="1"/>
  <c r="M37" i="26"/>
  <c r="AQ6" i="26" s="1"/>
  <c r="D53" i="23" s="1"/>
  <c r="F37" i="26"/>
  <c r="AJ6" i="26" s="1"/>
  <c r="D46" i="23" s="1"/>
  <c r="E37" i="26"/>
  <c r="AI6" i="26" s="1"/>
  <c r="D45" i="23" s="1"/>
  <c r="D37" i="26"/>
  <c r="AH6" i="26" s="1"/>
  <c r="L36" i="25"/>
  <c r="C37" i="25"/>
  <c r="J36" i="25"/>
  <c r="I36" i="25"/>
  <c r="G36" i="25"/>
  <c r="F36" i="25"/>
  <c r="E36" i="25"/>
  <c r="D36" i="25"/>
  <c r="N36" i="25"/>
  <c r="M36" i="25"/>
  <c r="K36" i="25"/>
  <c r="H36" i="25"/>
  <c r="G33" i="20"/>
  <c r="M33" i="20"/>
  <c r="E33" i="20"/>
  <c r="L33" i="20"/>
  <c r="D33" i="20"/>
  <c r="J33" i="20"/>
  <c r="I33" i="20"/>
  <c r="H33" i="20"/>
  <c r="F33" i="20"/>
  <c r="N33" i="20"/>
  <c r="C34" i="20"/>
  <c r="R34" i="20" s="1"/>
  <c r="K33" i="20"/>
  <c r="H34" i="19"/>
  <c r="G34" i="19"/>
  <c r="N34" i="19"/>
  <c r="F34" i="19"/>
  <c r="M34" i="19"/>
  <c r="E34" i="19"/>
  <c r="L34" i="19"/>
  <c r="D34" i="19"/>
  <c r="J34" i="19"/>
  <c r="K34" i="19"/>
  <c r="I34" i="19"/>
  <c r="C35" i="19"/>
  <c r="R35" i="19" s="1"/>
  <c r="N33" i="18"/>
  <c r="F33" i="18"/>
  <c r="M33" i="18"/>
  <c r="E33" i="18"/>
  <c r="L33" i="18"/>
  <c r="D33" i="18"/>
  <c r="J33" i="18"/>
  <c r="I33" i="18"/>
  <c r="H33" i="18"/>
  <c r="G33" i="18"/>
  <c r="K33" i="18"/>
  <c r="C34" i="18"/>
  <c r="R34" i="18" s="1"/>
  <c r="C41" i="1" l="1"/>
  <c r="N37" i="1"/>
  <c r="AR6" i="1" s="1"/>
  <c r="D54" i="8" s="1"/>
  <c r="M37" i="1"/>
  <c r="AQ6" i="1" s="1"/>
  <c r="D53" i="8" s="1"/>
  <c r="K37" i="1"/>
  <c r="AO6" i="1" s="1"/>
  <c r="D51" i="8" s="1"/>
  <c r="L37" i="1"/>
  <c r="AP6" i="1" s="1"/>
  <c r="D52" i="8" s="1"/>
  <c r="E37" i="1"/>
  <c r="AI6" i="1" s="1"/>
  <c r="D45" i="8" s="1"/>
  <c r="F37" i="1"/>
  <c r="AJ6" i="1" s="1"/>
  <c r="D46" i="8" s="1"/>
  <c r="G37" i="1"/>
  <c r="AK6" i="1" s="1"/>
  <c r="D47" i="8" s="1"/>
  <c r="D37" i="1"/>
  <c r="AH6" i="1" s="1"/>
  <c r="H37" i="1"/>
  <c r="AL6" i="1" s="1"/>
  <c r="D48" i="8" s="1"/>
  <c r="I37" i="1"/>
  <c r="AM6" i="1" s="1"/>
  <c r="D49" i="8" s="1"/>
  <c r="J37" i="1"/>
  <c r="AN6" i="1" s="1"/>
  <c r="D50" i="8" s="1"/>
  <c r="R40" i="1"/>
  <c r="R38" i="1"/>
  <c r="R37" i="1"/>
  <c r="R39" i="1"/>
  <c r="R40" i="25"/>
  <c r="R39" i="25"/>
  <c r="R37" i="25"/>
  <c r="R38" i="25"/>
  <c r="D55" i="23"/>
  <c r="D57" i="23" s="1"/>
  <c r="D55" i="24"/>
  <c r="D57" i="24" s="1"/>
  <c r="L41" i="27"/>
  <c r="M41" i="27"/>
  <c r="F41" i="27"/>
  <c r="G41" i="27"/>
  <c r="E41" i="27"/>
  <c r="D41" i="27"/>
  <c r="C42" i="27"/>
  <c r="R42" i="27" s="1"/>
  <c r="J41" i="27"/>
  <c r="I41" i="27"/>
  <c r="H41" i="27"/>
  <c r="N41" i="27"/>
  <c r="K41" i="27"/>
  <c r="N41" i="26"/>
  <c r="I41" i="26"/>
  <c r="C42" i="26"/>
  <c r="R42" i="26" s="1"/>
  <c r="H41" i="26"/>
  <c r="G41" i="26"/>
  <c r="M41" i="26"/>
  <c r="L41" i="26"/>
  <c r="K41" i="26"/>
  <c r="J41" i="26"/>
  <c r="E41" i="26"/>
  <c r="D41" i="26"/>
  <c r="F41" i="26"/>
  <c r="D37" i="25"/>
  <c r="AH6" i="25" s="1"/>
  <c r="N37" i="25"/>
  <c r="AR6" i="25" s="1"/>
  <c r="M37" i="25"/>
  <c r="AQ6" i="25" s="1"/>
  <c r="L37" i="25"/>
  <c r="AP6" i="25" s="1"/>
  <c r="K37" i="25"/>
  <c r="AO6" i="25" s="1"/>
  <c r="J37" i="25"/>
  <c r="AN6" i="25" s="1"/>
  <c r="I37" i="25"/>
  <c r="AM6" i="25" s="1"/>
  <c r="H37" i="25"/>
  <c r="AL6" i="25" s="1"/>
  <c r="G37" i="25"/>
  <c r="AK6" i="25" s="1"/>
  <c r="F37" i="25"/>
  <c r="AJ6" i="25" s="1"/>
  <c r="E37" i="25"/>
  <c r="AI6" i="25" s="1"/>
  <c r="C41" i="25"/>
  <c r="R41" i="25" s="1"/>
  <c r="G34" i="20"/>
  <c r="M34" i="20"/>
  <c r="E34" i="20"/>
  <c r="L34" i="20"/>
  <c r="D34" i="20"/>
  <c r="J34" i="20"/>
  <c r="N34" i="20"/>
  <c r="C35" i="20"/>
  <c r="R35" i="20" s="1"/>
  <c r="K34" i="20"/>
  <c r="I34" i="20"/>
  <c r="H34" i="20"/>
  <c r="F34" i="20"/>
  <c r="H35" i="19"/>
  <c r="G35" i="19"/>
  <c r="N35" i="19"/>
  <c r="F35" i="19"/>
  <c r="M35" i="19"/>
  <c r="E35" i="19"/>
  <c r="L35" i="19"/>
  <c r="D35" i="19"/>
  <c r="J35" i="19"/>
  <c r="C36" i="19"/>
  <c r="R36" i="19" s="1"/>
  <c r="I35" i="19"/>
  <c r="K35" i="19"/>
  <c r="N34" i="18"/>
  <c r="F34" i="18"/>
  <c r="M34" i="18"/>
  <c r="E34" i="18"/>
  <c r="L34" i="18"/>
  <c r="D34" i="18"/>
  <c r="J34" i="18"/>
  <c r="C35" i="18"/>
  <c r="R35" i="18" s="1"/>
  <c r="K34" i="18"/>
  <c r="I34" i="18"/>
  <c r="H34" i="18"/>
  <c r="G34" i="18"/>
  <c r="D54" i="22" l="1"/>
  <c r="D45" i="22"/>
  <c r="D46" i="22"/>
  <c r="D48" i="22"/>
  <c r="D49" i="22"/>
  <c r="D50" i="22"/>
  <c r="D47" i="22"/>
  <c r="D51" i="22"/>
  <c r="D52" i="22"/>
  <c r="D53" i="22"/>
  <c r="D55" i="8"/>
  <c r="D57" i="8" s="1"/>
  <c r="C42" i="1"/>
  <c r="H41" i="1"/>
  <c r="E41" i="1"/>
  <c r="D41" i="1"/>
  <c r="I41" i="1"/>
  <c r="F41" i="1"/>
  <c r="G41" i="1"/>
  <c r="L41" i="1"/>
  <c r="K41" i="1"/>
  <c r="N41" i="1"/>
  <c r="M41" i="1"/>
  <c r="J41" i="1"/>
  <c r="R41" i="1"/>
  <c r="G42" i="27"/>
  <c r="D42" i="27"/>
  <c r="H42" i="27"/>
  <c r="K42" i="27"/>
  <c r="J42" i="27"/>
  <c r="I42" i="27"/>
  <c r="F42" i="27"/>
  <c r="E42" i="27"/>
  <c r="C43" i="27"/>
  <c r="R43" i="27" s="1"/>
  <c r="N42" i="27"/>
  <c r="M42" i="27"/>
  <c r="L42" i="27"/>
  <c r="F42" i="26"/>
  <c r="K42" i="26"/>
  <c r="C43" i="26"/>
  <c r="R43" i="26" s="1"/>
  <c r="J42" i="26"/>
  <c r="D42" i="26"/>
  <c r="H42" i="26"/>
  <c r="G42" i="26"/>
  <c r="E42" i="26"/>
  <c r="N42" i="26"/>
  <c r="M42" i="26"/>
  <c r="L42" i="26"/>
  <c r="I42" i="26"/>
  <c r="H41" i="25"/>
  <c r="L41" i="25"/>
  <c r="K41" i="25"/>
  <c r="N41" i="25"/>
  <c r="M41" i="25"/>
  <c r="J41" i="25"/>
  <c r="I41" i="25"/>
  <c r="C42" i="25"/>
  <c r="R42" i="25" s="1"/>
  <c r="G41" i="25"/>
  <c r="F41" i="25"/>
  <c r="E41" i="25"/>
  <c r="D41" i="25"/>
  <c r="G35" i="20"/>
  <c r="M35" i="20"/>
  <c r="E35" i="20"/>
  <c r="L35" i="20"/>
  <c r="D35" i="20"/>
  <c r="J35" i="20"/>
  <c r="I35" i="20"/>
  <c r="H35" i="20"/>
  <c r="F35" i="20"/>
  <c r="N35" i="20"/>
  <c r="C36" i="20"/>
  <c r="R36" i="20" s="1"/>
  <c r="K35" i="20"/>
  <c r="H36" i="19"/>
  <c r="G36" i="19"/>
  <c r="N36" i="19"/>
  <c r="F36" i="19"/>
  <c r="M36" i="19"/>
  <c r="E36" i="19"/>
  <c r="L36" i="19"/>
  <c r="D36" i="19"/>
  <c r="J36" i="19"/>
  <c r="C37" i="19"/>
  <c r="K36" i="19"/>
  <c r="I36" i="19"/>
  <c r="N35" i="18"/>
  <c r="F35" i="18"/>
  <c r="M35" i="18"/>
  <c r="E35" i="18"/>
  <c r="L35" i="18"/>
  <c r="D35" i="18"/>
  <c r="J35" i="18"/>
  <c r="I35" i="18"/>
  <c r="H35" i="18"/>
  <c r="K35" i="18"/>
  <c r="G35" i="18"/>
  <c r="C36" i="18"/>
  <c r="R36" i="18" s="1"/>
  <c r="D55" i="22" l="1"/>
  <c r="D57" i="22" s="1"/>
  <c r="C43" i="1"/>
  <c r="N42" i="1"/>
  <c r="K42" i="1"/>
  <c r="H42" i="1"/>
  <c r="J42" i="1"/>
  <c r="I42" i="1"/>
  <c r="M42" i="1"/>
  <c r="G42" i="1"/>
  <c r="E42" i="1"/>
  <c r="L42" i="1"/>
  <c r="F42" i="1"/>
  <c r="D42" i="1"/>
  <c r="R42" i="1"/>
  <c r="R40" i="19"/>
  <c r="R39" i="19"/>
  <c r="R38" i="19"/>
  <c r="R37" i="19"/>
  <c r="L43" i="27"/>
  <c r="M43" i="27"/>
  <c r="N43" i="27"/>
  <c r="K43" i="27"/>
  <c r="J43" i="27"/>
  <c r="I43" i="27"/>
  <c r="H43" i="27"/>
  <c r="G43" i="27"/>
  <c r="E43" i="27"/>
  <c r="D43" i="27"/>
  <c r="C44" i="27"/>
  <c r="R44" i="27" s="1"/>
  <c r="F43" i="27"/>
  <c r="N43" i="26"/>
  <c r="D43" i="26"/>
  <c r="C44" i="26"/>
  <c r="R44" i="26" s="1"/>
  <c r="E43" i="26"/>
  <c r="M43" i="26"/>
  <c r="L43" i="26"/>
  <c r="K43" i="26"/>
  <c r="J43" i="26"/>
  <c r="I43" i="26"/>
  <c r="G43" i="26"/>
  <c r="F43" i="26"/>
  <c r="H43" i="26"/>
  <c r="E42" i="25"/>
  <c r="D42" i="25"/>
  <c r="J42" i="25"/>
  <c r="I42" i="25"/>
  <c r="C43" i="25"/>
  <c r="R43" i="25" s="1"/>
  <c r="H42" i="25"/>
  <c r="G42" i="25"/>
  <c r="F42" i="25"/>
  <c r="N42" i="25"/>
  <c r="M42" i="25"/>
  <c r="L42" i="25"/>
  <c r="K42" i="25"/>
  <c r="G36" i="20"/>
  <c r="M36" i="20"/>
  <c r="E36" i="20"/>
  <c r="L36" i="20"/>
  <c r="D36" i="20"/>
  <c r="J36" i="20"/>
  <c r="N36" i="20"/>
  <c r="H36" i="20"/>
  <c r="C37" i="20"/>
  <c r="K36" i="20"/>
  <c r="I36" i="20"/>
  <c r="F36" i="20"/>
  <c r="H37" i="19"/>
  <c r="AL6" i="19" s="1"/>
  <c r="D48" i="12" s="1"/>
  <c r="C41" i="19"/>
  <c r="R41" i="19" s="1"/>
  <c r="G37" i="19"/>
  <c r="AK6" i="19" s="1"/>
  <c r="D47" i="12" s="1"/>
  <c r="N37" i="19"/>
  <c r="AR6" i="19" s="1"/>
  <c r="D54" i="12" s="1"/>
  <c r="F37" i="19"/>
  <c r="AJ6" i="19" s="1"/>
  <c r="D46" i="12" s="1"/>
  <c r="M37" i="19"/>
  <c r="AQ6" i="19" s="1"/>
  <c r="D53" i="12" s="1"/>
  <c r="E37" i="19"/>
  <c r="AI6" i="19" s="1"/>
  <c r="L37" i="19"/>
  <c r="AP6" i="19" s="1"/>
  <c r="D52" i="12" s="1"/>
  <c r="D37" i="19"/>
  <c r="AH6" i="19" s="1"/>
  <c r="J37" i="19"/>
  <c r="AN6" i="19" s="1"/>
  <c r="D50" i="12" s="1"/>
  <c r="K37" i="19"/>
  <c r="AO6" i="19" s="1"/>
  <c r="D51" i="12" s="1"/>
  <c r="I37" i="19"/>
  <c r="AM6" i="19" s="1"/>
  <c r="D49" i="12" s="1"/>
  <c r="N36" i="18"/>
  <c r="F36" i="18"/>
  <c r="M36" i="18"/>
  <c r="E36" i="18"/>
  <c r="L36" i="18"/>
  <c r="D36" i="18"/>
  <c r="J36" i="18"/>
  <c r="C37" i="18"/>
  <c r="K36" i="18"/>
  <c r="I36" i="18"/>
  <c r="H36" i="18"/>
  <c r="G36" i="18"/>
  <c r="C44" i="1" l="1"/>
  <c r="F43" i="1"/>
  <c r="J43" i="1"/>
  <c r="G43" i="1"/>
  <c r="I43" i="1"/>
  <c r="H43" i="1"/>
  <c r="E43" i="1"/>
  <c r="D43" i="1"/>
  <c r="K43" i="1"/>
  <c r="L43" i="1"/>
  <c r="M43" i="1"/>
  <c r="N43" i="1"/>
  <c r="R43" i="1"/>
  <c r="R37" i="20"/>
  <c r="R39" i="20"/>
  <c r="R40" i="20"/>
  <c r="R38" i="20"/>
  <c r="R40" i="18"/>
  <c r="R37" i="18"/>
  <c r="R38" i="18"/>
  <c r="R39" i="18"/>
  <c r="G44" i="27"/>
  <c r="D44" i="27"/>
  <c r="N44" i="27"/>
  <c r="L44" i="27"/>
  <c r="I44" i="27"/>
  <c r="M44" i="27"/>
  <c r="K44" i="27"/>
  <c r="C45" i="27"/>
  <c r="R45" i="27" s="1"/>
  <c r="J44" i="27"/>
  <c r="H44" i="27"/>
  <c r="F44" i="27"/>
  <c r="E44" i="27"/>
  <c r="F44" i="26"/>
  <c r="N44" i="26"/>
  <c r="M44" i="26"/>
  <c r="L44" i="26"/>
  <c r="G44" i="26"/>
  <c r="E44" i="26"/>
  <c r="D44" i="26"/>
  <c r="C45" i="26"/>
  <c r="R45" i="26" s="1"/>
  <c r="K44" i="26"/>
  <c r="J44" i="26"/>
  <c r="I44" i="26"/>
  <c r="H44" i="26"/>
  <c r="H43" i="25"/>
  <c r="N43" i="25"/>
  <c r="E43" i="25"/>
  <c r="D43" i="25"/>
  <c r="C44" i="25"/>
  <c r="R44" i="25" s="1"/>
  <c r="M43" i="25"/>
  <c r="L43" i="25"/>
  <c r="K43" i="25"/>
  <c r="J43" i="25"/>
  <c r="I43" i="25"/>
  <c r="G43" i="25"/>
  <c r="F43" i="25"/>
  <c r="D45" i="12"/>
  <c r="D55" i="12" s="1"/>
  <c r="D57" i="12" s="1"/>
  <c r="C41" i="20"/>
  <c r="R41" i="20" s="1"/>
  <c r="G37" i="20"/>
  <c r="AK6" i="20" s="1"/>
  <c r="M37" i="20"/>
  <c r="AQ6" i="20" s="1"/>
  <c r="E37" i="20"/>
  <c r="AI6" i="20" s="1"/>
  <c r="L37" i="20"/>
  <c r="AP6" i="20" s="1"/>
  <c r="D37" i="20"/>
  <c r="AH6" i="20" s="1"/>
  <c r="J37" i="20"/>
  <c r="AN6" i="20" s="1"/>
  <c r="I37" i="20"/>
  <c r="AM6" i="20" s="1"/>
  <c r="H37" i="20"/>
  <c r="AL6" i="20" s="1"/>
  <c r="F37" i="20"/>
  <c r="AJ6" i="20" s="1"/>
  <c r="N37" i="20"/>
  <c r="AR6" i="20" s="1"/>
  <c r="K37" i="20"/>
  <c r="AO6" i="20" s="1"/>
  <c r="L41" i="19"/>
  <c r="D41" i="19"/>
  <c r="C42" i="19"/>
  <c r="R42" i="19" s="1"/>
  <c r="K41" i="19"/>
  <c r="J41" i="19"/>
  <c r="I41" i="19"/>
  <c r="H41" i="19"/>
  <c r="N41" i="19"/>
  <c r="F41" i="19"/>
  <c r="M41" i="19"/>
  <c r="G41" i="19"/>
  <c r="E41" i="19"/>
  <c r="N37" i="18"/>
  <c r="AR6" i="18" s="1"/>
  <c r="F37" i="18"/>
  <c r="AJ6" i="18" s="1"/>
  <c r="M37" i="18"/>
  <c r="AQ6" i="18" s="1"/>
  <c r="E37" i="18"/>
  <c r="AI6" i="18" s="1"/>
  <c r="L37" i="18"/>
  <c r="AP6" i="18" s="1"/>
  <c r="D37" i="18"/>
  <c r="AH6" i="18" s="1"/>
  <c r="J37" i="18"/>
  <c r="AN6" i="18" s="1"/>
  <c r="I37" i="18"/>
  <c r="AM6" i="18" s="1"/>
  <c r="H37" i="18"/>
  <c r="AL6" i="18" s="1"/>
  <c r="G37" i="18"/>
  <c r="AK6" i="18" s="1"/>
  <c r="K37" i="18"/>
  <c r="AO6" i="18" s="1"/>
  <c r="C41" i="18"/>
  <c r="R41" i="18" s="1"/>
  <c r="C45" i="1" l="1"/>
  <c r="H44" i="1"/>
  <c r="K44" i="1"/>
  <c r="L44" i="1"/>
  <c r="N44" i="1"/>
  <c r="M44" i="1"/>
  <c r="D44" i="1"/>
  <c r="F44" i="1"/>
  <c r="E44" i="1"/>
  <c r="G44" i="1"/>
  <c r="J44" i="1"/>
  <c r="I44" i="1"/>
  <c r="R44" i="1"/>
  <c r="L45" i="27"/>
  <c r="H45" i="27"/>
  <c r="C46" i="27"/>
  <c r="R46" i="27" s="1"/>
  <c r="G45" i="27"/>
  <c r="D45" i="27"/>
  <c r="N45" i="27"/>
  <c r="F45" i="27"/>
  <c r="E45" i="27"/>
  <c r="M45" i="27"/>
  <c r="K45" i="27"/>
  <c r="J45" i="27"/>
  <c r="I45" i="27"/>
  <c r="N45" i="26"/>
  <c r="G45" i="26"/>
  <c r="F45" i="26"/>
  <c r="K45" i="26"/>
  <c r="J45" i="26"/>
  <c r="I45" i="26"/>
  <c r="C46" i="26"/>
  <c r="R46" i="26" s="1"/>
  <c r="M45" i="26"/>
  <c r="L45" i="26"/>
  <c r="H45" i="26"/>
  <c r="D45" i="26"/>
  <c r="E45" i="26"/>
  <c r="H44" i="25"/>
  <c r="G44" i="25"/>
  <c r="N44" i="25"/>
  <c r="I44" i="25"/>
  <c r="F44" i="25"/>
  <c r="E44" i="25"/>
  <c r="D44" i="25"/>
  <c r="C45" i="25"/>
  <c r="R45" i="25" s="1"/>
  <c r="M44" i="25"/>
  <c r="L44" i="25"/>
  <c r="K44" i="25"/>
  <c r="J44" i="25"/>
  <c r="C42" i="20"/>
  <c r="R42" i="20" s="1"/>
  <c r="K41" i="20"/>
  <c r="I41" i="20"/>
  <c r="H41" i="20"/>
  <c r="N41" i="20"/>
  <c r="F41" i="20"/>
  <c r="M41" i="20"/>
  <c r="L41" i="20"/>
  <c r="J41" i="20"/>
  <c r="G41" i="20"/>
  <c r="E41" i="20"/>
  <c r="D41" i="20"/>
  <c r="L42" i="19"/>
  <c r="D42" i="19"/>
  <c r="C43" i="19"/>
  <c r="R43" i="19" s="1"/>
  <c r="K42" i="19"/>
  <c r="J42" i="19"/>
  <c r="I42" i="19"/>
  <c r="H42" i="19"/>
  <c r="N42" i="19"/>
  <c r="F42" i="19"/>
  <c r="E42" i="19"/>
  <c r="M42" i="19"/>
  <c r="G42" i="19"/>
  <c r="J41" i="18"/>
  <c r="I41" i="18"/>
  <c r="H41" i="18"/>
  <c r="N41" i="18"/>
  <c r="F41" i="18"/>
  <c r="M41" i="18"/>
  <c r="L41" i="18"/>
  <c r="C42" i="18"/>
  <c r="R42" i="18" s="1"/>
  <c r="K41" i="18"/>
  <c r="G41" i="18"/>
  <c r="E41" i="18"/>
  <c r="D41" i="18"/>
  <c r="C46" i="1" l="1"/>
  <c r="M45" i="1"/>
  <c r="D45" i="1"/>
  <c r="G45" i="1"/>
  <c r="J45" i="1"/>
  <c r="E45" i="1"/>
  <c r="F45" i="1"/>
  <c r="H45" i="1"/>
  <c r="I45" i="1"/>
  <c r="N45" i="1"/>
  <c r="L45" i="1"/>
  <c r="K45" i="1"/>
  <c r="R45" i="1"/>
  <c r="G46" i="27"/>
  <c r="D46" i="27"/>
  <c r="L46" i="27"/>
  <c r="N46" i="27"/>
  <c r="M46" i="27"/>
  <c r="E46" i="27"/>
  <c r="C47" i="27"/>
  <c r="R47" i="27" s="1"/>
  <c r="K46" i="27"/>
  <c r="J46" i="27"/>
  <c r="I46" i="27"/>
  <c r="H46" i="27"/>
  <c r="F46" i="27"/>
  <c r="F46" i="26"/>
  <c r="G46" i="26"/>
  <c r="E46" i="26"/>
  <c r="D46" i="26"/>
  <c r="C47" i="26"/>
  <c r="R47" i="26" s="1"/>
  <c r="I46" i="26"/>
  <c r="H46" i="26"/>
  <c r="N46" i="26"/>
  <c r="M46" i="26"/>
  <c r="L46" i="26"/>
  <c r="K46" i="26"/>
  <c r="J46" i="26"/>
  <c r="H45" i="25"/>
  <c r="N45" i="25"/>
  <c r="M45" i="25"/>
  <c r="L45" i="25"/>
  <c r="K45" i="25"/>
  <c r="J45" i="25"/>
  <c r="I45" i="25"/>
  <c r="G45" i="25"/>
  <c r="F45" i="25"/>
  <c r="E45" i="25"/>
  <c r="D45" i="25"/>
  <c r="C46" i="25"/>
  <c r="R46" i="25" s="1"/>
  <c r="C43" i="20"/>
  <c r="R43" i="20" s="1"/>
  <c r="K42" i="20"/>
  <c r="I42" i="20"/>
  <c r="H42" i="20"/>
  <c r="N42" i="20"/>
  <c r="F42" i="20"/>
  <c r="E42" i="20"/>
  <c r="D42" i="20"/>
  <c r="L42" i="20"/>
  <c r="M42" i="20"/>
  <c r="J42" i="20"/>
  <c r="G42" i="20"/>
  <c r="L43" i="19"/>
  <c r="D43" i="19"/>
  <c r="C44" i="19"/>
  <c r="R44" i="19" s="1"/>
  <c r="K43" i="19"/>
  <c r="J43" i="19"/>
  <c r="I43" i="19"/>
  <c r="H43" i="19"/>
  <c r="N43" i="19"/>
  <c r="F43" i="19"/>
  <c r="M43" i="19"/>
  <c r="G43" i="19"/>
  <c r="E43" i="19"/>
  <c r="J42" i="18"/>
  <c r="I42" i="18"/>
  <c r="H42" i="18"/>
  <c r="N42" i="18"/>
  <c r="F42" i="18"/>
  <c r="E42" i="18"/>
  <c r="D42" i="18"/>
  <c r="M42" i="18"/>
  <c r="L42" i="18"/>
  <c r="G42" i="18"/>
  <c r="C43" i="18"/>
  <c r="R43" i="18" s="1"/>
  <c r="K42" i="18"/>
  <c r="C47" i="1" l="1"/>
  <c r="E46" i="1"/>
  <c r="I46" i="1"/>
  <c r="F46" i="1"/>
  <c r="H46" i="1"/>
  <c r="G46" i="1"/>
  <c r="J46" i="1"/>
  <c r="L46" i="1"/>
  <c r="K46" i="1"/>
  <c r="M46" i="1"/>
  <c r="N46" i="1"/>
  <c r="D46" i="1"/>
  <c r="R46" i="1"/>
  <c r="L47" i="27"/>
  <c r="N47" i="27"/>
  <c r="M47" i="27"/>
  <c r="I47" i="27"/>
  <c r="K47" i="27"/>
  <c r="J47" i="27"/>
  <c r="G47" i="27"/>
  <c r="F47" i="27"/>
  <c r="E47" i="27"/>
  <c r="D47" i="27"/>
  <c r="C48" i="27"/>
  <c r="R48" i="27" s="1"/>
  <c r="H47" i="27"/>
  <c r="N47" i="26"/>
  <c r="C48" i="26"/>
  <c r="R48" i="26" s="1"/>
  <c r="J47" i="26"/>
  <c r="I47" i="26"/>
  <c r="D47" i="26"/>
  <c r="M47" i="26"/>
  <c r="L47" i="26"/>
  <c r="K47" i="26"/>
  <c r="F47" i="26"/>
  <c r="E47" i="26"/>
  <c r="H47" i="26"/>
  <c r="G47" i="26"/>
  <c r="K46" i="25"/>
  <c r="C47" i="25"/>
  <c r="R47" i="25" s="1"/>
  <c r="J46" i="25"/>
  <c r="L46" i="25"/>
  <c r="I46" i="25"/>
  <c r="H46" i="25"/>
  <c r="G46" i="25"/>
  <c r="F46" i="25"/>
  <c r="E46" i="25"/>
  <c r="N46" i="25"/>
  <c r="M46" i="25"/>
  <c r="D46" i="25"/>
  <c r="C44" i="20"/>
  <c r="R44" i="20" s="1"/>
  <c r="K43" i="20"/>
  <c r="I43" i="20"/>
  <c r="H43" i="20"/>
  <c r="N43" i="20"/>
  <c r="F43" i="20"/>
  <c r="M43" i="20"/>
  <c r="L43" i="20"/>
  <c r="J43" i="20"/>
  <c r="G43" i="20"/>
  <c r="D43" i="20"/>
  <c r="E43" i="20"/>
  <c r="L44" i="19"/>
  <c r="D44" i="19"/>
  <c r="C45" i="19"/>
  <c r="R45" i="19" s="1"/>
  <c r="K44" i="19"/>
  <c r="J44" i="19"/>
  <c r="I44" i="19"/>
  <c r="H44" i="19"/>
  <c r="N44" i="19"/>
  <c r="F44" i="19"/>
  <c r="G44" i="19"/>
  <c r="E44" i="19"/>
  <c r="M44" i="19"/>
  <c r="J43" i="18"/>
  <c r="I43" i="18"/>
  <c r="H43" i="18"/>
  <c r="N43" i="18"/>
  <c r="F43" i="18"/>
  <c r="M43" i="18"/>
  <c r="L43" i="18"/>
  <c r="C44" i="18"/>
  <c r="R44" i="18" s="1"/>
  <c r="K43" i="18"/>
  <c r="G43" i="18"/>
  <c r="E43" i="18"/>
  <c r="D43" i="18"/>
  <c r="C48" i="1" l="1"/>
  <c r="G47" i="1"/>
  <c r="J47" i="1"/>
  <c r="N47" i="1"/>
  <c r="K47" i="1"/>
  <c r="M47" i="1"/>
  <c r="L47" i="1"/>
  <c r="H47" i="1"/>
  <c r="D47" i="1"/>
  <c r="E47" i="1"/>
  <c r="F47" i="1"/>
  <c r="I47" i="1"/>
  <c r="R47" i="1"/>
  <c r="G48" i="27"/>
  <c r="D48" i="27"/>
  <c r="J48" i="27"/>
  <c r="N48" i="27"/>
  <c r="K48" i="27"/>
  <c r="M48" i="27"/>
  <c r="H48" i="27"/>
  <c r="L48" i="27"/>
  <c r="I48" i="27"/>
  <c r="F48" i="27"/>
  <c r="E48" i="27"/>
  <c r="C49" i="27"/>
  <c r="R49" i="27" s="1"/>
  <c r="F48" i="26"/>
  <c r="N48" i="26"/>
  <c r="C49" i="26"/>
  <c r="R49" i="26" s="1"/>
  <c r="D48" i="26"/>
  <c r="H48" i="26"/>
  <c r="G48" i="26"/>
  <c r="E48" i="26"/>
  <c r="M48" i="26"/>
  <c r="L48" i="26"/>
  <c r="K48" i="26"/>
  <c r="J48" i="26"/>
  <c r="I48" i="26"/>
  <c r="H47" i="25"/>
  <c r="D47" i="25"/>
  <c r="C48" i="25"/>
  <c r="R48" i="25" s="1"/>
  <c r="G47" i="25"/>
  <c r="F47" i="25"/>
  <c r="E47" i="25"/>
  <c r="N47" i="25"/>
  <c r="M47" i="25"/>
  <c r="L47" i="25"/>
  <c r="K47" i="25"/>
  <c r="J47" i="25"/>
  <c r="I47" i="25"/>
  <c r="C45" i="20"/>
  <c r="R45" i="20" s="1"/>
  <c r="K44" i="20"/>
  <c r="I44" i="20"/>
  <c r="H44" i="20"/>
  <c r="N44" i="20"/>
  <c r="F44" i="20"/>
  <c r="E44" i="20"/>
  <c r="D44" i="20"/>
  <c r="M44" i="20"/>
  <c r="L44" i="20"/>
  <c r="J44" i="20"/>
  <c r="G44" i="20"/>
  <c r="L45" i="19"/>
  <c r="D45" i="19"/>
  <c r="C46" i="19"/>
  <c r="R46" i="19" s="1"/>
  <c r="K45" i="19"/>
  <c r="J45" i="19"/>
  <c r="I45" i="19"/>
  <c r="H45" i="19"/>
  <c r="N45" i="19"/>
  <c r="F45" i="19"/>
  <c r="M45" i="19"/>
  <c r="G45" i="19"/>
  <c r="E45" i="19"/>
  <c r="J44" i="18"/>
  <c r="I44" i="18"/>
  <c r="H44" i="18"/>
  <c r="N44" i="18"/>
  <c r="F44" i="18"/>
  <c r="E44" i="18"/>
  <c r="D44" i="18"/>
  <c r="G44" i="18"/>
  <c r="M44" i="18"/>
  <c r="L44" i="18"/>
  <c r="C45" i="18"/>
  <c r="R45" i="18" s="1"/>
  <c r="K44" i="18"/>
  <c r="C49" i="1" l="1"/>
  <c r="L48" i="1"/>
  <c r="J48" i="1"/>
  <c r="M48" i="1"/>
  <c r="K48" i="1"/>
  <c r="E48" i="1"/>
  <c r="N48" i="1"/>
  <c r="D48" i="1"/>
  <c r="F48" i="1"/>
  <c r="I48" i="1"/>
  <c r="G48" i="1"/>
  <c r="H48" i="1"/>
  <c r="R48" i="1"/>
  <c r="L49" i="27"/>
  <c r="D49" i="27"/>
  <c r="I49" i="27"/>
  <c r="F49" i="27"/>
  <c r="K49" i="27"/>
  <c r="G49" i="27"/>
  <c r="J49" i="27"/>
  <c r="H49" i="27"/>
  <c r="N49" i="27"/>
  <c r="C50" i="27"/>
  <c r="R50" i="27" s="1"/>
  <c r="M49" i="27"/>
  <c r="E49" i="27"/>
  <c r="N49" i="26"/>
  <c r="M49" i="26"/>
  <c r="L49" i="26"/>
  <c r="K49" i="26"/>
  <c r="J49" i="26"/>
  <c r="I49" i="26"/>
  <c r="C50" i="26"/>
  <c r="R50" i="26" s="1"/>
  <c r="H49" i="26"/>
  <c r="G49" i="26"/>
  <c r="E49" i="26"/>
  <c r="D49" i="26"/>
  <c r="F49" i="26"/>
  <c r="N48" i="25"/>
  <c r="M48" i="25"/>
  <c r="G48" i="25"/>
  <c r="F48" i="25"/>
  <c r="E48" i="25"/>
  <c r="D48" i="25"/>
  <c r="C49" i="25"/>
  <c r="R49" i="25" s="1"/>
  <c r="L48" i="25"/>
  <c r="K48" i="25"/>
  <c r="J48" i="25"/>
  <c r="I48" i="25"/>
  <c r="H48" i="25"/>
  <c r="C46" i="20"/>
  <c r="R46" i="20" s="1"/>
  <c r="K45" i="20"/>
  <c r="J45" i="20"/>
  <c r="I45" i="20"/>
  <c r="H45" i="20"/>
  <c r="N45" i="20"/>
  <c r="F45" i="20"/>
  <c r="M45" i="20"/>
  <c r="L45" i="20"/>
  <c r="G45" i="20"/>
  <c r="D45" i="20"/>
  <c r="E45" i="20"/>
  <c r="L46" i="19"/>
  <c r="D46" i="19"/>
  <c r="C47" i="19"/>
  <c r="R47" i="19" s="1"/>
  <c r="K46" i="19"/>
  <c r="J46" i="19"/>
  <c r="I46" i="19"/>
  <c r="H46" i="19"/>
  <c r="N46" i="19"/>
  <c r="F46" i="19"/>
  <c r="E46" i="19"/>
  <c r="M46" i="19"/>
  <c r="G46" i="19"/>
  <c r="J45" i="18"/>
  <c r="I45" i="18"/>
  <c r="H45" i="18"/>
  <c r="N45" i="18"/>
  <c r="F45" i="18"/>
  <c r="M45" i="18"/>
  <c r="L45" i="18"/>
  <c r="C46" i="18"/>
  <c r="R46" i="18" s="1"/>
  <c r="K45" i="18"/>
  <c r="G45" i="18"/>
  <c r="E45" i="18"/>
  <c r="D45" i="18"/>
  <c r="C50" i="1" l="1"/>
  <c r="D49" i="1"/>
  <c r="H49" i="1"/>
  <c r="E49" i="1"/>
  <c r="G49" i="1"/>
  <c r="F49" i="1"/>
  <c r="K49" i="1"/>
  <c r="L49" i="1"/>
  <c r="M49" i="1"/>
  <c r="J49" i="1"/>
  <c r="I49" i="1"/>
  <c r="N49" i="1"/>
  <c r="R49" i="1"/>
  <c r="G50" i="27"/>
  <c r="D50" i="27"/>
  <c r="E50" i="27"/>
  <c r="J50" i="27"/>
  <c r="F50" i="27"/>
  <c r="I50" i="27"/>
  <c r="H50" i="27"/>
  <c r="C51" i="27"/>
  <c r="R51" i="27" s="1"/>
  <c r="N50" i="27"/>
  <c r="M50" i="27"/>
  <c r="L50" i="27"/>
  <c r="K50" i="27"/>
  <c r="F50" i="26"/>
  <c r="G50" i="26"/>
  <c r="E50" i="26"/>
  <c r="I50" i="26"/>
  <c r="C51" i="26"/>
  <c r="R51" i="26" s="1"/>
  <c r="H50" i="26"/>
  <c r="D50" i="26"/>
  <c r="J50" i="26"/>
  <c r="N50" i="26"/>
  <c r="M50" i="26"/>
  <c r="L50" i="26"/>
  <c r="K50" i="26"/>
  <c r="H49" i="25"/>
  <c r="G49" i="25"/>
  <c r="F49" i="25"/>
  <c r="N49" i="25"/>
  <c r="M49" i="25"/>
  <c r="L49" i="25"/>
  <c r="K49" i="25"/>
  <c r="J49" i="25"/>
  <c r="I49" i="25"/>
  <c r="E49" i="25"/>
  <c r="D49" i="25"/>
  <c r="C50" i="25"/>
  <c r="R50" i="25" s="1"/>
  <c r="L46" i="20"/>
  <c r="M46" i="20"/>
  <c r="D46" i="20"/>
  <c r="K46" i="20"/>
  <c r="J46" i="20"/>
  <c r="I46" i="20"/>
  <c r="H46" i="20"/>
  <c r="C47" i="20"/>
  <c r="R47" i="20" s="1"/>
  <c r="F46" i="20"/>
  <c r="N46" i="20"/>
  <c r="E46" i="20"/>
  <c r="G46" i="20"/>
  <c r="L47" i="19"/>
  <c r="D47" i="19"/>
  <c r="C48" i="19"/>
  <c r="R48" i="19" s="1"/>
  <c r="K47" i="19"/>
  <c r="J47" i="19"/>
  <c r="I47" i="19"/>
  <c r="H47" i="19"/>
  <c r="N47" i="19"/>
  <c r="F47" i="19"/>
  <c r="M47" i="19"/>
  <c r="G47" i="19"/>
  <c r="E47" i="19"/>
  <c r="J46" i="18"/>
  <c r="I46" i="18"/>
  <c r="H46" i="18"/>
  <c r="N46" i="18"/>
  <c r="F46" i="18"/>
  <c r="E46" i="18"/>
  <c r="D46" i="18"/>
  <c r="G46" i="18"/>
  <c r="M46" i="18"/>
  <c r="L46" i="18"/>
  <c r="C47" i="18"/>
  <c r="R47" i="18" s="1"/>
  <c r="K46" i="18"/>
  <c r="C51" i="1" l="1"/>
  <c r="F50" i="1"/>
  <c r="I50" i="1"/>
  <c r="M50" i="1"/>
  <c r="J50" i="1"/>
  <c r="L50" i="1"/>
  <c r="K50" i="1"/>
  <c r="D50" i="1"/>
  <c r="E50" i="1"/>
  <c r="G50" i="1"/>
  <c r="N50" i="1"/>
  <c r="H50" i="1"/>
  <c r="R50" i="1"/>
  <c r="L51" i="27"/>
  <c r="J51" i="27"/>
  <c r="G51" i="27"/>
  <c r="D51" i="27"/>
  <c r="C52" i="27"/>
  <c r="R52" i="27" s="1"/>
  <c r="F51" i="27"/>
  <c r="E51" i="27"/>
  <c r="I51" i="27"/>
  <c r="H51" i="27"/>
  <c r="N51" i="27"/>
  <c r="M51" i="27"/>
  <c r="K51" i="27"/>
  <c r="N51" i="26"/>
  <c r="D51" i="26"/>
  <c r="C52" i="26"/>
  <c r="R52" i="26" s="1"/>
  <c r="E51" i="26"/>
  <c r="M51" i="26"/>
  <c r="L51" i="26"/>
  <c r="K51" i="26"/>
  <c r="J51" i="26"/>
  <c r="I51" i="26"/>
  <c r="G51" i="26"/>
  <c r="F51" i="26"/>
  <c r="H51" i="26"/>
  <c r="L50" i="25"/>
  <c r="K50" i="25"/>
  <c r="J50" i="25"/>
  <c r="I50" i="25"/>
  <c r="C51" i="25"/>
  <c r="R51" i="25" s="1"/>
  <c r="H50" i="25"/>
  <c r="G50" i="25"/>
  <c r="N50" i="25"/>
  <c r="M50" i="25"/>
  <c r="F50" i="25"/>
  <c r="E50" i="25"/>
  <c r="D50" i="25"/>
  <c r="I47" i="20"/>
  <c r="H47" i="20"/>
  <c r="L47" i="20"/>
  <c r="D47" i="20"/>
  <c r="M47" i="20"/>
  <c r="K47" i="20"/>
  <c r="J47" i="20"/>
  <c r="G47" i="20"/>
  <c r="F47" i="20"/>
  <c r="E47" i="20"/>
  <c r="C48" i="20"/>
  <c r="R48" i="20" s="1"/>
  <c r="N47" i="20"/>
  <c r="L48" i="19"/>
  <c r="D48" i="19"/>
  <c r="C49" i="19"/>
  <c r="R49" i="19" s="1"/>
  <c r="K48" i="19"/>
  <c r="J48" i="19"/>
  <c r="I48" i="19"/>
  <c r="H48" i="19"/>
  <c r="N48" i="19"/>
  <c r="F48" i="19"/>
  <c r="G48" i="19"/>
  <c r="E48" i="19"/>
  <c r="M48" i="19"/>
  <c r="J47" i="18"/>
  <c r="I47" i="18"/>
  <c r="H47" i="18"/>
  <c r="N47" i="18"/>
  <c r="F47" i="18"/>
  <c r="M47" i="18"/>
  <c r="L47" i="18"/>
  <c r="C48" i="18"/>
  <c r="R48" i="18" s="1"/>
  <c r="K47" i="18"/>
  <c r="G47" i="18"/>
  <c r="E47" i="18"/>
  <c r="D47" i="18"/>
  <c r="C52" i="1" l="1"/>
  <c r="K51" i="1"/>
  <c r="N51" i="1"/>
  <c r="E51" i="1"/>
  <c r="G51" i="1"/>
  <c r="F51" i="1"/>
  <c r="J51" i="1"/>
  <c r="H51" i="1"/>
  <c r="L51" i="1"/>
  <c r="I51" i="1"/>
  <c r="M51" i="1"/>
  <c r="D51" i="1"/>
  <c r="R51" i="1"/>
  <c r="G52" i="27"/>
  <c r="D52" i="27"/>
  <c r="E52" i="27"/>
  <c r="N52" i="27"/>
  <c r="L52" i="27"/>
  <c r="F52" i="27"/>
  <c r="C53" i="27"/>
  <c r="R53" i="27" s="1"/>
  <c r="J52" i="27"/>
  <c r="I52" i="27"/>
  <c r="H52" i="27"/>
  <c r="M52" i="27"/>
  <c r="K52" i="27"/>
  <c r="F52" i="26"/>
  <c r="C53" i="26"/>
  <c r="R53" i="26" s="1"/>
  <c r="J52" i="26"/>
  <c r="I52" i="26"/>
  <c r="G52" i="26"/>
  <c r="E52" i="26"/>
  <c r="D52" i="26"/>
  <c r="N52" i="26"/>
  <c r="M52" i="26"/>
  <c r="L52" i="26"/>
  <c r="K52" i="26"/>
  <c r="H52" i="26"/>
  <c r="H51" i="25"/>
  <c r="K51" i="25"/>
  <c r="C52" i="25"/>
  <c r="R52" i="25" s="1"/>
  <c r="J51" i="25"/>
  <c r="G51" i="25"/>
  <c r="F51" i="25"/>
  <c r="E51" i="25"/>
  <c r="D51" i="25"/>
  <c r="N51" i="25"/>
  <c r="M51" i="25"/>
  <c r="L51" i="25"/>
  <c r="I51" i="25"/>
  <c r="I48" i="20"/>
  <c r="H48" i="20"/>
  <c r="L48" i="20"/>
  <c r="D48" i="20"/>
  <c r="C49" i="20"/>
  <c r="R49" i="20" s="1"/>
  <c r="N48" i="20"/>
  <c r="M48" i="20"/>
  <c r="K48" i="20"/>
  <c r="J48" i="20"/>
  <c r="G48" i="20"/>
  <c r="E48" i="20"/>
  <c r="F48" i="20"/>
  <c r="L49" i="19"/>
  <c r="D49" i="19"/>
  <c r="C50" i="19"/>
  <c r="R50" i="19" s="1"/>
  <c r="K49" i="19"/>
  <c r="J49" i="19"/>
  <c r="I49" i="19"/>
  <c r="H49" i="19"/>
  <c r="N49" i="19"/>
  <c r="F49" i="19"/>
  <c r="M49" i="19"/>
  <c r="G49" i="19"/>
  <c r="E49" i="19"/>
  <c r="J48" i="18"/>
  <c r="I48" i="18"/>
  <c r="H48" i="18"/>
  <c r="N48" i="18"/>
  <c r="F48" i="18"/>
  <c r="E48" i="18"/>
  <c r="G48" i="18"/>
  <c r="D48" i="18"/>
  <c r="M48" i="18"/>
  <c r="L48" i="18"/>
  <c r="C49" i="18"/>
  <c r="R49" i="18" s="1"/>
  <c r="K48" i="18"/>
  <c r="C53" i="1" l="1"/>
  <c r="G52" i="1"/>
  <c r="D52" i="1"/>
  <c r="F52" i="1"/>
  <c r="E52" i="1"/>
  <c r="H52" i="1"/>
  <c r="I52" i="1"/>
  <c r="J52" i="1"/>
  <c r="K52" i="1"/>
  <c r="L52" i="1"/>
  <c r="M52" i="1"/>
  <c r="N52" i="1"/>
  <c r="R52" i="1"/>
  <c r="L53" i="27"/>
  <c r="J53" i="27"/>
  <c r="I53" i="27"/>
  <c r="G53" i="27"/>
  <c r="E53" i="27"/>
  <c r="C54" i="27"/>
  <c r="R54" i="27" s="1"/>
  <c r="D53" i="27"/>
  <c r="N53" i="27"/>
  <c r="M53" i="27"/>
  <c r="K53" i="27"/>
  <c r="H53" i="27"/>
  <c r="F53" i="27"/>
  <c r="N53" i="26"/>
  <c r="M53" i="26"/>
  <c r="L53" i="26"/>
  <c r="K53" i="26"/>
  <c r="D53" i="26"/>
  <c r="C54" i="26"/>
  <c r="R54" i="26" s="1"/>
  <c r="J53" i="26"/>
  <c r="I53" i="26"/>
  <c r="H53" i="26"/>
  <c r="F53" i="26"/>
  <c r="E53" i="26"/>
  <c r="G53" i="26"/>
  <c r="D52" i="25"/>
  <c r="E52" i="25"/>
  <c r="G52" i="25"/>
  <c r="F52" i="25"/>
  <c r="C53" i="25"/>
  <c r="R53" i="25" s="1"/>
  <c r="N52" i="25"/>
  <c r="M52" i="25"/>
  <c r="L52" i="25"/>
  <c r="K52" i="25"/>
  <c r="J52" i="25"/>
  <c r="I52" i="25"/>
  <c r="H52" i="25"/>
  <c r="I49" i="20"/>
  <c r="H49" i="20"/>
  <c r="L49" i="20"/>
  <c r="D49" i="20"/>
  <c r="C50" i="20"/>
  <c r="R50" i="20" s="1"/>
  <c r="N49" i="20"/>
  <c r="M49" i="20"/>
  <c r="K49" i="20"/>
  <c r="J49" i="20"/>
  <c r="F49" i="20"/>
  <c r="G49" i="20"/>
  <c r="E49" i="20"/>
  <c r="L50" i="19"/>
  <c r="D50" i="19"/>
  <c r="C51" i="19"/>
  <c r="R51" i="19" s="1"/>
  <c r="K50" i="19"/>
  <c r="J50" i="19"/>
  <c r="I50" i="19"/>
  <c r="H50" i="19"/>
  <c r="N50" i="19"/>
  <c r="F50" i="19"/>
  <c r="E50" i="19"/>
  <c r="M50" i="19"/>
  <c r="G50" i="19"/>
  <c r="J49" i="18"/>
  <c r="I49" i="18"/>
  <c r="H49" i="18"/>
  <c r="N49" i="18"/>
  <c r="F49" i="18"/>
  <c r="M49" i="18"/>
  <c r="L49" i="18"/>
  <c r="C50" i="18"/>
  <c r="R50" i="18" s="1"/>
  <c r="K49" i="18"/>
  <c r="G49" i="18"/>
  <c r="E49" i="18"/>
  <c r="D49" i="18"/>
  <c r="C54" i="1" l="1"/>
  <c r="E53" i="1"/>
  <c r="H53" i="1"/>
  <c r="L53" i="1"/>
  <c r="I53" i="1"/>
  <c r="K53" i="1"/>
  <c r="J53" i="1"/>
  <c r="F53" i="1"/>
  <c r="M53" i="1"/>
  <c r="G53" i="1"/>
  <c r="N53" i="1"/>
  <c r="D53" i="1"/>
  <c r="R53" i="1"/>
  <c r="G54" i="27"/>
  <c r="D54" i="27"/>
  <c r="L54" i="27"/>
  <c r="F54" i="27"/>
  <c r="E54" i="27"/>
  <c r="H54" i="27"/>
  <c r="C55" i="27"/>
  <c r="R55" i="27" s="1"/>
  <c r="N54" i="27"/>
  <c r="M54" i="27"/>
  <c r="K54" i="27"/>
  <c r="J54" i="27"/>
  <c r="I54" i="27"/>
  <c r="F54" i="26"/>
  <c r="M54" i="26"/>
  <c r="L54" i="26"/>
  <c r="I54" i="26"/>
  <c r="C55" i="26"/>
  <c r="R55" i="26" s="1"/>
  <c r="H54" i="26"/>
  <c r="G54" i="26"/>
  <c r="E54" i="26"/>
  <c r="D54" i="26"/>
  <c r="N54" i="26"/>
  <c r="K54" i="26"/>
  <c r="J54" i="26"/>
  <c r="H53" i="25"/>
  <c r="N53" i="25"/>
  <c r="M53" i="25"/>
  <c r="L53" i="25"/>
  <c r="I53" i="25"/>
  <c r="G53" i="25"/>
  <c r="F53" i="25"/>
  <c r="E53" i="25"/>
  <c r="D53" i="25"/>
  <c r="C54" i="25"/>
  <c r="R54" i="25" s="1"/>
  <c r="K53" i="25"/>
  <c r="J53" i="25"/>
  <c r="I50" i="20"/>
  <c r="H50" i="20"/>
  <c r="L50" i="20"/>
  <c r="D50" i="20"/>
  <c r="E50" i="20"/>
  <c r="C51" i="20"/>
  <c r="R51" i="20" s="1"/>
  <c r="N50" i="20"/>
  <c r="M50" i="20"/>
  <c r="K50" i="20"/>
  <c r="G50" i="20"/>
  <c r="F50" i="20"/>
  <c r="J50" i="20"/>
  <c r="L51" i="19"/>
  <c r="D51" i="19"/>
  <c r="C52" i="19"/>
  <c r="R52" i="19" s="1"/>
  <c r="K51" i="19"/>
  <c r="J51" i="19"/>
  <c r="I51" i="19"/>
  <c r="H51" i="19"/>
  <c r="N51" i="19"/>
  <c r="F51" i="19"/>
  <c r="M51" i="19"/>
  <c r="G51" i="19"/>
  <c r="E51" i="19"/>
  <c r="J50" i="18"/>
  <c r="I50" i="18"/>
  <c r="H50" i="18"/>
  <c r="N50" i="18"/>
  <c r="F50" i="18"/>
  <c r="E50" i="18"/>
  <c r="D50" i="18"/>
  <c r="M50" i="18"/>
  <c r="L50" i="18"/>
  <c r="G50" i="18"/>
  <c r="C51" i="18"/>
  <c r="R51" i="18" s="1"/>
  <c r="K50" i="18"/>
  <c r="C55" i="1" l="1"/>
  <c r="J54" i="1"/>
  <c r="M54" i="1"/>
  <c r="N54" i="1"/>
  <c r="H54" i="1"/>
  <c r="E54" i="1"/>
  <c r="F54" i="1"/>
  <c r="D54" i="1"/>
  <c r="G54" i="1"/>
  <c r="I54" i="1"/>
  <c r="K54" i="1"/>
  <c r="L54" i="1"/>
  <c r="R54" i="1"/>
  <c r="L55" i="27"/>
  <c r="F55" i="27"/>
  <c r="G55" i="27"/>
  <c r="E55" i="27"/>
  <c r="C56" i="27"/>
  <c r="R56" i="27" s="1"/>
  <c r="D55" i="27"/>
  <c r="K55" i="27"/>
  <c r="J55" i="27"/>
  <c r="I55" i="27"/>
  <c r="H55" i="27"/>
  <c r="N55" i="27"/>
  <c r="M55" i="27"/>
  <c r="N55" i="26"/>
  <c r="F55" i="26"/>
  <c r="E55" i="26"/>
  <c r="D55" i="26"/>
  <c r="C56" i="26"/>
  <c r="R56" i="26" s="1"/>
  <c r="M55" i="26"/>
  <c r="L55" i="26"/>
  <c r="K55" i="26"/>
  <c r="H55" i="26"/>
  <c r="G55" i="26"/>
  <c r="J55" i="26"/>
  <c r="I55" i="26"/>
  <c r="G54" i="25"/>
  <c r="F54" i="25"/>
  <c r="N54" i="25"/>
  <c r="M54" i="25"/>
  <c r="L54" i="25"/>
  <c r="K54" i="25"/>
  <c r="J54" i="25"/>
  <c r="I54" i="25"/>
  <c r="H54" i="25"/>
  <c r="E54" i="25"/>
  <c r="D54" i="25"/>
  <c r="C55" i="25"/>
  <c r="R55" i="25" s="1"/>
  <c r="I51" i="20"/>
  <c r="H51" i="20"/>
  <c r="L51" i="20"/>
  <c r="D51" i="20"/>
  <c r="F51" i="20"/>
  <c r="E51" i="20"/>
  <c r="C52" i="20"/>
  <c r="R52" i="20" s="1"/>
  <c r="N51" i="20"/>
  <c r="M51" i="20"/>
  <c r="J51" i="20"/>
  <c r="K51" i="20"/>
  <c r="G51" i="20"/>
  <c r="L52" i="19"/>
  <c r="D52" i="19"/>
  <c r="C53" i="19"/>
  <c r="R53" i="19" s="1"/>
  <c r="K52" i="19"/>
  <c r="J52" i="19"/>
  <c r="I52" i="19"/>
  <c r="H52" i="19"/>
  <c r="N52" i="19"/>
  <c r="F52" i="19"/>
  <c r="G52" i="19"/>
  <c r="E52" i="19"/>
  <c r="M52" i="19"/>
  <c r="J51" i="18"/>
  <c r="I51" i="18"/>
  <c r="H51" i="18"/>
  <c r="N51" i="18"/>
  <c r="F51" i="18"/>
  <c r="M51" i="18"/>
  <c r="L51" i="18"/>
  <c r="C52" i="18"/>
  <c r="R52" i="18" s="1"/>
  <c r="K51" i="18"/>
  <c r="G51" i="18"/>
  <c r="E51" i="18"/>
  <c r="D51" i="18"/>
  <c r="C56" i="1" l="1"/>
  <c r="F55" i="1"/>
  <c r="E55" i="1"/>
  <c r="D55" i="1"/>
  <c r="K55" i="1"/>
  <c r="M55" i="1"/>
  <c r="L55" i="1"/>
  <c r="N55" i="1"/>
  <c r="G55" i="1"/>
  <c r="H55" i="1"/>
  <c r="I55" i="1"/>
  <c r="J55" i="1"/>
  <c r="R55" i="1"/>
  <c r="G56" i="27"/>
  <c r="D56" i="27"/>
  <c r="M56" i="27"/>
  <c r="F56" i="27"/>
  <c r="E56" i="27"/>
  <c r="C57" i="27"/>
  <c r="R57" i="27" s="1"/>
  <c r="J56" i="27"/>
  <c r="I56" i="27"/>
  <c r="H56" i="27"/>
  <c r="N56" i="27"/>
  <c r="L56" i="27"/>
  <c r="K56" i="27"/>
  <c r="F56" i="26"/>
  <c r="C57" i="26"/>
  <c r="R57" i="26" s="1"/>
  <c r="D56" i="26"/>
  <c r="N56" i="26"/>
  <c r="H56" i="26"/>
  <c r="G56" i="26"/>
  <c r="E56" i="26"/>
  <c r="M56" i="26"/>
  <c r="L56" i="26"/>
  <c r="K56" i="26"/>
  <c r="J56" i="26"/>
  <c r="I56" i="26"/>
  <c r="H55" i="25"/>
  <c r="J55" i="25"/>
  <c r="I55" i="25"/>
  <c r="C56" i="25"/>
  <c r="R56" i="25" s="1"/>
  <c r="G55" i="25"/>
  <c r="F55" i="25"/>
  <c r="E55" i="25"/>
  <c r="D55" i="25"/>
  <c r="N55" i="25"/>
  <c r="M55" i="25"/>
  <c r="L55" i="25"/>
  <c r="K55" i="25"/>
  <c r="I52" i="20"/>
  <c r="H52" i="20"/>
  <c r="L52" i="20"/>
  <c r="D52" i="20"/>
  <c r="G52" i="20"/>
  <c r="F52" i="20"/>
  <c r="E52" i="20"/>
  <c r="C53" i="20"/>
  <c r="R53" i="20" s="1"/>
  <c r="N52" i="20"/>
  <c r="K52" i="20"/>
  <c r="J52" i="20"/>
  <c r="M52" i="20"/>
  <c r="L53" i="19"/>
  <c r="D53" i="19"/>
  <c r="C54" i="19"/>
  <c r="R54" i="19" s="1"/>
  <c r="K53" i="19"/>
  <c r="J53" i="19"/>
  <c r="I53" i="19"/>
  <c r="H53" i="19"/>
  <c r="N53" i="19"/>
  <c r="F53" i="19"/>
  <c r="M53" i="19"/>
  <c r="G53" i="19"/>
  <c r="E53" i="19"/>
  <c r="J52" i="18"/>
  <c r="I52" i="18"/>
  <c r="H52" i="18"/>
  <c r="N52" i="18"/>
  <c r="F52" i="18"/>
  <c r="E52" i="18"/>
  <c r="G52" i="18"/>
  <c r="D52" i="18"/>
  <c r="M52" i="18"/>
  <c r="L52" i="18"/>
  <c r="C53" i="18"/>
  <c r="R53" i="18" s="1"/>
  <c r="K52" i="18"/>
  <c r="C57" i="1" l="1"/>
  <c r="D56" i="1"/>
  <c r="G56" i="1"/>
  <c r="K56" i="1"/>
  <c r="H56" i="1"/>
  <c r="J56" i="1"/>
  <c r="I56" i="1"/>
  <c r="F56" i="1"/>
  <c r="L56" i="1"/>
  <c r="N56" i="1"/>
  <c r="E56" i="1"/>
  <c r="M56" i="1"/>
  <c r="R56" i="1"/>
  <c r="L57" i="27"/>
  <c r="M57" i="27"/>
  <c r="K57" i="27"/>
  <c r="J57" i="27"/>
  <c r="C58" i="27"/>
  <c r="R58" i="27" s="1"/>
  <c r="H57" i="27"/>
  <c r="E57" i="27"/>
  <c r="D57" i="27"/>
  <c r="N57" i="27"/>
  <c r="I57" i="27"/>
  <c r="G57" i="27"/>
  <c r="F57" i="27"/>
  <c r="N57" i="26"/>
  <c r="I57" i="26"/>
  <c r="H57" i="26"/>
  <c r="M57" i="26"/>
  <c r="C58" i="26"/>
  <c r="R58" i="26" s="1"/>
  <c r="L57" i="26"/>
  <c r="K57" i="26"/>
  <c r="J57" i="26"/>
  <c r="G57" i="26"/>
  <c r="E57" i="26"/>
  <c r="D57" i="26"/>
  <c r="F57" i="26"/>
  <c r="C57" i="25"/>
  <c r="R57" i="25" s="1"/>
  <c r="J56" i="25"/>
  <c r="I56" i="25"/>
  <c r="E56" i="25"/>
  <c r="D56" i="25"/>
  <c r="N56" i="25"/>
  <c r="M56" i="25"/>
  <c r="L56" i="25"/>
  <c r="K56" i="25"/>
  <c r="H56" i="25"/>
  <c r="G56" i="25"/>
  <c r="F56" i="25"/>
  <c r="I53" i="20"/>
  <c r="H53" i="20"/>
  <c r="L53" i="20"/>
  <c r="D53" i="20"/>
  <c r="J53" i="20"/>
  <c r="G53" i="20"/>
  <c r="F53" i="20"/>
  <c r="E53" i="20"/>
  <c r="M53" i="20"/>
  <c r="N53" i="20"/>
  <c r="K53" i="20"/>
  <c r="C54" i="20"/>
  <c r="R54" i="20" s="1"/>
  <c r="L54" i="19"/>
  <c r="D54" i="19"/>
  <c r="C55" i="19"/>
  <c r="R55" i="19" s="1"/>
  <c r="K54" i="19"/>
  <c r="J54" i="19"/>
  <c r="I54" i="19"/>
  <c r="H54" i="19"/>
  <c r="N54" i="19"/>
  <c r="F54" i="19"/>
  <c r="E54" i="19"/>
  <c r="M54" i="19"/>
  <c r="G54" i="19"/>
  <c r="C54" i="18"/>
  <c r="R54" i="18" s="1"/>
  <c r="K53" i="18"/>
  <c r="J53" i="18"/>
  <c r="I53" i="18"/>
  <c r="H53" i="18"/>
  <c r="N53" i="18"/>
  <c r="F53" i="18"/>
  <c r="M53" i="18"/>
  <c r="L53" i="18"/>
  <c r="G53" i="18"/>
  <c r="E53" i="18"/>
  <c r="D53" i="18"/>
  <c r="C58" i="1" l="1"/>
  <c r="I57" i="1"/>
  <c r="L57" i="1"/>
  <c r="M57" i="1"/>
  <c r="N57" i="1"/>
  <c r="D57" i="1"/>
  <c r="E57" i="1"/>
  <c r="H57" i="1"/>
  <c r="F57" i="1"/>
  <c r="G57" i="1"/>
  <c r="J57" i="1"/>
  <c r="K57" i="1"/>
  <c r="R57" i="1"/>
  <c r="G58" i="27"/>
  <c r="D58" i="27"/>
  <c r="H58" i="27"/>
  <c r="I58" i="27"/>
  <c r="C59" i="27"/>
  <c r="F58" i="27"/>
  <c r="E58" i="27"/>
  <c r="N58" i="27"/>
  <c r="M58" i="27"/>
  <c r="L58" i="27"/>
  <c r="K58" i="27"/>
  <c r="J58" i="27"/>
  <c r="F58" i="26"/>
  <c r="K58" i="26"/>
  <c r="J58" i="26"/>
  <c r="I58" i="26"/>
  <c r="G58" i="26"/>
  <c r="E58" i="26"/>
  <c r="D58" i="26"/>
  <c r="C59" i="26"/>
  <c r="N58" i="26"/>
  <c r="M58" i="26"/>
  <c r="L58" i="26"/>
  <c r="H58" i="26"/>
  <c r="H57" i="25"/>
  <c r="N57" i="25"/>
  <c r="I57" i="25"/>
  <c r="G57" i="25"/>
  <c r="F57" i="25"/>
  <c r="E57" i="25"/>
  <c r="D57" i="25"/>
  <c r="C58" i="25"/>
  <c r="R58" i="25" s="1"/>
  <c r="M57" i="25"/>
  <c r="L57" i="25"/>
  <c r="K57" i="25"/>
  <c r="J57" i="25"/>
  <c r="I54" i="20"/>
  <c r="H54" i="20"/>
  <c r="L54" i="20"/>
  <c r="D54" i="20"/>
  <c r="K54" i="20"/>
  <c r="J54" i="20"/>
  <c r="G54" i="20"/>
  <c r="F54" i="20"/>
  <c r="E54" i="20"/>
  <c r="C55" i="20"/>
  <c r="R55" i="20" s="1"/>
  <c r="N54" i="20"/>
  <c r="M54" i="20"/>
  <c r="L55" i="19"/>
  <c r="D55" i="19"/>
  <c r="C56" i="19"/>
  <c r="R56" i="19" s="1"/>
  <c r="K55" i="19"/>
  <c r="J55" i="19"/>
  <c r="I55" i="19"/>
  <c r="H55" i="19"/>
  <c r="N55" i="19"/>
  <c r="F55" i="19"/>
  <c r="M55" i="19"/>
  <c r="G55" i="19"/>
  <c r="E55" i="19"/>
  <c r="L54" i="18"/>
  <c r="D54" i="18"/>
  <c r="C55" i="18"/>
  <c r="R55" i="18" s="1"/>
  <c r="K54" i="18"/>
  <c r="J54" i="18"/>
  <c r="I54" i="18"/>
  <c r="H54" i="18"/>
  <c r="N54" i="18"/>
  <c r="F54" i="18"/>
  <c r="M54" i="18"/>
  <c r="G54" i="18"/>
  <c r="E54" i="18"/>
  <c r="C59" i="1" l="1"/>
  <c r="N58" i="1"/>
  <c r="D58" i="1"/>
  <c r="E58" i="1"/>
  <c r="G58" i="1"/>
  <c r="L58" i="1"/>
  <c r="F58" i="1"/>
  <c r="M58" i="1"/>
  <c r="H58" i="1"/>
  <c r="J58" i="1"/>
  <c r="K58" i="1"/>
  <c r="I58" i="1"/>
  <c r="R58" i="1"/>
  <c r="L59" i="27"/>
  <c r="D59" i="27"/>
  <c r="G59" i="27"/>
  <c r="F59" i="27"/>
  <c r="C60" i="27"/>
  <c r="E59" i="27"/>
  <c r="N59" i="27"/>
  <c r="M59" i="27"/>
  <c r="K59" i="27"/>
  <c r="J59" i="27"/>
  <c r="I59" i="27"/>
  <c r="H59" i="27"/>
  <c r="N59" i="26"/>
  <c r="L59" i="26"/>
  <c r="K59" i="26"/>
  <c r="F59" i="26"/>
  <c r="E59" i="26"/>
  <c r="D59" i="26"/>
  <c r="C60" i="26"/>
  <c r="M59" i="26"/>
  <c r="J59" i="26"/>
  <c r="I59" i="26"/>
  <c r="G59" i="26"/>
  <c r="H59" i="26"/>
  <c r="M58" i="25"/>
  <c r="L58" i="25"/>
  <c r="N58" i="25"/>
  <c r="K58" i="25"/>
  <c r="J58" i="25"/>
  <c r="I58" i="25"/>
  <c r="H58" i="25"/>
  <c r="G58" i="25"/>
  <c r="F58" i="25"/>
  <c r="E58" i="25"/>
  <c r="D58" i="25"/>
  <c r="C59" i="25"/>
  <c r="I55" i="20"/>
  <c r="H55" i="20"/>
  <c r="L55" i="20"/>
  <c r="D55" i="20"/>
  <c r="M55" i="20"/>
  <c r="K55" i="20"/>
  <c r="J55" i="20"/>
  <c r="G55" i="20"/>
  <c r="F55" i="20"/>
  <c r="N55" i="20"/>
  <c r="E55" i="20"/>
  <c r="C56" i="20"/>
  <c r="R56" i="20" s="1"/>
  <c r="L56" i="19"/>
  <c r="D56" i="19"/>
  <c r="C57" i="19"/>
  <c r="R57" i="19" s="1"/>
  <c r="K56" i="19"/>
  <c r="J56" i="19"/>
  <c r="I56" i="19"/>
  <c r="H56" i="19"/>
  <c r="N56" i="19"/>
  <c r="F56" i="19"/>
  <c r="G56" i="19"/>
  <c r="E56" i="19"/>
  <c r="M56" i="19"/>
  <c r="L55" i="18"/>
  <c r="D55" i="18"/>
  <c r="C56" i="18"/>
  <c r="R56" i="18" s="1"/>
  <c r="K55" i="18"/>
  <c r="J55" i="18"/>
  <c r="I55" i="18"/>
  <c r="H55" i="18"/>
  <c r="N55" i="18"/>
  <c r="F55" i="18"/>
  <c r="M55" i="18"/>
  <c r="E55" i="18"/>
  <c r="G55" i="18"/>
  <c r="C60" i="1" l="1"/>
  <c r="F59" i="1"/>
  <c r="G59" i="1"/>
  <c r="I59" i="1"/>
  <c r="H59" i="1"/>
  <c r="E59" i="1"/>
  <c r="D59" i="1"/>
  <c r="J59" i="1"/>
  <c r="K59" i="1"/>
  <c r="L59" i="1"/>
  <c r="M59" i="1"/>
  <c r="N59" i="1"/>
  <c r="G60" i="27"/>
  <c r="D60" i="27"/>
  <c r="N60" i="27"/>
  <c r="F60" i="27"/>
  <c r="E60" i="27"/>
  <c r="C61" i="27"/>
  <c r="J60" i="27"/>
  <c r="I60" i="27"/>
  <c r="H60" i="27"/>
  <c r="M60" i="27"/>
  <c r="L60" i="27"/>
  <c r="K60" i="27"/>
  <c r="F60" i="26"/>
  <c r="E60" i="26"/>
  <c r="D60" i="26"/>
  <c r="C61" i="26"/>
  <c r="I60" i="26"/>
  <c r="H60" i="26"/>
  <c r="G60" i="26"/>
  <c r="N60" i="26"/>
  <c r="M60" i="26"/>
  <c r="L60" i="26"/>
  <c r="K60" i="26"/>
  <c r="J60" i="26"/>
  <c r="H59" i="25"/>
  <c r="F59" i="25"/>
  <c r="E59" i="25"/>
  <c r="L59" i="25"/>
  <c r="K59" i="25"/>
  <c r="J59" i="25"/>
  <c r="I59" i="25"/>
  <c r="C60" i="25"/>
  <c r="G59" i="25"/>
  <c r="D59" i="25"/>
  <c r="N59" i="25"/>
  <c r="M59" i="25"/>
  <c r="I56" i="20"/>
  <c r="H56" i="20"/>
  <c r="L56" i="20"/>
  <c r="D56" i="20"/>
  <c r="C57" i="20"/>
  <c r="R57" i="20" s="1"/>
  <c r="N56" i="20"/>
  <c r="M56" i="20"/>
  <c r="K56" i="20"/>
  <c r="J56" i="20"/>
  <c r="G56" i="20"/>
  <c r="E56" i="20"/>
  <c r="F56" i="20"/>
  <c r="L57" i="19"/>
  <c r="D57" i="19"/>
  <c r="C58" i="19"/>
  <c r="R58" i="19" s="1"/>
  <c r="K57" i="19"/>
  <c r="J57" i="19"/>
  <c r="I57" i="19"/>
  <c r="H57" i="19"/>
  <c r="N57" i="19"/>
  <c r="F57" i="19"/>
  <c r="M57" i="19"/>
  <c r="G57" i="19"/>
  <c r="E57" i="19"/>
  <c r="L56" i="18"/>
  <c r="D56" i="18"/>
  <c r="C57" i="18"/>
  <c r="R57" i="18" s="1"/>
  <c r="K56" i="18"/>
  <c r="J56" i="18"/>
  <c r="I56" i="18"/>
  <c r="H56" i="18"/>
  <c r="N56" i="18"/>
  <c r="F56" i="18"/>
  <c r="G56" i="18"/>
  <c r="M56" i="18"/>
  <c r="E56" i="18"/>
  <c r="C61" i="1" l="1"/>
  <c r="H60" i="1"/>
  <c r="K60" i="1"/>
  <c r="L60" i="1"/>
  <c r="N60" i="1"/>
  <c r="M60" i="1"/>
  <c r="D60" i="1"/>
  <c r="F60" i="1"/>
  <c r="E60" i="1"/>
  <c r="J60" i="1"/>
  <c r="G60" i="1"/>
  <c r="I60" i="1"/>
  <c r="L61" i="27"/>
  <c r="H61" i="27"/>
  <c r="N61" i="27"/>
  <c r="M61" i="27"/>
  <c r="J61" i="27"/>
  <c r="E61" i="27"/>
  <c r="C62" i="27"/>
  <c r="D61" i="27"/>
  <c r="K61" i="27"/>
  <c r="I61" i="27"/>
  <c r="G61" i="27"/>
  <c r="F61" i="27"/>
  <c r="N61" i="26"/>
  <c r="M61" i="26"/>
  <c r="D61" i="26"/>
  <c r="C62" i="26"/>
  <c r="L61" i="26"/>
  <c r="K61" i="26"/>
  <c r="J61" i="26"/>
  <c r="I61" i="26"/>
  <c r="F61" i="26"/>
  <c r="E61" i="26"/>
  <c r="H61" i="26"/>
  <c r="G61" i="26"/>
  <c r="G60" i="25"/>
  <c r="F60" i="25"/>
  <c r="E60" i="25"/>
  <c r="D60" i="25"/>
  <c r="C61" i="25"/>
  <c r="N60" i="25"/>
  <c r="M60" i="25"/>
  <c r="L60" i="25"/>
  <c r="K60" i="25"/>
  <c r="J60" i="25"/>
  <c r="I60" i="25"/>
  <c r="H60" i="25"/>
  <c r="I57" i="20"/>
  <c r="H57" i="20"/>
  <c r="L57" i="20"/>
  <c r="D57" i="20"/>
  <c r="C58" i="20"/>
  <c r="R58" i="20" s="1"/>
  <c r="N57" i="20"/>
  <c r="M57" i="20"/>
  <c r="K57" i="20"/>
  <c r="J57" i="20"/>
  <c r="F57" i="20"/>
  <c r="G57" i="20"/>
  <c r="E57" i="20"/>
  <c r="L58" i="19"/>
  <c r="D58" i="19"/>
  <c r="C59" i="19"/>
  <c r="K58" i="19"/>
  <c r="J58" i="19"/>
  <c r="I58" i="19"/>
  <c r="H58" i="19"/>
  <c r="N58" i="19"/>
  <c r="F58" i="19"/>
  <c r="M58" i="19"/>
  <c r="E58" i="19"/>
  <c r="G58" i="19"/>
  <c r="L57" i="18"/>
  <c r="D57" i="18"/>
  <c r="C58" i="18"/>
  <c r="R58" i="18" s="1"/>
  <c r="K57" i="18"/>
  <c r="J57" i="18"/>
  <c r="I57" i="18"/>
  <c r="H57" i="18"/>
  <c r="N57" i="18"/>
  <c r="F57" i="18"/>
  <c r="M57" i="18"/>
  <c r="G57" i="18"/>
  <c r="E57" i="18"/>
  <c r="C62" i="1" l="1"/>
  <c r="M61" i="1"/>
  <c r="F61" i="1"/>
  <c r="D61" i="1"/>
  <c r="E61" i="1"/>
  <c r="G61" i="1"/>
  <c r="H61" i="1"/>
  <c r="J61" i="1"/>
  <c r="K61" i="1"/>
  <c r="L61" i="1"/>
  <c r="I61" i="1"/>
  <c r="N61" i="1"/>
  <c r="G62" i="27"/>
  <c r="D62" i="27"/>
  <c r="J62" i="27"/>
  <c r="I62" i="27"/>
  <c r="F62" i="27"/>
  <c r="E62" i="27"/>
  <c r="C63" i="27"/>
  <c r="N62" i="27"/>
  <c r="M62" i="27"/>
  <c r="L62" i="27"/>
  <c r="K62" i="27"/>
  <c r="H62" i="27"/>
  <c r="F62" i="26"/>
  <c r="I62" i="26"/>
  <c r="H62" i="26"/>
  <c r="M62" i="26"/>
  <c r="L62" i="26"/>
  <c r="K62" i="26"/>
  <c r="E62" i="26"/>
  <c r="D62" i="26"/>
  <c r="C63" i="26"/>
  <c r="N62" i="26"/>
  <c r="J62" i="26"/>
  <c r="G62" i="26"/>
  <c r="H61" i="25"/>
  <c r="C62" i="25"/>
  <c r="J61" i="25"/>
  <c r="I61" i="25"/>
  <c r="F61" i="25"/>
  <c r="E61" i="25"/>
  <c r="D61" i="25"/>
  <c r="N61" i="25"/>
  <c r="M61" i="25"/>
  <c r="L61" i="25"/>
  <c r="K61" i="25"/>
  <c r="G61" i="25"/>
  <c r="I58" i="20"/>
  <c r="H58" i="20"/>
  <c r="L58" i="20"/>
  <c r="D58" i="20"/>
  <c r="E58" i="20"/>
  <c r="C59" i="20"/>
  <c r="N58" i="20"/>
  <c r="M58" i="20"/>
  <c r="K58" i="20"/>
  <c r="G58" i="20"/>
  <c r="J58" i="20"/>
  <c r="F58" i="20"/>
  <c r="L59" i="19"/>
  <c r="D59" i="19"/>
  <c r="C60" i="19"/>
  <c r="K59" i="19"/>
  <c r="J59" i="19"/>
  <c r="I59" i="19"/>
  <c r="H59" i="19"/>
  <c r="N59" i="19"/>
  <c r="F59" i="19"/>
  <c r="M59" i="19"/>
  <c r="G59" i="19"/>
  <c r="E59" i="19"/>
  <c r="L58" i="18"/>
  <c r="D58" i="18"/>
  <c r="C59" i="18"/>
  <c r="K58" i="18"/>
  <c r="J58" i="18"/>
  <c r="I58" i="18"/>
  <c r="H58" i="18"/>
  <c r="N58" i="18"/>
  <c r="F58" i="18"/>
  <c r="M58" i="18"/>
  <c r="G58" i="18"/>
  <c r="E58" i="18"/>
  <c r="C63" i="1" l="1"/>
  <c r="E62" i="1"/>
  <c r="F62" i="1"/>
  <c r="G62" i="1"/>
  <c r="H62" i="1"/>
  <c r="D62" i="1"/>
  <c r="J62" i="1"/>
  <c r="I62" i="1"/>
  <c r="K62" i="1"/>
  <c r="M62" i="1"/>
  <c r="N62" i="1"/>
  <c r="L62" i="1"/>
  <c r="K63" i="27"/>
  <c r="H63" i="27"/>
  <c r="I63" i="27"/>
  <c r="N63" i="27"/>
  <c r="C64" i="27"/>
  <c r="M63" i="27"/>
  <c r="J63" i="27"/>
  <c r="G63" i="27"/>
  <c r="F63" i="27"/>
  <c r="E63" i="27"/>
  <c r="D63" i="27"/>
  <c r="L63" i="27"/>
  <c r="J63" i="26"/>
  <c r="N63" i="26"/>
  <c r="M63" i="26"/>
  <c r="C64" i="26"/>
  <c r="L63" i="26"/>
  <c r="K63" i="26"/>
  <c r="I63" i="26"/>
  <c r="H63" i="26"/>
  <c r="G63" i="26"/>
  <c r="F63" i="26"/>
  <c r="E63" i="26"/>
  <c r="D63" i="26"/>
  <c r="C63" i="25"/>
  <c r="N62" i="25"/>
  <c r="M62" i="25"/>
  <c r="L62" i="25"/>
  <c r="K62" i="25"/>
  <c r="J62" i="25"/>
  <c r="I62" i="25"/>
  <c r="H62" i="25"/>
  <c r="G62" i="25"/>
  <c r="F62" i="25"/>
  <c r="E62" i="25"/>
  <c r="D62" i="25"/>
  <c r="I59" i="20"/>
  <c r="H59" i="20"/>
  <c r="L59" i="20"/>
  <c r="D59" i="20"/>
  <c r="F59" i="20"/>
  <c r="E59" i="20"/>
  <c r="C60" i="20"/>
  <c r="N59" i="20"/>
  <c r="M59" i="20"/>
  <c r="J59" i="20"/>
  <c r="K59" i="20"/>
  <c r="G59" i="20"/>
  <c r="L60" i="19"/>
  <c r="D60" i="19"/>
  <c r="C61" i="19"/>
  <c r="K60" i="19"/>
  <c r="J60" i="19"/>
  <c r="I60" i="19"/>
  <c r="H60" i="19"/>
  <c r="N60" i="19"/>
  <c r="F60" i="19"/>
  <c r="G60" i="19"/>
  <c r="E60" i="19"/>
  <c r="M60" i="19"/>
  <c r="L59" i="18"/>
  <c r="D59" i="18"/>
  <c r="C60" i="18"/>
  <c r="K59" i="18"/>
  <c r="J59" i="18"/>
  <c r="I59" i="18"/>
  <c r="H59" i="18"/>
  <c r="N59" i="18"/>
  <c r="F59" i="18"/>
  <c r="E59" i="18"/>
  <c r="M59" i="18"/>
  <c r="G59" i="18"/>
  <c r="C64" i="1" l="1"/>
  <c r="G63" i="1"/>
  <c r="J63" i="1"/>
  <c r="K63" i="1"/>
  <c r="M63" i="1"/>
  <c r="L63" i="1"/>
  <c r="D63" i="1"/>
  <c r="E63" i="1"/>
  <c r="F63" i="1"/>
  <c r="H63" i="1"/>
  <c r="N63" i="1"/>
  <c r="I63" i="1"/>
  <c r="C65" i="27"/>
  <c r="L64" i="27"/>
  <c r="E64" i="27"/>
  <c r="D64" i="27"/>
  <c r="G64" i="27"/>
  <c r="F64" i="27"/>
  <c r="N64" i="27"/>
  <c r="M64" i="27"/>
  <c r="K64" i="27"/>
  <c r="J64" i="27"/>
  <c r="I64" i="27"/>
  <c r="H64" i="27"/>
  <c r="N64" i="26"/>
  <c r="H64" i="26"/>
  <c r="G64" i="26"/>
  <c r="F64" i="26"/>
  <c r="C65" i="26"/>
  <c r="M64" i="26"/>
  <c r="L64" i="26"/>
  <c r="K64" i="26"/>
  <c r="J64" i="26"/>
  <c r="E64" i="26"/>
  <c r="D64" i="26"/>
  <c r="I64" i="26"/>
  <c r="D63" i="25"/>
  <c r="H63" i="25"/>
  <c r="G63" i="25"/>
  <c r="E63" i="25"/>
  <c r="C64" i="25"/>
  <c r="N63" i="25"/>
  <c r="M63" i="25"/>
  <c r="L63" i="25"/>
  <c r="K63" i="25"/>
  <c r="J63" i="25"/>
  <c r="I63" i="25"/>
  <c r="F63" i="25"/>
  <c r="I60" i="20"/>
  <c r="H60" i="20"/>
  <c r="N60" i="20"/>
  <c r="L60" i="20"/>
  <c r="D60" i="20"/>
  <c r="G60" i="20"/>
  <c r="F60" i="20"/>
  <c r="E60" i="20"/>
  <c r="C61" i="20"/>
  <c r="K60" i="20"/>
  <c r="M60" i="20"/>
  <c r="J60" i="20"/>
  <c r="L61" i="19"/>
  <c r="D61" i="19"/>
  <c r="C62" i="19"/>
  <c r="K61" i="19"/>
  <c r="J61" i="19"/>
  <c r="I61" i="19"/>
  <c r="H61" i="19"/>
  <c r="N61" i="19"/>
  <c r="F61" i="19"/>
  <c r="M61" i="19"/>
  <c r="G61" i="19"/>
  <c r="E61" i="19"/>
  <c r="L60" i="18"/>
  <c r="D60" i="18"/>
  <c r="C61" i="18"/>
  <c r="K60" i="18"/>
  <c r="J60" i="18"/>
  <c r="I60" i="18"/>
  <c r="H60" i="18"/>
  <c r="G60" i="18"/>
  <c r="N60" i="18"/>
  <c r="F60" i="18"/>
  <c r="M60" i="18"/>
  <c r="E60" i="18"/>
  <c r="C65" i="1" l="1"/>
  <c r="L64" i="1"/>
  <c r="G64" i="1"/>
  <c r="I64" i="1"/>
  <c r="H64" i="1"/>
  <c r="J64" i="1"/>
  <c r="M64" i="1"/>
  <c r="N64" i="1"/>
  <c r="K64" i="1"/>
  <c r="F64" i="1"/>
  <c r="D64" i="1"/>
  <c r="E64" i="1"/>
  <c r="D65" i="27"/>
  <c r="L65" i="27"/>
  <c r="K65" i="27"/>
  <c r="I65" i="27"/>
  <c r="N65" i="27"/>
  <c r="C66" i="27"/>
  <c r="M65" i="27"/>
  <c r="J65" i="27"/>
  <c r="H65" i="27"/>
  <c r="F65" i="27"/>
  <c r="E65" i="27"/>
  <c r="G65" i="27"/>
  <c r="G65" i="26"/>
  <c r="F65" i="26"/>
  <c r="C66" i="26"/>
  <c r="N65" i="26"/>
  <c r="M65" i="26"/>
  <c r="L65" i="26"/>
  <c r="K65" i="26"/>
  <c r="J65" i="26"/>
  <c r="I65" i="26"/>
  <c r="H65" i="26"/>
  <c r="E65" i="26"/>
  <c r="D65" i="26"/>
  <c r="H64" i="25"/>
  <c r="M64" i="25"/>
  <c r="L64" i="25"/>
  <c r="N64" i="25"/>
  <c r="K64" i="25"/>
  <c r="J64" i="25"/>
  <c r="I64" i="25"/>
  <c r="G64" i="25"/>
  <c r="F64" i="25"/>
  <c r="C65" i="25"/>
  <c r="E64" i="25"/>
  <c r="D64" i="25"/>
  <c r="I61" i="20"/>
  <c r="H61" i="20"/>
  <c r="N61" i="20"/>
  <c r="F61" i="20"/>
  <c r="L61" i="20"/>
  <c r="D61" i="20"/>
  <c r="M61" i="20"/>
  <c r="C62" i="20"/>
  <c r="K61" i="20"/>
  <c r="J61" i="20"/>
  <c r="G61" i="20"/>
  <c r="E61" i="20"/>
  <c r="L62" i="19"/>
  <c r="D62" i="19"/>
  <c r="K62" i="19"/>
  <c r="J62" i="19"/>
  <c r="I62" i="19"/>
  <c r="H62" i="19"/>
  <c r="N62" i="19"/>
  <c r="F62" i="19"/>
  <c r="C63" i="19"/>
  <c r="M62" i="19"/>
  <c r="E62" i="19"/>
  <c r="G62" i="19"/>
  <c r="L61" i="18"/>
  <c r="D61" i="18"/>
  <c r="C62" i="18"/>
  <c r="K61" i="18"/>
  <c r="J61" i="18"/>
  <c r="I61" i="18"/>
  <c r="H61" i="18"/>
  <c r="G61" i="18"/>
  <c r="N61" i="18"/>
  <c r="F61" i="18"/>
  <c r="E61" i="18"/>
  <c r="M61" i="18"/>
  <c r="C66" i="1" l="1"/>
  <c r="D65" i="1"/>
  <c r="E65" i="1"/>
  <c r="G65" i="1"/>
  <c r="F65" i="1"/>
  <c r="I65" i="1"/>
  <c r="H65" i="1"/>
  <c r="J65" i="1"/>
  <c r="K65" i="1"/>
  <c r="M65" i="1"/>
  <c r="L65" i="1"/>
  <c r="N65" i="1"/>
  <c r="G66" i="27"/>
  <c r="D66" i="27"/>
  <c r="J66" i="27"/>
  <c r="F66" i="27"/>
  <c r="E66" i="27"/>
  <c r="K66" i="27"/>
  <c r="I66" i="27"/>
  <c r="H66" i="27"/>
  <c r="C67" i="27"/>
  <c r="N66" i="27"/>
  <c r="M66" i="27"/>
  <c r="L66" i="27"/>
  <c r="F66" i="26"/>
  <c r="L66" i="26"/>
  <c r="K66" i="26"/>
  <c r="D66" i="26"/>
  <c r="H66" i="26"/>
  <c r="G66" i="26"/>
  <c r="E66" i="26"/>
  <c r="C67" i="26"/>
  <c r="N66" i="26"/>
  <c r="M66" i="26"/>
  <c r="J66" i="26"/>
  <c r="I66" i="26"/>
  <c r="L65" i="25"/>
  <c r="C66" i="25"/>
  <c r="N65" i="25"/>
  <c r="H65" i="25"/>
  <c r="G65" i="25"/>
  <c r="F65" i="25"/>
  <c r="E65" i="25"/>
  <c r="D65" i="25"/>
  <c r="M65" i="25"/>
  <c r="K65" i="25"/>
  <c r="J65" i="25"/>
  <c r="I65" i="25"/>
  <c r="I62" i="20"/>
  <c r="H62" i="20"/>
  <c r="N62" i="20"/>
  <c r="F62" i="20"/>
  <c r="L62" i="20"/>
  <c r="D62" i="20"/>
  <c r="G62" i="20"/>
  <c r="E62" i="20"/>
  <c r="C63" i="20"/>
  <c r="K62" i="20"/>
  <c r="M62" i="20"/>
  <c r="J62" i="20"/>
  <c r="H63" i="19"/>
  <c r="C64" i="19"/>
  <c r="G63" i="19"/>
  <c r="N63" i="19"/>
  <c r="F63" i="19"/>
  <c r="M63" i="19"/>
  <c r="E63" i="19"/>
  <c r="L63" i="19"/>
  <c r="D63" i="19"/>
  <c r="J63" i="19"/>
  <c r="K63" i="19"/>
  <c r="I63" i="19"/>
  <c r="L62" i="18"/>
  <c r="D62" i="18"/>
  <c r="K62" i="18"/>
  <c r="J62" i="18"/>
  <c r="I62" i="18"/>
  <c r="H62" i="18"/>
  <c r="C63" i="18"/>
  <c r="G62" i="18"/>
  <c r="N62" i="18"/>
  <c r="F62" i="18"/>
  <c r="M62" i="18"/>
  <c r="E62" i="18"/>
  <c r="C67" i="1" l="1"/>
  <c r="F66" i="1"/>
  <c r="I66" i="1"/>
  <c r="J66" i="1"/>
  <c r="L66" i="1"/>
  <c r="K66" i="1"/>
  <c r="G66" i="1"/>
  <c r="M66" i="1"/>
  <c r="H66" i="1"/>
  <c r="N66" i="1"/>
  <c r="D66" i="1"/>
  <c r="E66" i="1"/>
  <c r="K67" i="27"/>
  <c r="H67" i="27"/>
  <c r="G67" i="27"/>
  <c r="F67" i="27"/>
  <c r="D67" i="27"/>
  <c r="N67" i="27"/>
  <c r="C68" i="27"/>
  <c r="M67" i="27"/>
  <c r="L67" i="27"/>
  <c r="J67" i="27"/>
  <c r="I67" i="27"/>
  <c r="E67" i="27"/>
  <c r="J67" i="26"/>
  <c r="K67" i="26"/>
  <c r="I67" i="26"/>
  <c r="H67" i="26"/>
  <c r="C68" i="26"/>
  <c r="N67" i="26"/>
  <c r="M67" i="26"/>
  <c r="L67" i="26"/>
  <c r="G67" i="26"/>
  <c r="F67" i="26"/>
  <c r="E67" i="26"/>
  <c r="D67" i="26"/>
  <c r="F66" i="25"/>
  <c r="E66" i="25"/>
  <c r="I66" i="25"/>
  <c r="H66" i="25"/>
  <c r="G66" i="25"/>
  <c r="D66" i="25"/>
  <c r="C67" i="25"/>
  <c r="N66" i="25"/>
  <c r="M66" i="25"/>
  <c r="L66" i="25"/>
  <c r="K66" i="25"/>
  <c r="J66" i="25"/>
  <c r="M63" i="20"/>
  <c r="E63" i="20"/>
  <c r="L63" i="20"/>
  <c r="D63" i="20"/>
  <c r="J63" i="20"/>
  <c r="H63" i="20"/>
  <c r="K63" i="20"/>
  <c r="I63" i="20"/>
  <c r="G63" i="20"/>
  <c r="F63" i="20"/>
  <c r="C64" i="20"/>
  <c r="N63" i="20"/>
  <c r="L64" i="19"/>
  <c r="D64" i="19"/>
  <c r="K64" i="19"/>
  <c r="J64" i="19"/>
  <c r="I64" i="19"/>
  <c r="H64" i="19"/>
  <c r="N64" i="19"/>
  <c r="F64" i="19"/>
  <c r="M64" i="19"/>
  <c r="C65" i="19"/>
  <c r="G64" i="19"/>
  <c r="E64" i="19"/>
  <c r="H63" i="18"/>
  <c r="C64" i="18"/>
  <c r="G63" i="18"/>
  <c r="N63" i="18"/>
  <c r="F63" i="18"/>
  <c r="M63" i="18"/>
  <c r="E63" i="18"/>
  <c r="L63" i="18"/>
  <c r="D63" i="18"/>
  <c r="K63" i="18"/>
  <c r="J63" i="18"/>
  <c r="I63" i="18"/>
  <c r="C68" i="1" l="1"/>
  <c r="K67" i="1"/>
  <c r="N67" i="1"/>
  <c r="G67" i="1"/>
  <c r="E67" i="1"/>
  <c r="H67" i="1"/>
  <c r="F67" i="1"/>
  <c r="D67" i="1"/>
  <c r="I67" i="1"/>
  <c r="J67" i="1"/>
  <c r="L67" i="1"/>
  <c r="M67" i="1"/>
  <c r="C69" i="27"/>
  <c r="C73" i="27"/>
  <c r="C73" i="26"/>
  <c r="C69" i="26"/>
  <c r="L68" i="27"/>
  <c r="D68" i="27"/>
  <c r="N68" i="27"/>
  <c r="K68" i="27"/>
  <c r="F68" i="27"/>
  <c r="E68" i="27"/>
  <c r="M68" i="27"/>
  <c r="J68" i="27"/>
  <c r="I68" i="27"/>
  <c r="H68" i="27"/>
  <c r="G68" i="27"/>
  <c r="N68" i="26"/>
  <c r="E68" i="26"/>
  <c r="D68" i="26"/>
  <c r="M68" i="26"/>
  <c r="L68" i="26"/>
  <c r="K68" i="26"/>
  <c r="J68" i="26"/>
  <c r="G68" i="26"/>
  <c r="F68" i="26"/>
  <c r="I68" i="26"/>
  <c r="H68" i="26"/>
  <c r="D67" i="25"/>
  <c r="K67" i="25"/>
  <c r="J67" i="25"/>
  <c r="C68" i="25"/>
  <c r="N67" i="25"/>
  <c r="M67" i="25"/>
  <c r="L67" i="25"/>
  <c r="I67" i="25"/>
  <c r="H67" i="25"/>
  <c r="G67" i="25"/>
  <c r="F67" i="25"/>
  <c r="E67" i="25"/>
  <c r="I64" i="20"/>
  <c r="H64" i="20"/>
  <c r="N64" i="20"/>
  <c r="F64" i="20"/>
  <c r="L64" i="20"/>
  <c r="D64" i="20"/>
  <c r="C65" i="20"/>
  <c r="M64" i="20"/>
  <c r="K64" i="20"/>
  <c r="J64" i="20"/>
  <c r="G64" i="20"/>
  <c r="E64" i="20"/>
  <c r="H65" i="19"/>
  <c r="C66" i="19"/>
  <c r="G65" i="19"/>
  <c r="N65" i="19"/>
  <c r="F65" i="19"/>
  <c r="M65" i="19"/>
  <c r="E65" i="19"/>
  <c r="L65" i="19"/>
  <c r="D65" i="19"/>
  <c r="J65" i="19"/>
  <c r="K65" i="19"/>
  <c r="I65" i="19"/>
  <c r="L64" i="18"/>
  <c r="D64" i="18"/>
  <c r="K64" i="18"/>
  <c r="J64" i="18"/>
  <c r="I64" i="18"/>
  <c r="H64" i="18"/>
  <c r="C65" i="18"/>
  <c r="G64" i="18"/>
  <c r="N64" i="18"/>
  <c r="F64" i="18"/>
  <c r="M64" i="18"/>
  <c r="E64" i="18"/>
  <c r="D68" i="1" l="1"/>
  <c r="F68" i="1"/>
  <c r="E68" i="1"/>
  <c r="J68" i="1"/>
  <c r="L68" i="1"/>
  <c r="C73" i="1"/>
  <c r="K68" i="1"/>
  <c r="C69" i="1"/>
  <c r="M68" i="1"/>
  <c r="N68" i="1"/>
  <c r="G68" i="1"/>
  <c r="H68" i="1"/>
  <c r="I68" i="1"/>
  <c r="F69" i="27"/>
  <c r="G69" i="27"/>
  <c r="H69" i="27"/>
  <c r="I69" i="27"/>
  <c r="J69" i="27"/>
  <c r="K69" i="27"/>
  <c r="L69" i="27"/>
  <c r="M69" i="27"/>
  <c r="N69" i="27"/>
  <c r="E69" i="27"/>
  <c r="D69" i="27"/>
  <c r="G69" i="26"/>
  <c r="H69" i="26"/>
  <c r="I69" i="26"/>
  <c r="J69" i="26"/>
  <c r="K69" i="26"/>
  <c r="L69" i="26"/>
  <c r="M69" i="26"/>
  <c r="N69" i="26"/>
  <c r="E69" i="26"/>
  <c r="D69" i="26"/>
  <c r="F69" i="26"/>
  <c r="L73" i="27"/>
  <c r="M73" i="27"/>
  <c r="E73" i="27"/>
  <c r="D73" i="27"/>
  <c r="N73" i="27"/>
  <c r="F73" i="27"/>
  <c r="G73" i="27"/>
  <c r="H73" i="27"/>
  <c r="I73" i="27"/>
  <c r="J73" i="27"/>
  <c r="K73" i="27"/>
  <c r="C73" i="25"/>
  <c r="E73" i="25" s="1"/>
  <c r="C69" i="25"/>
  <c r="H68" i="25"/>
  <c r="D68" i="25"/>
  <c r="F68" i="25"/>
  <c r="E68" i="25"/>
  <c r="N68" i="25"/>
  <c r="M68" i="25"/>
  <c r="L68" i="25"/>
  <c r="K68" i="25"/>
  <c r="J68" i="25"/>
  <c r="I68" i="25"/>
  <c r="G68" i="25"/>
  <c r="M65" i="20"/>
  <c r="E65" i="20"/>
  <c r="L65" i="20"/>
  <c r="D65" i="20"/>
  <c r="J65" i="20"/>
  <c r="H65" i="20"/>
  <c r="C66" i="20"/>
  <c r="N65" i="20"/>
  <c r="K65" i="20"/>
  <c r="G65" i="20"/>
  <c r="I65" i="20"/>
  <c r="F65" i="20"/>
  <c r="K66" i="19"/>
  <c r="I66" i="19"/>
  <c r="N66" i="19"/>
  <c r="F66" i="19"/>
  <c r="D66" i="19"/>
  <c r="C67" i="19"/>
  <c r="M66" i="19"/>
  <c r="L66" i="19"/>
  <c r="J66" i="19"/>
  <c r="G66" i="19"/>
  <c r="H66" i="19"/>
  <c r="E66" i="19"/>
  <c r="H65" i="18"/>
  <c r="C66" i="18"/>
  <c r="G65" i="18"/>
  <c r="N65" i="18"/>
  <c r="F65" i="18"/>
  <c r="M65" i="18"/>
  <c r="E65" i="18"/>
  <c r="L65" i="18"/>
  <c r="D65" i="18"/>
  <c r="K65" i="18"/>
  <c r="J65" i="18"/>
  <c r="I65" i="18"/>
  <c r="C74" i="1" l="1"/>
  <c r="D73" i="1"/>
  <c r="G73" i="1"/>
  <c r="E73" i="1"/>
  <c r="H73" i="1"/>
  <c r="M73" i="1"/>
  <c r="L73" i="1"/>
  <c r="N73" i="1"/>
  <c r="F73" i="1"/>
  <c r="I73" i="1"/>
  <c r="J73" i="1"/>
  <c r="K73" i="1"/>
  <c r="K69" i="1"/>
  <c r="AO7" i="1" s="1"/>
  <c r="I51" i="8" s="1"/>
  <c r="L69" i="1"/>
  <c r="AP7" i="1" s="1"/>
  <c r="I52" i="8" s="1"/>
  <c r="M69" i="1"/>
  <c r="AQ7" i="1" s="1"/>
  <c r="I53" i="8" s="1"/>
  <c r="N69" i="1"/>
  <c r="AR7" i="1" s="1"/>
  <c r="I54" i="8" s="1"/>
  <c r="F69" i="1"/>
  <c r="AJ7" i="1" s="1"/>
  <c r="I46" i="8" s="1"/>
  <c r="E69" i="1"/>
  <c r="AI7" i="1" s="1"/>
  <c r="I45" i="8" s="1"/>
  <c r="H69" i="1"/>
  <c r="AL7" i="1" s="1"/>
  <c r="I48" i="8" s="1"/>
  <c r="D69" i="1"/>
  <c r="AH7" i="1" s="1"/>
  <c r="G69" i="1"/>
  <c r="AK7" i="1" s="1"/>
  <c r="I47" i="8" s="1"/>
  <c r="I69" i="1"/>
  <c r="AM7" i="1" s="1"/>
  <c r="I49" i="8" s="1"/>
  <c r="J69" i="1"/>
  <c r="AN7" i="1" s="1"/>
  <c r="I50" i="8" s="1"/>
  <c r="AN7" i="26"/>
  <c r="I50" i="23" s="1"/>
  <c r="AQ7" i="27"/>
  <c r="I53" i="24" s="1"/>
  <c r="AL7" i="26"/>
  <c r="I48" i="23" s="1"/>
  <c r="AP7" i="27"/>
  <c r="I52" i="24" s="1"/>
  <c r="AK7" i="26"/>
  <c r="I47" i="23" s="1"/>
  <c r="AJ7" i="27"/>
  <c r="I46" i="24" s="1"/>
  <c r="AI7" i="27"/>
  <c r="I45" i="24" s="1"/>
  <c r="AH7" i="27"/>
  <c r="AR7" i="26"/>
  <c r="I54" i="23" s="1"/>
  <c r="AP7" i="26"/>
  <c r="I52" i="23" s="1"/>
  <c r="AR7" i="27"/>
  <c r="I54" i="24" s="1"/>
  <c r="AM7" i="26"/>
  <c r="I49" i="23" s="1"/>
  <c r="AO7" i="27"/>
  <c r="I51" i="24" s="1"/>
  <c r="AJ7" i="26"/>
  <c r="I46" i="23" s="1"/>
  <c r="AN7" i="27"/>
  <c r="I50" i="24" s="1"/>
  <c r="AI7" i="26"/>
  <c r="I45" i="23" s="1"/>
  <c r="AM7" i="27"/>
  <c r="I49" i="24" s="1"/>
  <c r="AH7" i="26"/>
  <c r="AL7" i="27"/>
  <c r="I48" i="24" s="1"/>
  <c r="AK7" i="27"/>
  <c r="I47" i="24" s="1"/>
  <c r="AQ7" i="26"/>
  <c r="I53" i="23" s="1"/>
  <c r="AO7" i="26"/>
  <c r="I51" i="23" s="1"/>
  <c r="C74" i="27"/>
  <c r="F73" i="26"/>
  <c r="C74" i="26"/>
  <c r="N73" i="26"/>
  <c r="M73" i="26"/>
  <c r="L73" i="26"/>
  <c r="K73" i="26"/>
  <c r="G73" i="26"/>
  <c r="E73" i="26"/>
  <c r="D73" i="26"/>
  <c r="J73" i="26"/>
  <c r="I73" i="26"/>
  <c r="H73" i="26"/>
  <c r="L69" i="25"/>
  <c r="AP7" i="25" s="1"/>
  <c r="AP8" i="7" s="1"/>
  <c r="D69" i="25"/>
  <c r="AH7" i="25" s="1"/>
  <c r="K69" i="25"/>
  <c r="AO7" i="25" s="1"/>
  <c r="AO8" i="7" s="1"/>
  <c r="J69" i="25"/>
  <c r="AN7" i="25" s="1"/>
  <c r="AN8" i="7" s="1"/>
  <c r="I69" i="25"/>
  <c r="AM7" i="25" s="1"/>
  <c r="AM8" i="7" s="1"/>
  <c r="H69" i="25"/>
  <c r="AL7" i="25" s="1"/>
  <c r="AL8" i="7" s="1"/>
  <c r="G69" i="25"/>
  <c r="AK7" i="25" s="1"/>
  <c r="AK8" i="7" s="1"/>
  <c r="F69" i="25"/>
  <c r="AJ7" i="25" s="1"/>
  <c r="AJ8" i="7" s="1"/>
  <c r="N69" i="25"/>
  <c r="AR7" i="25" s="1"/>
  <c r="AR8" i="7" s="1"/>
  <c r="M69" i="25"/>
  <c r="AQ7" i="25" s="1"/>
  <c r="AQ8" i="7" s="1"/>
  <c r="E69" i="25"/>
  <c r="AI7" i="25" s="1"/>
  <c r="AI8" i="7" s="1"/>
  <c r="I66" i="20"/>
  <c r="H66" i="20"/>
  <c r="N66" i="20"/>
  <c r="F66" i="20"/>
  <c r="L66" i="20"/>
  <c r="D66" i="20"/>
  <c r="G66" i="20"/>
  <c r="E66" i="20"/>
  <c r="C67" i="20"/>
  <c r="K66" i="20"/>
  <c r="M66" i="20"/>
  <c r="J66" i="20"/>
  <c r="C68" i="19"/>
  <c r="G67" i="19"/>
  <c r="M67" i="19"/>
  <c r="E67" i="19"/>
  <c r="L67" i="19"/>
  <c r="J67" i="19"/>
  <c r="D67" i="19"/>
  <c r="N67" i="19"/>
  <c r="K67" i="19"/>
  <c r="H67" i="19"/>
  <c r="I67" i="19"/>
  <c r="F67" i="19"/>
  <c r="L66" i="18"/>
  <c r="D66" i="18"/>
  <c r="K66" i="18"/>
  <c r="J66" i="18"/>
  <c r="I66" i="18"/>
  <c r="H66" i="18"/>
  <c r="C67" i="18"/>
  <c r="G66" i="18"/>
  <c r="N66" i="18"/>
  <c r="F66" i="18"/>
  <c r="M66" i="18"/>
  <c r="E66" i="18"/>
  <c r="AH8" i="7" l="1"/>
  <c r="I48" i="22"/>
  <c r="I45" i="22"/>
  <c r="I47" i="22"/>
  <c r="I53" i="22"/>
  <c r="I49" i="22"/>
  <c r="I51" i="22"/>
  <c r="I52" i="22"/>
  <c r="I54" i="22"/>
  <c r="I50" i="22"/>
  <c r="I46" i="22"/>
  <c r="I55" i="8"/>
  <c r="I57" i="8" s="1"/>
  <c r="F74" i="1"/>
  <c r="I74" i="1"/>
  <c r="D74" i="1"/>
  <c r="G74" i="1"/>
  <c r="K74" i="1"/>
  <c r="E74" i="1"/>
  <c r="L74" i="1"/>
  <c r="M74" i="1"/>
  <c r="N74" i="1"/>
  <c r="C75" i="1"/>
  <c r="J74" i="1"/>
  <c r="H74" i="1"/>
  <c r="I55" i="24"/>
  <c r="I57" i="24" s="1"/>
  <c r="I55" i="23"/>
  <c r="I57" i="23" s="1"/>
  <c r="C73" i="19"/>
  <c r="C69" i="19"/>
  <c r="K74" i="27"/>
  <c r="H74" i="27"/>
  <c r="D74" i="27"/>
  <c r="C75" i="27"/>
  <c r="M74" i="27"/>
  <c r="N74" i="27"/>
  <c r="J74" i="27"/>
  <c r="I74" i="27"/>
  <c r="G74" i="27"/>
  <c r="F74" i="27"/>
  <c r="E74" i="27"/>
  <c r="L74" i="27"/>
  <c r="J74" i="26"/>
  <c r="N74" i="26"/>
  <c r="M74" i="26"/>
  <c r="L74" i="26"/>
  <c r="K74" i="26"/>
  <c r="I74" i="26"/>
  <c r="H74" i="26"/>
  <c r="G74" i="26"/>
  <c r="F74" i="26"/>
  <c r="C75" i="26"/>
  <c r="E74" i="26"/>
  <c r="D74" i="26"/>
  <c r="I73" i="25"/>
  <c r="H73" i="25"/>
  <c r="C74" i="25"/>
  <c r="N73" i="25"/>
  <c r="M73" i="25"/>
  <c r="J73" i="25"/>
  <c r="G73" i="25"/>
  <c r="F73" i="25"/>
  <c r="D73" i="25"/>
  <c r="L73" i="25"/>
  <c r="K73" i="25"/>
  <c r="M67" i="20"/>
  <c r="E67" i="20"/>
  <c r="L67" i="20"/>
  <c r="D67" i="20"/>
  <c r="J67" i="20"/>
  <c r="H67" i="20"/>
  <c r="K67" i="20"/>
  <c r="I67" i="20"/>
  <c r="G67" i="20"/>
  <c r="F67" i="20"/>
  <c r="C68" i="20"/>
  <c r="N67" i="20"/>
  <c r="K68" i="19"/>
  <c r="I68" i="19"/>
  <c r="H68" i="19"/>
  <c r="N68" i="19"/>
  <c r="F68" i="19"/>
  <c r="G68" i="19"/>
  <c r="E68" i="19"/>
  <c r="D68" i="19"/>
  <c r="L68" i="19"/>
  <c r="J68" i="19"/>
  <c r="M68" i="19"/>
  <c r="H67" i="18"/>
  <c r="C68" i="18"/>
  <c r="G67" i="18"/>
  <c r="N67" i="18"/>
  <c r="F67" i="18"/>
  <c r="M67" i="18"/>
  <c r="E67" i="18"/>
  <c r="L67" i="18"/>
  <c r="D67" i="18"/>
  <c r="K67" i="18"/>
  <c r="J67" i="18"/>
  <c r="I67" i="18"/>
  <c r="I55" i="22" l="1"/>
  <c r="I57" i="22" s="1"/>
  <c r="L75" i="1"/>
  <c r="K75" i="1"/>
  <c r="F75" i="1"/>
  <c r="M75" i="1"/>
  <c r="I75" i="1"/>
  <c r="J75" i="1"/>
  <c r="H75" i="1"/>
  <c r="D75" i="1"/>
  <c r="N75" i="1"/>
  <c r="C76" i="1"/>
  <c r="G75" i="1"/>
  <c r="E75" i="1"/>
  <c r="C73" i="20"/>
  <c r="C69" i="20"/>
  <c r="C73" i="18"/>
  <c r="C69" i="18"/>
  <c r="I69" i="19"/>
  <c r="AM7" i="19" s="1"/>
  <c r="I49" i="12" s="1"/>
  <c r="J69" i="19"/>
  <c r="AN7" i="19" s="1"/>
  <c r="I50" i="12" s="1"/>
  <c r="K69" i="19"/>
  <c r="AO7" i="19" s="1"/>
  <c r="I51" i="12" s="1"/>
  <c r="L69" i="19"/>
  <c r="AP7" i="19" s="1"/>
  <c r="I52" i="12" s="1"/>
  <c r="E69" i="19"/>
  <c r="AI7" i="19" s="1"/>
  <c r="D69" i="19"/>
  <c r="AH7" i="19" s="1"/>
  <c r="N69" i="19"/>
  <c r="AR7" i="19" s="1"/>
  <c r="I54" i="12" s="1"/>
  <c r="F69" i="19"/>
  <c r="AJ7" i="19" s="1"/>
  <c r="I46" i="12" s="1"/>
  <c r="G69" i="19"/>
  <c r="AK7" i="19" s="1"/>
  <c r="I47" i="12" s="1"/>
  <c r="H69" i="19"/>
  <c r="AL7" i="19" s="1"/>
  <c r="I48" i="12" s="1"/>
  <c r="M69" i="19"/>
  <c r="AQ7" i="19" s="1"/>
  <c r="I53" i="12" s="1"/>
  <c r="F73" i="19"/>
  <c r="H73" i="19"/>
  <c r="I73" i="19"/>
  <c r="D73" i="19"/>
  <c r="G73" i="19"/>
  <c r="J73" i="19"/>
  <c r="K73" i="19"/>
  <c r="L73" i="19"/>
  <c r="N73" i="19"/>
  <c r="E73" i="19"/>
  <c r="M73" i="19"/>
  <c r="C76" i="27"/>
  <c r="L75" i="27"/>
  <c r="J75" i="27"/>
  <c r="F75" i="27"/>
  <c r="E75" i="27"/>
  <c r="G75" i="27"/>
  <c r="D75" i="27"/>
  <c r="N75" i="27"/>
  <c r="M75" i="27"/>
  <c r="K75" i="27"/>
  <c r="I75" i="27"/>
  <c r="H75" i="27"/>
  <c r="N75" i="26"/>
  <c r="H75" i="26"/>
  <c r="G75" i="26"/>
  <c r="J75" i="26"/>
  <c r="I75" i="26"/>
  <c r="F75" i="26"/>
  <c r="C76" i="26"/>
  <c r="M75" i="26"/>
  <c r="L75" i="26"/>
  <c r="D75" i="26"/>
  <c r="K75" i="26"/>
  <c r="E75" i="26"/>
  <c r="D74" i="25"/>
  <c r="N74" i="25"/>
  <c r="M74" i="25"/>
  <c r="G74" i="25"/>
  <c r="F74" i="25"/>
  <c r="E74" i="25"/>
  <c r="C75" i="25"/>
  <c r="L74" i="25"/>
  <c r="K74" i="25"/>
  <c r="J74" i="25"/>
  <c r="I74" i="25"/>
  <c r="H74" i="25"/>
  <c r="I68" i="20"/>
  <c r="H68" i="20"/>
  <c r="N68" i="20"/>
  <c r="F68" i="20"/>
  <c r="L68" i="20"/>
  <c r="D68" i="20"/>
  <c r="M68" i="20"/>
  <c r="K68" i="20"/>
  <c r="J68" i="20"/>
  <c r="G68" i="20"/>
  <c r="E68" i="20"/>
  <c r="L68" i="18"/>
  <c r="D68" i="18"/>
  <c r="K68" i="18"/>
  <c r="J68" i="18"/>
  <c r="I68" i="18"/>
  <c r="H68" i="18"/>
  <c r="G68" i="18"/>
  <c r="N68" i="18"/>
  <c r="F68" i="18"/>
  <c r="M68" i="18"/>
  <c r="E68" i="18"/>
  <c r="E76" i="1" l="1"/>
  <c r="K76" i="1"/>
  <c r="J76" i="1"/>
  <c r="G76" i="1"/>
  <c r="L76" i="1"/>
  <c r="D76" i="1"/>
  <c r="H76" i="1"/>
  <c r="M76" i="1"/>
  <c r="F76" i="1"/>
  <c r="C77" i="1"/>
  <c r="N76" i="1"/>
  <c r="I76" i="1"/>
  <c r="N69" i="18"/>
  <c r="AR7" i="18" s="1"/>
  <c r="F69" i="18"/>
  <c r="AJ7" i="18" s="1"/>
  <c r="G69" i="18"/>
  <c r="AK7" i="18" s="1"/>
  <c r="H69" i="18"/>
  <c r="AL7" i="18" s="1"/>
  <c r="I69" i="18"/>
  <c r="AM7" i="18" s="1"/>
  <c r="J69" i="18"/>
  <c r="AN7" i="18" s="1"/>
  <c r="K69" i="18"/>
  <c r="AO7" i="18" s="1"/>
  <c r="L69" i="18"/>
  <c r="AP7" i="18" s="1"/>
  <c r="M69" i="18"/>
  <c r="AQ7" i="18" s="1"/>
  <c r="E69" i="18"/>
  <c r="AI7" i="18" s="1"/>
  <c r="D69" i="18"/>
  <c r="AH7" i="18" s="1"/>
  <c r="K73" i="18"/>
  <c r="L73" i="18"/>
  <c r="M73" i="18"/>
  <c r="E73" i="18"/>
  <c r="D73" i="18"/>
  <c r="N73" i="18"/>
  <c r="F73" i="18"/>
  <c r="G73" i="18"/>
  <c r="H73" i="18"/>
  <c r="I73" i="18"/>
  <c r="J73" i="18"/>
  <c r="I69" i="20"/>
  <c r="AM7" i="20" s="1"/>
  <c r="J69" i="20"/>
  <c r="AN7" i="20" s="1"/>
  <c r="K69" i="20"/>
  <c r="AO7" i="20" s="1"/>
  <c r="L69" i="20"/>
  <c r="AP7" i="20" s="1"/>
  <c r="M69" i="20"/>
  <c r="AQ7" i="20" s="1"/>
  <c r="E69" i="20"/>
  <c r="AI7" i="20" s="1"/>
  <c r="D69" i="20"/>
  <c r="AH7" i="20" s="1"/>
  <c r="N69" i="20"/>
  <c r="AR7" i="20" s="1"/>
  <c r="F69" i="20"/>
  <c r="AJ7" i="20" s="1"/>
  <c r="G69" i="20"/>
  <c r="AK7" i="20" s="1"/>
  <c r="H69" i="20"/>
  <c r="AL7" i="20" s="1"/>
  <c r="N73" i="20"/>
  <c r="F73" i="20"/>
  <c r="G73" i="20"/>
  <c r="H73" i="20"/>
  <c r="I73" i="20"/>
  <c r="J73" i="20"/>
  <c r="K73" i="20"/>
  <c r="L73" i="20"/>
  <c r="M73" i="20"/>
  <c r="E73" i="20"/>
  <c r="D73" i="20"/>
  <c r="M76" i="27"/>
  <c r="L76" i="27"/>
  <c r="J76" i="27"/>
  <c r="N76" i="27"/>
  <c r="C77" i="27"/>
  <c r="K76" i="27"/>
  <c r="I76" i="27"/>
  <c r="H76" i="27"/>
  <c r="G76" i="27"/>
  <c r="F76" i="27"/>
  <c r="E76" i="27"/>
  <c r="D76" i="27"/>
  <c r="M76" i="26"/>
  <c r="L76" i="26"/>
  <c r="C77" i="26"/>
  <c r="N76" i="26"/>
  <c r="K76" i="26"/>
  <c r="J76" i="26"/>
  <c r="I76" i="26"/>
  <c r="H76" i="26"/>
  <c r="G76" i="26"/>
  <c r="F76" i="26"/>
  <c r="E76" i="26"/>
  <c r="D76" i="26"/>
  <c r="H75" i="25"/>
  <c r="N75" i="25"/>
  <c r="M75" i="25"/>
  <c r="L75" i="25"/>
  <c r="K75" i="25"/>
  <c r="J75" i="25"/>
  <c r="I75" i="25"/>
  <c r="C76" i="25"/>
  <c r="G75" i="25"/>
  <c r="F75" i="25"/>
  <c r="E75" i="25"/>
  <c r="D75" i="25"/>
  <c r="I45" i="12"/>
  <c r="I55" i="12" s="1"/>
  <c r="I57" i="12" s="1"/>
  <c r="C74" i="19"/>
  <c r="C78" i="1" l="1"/>
  <c r="F77" i="1"/>
  <c r="G77" i="1"/>
  <c r="L77" i="1"/>
  <c r="E77" i="1"/>
  <c r="N77" i="1"/>
  <c r="K77" i="1"/>
  <c r="M77" i="1"/>
  <c r="D77" i="1"/>
  <c r="H77" i="1"/>
  <c r="I77" i="1"/>
  <c r="J77" i="1"/>
  <c r="G77" i="27"/>
  <c r="D77" i="27"/>
  <c r="E77" i="27"/>
  <c r="H77" i="27"/>
  <c r="F77" i="27"/>
  <c r="K77" i="27"/>
  <c r="J77" i="27"/>
  <c r="I77" i="27"/>
  <c r="L77" i="27"/>
  <c r="C78" i="27"/>
  <c r="N77" i="27"/>
  <c r="M77" i="27"/>
  <c r="F77" i="26"/>
  <c r="E77" i="26"/>
  <c r="D77" i="26"/>
  <c r="C78" i="26"/>
  <c r="I77" i="26"/>
  <c r="H77" i="26"/>
  <c r="G77" i="26"/>
  <c r="N77" i="26"/>
  <c r="M77" i="26"/>
  <c r="L77" i="26"/>
  <c r="K77" i="26"/>
  <c r="J77" i="26"/>
  <c r="L76" i="25"/>
  <c r="G76" i="25"/>
  <c r="F76" i="25"/>
  <c r="H76" i="25"/>
  <c r="E76" i="25"/>
  <c r="D76" i="25"/>
  <c r="C77" i="25"/>
  <c r="N76" i="25"/>
  <c r="M76" i="25"/>
  <c r="K76" i="25"/>
  <c r="J76" i="25"/>
  <c r="I76" i="25"/>
  <c r="C74" i="20"/>
  <c r="C75" i="19"/>
  <c r="G74" i="19"/>
  <c r="M74" i="19"/>
  <c r="E74" i="19"/>
  <c r="L74" i="19"/>
  <c r="D74" i="19"/>
  <c r="J74" i="19"/>
  <c r="N74" i="19"/>
  <c r="K74" i="19"/>
  <c r="H74" i="19"/>
  <c r="I74" i="19"/>
  <c r="F74" i="19"/>
  <c r="C74" i="18"/>
  <c r="D78" i="1" l="1"/>
  <c r="C79" i="1"/>
  <c r="G78" i="1"/>
  <c r="F78" i="1"/>
  <c r="L78" i="1"/>
  <c r="N78" i="1"/>
  <c r="M78" i="1"/>
  <c r="I78" i="1"/>
  <c r="H78" i="1"/>
  <c r="J78" i="1"/>
  <c r="K78" i="1"/>
  <c r="E78" i="1"/>
  <c r="K78" i="27"/>
  <c r="H78" i="27"/>
  <c r="L78" i="27"/>
  <c r="I78" i="27"/>
  <c r="G78" i="27"/>
  <c r="E78" i="27"/>
  <c r="C79" i="27"/>
  <c r="N78" i="27"/>
  <c r="M78" i="27"/>
  <c r="J78" i="27"/>
  <c r="F78" i="27"/>
  <c r="D78" i="27"/>
  <c r="J78" i="26"/>
  <c r="F78" i="26"/>
  <c r="E78" i="26"/>
  <c r="M78" i="26"/>
  <c r="L78" i="26"/>
  <c r="K78" i="26"/>
  <c r="C79" i="26"/>
  <c r="N78" i="26"/>
  <c r="I78" i="26"/>
  <c r="H78" i="26"/>
  <c r="G78" i="26"/>
  <c r="D78" i="26"/>
  <c r="L77" i="25"/>
  <c r="K77" i="25"/>
  <c r="I77" i="25"/>
  <c r="H77" i="25"/>
  <c r="G77" i="25"/>
  <c r="F77" i="25"/>
  <c r="E77" i="25"/>
  <c r="D77" i="25"/>
  <c r="C78" i="25"/>
  <c r="N77" i="25"/>
  <c r="M77" i="25"/>
  <c r="J77" i="25"/>
  <c r="M74" i="20"/>
  <c r="E74" i="20"/>
  <c r="L74" i="20"/>
  <c r="D74" i="20"/>
  <c r="J74" i="20"/>
  <c r="H74" i="20"/>
  <c r="K74" i="20"/>
  <c r="I74" i="20"/>
  <c r="G74" i="20"/>
  <c r="F74" i="20"/>
  <c r="C75" i="20"/>
  <c r="N74" i="20"/>
  <c r="K75" i="19"/>
  <c r="I75" i="19"/>
  <c r="H75" i="19"/>
  <c r="N75" i="19"/>
  <c r="F75" i="19"/>
  <c r="G75" i="19"/>
  <c r="E75" i="19"/>
  <c r="D75" i="19"/>
  <c r="C76" i="19"/>
  <c r="L75" i="19"/>
  <c r="M75" i="19"/>
  <c r="J75" i="19"/>
  <c r="H74" i="18"/>
  <c r="C75" i="18"/>
  <c r="G74" i="18"/>
  <c r="N74" i="18"/>
  <c r="F74" i="18"/>
  <c r="M74" i="18"/>
  <c r="E74" i="18"/>
  <c r="L74" i="18"/>
  <c r="D74" i="18"/>
  <c r="K74" i="18"/>
  <c r="J74" i="18"/>
  <c r="I74" i="18"/>
  <c r="I79" i="1" l="1"/>
  <c r="E79" i="1"/>
  <c r="D79" i="1"/>
  <c r="N79" i="1"/>
  <c r="F79" i="1"/>
  <c r="M79" i="1"/>
  <c r="H79" i="1"/>
  <c r="G79" i="1"/>
  <c r="C80" i="1"/>
  <c r="L79" i="1"/>
  <c r="K79" i="1"/>
  <c r="J79" i="1"/>
  <c r="C80" i="27"/>
  <c r="L79" i="27"/>
  <c r="M79" i="27"/>
  <c r="F79" i="27"/>
  <c r="E79" i="27"/>
  <c r="D79" i="27"/>
  <c r="N79" i="27"/>
  <c r="K79" i="27"/>
  <c r="J79" i="27"/>
  <c r="I79" i="27"/>
  <c r="H79" i="27"/>
  <c r="G79" i="27"/>
  <c r="N79" i="26"/>
  <c r="K79" i="26"/>
  <c r="J79" i="26"/>
  <c r="D79" i="26"/>
  <c r="C80" i="26"/>
  <c r="M79" i="26"/>
  <c r="L79" i="26"/>
  <c r="I79" i="26"/>
  <c r="H79" i="26"/>
  <c r="F79" i="26"/>
  <c r="E79" i="26"/>
  <c r="G79" i="26"/>
  <c r="D78" i="25"/>
  <c r="C79" i="25"/>
  <c r="N78" i="25"/>
  <c r="M78" i="25"/>
  <c r="L78" i="25"/>
  <c r="K78" i="25"/>
  <c r="J78" i="25"/>
  <c r="I78" i="25"/>
  <c r="H78" i="25"/>
  <c r="G78" i="25"/>
  <c r="F78" i="25"/>
  <c r="E78" i="25"/>
  <c r="I75" i="20"/>
  <c r="H75" i="20"/>
  <c r="N75" i="20"/>
  <c r="F75" i="20"/>
  <c r="L75" i="20"/>
  <c r="D75" i="20"/>
  <c r="C76" i="20"/>
  <c r="M75" i="20"/>
  <c r="K75" i="20"/>
  <c r="J75" i="20"/>
  <c r="G75" i="20"/>
  <c r="E75" i="20"/>
  <c r="C77" i="19"/>
  <c r="G76" i="19"/>
  <c r="M76" i="19"/>
  <c r="E76" i="19"/>
  <c r="L76" i="19"/>
  <c r="D76" i="19"/>
  <c r="J76" i="19"/>
  <c r="K76" i="19"/>
  <c r="I76" i="19"/>
  <c r="H76" i="19"/>
  <c r="F76" i="19"/>
  <c r="N76" i="19"/>
  <c r="L75" i="18"/>
  <c r="D75" i="18"/>
  <c r="K75" i="18"/>
  <c r="J75" i="18"/>
  <c r="I75" i="18"/>
  <c r="H75" i="18"/>
  <c r="C76" i="18"/>
  <c r="G75" i="18"/>
  <c r="N75" i="18"/>
  <c r="F75" i="18"/>
  <c r="M75" i="18"/>
  <c r="E75" i="18"/>
  <c r="G80" i="1" l="1"/>
  <c r="C81" i="1"/>
  <c r="E80" i="1"/>
  <c r="D80" i="1"/>
  <c r="M80" i="1"/>
  <c r="H80" i="1"/>
  <c r="L80" i="1"/>
  <c r="K80" i="1"/>
  <c r="I80" i="1"/>
  <c r="N80" i="1"/>
  <c r="J80" i="1"/>
  <c r="F80" i="1"/>
  <c r="F80" i="27"/>
  <c r="E80" i="27"/>
  <c r="D80" i="27"/>
  <c r="M80" i="27"/>
  <c r="C81" i="27"/>
  <c r="N80" i="27"/>
  <c r="G80" i="27"/>
  <c r="L80" i="27"/>
  <c r="K80" i="27"/>
  <c r="J80" i="27"/>
  <c r="I80" i="27"/>
  <c r="H80" i="27"/>
  <c r="C81" i="26"/>
  <c r="H80" i="26"/>
  <c r="G80" i="26"/>
  <c r="F80" i="26"/>
  <c r="N80" i="26"/>
  <c r="M80" i="26"/>
  <c r="L80" i="26"/>
  <c r="K80" i="26"/>
  <c r="E80" i="26"/>
  <c r="J80" i="26"/>
  <c r="I80" i="26"/>
  <c r="D80" i="26"/>
  <c r="H79" i="25"/>
  <c r="E79" i="25"/>
  <c r="D79" i="25"/>
  <c r="F79" i="25"/>
  <c r="C80" i="25"/>
  <c r="N79" i="25"/>
  <c r="M79" i="25"/>
  <c r="L79" i="25"/>
  <c r="K79" i="25"/>
  <c r="J79" i="25"/>
  <c r="I79" i="25"/>
  <c r="G79" i="25"/>
  <c r="M76" i="20"/>
  <c r="E76" i="20"/>
  <c r="L76" i="20"/>
  <c r="D76" i="20"/>
  <c r="J76" i="20"/>
  <c r="H76" i="20"/>
  <c r="C77" i="20"/>
  <c r="N76" i="20"/>
  <c r="K76" i="20"/>
  <c r="G76" i="20"/>
  <c r="I76" i="20"/>
  <c r="F76" i="20"/>
  <c r="K77" i="19"/>
  <c r="I77" i="19"/>
  <c r="H77" i="19"/>
  <c r="N77" i="19"/>
  <c r="F77" i="19"/>
  <c r="C78" i="19"/>
  <c r="M77" i="19"/>
  <c r="L77" i="19"/>
  <c r="J77" i="19"/>
  <c r="G77" i="19"/>
  <c r="D77" i="19"/>
  <c r="E77" i="19"/>
  <c r="H76" i="18"/>
  <c r="C77" i="18"/>
  <c r="G76" i="18"/>
  <c r="N76" i="18"/>
  <c r="F76" i="18"/>
  <c r="M76" i="18"/>
  <c r="E76" i="18"/>
  <c r="L76" i="18"/>
  <c r="D76" i="18"/>
  <c r="K76" i="18"/>
  <c r="J76" i="18"/>
  <c r="I76" i="18"/>
  <c r="G81" i="1" l="1"/>
  <c r="K81" i="1"/>
  <c r="C82" i="1"/>
  <c r="M81" i="1"/>
  <c r="J81" i="1"/>
  <c r="F81" i="1"/>
  <c r="D81" i="1"/>
  <c r="H81" i="1"/>
  <c r="N81" i="1"/>
  <c r="L81" i="1"/>
  <c r="E81" i="1"/>
  <c r="I81" i="1"/>
  <c r="G81" i="27"/>
  <c r="D81" i="27"/>
  <c r="L81" i="27"/>
  <c r="M81" i="27"/>
  <c r="K81" i="27"/>
  <c r="I81" i="27"/>
  <c r="E81" i="27"/>
  <c r="H81" i="27"/>
  <c r="F81" i="27"/>
  <c r="C82" i="27"/>
  <c r="N81" i="27"/>
  <c r="J81" i="27"/>
  <c r="F81" i="26"/>
  <c r="D81" i="26"/>
  <c r="C82" i="26"/>
  <c r="N81" i="26"/>
  <c r="M81" i="26"/>
  <c r="H81" i="26"/>
  <c r="G81" i="26"/>
  <c r="E81" i="26"/>
  <c r="L81" i="26"/>
  <c r="K81" i="26"/>
  <c r="J81" i="26"/>
  <c r="I81" i="26"/>
  <c r="L80" i="25"/>
  <c r="J80" i="25"/>
  <c r="I80" i="25"/>
  <c r="N80" i="25"/>
  <c r="M80" i="25"/>
  <c r="K80" i="25"/>
  <c r="H80" i="25"/>
  <c r="G80" i="25"/>
  <c r="F80" i="25"/>
  <c r="C81" i="25"/>
  <c r="E80" i="25"/>
  <c r="D80" i="25"/>
  <c r="I77" i="20"/>
  <c r="H77" i="20"/>
  <c r="N77" i="20"/>
  <c r="F77" i="20"/>
  <c r="L77" i="20"/>
  <c r="D77" i="20"/>
  <c r="G77" i="20"/>
  <c r="E77" i="20"/>
  <c r="C78" i="20"/>
  <c r="K77" i="20"/>
  <c r="M77" i="20"/>
  <c r="J77" i="20"/>
  <c r="C79" i="19"/>
  <c r="G78" i="19"/>
  <c r="M78" i="19"/>
  <c r="E78" i="19"/>
  <c r="L78" i="19"/>
  <c r="D78" i="19"/>
  <c r="J78" i="19"/>
  <c r="N78" i="19"/>
  <c r="K78" i="19"/>
  <c r="H78" i="19"/>
  <c r="I78" i="19"/>
  <c r="F78" i="19"/>
  <c r="L77" i="18"/>
  <c r="D77" i="18"/>
  <c r="K77" i="18"/>
  <c r="J77" i="18"/>
  <c r="I77" i="18"/>
  <c r="H77" i="18"/>
  <c r="C78" i="18"/>
  <c r="G77" i="18"/>
  <c r="N77" i="18"/>
  <c r="F77" i="18"/>
  <c r="M77" i="18"/>
  <c r="E77" i="18"/>
  <c r="F82" i="1" l="1"/>
  <c r="E82" i="1"/>
  <c r="I82" i="1"/>
  <c r="D82" i="1"/>
  <c r="J82" i="1"/>
  <c r="H82" i="1"/>
  <c r="L82" i="1"/>
  <c r="N82" i="1"/>
  <c r="M82" i="1"/>
  <c r="G82" i="1"/>
  <c r="C83" i="1"/>
  <c r="K82" i="1"/>
  <c r="K82" i="27"/>
  <c r="H82" i="27"/>
  <c r="M82" i="27"/>
  <c r="C83" i="27"/>
  <c r="N82" i="27"/>
  <c r="J82" i="27"/>
  <c r="I82" i="27"/>
  <c r="G82" i="27"/>
  <c r="F82" i="27"/>
  <c r="E82" i="27"/>
  <c r="D82" i="27"/>
  <c r="L82" i="27"/>
  <c r="J82" i="26"/>
  <c r="I82" i="26"/>
  <c r="H82" i="26"/>
  <c r="C83" i="26"/>
  <c r="N82" i="26"/>
  <c r="M82" i="26"/>
  <c r="L82" i="26"/>
  <c r="K82" i="26"/>
  <c r="G82" i="26"/>
  <c r="F82" i="26"/>
  <c r="E82" i="26"/>
  <c r="D82" i="26"/>
  <c r="C82" i="25"/>
  <c r="N81" i="25"/>
  <c r="M81" i="25"/>
  <c r="H81" i="25"/>
  <c r="G81" i="25"/>
  <c r="F81" i="25"/>
  <c r="E81" i="25"/>
  <c r="D81" i="25"/>
  <c r="L81" i="25"/>
  <c r="K81" i="25"/>
  <c r="J81" i="25"/>
  <c r="I81" i="25"/>
  <c r="M78" i="20"/>
  <c r="E78" i="20"/>
  <c r="L78" i="20"/>
  <c r="D78" i="20"/>
  <c r="J78" i="20"/>
  <c r="H78" i="20"/>
  <c r="K78" i="20"/>
  <c r="I78" i="20"/>
  <c r="G78" i="20"/>
  <c r="F78" i="20"/>
  <c r="C79" i="20"/>
  <c r="N78" i="20"/>
  <c r="K79" i="19"/>
  <c r="I79" i="19"/>
  <c r="H79" i="19"/>
  <c r="N79" i="19"/>
  <c r="F79" i="19"/>
  <c r="G79" i="19"/>
  <c r="E79" i="19"/>
  <c r="D79" i="19"/>
  <c r="C80" i="19"/>
  <c r="L79" i="19"/>
  <c r="M79" i="19"/>
  <c r="J79" i="19"/>
  <c r="H78" i="18"/>
  <c r="C79" i="18"/>
  <c r="G78" i="18"/>
  <c r="N78" i="18"/>
  <c r="F78" i="18"/>
  <c r="M78" i="18"/>
  <c r="E78" i="18"/>
  <c r="L78" i="18"/>
  <c r="D78" i="18"/>
  <c r="K78" i="18"/>
  <c r="J78" i="18"/>
  <c r="I78" i="18"/>
  <c r="M83" i="1" l="1"/>
  <c r="G83" i="1"/>
  <c r="F83" i="1"/>
  <c r="E83" i="1"/>
  <c r="D83" i="1"/>
  <c r="I83" i="1"/>
  <c r="H83" i="1"/>
  <c r="C84" i="1"/>
  <c r="L83" i="1"/>
  <c r="K83" i="1"/>
  <c r="J83" i="1"/>
  <c r="N83" i="1"/>
  <c r="C84" i="27"/>
  <c r="L83" i="27"/>
  <c r="F83" i="27"/>
  <c r="H83" i="27"/>
  <c r="G83" i="27"/>
  <c r="D83" i="27"/>
  <c r="E83" i="27"/>
  <c r="N83" i="27"/>
  <c r="M83" i="27"/>
  <c r="K83" i="27"/>
  <c r="J83" i="27"/>
  <c r="I83" i="27"/>
  <c r="N83" i="26"/>
  <c r="C84" i="26"/>
  <c r="M83" i="26"/>
  <c r="J83" i="26"/>
  <c r="I83" i="26"/>
  <c r="H83" i="26"/>
  <c r="L83" i="26"/>
  <c r="K83" i="26"/>
  <c r="F83" i="26"/>
  <c r="E83" i="26"/>
  <c r="D83" i="26"/>
  <c r="G83" i="26"/>
  <c r="D82" i="25"/>
  <c r="I82" i="25"/>
  <c r="H82" i="25"/>
  <c r="G82" i="25"/>
  <c r="F82" i="25"/>
  <c r="E82" i="25"/>
  <c r="C83" i="25"/>
  <c r="N82" i="25"/>
  <c r="M82" i="25"/>
  <c r="L82" i="25"/>
  <c r="K82" i="25"/>
  <c r="J82" i="25"/>
  <c r="I79" i="20"/>
  <c r="H79" i="20"/>
  <c r="N79" i="20"/>
  <c r="F79" i="20"/>
  <c r="L79" i="20"/>
  <c r="D79" i="20"/>
  <c r="C80" i="20"/>
  <c r="M79" i="20"/>
  <c r="K79" i="20"/>
  <c r="J79" i="20"/>
  <c r="G79" i="20"/>
  <c r="E79" i="20"/>
  <c r="C81" i="19"/>
  <c r="G80" i="19"/>
  <c r="M80" i="19"/>
  <c r="E80" i="19"/>
  <c r="L80" i="19"/>
  <c r="D80" i="19"/>
  <c r="J80" i="19"/>
  <c r="K80" i="19"/>
  <c r="I80" i="19"/>
  <c r="H80" i="19"/>
  <c r="F80" i="19"/>
  <c r="N80" i="19"/>
  <c r="L79" i="18"/>
  <c r="D79" i="18"/>
  <c r="K79" i="18"/>
  <c r="J79" i="18"/>
  <c r="I79" i="18"/>
  <c r="H79" i="18"/>
  <c r="C80" i="18"/>
  <c r="G79" i="18"/>
  <c r="N79" i="18"/>
  <c r="F79" i="18"/>
  <c r="E79" i="18"/>
  <c r="M79" i="18"/>
  <c r="N84" i="1" l="1"/>
  <c r="I84" i="1"/>
  <c r="M84" i="1"/>
  <c r="C85" i="1"/>
  <c r="E84" i="1"/>
  <c r="D84" i="1"/>
  <c r="J84" i="1"/>
  <c r="H84" i="1"/>
  <c r="L84" i="1"/>
  <c r="K84" i="1"/>
  <c r="G84" i="1"/>
  <c r="F84" i="1"/>
  <c r="L84" i="27"/>
  <c r="C85" i="27"/>
  <c r="N84" i="27"/>
  <c r="K84" i="27"/>
  <c r="M84" i="27"/>
  <c r="J84" i="27"/>
  <c r="I84" i="27"/>
  <c r="H84" i="27"/>
  <c r="G84" i="27"/>
  <c r="F84" i="27"/>
  <c r="E84" i="27"/>
  <c r="D84" i="27"/>
  <c r="C85" i="26"/>
  <c r="M84" i="26"/>
  <c r="L84" i="26"/>
  <c r="K84" i="26"/>
  <c r="J84" i="26"/>
  <c r="I84" i="26"/>
  <c r="H84" i="26"/>
  <c r="G84" i="26"/>
  <c r="F84" i="26"/>
  <c r="N84" i="26"/>
  <c r="E84" i="26"/>
  <c r="D84" i="26"/>
  <c r="H83" i="25"/>
  <c r="I83" i="25"/>
  <c r="G83" i="25"/>
  <c r="C84" i="25"/>
  <c r="N83" i="25"/>
  <c r="M83" i="25"/>
  <c r="L83" i="25"/>
  <c r="K83" i="25"/>
  <c r="J83" i="25"/>
  <c r="F83" i="25"/>
  <c r="E83" i="25"/>
  <c r="D83" i="25"/>
  <c r="M80" i="20"/>
  <c r="E80" i="20"/>
  <c r="L80" i="20"/>
  <c r="D80" i="20"/>
  <c r="J80" i="20"/>
  <c r="H80" i="20"/>
  <c r="C81" i="20"/>
  <c r="N80" i="20"/>
  <c r="K80" i="20"/>
  <c r="G80" i="20"/>
  <c r="I80" i="20"/>
  <c r="F80" i="20"/>
  <c r="K81" i="19"/>
  <c r="I81" i="19"/>
  <c r="H81" i="19"/>
  <c r="N81" i="19"/>
  <c r="F81" i="19"/>
  <c r="C82" i="19"/>
  <c r="M81" i="19"/>
  <c r="L81" i="19"/>
  <c r="J81" i="19"/>
  <c r="G81" i="19"/>
  <c r="D81" i="19"/>
  <c r="E81" i="19"/>
  <c r="H80" i="18"/>
  <c r="C81" i="18"/>
  <c r="G80" i="18"/>
  <c r="N80" i="18"/>
  <c r="F80" i="18"/>
  <c r="M80" i="18"/>
  <c r="E80" i="18"/>
  <c r="L80" i="18"/>
  <c r="D80" i="18"/>
  <c r="K80" i="18"/>
  <c r="J80" i="18"/>
  <c r="I80" i="18"/>
  <c r="H85" i="1" l="1"/>
  <c r="G85" i="1"/>
  <c r="N85" i="1"/>
  <c r="J85" i="1"/>
  <c r="L85" i="1"/>
  <c r="E85" i="1"/>
  <c r="C86" i="1"/>
  <c r="F85" i="1"/>
  <c r="K85" i="1"/>
  <c r="D85" i="1"/>
  <c r="M85" i="1"/>
  <c r="I85" i="1"/>
  <c r="G85" i="27"/>
  <c r="D85" i="27"/>
  <c r="H85" i="27"/>
  <c r="F85" i="27"/>
  <c r="E85" i="27"/>
  <c r="K85" i="27"/>
  <c r="J85" i="27"/>
  <c r="I85" i="27"/>
  <c r="N85" i="27"/>
  <c r="M85" i="27"/>
  <c r="L85" i="27"/>
  <c r="C86" i="27"/>
  <c r="F85" i="26"/>
  <c r="H85" i="26"/>
  <c r="G85" i="26"/>
  <c r="E85" i="26"/>
  <c r="D85" i="26"/>
  <c r="J85" i="26"/>
  <c r="I85" i="26"/>
  <c r="C86" i="26"/>
  <c r="N85" i="26"/>
  <c r="M85" i="26"/>
  <c r="L85" i="26"/>
  <c r="K85" i="26"/>
  <c r="L84" i="25"/>
  <c r="N84" i="25"/>
  <c r="M84" i="25"/>
  <c r="D84" i="25"/>
  <c r="F84" i="25"/>
  <c r="E84" i="25"/>
  <c r="C85" i="25"/>
  <c r="K84" i="25"/>
  <c r="J84" i="25"/>
  <c r="I84" i="25"/>
  <c r="H84" i="25"/>
  <c r="G84" i="25"/>
  <c r="I81" i="20"/>
  <c r="H81" i="20"/>
  <c r="N81" i="20"/>
  <c r="F81" i="20"/>
  <c r="L81" i="20"/>
  <c r="D81" i="20"/>
  <c r="G81" i="20"/>
  <c r="E81" i="20"/>
  <c r="C82" i="20"/>
  <c r="K81" i="20"/>
  <c r="M81" i="20"/>
  <c r="J81" i="20"/>
  <c r="C83" i="19"/>
  <c r="G82" i="19"/>
  <c r="M82" i="19"/>
  <c r="E82" i="19"/>
  <c r="L82" i="19"/>
  <c r="D82" i="19"/>
  <c r="J82" i="19"/>
  <c r="N82" i="19"/>
  <c r="K82" i="19"/>
  <c r="H82" i="19"/>
  <c r="F82" i="19"/>
  <c r="I82" i="19"/>
  <c r="L81" i="18"/>
  <c r="D81" i="18"/>
  <c r="I81" i="18"/>
  <c r="C82" i="18"/>
  <c r="E81" i="18"/>
  <c r="N81" i="18"/>
  <c r="M81" i="18"/>
  <c r="K81" i="18"/>
  <c r="J81" i="18"/>
  <c r="H81" i="18"/>
  <c r="G81" i="18"/>
  <c r="F81" i="18"/>
  <c r="L86" i="1" l="1"/>
  <c r="K86" i="1"/>
  <c r="J86" i="1"/>
  <c r="M86" i="1"/>
  <c r="I86" i="1"/>
  <c r="D86" i="1"/>
  <c r="E86" i="1"/>
  <c r="C87" i="1"/>
  <c r="N86" i="1"/>
  <c r="H86" i="1"/>
  <c r="G86" i="1"/>
  <c r="F86" i="1"/>
  <c r="K86" i="27"/>
  <c r="H86" i="27"/>
  <c r="F86" i="27"/>
  <c r="L86" i="27"/>
  <c r="J86" i="27"/>
  <c r="G86" i="27"/>
  <c r="C87" i="27"/>
  <c r="N86" i="27"/>
  <c r="M86" i="27"/>
  <c r="I86" i="27"/>
  <c r="E86" i="27"/>
  <c r="D86" i="27"/>
  <c r="J86" i="26"/>
  <c r="M86" i="26"/>
  <c r="L86" i="26"/>
  <c r="C87" i="26"/>
  <c r="N86" i="26"/>
  <c r="K86" i="26"/>
  <c r="I86" i="26"/>
  <c r="H86" i="26"/>
  <c r="G86" i="26"/>
  <c r="F86" i="26"/>
  <c r="E86" i="26"/>
  <c r="D86" i="26"/>
  <c r="K85" i="25"/>
  <c r="J85" i="25"/>
  <c r="I85" i="25"/>
  <c r="H85" i="25"/>
  <c r="G85" i="25"/>
  <c r="F85" i="25"/>
  <c r="C86" i="25"/>
  <c r="N85" i="25"/>
  <c r="M85" i="25"/>
  <c r="L85" i="25"/>
  <c r="E85" i="25"/>
  <c r="D85" i="25"/>
  <c r="M82" i="20"/>
  <c r="E82" i="20"/>
  <c r="L82" i="20"/>
  <c r="D82" i="20"/>
  <c r="J82" i="20"/>
  <c r="H82" i="20"/>
  <c r="K82" i="20"/>
  <c r="I82" i="20"/>
  <c r="G82" i="20"/>
  <c r="F82" i="20"/>
  <c r="C83" i="20"/>
  <c r="N82" i="20"/>
  <c r="K83" i="19"/>
  <c r="I83" i="19"/>
  <c r="H83" i="19"/>
  <c r="N83" i="19"/>
  <c r="F83" i="19"/>
  <c r="G83" i="19"/>
  <c r="E83" i="19"/>
  <c r="D83" i="19"/>
  <c r="C84" i="19"/>
  <c r="L83" i="19"/>
  <c r="M83" i="19"/>
  <c r="J83" i="19"/>
  <c r="H82" i="18"/>
  <c r="M82" i="18"/>
  <c r="E82" i="18"/>
  <c r="N82" i="18"/>
  <c r="L82" i="18"/>
  <c r="K82" i="18"/>
  <c r="J82" i="18"/>
  <c r="I82" i="18"/>
  <c r="G82" i="18"/>
  <c r="F82" i="18"/>
  <c r="C83" i="18"/>
  <c r="D82" i="18"/>
  <c r="F87" i="1" l="1"/>
  <c r="L87" i="1"/>
  <c r="G87" i="1"/>
  <c r="C88" i="1"/>
  <c r="K87" i="1"/>
  <c r="H87" i="1"/>
  <c r="E87" i="1"/>
  <c r="I87" i="1"/>
  <c r="N87" i="1"/>
  <c r="M87" i="1"/>
  <c r="J87" i="1"/>
  <c r="D87" i="1"/>
  <c r="C88" i="27"/>
  <c r="L87" i="27"/>
  <c r="M87" i="27"/>
  <c r="F87" i="27"/>
  <c r="E87" i="27"/>
  <c r="D87" i="27"/>
  <c r="N87" i="27"/>
  <c r="K87" i="27"/>
  <c r="J87" i="27"/>
  <c r="I87" i="27"/>
  <c r="H87" i="27"/>
  <c r="G87" i="27"/>
  <c r="N87" i="26"/>
  <c r="E87" i="26"/>
  <c r="D87" i="26"/>
  <c r="C88" i="26"/>
  <c r="M87" i="26"/>
  <c r="L87" i="26"/>
  <c r="K87" i="26"/>
  <c r="J87" i="26"/>
  <c r="I87" i="26"/>
  <c r="G87" i="26"/>
  <c r="F87" i="26"/>
  <c r="H87" i="26"/>
  <c r="D86" i="25"/>
  <c r="G86" i="25"/>
  <c r="F86" i="25"/>
  <c r="C87" i="25"/>
  <c r="N86" i="25"/>
  <c r="M86" i="25"/>
  <c r="J86" i="25"/>
  <c r="I86" i="25"/>
  <c r="H86" i="25"/>
  <c r="E86" i="25"/>
  <c r="L86" i="25"/>
  <c r="K86" i="25"/>
  <c r="I83" i="20"/>
  <c r="H83" i="20"/>
  <c r="N83" i="20"/>
  <c r="F83" i="20"/>
  <c r="L83" i="20"/>
  <c r="D83" i="20"/>
  <c r="C84" i="20"/>
  <c r="M83" i="20"/>
  <c r="K83" i="20"/>
  <c r="J83" i="20"/>
  <c r="G83" i="20"/>
  <c r="E83" i="20"/>
  <c r="C85" i="19"/>
  <c r="G84" i="19"/>
  <c r="M84" i="19"/>
  <c r="E84" i="19"/>
  <c r="L84" i="19"/>
  <c r="D84" i="19"/>
  <c r="J84" i="19"/>
  <c r="K84" i="19"/>
  <c r="I84" i="19"/>
  <c r="H84" i="19"/>
  <c r="F84" i="19"/>
  <c r="N84" i="19"/>
  <c r="L83" i="18"/>
  <c r="D83" i="18"/>
  <c r="I83" i="18"/>
  <c r="M83" i="18"/>
  <c r="K83" i="18"/>
  <c r="J83" i="18"/>
  <c r="H83" i="18"/>
  <c r="G83" i="18"/>
  <c r="F83" i="18"/>
  <c r="C84" i="18"/>
  <c r="E83" i="18"/>
  <c r="N83" i="18"/>
  <c r="H88" i="1" l="1"/>
  <c r="G88" i="1"/>
  <c r="F88" i="1"/>
  <c r="J88" i="1"/>
  <c r="M88" i="1"/>
  <c r="L88" i="1"/>
  <c r="D88" i="1"/>
  <c r="I88" i="1"/>
  <c r="N88" i="1"/>
  <c r="E88" i="1"/>
  <c r="C89" i="1"/>
  <c r="K88" i="1"/>
  <c r="G88" i="27"/>
  <c r="F88" i="27"/>
  <c r="D88" i="27"/>
  <c r="M88" i="27"/>
  <c r="C89" i="27"/>
  <c r="N88" i="27"/>
  <c r="E88" i="27"/>
  <c r="L88" i="27"/>
  <c r="K88" i="27"/>
  <c r="J88" i="27"/>
  <c r="I88" i="27"/>
  <c r="H88" i="27"/>
  <c r="F88" i="26"/>
  <c r="E88" i="26"/>
  <c r="J88" i="26"/>
  <c r="I88" i="26"/>
  <c r="H88" i="26"/>
  <c r="C89" i="26"/>
  <c r="N88" i="26"/>
  <c r="M88" i="26"/>
  <c r="L88" i="26"/>
  <c r="K88" i="26"/>
  <c r="G88" i="26"/>
  <c r="D88" i="26"/>
  <c r="H87" i="25"/>
  <c r="L87" i="25"/>
  <c r="K87" i="25"/>
  <c r="F87" i="25"/>
  <c r="E87" i="25"/>
  <c r="D87" i="25"/>
  <c r="C88" i="25"/>
  <c r="N87" i="25"/>
  <c r="M87" i="25"/>
  <c r="J87" i="25"/>
  <c r="I87" i="25"/>
  <c r="G87" i="25"/>
  <c r="M84" i="20"/>
  <c r="E84" i="20"/>
  <c r="L84" i="20"/>
  <c r="D84" i="20"/>
  <c r="J84" i="20"/>
  <c r="H84" i="20"/>
  <c r="C85" i="20"/>
  <c r="N84" i="20"/>
  <c r="K84" i="20"/>
  <c r="G84" i="20"/>
  <c r="F84" i="20"/>
  <c r="I84" i="20"/>
  <c r="K85" i="19"/>
  <c r="I85" i="19"/>
  <c r="H85" i="19"/>
  <c r="N85" i="19"/>
  <c r="F85" i="19"/>
  <c r="C86" i="19"/>
  <c r="M85" i="19"/>
  <c r="L85" i="19"/>
  <c r="J85" i="19"/>
  <c r="G85" i="19"/>
  <c r="D85" i="19"/>
  <c r="E85" i="19"/>
  <c r="H84" i="18"/>
  <c r="M84" i="18"/>
  <c r="E84" i="18"/>
  <c r="K84" i="18"/>
  <c r="J84" i="18"/>
  <c r="I84" i="18"/>
  <c r="G84" i="18"/>
  <c r="F84" i="18"/>
  <c r="C85" i="18"/>
  <c r="D84" i="18"/>
  <c r="N84" i="18"/>
  <c r="L84" i="18"/>
  <c r="L89" i="1" l="1"/>
  <c r="F89" i="1"/>
  <c r="K89" i="1"/>
  <c r="M89" i="1"/>
  <c r="D89" i="1"/>
  <c r="J89" i="1"/>
  <c r="I89" i="1"/>
  <c r="H89" i="1"/>
  <c r="E89" i="1"/>
  <c r="G89" i="1"/>
  <c r="C90" i="1"/>
  <c r="N89" i="1"/>
  <c r="G89" i="27"/>
  <c r="H89" i="27"/>
  <c r="D89" i="27"/>
  <c r="I89" i="27"/>
  <c r="C90" i="27"/>
  <c r="N89" i="27"/>
  <c r="L89" i="27"/>
  <c r="E89" i="27"/>
  <c r="M89" i="27"/>
  <c r="K89" i="27"/>
  <c r="J89" i="27"/>
  <c r="F89" i="27"/>
  <c r="F89" i="26"/>
  <c r="K89" i="26"/>
  <c r="J89" i="26"/>
  <c r="C90" i="26"/>
  <c r="G89" i="26"/>
  <c r="E89" i="26"/>
  <c r="D89" i="26"/>
  <c r="N89" i="26"/>
  <c r="M89" i="26"/>
  <c r="L89" i="26"/>
  <c r="I89" i="26"/>
  <c r="H89" i="26"/>
  <c r="L88" i="25"/>
  <c r="N88" i="25"/>
  <c r="M88" i="25"/>
  <c r="K88" i="25"/>
  <c r="J88" i="25"/>
  <c r="I88" i="25"/>
  <c r="H88" i="25"/>
  <c r="C89" i="25"/>
  <c r="G88" i="25"/>
  <c r="F88" i="25"/>
  <c r="E88" i="25"/>
  <c r="D88" i="25"/>
  <c r="I85" i="20"/>
  <c r="H85" i="20"/>
  <c r="N85" i="20"/>
  <c r="F85" i="20"/>
  <c r="L85" i="20"/>
  <c r="D85" i="20"/>
  <c r="G85" i="20"/>
  <c r="E85" i="20"/>
  <c r="C86" i="20"/>
  <c r="K85" i="20"/>
  <c r="M85" i="20"/>
  <c r="J85" i="20"/>
  <c r="C87" i="19"/>
  <c r="G86" i="19"/>
  <c r="M86" i="19"/>
  <c r="E86" i="19"/>
  <c r="L86" i="19"/>
  <c r="D86" i="19"/>
  <c r="J86" i="19"/>
  <c r="N86" i="19"/>
  <c r="K86" i="19"/>
  <c r="H86" i="19"/>
  <c r="I86" i="19"/>
  <c r="F86" i="19"/>
  <c r="L85" i="18"/>
  <c r="D85" i="18"/>
  <c r="I85" i="18"/>
  <c r="J85" i="18"/>
  <c r="H85" i="18"/>
  <c r="G85" i="18"/>
  <c r="F85" i="18"/>
  <c r="C86" i="18"/>
  <c r="E85" i="18"/>
  <c r="N85" i="18"/>
  <c r="M85" i="18"/>
  <c r="K85" i="18"/>
  <c r="D90" i="1" l="1"/>
  <c r="F90" i="1"/>
  <c r="E90" i="1"/>
  <c r="N90" i="1"/>
  <c r="M90" i="1"/>
  <c r="K90" i="1"/>
  <c r="J90" i="1"/>
  <c r="H90" i="1"/>
  <c r="I90" i="1"/>
  <c r="C91" i="1"/>
  <c r="L90" i="1"/>
  <c r="G90" i="1"/>
  <c r="K90" i="27"/>
  <c r="M90" i="27"/>
  <c r="I90" i="27"/>
  <c r="C91" i="27"/>
  <c r="L90" i="27"/>
  <c r="J90" i="27"/>
  <c r="H90" i="27"/>
  <c r="G90" i="27"/>
  <c r="F90" i="27"/>
  <c r="E90" i="27"/>
  <c r="N90" i="27"/>
  <c r="D90" i="27"/>
  <c r="J90" i="26"/>
  <c r="C91" i="26"/>
  <c r="E90" i="26"/>
  <c r="D90" i="26"/>
  <c r="N90" i="26"/>
  <c r="M90" i="26"/>
  <c r="L90" i="26"/>
  <c r="K90" i="26"/>
  <c r="I90" i="26"/>
  <c r="H90" i="26"/>
  <c r="G90" i="26"/>
  <c r="F90" i="26"/>
  <c r="E89" i="25"/>
  <c r="D89" i="25"/>
  <c r="C90" i="25"/>
  <c r="H89" i="25"/>
  <c r="G89" i="25"/>
  <c r="F89" i="25"/>
  <c r="N89" i="25"/>
  <c r="M89" i="25"/>
  <c r="L89" i="25"/>
  <c r="K89" i="25"/>
  <c r="J89" i="25"/>
  <c r="I89" i="25"/>
  <c r="M86" i="20"/>
  <c r="E86" i="20"/>
  <c r="L86" i="20"/>
  <c r="D86" i="20"/>
  <c r="J86" i="20"/>
  <c r="H86" i="20"/>
  <c r="K86" i="20"/>
  <c r="I86" i="20"/>
  <c r="G86" i="20"/>
  <c r="F86" i="20"/>
  <c r="C87" i="20"/>
  <c r="N86" i="20"/>
  <c r="K87" i="19"/>
  <c r="I87" i="19"/>
  <c r="H87" i="19"/>
  <c r="N87" i="19"/>
  <c r="F87" i="19"/>
  <c r="G87" i="19"/>
  <c r="E87" i="19"/>
  <c r="D87" i="19"/>
  <c r="C88" i="19"/>
  <c r="L87" i="19"/>
  <c r="J87" i="19"/>
  <c r="M87" i="19"/>
  <c r="H86" i="18"/>
  <c r="M86" i="18"/>
  <c r="E86" i="18"/>
  <c r="I86" i="18"/>
  <c r="G86" i="18"/>
  <c r="F86" i="18"/>
  <c r="C87" i="18"/>
  <c r="D86" i="18"/>
  <c r="N86" i="18"/>
  <c r="L86" i="18"/>
  <c r="K86" i="18"/>
  <c r="J86" i="18"/>
  <c r="M91" i="1" l="1"/>
  <c r="K91" i="1"/>
  <c r="L91" i="1"/>
  <c r="I91" i="1"/>
  <c r="F91" i="1"/>
  <c r="H91" i="1"/>
  <c r="E91" i="1"/>
  <c r="G91" i="1"/>
  <c r="D91" i="1"/>
  <c r="N91" i="1"/>
  <c r="C92" i="1"/>
  <c r="J91" i="1"/>
  <c r="C92" i="27"/>
  <c r="N91" i="27"/>
  <c r="D91" i="27"/>
  <c r="K91" i="27"/>
  <c r="J91" i="27"/>
  <c r="H91" i="27"/>
  <c r="G91" i="27"/>
  <c r="F91" i="27"/>
  <c r="E91" i="27"/>
  <c r="M91" i="27"/>
  <c r="L91" i="27"/>
  <c r="I91" i="27"/>
  <c r="N91" i="26"/>
  <c r="D91" i="26"/>
  <c r="L91" i="26"/>
  <c r="K91" i="26"/>
  <c r="J91" i="26"/>
  <c r="C92" i="26"/>
  <c r="M91" i="26"/>
  <c r="I91" i="26"/>
  <c r="F91" i="26"/>
  <c r="E91" i="26"/>
  <c r="H91" i="26"/>
  <c r="G91" i="26"/>
  <c r="D90" i="25"/>
  <c r="J90" i="25"/>
  <c r="I90" i="25"/>
  <c r="K90" i="25"/>
  <c r="H90" i="25"/>
  <c r="G90" i="25"/>
  <c r="F90" i="25"/>
  <c r="E90" i="25"/>
  <c r="C91" i="25"/>
  <c r="N90" i="25"/>
  <c r="M90" i="25"/>
  <c r="L90" i="25"/>
  <c r="I87" i="20"/>
  <c r="H87" i="20"/>
  <c r="N87" i="20"/>
  <c r="F87" i="20"/>
  <c r="L87" i="20"/>
  <c r="D87" i="20"/>
  <c r="C88" i="20"/>
  <c r="M87" i="20"/>
  <c r="K87" i="20"/>
  <c r="J87" i="20"/>
  <c r="G87" i="20"/>
  <c r="E87" i="20"/>
  <c r="C89" i="19"/>
  <c r="G88" i="19"/>
  <c r="M88" i="19"/>
  <c r="E88" i="19"/>
  <c r="L88" i="19"/>
  <c r="D88" i="19"/>
  <c r="J88" i="19"/>
  <c r="K88" i="19"/>
  <c r="I88" i="19"/>
  <c r="H88" i="19"/>
  <c r="F88" i="19"/>
  <c r="N88" i="19"/>
  <c r="C88" i="18"/>
  <c r="G87" i="18"/>
  <c r="L87" i="18"/>
  <c r="D87" i="18"/>
  <c r="K87" i="18"/>
  <c r="I87" i="18"/>
  <c r="H87" i="18"/>
  <c r="F87" i="18"/>
  <c r="E87" i="18"/>
  <c r="N87" i="18"/>
  <c r="M87" i="18"/>
  <c r="J87" i="18"/>
  <c r="L92" i="1" l="1"/>
  <c r="J92" i="1"/>
  <c r="K92" i="1"/>
  <c r="C93" i="1"/>
  <c r="I92" i="1"/>
  <c r="H92" i="1"/>
  <c r="N92" i="1"/>
  <c r="M92" i="1"/>
  <c r="F92" i="1"/>
  <c r="D92" i="1"/>
  <c r="G92" i="1"/>
  <c r="E92" i="1"/>
  <c r="F92" i="27"/>
  <c r="K92" i="27"/>
  <c r="C93" i="27"/>
  <c r="N92" i="27"/>
  <c r="M92" i="27"/>
  <c r="L92" i="27"/>
  <c r="J92" i="27"/>
  <c r="I92" i="27"/>
  <c r="H92" i="27"/>
  <c r="G92" i="27"/>
  <c r="E92" i="27"/>
  <c r="D92" i="27"/>
  <c r="I92" i="26"/>
  <c r="H92" i="26"/>
  <c r="N92" i="26"/>
  <c r="M92" i="26"/>
  <c r="L92" i="26"/>
  <c r="K92" i="26"/>
  <c r="J92" i="26"/>
  <c r="G92" i="26"/>
  <c r="F92" i="26"/>
  <c r="E92" i="26"/>
  <c r="C93" i="26"/>
  <c r="D92" i="26"/>
  <c r="H91" i="25"/>
  <c r="C92" i="25"/>
  <c r="N91" i="25"/>
  <c r="M91" i="25"/>
  <c r="L91" i="25"/>
  <c r="K91" i="25"/>
  <c r="J91" i="25"/>
  <c r="I91" i="25"/>
  <c r="G91" i="25"/>
  <c r="F91" i="25"/>
  <c r="E91" i="25"/>
  <c r="D91" i="25"/>
  <c r="M88" i="20"/>
  <c r="E88" i="20"/>
  <c r="L88" i="20"/>
  <c r="D88" i="20"/>
  <c r="J88" i="20"/>
  <c r="H88" i="20"/>
  <c r="C89" i="20"/>
  <c r="N88" i="20"/>
  <c r="K88" i="20"/>
  <c r="G88" i="20"/>
  <c r="I88" i="20"/>
  <c r="F88" i="20"/>
  <c r="K89" i="19"/>
  <c r="I89" i="19"/>
  <c r="H89" i="19"/>
  <c r="N89" i="19"/>
  <c r="F89" i="19"/>
  <c r="C90" i="19"/>
  <c r="M89" i="19"/>
  <c r="L89" i="19"/>
  <c r="J89" i="19"/>
  <c r="G89" i="19"/>
  <c r="D89" i="19"/>
  <c r="E89" i="19"/>
  <c r="K88" i="18"/>
  <c r="H88" i="18"/>
  <c r="C89" i="18"/>
  <c r="G88" i="18"/>
  <c r="M88" i="18"/>
  <c r="E88" i="18"/>
  <c r="L88" i="18"/>
  <c r="J88" i="18"/>
  <c r="I88" i="18"/>
  <c r="F88" i="18"/>
  <c r="D88" i="18"/>
  <c r="N88" i="18"/>
  <c r="I93" i="1" l="1"/>
  <c r="G93" i="1"/>
  <c r="E93" i="1"/>
  <c r="H93" i="1"/>
  <c r="C94" i="1"/>
  <c r="F93" i="1"/>
  <c r="M93" i="1"/>
  <c r="D93" i="1"/>
  <c r="J93" i="1"/>
  <c r="L93" i="1"/>
  <c r="K93" i="1"/>
  <c r="N93" i="1"/>
  <c r="G93" i="27"/>
  <c r="K93" i="27"/>
  <c r="H93" i="27"/>
  <c r="I93" i="27"/>
  <c r="F93" i="27"/>
  <c r="D93" i="27"/>
  <c r="L93" i="27"/>
  <c r="J93" i="27"/>
  <c r="E93" i="27"/>
  <c r="C94" i="27"/>
  <c r="N93" i="27"/>
  <c r="M93" i="27"/>
  <c r="F93" i="26"/>
  <c r="N93" i="26"/>
  <c r="M93" i="26"/>
  <c r="H93" i="26"/>
  <c r="G93" i="26"/>
  <c r="E93" i="26"/>
  <c r="I93" i="26"/>
  <c r="D93" i="26"/>
  <c r="C94" i="26"/>
  <c r="L93" i="26"/>
  <c r="K93" i="26"/>
  <c r="J93" i="26"/>
  <c r="L92" i="25"/>
  <c r="F92" i="25"/>
  <c r="E92" i="25"/>
  <c r="D92" i="25"/>
  <c r="C93" i="25"/>
  <c r="N92" i="25"/>
  <c r="M92" i="25"/>
  <c r="K92" i="25"/>
  <c r="J92" i="25"/>
  <c r="I92" i="25"/>
  <c r="H92" i="25"/>
  <c r="G92" i="25"/>
  <c r="I89" i="20"/>
  <c r="H89" i="20"/>
  <c r="N89" i="20"/>
  <c r="F89" i="20"/>
  <c r="L89" i="20"/>
  <c r="D89" i="20"/>
  <c r="G89" i="20"/>
  <c r="E89" i="20"/>
  <c r="C90" i="20"/>
  <c r="K89" i="20"/>
  <c r="M89" i="20"/>
  <c r="J89" i="20"/>
  <c r="C91" i="19"/>
  <c r="G90" i="19"/>
  <c r="M90" i="19"/>
  <c r="E90" i="19"/>
  <c r="L90" i="19"/>
  <c r="D90" i="19"/>
  <c r="J90" i="19"/>
  <c r="N90" i="19"/>
  <c r="K90" i="19"/>
  <c r="H90" i="19"/>
  <c r="I90" i="19"/>
  <c r="F90" i="19"/>
  <c r="C90" i="18"/>
  <c r="G89" i="18"/>
  <c r="M89" i="18"/>
  <c r="L89" i="18"/>
  <c r="D89" i="18"/>
  <c r="K89" i="18"/>
  <c r="I89" i="18"/>
  <c r="N89" i="18"/>
  <c r="J89" i="18"/>
  <c r="H89" i="18"/>
  <c r="F89" i="18"/>
  <c r="E89" i="18"/>
  <c r="H94" i="1" l="1"/>
  <c r="M94" i="1"/>
  <c r="J94" i="1"/>
  <c r="N94" i="1"/>
  <c r="I94" i="1"/>
  <c r="K94" i="1"/>
  <c r="F94" i="1"/>
  <c r="L94" i="1"/>
  <c r="C95" i="1"/>
  <c r="E94" i="1"/>
  <c r="D94" i="1"/>
  <c r="G94" i="1"/>
  <c r="K94" i="27"/>
  <c r="M94" i="27"/>
  <c r="F94" i="27"/>
  <c r="N94" i="27"/>
  <c r="I94" i="27"/>
  <c r="H94" i="27"/>
  <c r="G94" i="27"/>
  <c r="E94" i="27"/>
  <c r="D94" i="27"/>
  <c r="C95" i="27"/>
  <c r="L94" i="27"/>
  <c r="J94" i="27"/>
  <c r="J94" i="26"/>
  <c r="C95" i="26"/>
  <c r="N94" i="26"/>
  <c r="M94" i="26"/>
  <c r="L94" i="26"/>
  <c r="K94" i="26"/>
  <c r="I94" i="26"/>
  <c r="H94" i="26"/>
  <c r="G94" i="26"/>
  <c r="F94" i="26"/>
  <c r="E94" i="26"/>
  <c r="D94" i="26"/>
  <c r="H93" i="25"/>
  <c r="G93" i="25"/>
  <c r="M93" i="25"/>
  <c r="L93" i="25"/>
  <c r="K93" i="25"/>
  <c r="J93" i="25"/>
  <c r="I93" i="25"/>
  <c r="F93" i="25"/>
  <c r="C94" i="25"/>
  <c r="N93" i="25"/>
  <c r="E93" i="25"/>
  <c r="D93" i="25"/>
  <c r="M90" i="20"/>
  <c r="E90" i="20"/>
  <c r="L90" i="20"/>
  <c r="D90" i="20"/>
  <c r="J90" i="20"/>
  <c r="H90" i="20"/>
  <c r="K90" i="20"/>
  <c r="I90" i="20"/>
  <c r="G90" i="20"/>
  <c r="F90" i="20"/>
  <c r="C91" i="20"/>
  <c r="N90" i="20"/>
  <c r="K91" i="19"/>
  <c r="I91" i="19"/>
  <c r="H91" i="19"/>
  <c r="N91" i="19"/>
  <c r="F91" i="19"/>
  <c r="G91" i="19"/>
  <c r="E91" i="19"/>
  <c r="D91" i="19"/>
  <c r="C92" i="19"/>
  <c r="L91" i="19"/>
  <c r="M91" i="19"/>
  <c r="J91" i="19"/>
  <c r="K90" i="18"/>
  <c r="J90" i="18"/>
  <c r="I90" i="18"/>
  <c r="H90" i="18"/>
  <c r="C91" i="18"/>
  <c r="G90" i="18"/>
  <c r="M90" i="18"/>
  <c r="E90" i="18"/>
  <c r="F90" i="18"/>
  <c r="D90" i="18"/>
  <c r="N90" i="18"/>
  <c r="L90" i="18"/>
  <c r="F95" i="1" l="1"/>
  <c r="E95" i="1"/>
  <c r="D95" i="1"/>
  <c r="K95" i="1"/>
  <c r="H95" i="1"/>
  <c r="L95" i="1"/>
  <c r="C96" i="1"/>
  <c r="N95" i="1"/>
  <c r="G95" i="1"/>
  <c r="I95" i="1"/>
  <c r="M95" i="1"/>
  <c r="J95" i="1"/>
  <c r="C96" i="27"/>
  <c r="D95" i="27"/>
  <c r="M95" i="27"/>
  <c r="F95" i="27"/>
  <c r="E95" i="27"/>
  <c r="K95" i="27"/>
  <c r="J95" i="27"/>
  <c r="I95" i="27"/>
  <c r="H95" i="27"/>
  <c r="N95" i="27"/>
  <c r="L95" i="27"/>
  <c r="G95" i="27"/>
  <c r="N95" i="26"/>
  <c r="G95" i="26"/>
  <c r="F95" i="26"/>
  <c r="D95" i="26"/>
  <c r="C96" i="26"/>
  <c r="M95" i="26"/>
  <c r="L95" i="26"/>
  <c r="K95" i="26"/>
  <c r="H95" i="26"/>
  <c r="E95" i="26"/>
  <c r="J95" i="26"/>
  <c r="I95" i="26"/>
  <c r="D94" i="25"/>
  <c r="M94" i="25"/>
  <c r="L94" i="25"/>
  <c r="C95" i="25"/>
  <c r="H94" i="25"/>
  <c r="G94" i="25"/>
  <c r="F94" i="25"/>
  <c r="E94" i="25"/>
  <c r="N94" i="25"/>
  <c r="K94" i="25"/>
  <c r="J94" i="25"/>
  <c r="I94" i="25"/>
  <c r="I91" i="20"/>
  <c r="H91" i="20"/>
  <c r="N91" i="20"/>
  <c r="F91" i="20"/>
  <c r="L91" i="20"/>
  <c r="D91" i="20"/>
  <c r="C92" i="20"/>
  <c r="M91" i="20"/>
  <c r="K91" i="20"/>
  <c r="J91" i="20"/>
  <c r="G91" i="20"/>
  <c r="E91" i="20"/>
  <c r="C93" i="19"/>
  <c r="G92" i="19"/>
  <c r="M92" i="19"/>
  <c r="E92" i="19"/>
  <c r="L92" i="19"/>
  <c r="D92" i="19"/>
  <c r="J92" i="19"/>
  <c r="K92" i="19"/>
  <c r="I92" i="19"/>
  <c r="H92" i="19"/>
  <c r="F92" i="19"/>
  <c r="N92" i="19"/>
  <c r="C92" i="18"/>
  <c r="G91" i="18"/>
  <c r="N91" i="18"/>
  <c r="F91" i="18"/>
  <c r="M91" i="18"/>
  <c r="E91" i="18"/>
  <c r="L91" i="18"/>
  <c r="D91" i="18"/>
  <c r="K91" i="18"/>
  <c r="I91" i="18"/>
  <c r="J91" i="18"/>
  <c r="H91" i="18"/>
  <c r="I96" i="1" l="1"/>
  <c r="C97" i="1"/>
  <c r="D96" i="1"/>
  <c r="N96" i="1"/>
  <c r="M96" i="1"/>
  <c r="L96" i="1"/>
  <c r="K96" i="1"/>
  <c r="H96" i="1"/>
  <c r="J96" i="1"/>
  <c r="G96" i="1"/>
  <c r="F96" i="1"/>
  <c r="E96" i="1"/>
  <c r="I96" i="27"/>
  <c r="F96" i="27"/>
  <c r="N96" i="27"/>
  <c r="M96" i="27"/>
  <c r="K96" i="27"/>
  <c r="J96" i="27"/>
  <c r="H96" i="27"/>
  <c r="G96" i="27"/>
  <c r="E96" i="27"/>
  <c r="D96" i="27"/>
  <c r="C97" i="27"/>
  <c r="L96" i="27"/>
  <c r="L96" i="26"/>
  <c r="M96" i="26"/>
  <c r="K96" i="26"/>
  <c r="J96" i="26"/>
  <c r="I96" i="26"/>
  <c r="H96" i="26"/>
  <c r="C97" i="26"/>
  <c r="N96" i="26"/>
  <c r="G96" i="26"/>
  <c r="F96" i="26"/>
  <c r="E96" i="26"/>
  <c r="D96" i="26"/>
  <c r="H95" i="25"/>
  <c r="I95" i="25"/>
  <c r="G95" i="25"/>
  <c r="F95" i="25"/>
  <c r="E95" i="25"/>
  <c r="D95" i="25"/>
  <c r="C96" i="25"/>
  <c r="N95" i="25"/>
  <c r="M95" i="25"/>
  <c r="L95" i="25"/>
  <c r="K95" i="25"/>
  <c r="J95" i="25"/>
  <c r="M92" i="20"/>
  <c r="E92" i="20"/>
  <c r="L92" i="20"/>
  <c r="D92" i="20"/>
  <c r="K92" i="20"/>
  <c r="J92" i="20"/>
  <c r="H92" i="20"/>
  <c r="C93" i="20"/>
  <c r="N92" i="20"/>
  <c r="G92" i="20"/>
  <c r="I92" i="20"/>
  <c r="F92" i="20"/>
  <c r="K93" i="19"/>
  <c r="I93" i="19"/>
  <c r="H93" i="19"/>
  <c r="N93" i="19"/>
  <c r="F93" i="19"/>
  <c r="C94" i="19"/>
  <c r="M93" i="19"/>
  <c r="L93" i="19"/>
  <c r="J93" i="19"/>
  <c r="G93" i="19"/>
  <c r="D93" i="19"/>
  <c r="E93" i="19"/>
  <c r="K92" i="18"/>
  <c r="J92" i="18"/>
  <c r="I92" i="18"/>
  <c r="H92" i="18"/>
  <c r="C93" i="18"/>
  <c r="G92" i="18"/>
  <c r="M92" i="18"/>
  <c r="E92" i="18"/>
  <c r="N92" i="18"/>
  <c r="L92" i="18"/>
  <c r="F92" i="18"/>
  <c r="D92" i="18"/>
  <c r="J97" i="1" l="1"/>
  <c r="E97" i="1"/>
  <c r="N97" i="1"/>
  <c r="M97" i="1"/>
  <c r="F97" i="1"/>
  <c r="D97" i="1"/>
  <c r="K97" i="1"/>
  <c r="G97" i="1"/>
  <c r="C98" i="1"/>
  <c r="I97" i="1"/>
  <c r="H97" i="1"/>
  <c r="L97" i="1"/>
  <c r="G97" i="27"/>
  <c r="N97" i="27"/>
  <c r="K97" i="27"/>
  <c r="I97" i="27"/>
  <c r="M97" i="27"/>
  <c r="H97" i="27"/>
  <c r="L97" i="27"/>
  <c r="J97" i="27"/>
  <c r="C98" i="27"/>
  <c r="F97" i="27"/>
  <c r="E97" i="27"/>
  <c r="D97" i="27"/>
  <c r="F97" i="26"/>
  <c r="E97" i="26"/>
  <c r="D97" i="26"/>
  <c r="C98" i="26"/>
  <c r="I97" i="26"/>
  <c r="H97" i="26"/>
  <c r="G97" i="26"/>
  <c r="N97" i="26"/>
  <c r="M97" i="26"/>
  <c r="L97" i="26"/>
  <c r="K97" i="26"/>
  <c r="J97" i="26"/>
  <c r="L96" i="25"/>
  <c r="F96" i="25"/>
  <c r="E96" i="25"/>
  <c r="C97" i="25"/>
  <c r="N96" i="25"/>
  <c r="M96" i="25"/>
  <c r="K96" i="25"/>
  <c r="J96" i="25"/>
  <c r="I96" i="25"/>
  <c r="H96" i="25"/>
  <c r="G96" i="25"/>
  <c r="D96" i="25"/>
  <c r="J93" i="20"/>
  <c r="I93" i="20"/>
  <c r="H93" i="20"/>
  <c r="C94" i="20"/>
  <c r="G93" i="20"/>
  <c r="N93" i="20"/>
  <c r="F93" i="20"/>
  <c r="L93" i="20"/>
  <c r="D93" i="20"/>
  <c r="M93" i="20"/>
  <c r="K93" i="20"/>
  <c r="E93" i="20"/>
  <c r="C95" i="19"/>
  <c r="G94" i="19"/>
  <c r="M94" i="19"/>
  <c r="E94" i="19"/>
  <c r="L94" i="19"/>
  <c r="D94" i="19"/>
  <c r="J94" i="19"/>
  <c r="N94" i="19"/>
  <c r="K94" i="19"/>
  <c r="H94" i="19"/>
  <c r="I94" i="19"/>
  <c r="F94" i="19"/>
  <c r="C94" i="18"/>
  <c r="G93" i="18"/>
  <c r="N93" i="18"/>
  <c r="F93" i="18"/>
  <c r="M93" i="18"/>
  <c r="E93" i="18"/>
  <c r="L93" i="18"/>
  <c r="D93" i="18"/>
  <c r="K93" i="18"/>
  <c r="I93" i="18"/>
  <c r="J93" i="18"/>
  <c r="H93" i="18"/>
  <c r="N98" i="1" l="1"/>
  <c r="M98" i="1"/>
  <c r="L98" i="1"/>
  <c r="K98" i="1"/>
  <c r="C99" i="1"/>
  <c r="J98" i="1"/>
  <c r="H98" i="1"/>
  <c r="D98" i="1"/>
  <c r="G98" i="1"/>
  <c r="E98" i="1"/>
  <c r="I98" i="1"/>
  <c r="F98" i="1"/>
  <c r="K98" i="27"/>
  <c r="J98" i="27"/>
  <c r="I98" i="27"/>
  <c r="G98" i="27"/>
  <c r="C99" i="27"/>
  <c r="N98" i="27"/>
  <c r="M98" i="27"/>
  <c r="L98" i="27"/>
  <c r="H98" i="27"/>
  <c r="F98" i="27"/>
  <c r="E98" i="27"/>
  <c r="D98" i="27"/>
  <c r="J98" i="26"/>
  <c r="E98" i="26"/>
  <c r="G98" i="26"/>
  <c r="F98" i="26"/>
  <c r="I98" i="26"/>
  <c r="H98" i="26"/>
  <c r="D98" i="26"/>
  <c r="C99" i="26"/>
  <c r="N98" i="26"/>
  <c r="M98" i="26"/>
  <c r="L98" i="26"/>
  <c r="K98" i="26"/>
  <c r="K97" i="25"/>
  <c r="J97" i="25"/>
  <c r="D97" i="25"/>
  <c r="F97" i="25"/>
  <c r="E97" i="25"/>
  <c r="C98" i="25"/>
  <c r="N97" i="25"/>
  <c r="M97" i="25"/>
  <c r="L97" i="25"/>
  <c r="I97" i="25"/>
  <c r="H97" i="25"/>
  <c r="G97" i="25"/>
  <c r="N94" i="20"/>
  <c r="F94" i="20"/>
  <c r="M94" i="20"/>
  <c r="E94" i="20"/>
  <c r="L94" i="20"/>
  <c r="D94" i="20"/>
  <c r="K94" i="20"/>
  <c r="J94" i="20"/>
  <c r="H94" i="20"/>
  <c r="I94" i="20"/>
  <c r="C95" i="20"/>
  <c r="G94" i="20"/>
  <c r="K95" i="19"/>
  <c r="I95" i="19"/>
  <c r="H95" i="19"/>
  <c r="N95" i="19"/>
  <c r="F95" i="19"/>
  <c r="G95" i="19"/>
  <c r="E95" i="19"/>
  <c r="D95" i="19"/>
  <c r="C96" i="19"/>
  <c r="L95" i="19"/>
  <c r="M95" i="19"/>
  <c r="J95" i="19"/>
  <c r="K94" i="18"/>
  <c r="J94" i="18"/>
  <c r="I94" i="18"/>
  <c r="H94" i="18"/>
  <c r="C95" i="18"/>
  <c r="G94" i="18"/>
  <c r="M94" i="18"/>
  <c r="E94" i="18"/>
  <c r="N94" i="18"/>
  <c r="L94" i="18"/>
  <c r="F94" i="18"/>
  <c r="D94" i="18"/>
  <c r="C100" i="1" l="1"/>
  <c r="L99" i="1"/>
  <c r="N99" i="1"/>
  <c r="H99" i="1"/>
  <c r="M99" i="1"/>
  <c r="E99" i="1"/>
  <c r="F99" i="1"/>
  <c r="J99" i="1"/>
  <c r="I99" i="1"/>
  <c r="G99" i="1"/>
  <c r="D99" i="1"/>
  <c r="K99" i="1"/>
  <c r="C100" i="27"/>
  <c r="G99" i="27"/>
  <c r="D99" i="27"/>
  <c r="E99" i="27"/>
  <c r="M99" i="27"/>
  <c r="J99" i="27"/>
  <c r="L99" i="27"/>
  <c r="K99" i="27"/>
  <c r="H99" i="27"/>
  <c r="F99" i="27"/>
  <c r="I99" i="27"/>
  <c r="N99" i="27"/>
  <c r="N99" i="26"/>
  <c r="J99" i="26"/>
  <c r="M99" i="26"/>
  <c r="L99" i="26"/>
  <c r="E99" i="26"/>
  <c r="D99" i="26"/>
  <c r="C100" i="26"/>
  <c r="K99" i="26"/>
  <c r="I99" i="26"/>
  <c r="G99" i="26"/>
  <c r="F99" i="26"/>
  <c r="H99" i="26"/>
  <c r="D98" i="25"/>
  <c r="C99" i="25"/>
  <c r="K98" i="25"/>
  <c r="J98" i="25"/>
  <c r="I98" i="25"/>
  <c r="H98" i="25"/>
  <c r="G98" i="25"/>
  <c r="F98" i="25"/>
  <c r="N98" i="25"/>
  <c r="M98" i="25"/>
  <c r="L98" i="25"/>
  <c r="E98" i="25"/>
  <c r="J95" i="20"/>
  <c r="I95" i="20"/>
  <c r="H95" i="20"/>
  <c r="C96" i="20"/>
  <c r="G95" i="20"/>
  <c r="N95" i="20"/>
  <c r="F95" i="20"/>
  <c r="L95" i="20"/>
  <c r="D95" i="20"/>
  <c r="M95" i="20"/>
  <c r="K95" i="20"/>
  <c r="E95" i="20"/>
  <c r="C97" i="19"/>
  <c r="G96" i="19"/>
  <c r="M96" i="19"/>
  <c r="E96" i="19"/>
  <c r="L96" i="19"/>
  <c r="D96" i="19"/>
  <c r="J96" i="19"/>
  <c r="K96" i="19"/>
  <c r="I96" i="19"/>
  <c r="H96" i="19"/>
  <c r="F96" i="19"/>
  <c r="N96" i="19"/>
  <c r="C96" i="18"/>
  <c r="G95" i="18"/>
  <c r="N95" i="18"/>
  <c r="F95" i="18"/>
  <c r="M95" i="18"/>
  <c r="E95" i="18"/>
  <c r="L95" i="18"/>
  <c r="D95" i="18"/>
  <c r="K95" i="18"/>
  <c r="I95" i="18"/>
  <c r="J95" i="18"/>
  <c r="H95" i="18"/>
  <c r="M100" i="1" l="1"/>
  <c r="F100" i="1"/>
  <c r="K100" i="1"/>
  <c r="E100" i="1"/>
  <c r="J100" i="1"/>
  <c r="I100" i="1"/>
  <c r="L100" i="1"/>
  <c r="C101" i="1"/>
  <c r="H100" i="1"/>
  <c r="G100" i="1"/>
  <c r="D100" i="1"/>
  <c r="N100" i="1"/>
  <c r="L100" i="27"/>
  <c r="I100" i="27"/>
  <c r="M100" i="27"/>
  <c r="G100" i="27"/>
  <c r="F100" i="27"/>
  <c r="D100" i="27"/>
  <c r="C101" i="27"/>
  <c r="N100" i="27"/>
  <c r="K100" i="27"/>
  <c r="J100" i="27"/>
  <c r="H100" i="27"/>
  <c r="E100" i="27"/>
  <c r="C101" i="26"/>
  <c r="F100" i="26"/>
  <c r="E100" i="26"/>
  <c r="D100" i="26"/>
  <c r="N100" i="26"/>
  <c r="M100" i="26"/>
  <c r="L100" i="26"/>
  <c r="K100" i="26"/>
  <c r="J100" i="26"/>
  <c r="I100" i="26"/>
  <c r="H100" i="26"/>
  <c r="G100" i="26"/>
  <c r="H99" i="25"/>
  <c r="D99" i="25"/>
  <c r="C100" i="25"/>
  <c r="N99" i="25"/>
  <c r="M99" i="25"/>
  <c r="J99" i="25"/>
  <c r="I99" i="25"/>
  <c r="G99" i="25"/>
  <c r="F99" i="25"/>
  <c r="E99" i="25"/>
  <c r="L99" i="25"/>
  <c r="K99" i="25"/>
  <c r="N96" i="20"/>
  <c r="F96" i="20"/>
  <c r="M96" i="20"/>
  <c r="E96" i="20"/>
  <c r="L96" i="20"/>
  <c r="D96" i="20"/>
  <c r="K96" i="20"/>
  <c r="J96" i="20"/>
  <c r="H96" i="20"/>
  <c r="I96" i="20"/>
  <c r="G96" i="20"/>
  <c r="C97" i="20"/>
  <c r="K97" i="19"/>
  <c r="I97" i="19"/>
  <c r="H97" i="19"/>
  <c r="N97" i="19"/>
  <c r="F97" i="19"/>
  <c r="C98" i="19"/>
  <c r="M97" i="19"/>
  <c r="L97" i="19"/>
  <c r="J97" i="19"/>
  <c r="G97" i="19"/>
  <c r="D97" i="19"/>
  <c r="E97" i="19"/>
  <c r="K96" i="18"/>
  <c r="J96" i="18"/>
  <c r="I96" i="18"/>
  <c r="H96" i="18"/>
  <c r="C97" i="18"/>
  <c r="G96" i="18"/>
  <c r="M96" i="18"/>
  <c r="E96" i="18"/>
  <c r="N96" i="18"/>
  <c r="L96" i="18"/>
  <c r="F96" i="18"/>
  <c r="D96" i="18"/>
  <c r="L101" i="1" l="1"/>
  <c r="H101" i="1"/>
  <c r="J101" i="1"/>
  <c r="G101" i="1"/>
  <c r="F101" i="1"/>
  <c r="K101" i="1"/>
  <c r="I101" i="1"/>
  <c r="E101" i="1"/>
  <c r="C102" i="1"/>
  <c r="N101" i="1"/>
  <c r="M101" i="1"/>
  <c r="D101" i="1"/>
  <c r="G101" i="27"/>
  <c r="N101" i="27"/>
  <c r="C102" i="27"/>
  <c r="L101" i="27"/>
  <c r="J101" i="27"/>
  <c r="M101" i="27"/>
  <c r="K101" i="27"/>
  <c r="I101" i="27"/>
  <c r="H101" i="27"/>
  <c r="F101" i="27"/>
  <c r="E101" i="27"/>
  <c r="D101" i="27"/>
  <c r="F101" i="26"/>
  <c r="D101" i="26"/>
  <c r="I101" i="26"/>
  <c r="H101" i="26"/>
  <c r="C102" i="26"/>
  <c r="N101" i="26"/>
  <c r="M101" i="26"/>
  <c r="G101" i="26"/>
  <c r="E101" i="26"/>
  <c r="L101" i="26"/>
  <c r="K101" i="26"/>
  <c r="J101" i="26"/>
  <c r="L100" i="25"/>
  <c r="I100" i="25"/>
  <c r="H100" i="25"/>
  <c r="F100" i="25"/>
  <c r="E100" i="25"/>
  <c r="D100" i="25"/>
  <c r="C101" i="25"/>
  <c r="N100" i="25"/>
  <c r="M100" i="25"/>
  <c r="K100" i="25"/>
  <c r="J100" i="25"/>
  <c r="G100" i="25"/>
  <c r="J97" i="20"/>
  <c r="I97" i="20"/>
  <c r="H97" i="20"/>
  <c r="C98" i="20"/>
  <c r="G97" i="20"/>
  <c r="N97" i="20"/>
  <c r="F97" i="20"/>
  <c r="L97" i="20"/>
  <c r="D97" i="20"/>
  <c r="M97" i="20"/>
  <c r="E97" i="20"/>
  <c r="K97" i="20"/>
  <c r="C99" i="19"/>
  <c r="G98" i="19"/>
  <c r="M98" i="19"/>
  <c r="E98" i="19"/>
  <c r="L98" i="19"/>
  <c r="D98" i="19"/>
  <c r="J98" i="19"/>
  <c r="N98" i="19"/>
  <c r="K98" i="19"/>
  <c r="H98" i="19"/>
  <c r="F98" i="19"/>
  <c r="I98" i="19"/>
  <c r="C98" i="18"/>
  <c r="G97" i="18"/>
  <c r="N97" i="18"/>
  <c r="F97" i="18"/>
  <c r="M97" i="18"/>
  <c r="E97" i="18"/>
  <c r="L97" i="18"/>
  <c r="D97" i="18"/>
  <c r="K97" i="18"/>
  <c r="I97" i="18"/>
  <c r="J97" i="18"/>
  <c r="H97" i="18"/>
  <c r="M102" i="1" l="1"/>
  <c r="E102" i="1"/>
  <c r="D102" i="1"/>
  <c r="C103" i="1"/>
  <c r="K102" i="1"/>
  <c r="L102" i="1"/>
  <c r="I102" i="1"/>
  <c r="G102" i="1"/>
  <c r="N102" i="1"/>
  <c r="H102" i="1"/>
  <c r="J102" i="1"/>
  <c r="F102" i="1"/>
  <c r="K102" i="27"/>
  <c r="E102" i="27"/>
  <c r="H102" i="27"/>
  <c r="D102" i="27"/>
  <c r="F102" i="27"/>
  <c r="J102" i="27"/>
  <c r="I102" i="27"/>
  <c r="G102" i="27"/>
  <c r="C103" i="27"/>
  <c r="N102" i="27"/>
  <c r="M102" i="27"/>
  <c r="L102" i="27"/>
  <c r="J102" i="26"/>
  <c r="I102" i="26"/>
  <c r="H102" i="26"/>
  <c r="C103" i="26"/>
  <c r="N102" i="26"/>
  <c r="M102" i="26"/>
  <c r="L102" i="26"/>
  <c r="K102" i="26"/>
  <c r="G102" i="26"/>
  <c r="F102" i="26"/>
  <c r="E102" i="26"/>
  <c r="D102" i="26"/>
  <c r="N101" i="25"/>
  <c r="M101" i="25"/>
  <c r="C102" i="25"/>
  <c r="L101" i="25"/>
  <c r="K101" i="25"/>
  <c r="J101" i="25"/>
  <c r="I101" i="25"/>
  <c r="H101" i="25"/>
  <c r="G101" i="25"/>
  <c r="F101" i="25"/>
  <c r="E101" i="25"/>
  <c r="D101" i="25"/>
  <c r="N98" i="20"/>
  <c r="F98" i="20"/>
  <c r="M98" i="20"/>
  <c r="E98" i="20"/>
  <c r="L98" i="20"/>
  <c r="D98" i="20"/>
  <c r="K98" i="20"/>
  <c r="J98" i="20"/>
  <c r="H98" i="20"/>
  <c r="C99" i="20"/>
  <c r="I98" i="20"/>
  <c r="G98" i="20"/>
  <c r="K99" i="19"/>
  <c r="I99" i="19"/>
  <c r="H99" i="19"/>
  <c r="N99" i="19"/>
  <c r="F99" i="19"/>
  <c r="G99" i="19"/>
  <c r="E99" i="19"/>
  <c r="D99" i="19"/>
  <c r="C100" i="19"/>
  <c r="L99" i="19"/>
  <c r="M99" i="19"/>
  <c r="J99" i="19"/>
  <c r="K98" i="18"/>
  <c r="J98" i="18"/>
  <c r="I98" i="18"/>
  <c r="H98" i="18"/>
  <c r="C99" i="18"/>
  <c r="G98" i="18"/>
  <c r="M98" i="18"/>
  <c r="E98" i="18"/>
  <c r="F98" i="18"/>
  <c r="D98" i="18"/>
  <c r="N98" i="18"/>
  <c r="L98" i="18"/>
  <c r="L103" i="1" l="1"/>
  <c r="AP8" i="1" s="1"/>
  <c r="N52" i="8" s="1"/>
  <c r="M103" i="1"/>
  <c r="AQ8" i="1" s="1"/>
  <c r="N53" i="8" s="1"/>
  <c r="E103" i="1"/>
  <c r="AI8" i="1" s="1"/>
  <c r="N45" i="8" s="1"/>
  <c r="F103" i="1"/>
  <c r="AJ8" i="1" s="1"/>
  <c r="N46" i="8" s="1"/>
  <c r="C107" i="1"/>
  <c r="J103" i="1"/>
  <c r="AN8" i="1" s="1"/>
  <c r="N50" i="8" s="1"/>
  <c r="K103" i="1"/>
  <c r="AO8" i="1" s="1"/>
  <c r="N51" i="8" s="1"/>
  <c r="G103" i="1"/>
  <c r="AK8" i="1" s="1"/>
  <c r="N47" i="8" s="1"/>
  <c r="D103" i="1"/>
  <c r="AH8" i="1" s="1"/>
  <c r="H103" i="1"/>
  <c r="AL8" i="1" s="1"/>
  <c r="N48" i="8" s="1"/>
  <c r="I103" i="1"/>
  <c r="AM8" i="1" s="1"/>
  <c r="N49" i="8" s="1"/>
  <c r="N103" i="1"/>
  <c r="AR8" i="1" s="1"/>
  <c r="N54" i="8" s="1"/>
  <c r="C107" i="27"/>
  <c r="J103" i="27"/>
  <c r="AN8" i="27" s="1"/>
  <c r="N50" i="24" s="1"/>
  <c r="G103" i="27"/>
  <c r="AK8" i="27" s="1"/>
  <c r="N47" i="24" s="1"/>
  <c r="M103" i="27"/>
  <c r="AQ8" i="27" s="1"/>
  <c r="N53" i="24" s="1"/>
  <c r="L103" i="27"/>
  <c r="AP8" i="27" s="1"/>
  <c r="N52" i="24" s="1"/>
  <c r="I103" i="27"/>
  <c r="AM8" i="27" s="1"/>
  <c r="N49" i="24" s="1"/>
  <c r="N103" i="27"/>
  <c r="AR8" i="27" s="1"/>
  <c r="N54" i="24" s="1"/>
  <c r="F103" i="27"/>
  <c r="AJ8" i="27" s="1"/>
  <c r="N46" i="24" s="1"/>
  <c r="E103" i="27"/>
  <c r="AI8" i="27" s="1"/>
  <c r="N45" i="24" s="1"/>
  <c r="D103" i="27"/>
  <c r="AH8" i="27" s="1"/>
  <c r="K103" i="27"/>
  <c r="AO8" i="27" s="1"/>
  <c r="N51" i="24" s="1"/>
  <c r="H103" i="27"/>
  <c r="AL8" i="27" s="1"/>
  <c r="N48" i="24" s="1"/>
  <c r="N103" i="26"/>
  <c r="AR8" i="26" s="1"/>
  <c r="N54" i="23" s="1"/>
  <c r="C107" i="26"/>
  <c r="M103" i="26"/>
  <c r="AQ8" i="26" s="1"/>
  <c r="N53" i="23" s="1"/>
  <c r="D103" i="26"/>
  <c r="AH8" i="26" s="1"/>
  <c r="L103" i="26"/>
  <c r="AP8" i="26" s="1"/>
  <c r="N52" i="23" s="1"/>
  <c r="K103" i="26"/>
  <c r="AO8" i="26" s="1"/>
  <c r="N51" i="23" s="1"/>
  <c r="J103" i="26"/>
  <c r="AN8" i="26" s="1"/>
  <c r="N50" i="23" s="1"/>
  <c r="I103" i="26"/>
  <c r="AM8" i="26" s="1"/>
  <c r="N49" i="23" s="1"/>
  <c r="H103" i="26"/>
  <c r="AL8" i="26" s="1"/>
  <c r="N48" i="23" s="1"/>
  <c r="G103" i="26"/>
  <c r="AK8" i="26" s="1"/>
  <c r="N47" i="23" s="1"/>
  <c r="F103" i="26"/>
  <c r="AJ8" i="26" s="1"/>
  <c r="N46" i="23" s="1"/>
  <c r="E103" i="26"/>
  <c r="AI8" i="26" s="1"/>
  <c r="N45" i="23" s="1"/>
  <c r="D102" i="25"/>
  <c r="C103" i="25"/>
  <c r="H102" i="25"/>
  <c r="G102" i="25"/>
  <c r="F102" i="25"/>
  <c r="E102" i="25"/>
  <c r="N102" i="25"/>
  <c r="M102" i="25"/>
  <c r="L102" i="25"/>
  <c r="K102" i="25"/>
  <c r="J102" i="25"/>
  <c r="I102" i="25"/>
  <c r="J99" i="20"/>
  <c r="I99" i="20"/>
  <c r="H99" i="20"/>
  <c r="C100" i="20"/>
  <c r="G99" i="20"/>
  <c r="N99" i="20"/>
  <c r="F99" i="20"/>
  <c r="L99" i="20"/>
  <c r="D99" i="20"/>
  <c r="E99" i="20"/>
  <c r="M99" i="20"/>
  <c r="K99" i="20"/>
  <c r="C101" i="19"/>
  <c r="G100" i="19"/>
  <c r="M100" i="19"/>
  <c r="E100" i="19"/>
  <c r="L100" i="19"/>
  <c r="D100" i="19"/>
  <c r="J100" i="19"/>
  <c r="K100" i="19"/>
  <c r="I100" i="19"/>
  <c r="H100" i="19"/>
  <c r="F100" i="19"/>
  <c r="N100" i="19"/>
  <c r="C100" i="18"/>
  <c r="G99" i="18"/>
  <c r="N99" i="18"/>
  <c r="F99" i="18"/>
  <c r="M99" i="18"/>
  <c r="E99" i="18"/>
  <c r="L99" i="18"/>
  <c r="D99" i="18"/>
  <c r="K99" i="18"/>
  <c r="I99" i="18"/>
  <c r="J99" i="18"/>
  <c r="H99" i="18"/>
  <c r="K107" i="1" l="1"/>
  <c r="J107" i="1"/>
  <c r="E107" i="1"/>
  <c r="D107" i="1"/>
  <c r="M107" i="1"/>
  <c r="L107" i="1"/>
  <c r="N107" i="1"/>
  <c r="F107" i="1"/>
  <c r="H107" i="1"/>
  <c r="G107" i="1"/>
  <c r="I107" i="1"/>
  <c r="C108" i="1"/>
  <c r="N55" i="8"/>
  <c r="N57" i="8" s="1"/>
  <c r="N55" i="24"/>
  <c r="N57" i="24" s="1"/>
  <c r="N55" i="23"/>
  <c r="N57" i="23" s="1"/>
  <c r="C108" i="27"/>
  <c r="L107" i="27"/>
  <c r="D107" i="27"/>
  <c r="G107" i="27"/>
  <c r="F107" i="27"/>
  <c r="E107" i="27"/>
  <c r="N107" i="27"/>
  <c r="M107" i="27"/>
  <c r="K107" i="27"/>
  <c r="J107" i="27"/>
  <c r="I107" i="27"/>
  <c r="H107" i="27"/>
  <c r="K107" i="26"/>
  <c r="J107" i="26"/>
  <c r="C108" i="26"/>
  <c r="N107" i="26"/>
  <c r="M107" i="26"/>
  <c r="L107" i="26"/>
  <c r="I107" i="26"/>
  <c r="H107" i="26"/>
  <c r="E107" i="26"/>
  <c r="D107" i="26"/>
  <c r="G107" i="26"/>
  <c r="F107" i="26"/>
  <c r="H103" i="25"/>
  <c r="AL8" i="25" s="1"/>
  <c r="AL7" i="7" s="1"/>
  <c r="G103" i="25"/>
  <c r="AK8" i="25" s="1"/>
  <c r="AK7" i="7" s="1"/>
  <c r="F103" i="25"/>
  <c r="AJ8" i="25" s="1"/>
  <c r="AJ7" i="7" s="1"/>
  <c r="K103" i="25"/>
  <c r="AO8" i="25" s="1"/>
  <c r="AO7" i="7" s="1"/>
  <c r="J103" i="25"/>
  <c r="AN8" i="25" s="1"/>
  <c r="AN7" i="7" s="1"/>
  <c r="I103" i="25"/>
  <c r="AM8" i="25" s="1"/>
  <c r="AM7" i="7" s="1"/>
  <c r="E103" i="25"/>
  <c r="AI8" i="25" s="1"/>
  <c r="AI7" i="7" s="1"/>
  <c r="D103" i="25"/>
  <c r="AH8" i="25" s="1"/>
  <c r="C107" i="25"/>
  <c r="N103" i="25"/>
  <c r="AR8" i="25" s="1"/>
  <c r="AR7" i="7" s="1"/>
  <c r="M103" i="25"/>
  <c r="AQ8" i="25" s="1"/>
  <c r="AQ7" i="7" s="1"/>
  <c r="L103" i="25"/>
  <c r="AP8" i="25" s="1"/>
  <c r="AP7" i="7" s="1"/>
  <c r="N100" i="20"/>
  <c r="F100" i="20"/>
  <c r="K100" i="20"/>
  <c r="G100" i="20"/>
  <c r="E100" i="20"/>
  <c r="C101" i="20"/>
  <c r="D100" i="20"/>
  <c r="M100" i="20"/>
  <c r="L100" i="20"/>
  <c r="I100" i="20"/>
  <c r="J100" i="20"/>
  <c r="H100" i="20"/>
  <c r="K101" i="19"/>
  <c r="I101" i="19"/>
  <c r="H101" i="19"/>
  <c r="N101" i="19"/>
  <c r="F101" i="19"/>
  <c r="C102" i="19"/>
  <c r="M101" i="19"/>
  <c r="L101" i="19"/>
  <c r="J101" i="19"/>
  <c r="G101" i="19"/>
  <c r="D101" i="19"/>
  <c r="E101" i="19"/>
  <c r="K100" i="18"/>
  <c r="J100" i="18"/>
  <c r="I100" i="18"/>
  <c r="H100" i="18"/>
  <c r="C101" i="18"/>
  <c r="G100" i="18"/>
  <c r="M100" i="18"/>
  <c r="E100" i="18"/>
  <c r="N100" i="18"/>
  <c r="L100" i="18"/>
  <c r="F100" i="18"/>
  <c r="D100" i="18"/>
  <c r="AH7" i="7" l="1"/>
  <c r="N51" i="22"/>
  <c r="N46" i="22"/>
  <c r="N47" i="22"/>
  <c r="N52" i="22"/>
  <c r="N45" i="22"/>
  <c r="N50" i="22"/>
  <c r="N48" i="22"/>
  <c r="N53" i="22"/>
  <c r="N49" i="22"/>
  <c r="N54" i="22"/>
  <c r="K108" i="1"/>
  <c r="F108" i="1"/>
  <c r="J108" i="1"/>
  <c r="E108" i="1"/>
  <c r="H108" i="1"/>
  <c r="D108" i="1"/>
  <c r="C109" i="1"/>
  <c r="M108" i="1"/>
  <c r="N108" i="1"/>
  <c r="I108" i="1"/>
  <c r="G108" i="1"/>
  <c r="L108" i="1"/>
  <c r="G108" i="27"/>
  <c r="K108" i="27"/>
  <c r="J108" i="27"/>
  <c r="I108" i="27"/>
  <c r="F108" i="27"/>
  <c r="E108" i="27"/>
  <c r="D108" i="27"/>
  <c r="C109" i="27"/>
  <c r="N108" i="27"/>
  <c r="M108" i="27"/>
  <c r="L108" i="27"/>
  <c r="H108" i="27"/>
  <c r="F108" i="26"/>
  <c r="H108" i="26"/>
  <c r="G108" i="26"/>
  <c r="L108" i="26"/>
  <c r="K108" i="26"/>
  <c r="J108" i="26"/>
  <c r="C109" i="26"/>
  <c r="N108" i="26"/>
  <c r="M108" i="26"/>
  <c r="I108" i="26"/>
  <c r="E108" i="26"/>
  <c r="D108" i="26"/>
  <c r="L107" i="25"/>
  <c r="M107" i="25"/>
  <c r="K107" i="25"/>
  <c r="C108" i="25"/>
  <c r="N107" i="25"/>
  <c r="J107" i="25"/>
  <c r="I107" i="25"/>
  <c r="H107" i="25"/>
  <c r="G107" i="25"/>
  <c r="F107" i="25"/>
  <c r="E107" i="25"/>
  <c r="D107" i="25"/>
  <c r="L101" i="20"/>
  <c r="J101" i="20"/>
  <c r="C102" i="20"/>
  <c r="G101" i="20"/>
  <c r="E101" i="20"/>
  <c r="D101" i="20"/>
  <c r="N101" i="20"/>
  <c r="M101" i="20"/>
  <c r="K101" i="20"/>
  <c r="H101" i="20"/>
  <c r="I101" i="20"/>
  <c r="F101" i="20"/>
  <c r="C103" i="19"/>
  <c r="G102" i="19"/>
  <c r="M102" i="19"/>
  <c r="E102" i="19"/>
  <c r="L102" i="19"/>
  <c r="D102" i="19"/>
  <c r="J102" i="19"/>
  <c r="N102" i="19"/>
  <c r="K102" i="19"/>
  <c r="H102" i="19"/>
  <c r="I102" i="19"/>
  <c r="F102" i="19"/>
  <c r="C102" i="18"/>
  <c r="G101" i="18"/>
  <c r="N101" i="18"/>
  <c r="F101" i="18"/>
  <c r="M101" i="18"/>
  <c r="E101" i="18"/>
  <c r="L101" i="18"/>
  <c r="D101" i="18"/>
  <c r="K101" i="18"/>
  <c r="I101" i="18"/>
  <c r="J101" i="18"/>
  <c r="H101" i="18"/>
  <c r="N55" i="22" l="1"/>
  <c r="N57" i="22" s="1"/>
  <c r="D109" i="1"/>
  <c r="N109" i="1"/>
  <c r="K109" i="1"/>
  <c r="J109" i="1"/>
  <c r="L109" i="1"/>
  <c r="C110" i="1"/>
  <c r="F109" i="1"/>
  <c r="E109" i="1"/>
  <c r="I109" i="1"/>
  <c r="H109" i="1"/>
  <c r="M109" i="1"/>
  <c r="G109" i="1"/>
  <c r="K109" i="27"/>
  <c r="H109" i="27"/>
  <c r="E109" i="27"/>
  <c r="C110" i="27"/>
  <c r="N109" i="27"/>
  <c r="I109" i="27"/>
  <c r="D109" i="27"/>
  <c r="G109" i="27"/>
  <c r="F109" i="27"/>
  <c r="M109" i="27"/>
  <c r="L109" i="27"/>
  <c r="J109" i="27"/>
  <c r="J109" i="26"/>
  <c r="M109" i="26"/>
  <c r="L109" i="26"/>
  <c r="F109" i="26"/>
  <c r="E109" i="26"/>
  <c r="H109" i="26"/>
  <c r="G109" i="26"/>
  <c r="D109" i="26"/>
  <c r="C110" i="26"/>
  <c r="N109" i="26"/>
  <c r="K109" i="26"/>
  <c r="I109" i="26"/>
  <c r="F108" i="25"/>
  <c r="E108" i="25"/>
  <c r="D108" i="25"/>
  <c r="C109" i="25"/>
  <c r="N108" i="25"/>
  <c r="M108" i="25"/>
  <c r="L108" i="25"/>
  <c r="K108" i="25"/>
  <c r="J108" i="25"/>
  <c r="I108" i="25"/>
  <c r="H108" i="25"/>
  <c r="G108" i="25"/>
  <c r="H102" i="20"/>
  <c r="N102" i="20"/>
  <c r="F102" i="20"/>
  <c r="K102" i="20"/>
  <c r="E102" i="20"/>
  <c r="D102" i="20"/>
  <c r="C103" i="20"/>
  <c r="M102" i="20"/>
  <c r="L102" i="20"/>
  <c r="I102" i="20"/>
  <c r="J102" i="20"/>
  <c r="G102" i="20"/>
  <c r="K103" i="19"/>
  <c r="AO8" i="19" s="1"/>
  <c r="N51" i="12" s="1"/>
  <c r="I103" i="19"/>
  <c r="AM8" i="19" s="1"/>
  <c r="N49" i="12" s="1"/>
  <c r="H103" i="19"/>
  <c r="AL8" i="19" s="1"/>
  <c r="N48" i="12" s="1"/>
  <c r="N103" i="19"/>
  <c r="AR8" i="19" s="1"/>
  <c r="N54" i="12" s="1"/>
  <c r="F103" i="19"/>
  <c r="AJ8" i="19" s="1"/>
  <c r="N46" i="12" s="1"/>
  <c r="G103" i="19"/>
  <c r="AK8" i="19" s="1"/>
  <c r="N47" i="12" s="1"/>
  <c r="E103" i="19"/>
  <c r="AI8" i="19" s="1"/>
  <c r="D103" i="19"/>
  <c r="AH8" i="19" s="1"/>
  <c r="C107" i="19"/>
  <c r="L103" i="19"/>
  <c r="AP8" i="19" s="1"/>
  <c r="N52" i="12" s="1"/>
  <c r="J103" i="19"/>
  <c r="AN8" i="19" s="1"/>
  <c r="N50" i="12" s="1"/>
  <c r="M103" i="19"/>
  <c r="AQ8" i="19" s="1"/>
  <c r="N53" i="12" s="1"/>
  <c r="K102" i="18"/>
  <c r="J102" i="18"/>
  <c r="I102" i="18"/>
  <c r="H102" i="18"/>
  <c r="C103" i="18"/>
  <c r="G102" i="18"/>
  <c r="M102" i="18"/>
  <c r="E102" i="18"/>
  <c r="N102" i="18"/>
  <c r="L102" i="18"/>
  <c r="F102" i="18"/>
  <c r="D102" i="18"/>
  <c r="G110" i="1" l="1"/>
  <c r="H110" i="1"/>
  <c r="C111" i="1"/>
  <c r="E110" i="1"/>
  <c r="D110" i="1"/>
  <c r="F110" i="1"/>
  <c r="I110" i="1"/>
  <c r="N110" i="1"/>
  <c r="L110" i="1"/>
  <c r="J110" i="1"/>
  <c r="K110" i="1"/>
  <c r="M110" i="1"/>
  <c r="C111" i="27"/>
  <c r="M110" i="27"/>
  <c r="J110" i="27"/>
  <c r="F110" i="27"/>
  <c r="G110" i="27"/>
  <c r="E110" i="27"/>
  <c r="N110" i="27"/>
  <c r="L110" i="27"/>
  <c r="K110" i="27"/>
  <c r="I110" i="27"/>
  <c r="H110" i="27"/>
  <c r="D110" i="27"/>
  <c r="N110" i="26"/>
  <c r="M110" i="26"/>
  <c r="L110" i="26"/>
  <c r="I110" i="26"/>
  <c r="H110" i="26"/>
  <c r="G110" i="26"/>
  <c r="C111" i="26"/>
  <c r="K110" i="26"/>
  <c r="J110" i="26"/>
  <c r="F110" i="26"/>
  <c r="E110" i="26"/>
  <c r="D110" i="26"/>
  <c r="D109" i="25"/>
  <c r="F109" i="25"/>
  <c r="E109" i="25"/>
  <c r="M109" i="25"/>
  <c r="L109" i="25"/>
  <c r="K109" i="25"/>
  <c r="J109" i="25"/>
  <c r="I109" i="25"/>
  <c r="H109" i="25"/>
  <c r="C110" i="25"/>
  <c r="N109" i="25"/>
  <c r="G109" i="25"/>
  <c r="N45" i="12"/>
  <c r="N55" i="12" s="1"/>
  <c r="N57" i="12" s="1"/>
  <c r="L103" i="20"/>
  <c r="AP8" i="20" s="1"/>
  <c r="D103" i="20"/>
  <c r="AH8" i="20" s="1"/>
  <c r="J103" i="20"/>
  <c r="AN8" i="20" s="1"/>
  <c r="C107" i="20"/>
  <c r="G103" i="20"/>
  <c r="AK8" i="20" s="1"/>
  <c r="F103" i="20"/>
  <c r="AJ8" i="20" s="1"/>
  <c r="E103" i="20"/>
  <c r="AI8" i="20" s="1"/>
  <c r="N103" i="20"/>
  <c r="AR8" i="20" s="1"/>
  <c r="M103" i="20"/>
  <c r="AQ8" i="20" s="1"/>
  <c r="I103" i="20"/>
  <c r="AM8" i="20" s="1"/>
  <c r="K103" i="20"/>
  <c r="AO8" i="20" s="1"/>
  <c r="H103" i="20"/>
  <c r="AL8" i="20" s="1"/>
  <c r="C108" i="19"/>
  <c r="G107" i="19"/>
  <c r="M107" i="19"/>
  <c r="E107" i="19"/>
  <c r="L107" i="19"/>
  <c r="D107" i="19"/>
  <c r="J107" i="19"/>
  <c r="K107" i="19"/>
  <c r="I107" i="19"/>
  <c r="H107" i="19"/>
  <c r="F107" i="19"/>
  <c r="N107" i="19"/>
  <c r="C107" i="18"/>
  <c r="G103" i="18"/>
  <c r="AK8" i="18" s="1"/>
  <c r="N103" i="18"/>
  <c r="AR8" i="18" s="1"/>
  <c r="F103" i="18"/>
  <c r="AJ8" i="18" s="1"/>
  <c r="M103" i="18"/>
  <c r="AQ8" i="18" s="1"/>
  <c r="E103" i="18"/>
  <c r="AI8" i="18" s="1"/>
  <c r="L103" i="18"/>
  <c r="AP8" i="18" s="1"/>
  <c r="D103" i="18"/>
  <c r="AH8" i="18" s="1"/>
  <c r="K103" i="18"/>
  <c r="AO8" i="18" s="1"/>
  <c r="I103" i="18"/>
  <c r="AM8" i="18" s="1"/>
  <c r="J103" i="18"/>
  <c r="AN8" i="18" s="1"/>
  <c r="H103" i="18"/>
  <c r="AL8" i="18" s="1"/>
  <c r="L111" i="1" l="1"/>
  <c r="F111" i="1"/>
  <c r="I111" i="1"/>
  <c r="E111" i="1"/>
  <c r="M111" i="1"/>
  <c r="K111" i="1"/>
  <c r="G111" i="1"/>
  <c r="H111" i="1"/>
  <c r="N111" i="1"/>
  <c r="D111" i="1"/>
  <c r="C112" i="1"/>
  <c r="J111" i="1"/>
  <c r="C112" i="27"/>
  <c r="M111" i="27"/>
  <c r="N111" i="27"/>
  <c r="K111" i="27"/>
  <c r="J111" i="27"/>
  <c r="L111" i="27"/>
  <c r="G111" i="27"/>
  <c r="I111" i="27"/>
  <c r="H111" i="27"/>
  <c r="E111" i="27"/>
  <c r="D111" i="27"/>
  <c r="F111" i="27"/>
  <c r="F111" i="26"/>
  <c r="E111" i="26"/>
  <c r="H111" i="26"/>
  <c r="G111" i="26"/>
  <c r="D111" i="26"/>
  <c r="C112" i="26"/>
  <c r="N111" i="26"/>
  <c r="M111" i="26"/>
  <c r="J111" i="26"/>
  <c r="I111" i="26"/>
  <c r="L111" i="26"/>
  <c r="K111" i="26"/>
  <c r="H110" i="25"/>
  <c r="K110" i="25"/>
  <c r="J110" i="25"/>
  <c r="C111" i="25"/>
  <c r="G110" i="25"/>
  <c r="F110" i="25"/>
  <c r="E110" i="25"/>
  <c r="D110" i="25"/>
  <c r="N110" i="25"/>
  <c r="M110" i="25"/>
  <c r="L110" i="25"/>
  <c r="I110" i="25"/>
  <c r="H107" i="20"/>
  <c r="N107" i="20"/>
  <c r="F107" i="20"/>
  <c r="K107" i="20"/>
  <c r="G107" i="20"/>
  <c r="E107" i="20"/>
  <c r="D107" i="20"/>
  <c r="C108" i="20"/>
  <c r="M107" i="20"/>
  <c r="J107" i="20"/>
  <c r="L107" i="20"/>
  <c r="I107" i="20"/>
  <c r="K108" i="19"/>
  <c r="I108" i="19"/>
  <c r="H108" i="19"/>
  <c r="N108" i="19"/>
  <c r="F108" i="19"/>
  <c r="C109" i="19"/>
  <c r="M108" i="19"/>
  <c r="L108" i="19"/>
  <c r="J108" i="19"/>
  <c r="G108" i="19"/>
  <c r="D108" i="19"/>
  <c r="E108" i="19"/>
  <c r="K107" i="18"/>
  <c r="J107" i="18"/>
  <c r="I107" i="18"/>
  <c r="H107" i="18"/>
  <c r="C108" i="18"/>
  <c r="G107" i="18"/>
  <c r="M107" i="18"/>
  <c r="E107" i="18"/>
  <c r="N107" i="18"/>
  <c r="L107" i="18"/>
  <c r="F107" i="18"/>
  <c r="D107" i="18"/>
  <c r="H112" i="1" l="1"/>
  <c r="I112" i="1"/>
  <c r="J112" i="1"/>
  <c r="K112" i="1"/>
  <c r="G112" i="1"/>
  <c r="C113" i="1"/>
  <c r="L112" i="1"/>
  <c r="D112" i="1"/>
  <c r="M112" i="1"/>
  <c r="N112" i="1"/>
  <c r="F112" i="1"/>
  <c r="E112" i="1"/>
  <c r="G112" i="27"/>
  <c r="F112" i="27"/>
  <c r="D112" i="27"/>
  <c r="H112" i="27"/>
  <c r="E112" i="27"/>
  <c r="C113" i="27"/>
  <c r="N112" i="27"/>
  <c r="M112" i="27"/>
  <c r="L112" i="27"/>
  <c r="K112" i="27"/>
  <c r="J112" i="27"/>
  <c r="I112" i="27"/>
  <c r="F112" i="26"/>
  <c r="K112" i="26"/>
  <c r="J112" i="26"/>
  <c r="I112" i="26"/>
  <c r="H112" i="26"/>
  <c r="G112" i="26"/>
  <c r="E112" i="26"/>
  <c r="D112" i="26"/>
  <c r="C113" i="26"/>
  <c r="N112" i="26"/>
  <c r="M112" i="26"/>
  <c r="L112" i="26"/>
  <c r="L111" i="25"/>
  <c r="C112" i="25"/>
  <c r="H111" i="25"/>
  <c r="G111" i="25"/>
  <c r="F111" i="25"/>
  <c r="E111" i="25"/>
  <c r="D111" i="25"/>
  <c r="N111" i="25"/>
  <c r="M111" i="25"/>
  <c r="K111" i="25"/>
  <c r="J111" i="25"/>
  <c r="I111" i="25"/>
  <c r="L108" i="20"/>
  <c r="D108" i="20"/>
  <c r="J108" i="20"/>
  <c r="C109" i="20"/>
  <c r="G108" i="20"/>
  <c r="H108" i="20"/>
  <c r="F108" i="20"/>
  <c r="E108" i="20"/>
  <c r="N108" i="20"/>
  <c r="K108" i="20"/>
  <c r="M108" i="20"/>
  <c r="I108" i="20"/>
  <c r="C110" i="19"/>
  <c r="G109" i="19"/>
  <c r="M109" i="19"/>
  <c r="E109" i="19"/>
  <c r="L109" i="19"/>
  <c r="D109" i="19"/>
  <c r="J109" i="19"/>
  <c r="N109" i="19"/>
  <c r="K109" i="19"/>
  <c r="H109" i="19"/>
  <c r="I109" i="19"/>
  <c r="F109" i="19"/>
  <c r="C109" i="18"/>
  <c r="G108" i="18"/>
  <c r="N108" i="18"/>
  <c r="F108" i="18"/>
  <c r="M108" i="18"/>
  <c r="E108" i="18"/>
  <c r="L108" i="18"/>
  <c r="D108" i="18"/>
  <c r="K108" i="18"/>
  <c r="I108" i="18"/>
  <c r="J108" i="18"/>
  <c r="H108" i="18"/>
  <c r="F113" i="1" l="1"/>
  <c r="G113" i="1"/>
  <c r="H113" i="1"/>
  <c r="C114" i="1"/>
  <c r="I113" i="1"/>
  <c r="M113" i="1"/>
  <c r="J113" i="1"/>
  <c r="L113" i="1"/>
  <c r="K113" i="1"/>
  <c r="N113" i="1"/>
  <c r="D113" i="1"/>
  <c r="E113" i="1"/>
  <c r="K113" i="27"/>
  <c r="L113" i="27"/>
  <c r="H113" i="27"/>
  <c r="I113" i="27"/>
  <c r="N113" i="27"/>
  <c r="M113" i="27"/>
  <c r="G113" i="27"/>
  <c r="F113" i="27"/>
  <c r="C114" i="27"/>
  <c r="J113" i="27"/>
  <c r="E113" i="27"/>
  <c r="D113" i="27"/>
  <c r="J113" i="26"/>
  <c r="C114" i="26"/>
  <c r="N113" i="26"/>
  <c r="H113" i="26"/>
  <c r="G113" i="26"/>
  <c r="F113" i="26"/>
  <c r="E113" i="26"/>
  <c r="D113" i="26"/>
  <c r="L113" i="26"/>
  <c r="K113" i="26"/>
  <c r="I113" i="26"/>
  <c r="M113" i="26"/>
  <c r="D112" i="25"/>
  <c r="C113" i="25"/>
  <c r="N112" i="25"/>
  <c r="M112" i="25"/>
  <c r="L112" i="25"/>
  <c r="K112" i="25"/>
  <c r="J112" i="25"/>
  <c r="I112" i="25"/>
  <c r="H112" i="25"/>
  <c r="G112" i="25"/>
  <c r="F112" i="25"/>
  <c r="E112" i="25"/>
  <c r="H109" i="20"/>
  <c r="N109" i="20"/>
  <c r="F109" i="20"/>
  <c r="K109" i="20"/>
  <c r="I109" i="20"/>
  <c r="G109" i="20"/>
  <c r="E109" i="20"/>
  <c r="D109" i="20"/>
  <c r="C110" i="20"/>
  <c r="L109" i="20"/>
  <c r="M109" i="20"/>
  <c r="J109" i="20"/>
  <c r="L110" i="19"/>
  <c r="D110" i="19"/>
  <c r="K110" i="19"/>
  <c r="I110" i="19"/>
  <c r="H110" i="19"/>
  <c r="N110" i="19"/>
  <c r="F110" i="19"/>
  <c r="J110" i="19"/>
  <c r="G110" i="19"/>
  <c r="E110" i="19"/>
  <c r="C111" i="19"/>
  <c r="M110" i="19"/>
  <c r="K109" i="18"/>
  <c r="J109" i="18"/>
  <c r="I109" i="18"/>
  <c r="H109" i="18"/>
  <c r="C110" i="18"/>
  <c r="G109" i="18"/>
  <c r="M109" i="18"/>
  <c r="E109" i="18"/>
  <c r="F109" i="18"/>
  <c r="D109" i="18"/>
  <c r="N109" i="18"/>
  <c r="L109" i="18"/>
  <c r="K114" i="1" l="1"/>
  <c r="M114" i="1"/>
  <c r="N114" i="1"/>
  <c r="L114" i="1"/>
  <c r="E114" i="1"/>
  <c r="C115" i="1"/>
  <c r="J114" i="1"/>
  <c r="G114" i="1"/>
  <c r="H114" i="1"/>
  <c r="D114" i="1"/>
  <c r="F114" i="1"/>
  <c r="I114" i="1"/>
  <c r="N114" i="27"/>
  <c r="M114" i="27"/>
  <c r="F114" i="27"/>
  <c r="E114" i="27"/>
  <c r="D114" i="27"/>
  <c r="I114" i="27"/>
  <c r="H114" i="27"/>
  <c r="G114" i="27"/>
  <c r="C115" i="27"/>
  <c r="L114" i="27"/>
  <c r="K114" i="27"/>
  <c r="J114" i="27"/>
  <c r="N114" i="26"/>
  <c r="D114" i="26"/>
  <c r="F114" i="26"/>
  <c r="E114" i="26"/>
  <c r="H114" i="26"/>
  <c r="G114" i="26"/>
  <c r="C115" i="26"/>
  <c r="M114" i="26"/>
  <c r="L114" i="26"/>
  <c r="K114" i="26"/>
  <c r="J114" i="26"/>
  <c r="I114" i="26"/>
  <c r="D113" i="25"/>
  <c r="I113" i="25"/>
  <c r="H113" i="25"/>
  <c r="F113" i="25"/>
  <c r="E113" i="25"/>
  <c r="C114" i="25"/>
  <c r="N113" i="25"/>
  <c r="M113" i="25"/>
  <c r="L113" i="25"/>
  <c r="K113" i="25"/>
  <c r="J113" i="25"/>
  <c r="G113" i="25"/>
  <c r="L110" i="20"/>
  <c r="D110" i="20"/>
  <c r="J110" i="20"/>
  <c r="C111" i="20"/>
  <c r="G110" i="20"/>
  <c r="I110" i="20"/>
  <c r="H110" i="20"/>
  <c r="F110" i="20"/>
  <c r="E110" i="20"/>
  <c r="M110" i="20"/>
  <c r="N110" i="20"/>
  <c r="K110" i="20"/>
  <c r="H111" i="19"/>
  <c r="C112" i="19"/>
  <c r="G111" i="19"/>
  <c r="N111" i="19"/>
  <c r="F111" i="19"/>
  <c r="M111" i="19"/>
  <c r="E111" i="19"/>
  <c r="L111" i="19"/>
  <c r="D111" i="19"/>
  <c r="J111" i="19"/>
  <c r="K111" i="19"/>
  <c r="I111" i="19"/>
  <c r="C111" i="18"/>
  <c r="G110" i="18"/>
  <c r="N110" i="18"/>
  <c r="F110" i="18"/>
  <c r="M110" i="18"/>
  <c r="E110" i="18"/>
  <c r="L110" i="18"/>
  <c r="D110" i="18"/>
  <c r="K110" i="18"/>
  <c r="I110" i="18"/>
  <c r="J110" i="18"/>
  <c r="H110" i="18"/>
  <c r="E115" i="1" l="1"/>
  <c r="I115" i="1"/>
  <c r="F115" i="1"/>
  <c r="G115" i="1"/>
  <c r="M115" i="1"/>
  <c r="D115" i="1"/>
  <c r="H115" i="1"/>
  <c r="C116" i="1"/>
  <c r="J115" i="1"/>
  <c r="L115" i="1"/>
  <c r="K115" i="1"/>
  <c r="N115" i="1"/>
  <c r="D115" i="27"/>
  <c r="F115" i="27"/>
  <c r="G115" i="27"/>
  <c r="K115" i="27"/>
  <c r="J115" i="27"/>
  <c r="H115" i="27"/>
  <c r="E115" i="27"/>
  <c r="C116" i="27"/>
  <c r="N115" i="27"/>
  <c r="M115" i="27"/>
  <c r="L115" i="27"/>
  <c r="I115" i="27"/>
  <c r="I115" i="26"/>
  <c r="H115" i="26"/>
  <c r="M115" i="26"/>
  <c r="L115" i="26"/>
  <c r="C116" i="26"/>
  <c r="K115" i="26"/>
  <c r="J115" i="26"/>
  <c r="G115" i="26"/>
  <c r="F115" i="26"/>
  <c r="E115" i="26"/>
  <c r="D115" i="26"/>
  <c r="N115" i="26"/>
  <c r="H114" i="25"/>
  <c r="N114" i="25"/>
  <c r="M114" i="25"/>
  <c r="K114" i="25"/>
  <c r="J114" i="25"/>
  <c r="I114" i="25"/>
  <c r="G114" i="25"/>
  <c r="F114" i="25"/>
  <c r="E114" i="25"/>
  <c r="C115" i="25"/>
  <c r="L114" i="25"/>
  <c r="D114" i="25"/>
  <c r="H111" i="20"/>
  <c r="N111" i="20"/>
  <c r="F111" i="20"/>
  <c r="K111" i="20"/>
  <c r="J111" i="20"/>
  <c r="I111" i="20"/>
  <c r="G111" i="20"/>
  <c r="E111" i="20"/>
  <c r="D111" i="20"/>
  <c r="M111" i="20"/>
  <c r="C112" i="20"/>
  <c r="L111" i="20"/>
  <c r="L112" i="19"/>
  <c r="D112" i="19"/>
  <c r="K112" i="19"/>
  <c r="J112" i="19"/>
  <c r="I112" i="19"/>
  <c r="H112" i="19"/>
  <c r="N112" i="19"/>
  <c r="F112" i="19"/>
  <c r="C113" i="19"/>
  <c r="M112" i="19"/>
  <c r="G112" i="19"/>
  <c r="E112" i="19"/>
  <c r="K111" i="18"/>
  <c r="J111" i="18"/>
  <c r="I111" i="18"/>
  <c r="H111" i="18"/>
  <c r="C112" i="18"/>
  <c r="G111" i="18"/>
  <c r="M111" i="18"/>
  <c r="E111" i="18"/>
  <c r="N111" i="18"/>
  <c r="L111" i="18"/>
  <c r="F111" i="18"/>
  <c r="D111" i="18"/>
  <c r="J116" i="1" l="1"/>
  <c r="K116" i="1"/>
  <c r="L116" i="1"/>
  <c r="M116" i="1"/>
  <c r="I116" i="1"/>
  <c r="C117" i="1"/>
  <c r="E116" i="1"/>
  <c r="G116" i="1"/>
  <c r="F116" i="1"/>
  <c r="H116" i="1"/>
  <c r="N116" i="1"/>
  <c r="D116" i="1"/>
  <c r="F116" i="27"/>
  <c r="I116" i="27"/>
  <c r="L116" i="27"/>
  <c r="H116" i="27"/>
  <c r="C117" i="27"/>
  <c r="J116" i="27"/>
  <c r="D116" i="27"/>
  <c r="G116" i="27"/>
  <c r="E116" i="27"/>
  <c r="N116" i="27"/>
  <c r="M116" i="27"/>
  <c r="K116" i="27"/>
  <c r="F116" i="26"/>
  <c r="N116" i="26"/>
  <c r="M116" i="26"/>
  <c r="E116" i="26"/>
  <c r="D116" i="26"/>
  <c r="C117" i="26"/>
  <c r="L116" i="26"/>
  <c r="K116" i="26"/>
  <c r="J116" i="26"/>
  <c r="I116" i="26"/>
  <c r="G116" i="26"/>
  <c r="H116" i="26"/>
  <c r="L115" i="25"/>
  <c r="C116" i="25"/>
  <c r="N115" i="25"/>
  <c r="M115" i="25"/>
  <c r="I115" i="25"/>
  <c r="H115" i="25"/>
  <c r="G115" i="25"/>
  <c r="F115" i="25"/>
  <c r="E115" i="25"/>
  <c r="D115" i="25"/>
  <c r="K115" i="25"/>
  <c r="J115" i="25"/>
  <c r="L112" i="20"/>
  <c r="D112" i="20"/>
  <c r="J112" i="20"/>
  <c r="C113" i="20"/>
  <c r="G112" i="20"/>
  <c r="K112" i="20"/>
  <c r="I112" i="20"/>
  <c r="H112" i="20"/>
  <c r="F112" i="20"/>
  <c r="E112" i="20"/>
  <c r="N112" i="20"/>
  <c r="M112" i="20"/>
  <c r="H113" i="19"/>
  <c r="C114" i="19"/>
  <c r="G113" i="19"/>
  <c r="N113" i="19"/>
  <c r="F113" i="19"/>
  <c r="M113" i="19"/>
  <c r="E113" i="19"/>
  <c r="L113" i="19"/>
  <c r="D113" i="19"/>
  <c r="J113" i="19"/>
  <c r="K113" i="19"/>
  <c r="I113" i="19"/>
  <c r="C113" i="18"/>
  <c r="G112" i="18"/>
  <c r="N112" i="18"/>
  <c r="F112" i="18"/>
  <c r="M112" i="18"/>
  <c r="E112" i="18"/>
  <c r="L112" i="18"/>
  <c r="D112" i="18"/>
  <c r="K112" i="18"/>
  <c r="I112" i="18"/>
  <c r="J112" i="18"/>
  <c r="H112" i="18"/>
  <c r="J117" i="1" l="1"/>
  <c r="F117" i="1"/>
  <c r="G117" i="1"/>
  <c r="E117" i="1"/>
  <c r="N117" i="1"/>
  <c r="C118" i="1"/>
  <c r="I117" i="1"/>
  <c r="K117" i="1"/>
  <c r="L117" i="1"/>
  <c r="M117" i="1"/>
  <c r="D117" i="1"/>
  <c r="H117" i="1"/>
  <c r="J117" i="27"/>
  <c r="N117" i="27"/>
  <c r="C118" i="27"/>
  <c r="H117" i="27"/>
  <c r="G117" i="27"/>
  <c r="E117" i="27"/>
  <c r="D117" i="27"/>
  <c r="L117" i="27"/>
  <c r="K117" i="27"/>
  <c r="I117" i="27"/>
  <c r="F117" i="27"/>
  <c r="M117" i="27"/>
  <c r="J117" i="26"/>
  <c r="H117" i="26"/>
  <c r="G117" i="26"/>
  <c r="C118" i="26"/>
  <c r="N117" i="26"/>
  <c r="M117" i="26"/>
  <c r="L117" i="26"/>
  <c r="K117" i="26"/>
  <c r="I117" i="26"/>
  <c r="F117" i="26"/>
  <c r="E117" i="26"/>
  <c r="D117" i="26"/>
  <c r="G116" i="25"/>
  <c r="F116" i="25"/>
  <c r="H116" i="25"/>
  <c r="E116" i="25"/>
  <c r="D116" i="25"/>
  <c r="C117" i="25"/>
  <c r="N116" i="25"/>
  <c r="M116" i="25"/>
  <c r="L116" i="25"/>
  <c r="K116" i="25"/>
  <c r="J116" i="25"/>
  <c r="I116" i="25"/>
  <c r="H113" i="20"/>
  <c r="N113" i="20"/>
  <c r="F113" i="20"/>
  <c r="K113" i="20"/>
  <c r="L113" i="20"/>
  <c r="J113" i="20"/>
  <c r="I113" i="20"/>
  <c r="G113" i="20"/>
  <c r="E113" i="20"/>
  <c r="C114" i="20"/>
  <c r="M113" i="20"/>
  <c r="D113" i="20"/>
  <c r="L114" i="19"/>
  <c r="D114" i="19"/>
  <c r="K114" i="19"/>
  <c r="J114" i="19"/>
  <c r="I114" i="19"/>
  <c r="H114" i="19"/>
  <c r="N114" i="19"/>
  <c r="F114" i="19"/>
  <c r="C115" i="19"/>
  <c r="M114" i="19"/>
  <c r="G114" i="19"/>
  <c r="E114" i="19"/>
  <c r="K113" i="18"/>
  <c r="J113" i="18"/>
  <c r="I113" i="18"/>
  <c r="H113" i="18"/>
  <c r="C114" i="18"/>
  <c r="G113" i="18"/>
  <c r="M113" i="18"/>
  <c r="E113" i="18"/>
  <c r="N113" i="18"/>
  <c r="L113" i="18"/>
  <c r="F113" i="18"/>
  <c r="D113" i="18"/>
  <c r="G118" i="1" l="1"/>
  <c r="C119" i="1"/>
  <c r="M118" i="1"/>
  <c r="N118" i="1"/>
  <c r="H118" i="1"/>
  <c r="I118" i="1"/>
  <c r="J118" i="1"/>
  <c r="K118" i="1"/>
  <c r="L118" i="1"/>
  <c r="D118" i="1"/>
  <c r="E118" i="1"/>
  <c r="F118" i="1"/>
  <c r="N118" i="27"/>
  <c r="F118" i="27"/>
  <c r="K118" i="27"/>
  <c r="C119" i="27"/>
  <c r="M118" i="27"/>
  <c r="I118" i="27"/>
  <c r="L118" i="27"/>
  <c r="J118" i="27"/>
  <c r="H118" i="27"/>
  <c r="G118" i="27"/>
  <c r="E118" i="27"/>
  <c r="D118" i="27"/>
  <c r="N118" i="26"/>
  <c r="G118" i="26"/>
  <c r="F118" i="26"/>
  <c r="C119" i="26"/>
  <c r="E118" i="26"/>
  <c r="D118" i="26"/>
  <c r="J118" i="26"/>
  <c r="I118" i="26"/>
  <c r="H118" i="26"/>
  <c r="M118" i="26"/>
  <c r="L118" i="26"/>
  <c r="K118" i="26"/>
  <c r="D117" i="25"/>
  <c r="L117" i="25"/>
  <c r="K117" i="25"/>
  <c r="C118" i="25"/>
  <c r="N117" i="25"/>
  <c r="M117" i="25"/>
  <c r="J117" i="25"/>
  <c r="I117" i="25"/>
  <c r="H117" i="25"/>
  <c r="G117" i="25"/>
  <c r="F117" i="25"/>
  <c r="E117" i="25"/>
  <c r="L114" i="20"/>
  <c r="D114" i="20"/>
  <c r="J114" i="20"/>
  <c r="C115" i="20"/>
  <c r="G114" i="20"/>
  <c r="M114" i="20"/>
  <c r="K114" i="20"/>
  <c r="I114" i="20"/>
  <c r="H114" i="20"/>
  <c r="F114" i="20"/>
  <c r="E114" i="20"/>
  <c r="N114" i="20"/>
  <c r="H115" i="19"/>
  <c r="C116" i="19"/>
  <c r="G115" i="19"/>
  <c r="N115" i="19"/>
  <c r="F115" i="19"/>
  <c r="M115" i="19"/>
  <c r="E115" i="19"/>
  <c r="L115" i="19"/>
  <c r="D115" i="19"/>
  <c r="J115" i="19"/>
  <c r="K115" i="19"/>
  <c r="I115" i="19"/>
  <c r="C115" i="18"/>
  <c r="G114" i="18"/>
  <c r="N114" i="18"/>
  <c r="F114" i="18"/>
  <c r="M114" i="18"/>
  <c r="E114" i="18"/>
  <c r="L114" i="18"/>
  <c r="D114" i="18"/>
  <c r="K114" i="18"/>
  <c r="I114" i="18"/>
  <c r="J114" i="18"/>
  <c r="H114" i="18"/>
  <c r="L119" i="1" l="1"/>
  <c r="M119" i="1"/>
  <c r="N119" i="1"/>
  <c r="I119" i="1"/>
  <c r="G119" i="1"/>
  <c r="C120" i="1"/>
  <c r="D119" i="1"/>
  <c r="J119" i="1"/>
  <c r="F119" i="1"/>
  <c r="E119" i="1"/>
  <c r="H119" i="1"/>
  <c r="K119" i="1"/>
  <c r="G119" i="27"/>
  <c r="D119" i="27"/>
  <c r="M119" i="27"/>
  <c r="J119" i="27"/>
  <c r="H119" i="27"/>
  <c r="F119" i="27"/>
  <c r="E119" i="27"/>
  <c r="C120" i="27"/>
  <c r="N119" i="27"/>
  <c r="L119" i="27"/>
  <c r="K119" i="27"/>
  <c r="I119" i="27"/>
  <c r="L119" i="26"/>
  <c r="K119" i="26"/>
  <c r="D119" i="26"/>
  <c r="N119" i="26"/>
  <c r="M119" i="26"/>
  <c r="J119" i="26"/>
  <c r="C120" i="26"/>
  <c r="I119" i="26"/>
  <c r="H119" i="26"/>
  <c r="G119" i="26"/>
  <c r="F119" i="26"/>
  <c r="E119" i="26"/>
  <c r="H118" i="25"/>
  <c r="C119" i="25"/>
  <c r="G118" i="25"/>
  <c r="F118" i="25"/>
  <c r="E118" i="25"/>
  <c r="D118" i="25"/>
  <c r="N118" i="25"/>
  <c r="M118" i="25"/>
  <c r="L118" i="25"/>
  <c r="K118" i="25"/>
  <c r="J118" i="25"/>
  <c r="I118" i="25"/>
  <c r="H115" i="20"/>
  <c r="N115" i="20"/>
  <c r="F115" i="20"/>
  <c r="K115" i="20"/>
  <c r="M115" i="20"/>
  <c r="L115" i="20"/>
  <c r="J115" i="20"/>
  <c r="I115" i="20"/>
  <c r="G115" i="20"/>
  <c r="D115" i="20"/>
  <c r="E115" i="20"/>
  <c r="C116" i="20"/>
  <c r="L116" i="19"/>
  <c r="D116" i="19"/>
  <c r="K116" i="19"/>
  <c r="J116" i="19"/>
  <c r="I116" i="19"/>
  <c r="H116" i="19"/>
  <c r="N116" i="19"/>
  <c r="F116" i="19"/>
  <c r="C117" i="19"/>
  <c r="G116" i="19"/>
  <c r="M116" i="19"/>
  <c r="E116" i="19"/>
  <c r="K115" i="18"/>
  <c r="J115" i="18"/>
  <c r="I115" i="18"/>
  <c r="H115" i="18"/>
  <c r="C116" i="18"/>
  <c r="G115" i="18"/>
  <c r="M115" i="18"/>
  <c r="E115" i="18"/>
  <c r="N115" i="18"/>
  <c r="L115" i="18"/>
  <c r="F115" i="18"/>
  <c r="D115" i="18"/>
  <c r="D120" i="1" l="1"/>
  <c r="F120" i="1"/>
  <c r="E120" i="1"/>
  <c r="G120" i="1"/>
  <c r="H120" i="1"/>
  <c r="J120" i="1"/>
  <c r="L120" i="1"/>
  <c r="K120" i="1"/>
  <c r="M120" i="1"/>
  <c r="N120" i="1"/>
  <c r="C121" i="1"/>
  <c r="I120" i="1"/>
  <c r="F120" i="27"/>
  <c r="L120" i="27"/>
  <c r="I120" i="27"/>
  <c r="J120" i="27"/>
  <c r="C121" i="27"/>
  <c r="N120" i="27"/>
  <c r="M120" i="27"/>
  <c r="K120" i="27"/>
  <c r="H120" i="27"/>
  <c r="G120" i="27"/>
  <c r="E120" i="27"/>
  <c r="D120" i="27"/>
  <c r="F120" i="26"/>
  <c r="K120" i="26"/>
  <c r="J120" i="26"/>
  <c r="H120" i="26"/>
  <c r="G120" i="26"/>
  <c r="E120" i="26"/>
  <c r="D120" i="26"/>
  <c r="C121" i="26"/>
  <c r="L120" i="26"/>
  <c r="I120" i="26"/>
  <c r="N120" i="26"/>
  <c r="M120" i="26"/>
  <c r="L119" i="25"/>
  <c r="E119" i="25"/>
  <c r="D119" i="25"/>
  <c r="J119" i="25"/>
  <c r="I119" i="25"/>
  <c r="H119" i="25"/>
  <c r="G119" i="25"/>
  <c r="F119" i="25"/>
  <c r="C120" i="25"/>
  <c r="N119" i="25"/>
  <c r="M119" i="25"/>
  <c r="K119" i="25"/>
  <c r="L116" i="20"/>
  <c r="D116" i="20"/>
  <c r="J116" i="20"/>
  <c r="C117" i="20"/>
  <c r="G116" i="20"/>
  <c r="N116" i="20"/>
  <c r="M116" i="20"/>
  <c r="K116" i="20"/>
  <c r="I116" i="20"/>
  <c r="H116" i="20"/>
  <c r="E116" i="20"/>
  <c r="F116" i="20"/>
  <c r="H117" i="19"/>
  <c r="C118" i="19"/>
  <c r="G117" i="19"/>
  <c r="N117" i="19"/>
  <c r="F117" i="19"/>
  <c r="M117" i="19"/>
  <c r="E117" i="19"/>
  <c r="L117" i="19"/>
  <c r="D117" i="19"/>
  <c r="J117" i="19"/>
  <c r="K117" i="19"/>
  <c r="I117" i="19"/>
  <c r="C117" i="18"/>
  <c r="G116" i="18"/>
  <c r="N116" i="18"/>
  <c r="F116" i="18"/>
  <c r="M116" i="18"/>
  <c r="E116" i="18"/>
  <c r="L116" i="18"/>
  <c r="D116" i="18"/>
  <c r="K116" i="18"/>
  <c r="I116" i="18"/>
  <c r="J116" i="18"/>
  <c r="H116" i="18"/>
  <c r="K121" i="1" l="1"/>
  <c r="F121" i="1"/>
  <c r="L121" i="1"/>
  <c r="H121" i="1"/>
  <c r="I121" i="1"/>
  <c r="J121" i="1"/>
  <c r="C122" i="1"/>
  <c r="N121" i="1"/>
  <c r="D121" i="1"/>
  <c r="E121" i="1"/>
  <c r="G121" i="1"/>
  <c r="M121" i="1"/>
  <c r="J121" i="27"/>
  <c r="N121" i="27"/>
  <c r="H121" i="27"/>
  <c r="E121" i="27"/>
  <c r="G121" i="27"/>
  <c r="F121" i="27"/>
  <c r="M121" i="27"/>
  <c r="K121" i="27"/>
  <c r="I121" i="27"/>
  <c r="L121" i="27"/>
  <c r="C122" i="27"/>
  <c r="D121" i="27"/>
  <c r="J121" i="26"/>
  <c r="E121" i="26"/>
  <c r="D121" i="26"/>
  <c r="L121" i="26"/>
  <c r="K121" i="26"/>
  <c r="I121" i="26"/>
  <c r="C122" i="26"/>
  <c r="N121" i="26"/>
  <c r="M121" i="26"/>
  <c r="H121" i="26"/>
  <c r="G121" i="26"/>
  <c r="F121" i="26"/>
  <c r="J120" i="25"/>
  <c r="I120" i="25"/>
  <c r="C121" i="25"/>
  <c r="N120" i="25"/>
  <c r="M120" i="25"/>
  <c r="L120" i="25"/>
  <c r="K120" i="25"/>
  <c r="H120" i="25"/>
  <c r="G120" i="25"/>
  <c r="F120" i="25"/>
  <c r="E120" i="25"/>
  <c r="D120" i="25"/>
  <c r="H117" i="20"/>
  <c r="N117" i="20"/>
  <c r="F117" i="20"/>
  <c r="K117" i="20"/>
  <c r="C118" i="20"/>
  <c r="M117" i="20"/>
  <c r="L117" i="20"/>
  <c r="J117" i="20"/>
  <c r="I117" i="20"/>
  <c r="E117" i="20"/>
  <c r="G117" i="20"/>
  <c r="D117" i="20"/>
  <c r="L118" i="19"/>
  <c r="D118" i="19"/>
  <c r="K118" i="19"/>
  <c r="J118" i="19"/>
  <c r="I118" i="19"/>
  <c r="H118" i="19"/>
  <c r="N118" i="19"/>
  <c r="F118" i="19"/>
  <c r="G118" i="19"/>
  <c r="E118" i="19"/>
  <c r="C119" i="19"/>
  <c r="M118" i="19"/>
  <c r="K117" i="18"/>
  <c r="J117" i="18"/>
  <c r="I117" i="18"/>
  <c r="H117" i="18"/>
  <c r="C118" i="18"/>
  <c r="G117" i="18"/>
  <c r="M117" i="18"/>
  <c r="E117" i="18"/>
  <c r="F117" i="18"/>
  <c r="D117" i="18"/>
  <c r="N117" i="18"/>
  <c r="L117" i="18"/>
  <c r="G122" i="1" l="1"/>
  <c r="K122" i="1"/>
  <c r="H122" i="1"/>
  <c r="I122" i="1"/>
  <c r="C123" i="1"/>
  <c r="J122" i="1"/>
  <c r="M122" i="1"/>
  <c r="D122" i="1"/>
  <c r="E122" i="1"/>
  <c r="F122" i="1"/>
  <c r="L122" i="1"/>
  <c r="N122" i="1"/>
  <c r="N122" i="27"/>
  <c r="E122" i="27"/>
  <c r="L122" i="27"/>
  <c r="H122" i="27"/>
  <c r="C123" i="27"/>
  <c r="M122" i="27"/>
  <c r="G122" i="27"/>
  <c r="F122" i="27"/>
  <c r="D122" i="27"/>
  <c r="K122" i="27"/>
  <c r="J122" i="27"/>
  <c r="I122" i="27"/>
  <c r="N122" i="26"/>
  <c r="J122" i="26"/>
  <c r="I122" i="26"/>
  <c r="F122" i="26"/>
  <c r="E122" i="26"/>
  <c r="L122" i="26"/>
  <c r="K122" i="26"/>
  <c r="H122" i="26"/>
  <c r="G122" i="26"/>
  <c r="D122" i="26"/>
  <c r="C123" i="26"/>
  <c r="M122" i="26"/>
  <c r="D121" i="25"/>
  <c r="C122" i="25"/>
  <c r="N121" i="25"/>
  <c r="F121" i="25"/>
  <c r="E121" i="25"/>
  <c r="M121" i="25"/>
  <c r="L121" i="25"/>
  <c r="K121" i="25"/>
  <c r="J121" i="25"/>
  <c r="I121" i="25"/>
  <c r="H121" i="25"/>
  <c r="G121" i="25"/>
  <c r="L118" i="20"/>
  <c r="D118" i="20"/>
  <c r="J118" i="20"/>
  <c r="C119" i="20"/>
  <c r="G118" i="20"/>
  <c r="N118" i="20"/>
  <c r="M118" i="20"/>
  <c r="K118" i="20"/>
  <c r="I118" i="20"/>
  <c r="F118" i="20"/>
  <c r="H118" i="20"/>
  <c r="E118" i="20"/>
  <c r="H119" i="19"/>
  <c r="C120" i="19"/>
  <c r="G119" i="19"/>
  <c r="N119" i="19"/>
  <c r="F119" i="19"/>
  <c r="M119" i="19"/>
  <c r="E119" i="19"/>
  <c r="L119" i="19"/>
  <c r="D119" i="19"/>
  <c r="J119" i="19"/>
  <c r="K119" i="19"/>
  <c r="I119" i="19"/>
  <c r="C119" i="18"/>
  <c r="G118" i="18"/>
  <c r="N118" i="18"/>
  <c r="F118" i="18"/>
  <c r="M118" i="18"/>
  <c r="E118" i="18"/>
  <c r="L118" i="18"/>
  <c r="D118" i="18"/>
  <c r="K118" i="18"/>
  <c r="I118" i="18"/>
  <c r="J118" i="18"/>
  <c r="H118" i="18"/>
  <c r="L123" i="1" l="1"/>
  <c r="M123" i="1"/>
  <c r="N123" i="1"/>
  <c r="E123" i="1"/>
  <c r="D123" i="1"/>
  <c r="C124" i="1"/>
  <c r="I123" i="1"/>
  <c r="K123" i="1"/>
  <c r="F123" i="1"/>
  <c r="G123" i="1"/>
  <c r="H123" i="1"/>
  <c r="J123" i="1"/>
  <c r="J123" i="27"/>
  <c r="G123" i="27"/>
  <c r="D123" i="27"/>
  <c r="H123" i="27"/>
  <c r="F123" i="27"/>
  <c r="N123" i="27"/>
  <c r="C124" i="27"/>
  <c r="M123" i="27"/>
  <c r="L123" i="27"/>
  <c r="K123" i="27"/>
  <c r="I123" i="27"/>
  <c r="E123" i="27"/>
  <c r="C124" i="26"/>
  <c r="N123" i="26"/>
  <c r="M123" i="26"/>
  <c r="L123" i="26"/>
  <c r="I123" i="26"/>
  <c r="H123" i="26"/>
  <c r="G123" i="26"/>
  <c r="D123" i="26"/>
  <c r="K123" i="26"/>
  <c r="J123" i="26"/>
  <c r="F123" i="26"/>
  <c r="E123" i="26"/>
  <c r="H122" i="25"/>
  <c r="M122" i="25"/>
  <c r="L122" i="25"/>
  <c r="K122" i="25"/>
  <c r="J122" i="25"/>
  <c r="I122" i="25"/>
  <c r="G122" i="25"/>
  <c r="C123" i="25"/>
  <c r="N122" i="25"/>
  <c r="F122" i="25"/>
  <c r="E122" i="25"/>
  <c r="D122" i="25"/>
  <c r="H119" i="20"/>
  <c r="N119" i="20"/>
  <c r="F119" i="20"/>
  <c r="K119" i="20"/>
  <c r="D119" i="20"/>
  <c r="C120" i="20"/>
  <c r="M119" i="20"/>
  <c r="L119" i="20"/>
  <c r="J119" i="20"/>
  <c r="G119" i="20"/>
  <c r="I119" i="20"/>
  <c r="E119" i="20"/>
  <c r="L120" i="19"/>
  <c r="D120" i="19"/>
  <c r="K120" i="19"/>
  <c r="J120" i="19"/>
  <c r="I120" i="19"/>
  <c r="H120" i="19"/>
  <c r="N120" i="19"/>
  <c r="F120" i="19"/>
  <c r="C121" i="19"/>
  <c r="M120" i="19"/>
  <c r="G120" i="19"/>
  <c r="E120" i="19"/>
  <c r="K119" i="18"/>
  <c r="J119" i="18"/>
  <c r="I119" i="18"/>
  <c r="H119" i="18"/>
  <c r="C120" i="18"/>
  <c r="G119" i="18"/>
  <c r="M119" i="18"/>
  <c r="E119" i="18"/>
  <c r="N119" i="18"/>
  <c r="L119" i="18"/>
  <c r="F119" i="18"/>
  <c r="D119" i="18"/>
  <c r="D124" i="1" l="1"/>
  <c r="I124" i="1"/>
  <c r="M124" i="1"/>
  <c r="H124" i="1"/>
  <c r="L124" i="1"/>
  <c r="J124" i="1"/>
  <c r="N124" i="1"/>
  <c r="G124" i="1"/>
  <c r="C125" i="1"/>
  <c r="F124" i="1"/>
  <c r="E124" i="1"/>
  <c r="K124" i="1"/>
  <c r="F124" i="27"/>
  <c r="C125" i="27"/>
  <c r="L124" i="27"/>
  <c r="K124" i="27"/>
  <c r="H124" i="27"/>
  <c r="E124" i="27"/>
  <c r="N124" i="27"/>
  <c r="G124" i="27"/>
  <c r="D124" i="27"/>
  <c r="M124" i="27"/>
  <c r="J124" i="27"/>
  <c r="I124" i="27"/>
  <c r="F124" i="26"/>
  <c r="M124" i="26"/>
  <c r="L124" i="26"/>
  <c r="K124" i="26"/>
  <c r="J124" i="26"/>
  <c r="I124" i="26"/>
  <c r="H124" i="26"/>
  <c r="G124" i="26"/>
  <c r="E124" i="26"/>
  <c r="C125" i="26"/>
  <c r="N124" i="26"/>
  <c r="D124" i="26"/>
  <c r="L123" i="25"/>
  <c r="H123" i="25"/>
  <c r="G123" i="25"/>
  <c r="C124" i="25"/>
  <c r="I123" i="25"/>
  <c r="F123" i="25"/>
  <c r="E123" i="25"/>
  <c r="D123" i="25"/>
  <c r="N123" i="25"/>
  <c r="M123" i="25"/>
  <c r="K123" i="25"/>
  <c r="J123" i="25"/>
  <c r="L120" i="20"/>
  <c r="D120" i="20"/>
  <c r="J120" i="20"/>
  <c r="C121" i="20"/>
  <c r="G120" i="20"/>
  <c r="E120" i="20"/>
  <c r="N120" i="20"/>
  <c r="M120" i="20"/>
  <c r="K120" i="20"/>
  <c r="H120" i="20"/>
  <c r="I120" i="20"/>
  <c r="F120" i="20"/>
  <c r="H121" i="19"/>
  <c r="C122" i="19"/>
  <c r="G121" i="19"/>
  <c r="N121" i="19"/>
  <c r="F121" i="19"/>
  <c r="M121" i="19"/>
  <c r="E121" i="19"/>
  <c r="L121" i="19"/>
  <c r="D121" i="19"/>
  <c r="J121" i="19"/>
  <c r="K121" i="19"/>
  <c r="I121" i="19"/>
  <c r="C121" i="18"/>
  <c r="G120" i="18"/>
  <c r="N120" i="18"/>
  <c r="F120" i="18"/>
  <c r="M120" i="18"/>
  <c r="E120" i="18"/>
  <c r="L120" i="18"/>
  <c r="D120" i="18"/>
  <c r="K120" i="18"/>
  <c r="I120" i="18"/>
  <c r="J120" i="18"/>
  <c r="H120" i="18"/>
  <c r="L125" i="1" l="1"/>
  <c r="G125" i="1"/>
  <c r="D125" i="1"/>
  <c r="H125" i="1"/>
  <c r="I125" i="1"/>
  <c r="J125" i="1"/>
  <c r="E125" i="1"/>
  <c r="F125" i="1"/>
  <c r="N125" i="1"/>
  <c r="C126" i="1"/>
  <c r="K125" i="1"/>
  <c r="M125" i="1"/>
  <c r="J125" i="27"/>
  <c r="C126" i="27"/>
  <c r="G125" i="27"/>
  <c r="F125" i="27"/>
  <c r="D125" i="27"/>
  <c r="N125" i="27"/>
  <c r="M125" i="27"/>
  <c r="L125" i="27"/>
  <c r="K125" i="27"/>
  <c r="I125" i="27"/>
  <c r="H125" i="27"/>
  <c r="E125" i="27"/>
  <c r="J125" i="26"/>
  <c r="H125" i="26"/>
  <c r="G125" i="26"/>
  <c r="K125" i="26"/>
  <c r="I125" i="26"/>
  <c r="F125" i="26"/>
  <c r="E125" i="26"/>
  <c r="D125" i="26"/>
  <c r="C126" i="26"/>
  <c r="N125" i="26"/>
  <c r="M125" i="26"/>
  <c r="L125" i="26"/>
  <c r="M124" i="25"/>
  <c r="L124" i="25"/>
  <c r="H124" i="25"/>
  <c r="G124" i="25"/>
  <c r="F124" i="25"/>
  <c r="E124" i="25"/>
  <c r="D124" i="25"/>
  <c r="C125" i="25"/>
  <c r="N124" i="25"/>
  <c r="K124" i="25"/>
  <c r="J124" i="25"/>
  <c r="I124" i="25"/>
  <c r="H121" i="20"/>
  <c r="N121" i="20"/>
  <c r="F121" i="20"/>
  <c r="K121" i="20"/>
  <c r="E121" i="20"/>
  <c r="D121" i="20"/>
  <c r="C122" i="20"/>
  <c r="M121" i="20"/>
  <c r="L121" i="20"/>
  <c r="I121" i="20"/>
  <c r="J121" i="20"/>
  <c r="G121" i="20"/>
  <c r="L122" i="19"/>
  <c r="D122" i="19"/>
  <c r="K122" i="19"/>
  <c r="J122" i="19"/>
  <c r="I122" i="19"/>
  <c r="H122" i="19"/>
  <c r="N122" i="19"/>
  <c r="F122" i="19"/>
  <c r="C123" i="19"/>
  <c r="M122" i="19"/>
  <c r="G122" i="19"/>
  <c r="E122" i="19"/>
  <c r="K121" i="18"/>
  <c r="J121" i="18"/>
  <c r="I121" i="18"/>
  <c r="H121" i="18"/>
  <c r="C122" i="18"/>
  <c r="G121" i="18"/>
  <c r="M121" i="18"/>
  <c r="E121" i="18"/>
  <c r="N121" i="18"/>
  <c r="L121" i="18"/>
  <c r="F121" i="18"/>
  <c r="D121" i="18"/>
  <c r="L126" i="1" l="1"/>
  <c r="N126" i="1"/>
  <c r="C127" i="1"/>
  <c r="M126" i="1"/>
  <c r="J126" i="1"/>
  <c r="E126" i="1"/>
  <c r="F126" i="1"/>
  <c r="G126" i="1"/>
  <c r="H126" i="1"/>
  <c r="D126" i="1"/>
  <c r="I126" i="1"/>
  <c r="K126" i="1"/>
  <c r="N126" i="27"/>
  <c r="H126" i="27"/>
  <c r="E126" i="27"/>
  <c r="G126" i="27"/>
  <c r="D126" i="27"/>
  <c r="C127" i="27"/>
  <c r="M126" i="27"/>
  <c r="J126" i="27"/>
  <c r="L126" i="27"/>
  <c r="K126" i="27"/>
  <c r="I126" i="27"/>
  <c r="F126" i="27"/>
  <c r="N126" i="26"/>
  <c r="M126" i="26"/>
  <c r="L126" i="26"/>
  <c r="C127" i="26"/>
  <c r="K126" i="26"/>
  <c r="J126" i="26"/>
  <c r="I126" i="26"/>
  <c r="H126" i="26"/>
  <c r="G126" i="26"/>
  <c r="F126" i="26"/>
  <c r="E126" i="26"/>
  <c r="D126" i="26"/>
  <c r="D125" i="25"/>
  <c r="C126" i="25"/>
  <c r="N125" i="25"/>
  <c r="M125" i="25"/>
  <c r="L125" i="25"/>
  <c r="K125" i="25"/>
  <c r="J125" i="25"/>
  <c r="I125" i="25"/>
  <c r="H125" i="25"/>
  <c r="G125" i="25"/>
  <c r="F125" i="25"/>
  <c r="E125" i="25"/>
  <c r="L122" i="20"/>
  <c r="D122" i="20"/>
  <c r="J122" i="20"/>
  <c r="C123" i="20"/>
  <c r="G122" i="20"/>
  <c r="F122" i="20"/>
  <c r="E122" i="20"/>
  <c r="N122" i="20"/>
  <c r="M122" i="20"/>
  <c r="I122" i="20"/>
  <c r="K122" i="20"/>
  <c r="H122" i="20"/>
  <c r="H123" i="19"/>
  <c r="C124" i="19"/>
  <c r="G123" i="19"/>
  <c r="N123" i="19"/>
  <c r="F123" i="19"/>
  <c r="M123" i="19"/>
  <c r="E123" i="19"/>
  <c r="L123" i="19"/>
  <c r="D123" i="19"/>
  <c r="J123" i="19"/>
  <c r="K123" i="19"/>
  <c r="I123" i="19"/>
  <c r="C123" i="18"/>
  <c r="G122" i="18"/>
  <c r="N122" i="18"/>
  <c r="F122" i="18"/>
  <c r="M122" i="18"/>
  <c r="E122" i="18"/>
  <c r="L122" i="18"/>
  <c r="D122" i="18"/>
  <c r="K122" i="18"/>
  <c r="I122" i="18"/>
  <c r="J122" i="18"/>
  <c r="H122" i="18"/>
  <c r="F127" i="1" l="1"/>
  <c r="K127" i="1"/>
  <c r="G127" i="1"/>
  <c r="M127" i="1"/>
  <c r="H127" i="1"/>
  <c r="J127" i="1"/>
  <c r="L127" i="1"/>
  <c r="I127" i="1"/>
  <c r="C128" i="1"/>
  <c r="E127" i="1"/>
  <c r="D127" i="1"/>
  <c r="N127" i="1"/>
  <c r="M127" i="27"/>
  <c r="J127" i="27"/>
  <c r="C128" i="27"/>
  <c r="K127" i="27"/>
  <c r="F127" i="27"/>
  <c r="E127" i="27"/>
  <c r="D127" i="27"/>
  <c r="N127" i="27"/>
  <c r="L127" i="27"/>
  <c r="I127" i="27"/>
  <c r="H127" i="27"/>
  <c r="G127" i="27"/>
  <c r="F127" i="26"/>
  <c r="E127" i="26"/>
  <c r="H127" i="26"/>
  <c r="G127" i="26"/>
  <c r="D127" i="26"/>
  <c r="I127" i="26"/>
  <c r="L127" i="26"/>
  <c r="K127" i="26"/>
  <c r="J127" i="26"/>
  <c r="C128" i="26"/>
  <c r="N127" i="26"/>
  <c r="M127" i="26"/>
  <c r="H126" i="25"/>
  <c r="F126" i="25"/>
  <c r="E126" i="25"/>
  <c r="G126" i="25"/>
  <c r="D126" i="25"/>
  <c r="C127" i="25"/>
  <c r="N126" i="25"/>
  <c r="M126" i="25"/>
  <c r="L126" i="25"/>
  <c r="K126" i="25"/>
  <c r="J126" i="25"/>
  <c r="I126" i="25"/>
  <c r="H123" i="20"/>
  <c r="N123" i="20"/>
  <c r="F123" i="20"/>
  <c r="K123" i="20"/>
  <c r="G123" i="20"/>
  <c r="E123" i="20"/>
  <c r="D123" i="20"/>
  <c r="C124" i="20"/>
  <c r="M123" i="20"/>
  <c r="J123" i="20"/>
  <c r="L123" i="20"/>
  <c r="I123" i="20"/>
  <c r="L124" i="19"/>
  <c r="D124" i="19"/>
  <c r="K124" i="19"/>
  <c r="J124" i="19"/>
  <c r="I124" i="19"/>
  <c r="H124" i="19"/>
  <c r="N124" i="19"/>
  <c r="F124" i="19"/>
  <c r="C125" i="19"/>
  <c r="G124" i="19"/>
  <c r="E124" i="19"/>
  <c r="M124" i="19"/>
  <c r="K123" i="18"/>
  <c r="C124" i="18"/>
  <c r="N123" i="18"/>
  <c r="M123" i="18"/>
  <c r="L123" i="18"/>
  <c r="J123" i="18"/>
  <c r="I123" i="18"/>
  <c r="H123" i="18"/>
  <c r="G123" i="18"/>
  <c r="E123" i="18"/>
  <c r="F123" i="18"/>
  <c r="D123" i="18"/>
  <c r="M128" i="1" l="1"/>
  <c r="I128" i="1"/>
  <c r="J128" i="1"/>
  <c r="H128" i="1"/>
  <c r="D128" i="1"/>
  <c r="K128" i="1"/>
  <c r="F128" i="1"/>
  <c r="G128" i="1"/>
  <c r="L128" i="1"/>
  <c r="C129" i="1"/>
  <c r="N128" i="1"/>
  <c r="E128" i="1"/>
  <c r="F128" i="27"/>
  <c r="C129" i="27"/>
  <c r="D128" i="27"/>
  <c r="M128" i="27"/>
  <c r="L128" i="27"/>
  <c r="G128" i="27"/>
  <c r="E128" i="27"/>
  <c r="H128" i="27"/>
  <c r="N128" i="27"/>
  <c r="K128" i="27"/>
  <c r="J128" i="27"/>
  <c r="I128" i="27"/>
  <c r="F128" i="26"/>
  <c r="G128" i="26"/>
  <c r="E128" i="26"/>
  <c r="M128" i="26"/>
  <c r="L128" i="26"/>
  <c r="C129" i="26"/>
  <c r="N128" i="26"/>
  <c r="K128" i="26"/>
  <c r="J128" i="26"/>
  <c r="I128" i="26"/>
  <c r="H128" i="26"/>
  <c r="D128" i="26"/>
  <c r="L127" i="25"/>
  <c r="K127" i="25"/>
  <c r="J127" i="25"/>
  <c r="M127" i="25"/>
  <c r="I127" i="25"/>
  <c r="H127" i="25"/>
  <c r="G127" i="25"/>
  <c r="F127" i="25"/>
  <c r="E127" i="25"/>
  <c r="C128" i="25"/>
  <c r="N127" i="25"/>
  <c r="D127" i="25"/>
  <c r="L124" i="20"/>
  <c r="D124" i="20"/>
  <c r="J124" i="20"/>
  <c r="C125" i="20"/>
  <c r="G124" i="20"/>
  <c r="H124" i="20"/>
  <c r="F124" i="20"/>
  <c r="E124" i="20"/>
  <c r="N124" i="20"/>
  <c r="K124" i="20"/>
  <c r="M124" i="20"/>
  <c r="I124" i="20"/>
  <c r="H125" i="19"/>
  <c r="C126" i="19"/>
  <c r="G125" i="19"/>
  <c r="N125" i="19"/>
  <c r="F125" i="19"/>
  <c r="M125" i="19"/>
  <c r="E125" i="19"/>
  <c r="L125" i="19"/>
  <c r="D125" i="19"/>
  <c r="J125" i="19"/>
  <c r="K125" i="19"/>
  <c r="I125" i="19"/>
  <c r="C125" i="18"/>
  <c r="G124" i="18"/>
  <c r="L124" i="18"/>
  <c r="D124" i="18"/>
  <c r="K124" i="18"/>
  <c r="J124" i="18"/>
  <c r="I124" i="18"/>
  <c r="N124" i="18"/>
  <c r="M124" i="18"/>
  <c r="F124" i="18"/>
  <c r="H124" i="18"/>
  <c r="E124" i="18"/>
  <c r="L129" i="1" l="1"/>
  <c r="E129" i="1"/>
  <c r="M129" i="1"/>
  <c r="H129" i="1"/>
  <c r="I129" i="1"/>
  <c r="J129" i="1"/>
  <c r="N129" i="1"/>
  <c r="K129" i="1"/>
  <c r="F129" i="1"/>
  <c r="G129" i="1"/>
  <c r="C130" i="1"/>
  <c r="D129" i="1"/>
  <c r="J129" i="27"/>
  <c r="F129" i="27"/>
  <c r="K129" i="27"/>
  <c r="G129" i="27"/>
  <c r="N129" i="27"/>
  <c r="E129" i="27"/>
  <c r="D129" i="27"/>
  <c r="M129" i="27"/>
  <c r="H129" i="27"/>
  <c r="L129" i="27"/>
  <c r="I129" i="27"/>
  <c r="C130" i="27"/>
  <c r="J129" i="26"/>
  <c r="L129" i="26"/>
  <c r="K129" i="26"/>
  <c r="E129" i="26"/>
  <c r="D129" i="26"/>
  <c r="I129" i="26"/>
  <c r="H129" i="26"/>
  <c r="G129" i="26"/>
  <c r="F129" i="26"/>
  <c r="N129" i="26"/>
  <c r="M129" i="26"/>
  <c r="C130" i="26"/>
  <c r="C129" i="25"/>
  <c r="N128" i="25"/>
  <c r="M128" i="25"/>
  <c r="L128" i="25"/>
  <c r="I128" i="25"/>
  <c r="H128" i="25"/>
  <c r="G128" i="25"/>
  <c r="F128" i="25"/>
  <c r="E128" i="25"/>
  <c r="D128" i="25"/>
  <c r="K128" i="25"/>
  <c r="J128" i="25"/>
  <c r="H125" i="20"/>
  <c r="N125" i="20"/>
  <c r="F125" i="20"/>
  <c r="K125" i="20"/>
  <c r="I125" i="20"/>
  <c r="G125" i="20"/>
  <c r="E125" i="20"/>
  <c r="D125" i="20"/>
  <c r="C126" i="20"/>
  <c r="L125" i="20"/>
  <c r="M125" i="20"/>
  <c r="J125" i="20"/>
  <c r="L126" i="19"/>
  <c r="D126" i="19"/>
  <c r="K126" i="19"/>
  <c r="J126" i="19"/>
  <c r="I126" i="19"/>
  <c r="H126" i="19"/>
  <c r="N126" i="19"/>
  <c r="F126" i="19"/>
  <c r="G126" i="19"/>
  <c r="E126" i="19"/>
  <c r="C127" i="19"/>
  <c r="M126" i="19"/>
  <c r="K125" i="18"/>
  <c r="H125" i="18"/>
  <c r="C126" i="18"/>
  <c r="G125" i="18"/>
  <c r="N125" i="18"/>
  <c r="F125" i="18"/>
  <c r="M125" i="18"/>
  <c r="E125" i="18"/>
  <c r="J125" i="18"/>
  <c r="I125" i="18"/>
  <c r="D125" i="18"/>
  <c r="L125" i="18"/>
  <c r="H130" i="1" l="1"/>
  <c r="G130" i="1"/>
  <c r="L130" i="1"/>
  <c r="C131" i="1"/>
  <c r="I130" i="1"/>
  <c r="F130" i="1"/>
  <c r="M130" i="1"/>
  <c r="J130" i="1"/>
  <c r="N130" i="1"/>
  <c r="D130" i="1"/>
  <c r="K130" i="1"/>
  <c r="E130" i="1"/>
  <c r="N130" i="27"/>
  <c r="K130" i="27"/>
  <c r="H130" i="27"/>
  <c r="C131" i="27"/>
  <c r="M130" i="27"/>
  <c r="L130" i="27"/>
  <c r="J130" i="27"/>
  <c r="I130" i="27"/>
  <c r="G130" i="27"/>
  <c r="F130" i="27"/>
  <c r="E130" i="27"/>
  <c r="D130" i="27"/>
  <c r="N130" i="26"/>
  <c r="H130" i="26"/>
  <c r="G130" i="26"/>
  <c r="C131" i="26"/>
  <c r="M130" i="26"/>
  <c r="L130" i="26"/>
  <c r="K130" i="26"/>
  <c r="J130" i="26"/>
  <c r="I130" i="26"/>
  <c r="F130" i="26"/>
  <c r="E130" i="26"/>
  <c r="D130" i="26"/>
  <c r="D129" i="25"/>
  <c r="E129" i="25"/>
  <c r="H129" i="25"/>
  <c r="G129" i="25"/>
  <c r="F129" i="25"/>
  <c r="C130" i="25"/>
  <c r="N129" i="25"/>
  <c r="M129" i="25"/>
  <c r="L129" i="25"/>
  <c r="K129" i="25"/>
  <c r="J129" i="25"/>
  <c r="I129" i="25"/>
  <c r="L126" i="20"/>
  <c r="D126" i="20"/>
  <c r="J126" i="20"/>
  <c r="C127" i="20"/>
  <c r="G126" i="20"/>
  <c r="I126" i="20"/>
  <c r="H126" i="20"/>
  <c r="F126" i="20"/>
  <c r="E126" i="20"/>
  <c r="M126" i="20"/>
  <c r="N126" i="20"/>
  <c r="K126" i="20"/>
  <c r="H127" i="19"/>
  <c r="C128" i="19"/>
  <c r="G127" i="19"/>
  <c r="N127" i="19"/>
  <c r="F127" i="19"/>
  <c r="M127" i="19"/>
  <c r="E127" i="19"/>
  <c r="L127" i="19"/>
  <c r="D127" i="19"/>
  <c r="J127" i="19"/>
  <c r="K127" i="19"/>
  <c r="I127" i="19"/>
  <c r="C127" i="18"/>
  <c r="G126" i="18"/>
  <c r="L126" i="18"/>
  <c r="D126" i="18"/>
  <c r="K126" i="18"/>
  <c r="J126" i="18"/>
  <c r="I126" i="18"/>
  <c r="N126" i="18"/>
  <c r="M126" i="18"/>
  <c r="H126" i="18"/>
  <c r="E126" i="18"/>
  <c r="F126" i="18"/>
  <c r="C132" i="1" l="1"/>
  <c r="N131" i="1"/>
  <c r="L131" i="1"/>
  <c r="M131" i="1"/>
  <c r="I131" i="1"/>
  <c r="G131" i="1"/>
  <c r="D131" i="1"/>
  <c r="H131" i="1"/>
  <c r="E131" i="1"/>
  <c r="F131" i="1"/>
  <c r="K131" i="1"/>
  <c r="J131" i="1"/>
  <c r="M131" i="27"/>
  <c r="F131" i="27"/>
  <c r="K131" i="27"/>
  <c r="G131" i="27"/>
  <c r="E131" i="27"/>
  <c r="N131" i="27"/>
  <c r="C132" i="27"/>
  <c r="J131" i="27"/>
  <c r="I131" i="27"/>
  <c r="H131" i="27"/>
  <c r="D131" i="27"/>
  <c r="L131" i="27"/>
  <c r="E131" i="26"/>
  <c r="D131" i="26"/>
  <c r="C132" i="26"/>
  <c r="N131" i="26"/>
  <c r="L131" i="26"/>
  <c r="K131" i="26"/>
  <c r="J131" i="26"/>
  <c r="I131" i="26"/>
  <c r="H131" i="26"/>
  <c r="G131" i="26"/>
  <c r="F131" i="26"/>
  <c r="M131" i="26"/>
  <c r="H130" i="25"/>
  <c r="J130" i="25"/>
  <c r="I130" i="25"/>
  <c r="C131" i="25"/>
  <c r="N130" i="25"/>
  <c r="M130" i="25"/>
  <c r="L130" i="25"/>
  <c r="K130" i="25"/>
  <c r="G130" i="25"/>
  <c r="F130" i="25"/>
  <c r="E130" i="25"/>
  <c r="D130" i="25"/>
  <c r="H127" i="20"/>
  <c r="N127" i="20"/>
  <c r="F127" i="20"/>
  <c r="K127" i="20"/>
  <c r="J127" i="20"/>
  <c r="I127" i="20"/>
  <c r="G127" i="20"/>
  <c r="E127" i="20"/>
  <c r="D127" i="20"/>
  <c r="M127" i="20"/>
  <c r="C128" i="20"/>
  <c r="L127" i="20"/>
  <c r="L128" i="19"/>
  <c r="D128" i="19"/>
  <c r="K128" i="19"/>
  <c r="J128" i="19"/>
  <c r="I128" i="19"/>
  <c r="H128" i="19"/>
  <c r="N128" i="19"/>
  <c r="F128" i="19"/>
  <c r="C129" i="19"/>
  <c r="M128" i="19"/>
  <c r="G128" i="19"/>
  <c r="E128" i="19"/>
  <c r="K127" i="18"/>
  <c r="H127" i="18"/>
  <c r="C128" i="18"/>
  <c r="G127" i="18"/>
  <c r="N127" i="18"/>
  <c r="F127" i="18"/>
  <c r="M127" i="18"/>
  <c r="E127" i="18"/>
  <c r="I127" i="18"/>
  <c r="D127" i="18"/>
  <c r="L127" i="18"/>
  <c r="J127" i="18"/>
  <c r="I132" i="1" l="1"/>
  <c r="J132" i="1"/>
  <c r="C133" i="1"/>
  <c r="G132" i="1"/>
  <c r="D132" i="1"/>
  <c r="H132" i="1"/>
  <c r="L132" i="1"/>
  <c r="M132" i="1"/>
  <c r="E132" i="1"/>
  <c r="N132" i="1"/>
  <c r="K132" i="1"/>
  <c r="F132" i="1"/>
  <c r="F132" i="27"/>
  <c r="D132" i="27"/>
  <c r="M132" i="27"/>
  <c r="J132" i="27"/>
  <c r="N132" i="27"/>
  <c r="L132" i="27"/>
  <c r="G132" i="27"/>
  <c r="E132" i="27"/>
  <c r="C133" i="27"/>
  <c r="K132" i="27"/>
  <c r="I132" i="27"/>
  <c r="H132" i="27"/>
  <c r="F132" i="26"/>
  <c r="J132" i="26"/>
  <c r="I132" i="26"/>
  <c r="N132" i="26"/>
  <c r="M132" i="26"/>
  <c r="L132" i="26"/>
  <c r="E132" i="26"/>
  <c r="D132" i="26"/>
  <c r="C133" i="26"/>
  <c r="K132" i="26"/>
  <c r="H132" i="26"/>
  <c r="G132" i="26"/>
  <c r="L131" i="25"/>
  <c r="C132" i="25"/>
  <c r="N131" i="25"/>
  <c r="G131" i="25"/>
  <c r="F131" i="25"/>
  <c r="E131" i="25"/>
  <c r="D131" i="25"/>
  <c r="M131" i="25"/>
  <c r="K131" i="25"/>
  <c r="J131" i="25"/>
  <c r="I131" i="25"/>
  <c r="H131" i="25"/>
  <c r="L128" i="20"/>
  <c r="D128" i="20"/>
  <c r="J128" i="20"/>
  <c r="C129" i="20"/>
  <c r="G128" i="20"/>
  <c r="K128" i="20"/>
  <c r="I128" i="20"/>
  <c r="H128" i="20"/>
  <c r="F128" i="20"/>
  <c r="E128" i="20"/>
  <c r="N128" i="20"/>
  <c r="M128" i="20"/>
  <c r="H129" i="19"/>
  <c r="C130" i="19"/>
  <c r="G129" i="19"/>
  <c r="N129" i="19"/>
  <c r="F129" i="19"/>
  <c r="M129" i="19"/>
  <c r="E129" i="19"/>
  <c r="L129" i="19"/>
  <c r="D129" i="19"/>
  <c r="J129" i="19"/>
  <c r="K129" i="19"/>
  <c r="I129" i="19"/>
  <c r="C129" i="18"/>
  <c r="G128" i="18"/>
  <c r="L128" i="18"/>
  <c r="D128" i="18"/>
  <c r="K128" i="18"/>
  <c r="J128" i="18"/>
  <c r="I128" i="18"/>
  <c r="N128" i="18"/>
  <c r="M128" i="18"/>
  <c r="H128" i="18"/>
  <c r="F128" i="18"/>
  <c r="E128" i="18"/>
  <c r="N133" i="1" l="1"/>
  <c r="I133" i="1"/>
  <c r="K133" i="1"/>
  <c r="D133" i="1"/>
  <c r="C134" i="1"/>
  <c r="F133" i="1"/>
  <c r="L133" i="1"/>
  <c r="G133" i="1"/>
  <c r="E133" i="1"/>
  <c r="J133" i="1"/>
  <c r="M133" i="1"/>
  <c r="H133" i="1"/>
  <c r="J133" i="27"/>
  <c r="I133" i="27"/>
  <c r="F133" i="27"/>
  <c r="K133" i="27"/>
  <c r="E133" i="27"/>
  <c r="D133" i="27"/>
  <c r="C134" i="27"/>
  <c r="H133" i="27"/>
  <c r="G133" i="27"/>
  <c r="N133" i="27"/>
  <c r="M133" i="27"/>
  <c r="L133" i="27"/>
  <c r="J133" i="26"/>
  <c r="C134" i="26"/>
  <c r="N133" i="26"/>
  <c r="K133" i="26"/>
  <c r="I133" i="26"/>
  <c r="M133" i="26"/>
  <c r="L133" i="26"/>
  <c r="H133" i="26"/>
  <c r="G133" i="26"/>
  <c r="F133" i="26"/>
  <c r="E133" i="26"/>
  <c r="D133" i="26"/>
  <c r="J132" i="25"/>
  <c r="I132" i="25"/>
  <c r="H132" i="25"/>
  <c r="G132" i="25"/>
  <c r="F132" i="25"/>
  <c r="E132" i="25"/>
  <c r="C133" i="25"/>
  <c r="N132" i="25"/>
  <c r="M132" i="25"/>
  <c r="L132" i="25"/>
  <c r="K132" i="25"/>
  <c r="D132" i="25"/>
  <c r="H129" i="20"/>
  <c r="N129" i="20"/>
  <c r="F129" i="20"/>
  <c r="K129" i="20"/>
  <c r="L129" i="20"/>
  <c r="J129" i="20"/>
  <c r="I129" i="20"/>
  <c r="G129" i="20"/>
  <c r="E129" i="20"/>
  <c r="C130" i="20"/>
  <c r="M129" i="20"/>
  <c r="D129" i="20"/>
  <c r="L130" i="19"/>
  <c r="D130" i="19"/>
  <c r="K130" i="19"/>
  <c r="J130" i="19"/>
  <c r="I130" i="19"/>
  <c r="H130" i="19"/>
  <c r="N130" i="19"/>
  <c r="F130" i="19"/>
  <c r="C131" i="19"/>
  <c r="M130" i="19"/>
  <c r="G130" i="19"/>
  <c r="E130" i="19"/>
  <c r="K129" i="18"/>
  <c r="H129" i="18"/>
  <c r="C130" i="18"/>
  <c r="G129" i="18"/>
  <c r="N129" i="18"/>
  <c r="F129" i="18"/>
  <c r="M129" i="18"/>
  <c r="E129" i="18"/>
  <c r="D129" i="18"/>
  <c r="J129" i="18"/>
  <c r="L129" i="18"/>
  <c r="I129" i="18"/>
  <c r="I134" i="1" l="1"/>
  <c r="D134" i="1"/>
  <c r="J134" i="1"/>
  <c r="H134" i="1"/>
  <c r="K134" i="1"/>
  <c r="E134" i="1"/>
  <c r="G134" i="1"/>
  <c r="N134" i="1"/>
  <c r="F134" i="1"/>
  <c r="L134" i="1"/>
  <c r="C135" i="1"/>
  <c r="M134" i="1"/>
  <c r="N134" i="27"/>
  <c r="C135" i="27"/>
  <c r="K134" i="27"/>
  <c r="H134" i="27"/>
  <c r="E134" i="27"/>
  <c r="M134" i="27"/>
  <c r="L134" i="27"/>
  <c r="G134" i="27"/>
  <c r="J134" i="27"/>
  <c r="I134" i="27"/>
  <c r="F134" i="27"/>
  <c r="D134" i="27"/>
  <c r="N134" i="26"/>
  <c r="K134" i="26"/>
  <c r="J134" i="26"/>
  <c r="I134" i="26"/>
  <c r="E134" i="26"/>
  <c r="D134" i="26"/>
  <c r="C135" i="26"/>
  <c r="M134" i="26"/>
  <c r="G134" i="26"/>
  <c r="F134" i="26"/>
  <c r="L134" i="26"/>
  <c r="H134" i="26"/>
  <c r="D133" i="25"/>
  <c r="H133" i="25"/>
  <c r="G133" i="25"/>
  <c r="C134" i="25"/>
  <c r="N133" i="25"/>
  <c r="M133" i="25"/>
  <c r="L133" i="25"/>
  <c r="K133" i="25"/>
  <c r="J133" i="25"/>
  <c r="I133" i="25"/>
  <c r="F133" i="25"/>
  <c r="E133" i="25"/>
  <c r="L130" i="20"/>
  <c r="D130" i="20"/>
  <c r="J130" i="20"/>
  <c r="C131" i="20"/>
  <c r="G130" i="20"/>
  <c r="M130" i="20"/>
  <c r="K130" i="20"/>
  <c r="I130" i="20"/>
  <c r="H130" i="20"/>
  <c r="F130" i="20"/>
  <c r="N130" i="20"/>
  <c r="E130" i="20"/>
  <c r="H131" i="19"/>
  <c r="C132" i="19"/>
  <c r="G131" i="19"/>
  <c r="N131" i="19"/>
  <c r="F131" i="19"/>
  <c r="M131" i="19"/>
  <c r="E131" i="19"/>
  <c r="L131" i="19"/>
  <c r="D131" i="19"/>
  <c r="J131" i="19"/>
  <c r="K131" i="19"/>
  <c r="I131" i="19"/>
  <c r="C131" i="18"/>
  <c r="G130" i="18"/>
  <c r="L130" i="18"/>
  <c r="D130" i="18"/>
  <c r="K130" i="18"/>
  <c r="J130" i="18"/>
  <c r="I130" i="18"/>
  <c r="N130" i="18"/>
  <c r="M130" i="18"/>
  <c r="H130" i="18"/>
  <c r="F130" i="18"/>
  <c r="E130" i="18"/>
  <c r="J135" i="1" l="1"/>
  <c r="N135" i="1"/>
  <c r="L135" i="1"/>
  <c r="C136" i="1"/>
  <c r="D135" i="1"/>
  <c r="H135" i="1"/>
  <c r="M135" i="1"/>
  <c r="F135" i="1"/>
  <c r="K135" i="1"/>
  <c r="G135" i="1"/>
  <c r="I135" i="1"/>
  <c r="E135" i="1"/>
  <c r="C136" i="27"/>
  <c r="L135" i="27"/>
  <c r="H135" i="27"/>
  <c r="F135" i="27"/>
  <c r="E135" i="27"/>
  <c r="D135" i="27"/>
  <c r="J135" i="27"/>
  <c r="I135" i="27"/>
  <c r="G135" i="27"/>
  <c r="N135" i="27"/>
  <c r="M135" i="27"/>
  <c r="K135" i="27"/>
  <c r="H135" i="26"/>
  <c r="G135" i="26"/>
  <c r="F135" i="26"/>
  <c r="E135" i="26"/>
  <c r="C136" i="26"/>
  <c r="N135" i="26"/>
  <c r="M135" i="26"/>
  <c r="L135" i="26"/>
  <c r="K135" i="26"/>
  <c r="J135" i="26"/>
  <c r="I135" i="26"/>
  <c r="D135" i="26"/>
  <c r="H134" i="25"/>
  <c r="M134" i="25"/>
  <c r="L134" i="25"/>
  <c r="E134" i="25"/>
  <c r="D134" i="25"/>
  <c r="C135" i="25"/>
  <c r="N134" i="25"/>
  <c r="K134" i="25"/>
  <c r="J134" i="25"/>
  <c r="I134" i="25"/>
  <c r="G134" i="25"/>
  <c r="F134" i="25"/>
  <c r="H131" i="20"/>
  <c r="N131" i="20"/>
  <c r="F131" i="20"/>
  <c r="K131" i="20"/>
  <c r="M131" i="20"/>
  <c r="L131" i="20"/>
  <c r="J131" i="20"/>
  <c r="I131" i="20"/>
  <c r="G131" i="20"/>
  <c r="D131" i="20"/>
  <c r="E131" i="20"/>
  <c r="C132" i="20"/>
  <c r="L132" i="19"/>
  <c r="D132" i="19"/>
  <c r="K132" i="19"/>
  <c r="J132" i="19"/>
  <c r="I132" i="19"/>
  <c r="H132" i="19"/>
  <c r="N132" i="19"/>
  <c r="F132" i="19"/>
  <c r="C133" i="19"/>
  <c r="G132" i="19"/>
  <c r="M132" i="19"/>
  <c r="E132" i="19"/>
  <c r="K131" i="18"/>
  <c r="H131" i="18"/>
  <c r="C132" i="18"/>
  <c r="G131" i="18"/>
  <c r="N131" i="18"/>
  <c r="F131" i="18"/>
  <c r="M131" i="18"/>
  <c r="E131" i="18"/>
  <c r="L131" i="18"/>
  <c r="I131" i="18"/>
  <c r="J131" i="18"/>
  <c r="D131" i="18"/>
  <c r="E136" i="1" l="1"/>
  <c r="AI9" i="1" s="1"/>
  <c r="S45" i="8" s="1"/>
  <c r="F136" i="1"/>
  <c r="AJ9" i="1" s="1"/>
  <c r="S46" i="8" s="1"/>
  <c r="J136" i="1"/>
  <c r="AN9" i="1" s="1"/>
  <c r="S50" i="8" s="1"/>
  <c r="G136" i="1"/>
  <c r="AK9" i="1" s="1"/>
  <c r="S47" i="8" s="1"/>
  <c r="I136" i="1"/>
  <c r="AM9" i="1" s="1"/>
  <c r="S49" i="8" s="1"/>
  <c r="K136" i="1"/>
  <c r="AO9" i="1" s="1"/>
  <c r="S51" i="8" s="1"/>
  <c r="N136" i="1"/>
  <c r="AR9" i="1" s="1"/>
  <c r="S54" i="8" s="1"/>
  <c r="C140" i="1"/>
  <c r="D136" i="1"/>
  <c r="AH9" i="1" s="1"/>
  <c r="M136" i="1"/>
  <c r="AQ9" i="1" s="1"/>
  <c r="S53" i="8" s="1"/>
  <c r="L136" i="1"/>
  <c r="AP9" i="1" s="1"/>
  <c r="S52" i="8" s="1"/>
  <c r="H136" i="1"/>
  <c r="AL9" i="1" s="1"/>
  <c r="S48" i="8" s="1"/>
  <c r="F136" i="27"/>
  <c r="AJ9" i="27" s="1"/>
  <c r="S46" i="24" s="1"/>
  <c r="H136" i="27"/>
  <c r="AL9" i="27" s="1"/>
  <c r="S48" i="24" s="1"/>
  <c r="D136" i="27"/>
  <c r="AH9" i="27" s="1"/>
  <c r="C140" i="27"/>
  <c r="M136" i="27"/>
  <c r="AQ9" i="27" s="1"/>
  <c r="S53" i="24" s="1"/>
  <c r="L136" i="27"/>
  <c r="AP9" i="27" s="1"/>
  <c r="S52" i="24" s="1"/>
  <c r="N136" i="27"/>
  <c r="AR9" i="27" s="1"/>
  <c r="S54" i="24" s="1"/>
  <c r="K136" i="27"/>
  <c r="AO9" i="27" s="1"/>
  <c r="S51" i="24" s="1"/>
  <c r="J136" i="27"/>
  <c r="AN9" i="27" s="1"/>
  <c r="S50" i="24" s="1"/>
  <c r="I136" i="27"/>
  <c r="AM9" i="27" s="1"/>
  <c r="S49" i="24" s="1"/>
  <c r="G136" i="27"/>
  <c r="AK9" i="27" s="1"/>
  <c r="S47" i="24" s="1"/>
  <c r="E136" i="27"/>
  <c r="AI9" i="27" s="1"/>
  <c r="S45" i="24" s="1"/>
  <c r="F136" i="26"/>
  <c r="AJ9" i="26" s="1"/>
  <c r="S46" i="23" s="1"/>
  <c r="M136" i="26"/>
  <c r="AQ9" i="26" s="1"/>
  <c r="S53" i="23" s="1"/>
  <c r="L136" i="26"/>
  <c r="AP9" i="26" s="1"/>
  <c r="S52" i="23" s="1"/>
  <c r="C140" i="26"/>
  <c r="N136" i="26"/>
  <c r="AR9" i="26" s="1"/>
  <c r="S54" i="23" s="1"/>
  <c r="I136" i="26"/>
  <c r="AM9" i="26" s="1"/>
  <c r="S49" i="23" s="1"/>
  <c r="H136" i="26"/>
  <c r="AL9" i="26" s="1"/>
  <c r="S48" i="23" s="1"/>
  <c r="G136" i="26"/>
  <c r="AK9" i="26" s="1"/>
  <c r="S47" i="23" s="1"/>
  <c r="E136" i="26"/>
  <c r="AI9" i="26" s="1"/>
  <c r="S45" i="23" s="1"/>
  <c r="D136" i="26"/>
  <c r="AH9" i="26" s="1"/>
  <c r="K136" i="26"/>
  <c r="AO9" i="26" s="1"/>
  <c r="S51" i="23" s="1"/>
  <c r="J136" i="26"/>
  <c r="AN9" i="26" s="1"/>
  <c r="S50" i="23" s="1"/>
  <c r="L135" i="25"/>
  <c r="M135" i="25"/>
  <c r="K135" i="25"/>
  <c r="J135" i="25"/>
  <c r="I135" i="25"/>
  <c r="H135" i="25"/>
  <c r="G135" i="25"/>
  <c r="C136" i="25"/>
  <c r="N135" i="25"/>
  <c r="F135" i="25"/>
  <c r="E135" i="25"/>
  <c r="D135" i="25"/>
  <c r="L132" i="20"/>
  <c r="D132" i="20"/>
  <c r="J132" i="20"/>
  <c r="C133" i="20"/>
  <c r="G132" i="20"/>
  <c r="N132" i="20"/>
  <c r="M132" i="20"/>
  <c r="K132" i="20"/>
  <c r="I132" i="20"/>
  <c r="H132" i="20"/>
  <c r="E132" i="20"/>
  <c r="F132" i="20"/>
  <c r="H133" i="19"/>
  <c r="C134" i="19"/>
  <c r="G133" i="19"/>
  <c r="N133" i="19"/>
  <c r="F133" i="19"/>
  <c r="M133" i="19"/>
  <c r="E133" i="19"/>
  <c r="L133" i="19"/>
  <c r="D133" i="19"/>
  <c r="J133" i="19"/>
  <c r="K133" i="19"/>
  <c r="I133" i="19"/>
  <c r="C133" i="18"/>
  <c r="G132" i="18"/>
  <c r="L132" i="18"/>
  <c r="D132" i="18"/>
  <c r="K132" i="18"/>
  <c r="J132" i="18"/>
  <c r="I132" i="18"/>
  <c r="M132" i="18"/>
  <c r="H132" i="18"/>
  <c r="F132" i="18"/>
  <c r="E132" i="18"/>
  <c r="N132" i="18"/>
  <c r="H140" i="1" l="1"/>
  <c r="L140" i="1"/>
  <c r="N140" i="1"/>
  <c r="G140" i="1"/>
  <c r="M140" i="1"/>
  <c r="D140" i="1"/>
  <c r="K140" i="1"/>
  <c r="E140" i="1"/>
  <c r="C141" i="1"/>
  <c r="J140" i="1"/>
  <c r="F140" i="1"/>
  <c r="I140" i="1"/>
  <c r="S55" i="8"/>
  <c r="S57" i="8" s="1"/>
  <c r="S55" i="24"/>
  <c r="S57" i="24" s="1"/>
  <c r="S55" i="23"/>
  <c r="S57" i="23" s="1"/>
  <c r="J140" i="27"/>
  <c r="M140" i="27"/>
  <c r="I140" i="27"/>
  <c r="L140" i="27"/>
  <c r="G140" i="27"/>
  <c r="E140" i="27"/>
  <c r="D140" i="27"/>
  <c r="N140" i="27"/>
  <c r="F140" i="27"/>
  <c r="K140" i="27"/>
  <c r="H140" i="27"/>
  <c r="C141" i="27"/>
  <c r="J140" i="26"/>
  <c r="C141" i="26"/>
  <c r="N140" i="26"/>
  <c r="M140" i="26"/>
  <c r="L140" i="26"/>
  <c r="K140" i="26"/>
  <c r="D140" i="26"/>
  <c r="I140" i="26"/>
  <c r="H140" i="26"/>
  <c r="G140" i="26"/>
  <c r="F140" i="26"/>
  <c r="E140" i="26"/>
  <c r="H136" i="25"/>
  <c r="AL9" i="25" s="1"/>
  <c r="F136" i="25"/>
  <c r="AJ9" i="25" s="1"/>
  <c r="E136" i="25"/>
  <c r="AI9" i="25" s="1"/>
  <c r="C140" i="25"/>
  <c r="J136" i="25"/>
  <c r="AN9" i="25" s="1"/>
  <c r="I136" i="25"/>
  <c r="AM9" i="25" s="1"/>
  <c r="G136" i="25"/>
  <c r="AK9" i="25" s="1"/>
  <c r="D136" i="25"/>
  <c r="AH9" i="25" s="1"/>
  <c r="AH6" i="7" s="1"/>
  <c r="N136" i="25"/>
  <c r="AR9" i="25" s="1"/>
  <c r="M136" i="25"/>
  <c r="AQ9" i="25" s="1"/>
  <c r="L136" i="25"/>
  <c r="AP9" i="25" s="1"/>
  <c r="K136" i="25"/>
  <c r="AO9" i="25" s="1"/>
  <c r="H133" i="20"/>
  <c r="N133" i="20"/>
  <c r="F133" i="20"/>
  <c r="K133" i="20"/>
  <c r="C134" i="20"/>
  <c r="M133" i="20"/>
  <c r="L133" i="20"/>
  <c r="J133" i="20"/>
  <c r="I133" i="20"/>
  <c r="E133" i="20"/>
  <c r="G133" i="20"/>
  <c r="D133" i="20"/>
  <c r="L134" i="19"/>
  <c r="D134" i="19"/>
  <c r="K134" i="19"/>
  <c r="J134" i="19"/>
  <c r="I134" i="19"/>
  <c r="H134" i="19"/>
  <c r="N134" i="19"/>
  <c r="F134" i="19"/>
  <c r="G134" i="19"/>
  <c r="E134" i="19"/>
  <c r="C135" i="19"/>
  <c r="M134" i="19"/>
  <c r="K133" i="18"/>
  <c r="H133" i="18"/>
  <c r="C134" i="18"/>
  <c r="G133" i="18"/>
  <c r="N133" i="18"/>
  <c r="F133" i="18"/>
  <c r="M133" i="18"/>
  <c r="E133" i="18"/>
  <c r="L133" i="18"/>
  <c r="J133" i="18"/>
  <c r="D133" i="18"/>
  <c r="I133" i="18"/>
  <c r="S54" i="22" l="1"/>
  <c r="AR6" i="7"/>
  <c r="S47" i="22"/>
  <c r="AK6" i="7"/>
  <c r="S49" i="22"/>
  <c r="AM6" i="7"/>
  <c r="S50" i="22"/>
  <c r="AN6" i="7"/>
  <c r="S46" i="22"/>
  <c r="AJ6" i="7"/>
  <c r="S48" i="22"/>
  <c r="AL6" i="7"/>
  <c r="S45" i="22"/>
  <c r="AI6" i="7"/>
  <c r="S51" i="22"/>
  <c r="AO6" i="7"/>
  <c r="S52" i="22"/>
  <c r="AP6" i="7"/>
  <c r="S53" i="22"/>
  <c r="AQ6" i="7"/>
  <c r="K141" i="1"/>
  <c r="N141" i="1"/>
  <c r="M141" i="1"/>
  <c r="L141" i="1"/>
  <c r="D141" i="1"/>
  <c r="J141" i="1"/>
  <c r="H141" i="1"/>
  <c r="E141" i="1"/>
  <c r="I141" i="1"/>
  <c r="C142" i="1"/>
  <c r="G141" i="1"/>
  <c r="F141" i="1"/>
  <c r="N141" i="27"/>
  <c r="C142" i="27"/>
  <c r="M141" i="27"/>
  <c r="K141" i="27"/>
  <c r="J141" i="27"/>
  <c r="I141" i="27"/>
  <c r="H141" i="27"/>
  <c r="G141" i="27"/>
  <c r="F141" i="27"/>
  <c r="E141" i="27"/>
  <c r="D141" i="27"/>
  <c r="L141" i="27"/>
  <c r="N141" i="26"/>
  <c r="F141" i="26"/>
  <c r="E141" i="26"/>
  <c r="J141" i="26"/>
  <c r="I141" i="26"/>
  <c r="H141" i="26"/>
  <c r="G141" i="26"/>
  <c r="D141" i="26"/>
  <c r="M141" i="26"/>
  <c r="L141" i="26"/>
  <c r="K141" i="26"/>
  <c r="C142" i="26"/>
  <c r="L140" i="25"/>
  <c r="E140" i="25"/>
  <c r="M140" i="25"/>
  <c r="K140" i="25"/>
  <c r="I140" i="25"/>
  <c r="H140" i="25"/>
  <c r="G140" i="25"/>
  <c r="F140" i="25"/>
  <c r="D140" i="25"/>
  <c r="C141" i="25"/>
  <c r="N140" i="25"/>
  <c r="J140" i="25"/>
  <c r="L134" i="20"/>
  <c r="D134" i="20"/>
  <c r="J134" i="20"/>
  <c r="C135" i="20"/>
  <c r="G134" i="20"/>
  <c r="N134" i="20"/>
  <c r="M134" i="20"/>
  <c r="K134" i="20"/>
  <c r="I134" i="20"/>
  <c r="F134" i="20"/>
  <c r="H134" i="20"/>
  <c r="E134" i="20"/>
  <c r="H135" i="19"/>
  <c r="C136" i="19"/>
  <c r="G135" i="19"/>
  <c r="N135" i="19"/>
  <c r="F135" i="19"/>
  <c r="M135" i="19"/>
  <c r="E135" i="19"/>
  <c r="L135" i="19"/>
  <c r="D135" i="19"/>
  <c r="J135" i="19"/>
  <c r="K135" i="19"/>
  <c r="I135" i="19"/>
  <c r="C135" i="18"/>
  <c r="G134" i="18"/>
  <c r="L134" i="18"/>
  <c r="D134" i="18"/>
  <c r="K134" i="18"/>
  <c r="J134" i="18"/>
  <c r="I134" i="18"/>
  <c r="H134" i="18"/>
  <c r="F134" i="18"/>
  <c r="E134" i="18"/>
  <c r="N134" i="18"/>
  <c r="M134" i="18"/>
  <c r="S55" i="22" l="1"/>
  <c r="S57" i="22" s="1"/>
  <c r="G142" i="1"/>
  <c r="F142" i="1"/>
  <c r="E142" i="1"/>
  <c r="D142" i="1"/>
  <c r="K142" i="1"/>
  <c r="H142" i="1"/>
  <c r="C143" i="1"/>
  <c r="L142" i="1"/>
  <c r="I142" i="1"/>
  <c r="M142" i="1"/>
  <c r="J142" i="1"/>
  <c r="N142" i="1"/>
  <c r="F142" i="27"/>
  <c r="H142" i="27"/>
  <c r="D142" i="27"/>
  <c r="E142" i="27"/>
  <c r="G142" i="27"/>
  <c r="M142" i="27"/>
  <c r="C143" i="27"/>
  <c r="N142" i="27"/>
  <c r="J142" i="27"/>
  <c r="I142" i="27"/>
  <c r="L142" i="27"/>
  <c r="K142" i="27"/>
  <c r="K142" i="26"/>
  <c r="J142" i="26"/>
  <c r="C143" i="26"/>
  <c r="N142" i="26"/>
  <c r="M142" i="26"/>
  <c r="L142" i="26"/>
  <c r="I142" i="26"/>
  <c r="H142" i="26"/>
  <c r="G142" i="26"/>
  <c r="D142" i="26"/>
  <c r="F142" i="26"/>
  <c r="E142" i="26"/>
  <c r="J141" i="25"/>
  <c r="C142" i="25"/>
  <c r="N141" i="25"/>
  <c r="M141" i="25"/>
  <c r="L141" i="25"/>
  <c r="K141" i="25"/>
  <c r="I141" i="25"/>
  <c r="H141" i="25"/>
  <c r="G141" i="25"/>
  <c r="F141" i="25"/>
  <c r="E141" i="25"/>
  <c r="D141" i="25"/>
  <c r="H135" i="20"/>
  <c r="N135" i="20"/>
  <c r="F135" i="20"/>
  <c r="K135" i="20"/>
  <c r="D135" i="20"/>
  <c r="C136" i="20"/>
  <c r="M135" i="20"/>
  <c r="L135" i="20"/>
  <c r="J135" i="20"/>
  <c r="G135" i="20"/>
  <c r="I135" i="20"/>
  <c r="E135" i="20"/>
  <c r="L136" i="19"/>
  <c r="AP9" i="19" s="1"/>
  <c r="S52" i="12" s="1"/>
  <c r="D136" i="19"/>
  <c r="AH9" i="19" s="1"/>
  <c r="K136" i="19"/>
  <c r="AO9" i="19" s="1"/>
  <c r="S51" i="12" s="1"/>
  <c r="J136" i="19"/>
  <c r="AN9" i="19" s="1"/>
  <c r="S50" i="12" s="1"/>
  <c r="I136" i="19"/>
  <c r="AM9" i="19" s="1"/>
  <c r="S49" i="12" s="1"/>
  <c r="H136" i="19"/>
  <c r="AL9" i="19" s="1"/>
  <c r="S48" i="12" s="1"/>
  <c r="N136" i="19"/>
  <c r="AR9" i="19" s="1"/>
  <c r="S54" i="12" s="1"/>
  <c r="F136" i="19"/>
  <c r="AJ9" i="19" s="1"/>
  <c r="S46" i="12" s="1"/>
  <c r="C140" i="19"/>
  <c r="M136" i="19"/>
  <c r="AQ9" i="19" s="1"/>
  <c r="S53" i="12" s="1"/>
  <c r="G136" i="19"/>
  <c r="AK9" i="19" s="1"/>
  <c r="S47" i="12" s="1"/>
  <c r="E136" i="19"/>
  <c r="AI9" i="19" s="1"/>
  <c r="K135" i="18"/>
  <c r="H135" i="18"/>
  <c r="C136" i="18"/>
  <c r="G135" i="18"/>
  <c r="N135" i="18"/>
  <c r="F135" i="18"/>
  <c r="M135" i="18"/>
  <c r="E135" i="18"/>
  <c r="L135" i="18"/>
  <c r="J135" i="18"/>
  <c r="I135" i="18"/>
  <c r="D135" i="18"/>
  <c r="J143" i="1" l="1"/>
  <c r="H143" i="1"/>
  <c r="N143" i="1"/>
  <c r="I143" i="1"/>
  <c r="C144" i="1"/>
  <c r="E143" i="1"/>
  <c r="F143" i="1"/>
  <c r="D143" i="1"/>
  <c r="K143" i="1"/>
  <c r="M143" i="1"/>
  <c r="L143" i="1"/>
  <c r="G143" i="1"/>
  <c r="F143" i="27"/>
  <c r="K143" i="27"/>
  <c r="H143" i="27"/>
  <c r="C144" i="27"/>
  <c r="L143" i="27"/>
  <c r="M143" i="27"/>
  <c r="J143" i="27"/>
  <c r="D143" i="27"/>
  <c r="N143" i="27"/>
  <c r="I143" i="27"/>
  <c r="G143" i="27"/>
  <c r="E143" i="27"/>
  <c r="F143" i="26"/>
  <c r="C144" i="26"/>
  <c r="E143" i="26"/>
  <c r="D143" i="26"/>
  <c r="H143" i="26"/>
  <c r="G143" i="26"/>
  <c r="N143" i="26"/>
  <c r="M143" i="26"/>
  <c r="L143" i="26"/>
  <c r="K143" i="26"/>
  <c r="J143" i="26"/>
  <c r="I143" i="26"/>
  <c r="D142" i="25"/>
  <c r="C143" i="25"/>
  <c r="G142" i="25"/>
  <c r="F142" i="25"/>
  <c r="H142" i="25"/>
  <c r="E142" i="25"/>
  <c r="J142" i="25"/>
  <c r="I142" i="25"/>
  <c r="N142" i="25"/>
  <c r="M142" i="25"/>
  <c r="L142" i="25"/>
  <c r="K142" i="25"/>
  <c r="S45" i="12"/>
  <c r="S55" i="12" s="1"/>
  <c r="S57" i="12" s="1"/>
  <c r="L136" i="20"/>
  <c r="AP9" i="20" s="1"/>
  <c r="D136" i="20"/>
  <c r="AH9" i="20" s="1"/>
  <c r="J136" i="20"/>
  <c r="AN9" i="20" s="1"/>
  <c r="C140" i="20"/>
  <c r="G136" i="20"/>
  <c r="AK9" i="20" s="1"/>
  <c r="E136" i="20"/>
  <c r="AI9" i="20" s="1"/>
  <c r="N136" i="20"/>
  <c r="AR9" i="20" s="1"/>
  <c r="M136" i="20"/>
  <c r="AQ9" i="20" s="1"/>
  <c r="K136" i="20"/>
  <c r="AO9" i="20" s="1"/>
  <c r="H136" i="20"/>
  <c r="AL9" i="20" s="1"/>
  <c r="I136" i="20"/>
  <c r="AM9" i="20" s="1"/>
  <c r="F136" i="20"/>
  <c r="AJ9" i="20" s="1"/>
  <c r="H140" i="19"/>
  <c r="C141" i="19"/>
  <c r="G140" i="19"/>
  <c r="N140" i="19"/>
  <c r="F140" i="19"/>
  <c r="M140" i="19"/>
  <c r="E140" i="19"/>
  <c r="L140" i="19"/>
  <c r="D140" i="19"/>
  <c r="J140" i="19"/>
  <c r="K140" i="19"/>
  <c r="I140" i="19"/>
  <c r="C140" i="18"/>
  <c r="G136" i="18"/>
  <c r="AK9" i="18" s="1"/>
  <c r="L136" i="18"/>
  <c r="AP9" i="18" s="1"/>
  <c r="D136" i="18"/>
  <c r="AH9" i="18" s="1"/>
  <c r="K136" i="18"/>
  <c r="AO9" i="18" s="1"/>
  <c r="J136" i="18"/>
  <c r="AN9" i="18" s="1"/>
  <c r="I136" i="18"/>
  <c r="AM9" i="18" s="1"/>
  <c r="F136" i="18"/>
  <c r="AJ9" i="18" s="1"/>
  <c r="E136" i="18"/>
  <c r="AI9" i="18" s="1"/>
  <c r="M136" i="18"/>
  <c r="AQ9" i="18" s="1"/>
  <c r="N136" i="18"/>
  <c r="AR9" i="18" s="1"/>
  <c r="H136" i="18"/>
  <c r="AL9" i="18" s="1"/>
  <c r="G144" i="1" l="1"/>
  <c r="L144" i="1"/>
  <c r="K144" i="1"/>
  <c r="H144" i="1"/>
  <c r="F144" i="1"/>
  <c r="J144" i="1"/>
  <c r="N144" i="1"/>
  <c r="E144" i="1"/>
  <c r="D144" i="1"/>
  <c r="I144" i="1"/>
  <c r="M144" i="1"/>
  <c r="C145" i="1"/>
  <c r="J144" i="27"/>
  <c r="M144" i="27"/>
  <c r="D144" i="27"/>
  <c r="F144" i="27"/>
  <c r="E144" i="27"/>
  <c r="C145" i="27"/>
  <c r="N144" i="27"/>
  <c r="L144" i="27"/>
  <c r="K144" i="27"/>
  <c r="I144" i="27"/>
  <c r="H144" i="27"/>
  <c r="G144" i="27"/>
  <c r="J144" i="26"/>
  <c r="D144" i="26"/>
  <c r="M144" i="26"/>
  <c r="L144" i="26"/>
  <c r="C145" i="26"/>
  <c r="G144" i="26"/>
  <c r="F144" i="26"/>
  <c r="E144" i="26"/>
  <c r="N144" i="26"/>
  <c r="K144" i="26"/>
  <c r="I144" i="26"/>
  <c r="H144" i="26"/>
  <c r="H143" i="25"/>
  <c r="M143" i="25"/>
  <c r="L143" i="25"/>
  <c r="C144" i="25"/>
  <c r="N143" i="25"/>
  <c r="K143" i="25"/>
  <c r="J143" i="25"/>
  <c r="I143" i="25"/>
  <c r="G143" i="25"/>
  <c r="F143" i="25"/>
  <c r="E143" i="25"/>
  <c r="D143" i="25"/>
  <c r="H140" i="20"/>
  <c r="C141" i="20"/>
  <c r="G140" i="20"/>
  <c r="N140" i="20"/>
  <c r="F140" i="20"/>
  <c r="K140" i="20"/>
  <c r="E140" i="20"/>
  <c r="D140" i="20"/>
  <c r="M140" i="20"/>
  <c r="J140" i="20"/>
  <c r="L140" i="20"/>
  <c r="I140" i="20"/>
  <c r="L141" i="19"/>
  <c r="D141" i="19"/>
  <c r="K141" i="19"/>
  <c r="J141" i="19"/>
  <c r="I141" i="19"/>
  <c r="H141" i="19"/>
  <c r="N141" i="19"/>
  <c r="F141" i="19"/>
  <c r="C142" i="19"/>
  <c r="M141" i="19"/>
  <c r="G141" i="19"/>
  <c r="E141" i="19"/>
  <c r="K140" i="18"/>
  <c r="H140" i="18"/>
  <c r="C141" i="18"/>
  <c r="G140" i="18"/>
  <c r="N140" i="18"/>
  <c r="F140" i="18"/>
  <c r="M140" i="18"/>
  <c r="E140" i="18"/>
  <c r="L140" i="18"/>
  <c r="J140" i="18"/>
  <c r="I140" i="18"/>
  <c r="D140" i="18"/>
  <c r="N145" i="1" l="1"/>
  <c r="M145" i="1"/>
  <c r="L145" i="1"/>
  <c r="J145" i="1"/>
  <c r="F145" i="1"/>
  <c r="E145" i="1"/>
  <c r="G145" i="1"/>
  <c r="K145" i="1"/>
  <c r="H145" i="1"/>
  <c r="D145" i="1"/>
  <c r="C146" i="1"/>
  <c r="I145" i="1"/>
  <c r="N145" i="27"/>
  <c r="D145" i="27"/>
  <c r="J145" i="27"/>
  <c r="G145" i="27"/>
  <c r="M145" i="27"/>
  <c r="L145" i="27"/>
  <c r="K145" i="27"/>
  <c r="C146" i="27"/>
  <c r="F145" i="27"/>
  <c r="I145" i="27"/>
  <c r="H145" i="27"/>
  <c r="E145" i="27"/>
  <c r="H145" i="26"/>
  <c r="C146" i="26"/>
  <c r="J145" i="26"/>
  <c r="I145" i="26"/>
  <c r="E145" i="26"/>
  <c r="D145" i="26"/>
  <c r="N145" i="26"/>
  <c r="M145" i="26"/>
  <c r="L145" i="26"/>
  <c r="K145" i="26"/>
  <c r="G145" i="26"/>
  <c r="F145" i="26"/>
  <c r="L144" i="25"/>
  <c r="H144" i="25"/>
  <c r="D144" i="25"/>
  <c r="N144" i="25"/>
  <c r="M144" i="25"/>
  <c r="K144" i="25"/>
  <c r="J144" i="25"/>
  <c r="I144" i="25"/>
  <c r="G144" i="25"/>
  <c r="F144" i="25"/>
  <c r="E144" i="25"/>
  <c r="C145" i="25"/>
  <c r="M141" i="20"/>
  <c r="E141" i="20"/>
  <c r="L141" i="20"/>
  <c r="D141" i="20"/>
  <c r="K141" i="20"/>
  <c r="J141" i="20"/>
  <c r="C142" i="20"/>
  <c r="G141" i="20"/>
  <c r="N141" i="20"/>
  <c r="I141" i="20"/>
  <c r="H141" i="20"/>
  <c r="F141" i="20"/>
  <c r="H142" i="19"/>
  <c r="C143" i="19"/>
  <c r="G142" i="19"/>
  <c r="N142" i="19"/>
  <c r="F142" i="19"/>
  <c r="M142" i="19"/>
  <c r="E142" i="19"/>
  <c r="L142" i="19"/>
  <c r="D142" i="19"/>
  <c r="J142" i="19"/>
  <c r="K142" i="19"/>
  <c r="I142" i="19"/>
  <c r="C142" i="18"/>
  <c r="G141" i="18"/>
  <c r="L141" i="18"/>
  <c r="D141" i="18"/>
  <c r="K141" i="18"/>
  <c r="J141" i="18"/>
  <c r="I141" i="18"/>
  <c r="E141" i="18"/>
  <c r="N141" i="18"/>
  <c r="H141" i="18"/>
  <c r="M141" i="18"/>
  <c r="F141" i="18"/>
  <c r="L146" i="1" l="1"/>
  <c r="K146" i="1"/>
  <c r="N146" i="1"/>
  <c r="J146" i="1"/>
  <c r="I146" i="1"/>
  <c r="F146" i="1"/>
  <c r="D146" i="1"/>
  <c r="M146" i="1"/>
  <c r="E146" i="1"/>
  <c r="H146" i="1"/>
  <c r="C147" i="1"/>
  <c r="G146" i="1"/>
  <c r="I146" i="27"/>
  <c r="F146" i="27"/>
  <c r="N146" i="27"/>
  <c r="E146" i="27"/>
  <c r="D146" i="27"/>
  <c r="C147" i="27"/>
  <c r="M146" i="27"/>
  <c r="L146" i="27"/>
  <c r="K146" i="27"/>
  <c r="J146" i="27"/>
  <c r="H146" i="27"/>
  <c r="G146" i="27"/>
  <c r="L146" i="26"/>
  <c r="C147" i="26"/>
  <c r="I146" i="26"/>
  <c r="H146" i="26"/>
  <c r="N146" i="26"/>
  <c r="F146" i="26"/>
  <c r="E146" i="26"/>
  <c r="D146" i="26"/>
  <c r="M146" i="26"/>
  <c r="J146" i="26"/>
  <c r="G146" i="26"/>
  <c r="K146" i="26"/>
  <c r="M145" i="25"/>
  <c r="G145" i="25"/>
  <c r="F145" i="25"/>
  <c r="L145" i="25"/>
  <c r="K145" i="25"/>
  <c r="J145" i="25"/>
  <c r="I145" i="25"/>
  <c r="H145" i="25"/>
  <c r="E145" i="25"/>
  <c r="C146" i="25"/>
  <c r="N145" i="25"/>
  <c r="D145" i="25"/>
  <c r="I142" i="20"/>
  <c r="H142" i="20"/>
  <c r="C143" i="20"/>
  <c r="G142" i="20"/>
  <c r="N142" i="20"/>
  <c r="F142" i="20"/>
  <c r="K142" i="20"/>
  <c r="M142" i="20"/>
  <c r="L142" i="20"/>
  <c r="E142" i="20"/>
  <c r="J142" i="20"/>
  <c r="D142" i="20"/>
  <c r="L143" i="19"/>
  <c r="D143" i="19"/>
  <c r="K143" i="19"/>
  <c r="J143" i="19"/>
  <c r="I143" i="19"/>
  <c r="H143" i="19"/>
  <c r="N143" i="19"/>
  <c r="F143" i="19"/>
  <c r="C144" i="19"/>
  <c r="G143" i="19"/>
  <c r="M143" i="19"/>
  <c r="E143" i="19"/>
  <c r="K142" i="18"/>
  <c r="H142" i="18"/>
  <c r="C143" i="18"/>
  <c r="G142" i="18"/>
  <c r="N142" i="18"/>
  <c r="F142" i="18"/>
  <c r="M142" i="18"/>
  <c r="E142" i="18"/>
  <c r="L142" i="18"/>
  <c r="J142" i="18"/>
  <c r="I142" i="18"/>
  <c r="D142" i="18"/>
  <c r="K147" i="1" l="1"/>
  <c r="G147" i="1"/>
  <c r="J147" i="1"/>
  <c r="D147" i="1"/>
  <c r="I147" i="1"/>
  <c r="E147" i="1"/>
  <c r="M147" i="1"/>
  <c r="N147" i="1"/>
  <c r="C148" i="1"/>
  <c r="L147" i="1"/>
  <c r="H147" i="1"/>
  <c r="F147" i="1"/>
  <c r="F147" i="27"/>
  <c r="N147" i="27"/>
  <c r="K147" i="27"/>
  <c r="E147" i="27"/>
  <c r="L147" i="27"/>
  <c r="M147" i="27"/>
  <c r="J147" i="27"/>
  <c r="C148" i="27"/>
  <c r="I147" i="27"/>
  <c r="H147" i="27"/>
  <c r="D147" i="27"/>
  <c r="G147" i="27"/>
  <c r="H147" i="26"/>
  <c r="D147" i="26"/>
  <c r="F147" i="26"/>
  <c r="E147" i="26"/>
  <c r="C148" i="26"/>
  <c r="N147" i="26"/>
  <c r="M147" i="26"/>
  <c r="L147" i="26"/>
  <c r="K147" i="26"/>
  <c r="J147" i="26"/>
  <c r="I147" i="26"/>
  <c r="G147" i="26"/>
  <c r="D146" i="25"/>
  <c r="M146" i="25"/>
  <c r="L146" i="25"/>
  <c r="C147" i="25"/>
  <c r="N146" i="25"/>
  <c r="K146" i="25"/>
  <c r="J146" i="25"/>
  <c r="I146" i="25"/>
  <c r="H146" i="25"/>
  <c r="G146" i="25"/>
  <c r="F146" i="25"/>
  <c r="E146" i="25"/>
  <c r="M143" i="20"/>
  <c r="E143" i="20"/>
  <c r="L143" i="20"/>
  <c r="D143" i="20"/>
  <c r="K143" i="20"/>
  <c r="J143" i="20"/>
  <c r="C144" i="20"/>
  <c r="G143" i="20"/>
  <c r="I143" i="20"/>
  <c r="H143" i="20"/>
  <c r="F143" i="20"/>
  <c r="N143" i="20"/>
  <c r="H144" i="19"/>
  <c r="C145" i="19"/>
  <c r="G144" i="19"/>
  <c r="N144" i="19"/>
  <c r="F144" i="19"/>
  <c r="M144" i="19"/>
  <c r="E144" i="19"/>
  <c r="L144" i="19"/>
  <c r="D144" i="19"/>
  <c r="J144" i="19"/>
  <c r="K144" i="19"/>
  <c r="I144" i="19"/>
  <c r="C144" i="18"/>
  <c r="G143" i="18"/>
  <c r="L143" i="18"/>
  <c r="D143" i="18"/>
  <c r="K143" i="18"/>
  <c r="J143" i="18"/>
  <c r="I143" i="18"/>
  <c r="N143" i="18"/>
  <c r="M143" i="18"/>
  <c r="F143" i="18"/>
  <c r="H143" i="18"/>
  <c r="E143" i="18"/>
  <c r="M148" i="1" l="1"/>
  <c r="H148" i="1"/>
  <c r="N148" i="1"/>
  <c r="K148" i="1"/>
  <c r="J148" i="1"/>
  <c r="I148" i="1"/>
  <c r="G148" i="1"/>
  <c r="L148" i="1"/>
  <c r="E148" i="1"/>
  <c r="D148" i="1"/>
  <c r="F148" i="1"/>
  <c r="C149" i="1"/>
  <c r="J148" i="27"/>
  <c r="M148" i="27"/>
  <c r="I148" i="27"/>
  <c r="E148" i="27"/>
  <c r="D148" i="27"/>
  <c r="K148" i="27"/>
  <c r="F148" i="27"/>
  <c r="H148" i="27"/>
  <c r="G148" i="27"/>
  <c r="C149" i="27"/>
  <c r="N148" i="27"/>
  <c r="L148" i="27"/>
  <c r="D148" i="26"/>
  <c r="M148" i="26"/>
  <c r="J148" i="26"/>
  <c r="I148" i="26"/>
  <c r="F148" i="26"/>
  <c r="E148" i="26"/>
  <c r="C149" i="26"/>
  <c r="L148" i="26"/>
  <c r="K148" i="26"/>
  <c r="H148" i="26"/>
  <c r="G148" i="26"/>
  <c r="N148" i="26"/>
  <c r="H147" i="25"/>
  <c r="F147" i="25"/>
  <c r="J147" i="25"/>
  <c r="I147" i="25"/>
  <c r="G147" i="25"/>
  <c r="E147" i="25"/>
  <c r="D147" i="25"/>
  <c r="N147" i="25"/>
  <c r="M147" i="25"/>
  <c r="L147" i="25"/>
  <c r="K147" i="25"/>
  <c r="C148" i="25"/>
  <c r="I144" i="20"/>
  <c r="H144" i="20"/>
  <c r="C145" i="20"/>
  <c r="G144" i="20"/>
  <c r="N144" i="20"/>
  <c r="F144" i="20"/>
  <c r="K144" i="20"/>
  <c r="M144" i="20"/>
  <c r="L144" i="20"/>
  <c r="J144" i="20"/>
  <c r="D144" i="20"/>
  <c r="E144" i="20"/>
  <c r="L145" i="19"/>
  <c r="D145" i="19"/>
  <c r="K145" i="19"/>
  <c r="J145" i="19"/>
  <c r="I145" i="19"/>
  <c r="H145" i="19"/>
  <c r="N145" i="19"/>
  <c r="F145" i="19"/>
  <c r="G145" i="19"/>
  <c r="E145" i="19"/>
  <c r="C146" i="19"/>
  <c r="M145" i="19"/>
  <c r="K144" i="18"/>
  <c r="H144" i="18"/>
  <c r="C145" i="18"/>
  <c r="G144" i="18"/>
  <c r="N144" i="18"/>
  <c r="F144" i="18"/>
  <c r="M144" i="18"/>
  <c r="E144" i="18"/>
  <c r="J144" i="18"/>
  <c r="I144" i="18"/>
  <c r="D144" i="18"/>
  <c r="L144" i="18"/>
  <c r="H149" i="1" l="1"/>
  <c r="L149" i="1"/>
  <c r="G149" i="1"/>
  <c r="K149" i="1"/>
  <c r="N149" i="1"/>
  <c r="F149" i="1"/>
  <c r="C150" i="1"/>
  <c r="J149" i="1"/>
  <c r="M149" i="1"/>
  <c r="E149" i="1"/>
  <c r="D149" i="1"/>
  <c r="I149" i="1"/>
  <c r="N149" i="27"/>
  <c r="G149" i="27"/>
  <c r="D149" i="27"/>
  <c r="J149" i="27"/>
  <c r="C150" i="27"/>
  <c r="L149" i="27"/>
  <c r="K149" i="27"/>
  <c r="M149" i="27"/>
  <c r="I149" i="27"/>
  <c r="H149" i="27"/>
  <c r="F149" i="27"/>
  <c r="E149" i="27"/>
  <c r="H149" i="26"/>
  <c r="C150" i="26"/>
  <c r="N149" i="26"/>
  <c r="M149" i="26"/>
  <c r="E149" i="26"/>
  <c r="D149" i="26"/>
  <c r="G149" i="26"/>
  <c r="F149" i="26"/>
  <c r="L149" i="26"/>
  <c r="K149" i="26"/>
  <c r="J149" i="26"/>
  <c r="I149" i="26"/>
  <c r="L148" i="25"/>
  <c r="K148" i="25"/>
  <c r="G148" i="25"/>
  <c r="F148" i="25"/>
  <c r="C149" i="25"/>
  <c r="N148" i="25"/>
  <c r="M148" i="25"/>
  <c r="J148" i="25"/>
  <c r="I148" i="25"/>
  <c r="H148" i="25"/>
  <c r="E148" i="25"/>
  <c r="D148" i="25"/>
  <c r="M145" i="20"/>
  <c r="E145" i="20"/>
  <c r="L145" i="20"/>
  <c r="D145" i="20"/>
  <c r="K145" i="20"/>
  <c r="J145" i="20"/>
  <c r="C146" i="20"/>
  <c r="G145" i="20"/>
  <c r="H145" i="20"/>
  <c r="F145" i="20"/>
  <c r="N145" i="20"/>
  <c r="I145" i="20"/>
  <c r="M146" i="19"/>
  <c r="H146" i="19"/>
  <c r="G146" i="19"/>
  <c r="C147" i="19"/>
  <c r="F146" i="19"/>
  <c r="N146" i="19"/>
  <c r="E146" i="19"/>
  <c r="L146" i="19"/>
  <c r="D146" i="19"/>
  <c r="J146" i="19"/>
  <c r="K146" i="19"/>
  <c r="I146" i="19"/>
  <c r="C146" i="18"/>
  <c r="G145" i="18"/>
  <c r="L145" i="18"/>
  <c r="D145" i="18"/>
  <c r="K145" i="18"/>
  <c r="J145" i="18"/>
  <c r="I145" i="18"/>
  <c r="N145" i="18"/>
  <c r="M145" i="18"/>
  <c r="H145" i="18"/>
  <c r="E145" i="18"/>
  <c r="F145" i="18"/>
  <c r="M150" i="1" l="1"/>
  <c r="G150" i="1"/>
  <c r="D150" i="1"/>
  <c r="J150" i="1"/>
  <c r="N150" i="1"/>
  <c r="I150" i="1"/>
  <c r="C151" i="1"/>
  <c r="F150" i="1"/>
  <c r="E150" i="1"/>
  <c r="H150" i="1"/>
  <c r="L150" i="1"/>
  <c r="K150" i="1"/>
  <c r="L150" i="27"/>
  <c r="I150" i="27"/>
  <c r="H150" i="27"/>
  <c r="E150" i="27"/>
  <c r="D150" i="27"/>
  <c r="M150" i="27"/>
  <c r="C151" i="27"/>
  <c r="N150" i="27"/>
  <c r="K150" i="27"/>
  <c r="J150" i="27"/>
  <c r="G150" i="27"/>
  <c r="F150" i="27"/>
  <c r="L150" i="26"/>
  <c r="F150" i="26"/>
  <c r="D150" i="26"/>
  <c r="C151" i="26"/>
  <c r="N150" i="26"/>
  <c r="M150" i="26"/>
  <c r="K150" i="26"/>
  <c r="J150" i="26"/>
  <c r="I150" i="26"/>
  <c r="H150" i="26"/>
  <c r="G150" i="26"/>
  <c r="E150" i="26"/>
  <c r="M149" i="25"/>
  <c r="L149" i="25"/>
  <c r="F149" i="25"/>
  <c r="E149" i="25"/>
  <c r="D149" i="25"/>
  <c r="C150" i="25"/>
  <c r="N149" i="25"/>
  <c r="K149" i="25"/>
  <c r="J149" i="25"/>
  <c r="I149" i="25"/>
  <c r="H149" i="25"/>
  <c r="G149" i="25"/>
  <c r="I146" i="20"/>
  <c r="H146" i="20"/>
  <c r="C147" i="20"/>
  <c r="G146" i="20"/>
  <c r="N146" i="20"/>
  <c r="F146" i="20"/>
  <c r="K146" i="20"/>
  <c r="M146" i="20"/>
  <c r="L146" i="20"/>
  <c r="J146" i="20"/>
  <c r="E146" i="20"/>
  <c r="D146" i="20"/>
  <c r="M147" i="19"/>
  <c r="E147" i="19"/>
  <c r="I147" i="19"/>
  <c r="F147" i="19"/>
  <c r="C148" i="19"/>
  <c r="D147" i="19"/>
  <c r="N147" i="19"/>
  <c r="L147" i="19"/>
  <c r="K147" i="19"/>
  <c r="H147" i="19"/>
  <c r="J147" i="19"/>
  <c r="G147" i="19"/>
  <c r="K146" i="18"/>
  <c r="H146" i="18"/>
  <c r="C147" i="18"/>
  <c r="G146" i="18"/>
  <c r="N146" i="18"/>
  <c r="F146" i="18"/>
  <c r="M146" i="18"/>
  <c r="E146" i="18"/>
  <c r="I146" i="18"/>
  <c r="D146" i="18"/>
  <c r="L146" i="18"/>
  <c r="J146" i="18"/>
  <c r="F151" i="1" l="1"/>
  <c r="H151" i="1"/>
  <c r="E151" i="1"/>
  <c r="D151" i="1"/>
  <c r="G151" i="1"/>
  <c r="N151" i="1"/>
  <c r="J151" i="1"/>
  <c r="M151" i="1"/>
  <c r="C152" i="1"/>
  <c r="L151" i="1"/>
  <c r="I151" i="1"/>
  <c r="K151" i="1"/>
  <c r="F151" i="27"/>
  <c r="N151" i="27"/>
  <c r="L151" i="27"/>
  <c r="I151" i="27"/>
  <c r="H151" i="27"/>
  <c r="M151" i="27"/>
  <c r="K151" i="27"/>
  <c r="D151" i="27"/>
  <c r="C152" i="27"/>
  <c r="J151" i="27"/>
  <c r="G151" i="27"/>
  <c r="E151" i="27"/>
  <c r="K151" i="26"/>
  <c r="J151" i="26"/>
  <c r="I151" i="26"/>
  <c r="M151" i="26"/>
  <c r="L151" i="26"/>
  <c r="D151" i="26"/>
  <c r="F151" i="26"/>
  <c r="E151" i="26"/>
  <c r="H151" i="26"/>
  <c r="G151" i="26"/>
  <c r="C152" i="26"/>
  <c r="N151" i="26"/>
  <c r="D150" i="25"/>
  <c r="E150" i="25"/>
  <c r="N150" i="25"/>
  <c r="M150" i="25"/>
  <c r="L150" i="25"/>
  <c r="K150" i="25"/>
  <c r="J150" i="25"/>
  <c r="I150" i="25"/>
  <c r="H150" i="25"/>
  <c r="G150" i="25"/>
  <c r="F150" i="25"/>
  <c r="C151" i="25"/>
  <c r="M147" i="20"/>
  <c r="E147" i="20"/>
  <c r="L147" i="20"/>
  <c r="D147" i="20"/>
  <c r="K147" i="20"/>
  <c r="J147" i="20"/>
  <c r="C148" i="20"/>
  <c r="G147" i="20"/>
  <c r="F147" i="20"/>
  <c r="I147" i="20"/>
  <c r="N147" i="20"/>
  <c r="H147" i="20"/>
  <c r="I148" i="19"/>
  <c r="C149" i="19"/>
  <c r="G148" i="19"/>
  <c r="M148" i="19"/>
  <c r="E148" i="19"/>
  <c r="D148" i="19"/>
  <c r="N148" i="19"/>
  <c r="L148" i="19"/>
  <c r="K148" i="19"/>
  <c r="H148" i="19"/>
  <c r="J148" i="19"/>
  <c r="F148" i="19"/>
  <c r="C148" i="18"/>
  <c r="G147" i="18"/>
  <c r="L147" i="18"/>
  <c r="D147" i="18"/>
  <c r="K147" i="18"/>
  <c r="J147" i="18"/>
  <c r="I147" i="18"/>
  <c r="N147" i="18"/>
  <c r="M147" i="18"/>
  <c r="H147" i="18"/>
  <c r="F147" i="18"/>
  <c r="E147" i="18"/>
  <c r="G152" i="1" l="1"/>
  <c r="F152" i="1"/>
  <c r="H152" i="1"/>
  <c r="I152" i="1"/>
  <c r="M152" i="1"/>
  <c r="J152" i="1"/>
  <c r="L152" i="1"/>
  <c r="D152" i="1"/>
  <c r="E152" i="1"/>
  <c r="C153" i="1"/>
  <c r="N152" i="1"/>
  <c r="K152" i="1"/>
  <c r="J152" i="27"/>
  <c r="E152" i="27"/>
  <c r="D152" i="27"/>
  <c r="G152" i="27"/>
  <c r="F152" i="27"/>
  <c r="K152" i="27"/>
  <c r="I152" i="27"/>
  <c r="H152" i="27"/>
  <c r="C153" i="27"/>
  <c r="N152" i="27"/>
  <c r="M152" i="27"/>
  <c r="L152" i="27"/>
  <c r="D152" i="26"/>
  <c r="C153" i="26"/>
  <c r="N152" i="26"/>
  <c r="M152" i="26"/>
  <c r="L152" i="26"/>
  <c r="K152" i="26"/>
  <c r="J152" i="26"/>
  <c r="I152" i="26"/>
  <c r="H152" i="26"/>
  <c r="G152" i="26"/>
  <c r="F152" i="26"/>
  <c r="E152" i="26"/>
  <c r="H151" i="25"/>
  <c r="J151" i="25"/>
  <c r="G151" i="25"/>
  <c r="F151" i="25"/>
  <c r="C152" i="25"/>
  <c r="N151" i="25"/>
  <c r="M151" i="25"/>
  <c r="L151" i="25"/>
  <c r="K151" i="25"/>
  <c r="I151" i="25"/>
  <c r="E151" i="25"/>
  <c r="D151" i="25"/>
  <c r="I148" i="20"/>
  <c r="H148" i="20"/>
  <c r="C149" i="20"/>
  <c r="G148" i="20"/>
  <c r="N148" i="20"/>
  <c r="F148" i="20"/>
  <c r="K148" i="20"/>
  <c r="M148" i="20"/>
  <c r="L148" i="20"/>
  <c r="J148" i="20"/>
  <c r="E148" i="20"/>
  <c r="D148" i="20"/>
  <c r="M149" i="19"/>
  <c r="E149" i="19"/>
  <c r="K149" i="19"/>
  <c r="I149" i="19"/>
  <c r="F149" i="19"/>
  <c r="D149" i="19"/>
  <c r="C150" i="19"/>
  <c r="N149" i="19"/>
  <c r="L149" i="19"/>
  <c r="H149" i="19"/>
  <c r="J149" i="19"/>
  <c r="G149" i="19"/>
  <c r="K148" i="18"/>
  <c r="H148" i="18"/>
  <c r="C149" i="18"/>
  <c r="G148" i="18"/>
  <c r="N148" i="18"/>
  <c r="F148" i="18"/>
  <c r="M148" i="18"/>
  <c r="E148" i="18"/>
  <c r="D148" i="18"/>
  <c r="J148" i="18"/>
  <c r="L148" i="18"/>
  <c r="I148" i="18"/>
  <c r="F153" i="1" l="1"/>
  <c r="H153" i="1"/>
  <c r="E153" i="1"/>
  <c r="M153" i="1"/>
  <c r="K153" i="1"/>
  <c r="D153" i="1"/>
  <c r="L153" i="1"/>
  <c r="G153" i="1"/>
  <c r="J153" i="1"/>
  <c r="C154" i="1"/>
  <c r="N153" i="1"/>
  <c r="I153" i="1"/>
  <c r="N153" i="27"/>
  <c r="J153" i="27"/>
  <c r="G153" i="27"/>
  <c r="L153" i="27"/>
  <c r="H153" i="27"/>
  <c r="F153" i="27"/>
  <c r="E153" i="27"/>
  <c r="C154" i="27"/>
  <c r="I153" i="27"/>
  <c r="M153" i="27"/>
  <c r="K153" i="27"/>
  <c r="D153" i="27"/>
  <c r="H153" i="26"/>
  <c r="D153" i="26"/>
  <c r="E153" i="26"/>
  <c r="J153" i="26"/>
  <c r="I153" i="26"/>
  <c r="M153" i="26"/>
  <c r="L153" i="26"/>
  <c r="K153" i="26"/>
  <c r="G153" i="26"/>
  <c r="F153" i="26"/>
  <c r="C154" i="26"/>
  <c r="N153" i="26"/>
  <c r="L152" i="25"/>
  <c r="C153" i="25"/>
  <c r="N152" i="25"/>
  <c r="M152" i="25"/>
  <c r="J152" i="25"/>
  <c r="I152" i="25"/>
  <c r="H152" i="25"/>
  <c r="G152" i="25"/>
  <c r="F152" i="25"/>
  <c r="E152" i="25"/>
  <c r="K152" i="25"/>
  <c r="D152" i="25"/>
  <c r="M149" i="20"/>
  <c r="E149" i="20"/>
  <c r="L149" i="20"/>
  <c r="D149" i="20"/>
  <c r="K149" i="20"/>
  <c r="J149" i="20"/>
  <c r="C150" i="20"/>
  <c r="G149" i="20"/>
  <c r="N149" i="20"/>
  <c r="H149" i="20"/>
  <c r="I149" i="20"/>
  <c r="F149" i="20"/>
  <c r="I150" i="19"/>
  <c r="C151" i="19"/>
  <c r="G150" i="19"/>
  <c r="M150" i="19"/>
  <c r="E150" i="19"/>
  <c r="F150" i="19"/>
  <c r="D150" i="19"/>
  <c r="N150" i="19"/>
  <c r="L150" i="19"/>
  <c r="J150" i="19"/>
  <c r="K150" i="19"/>
  <c r="H150" i="19"/>
  <c r="C150" i="18"/>
  <c r="G149" i="18"/>
  <c r="L149" i="18"/>
  <c r="D149" i="18"/>
  <c r="K149" i="18"/>
  <c r="J149" i="18"/>
  <c r="I149" i="18"/>
  <c r="N149" i="18"/>
  <c r="M149" i="18"/>
  <c r="H149" i="18"/>
  <c r="F149" i="18"/>
  <c r="E149" i="18"/>
  <c r="D154" i="1" l="1"/>
  <c r="K154" i="1"/>
  <c r="H154" i="1"/>
  <c r="G154" i="1"/>
  <c r="J154" i="1"/>
  <c r="I154" i="1"/>
  <c r="L154" i="1"/>
  <c r="C155" i="1"/>
  <c r="E154" i="1"/>
  <c r="M154" i="1"/>
  <c r="N154" i="1"/>
  <c r="F154" i="1"/>
  <c r="C155" i="27"/>
  <c r="L154" i="27"/>
  <c r="G154" i="27"/>
  <c r="F154" i="27"/>
  <c r="D154" i="27"/>
  <c r="E154" i="27"/>
  <c r="N154" i="27"/>
  <c r="M154" i="27"/>
  <c r="K154" i="27"/>
  <c r="J154" i="27"/>
  <c r="I154" i="27"/>
  <c r="H154" i="27"/>
  <c r="L154" i="26"/>
  <c r="I154" i="26"/>
  <c r="K154" i="26"/>
  <c r="J154" i="26"/>
  <c r="C155" i="26"/>
  <c r="N154" i="26"/>
  <c r="D154" i="26"/>
  <c r="M154" i="26"/>
  <c r="H154" i="26"/>
  <c r="G154" i="26"/>
  <c r="F154" i="26"/>
  <c r="E154" i="26"/>
  <c r="C154" i="25"/>
  <c r="N153" i="25"/>
  <c r="M153" i="25"/>
  <c r="H153" i="25"/>
  <c r="G153" i="25"/>
  <c r="F153" i="25"/>
  <c r="E153" i="25"/>
  <c r="D153" i="25"/>
  <c r="L153" i="25"/>
  <c r="K153" i="25"/>
  <c r="J153" i="25"/>
  <c r="I153" i="25"/>
  <c r="I150" i="20"/>
  <c r="H150" i="20"/>
  <c r="C151" i="20"/>
  <c r="G150" i="20"/>
  <c r="N150" i="20"/>
  <c r="F150" i="20"/>
  <c r="K150" i="20"/>
  <c r="L150" i="20"/>
  <c r="J150" i="20"/>
  <c r="E150" i="20"/>
  <c r="D150" i="20"/>
  <c r="M150" i="20"/>
  <c r="M151" i="19"/>
  <c r="E151" i="19"/>
  <c r="K151" i="19"/>
  <c r="I151" i="19"/>
  <c r="G151" i="19"/>
  <c r="F151" i="19"/>
  <c r="D151" i="19"/>
  <c r="C152" i="19"/>
  <c r="N151" i="19"/>
  <c r="J151" i="19"/>
  <c r="L151" i="19"/>
  <c r="H151" i="19"/>
  <c r="K150" i="18"/>
  <c r="H150" i="18"/>
  <c r="C151" i="18"/>
  <c r="G150" i="18"/>
  <c r="N150" i="18"/>
  <c r="F150" i="18"/>
  <c r="M150" i="18"/>
  <c r="E150" i="18"/>
  <c r="L150" i="18"/>
  <c r="I150" i="18"/>
  <c r="J150" i="18"/>
  <c r="D150" i="18"/>
  <c r="N155" i="1" l="1"/>
  <c r="G155" i="1"/>
  <c r="F155" i="1"/>
  <c r="E155" i="1"/>
  <c r="C156" i="1"/>
  <c r="D155" i="1"/>
  <c r="K155" i="1"/>
  <c r="H155" i="1"/>
  <c r="M155" i="1"/>
  <c r="J155" i="1"/>
  <c r="I155" i="1"/>
  <c r="L155" i="1"/>
  <c r="F155" i="27"/>
  <c r="H155" i="27"/>
  <c r="D155" i="27"/>
  <c r="G155" i="27"/>
  <c r="E155" i="27"/>
  <c r="C156" i="27"/>
  <c r="N155" i="27"/>
  <c r="M155" i="27"/>
  <c r="L155" i="27"/>
  <c r="K155" i="27"/>
  <c r="J155" i="27"/>
  <c r="I155" i="27"/>
  <c r="N155" i="26"/>
  <c r="F155" i="26"/>
  <c r="E155" i="26"/>
  <c r="D155" i="26"/>
  <c r="C156" i="26"/>
  <c r="M155" i="26"/>
  <c r="L155" i="26"/>
  <c r="K155" i="26"/>
  <c r="J155" i="26"/>
  <c r="I155" i="26"/>
  <c r="H155" i="26"/>
  <c r="G155" i="26"/>
  <c r="D154" i="25"/>
  <c r="H154" i="25"/>
  <c r="I154" i="25"/>
  <c r="G154" i="25"/>
  <c r="J154" i="25"/>
  <c r="F154" i="25"/>
  <c r="E154" i="25"/>
  <c r="C155" i="25"/>
  <c r="N154" i="25"/>
  <c r="M154" i="25"/>
  <c r="L154" i="25"/>
  <c r="K154" i="25"/>
  <c r="M151" i="20"/>
  <c r="E151" i="20"/>
  <c r="L151" i="20"/>
  <c r="D151" i="20"/>
  <c r="K151" i="20"/>
  <c r="J151" i="20"/>
  <c r="C152" i="20"/>
  <c r="G151" i="20"/>
  <c r="N151" i="20"/>
  <c r="I151" i="20"/>
  <c r="F151" i="20"/>
  <c r="H151" i="20"/>
  <c r="I152" i="19"/>
  <c r="C153" i="19"/>
  <c r="G152" i="19"/>
  <c r="M152" i="19"/>
  <c r="E152" i="19"/>
  <c r="H152" i="19"/>
  <c r="F152" i="19"/>
  <c r="D152" i="19"/>
  <c r="N152" i="19"/>
  <c r="K152" i="19"/>
  <c r="L152" i="19"/>
  <c r="J152" i="19"/>
  <c r="C152" i="18"/>
  <c r="G151" i="18"/>
  <c r="L151" i="18"/>
  <c r="D151" i="18"/>
  <c r="K151" i="18"/>
  <c r="J151" i="18"/>
  <c r="I151" i="18"/>
  <c r="M151" i="18"/>
  <c r="H151" i="18"/>
  <c r="F151" i="18"/>
  <c r="E151" i="18"/>
  <c r="N151" i="18"/>
  <c r="M156" i="1" l="1"/>
  <c r="K156" i="1"/>
  <c r="L156" i="1"/>
  <c r="D156" i="1"/>
  <c r="G156" i="1"/>
  <c r="F156" i="1"/>
  <c r="N156" i="1"/>
  <c r="I156" i="1"/>
  <c r="J156" i="1"/>
  <c r="H156" i="1"/>
  <c r="E156" i="1"/>
  <c r="C157" i="1"/>
  <c r="J156" i="27"/>
  <c r="H156" i="27"/>
  <c r="E156" i="27"/>
  <c r="C157" i="27"/>
  <c r="L156" i="27"/>
  <c r="G156" i="27"/>
  <c r="F156" i="27"/>
  <c r="N156" i="27"/>
  <c r="I156" i="27"/>
  <c r="M156" i="27"/>
  <c r="K156" i="27"/>
  <c r="D156" i="27"/>
  <c r="D156" i="26"/>
  <c r="F156" i="26"/>
  <c r="E156" i="26"/>
  <c r="N156" i="26"/>
  <c r="M156" i="26"/>
  <c r="C157" i="26"/>
  <c r="L156" i="26"/>
  <c r="K156" i="26"/>
  <c r="H156" i="26"/>
  <c r="G156" i="26"/>
  <c r="J156" i="26"/>
  <c r="I156" i="26"/>
  <c r="H155" i="25"/>
  <c r="M155" i="25"/>
  <c r="C156" i="25"/>
  <c r="N155" i="25"/>
  <c r="L155" i="25"/>
  <c r="K155" i="25"/>
  <c r="J155" i="25"/>
  <c r="I155" i="25"/>
  <c r="G155" i="25"/>
  <c r="F155" i="25"/>
  <c r="E155" i="25"/>
  <c r="D155" i="25"/>
  <c r="I152" i="20"/>
  <c r="H152" i="20"/>
  <c r="C153" i="20"/>
  <c r="G152" i="20"/>
  <c r="N152" i="20"/>
  <c r="F152" i="20"/>
  <c r="K152" i="20"/>
  <c r="J152" i="20"/>
  <c r="E152" i="20"/>
  <c r="D152" i="20"/>
  <c r="M152" i="20"/>
  <c r="L152" i="20"/>
  <c r="M153" i="19"/>
  <c r="E153" i="19"/>
  <c r="K153" i="19"/>
  <c r="I153" i="19"/>
  <c r="H153" i="19"/>
  <c r="G153" i="19"/>
  <c r="F153" i="19"/>
  <c r="D153" i="19"/>
  <c r="C154" i="19"/>
  <c r="L153" i="19"/>
  <c r="N153" i="19"/>
  <c r="J153" i="19"/>
  <c r="K152" i="18"/>
  <c r="H152" i="18"/>
  <c r="C153" i="18"/>
  <c r="G152" i="18"/>
  <c r="N152" i="18"/>
  <c r="F152" i="18"/>
  <c r="M152" i="18"/>
  <c r="E152" i="18"/>
  <c r="L152" i="18"/>
  <c r="J152" i="18"/>
  <c r="D152" i="18"/>
  <c r="I152" i="18"/>
  <c r="L157" i="1" l="1"/>
  <c r="G157" i="1"/>
  <c r="K157" i="1"/>
  <c r="I157" i="1"/>
  <c r="F157" i="1"/>
  <c r="H157" i="1"/>
  <c r="E157" i="1"/>
  <c r="D157" i="1"/>
  <c r="J157" i="1"/>
  <c r="N157" i="1"/>
  <c r="C158" i="1"/>
  <c r="M157" i="1"/>
  <c r="N157" i="27"/>
  <c r="M157" i="27"/>
  <c r="J157" i="27"/>
  <c r="E157" i="27"/>
  <c r="D157" i="27"/>
  <c r="C158" i="27"/>
  <c r="L157" i="27"/>
  <c r="K157" i="27"/>
  <c r="I157" i="27"/>
  <c r="H157" i="27"/>
  <c r="G157" i="27"/>
  <c r="F157" i="27"/>
  <c r="H157" i="26"/>
  <c r="G157" i="26"/>
  <c r="L157" i="26"/>
  <c r="K157" i="26"/>
  <c r="D157" i="26"/>
  <c r="C158" i="26"/>
  <c r="N157" i="26"/>
  <c r="M157" i="26"/>
  <c r="J157" i="26"/>
  <c r="I157" i="26"/>
  <c r="F157" i="26"/>
  <c r="E157" i="26"/>
  <c r="L156" i="25"/>
  <c r="F156" i="25"/>
  <c r="E156" i="25"/>
  <c r="D156" i="25"/>
  <c r="H156" i="25"/>
  <c r="G156" i="25"/>
  <c r="C157" i="25"/>
  <c r="N156" i="25"/>
  <c r="M156" i="25"/>
  <c r="K156" i="25"/>
  <c r="J156" i="25"/>
  <c r="I156" i="25"/>
  <c r="M153" i="20"/>
  <c r="E153" i="20"/>
  <c r="L153" i="20"/>
  <c r="D153" i="20"/>
  <c r="K153" i="20"/>
  <c r="J153" i="20"/>
  <c r="C154" i="20"/>
  <c r="G153" i="20"/>
  <c r="N153" i="20"/>
  <c r="I153" i="20"/>
  <c r="H153" i="20"/>
  <c r="F153" i="20"/>
  <c r="I154" i="19"/>
  <c r="C155" i="19"/>
  <c r="G154" i="19"/>
  <c r="M154" i="19"/>
  <c r="E154" i="19"/>
  <c r="J154" i="19"/>
  <c r="H154" i="19"/>
  <c r="F154" i="19"/>
  <c r="D154" i="19"/>
  <c r="L154" i="19"/>
  <c r="N154" i="19"/>
  <c r="K154" i="19"/>
  <c r="C154" i="18"/>
  <c r="G153" i="18"/>
  <c r="L153" i="18"/>
  <c r="D153" i="18"/>
  <c r="K153" i="18"/>
  <c r="J153" i="18"/>
  <c r="I153" i="18"/>
  <c r="H153" i="18"/>
  <c r="F153" i="18"/>
  <c r="E153" i="18"/>
  <c r="N153" i="18"/>
  <c r="M153" i="18"/>
  <c r="I158" i="1" l="1"/>
  <c r="N158" i="1"/>
  <c r="K158" i="1"/>
  <c r="H158" i="1"/>
  <c r="E158" i="1"/>
  <c r="G158" i="1"/>
  <c r="M158" i="1"/>
  <c r="J158" i="1"/>
  <c r="D158" i="1"/>
  <c r="L158" i="1"/>
  <c r="F158" i="1"/>
  <c r="C159" i="1"/>
  <c r="C159" i="27"/>
  <c r="J158" i="27"/>
  <c r="G158" i="27"/>
  <c r="N158" i="27"/>
  <c r="M158" i="27"/>
  <c r="I158" i="27"/>
  <c r="H158" i="27"/>
  <c r="E158" i="27"/>
  <c r="D158" i="27"/>
  <c r="L158" i="27"/>
  <c r="K158" i="27"/>
  <c r="F158" i="27"/>
  <c r="L158" i="26"/>
  <c r="M158" i="26"/>
  <c r="J158" i="26"/>
  <c r="I158" i="26"/>
  <c r="C159" i="26"/>
  <c r="N158" i="26"/>
  <c r="G158" i="26"/>
  <c r="F158" i="26"/>
  <c r="E158" i="26"/>
  <c r="D158" i="26"/>
  <c r="K158" i="26"/>
  <c r="H158" i="26"/>
  <c r="F157" i="25"/>
  <c r="I157" i="25"/>
  <c r="H157" i="25"/>
  <c r="N157" i="25"/>
  <c r="M157" i="25"/>
  <c r="L157" i="25"/>
  <c r="K157" i="25"/>
  <c r="J157" i="25"/>
  <c r="G157" i="25"/>
  <c r="C158" i="25"/>
  <c r="E157" i="25"/>
  <c r="D157" i="25"/>
  <c r="I154" i="20"/>
  <c r="H154" i="20"/>
  <c r="C155" i="20"/>
  <c r="G154" i="20"/>
  <c r="N154" i="20"/>
  <c r="F154" i="20"/>
  <c r="K154" i="20"/>
  <c r="E154" i="20"/>
  <c r="D154" i="20"/>
  <c r="L154" i="20"/>
  <c r="M154" i="20"/>
  <c r="J154" i="20"/>
  <c r="M155" i="19"/>
  <c r="E155" i="19"/>
  <c r="K155" i="19"/>
  <c r="I155" i="19"/>
  <c r="J155" i="19"/>
  <c r="H155" i="19"/>
  <c r="G155" i="19"/>
  <c r="F155" i="19"/>
  <c r="D155" i="19"/>
  <c r="N155" i="19"/>
  <c r="C156" i="19"/>
  <c r="L155" i="19"/>
  <c r="K154" i="18"/>
  <c r="H154" i="18"/>
  <c r="C155" i="18"/>
  <c r="G154" i="18"/>
  <c r="N154" i="18"/>
  <c r="F154" i="18"/>
  <c r="M154" i="18"/>
  <c r="E154" i="18"/>
  <c r="L154" i="18"/>
  <c r="J154" i="18"/>
  <c r="I154" i="18"/>
  <c r="D154" i="18"/>
  <c r="G159" i="1" l="1"/>
  <c r="H159" i="1"/>
  <c r="F159" i="1"/>
  <c r="E159" i="1"/>
  <c r="C160" i="1"/>
  <c r="N159" i="1"/>
  <c r="M159" i="1"/>
  <c r="L159" i="1"/>
  <c r="D159" i="1"/>
  <c r="I159" i="1"/>
  <c r="J159" i="1"/>
  <c r="K159" i="1"/>
  <c r="F159" i="27"/>
  <c r="G159" i="27"/>
  <c r="N159" i="27"/>
  <c r="K159" i="27"/>
  <c r="H159" i="27"/>
  <c r="J159" i="27"/>
  <c r="I159" i="27"/>
  <c r="C160" i="27"/>
  <c r="M159" i="27"/>
  <c r="L159" i="27"/>
  <c r="E159" i="27"/>
  <c r="D159" i="27"/>
  <c r="F159" i="26"/>
  <c r="E159" i="26"/>
  <c r="D159" i="26"/>
  <c r="C160" i="26"/>
  <c r="N159" i="26"/>
  <c r="M159" i="26"/>
  <c r="G159" i="26"/>
  <c r="L159" i="26"/>
  <c r="K159" i="26"/>
  <c r="J159" i="26"/>
  <c r="I159" i="26"/>
  <c r="H159" i="26"/>
  <c r="D158" i="25"/>
  <c r="K158" i="25"/>
  <c r="C159" i="25"/>
  <c r="N158" i="25"/>
  <c r="L158" i="25"/>
  <c r="J158" i="25"/>
  <c r="I158" i="25"/>
  <c r="H158" i="25"/>
  <c r="G158" i="25"/>
  <c r="F158" i="25"/>
  <c r="E158" i="25"/>
  <c r="M158" i="25"/>
  <c r="M155" i="20"/>
  <c r="E155" i="20"/>
  <c r="L155" i="20"/>
  <c r="D155" i="20"/>
  <c r="K155" i="20"/>
  <c r="J155" i="20"/>
  <c r="C156" i="20"/>
  <c r="G155" i="20"/>
  <c r="N155" i="20"/>
  <c r="I155" i="20"/>
  <c r="H155" i="20"/>
  <c r="F155" i="20"/>
  <c r="I156" i="19"/>
  <c r="C157" i="19"/>
  <c r="G156" i="19"/>
  <c r="M156" i="19"/>
  <c r="E156" i="19"/>
  <c r="K156" i="19"/>
  <c r="J156" i="19"/>
  <c r="H156" i="19"/>
  <c r="F156" i="19"/>
  <c r="D156" i="19"/>
  <c r="N156" i="19"/>
  <c r="L156" i="19"/>
  <c r="C156" i="18"/>
  <c r="G155" i="18"/>
  <c r="L155" i="18"/>
  <c r="D155" i="18"/>
  <c r="K155" i="18"/>
  <c r="J155" i="18"/>
  <c r="I155" i="18"/>
  <c r="F155" i="18"/>
  <c r="E155" i="18"/>
  <c r="M155" i="18"/>
  <c r="N155" i="18"/>
  <c r="H155" i="18"/>
  <c r="G160" i="1" l="1"/>
  <c r="J160" i="1"/>
  <c r="E160" i="1"/>
  <c r="M160" i="1"/>
  <c r="D160" i="1"/>
  <c r="I160" i="1"/>
  <c r="H160" i="1"/>
  <c r="N160" i="1"/>
  <c r="C161" i="1"/>
  <c r="L160" i="1"/>
  <c r="F160" i="1"/>
  <c r="K160" i="1"/>
  <c r="J160" i="27"/>
  <c r="L160" i="27"/>
  <c r="H160" i="27"/>
  <c r="E160" i="27"/>
  <c r="N160" i="27"/>
  <c r="M160" i="27"/>
  <c r="K160" i="27"/>
  <c r="I160" i="27"/>
  <c r="F160" i="27"/>
  <c r="D160" i="27"/>
  <c r="G160" i="27"/>
  <c r="C161" i="27"/>
  <c r="D160" i="26"/>
  <c r="F160" i="26"/>
  <c r="L160" i="26"/>
  <c r="K160" i="26"/>
  <c r="H160" i="26"/>
  <c r="G160" i="26"/>
  <c r="C161" i="26"/>
  <c r="N160" i="26"/>
  <c r="M160" i="26"/>
  <c r="J160" i="26"/>
  <c r="I160" i="26"/>
  <c r="E160" i="26"/>
  <c r="H159" i="25"/>
  <c r="K159" i="25"/>
  <c r="J159" i="25"/>
  <c r="I159" i="25"/>
  <c r="G159" i="25"/>
  <c r="F159" i="25"/>
  <c r="E159" i="25"/>
  <c r="C160" i="25"/>
  <c r="N159" i="25"/>
  <c r="M159" i="25"/>
  <c r="L159" i="25"/>
  <c r="D159" i="25"/>
  <c r="I156" i="20"/>
  <c r="H156" i="20"/>
  <c r="C157" i="20"/>
  <c r="G156" i="20"/>
  <c r="N156" i="20"/>
  <c r="F156" i="20"/>
  <c r="K156" i="20"/>
  <c r="D156" i="20"/>
  <c r="M156" i="20"/>
  <c r="J156" i="20"/>
  <c r="L156" i="20"/>
  <c r="E156" i="20"/>
  <c r="M157" i="19"/>
  <c r="E157" i="19"/>
  <c r="K157" i="19"/>
  <c r="I157" i="19"/>
  <c r="L157" i="19"/>
  <c r="J157" i="19"/>
  <c r="H157" i="19"/>
  <c r="G157" i="19"/>
  <c r="F157" i="19"/>
  <c r="C158" i="19"/>
  <c r="D157" i="19"/>
  <c r="N157" i="19"/>
  <c r="K156" i="18"/>
  <c r="H156" i="18"/>
  <c r="C157" i="18"/>
  <c r="G156" i="18"/>
  <c r="N156" i="18"/>
  <c r="F156" i="18"/>
  <c r="M156" i="18"/>
  <c r="E156" i="18"/>
  <c r="L156" i="18"/>
  <c r="J156" i="18"/>
  <c r="I156" i="18"/>
  <c r="D156" i="18"/>
  <c r="F161" i="1" l="1"/>
  <c r="L161" i="1"/>
  <c r="E161" i="1"/>
  <c r="H161" i="1"/>
  <c r="C162" i="1"/>
  <c r="G161" i="1"/>
  <c r="N161" i="1"/>
  <c r="I161" i="1"/>
  <c r="D161" i="1"/>
  <c r="K161" i="1"/>
  <c r="M161" i="1"/>
  <c r="J161" i="1"/>
  <c r="N161" i="27"/>
  <c r="M161" i="27"/>
  <c r="L161" i="27"/>
  <c r="I161" i="27"/>
  <c r="C162" i="27"/>
  <c r="K161" i="27"/>
  <c r="J161" i="27"/>
  <c r="H161" i="27"/>
  <c r="G161" i="27"/>
  <c r="F161" i="27"/>
  <c r="E161" i="27"/>
  <c r="D161" i="27"/>
  <c r="H161" i="26"/>
  <c r="K161" i="26"/>
  <c r="C162" i="26"/>
  <c r="D161" i="26"/>
  <c r="E161" i="26"/>
  <c r="N161" i="26"/>
  <c r="M161" i="26"/>
  <c r="L161" i="26"/>
  <c r="J161" i="26"/>
  <c r="G161" i="26"/>
  <c r="F161" i="26"/>
  <c r="I161" i="26"/>
  <c r="L160" i="25"/>
  <c r="D160" i="25"/>
  <c r="I160" i="25"/>
  <c r="H160" i="25"/>
  <c r="C161" i="25"/>
  <c r="N160" i="25"/>
  <c r="M160" i="25"/>
  <c r="K160" i="25"/>
  <c r="J160" i="25"/>
  <c r="G160" i="25"/>
  <c r="F160" i="25"/>
  <c r="E160" i="25"/>
  <c r="M157" i="20"/>
  <c r="E157" i="20"/>
  <c r="L157" i="20"/>
  <c r="D157" i="20"/>
  <c r="K157" i="20"/>
  <c r="J157" i="20"/>
  <c r="C158" i="20"/>
  <c r="G157" i="20"/>
  <c r="N157" i="20"/>
  <c r="I157" i="20"/>
  <c r="H157" i="20"/>
  <c r="F157" i="20"/>
  <c r="I158" i="19"/>
  <c r="C159" i="19"/>
  <c r="G158" i="19"/>
  <c r="M158" i="19"/>
  <c r="E158" i="19"/>
  <c r="L158" i="19"/>
  <c r="K158" i="19"/>
  <c r="J158" i="19"/>
  <c r="H158" i="19"/>
  <c r="F158" i="19"/>
  <c r="D158" i="19"/>
  <c r="N158" i="19"/>
  <c r="C158" i="18"/>
  <c r="G157" i="18"/>
  <c r="L157" i="18"/>
  <c r="D157" i="18"/>
  <c r="K157" i="18"/>
  <c r="J157" i="18"/>
  <c r="I157" i="18"/>
  <c r="E157" i="18"/>
  <c r="N157" i="18"/>
  <c r="H157" i="18"/>
  <c r="M157" i="18"/>
  <c r="F157" i="18"/>
  <c r="F162" i="1" l="1"/>
  <c r="C163" i="1"/>
  <c r="J162" i="1"/>
  <c r="I162" i="1"/>
  <c r="H162" i="1"/>
  <c r="G162" i="1"/>
  <c r="N162" i="1"/>
  <c r="L162" i="1"/>
  <c r="E162" i="1"/>
  <c r="M162" i="1"/>
  <c r="K162" i="1"/>
  <c r="D162" i="1"/>
  <c r="E162" i="27"/>
  <c r="K162" i="27"/>
  <c r="J162" i="27"/>
  <c r="M162" i="27"/>
  <c r="L162" i="27"/>
  <c r="H162" i="27"/>
  <c r="G162" i="27"/>
  <c r="I162" i="27"/>
  <c r="F162" i="27"/>
  <c r="D162" i="27"/>
  <c r="C163" i="27"/>
  <c r="N162" i="27"/>
  <c r="L162" i="26"/>
  <c r="F162" i="26"/>
  <c r="E162" i="26"/>
  <c r="D162" i="26"/>
  <c r="C163" i="26"/>
  <c r="N162" i="26"/>
  <c r="M162" i="26"/>
  <c r="K162" i="26"/>
  <c r="J162" i="26"/>
  <c r="I162" i="26"/>
  <c r="H162" i="26"/>
  <c r="G162" i="26"/>
  <c r="I161" i="25"/>
  <c r="C162" i="25"/>
  <c r="N161" i="25"/>
  <c r="G161" i="25"/>
  <c r="F161" i="25"/>
  <c r="E161" i="25"/>
  <c r="D161" i="25"/>
  <c r="L161" i="25"/>
  <c r="K161" i="25"/>
  <c r="J161" i="25"/>
  <c r="H161" i="25"/>
  <c r="M161" i="25"/>
  <c r="I158" i="20"/>
  <c r="H158" i="20"/>
  <c r="C159" i="20"/>
  <c r="G158" i="20"/>
  <c r="N158" i="20"/>
  <c r="F158" i="20"/>
  <c r="K158" i="20"/>
  <c r="M158" i="20"/>
  <c r="L158" i="20"/>
  <c r="E158" i="20"/>
  <c r="J158" i="20"/>
  <c r="D158" i="20"/>
  <c r="M159" i="19"/>
  <c r="E159" i="19"/>
  <c r="K159" i="19"/>
  <c r="I159" i="19"/>
  <c r="N159" i="19"/>
  <c r="L159" i="19"/>
  <c r="J159" i="19"/>
  <c r="H159" i="19"/>
  <c r="G159" i="19"/>
  <c r="D159" i="19"/>
  <c r="C160" i="19"/>
  <c r="F159" i="19"/>
  <c r="K158" i="18"/>
  <c r="H158" i="18"/>
  <c r="C159" i="18"/>
  <c r="G158" i="18"/>
  <c r="N158" i="18"/>
  <c r="F158" i="18"/>
  <c r="M158" i="18"/>
  <c r="E158" i="18"/>
  <c r="L158" i="18"/>
  <c r="J158" i="18"/>
  <c r="I158" i="18"/>
  <c r="D158" i="18"/>
  <c r="E163" i="1" l="1"/>
  <c r="G163" i="1"/>
  <c r="D163" i="1"/>
  <c r="L163" i="1"/>
  <c r="F163" i="1"/>
  <c r="C164" i="1"/>
  <c r="K163" i="1"/>
  <c r="H163" i="1"/>
  <c r="J163" i="1"/>
  <c r="I163" i="1"/>
  <c r="N163" i="1"/>
  <c r="M163" i="1"/>
  <c r="F163" i="27"/>
  <c r="J163" i="27"/>
  <c r="G163" i="27"/>
  <c r="I163" i="27"/>
  <c r="D163" i="27"/>
  <c r="M163" i="27"/>
  <c r="L163" i="27"/>
  <c r="K163" i="27"/>
  <c r="H163" i="27"/>
  <c r="E163" i="27"/>
  <c r="C164" i="27"/>
  <c r="N163" i="27"/>
  <c r="D163" i="26"/>
  <c r="L163" i="26"/>
  <c r="K163" i="26"/>
  <c r="N163" i="26"/>
  <c r="M163" i="26"/>
  <c r="H163" i="26"/>
  <c r="G163" i="26"/>
  <c r="F163" i="26"/>
  <c r="E163" i="26"/>
  <c r="C164" i="26"/>
  <c r="J163" i="26"/>
  <c r="I163" i="26"/>
  <c r="D162" i="25"/>
  <c r="N162" i="25"/>
  <c r="C163" i="25"/>
  <c r="M162" i="25"/>
  <c r="L162" i="25"/>
  <c r="K162" i="25"/>
  <c r="J162" i="25"/>
  <c r="I162" i="25"/>
  <c r="H162" i="25"/>
  <c r="G162" i="25"/>
  <c r="F162" i="25"/>
  <c r="E162" i="25"/>
  <c r="M159" i="20"/>
  <c r="E159" i="20"/>
  <c r="L159" i="20"/>
  <c r="D159" i="20"/>
  <c r="K159" i="20"/>
  <c r="J159" i="20"/>
  <c r="C160" i="20"/>
  <c r="G159" i="20"/>
  <c r="I159" i="20"/>
  <c r="H159" i="20"/>
  <c r="F159" i="20"/>
  <c r="N159" i="20"/>
  <c r="I160" i="19"/>
  <c r="C161" i="19"/>
  <c r="G160" i="19"/>
  <c r="M160" i="19"/>
  <c r="E160" i="19"/>
  <c r="N160" i="19"/>
  <c r="L160" i="19"/>
  <c r="K160" i="19"/>
  <c r="J160" i="19"/>
  <c r="H160" i="19"/>
  <c r="D160" i="19"/>
  <c r="F160" i="19"/>
  <c r="C160" i="18"/>
  <c r="G159" i="18"/>
  <c r="L159" i="18"/>
  <c r="D159" i="18"/>
  <c r="K159" i="18"/>
  <c r="J159" i="18"/>
  <c r="I159" i="18"/>
  <c r="N159" i="18"/>
  <c r="M159" i="18"/>
  <c r="F159" i="18"/>
  <c r="H159" i="18"/>
  <c r="E159" i="18"/>
  <c r="H164" i="1" l="1"/>
  <c r="N164" i="1"/>
  <c r="M164" i="1"/>
  <c r="K164" i="1"/>
  <c r="J164" i="1"/>
  <c r="L164" i="1"/>
  <c r="I164" i="1"/>
  <c r="E164" i="1"/>
  <c r="C165" i="1"/>
  <c r="D164" i="1"/>
  <c r="F164" i="1"/>
  <c r="G164" i="1"/>
  <c r="J164" i="27"/>
  <c r="C165" i="27"/>
  <c r="L164" i="27"/>
  <c r="M164" i="27"/>
  <c r="H164" i="27"/>
  <c r="G164" i="27"/>
  <c r="N164" i="27"/>
  <c r="I164" i="27"/>
  <c r="F164" i="27"/>
  <c r="K164" i="27"/>
  <c r="E164" i="27"/>
  <c r="D164" i="27"/>
  <c r="D164" i="26"/>
  <c r="I164" i="26"/>
  <c r="N164" i="26"/>
  <c r="M164" i="26"/>
  <c r="L164" i="26"/>
  <c r="C165" i="26"/>
  <c r="K164" i="26"/>
  <c r="J164" i="26"/>
  <c r="H164" i="26"/>
  <c r="G164" i="26"/>
  <c r="E164" i="26"/>
  <c r="F164" i="26"/>
  <c r="H163" i="25"/>
  <c r="J163" i="25"/>
  <c r="I163" i="25"/>
  <c r="D163" i="25"/>
  <c r="C164" i="25"/>
  <c r="N163" i="25"/>
  <c r="M163" i="25"/>
  <c r="L163" i="25"/>
  <c r="K163" i="25"/>
  <c r="G163" i="25"/>
  <c r="F163" i="25"/>
  <c r="E163" i="25"/>
  <c r="I160" i="20"/>
  <c r="H160" i="20"/>
  <c r="C161" i="20"/>
  <c r="G160" i="20"/>
  <c r="N160" i="20"/>
  <c r="F160" i="20"/>
  <c r="K160" i="20"/>
  <c r="M160" i="20"/>
  <c r="L160" i="20"/>
  <c r="J160" i="20"/>
  <c r="D160" i="20"/>
  <c r="E160" i="20"/>
  <c r="M161" i="19"/>
  <c r="E161" i="19"/>
  <c r="K161" i="19"/>
  <c r="I161" i="19"/>
  <c r="C162" i="19"/>
  <c r="N161" i="19"/>
  <c r="L161" i="19"/>
  <c r="J161" i="19"/>
  <c r="H161" i="19"/>
  <c r="F161" i="19"/>
  <c r="G161" i="19"/>
  <c r="D161" i="19"/>
  <c r="K160" i="18"/>
  <c r="H160" i="18"/>
  <c r="C161" i="18"/>
  <c r="G160" i="18"/>
  <c r="N160" i="18"/>
  <c r="F160" i="18"/>
  <c r="M160" i="18"/>
  <c r="E160" i="18"/>
  <c r="J160" i="18"/>
  <c r="I160" i="18"/>
  <c r="D160" i="18"/>
  <c r="L160" i="18"/>
  <c r="I165" i="1" l="1"/>
  <c r="G165" i="1"/>
  <c r="C166" i="1"/>
  <c r="J165" i="1"/>
  <c r="H165" i="1"/>
  <c r="M165" i="1"/>
  <c r="K165" i="1"/>
  <c r="F165" i="1"/>
  <c r="E165" i="1"/>
  <c r="D165" i="1"/>
  <c r="L165" i="1"/>
  <c r="N165" i="1"/>
  <c r="N165" i="27"/>
  <c r="E165" i="27"/>
  <c r="D165" i="27"/>
  <c r="I165" i="27"/>
  <c r="G165" i="27"/>
  <c r="F165" i="27"/>
  <c r="H165" i="27"/>
  <c r="K165" i="27"/>
  <c r="J165" i="27"/>
  <c r="C166" i="27"/>
  <c r="M165" i="27"/>
  <c r="L165" i="27"/>
  <c r="H165" i="26"/>
  <c r="N165" i="26"/>
  <c r="F165" i="26"/>
  <c r="E165" i="26"/>
  <c r="K165" i="26"/>
  <c r="J165" i="26"/>
  <c r="C166" i="26"/>
  <c r="M165" i="26"/>
  <c r="L165" i="26"/>
  <c r="I165" i="26"/>
  <c r="G165" i="26"/>
  <c r="D165" i="26"/>
  <c r="L164" i="25"/>
  <c r="G164" i="25"/>
  <c r="C165" i="25"/>
  <c r="N164" i="25"/>
  <c r="M164" i="25"/>
  <c r="K164" i="25"/>
  <c r="J164" i="25"/>
  <c r="I164" i="25"/>
  <c r="H164" i="25"/>
  <c r="F164" i="25"/>
  <c r="E164" i="25"/>
  <c r="D164" i="25"/>
  <c r="M161" i="20"/>
  <c r="E161" i="20"/>
  <c r="L161" i="20"/>
  <c r="D161" i="20"/>
  <c r="K161" i="20"/>
  <c r="J161" i="20"/>
  <c r="C162" i="20"/>
  <c r="G161" i="20"/>
  <c r="H161" i="20"/>
  <c r="F161" i="20"/>
  <c r="N161" i="20"/>
  <c r="I161" i="20"/>
  <c r="I162" i="19"/>
  <c r="C163" i="19"/>
  <c r="G162" i="19"/>
  <c r="M162" i="19"/>
  <c r="E162" i="19"/>
  <c r="N162" i="19"/>
  <c r="L162" i="19"/>
  <c r="K162" i="19"/>
  <c r="J162" i="19"/>
  <c r="F162" i="19"/>
  <c r="H162" i="19"/>
  <c r="D162" i="19"/>
  <c r="C162" i="18"/>
  <c r="G161" i="18"/>
  <c r="L161" i="18"/>
  <c r="D161" i="18"/>
  <c r="K161" i="18"/>
  <c r="J161" i="18"/>
  <c r="I161" i="18"/>
  <c r="N161" i="18"/>
  <c r="M161" i="18"/>
  <c r="H161" i="18"/>
  <c r="E161" i="18"/>
  <c r="F161" i="18"/>
  <c r="M166" i="1" l="1"/>
  <c r="J166" i="1"/>
  <c r="L166" i="1"/>
  <c r="I166" i="1"/>
  <c r="C167" i="1"/>
  <c r="F166" i="1"/>
  <c r="G166" i="1"/>
  <c r="N166" i="1"/>
  <c r="D166" i="1"/>
  <c r="K166" i="1"/>
  <c r="E166" i="1"/>
  <c r="H166" i="1"/>
  <c r="H166" i="27"/>
  <c r="E166" i="27"/>
  <c r="L166" i="27"/>
  <c r="I166" i="27"/>
  <c r="G166" i="27"/>
  <c r="F166" i="27"/>
  <c r="C167" i="27"/>
  <c r="M166" i="27"/>
  <c r="K166" i="27"/>
  <c r="N166" i="27"/>
  <c r="J166" i="27"/>
  <c r="D166" i="27"/>
  <c r="L166" i="26"/>
  <c r="M166" i="26"/>
  <c r="K166" i="26"/>
  <c r="C167" i="26"/>
  <c r="N166" i="26"/>
  <c r="J166" i="26"/>
  <c r="I166" i="26"/>
  <c r="H166" i="26"/>
  <c r="E166" i="26"/>
  <c r="D166" i="26"/>
  <c r="G166" i="26"/>
  <c r="F166" i="26"/>
  <c r="L165" i="25"/>
  <c r="D165" i="25"/>
  <c r="C166" i="25"/>
  <c r="N165" i="25"/>
  <c r="M165" i="25"/>
  <c r="K165" i="25"/>
  <c r="J165" i="25"/>
  <c r="I165" i="25"/>
  <c r="H165" i="25"/>
  <c r="G165" i="25"/>
  <c r="F165" i="25"/>
  <c r="E165" i="25"/>
  <c r="I162" i="20"/>
  <c r="H162" i="20"/>
  <c r="C163" i="20"/>
  <c r="G162" i="20"/>
  <c r="N162" i="20"/>
  <c r="F162" i="20"/>
  <c r="K162" i="20"/>
  <c r="M162" i="20"/>
  <c r="L162" i="20"/>
  <c r="J162" i="20"/>
  <c r="E162" i="20"/>
  <c r="D162" i="20"/>
  <c r="M163" i="19"/>
  <c r="E163" i="19"/>
  <c r="K163" i="19"/>
  <c r="I163" i="19"/>
  <c r="D163" i="19"/>
  <c r="C164" i="19"/>
  <c r="N163" i="19"/>
  <c r="L163" i="19"/>
  <c r="J163" i="19"/>
  <c r="G163" i="19"/>
  <c r="H163" i="19"/>
  <c r="F163" i="19"/>
  <c r="K162" i="18"/>
  <c r="H162" i="18"/>
  <c r="C163" i="18"/>
  <c r="G162" i="18"/>
  <c r="N162" i="18"/>
  <c r="F162" i="18"/>
  <c r="M162" i="18"/>
  <c r="E162" i="18"/>
  <c r="I162" i="18"/>
  <c r="D162" i="18"/>
  <c r="L162" i="18"/>
  <c r="J162" i="18"/>
  <c r="L167" i="1" l="1"/>
  <c r="K167" i="1"/>
  <c r="J167" i="1"/>
  <c r="F167" i="1"/>
  <c r="G167" i="1"/>
  <c r="M167" i="1"/>
  <c r="C168" i="1"/>
  <c r="E167" i="1"/>
  <c r="I167" i="1"/>
  <c r="H167" i="1"/>
  <c r="N167" i="1"/>
  <c r="D167" i="1"/>
  <c r="F167" i="27"/>
  <c r="M167" i="27"/>
  <c r="J167" i="27"/>
  <c r="D167" i="27"/>
  <c r="C168" i="27"/>
  <c r="K167" i="27"/>
  <c r="N167" i="27"/>
  <c r="L167" i="27"/>
  <c r="H167" i="27"/>
  <c r="G167" i="27"/>
  <c r="E167" i="27"/>
  <c r="I167" i="27"/>
  <c r="G167" i="26"/>
  <c r="H167" i="26"/>
  <c r="F167" i="26"/>
  <c r="C168" i="26"/>
  <c r="N167" i="26"/>
  <c r="M167" i="26"/>
  <c r="L167" i="26"/>
  <c r="K167" i="26"/>
  <c r="J167" i="26"/>
  <c r="I167" i="26"/>
  <c r="E167" i="26"/>
  <c r="D167" i="26"/>
  <c r="D166" i="25"/>
  <c r="J166" i="25"/>
  <c r="I166" i="25"/>
  <c r="H166" i="25"/>
  <c r="M166" i="25"/>
  <c r="L166" i="25"/>
  <c r="K166" i="25"/>
  <c r="G166" i="25"/>
  <c r="F166" i="25"/>
  <c r="E166" i="25"/>
  <c r="C167" i="25"/>
  <c r="N166" i="25"/>
  <c r="M163" i="20"/>
  <c r="E163" i="20"/>
  <c r="L163" i="20"/>
  <c r="D163" i="20"/>
  <c r="K163" i="20"/>
  <c r="J163" i="20"/>
  <c r="C164" i="20"/>
  <c r="G163" i="20"/>
  <c r="F163" i="20"/>
  <c r="I163" i="20"/>
  <c r="N163" i="20"/>
  <c r="H163" i="20"/>
  <c r="I164" i="19"/>
  <c r="C165" i="19"/>
  <c r="G164" i="19"/>
  <c r="M164" i="19"/>
  <c r="E164" i="19"/>
  <c r="D164" i="19"/>
  <c r="N164" i="19"/>
  <c r="L164" i="19"/>
  <c r="K164" i="19"/>
  <c r="H164" i="19"/>
  <c r="J164" i="19"/>
  <c r="F164" i="19"/>
  <c r="C164" i="18"/>
  <c r="G163" i="18"/>
  <c r="M163" i="18"/>
  <c r="E163" i="18"/>
  <c r="L163" i="18"/>
  <c r="D163" i="18"/>
  <c r="K163" i="18"/>
  <c r="J163" i="18"/>
  <c r="I163" i="18"/>
  <c r="N163" i="18"/>
  <c r="H163" i="18"/>
  <c r="F163" i="18"/>
  <c r="H168" i="1" l="1"/>
  <c r="F168" i="1"/>
  <c r="G168" i="1"/>
  <c r="C169" i="1"/>
  <c r="E168" i="1"/>
  <c r="N168" i="1"/>
  <c r="D168" i="1"/>
  <c r="I168" i="1"/>
  <c r="M168" i="1"/>
  <c r="L168" i="1"/>
  <c r="K168" i="1"/>
  <c r="J168" i="1"/>
  <c r="J168" i="27"/>
  <c r="C169" i="27"/>
  <c r="G168" i="27"/>
  <c r="D168" i="27"/>
  <c r="F168" i="27"/>
  <c r="E168" i="27"/>
  <c r="M168" i="27"/>
  <c r="L168" i="27"/>
  <c r="N168" i="27"/>
  <c r="K168" i="27"/>
  <c r="I168" i="27"/>
  <c r="H168" i="27"/>
  <c r="D168" i="26"/>
  <c r="L168" i="26"/>
  <c r="G168" i="26"/>
  <c r="F168" i="26"/>
  <c r="C169" i="26"/>
  <c r="N168" i="26"/>
  <c r="M168" i="26"/>
  <c r="K168" i="26"/>
  <c r="E168" i="26"/>
  <c r="J168" i="26"/>
  <c r="I168" i="26"/>
  <c r="H168" i="26"/>
  <c r="H167" i="25"/>
  <c r="E167" i="25"/>
  <c r="C168" i="25"/>
  <c r="N167" i="25"/>
  <c r="I167" i="25"/>
  <c r="G167" i="25"/>
  <c r="F167" i="25"/>
  <c r="D167" i="25"/>
  <c r="M167" i="25"/>
  <c r="L167" i="25"/>
  <c r="K167" i="25"/>
  <c r="J167" i="25"/>
  <c r="I164" i="20"/>
  <c r="H164" i="20"/>
  <c r="C165" i="20"/>
  <c r="G164" i="20"/>
  <c r="N164" i="20"/>
  <c r="F164" i="20"/>
  <c r="K164" i="20"/>
  <c r="M164" i="20"/>
  <c r="L164" i="20"/>
  <c r="J164" i="20"/>
  <c r="E164" i="20"/>
  <c r="D164" i="20"/>
  <c r="M165" i="19"/>
  <c r="E165" i="19"/>
  <c r="K165" i="19"/>
  <c r="I165" i="19"/>
  <c r="F165" i="19"/>
  <c r="D165" i="19"/>
  <c r="C166" i="19"/>
  <c r="N165" i="19"/>
  <c r="L165" i="19"/>
  <c r="H165" i="19"/>
  <c r="J165" i="19"/>
  <c r="G165" i="19"/>
  <c r="K164" i="18"/>
  <c r="I164" i="18"/>
  <c r="H164" i="18"/>
  <c r="C165" i="18"/>
  <c r="G164" i="18"/>
  <c r="N164" i="18"/>
  <c r="F164" i="18"/>
  <c r="M164" i="18"/>
  <c r="E164" i="18"/>
  <c r="L164" i="18"/>
  <c r="J164" i="18"/>
  <c r="D164" i="18"/>
  <c r="H169" i="1" l="1"/>
  <c r="N169" i="1"/>
  <c r="M169" i="1"/>
  <c r="J169" i="1"/>
  <c r="E169" i="1"/>
  <c r="I169" i="1"/>
  <c r="D169" i="1"/>
  <c r="L169" i="1"/>
  <c r="F169" i="1"/>
  <c r="C170" i="1"/>
  <c r="G169" i="1"/>
  <c r="K169" i="1"/>
  <c r="N169" i="27"/>
  <c r="F169" i="27"/>
  <c r="C170" i="27"/>
  <c r="K169" i="27"/>
  <c r="E169" i="27"/>
  <c r="D169" i="27"/>
  <c r="M169" i="27"/>
  <c r="L169" i="27"/>
  <c r="J169" i="27"/>
  <c r="I169" i="27"/>
  <c r="H169" i="27"/>
  <c r="G169" i="27"/>
  <c r="H169" i="26"/>
  <c r="M169" i="26"/>
  <c r="L169" i="26"/>
  <c r="D169" i="26"/>
  <c r="C170" i="26"/>
  <c r="N169" i="26"/>
  <c r="K169" i="26"/>
  <c r="J169" i="26"/>
  <c r="I169" i="26"/>
  <c r="G169" i="26"/>
  <c r="F169" i="26"/>
  <c r="E169" i="26"/>
  <c r="L168" i="25"/>
  <c r="J168" i="25"/>
  <c r="D168" i="25"/>
  <c r="K168" i="25"/>
  <c r="I168" i="25"/>
  <c r="H168" i="25"/>
  <c r="G168" i="25"/>
  <c r="F168" i="25"/>
  <c r="E168" i="25"/>
  <c r="C169" i="25"/>
  <c r="N168" i="25"/>
  <c r="M168" i="25"/>
  <c r="M165" i="20"/>
  <c r="E165" i="20"/>
  <c r="L165" i="20"/>
  <c r="D165" i="20"/>
  <c r="K165" i="20"/>
  <c r="J165" i="20"/>
  <c r="C166" i="20"/>
  <c r="G165" i="20"/>
  <c r="N165" i="20"/>
  <c r="H165" i="20"/>
  <c r="I165" i="20"/>
  <c r="F165" i="20"/>
  <c r="I166" i="19"/>
  <c r="C167" i="19"/>
  <c r="G166" i="19"/>
  <c r="M166" i="19"/>
  <c r="E166" i="19"/>
  <c r="F166" i="19"/>
  <c r="D166" i="19"/>
  <c r="N166" i="19"/>
  <c r="L166" i="19"/>
  <c r="J166" i="19"/>
  <c r="K166" i="19"/>
  <c r="H166" i="19"/>
  <c r="C166" i="18"/>
  <c r="G165" i="18"/>
  <c r="M165" i="18"/>
  <c r="E165" i="18"/>
  <c r="L165" i="18"/>
  <c r="D165" i="18"/>
  <c r="K165" i="18"/>
  <c r="J165" i="18"/>
  <c r="I165" i="18"/>
  <c r="H165" i="18"/>
  <c r="N165" i="18"/>
  <c r="F165" i="18"/>
  <c r="M170" i="1" l="1"/>
  <c r="AQ10" i="1" s="1"/>
  <c r="X53" i="8" s="1"/>
  <c r="N170" i="1"/>
  <c r="AR10" i="1" s="1"/>
  <c r="X54" i="8" s="1"/>
  <c r="D170" i="1"/>
  <c r="AH10" i="1" s="1"/>
  <c r="E170" i="1"/>
  <c r="AI10" i="1" s="1"/>
  <c r="X45" i="8" s="1"/>
  <c r="K170" i="1"/>
  <c r="AO10" i="1" s="1"/>
  <c r="X51" i="8" s="1"/>
  <c r="F170" i="1"/>
  <c r="AJ10" i="1" s="1"/>
  <c r="X46" i="8" s="1"/>
  <c r="J170" i="1"/>
  <c r="AN10" i="1" s="1"/>
  <c r="X50" i="8" s="1"/>
  <c r="I170" i="1"/>
  <c r="AM10" i="1" s="1"/>
  <c r="X49" i="8" s="1"/>
  <c r="H170" i="1"/>
  <c r="AL10" i="1" s="1"/>
  <c r="X48" i="8" s="1"/>
  <c r="C174" i="1"/>
  <c r="L170" i="1"/>
  <c r="AP10" i="1" s="1"/>
  <c r="X52" i="8" s="1"/>
  <c r="G170" i="1"/>
  <c r="AK10" i="1" s="1"/>
  <c r="X47" i="8" s="1"/>
  <c r="K170" i="27"/>
  <c r="AO10" i="27" s="1"/>
  <c r="X51" i="24" s="1"/>
  <c r="H170" i="27"/>
  <c r="AL10" i="27" s="1"/>
  <c r="X48" i="24" s="1"/>
  <c r="E170" i="27"/>
  <c r="AI10" i="27" s="1"/>
  <c r="X45" i="24" s="1"/>
  <c r="D170" i="27"/>
  <c r="AH10" i="27" s="1"/>
  <c r="N170" i="27"/>
  <c r="AR10" i="27" s="1"/>
  <c r="X54" i="24" s="1"/>
  <c r="M170" i="27"/>
  <c r="AQ10" i="27" s="1"/>
  <c r="X53" i="24" s="1"/>
  <c r="C174" i="27"/>
  <c r="I170" i="27"/>
  <c r="AM10" i="27" s="1"/>
  <c r="X49" i="24" s="1"/>
  <c r="L170" i="27"/>
  <c r="AP10" i="27" s="1"/>
  <c r="X52" i="24" s="1"/>
  <c r="J170" i="27"/>
  <c r="AN10" i="27" s="1"/>
  <c r="X50" i="24" s="1"/>
  <c r="G170" i="27"/>
  <c r="AK10" i="27" s="1"/>
  <c r="X47" i="24" s="1"/>
  <c r="F170" i="27"/>
  <c r="AJ10" i="27" s="1"/>
  <c r="X46" i="24" s="1"/>
  <c r="L170" i="26"/>
  <c r="AP10" i="26" s="1"/>
  <c r="X52" i="23" s="1"/>
  <c r="E170" i="26"/>
  <c r="AI10" i="26" s="1"/>
  <c r="X45" i="23" s="1"/>
  <c r="M170" i="26"/>
  <c r="AQ10" i="26" s="1"/>
  <c r="X53" i="23" s="1"/>
  <c r="K170" i="26"/>
  <c r="AO10" i="26" s="1"/>
  <c r="X51" i="23" s="1"/>
  <c r="C174" i="26"/>
  <c r="N170" i="26"/>
  <c r="AR10" i="26" s="1"/>
  <c r="X54" i="23" s="1"/>
  <c r="J170" i="26"/>
  <c r="AN10" i="26" s="1"/>
  <c r="X50" i="23" s="1"/>
  <c r="I170" i="26"/>
  <c r="AM10" i="26" s="1"/>
  <c r="X49" i="23" s="1"/>
  <c r="H170" i="26"/>
  <c r="AL10" i="26" s="1"/>
  <c r="X48" i="23" s="1"/>
  <c r="G170" i="26"/>
  <c r="AK10" i="26" s="1"/>
  <c r="X47" i="23" s="1"/>
  <c r="F170" i="26"/>
  <c r="AJ10" i="26" s="1"/>
  <c r="X46" i="23" s="1"/>
  <c r="D170" i="26"/>
  <c r="AH10" i="26" s="1"/>
  <c r="C170" i="25"/>
  <c r="J169" i="25"/>
  <c r="I169" i="25"/>
  <c r="H169" i="25"/>
  <c r="N169" i="25"/>
  <c r="M169" i="25"/>
  <c r="L169" i="25"/>
  <c r="K169" i="25"/>
  <c r="G169" i="25"/>
  <c r="F169" i="25"/>
  <c r="E169" i="25"/>
  <c r="D169" i="25"/>
  <c r="I166" i="20"/>
  <c r="H166" i="20"/>
  <c r="C167" i="20"/>
  <c r="G166" i="20"/>
  <c r="N166" i="20"/>
  <c r="F166" i="20"/>
  <c r="K166" i="20"/>
  <c r="L166" i="20"/>
  <c r="J166" i="20"/>
  <c r="E166" i="20"/>
  <c r="D166" i="20"/>
  <c r="M166" i="20"/>
  <c r="M167" i="19"/>
  <c r="E167" i="19"/>
  <c r="K167" i="19"/>
  <c r="I167" i="19"/>
  <c r="G167" i="19"/>
  <c r="F167" i="19"/>
  <c r="D167" i="19"/>
  <c r="C168" i="19"/>
  <c r="N167" i="19"/>
  <c r="J167" i="19"/>
  <c r="L167" i="19"/>
  <c r="H167" i="19"/>
  <c r="K166" i="18"/>
  <c r="I166" i="18"/>
  <c r="H166" i="18"/>
  <c r="C167" i="18"/>
  <c r="G166" i="18"/>
  <c r="N166" i="18"/>
  <c r="F166" i="18"/>
  <c r="M166" i="18"/>
  <c r="E166" i="18"/>
  <c r="L166" i="18"/>
  <c r="J166" i="18"/>
  <c r="D166" i="18"/>
  <c r="M174" i="1" l="1"/>
  <c r="D174" i="1"/>
  <c r="E174" i="1"/>
  <c r="I174" i="1"/>
  <c r="C175" i="1"/>
  <c r="N174" i="1"/>
  <c r="L174" i="1"/>
  <c r="J174" i="1"/>
  <c r="F174" i="1"/>
  <c r="G174" i="1"/>
  <c r="K174" i="1"/>
  <c r="H174" i="1"/>
  <c r="X55" i="8"/>
  <c r="X57" i="8" s="1"/>
  <c r="X55" i="23"/>
  <c r="X57" i="23" s="1"/>
  <c r="X55" i="24"/>
  <c r="X57" i="24" s="1"/>
  <c r="F174" i="27"/>
  <c r="M174" i="27"/>
  <c r="J174" i="27"/>
  <c r="G174" i="27"/>
  <c r="C175" i="27"/>
  <c r="N174" i="27"/>
  <c r="E174" i="27"/>
  <c r="D174" i="27"/>
  <c r="K174" i="27"/>
  <c r="I174" i="27"/>
  <c r="H174" i="27"/>
  <c r="L174" i="27"/>
  <c r="J174" i="26"/>
  <c r="G174" i="26"/>
  <c r="F174" i="26"/>
  <c r="C175" i="26"/>
  <c r="N174" i="26"/>
  <c r="M174" i="26"/>
  <c r="L174" i="26"/>
  <c r="K174" i="26"/>
  <c r="E174" i="26"/>
  <c r="D174" i="26"/>
  <c r="I174" i="26"/>
  <c r="H174" i="26"/>
  <c r="D170" i="25"/>
  <c r="AH10" i="25" s="1"/>
  <c r="C174" i="25"/>
  <c r="N170" i="25"/>
  <c r="AR10" i="25" s="1"/>
  <c r="X54" i="22" s="1"/>
  <c r="I170" i="25"/>
  <c r="AM10" i="25" s="1"/>
  <c r="X49" i="22" s="1"/>
  <c r="H170" i="25"/>
  <c r="AL10" i="25" s="1"/>
  <c r="X48" i="22" s="1"/>
  <c r="G170" i="25"/>
  <c r="AK10" i="25" s="1"/>
  <c r="X47" i="22" s="1"/>
  <c r="F170" i="25"/>
  <c r="AJ10" i="25" s="1"/>
  <c r="X46" i="22" s="1"/>
  <c r="E170" i="25"/>
  <c r="AI10" i="25" s="1"/>
  <c r="X45" i="22" s="1"/>
  <c r="K170" i="25"/>
  <c r="AO10" i="25" s="1"/>
  <c r="X51" i="22" s="1"/>
  <c r="J170" i="25"/>
  <c r="AN10" i="25" s="1"/>
  <c r="X50" i="22" s="1"/>
  <c r="M170" i="25"/>
  <c r="AQ10" i="25" s="1"/>
  <c r="X53" i="22" s="1"/>
  <c r="L170" i="25"/>
  <c r="AP10" i="25" s="1"/>
  <c r="X52" i="22" s="1"/>
  <c r="M167" i="20"/>
  <c r="E167" i="20"/>
  <c r="L167" i="20"/>
  <c r="D167" i="20"/>
  <c r="K167" i="20"/>
  <c r="J167" i="20"/>
  <c r="C168" i="20"/>
  <c r="G167" i="20"/>
  <c r="N167" i="20"/>
  <c r="I167" i="20"/>
  <c r="F167" i="20"/>
  <c r="H167" i="20"/>
  <c r="I168" i="19"/>
  <c r="C169" i="19"/>
  <c r="G168" i="19"/>
  <c r="M168" i="19"/>
  <c r="E168" i="19"/>
  <c r="H168" i="19"/>
  <c r="F168" i="19"/>
  <c r="D168" i="19"/>
  <c r="N168" i="19"/>
  <c r="K168" i="19"/>
  <c r="L168" i="19"/>
  <c r="J168" i="19"/>
  <c r="C168" i="18"/>
  <c r="G167" i="18"/>
  <c r="M167" i="18"/>
  <c r="E167" i="18"/>
  <c r="L167" i="18"/>
  <c r="D167" i="18"/>
  <c r="K167" i="18"/>
  <c r="J167" i="18"/>
  <c r="I167" i="18"/>
  <c r="H167" i="18"/>
  <c r="F167" i="18"/>
  <c r="N167" i="18"/>
  <c r="G175" i="1" l="1"/>
  <c r="F175" i="1"/>
  <c r="E175" i="1"/>
  <c r="M175" i="1"/>
  <c r="K175" i="1"/>
  <c r="C176" i="1"/>
  <c r="L175" i="1"/>
  <c r="I175" i="1"/>
  <c r="J175" i="1"/>
  <c r="H175" i="1"/>
  <c r="N175" i="1"/>
  <c r="D175" i="1"/>
  <c r="X55" i="22"/>
  <c r="X57" i="22" s="1"/>
  <c r="J175" i="27"/>
  <c r="D175" i="27"/>
  <c r="N175" i="27"/>
  <c r="C176" i="27"/>
  <c r="M175" i="27"/>
  <c r="F175" i="27"/>
  <c r="E175" i="27"/>
  <c r="L175" i="27"/>
  <c r="K175" i="27"/>
  <c r="I175" i="27"/>
  <c r="H175" i="27"/>
  <c r="G175" i="27"/>
  <c r="D175" i="26"/>
  <c r="C176" i="26"/>
  <c r="M175" i="26"/>
  <c r="L175" i="26"/>
  <c r="I175" i="26"/>
  <c r="H175" i="26"/>
  <c r="N175" i="26"/>
  <c r="K175" i="26"/>
  <c r="J175" i="26"/>
  <c r="G175" i="26"/>
  <c r="F175" i="26"/>
  <c r="E175" i="26"/>
  <c r="H174" i="25"/>
  <c r="I174" i="25"/>
  <c r="D174" i="25"/>
  <c r="C175" i="25"/>
  <c r="N174" i="25"/>
  <c r="M174" i="25"/>
  <c r="L174" i="25"/>
  <c r="K174" i="25"/>
  <c r="J174" i="25"/>
  <c r="G174" i="25"/>
  <c r="F174" i="25"/>
  <c r="E174" i="25"/>
  <c r="I168" i="20"/>
  <c r="H168" i="20"/>
  <c r="C169" i="20"/>
  <c r="G168" i="20"/>
  <c r="N168" i="20"/>
  <c r="F168" i="20"/>
  <c r="K168" i="20"/>
  <c r="J168" i="20"/>
  <c r="E168" i="20"/>
  <c r="D168" i="20"/>
  <c r="M168" i="20"/>
  <c r="L168" i="20"/>
  <c r="M169" i="19"/>
  <c r="E169" i="19"/>
  <c r="K169" i="19"/>
  <c r="I169" i="19"/>
  <c r="H169" i="19"/>
  <c r="G169" i="19"/>
  <c r="F169" i="19"/>
  <c r="D169" i="19"/>
  <c r="C170" i="19"/>
  <c r="L169" i="19"/>
  <c r="N169" i="19"/>
  <c r="J169" i="19"/>
  <c r="K168" i="18"/>
  <c r="I168" i="18"/>
  <c r="H168" i="18"/>
  <c r="C169" i="18"/>
  <c r="G168" i="18"/>
  <c r="N168" i="18"/>
  <c r="F168" i="18"/>
  <c r="M168" i="18"/>
  <c r="E168" i="18"/>
  <c r="L168" i="18"/>
  <c r="D168" i="18"/>
  <c r="J168" i="18"/>
  <c r="H176" i="1" l="1"/>
  <c r="F176" i="1"/>
  <c r="C177" i="1"/>
  <c r="K176" i="1"/>
  <c r="G176" i="1"/>
  <c r="E176" i="1"/>
  <c r="D176" i="1"/>
  <c r="J176" i="1"/>
  <c r="L176" i="1"/>
  <c r="I176" i="1"/>
  <c r="N176" i="1"/>
  <c r="M176" i="1"/>
  <c r="N176" i="27"/>
  <c r="I176" i="27"/>
  <c r="F176" i="27"/>
  <c r="E176" i="27"/>
  <c r="M176" i="27"/>
  <c r="L176" i="27"/>
  <c r="H176" i="27"/>
  <c r="G176" i="27"/>
  <c r="J176" i="27"/>
  <c r="C177" i="27"/>
  <c r="K176" i="27"/>
  <c r="D176" i="27"/>
  <c r="H176" i="26"/>
  <c r="D176" i="26"/>
  <c r="G176" i="26"/>
  <c r="F176" i="26"/>
  <c r="E176" i="26"/>
  <c r="L176" i="26"/>
  <c r="K176" i="26"/>
  <c r="J176" i="26"/>
  <c r="I176" i="26"/>
  <c r="C177" i="26"/>
  <c r="N176" i="26"/>
  <c r="M176" i="26"/>
  <c r="L175" i="25"/>
  <c r="N175" i="25"/>
  <c r="J175" i="25"/>
  <c r="I175" i="25"/>
  <c r="H175" i="25"/>
  <c r="F175" i="25"/>
  <c r="E175" i="25"/>
  <c r="D175" i="25"/>
  <c r="C176" i="25"/>
  <c r="M175" i="25"/>
  <c r="K175" i="25"/>
  <c r="G175" i="25"/>
  <c r="M169" i="20"/>
  <c r="E169" i="20"/>
  <c r="L169" i="20"/>
  <c r="D169" i="20"/>
  <c r="K169" i="20"/>
  <c r="J169" i="20"/>
  <c r="C170" i="20"/>
  <c r="G169" i="20"/>
  <c r="N169" i="20"/>
  <c r="I169" i="20"/>
  <c r="H169" i="20"/>
  <c r="F169" i="20"/>
  <c r="I170" i="19"/>
  <c r="AM10" i="19" s="1"/>
  <c r="X49" i="12" s="1"/>
  <c r="C174" i="19"/>
  <c r="G170" i="19"/>
  <c r="AK10" i="19" s="1"/>
  <c r="X47" i="12" s="1"/>
  <c r="M170" i="19"/>
  <c r="AQ10" i="19" s="1"/>
  <c r="X53" i="12" s="1"/>
  <c r="E170" i="19"/>
  <c r="AI10" i="19" s="1"/>
  <c r="J170" i="19"/>
  <c r="AN10" i="19" s="1"/>
  <c r="X50" i="12" s="1"/>
  <c r="H170" i="19"/>
  <c r="AL10" i="19" s="1"/>
  <c r="X48" i="12" s="1"/>
  <c r="F170" i="19"/>
  <c r="AJ10" i="19" s="1"/>
  <c r="X46" i="12" s="1"/>
  <c r="D170" i="19"/>
  <c r="AH10" i="19" s="1"/>
  <c r="L170" i="19"/>
  <c r="AP10" i="19" s="1"/>
  <c r="X52" i="12" s="1"/>
  <c r="N170" i="19"/>
  <c r="AR10" i="19" s="1"/>
  <c r="X54" i="12" s="1"/>
  <c r="K170" i="19"/>
  <c r="AO10" i="19" s="1"/>
  <c r="X51" i="12" s="1"/>
  <c r="C170" i="18"/>
  <c r="G169" i="18"/>
  <c r="M169" i="18"/>
  <c r="E169" i="18"/>
  <c r="L169" i="18"/>
  <c r="D169" i="18"/>
  <c r="K169" i="18"/>
  <c r="J169" i="18"/>
  <c r="I169" i="18"/>
  <c r="N169" i="18"/>
  <c r="H169" i="18"/>
  <c r="F169" i="18"/>
  <c r="G177" i="1" l="1"/>
  <c r="E177" i="1"/>
  <c r="K177" i="1"/>
  <c r="H177" i="1"/>
  <c r="J177" i="1"/>
  <c r="I177" i="1"/>
  <c r="C178" i="1"/>
  <c r="F177" i="1"/>
  <c r="N177" i="1"/>
  <c r="M177" i="1"/>
  <c r="L177" i="1"/>
  <c r="D177" i="1"/>
  <c r="N177" i="27"/>
  <c r="K177" i="27"/>
  <c r="M177" i="27"/>
  <c r="I177" i="27"/>
  <c r="D177" i="27"/>
  <c r="C178" i="27"/>
  <c r="L177" i="27"/>
  <c r="J177" i="27"/>
  <c r="H177" i="27"/>
  <c r="G177" i="27"/>
  <c r="F177" i="27"/>
  <c r="E177" i="27"/>
  <c r="L177" i="26"/>
  <c r="H177" i="26"/>
  <c r="G177" i="26"/>
  <c r="F177" i="26"/>
  <c r="E177" i="26"/>
  <c r="D177" i="26"/>
  <c r="C178" i="26"/>
  <c r="N177" i="26"/>
  <c r="M177" i="26"/>
  <c r="K177" i="26"/>
  <c r="J177" i="26"/>
  <c r="I177" i="26"/>
  <c r="C177" i="25"/>
  <c r="N176" i="25"/>
  <c r="M176" i="25"/>
  <c r="L176" i="25"/>
  <c r="K176" i="25"/>
  <c r="J176" i="25"/>
  <c r="G176" i="25"/>
  <c r="F176" i="25"/>
  <c r="E176" i="25"/>
  <c r="D176" i="25"/>
  <c r="I176" i="25"/>
  <c r="H176" i="25"/>
  <c r="X45" i="12"/>
  <c r="X55" i="12" s="1"/>
  <c r="X57" i="12" s="1"/>
  <c r="I170" i="20"/>
  <c r="AM10" i="20" s="1"/>
  <c r="H170" i="20"/>
  <c r="AL10" i="20" s="1"/>
  <c r="C174" i="20"/>
  <c r="G170" i="20"/>
  <c r="AK10" i="20" s="1"/>
  <c r="N170" i="20"/>
  <c r="AR10" i="20" s="1"/>
  <c r="F170" i="20"/>
  <c r="AJ10" i="20" s="1"/>
  <c r="K170" i="20"/>
  <c r="AO10" i="20" s="1"/>
  <c r="E170" i="20"/>
  <c r="AI10" i="20" s="1"/>
  <c r="D170" i="20"/>
  <c r="AH10" i="20" s="1"/>
  <c r="L170" i="20"/>
  <c r="AP10" i="20" s="1"/>
  <c r="M170" i="20"/>
  <c r="AQ10" i="20" s="1"/>
  <c r="J170" i="20"/>
  <c r="AN10" i="20" s="1"/>
  <c r="M174" i="19"/>
  <c r="E174" i="19"/>
  <c r="K174" i="19"/>
  <c r="I174" i="19"/>
  <c r="J174" i="19"/>
  <c r="H174" i="19"/>
  <c r="G174" i="19"/>
  <c r="F174" i="19"/>
  <c r="D174" i="19"/>
  <c r="N174" i="19"/>
  <c r="C175" i="19"/>
  <c r="L174" i="19"/>
  <c r="K170" i="18"/>
  <c r="AO10" i="18" s="1"/>
  <c r="I170" i="18"/>
  <c r="AM10" i="18" s="1"/>
  <c r="H170" i="18"/>
  <c r="AL10" i="18" s="1"/>
  <c r="C174" i="18"/>
  <c r="G170" i="18"/>
  <c r="AK10" i="18" s="1"/>
  <c r="N170" i="18"/>
  <c r="AR10" i="18" s="1"/>
  <c r="F170" i="18"/>
  <c r="AJ10" i="18" s="1"/>
  <c r="M170" i="18"/>
  <c r="AQ10" i="18" s="1"/>
  <c r="E170" i="18"/>
  <c r="AI10" i="18" s="1"/>
  <c r="D170" i="18"/>
  <c r="AH10" i="18" s="1"/>
  <c r="L170" i="18"/>
  <c r="AP10" i="18" s="1"/>
  <c r="J170" i="18"/>
  <c r="AN10" i="18" s="1"/>
  <c r="F178" i="1" l="1"/>
  <c r="E178" i="1"/>
  <c r="G178" i="1"/>
  <c r="N178" i="1"/>
  <c r="K178" i="1"/>
  <c r="M178" i="1"/>
  <c r="I178" i="1"/>
  <c r="C179" i="1"/>
  <c r="L178" i="1"/>
  <c r="H178" i="1"/>
  <c r="D178" i="1"/>
  <c r="J178" i="1"/>
  <c r="F178" i="27"/>
  <c r="K178" i="27"/>
  <c r="J178" i="27"/>
  <c r="I178" i="27"/>
  <c r="H178" i="27"/>
  <c r="E178" i="27"/>
  <c r="D178" i="27"/>
  <c r="C179" i="27"/>
  <c r="N178" i="27"/>
  <c r="M178" i="27"/>
  <c r="L178" i="27"/>
  <c r="G178" i="27"/>
  <c r="M178" i="26"/>
  <c r="N178" i="26"/>
  <c r="L178" i="26"/>
  <c r="C179" i="26"/>
  <c r="I178" i="26"/>
  <c r="H178" i="26"/>
  <c r="G178" i="26"/>
  <c r="F178" i="26"/>
  <c r="E178" i="26"/>
  <c r="D178" i="26"/>
  <c r="K178" i="26"/>
  <c r="J178" i="26"/>
  <c r="D177" i="25"/>
  <c r="G177" i="25"/>
  <c r="E177" i="25"/>
  <c r="H177" i="25"/>
  <c r="F177" i="25"/>
  <c r="C178" i="25"/>
  <c r="N177" i="25"/>
  <c r="M177" i="25"/>
  <c r="L177" i="25"/>
  <c r="K177" i="25"/>
  <c r="J177" i="25"/>
  <c r="I177" i="25"/>
  <c r="M174" i="20"/>
  <c r="E174" i="20"/>
  <c r="L174" i="20"/>
  <c r="D174" i="20"/>
  <c r="K174" i="20"/>
  <c r="J174" i="20"/>
  <c r="C175" i="20"/>
  <c r="G174" i="20"/>
  <c r="N174" i="20"/>
  <c r="I174" i="20"/>
  <c r="H174" i="20"/>
  <c r="F174" i="20"/>
  <c r="I175" i="19"/>
  <c r="C176" i="19"/>
  <c r="G175" i="19"/>
  <c r="M175" i="19"/>
  <c r="E175" i="19"/>
  <c r="K175" i="19"/>
  <c r="J175" i="19"/>
  <c r="H175" i="19"/>
  <c r="F175" i="19"/>
  <c r="D175" i="19"/>
  <c r="N175" i="19"/>
  <c r="L175" i="19"/>
  <c r="C175" i="18"/>
  <c r="G174" i="18"/>
  <c r="M174" i="18"/>
  <c r="E174" i="18"/>
  <c r="L174" i="18"/>
  <c r="D174" i="18"/>
  <c r="K174" i="18"/>
  <c r="J174" i="18"/>
  <c r="I174" i="18"/>
  <c r="N174" i="18"/>
  <c r="H174" i="18"/>
  <c r="F174" i="18"/>
  <c r="G179" i="1" l="1"/>
  <c r="F179" i="1"/>
  <c r="E179" i="1"/>
  <c r="D179" i="1"/>
  <c r="J179" i="1"/>
  <c r="I179" i="1"/>
  <c r="M179" i="1"/>
  <c r="L179" i="1"/>
  <c r="H179" i="1"/>
  <c r="K179" i="1"/>
  <c r="C180" i="1"/>
  <c r="N179" i="1"/>
  <c r="J179" i="27"/>
  <c r="G179" i="27"/>
  <c r="D179" i="27"/>
  <c r="I179" i="27"/>
  <c r="E179" i="27"/>
  <c r="L179" i="27"/>
  <c r="F179" i="27"/>
  <c r="K179" i="27"/>
  <c r="H179" i="27"/>
  <c r="C180" i="27"/>
  <c r="N179" i="27"/>
  <c r="M179" i="27"/>
  <c r="D179" i="26"/>
  <c r="E179" i="26"/>
  <c r="M179" i="26"/>
  <c r="L179" i="26"/>
  <c r="K179" i="26"/>
  <c r="C180" i="26"/>
  <c r="N179" i="26"/>
  <c r="J179" i="26"/>
  <c r="G179" i="26"/>
  <c r="F179" i="26"/>
  <c r="I179" i="26"/>
  <c r="H179" i="26"/>
  <c r="H178" i="25"/>
  <c r="L178" i="25"/>
  <c r="K178" i="25"/>
  <c r="J178" i="25"/>
  <c r="I178" i="25"/>
  <c r="C179" i="25"/>
  <c r="N178" i="25"/>
  <c r="M178" i="25"/>
  <c r="G178" i="25"/>
  <c r="F178" i="25"/>
  <c r="E178" i="25"/>
  <c r="D178" i="25"/>
  <c r="I175" i="20"/>
  <c r="H175" i="20"/>
  <c r="C176" i="20"/>
  <c r="G175" i="20"/>
  <c r="N175" i="20"/>
  <c r="F175" i="20"/>
  <c r="K175" i="20"/>
  <c r="D175" i="20"/>
  <c r="M175" i="20"/>
  <c r="J175" i="20"/>
  <c r="L175" i="20"/>
  <c r="E175" i="20"/>
  <c r="N176" i="19"/>
  <c r="M176" i="19"/>
  <c r="E176" i="19"/>
  <c r="K176" i="19"/>
  <c r="I176" i="19"/>
  <c r="L176" i="19"/>
  <c r="J176" i="19"/>
  <c r="H176" i="19"/>
  <c r="G176" i="19"/>
  <c r="F176" i="19"/>
  <c r="C177" i="19"/>
  <c r="D176" i="19"/>
  <c r="K175" i="18"/>
  <c r="I175" i="18"/>
  <c r="H175" i="18"/>
  <c r="C176" i="18"/>
  <c r="G175" i="18"/>
  <c r="N175" i="18"/>
  <c r="F175" i="18"/>
  <c r="M175" i="18"/>
  <c r="E175" i="18"/>
  <c r="L175" i="18"/>
  <c r="J175" i="18"/>
  <c r="D175" i="18"/>
  <c r="L180" i="1" l="1"/>
  <c r="M180" i="1"/>
  <c r="C181" i="1"/>
  <c r="E180" i="1"/>
  <c r="F180" i="1"/>
  <c r="N180" i="1"/>
  <c r="K180" i="1"/>
  <c r="H180" i="1"/>
  <c r="D180" i="1"/>
  <c r="J180" i="1"/>
  <c r="I180" i="1"/>
  <c r="G180" i="1"/>
  <c r="N180" i="27"/>
  <c r="L180" i="27"/>
  <c r="I180" i="27"/>
  <c r="M180" i="27"/>
  <c r="H180" i="27"/>
  <c r="G180" i="27"/>
  <c r="K180" i="27"/>
  <c r="J180" i="27"/>
  <c r="E180" i="27"/>
  <c r="D180" i="27"/>
  <c r="F180" i="27"/>
  <c r="C181" i="27"/>
  <c r="H180" i="26"/>
  <c r="F180" i="26"/>
  <c r="I180" i="26"/>
  <c r="G180" i="26"/>
  <c r="M180" i="26"/>
  <c r="L180" i="26"/>
  <c r="C181" i="26"/>
  <c r="N180" i="26"/>
  <c r="K180" i="26"/>
  <c r="J180" i="26"/>
  <c r="E180" i="26"/>
  <c r="D180" i="26"/>
  <c r="L179" i="25"/>
  <c r="C180" i="25"/>
  <c r="E179" i="25"/>
  <c r="D179" i="25"/>
  <c r="I179" i="25"/>
  <c r="H179" i="25"/>
  <c r="G179" i="25"/>
  <c r="F179" i="25"/>
  <c r="N179" i="25"/>
  <c r="M179" i="25"/>
  <c r="K179" i="25"/>
  <c r="J179" i="25"/>
  <c r="M176" i="20"/>
  <c r="E176" i="20"/>
  <c r="L176" i="20"/>
  <c r="D176" i="20"/>
  <c r="K176" i="20"/>
  <c r="J176" i="20"/>
  <c r="C177" i="20"/>
  <c r="G176" i="20"/>
  <c r="N176" i="20"/>
  <c r="I176" i="20"/>
  <c r="H176" i="20"/>
  <c r="F176" i="20"/>
  <c r="J177" i="19"/>
  <c r="I177" i="19"/>
  <c r="C178" i="19"/>
  <c r="G177" i="19"/>
  <c r="M177" i="19"/>
  <c r="E177" i="19"/>
  <c r="N177" i="19"/>
  <c r="L177" i="19"/>
  <c r="K177" i="19"/>
  <c r="H177" i="19"/>
  <c r="D177" i="19"/>
  <c r="F177" i="19"/>
  <c r="C177" i="18"/>
  <c r="G176" i="18"/>
  <c r="M176" i="18"/>
  <c r="E176" i="18"/>
  <c r="L176" i="18"/>
  <c r="D176" i="18"/>
  <c r="K176" i="18"/>
  <c r="J176" i="18"/>
  <c r="I176" i="18"/>
  <c r="H176" i="18"/>
  <c r="N176" i="18"/>
  <c r="F176" i="18"/>
  <c r="I181" i="1" l="1"/>
  <c r="J181" i="1"/>
  <c r="L181" i="1"/>
  <c r="H181" i="1"/>
  <c r="F181" i="1"/>
  <c r="C182" i="1"/>
  <c r="E181" i="1"/>
  <c r="D181" i="1"/>
  <c r="M181" i="1"/>
  <c r="N181" i="1"/>
  <c r="G181" i="1"/>
  <c r="K181" i="1"/>
  <c r="N181" i="27"/>
  <c r="E181" i="27"/>
  <c r="L181" i="27"/>
  <c r="C182" i="27"/>
  <c r="M181" i="27"/>
  <c r="J181" i="27"/>
  <c r="I181" i="27"/>
  <c r="H181" i="27"/>
  <c r="G181" i="27"/>
  <c r="F181" i="27"/>
  <c r="D181" i="27"/>
  <c r="K181" i="27"/>
  <c r="L181" i="26"/>
  <c r="K181" i="26"/>
  <c r="C182" i="26"/>
  <c r="N181" i="26"/>
  <c r="M181" i="26"/>
  <c r="J181" i="26"/>
  <c r="I181" i="26"/>
  <c r="D181" i="26"/>
  <c r="H181" i="26"/>
  <c r="G181" i="26"/>
  <c r="F181" i="26"/>
  <c r="E181" i="26"/>
  <c r="E180" i="25"/>
  <c r="F180" i="25"/>
  <c r="D180" i="25"/>
  <c r="N180" i="25"/>
  <c r="M180" i="25"/>
  <c r="L180" i="25"/>
  <c r="K180" i="25"/>
  <c r="J180" i="25"/>
  <c r="I180" i="25"/>
  <c r="C181" i="25"/>
  <c r="H180" i="25"/>
  <c r="G180" i="25"/>
  <c r="I177" i="20"/>
  <c r="H177" i="20"/>
  <c r="C178" i="20"/>
  <c r="G177" i="20"/>
  <c r="N177" i="20"/>
  <c r="F177" i="20"/>
  <c r="K177" i="20"/>
  <c r="M177" i="20"/>
  <c r="L177" i="20"/>
  <c r="E177" i="20"/>
  <c r="J177" i="20"/>
  <c r="D177" i="20"/>
  <c r="N178" i="19"/>
  <c r="F178" i="19"/>
  <c r="M178" i="19"/>
  <c r="E178" i="19"/>
  <c r="K178" i="19"/>
  <c r="I178" i="19"/>
  <c r="D178" i="19"/>
  <c r="C179" i="19"/>
  <c r="L178" i="19"/>
  <c r="H178" i="19"/>
  <c r="J178" i="19"/>
  <c r="G178" i="19"/>
  <c r="K177" i="18"/>
  <c r="I177" i="18"/>
  <c r="H177" i="18"/>
  <c r="C178" i="18"/>
  <c r="G177" i="18"/>
  <c r="N177" i="18"/>
  <c r="F177" i="18"/>
  <c r="M177" i="18"/>
  <c r="E177" i="18"/>
  <c r="L177" i="18"/>
  <c r="J177" i="18"/>
  <c r="D177" i="18"/>
  <c r="H182" i="1" l="1"/>
  <c r="G182" i="1"/>
  <c r="F182" i="1"/>
  <c r="N182" i="1"/>
  <c r="K182" i="1"/>
  <c r="M182" i="1"/>
  <c r="I182" i="1"/>
  <c r="J182" i="1"/>
  <c r="C183" i="1"/>
  <c r="D182" i="1"/>
  <c r="E182" i="1"/>
  <c r="L182" i="1"/>
  <c r="F182" i="27"/>
  <c r="E182" i="27"/>
  <c r="L182" i="27"/>
  <c r="I182" i="27"/>
  <c r="H182" i="27"/>
  <c r="G182" i="27"/>
  <c r="N182" i="27"/>
  <c r="M182" i="27"/>
  <c r="J182" i="27"/>
  <c r="D182" i="27"/>
  <c r="K182" i="27"/>
  <c r="C183" i="27"/>
  <c r="I182" i="26"/>
  <c r="H182" i="26"/>
  <c r="C183" i="26"/>
  <c r="N182" i="26"/>
  <c r="M182" i="26"/>
  <c r="L182" i="26"/>
  <c r="K182" i="26"/>
  <c r="J182" i="26"/>
  <c r="G182" i="26"/>
  <c r="E182" i="26"/>
  <c r="D182" i="26"/>
  <c r="F182" i="26"/>
  <c r="D181" i="25"/>
  <c r="J181" i="25"/>
  <c r="L181" i="25"/>
  <c r="K181" i="25"/>
  <c r="I181" i="25"/>
  <c r="C182" i="25"/>
  <c r="N181" i="25"/>
  <c r="M181" i="25"/>
  <c r="H181" i="25"/>
  <c r="G181" i="25"/>
  <c r="F181" i="25"/>
  <c r="E181" i="25"/>
  <c r="M178" i="20"/>
  <c r="E178" i="20"/>
  <c r="L178" i="20"/>
  <c r="D178" i="20"/>
  <c r="K178" i="20"/>
  <c r="J178" i="20"/>
  <c r="C179" i="20"/>
  <c r="G178" i="20"/>
  <c r="I178" i="20"/>
  <c r="H178" i="20"/>
  <c r="F178" i="20"/>
  <c r="N178" i="20"/>
  <c r="J179" i="19"/>
  <c r="I179" i="19"/>
  <c r="C180" i="19"/>
  <c r="G179" i="19"/>
  <c r="M179" i="19"/>
  <c r="E179" i="19"/>
  <c r="H179" i="19"/>
  <c r="F179" i="19"/>
  <c r="D179" i="19"/>
  <c r="L179" i="19"/>
  <c r="N179" i="19"/>
  <c r="K179" i="19"/>
  <c r="C179" i="18"/>
  <c r="G178" i="18"/>
  <c r="M178" i="18"/>
  <c r="E178" i="18"/>
  <c r="L178" i="18"/>
  <c r="D178" i="18"/>
  <c r="K178" i="18"/>
  <c r="J178" i="18"/>
  <c r="I178" i="18"/>
  <c r="H178" i="18"/>
  <c r="F178" i="18"/>
  <c r="N178" i="18"/>
  <c r="I183" i="1" l="1"/>
  <c r="D183" i="1"/>
  <c r="N183" i="1"/>
  <c r="G183" i="1"/>
  <c r="J183" i="1"/>
  <c r="M183" i="1"/>
  <c r="H183" i="1"/>
  <c r="F183" i="1"/>
  <c r="E183" i="1"/>
  <c r="L183" i="1"/>
  <c r="K183" i="1"/>
  <c r="C184" i="1"/>
  <c r="J183" i="27"/>
  <c r="K183" i="27"/>
  <c r="G183" i="27"/>
  <c r="C184" i="27"/>
  <c r="N183" i="27"/>
  <c r="M183" i="27"/>
  <c r="L183" i="27"/>
  <c r="I183" i="27"/>
  <c r="H183" i="27"/>
  <c r="F183" i="27"/>
  <c r="E183" i="27"/>
  <c r="D183" i="27"/>
  <c r="D183" i="26"/>
  <c r="E183" i="26"/>
  <c r="I183" i="26"/>
  <c r="H183" i="26"/>
  <c r="M183" i="26"/>
  <c r="L183" i="26"/>
  <c r="K183" i="26"/>
  <c r="G183" i="26"/>
  <c r="F183" i="26"/>
  <c r="C184" i="26"/>
  <c r="N183" i="26"/>
  <c r="J183" i="26"/>
  <c r="H182" i="25"/>
  <c r="C183" i="25"/>
  <c r="L182" i="25"/>
  <c r="K182" i="25"/>
  <c r="J182" i="25"/>
  <c r="I182" i="25"/>
  <c r="G182" i="25"/>
  <c r="F182" i="25"/>
  <c r="E182" i="25"/>
  <c r="D182" i="25"/>
  <c r="N182" i="25"/>
  <c r="M182" i="25"/>
  <c r="I179" i="20"/>
  <c r="H179" i="20"/>
  <c r="C180" i="20"/>
  <c r="G179" i="20"/>
  <c r="N179" i="20"/>
  <c r="F179" i="20"/>
  <c r="K179" i="20"/>
  <c r="M179" i="20"/>
  <c r="L179" i="20"/>
  <c r="J179" i="20"/>
  <c r="D179" i="20"/>
  <c r="E179" i="20"/>
  <c r="N180" i="19"/>
  <c r="F180" i="19"/>
  <c r="M180" i="19"/>
  <c r="E180" i="19"/>
  <c r="K180" i="19"/>
  <c r="I180" i="19"/>
  <c r="L180" i="19"/>
  <c r="J180" i="19"/>
  <c r="H180" i="19"/>
  <c r="G180" i="19"/>
  <c r="D180" i="19"/>
  <c r="C181" i="19"/>
  <c r="K179" i="18"/>
  <c r="I179" i="18"/>
  <c r="H179" i="18"/>
  <c r="C180" i="18"/>
  <c r="G179" i="18"/>
  <c r="N179" i="18"/>
  <c r="F179" i="18"/>
  <c r="M179" i="18"/>
  <c r="E179" i="18"/>
  <c r="L179" i="18"/>
  <c r="D179" i="18"/>
  <c r="J179" i="18"/>
  <c r="L184" i="1" l="1"/>
  <c r="E184" i="1"/>
  <c r="D184" i="1"/>
  <c r="I184" i="1"/>
  <c r="M184" i="1"/>
  <c r="H184" i="1"/>
  <c r="C185" i="1"/>
  <c r="N184" i="1"/>
  <c r="K184" i="1"/>
  <c r="J184" i="1"/>
  <c r="G184" i="1"/>
  <c r="F184" i="1"/>
  <c r="N184" i="27"/>
  <c r="L184" i="27"/>
  <c r="G184" i="27"/>
  <c r="D184" i="27"/>
  <c r="F184" i="27"/>
  <c r="E184" i="27"/>
  <c r="C185" i="27"/>
  <c r="M184" i="27"/>
  <c r="J184" i="27"/>
  <c r="I184" i="27"/>
  <c r="K184" i="27"/>
  <c r="H184" i="27"/>
  <c r="H184" i="26"/>
  <c r="J184" i="26"/>
  <c r="C185" i="26"/>
  <c r="N184" i="26"/>
  <c r="E184" i="26"/>
  <c r="D184" i="26"/>
  <c r="M184" i="26"/>
  <c r="L184" i="26"/>
  <c r="I184" i="26"/>
  <c r="G184" i="26"/>
  <c r="F184" i="26"/>
  <c r="K184" i="26"/>
  <c r="L183" i="25"/>
  <c r="F183" i="25"/>
  <c r="E183" i="25"/>
  <c r="D183" i="25"/>
  <c r="C184" i="25"/>
  <c r="N183" i="25"/>
  <c r="M183" i="25"/>
  <c r="K183" i="25"/>
  <c r="J183" i="25"/>
  <c r="I183" i="25"/>
  <c r="H183" i="25"/>
  <c r="G183" i="25"/>
  <c r="M180" i="20"/>
  <c r="E180" i="20"/>
  <c r="L180" i="20"/>
  <c r="D180" i="20"/>
  <c r="K180" i="20"/>
  <c r="J180" i="20"/>
  <c r="C181" i="20"/>
  <c r="G180" i="20"/>
  <c r="H180" i="20"/>
  <c r="F180" i="20"/>
  <c r="N180" i="20"/>
  <c r="I180" i="20"/>
  <c r="J181" i="19"/>
  <c r="I181" i="19"/>
  <c r="C182" i="19"/>
  <c r="G181" i="19"/>
  <c r="M181" i="19"/>
  <c r="E181" i="19"/>
  <c r="N181" i="19"/>
  <c r="L181" i="19"/>
  <c r="K181" i="19"/>
  <c r="H181" i="19"/>
  <c r="D181" i="19"/>
  <c r="F181" i="19"/>
  <c r="C181" i="18"/>
  <c r="G180" i="18"/>
  <c r="M180" i="18"/>
  <c r="E180" i="18"/>
  <c r="L180" i="18"/>
  <c r="D180" i="18"/>
  <c r="K180" i="18"/>
  <c r="J180" i="18"/>
  <c r="I180" i="18"/>
  <c r="N180" i="18"/>
  <c r="H180" i="18"/>
  <c r="F180" i="18"/>
  <c r="H185" i="1" l="1"/>
  <c r="G185" i="1"/>
  <c r="L185" i="1"/>
  <c r="E185" i="1"/>
  <c r="N185" i="1"/>
  <c r="K185" i="1"/>
  <c r="D185" i="1"/>
  <c r="J185" i="1"/>
  <c r="F185" i="1"/>
  <c r="C186" i="1"/>
  <c r="M185" i="1"/>
  <c r="I185" i="1"/>
  <c r="D185" i="27"/>
  <c r="N185" i="27"/>
  <c r="K185" i="27"/>
  <c r="C186" i="27"/>
  <c r="H185" i="27"/>
  <c r="E185" i="27"/>
  <c r="G185" i="27"/>
  <c r="F185" i="27"/>
  <c r="L185" i="27"/>
  <c r="J185" i="27"/>
  <c r="I185" i="27"/>
  <c r="M185" i="27"/>
  <c r="L185" i="26"/>
  <c r="C186" i="26"/>
  <c r="N185" i="26"/>
  <c r="M185" i="26"/>
  <c r="K185" i="26"/>
  <c r="J185" i="26"/>
  <c r="I185" i="26"/>
  <c r="H185" i="26"/>
  <c r="G185" i="26"/>
  <c r="F185" i="26"/>
  <c r="E185" i="26"/>
  <c r="D185" i="26"/>
  <c r="H184" i="25"/>
  <c r="L184" i="25"/>
  <c r="K184" i="25"/>
  <c r="J184" i="25"/>
  <c r="M184" i="25"/>
  <c r="I184" i="25"/>
  <c r="G184" i="25"/>
  <c r="F184" i="25"/>
  <c r="E184" i="25"/>
  <c r="D184" i="25"/>
  <c r="C185" i="25"/>
  <c r="N184" i="25"/>
  <c r="I181" i="20"/>
  <c r="H181" i="20"/>
  <c r="C182" i="20"/>
  <c r="G181" i="20"/>
  <c r="N181" i="20"/>
  <c r="F181" i="20"/>
  <c r="K181" i="20"/>
  <c r="M181" i="20"/>
  <c r="L181" i="20"/>
  <c r="J181" i="20"/>
  <c r="E181" i="20"/>
  <c r="D181" i="20"/>
  <c r="N182" i="19"/>
  <c r="F182" i="19"/>
  <c r="M182" i="19"/>
  <c r="E182" i="19"/>
  <c r="K182" i="19"/>
  <c r="I182" i="19"/>
  <c r="D182" i="19"/>
  <c r="C183" i="19"/>
  <c r="L182" i="19"/>
  <c r="H182" i="19"/>
  <c r="J182" i="19"/>
  <c r="G182" i="19"/>
  <c r="K181" i="18"/>
  <c r="I181" i="18"/>
  <c r="H181" i="18"/>
  <c r="C182" i="18"/>
  <c r="G181" i="18"/>
  <c r="N181" i="18"/>
  <c r="F181" i="18"/>
  <c r="M181" i="18"/>
  <c r="E181" i="18"/>
  <c r="D181" i="18"/>
  <c r="L181" i="18"/>
  <c r="J181" i="18"/>
  <c r="I186" i="1" l="1"/>
  <c r="L186" i="1"/>
  <c r="F186" i="1"/>
  <c r="E186" i="1"/>
  <c r="J186" i="1"/>
  <c r="D186" i="1"/>
  <c r="N186" i="1"/>
  <c r="H186" i="1"/>
  <c r="M186" i="1"/>
  <c r="C187" i="1"/>
  <c r="G186" i="1"/>
  <c r="K186" i="1"/>
  <c r="F186" i="27"/>
  <c r="I186" i="27"/>
  <c r="E186" i="27"/>
  <c r="D186" i="27"/>
  <c r="C187" i="27"/>
  <c r="N186" i="27"/>
  <c r="L186" i="27"/>
  <c r="K186" i="27"/>
  <c r="M186" i="27"/>
  <c r="J186" i="27"/>
  <c r="H186" i="27"/>
  <c r="G186" i="27"/>
  <c r="I186" i="26"/>
  <c r="H186" i="26"/>
  <c r="E186" i="26"/>
  <c r="D186" i="26"/>
  <c r="C187" i="26"/>
  <c r="N186" i="26"/>
  <c r="M186" i="26"/>
  <c r="L186" i="26"/>
  <c r="K186" i="26"/>
  <c r="J186" i="26"/>
  <c r="G186" i="26"/>
  <c r="F186" i="26"/>
  <c r="D185" i="25"/>
  <c r="M185" i="25"/>
  <c r="C186" i="25"/>
  <c r="N185" i="25"/>
  <c r="H185" i="25"/>
  <c r="G185" i="25"/>
  <c r="F185" i="25"/>
  <c r="E185" i="25"/>
  <c r="L185" i="25"/>
  <c r="K185" i="25"/>
  <c r="J185" i="25"/>
  <c r="I185" i="25"/>
  <c r="M182" i="20"/>
  <c r="E182" i="20"/>
  <c r="L182" i="20"/>
  <c r="D182" i="20"/>
  <c r="K182" i="20"/>
  <c r="J182" i="20"/>
  <c r="C183" i="20"/>
  <c r="G182" i="20"/>
  <c r="F182" i="20"/>
  <c r="I182" i="20"/>
  <c r="N182" i="20"/>
  <c r="H182" i="20"/>
  <c r="J183" i="19"/>
  <c r="I183" i="19"/>
  <c r="C184" i="19"/>
  <c r="G183" i="19"/>
  <c r="M183" i="19"/>
  <c r="E183" i="19"/>
  <c r="H183" i="19"/>
  <c r="F183" i="19"/>
  <c r="D183" i="19"/>
  <c r="L183" i="19"/>
  <c r="N183" i="19"/>
  <c r="K183" i="19"/>
  <c r="C183" i="18"/>
  <c r="G182" i="18"/>
  <c r="M182" i="18"/>
  <c r="E182" i="18"/>
  <c r="L182" i="18"/>
  <c r="D182" i="18"/>
  <c r="K182" i="18"/>
  <c r="J182" i="18"/>
  <c r="I182" i="18"/>
  <c r="N182" i="18"/>
  <c r="H182" i="18"/>
  <c r="F182" i="18"/>
  <c r="G187" i="1" l="1"/>
  <c r="J187" i="1"/>
  <c r="F187" i="1"/>
  <c r="E187" i="1"/>
  <c r="N187" i="1"/>
  <c r="D187" i="1"/>
  <c r="M187" i="1"/>
  <c r="L187" i="1"/>
  <c r="K187" i="1"/>
  <c r="C188" i="1"/>
  <c r="H187" i="1"/>
  <c r="I187" i="1"/>
  <c r="J187" i="27"/>
  <c r="N187" i="27"/>
  <c r="K187" i="27"/>
  <c r="I187" i="27"/>
  <c r="F187" i="27"/>
  <c r="C188" i="27"/>
  <c r="L187" i="27"/>
  <c r="M187" i="27"/>
  <c r="H187" i="27"/>
  <c r="G187" i="27"/>
  <c r="E187" i="27"/>
  <c r="D187" i="27"/>
  <c r="D187" i="26"/>
  <c r="H187" i="26"/>
  <c r="C188" i="26"/>
  <c r="N187" i="26"/>
  <c r="K187" i="26"/>
  <c r="J187" i="26"/>
  <c r="M187" i="26"/>
  <c r="L187" i="26"/>
  <c r="I187" i="26"/>
  <c r="G187" i="26"/>
  <c r="F187" i="26"/>
  <c r="E187" i="26"/>
  <c r="H186" i="25"/>
  <c r="F186" i="25"/>
  <c r="E186" i="25"/>
  <c r="D186" i="25"/>
  <c r="K186" i="25"/>
  <c r="J186" i="25"/>
  <c r="I186" i="25"/>
  <c r="G186" i="25"/>
  <c r="C187" i="25"/>
  <c r="N186" i="25"/>
  <c r="M186" i="25"/>
  <c r="L186" i="25"/>
  <c r="I183" i="20"/>
  <c r="H183" i="20"/>
  <c r="C184" i="20"/>
  <c r="G183" i="20"/>
  <c r="N183" i="20"/>
  <c r="F183" i="20"/>
  <c r="K183" i="20"/>
  <c r="M183" i="20"/>
  <c r="L183" i="20"/>
  <c r="J183" i="20"/>
  <c r="E183" i="20"/>
  <c r="D183" i="20"/>
  <c r="N184" i="19"/>
  <c r="F184" i="19"/>
  <c r="M184" i="19"/>
  <c r="E184" i="19"/>
  <c r="K184" i="19"/>
  <c r="I184" i="19"/>
  <c r="L184" i="19"/>
  <c r="J184" i="19"/>
  <c r="H184" i="19"/>
  <c r="G184" i="19"/>
  <c r="D184" i="19"/>
  <c r="C185" i="19"/>
  <c r="K183" i="18"/>
  <c r="I183" i="18"/>
  <c r="H183" i="18"/>
  <c r="C184" i="18"/>
  <c r="G183" i="18"/>
  <c r="N183" i="18"/>
  <c r="F183" i="18"/>
  <c r="M183" i="18"/>
  <c r="E183" i="18"/>
  <c r="L183" i="18"/>
  <c r="J183" i="18"/>
  <c r="D183" i="18"/>
  <c r="E188" i="1" l="1"/>
  <c r="G188" i="1"/>
  <c r="N188" i="1"/>
  <c r="L188" i="1"/>
  <c r="K188" i="1"/>
  <c r="C189" i="1"/>
  <c r="H188" i="1"/>
  <c r="D188" i="1"/>
  <c r="M188" i="1"/>
  <c r="J188" i="1"/>
  <c r="F188" i="1"/>
  <c r="I188" i="1"/>
  <c r="N188" i="27"/>
  <c r="M188" i="27"/>
  <c r="D188" i="27"/>
  <c r="C189" i="27"/>
  <c r="K188" i="27"/>
  <c r="J188" i="27"/>
  <c r="F188" i="27"/>
  <c r="E188" i="27"/>
  <c r="L188" i="27"/>
  <c r="I188" i="27"/>
  <c r="H188" i="27"/>
  <c r="G188" i="27"/>
  <c r="H188" i="26"/>
  <c r="M188" i="26"/>
  <c r="I188" i="26"/>
  <c r="G188" i="26"/>
  <c r="F188" i="26"/>
  <c r="E188" i="26"/>
  <c r="D188" i="26"/>
  <c r="J188" i="26"/>
  <c r="C189" i="26"/>
  <c r="N188" i="26"/>
  <c r="L188" i="26"/>
  <c r="K188" i="26"/>
  <c r="L187" i="25"/>
  <c r="F187" i="25"/>
  <c r="M187" i="25"/>
  <c r="K187" i="25"/>
  <c r="J187" i="25"/>
  <c r="C188" i="25"/>
  <c r="N187" i="25"/>
  <c r="I187" i="25"/>
  <c r="H187" i="25"/>
  <c r="G187" i="25"/>
  <c r="E187" i="25"/>
  <c r="D187" i="25"/>
  <c r="M184" i="20"/>
  <c r="E184" i="20"/>
  <c r="L184" i="20"/>
  <c r="D184" i="20"/>
  <c r="K184" i="20"/>
  <c r="J184" i="20"/>
  <c r="C185" i="20"/>
  <c r="G184" i="20"/>
  <c r="N184" i="20"/>
  <c r="H184" i="20"/>
  <c r="I184" i="20"/>
  <c r="F184" i="20"/>
  <c r="J185" i="19"/>
  <c r="I185" i="19"/>
  <c r="C186" i="19"/>
  <c r="G185" i="19"/>
  <c r="M185" i="19"/>
  <c r="E185" i="19"/>
  <c r="N185" i="19"/>
  <c r="L185" i="19"/>
  <c r="K185" i="19"/>
  <c r="H185" i="19"/>
  <c r="D185" i="19"/>
  <c r="F185" i="19"/>
  <c r="C185" i="18"/>
  <c r="G184" i="18"/>
  <c r="M184" i="18"/>
  <c r="E184" i="18"/>
  <c r="L184" i="18"/>
  <c r="D184" i="18"/>
  <c r="K184" i="18"/>
  <c r="J184" i="18"/>
  <c r="I184" i="18"/>
  <c r="H184" i="18"/>
  <c r="N184" i="18"/>
  <c r="F184" i="18"/>
  <c r="L189" i="1" l="1"/>
  <c r="I189" i="1"/>
  <c r="H189" i="1"/>
  <c r="G189" i="1"/>
  <c r="F189" i="1"/>
  <c r="D189" i="1"/>
  <c r="C190" i="1"/>
  <c r="M189" i="1"/>
  <c r="J189" i="1"/>
  <c r="N189" i="1"/>
  <c r="E189" i="1"/>
  <c r="K189" i="1"/>
  <c r="G189" i="27"/>
  <c r="D189" i="27"/>
  <c r="F189" i="27"/>
  <c r="M189" i="27"/>
  <c r="L189" i="27"/>
  <c r="E189" i="27"/>
  <c r="J189" i="27"/>
  <c r="I189" i="27"/>
  <c r="H189" i="27"/>
  <c r="C190" i="27"/>
  <c r="N189" i="27"/>
  <c r="K189" i="27"/>
  <c r="L189" i="26"/>
  <c r="I189" i="26"/>
  <c r="H189" i="26"/>
  <c r="G189" i="26"/>
  <c r="F189" i="26"/>
  <c r="N189" i="26"/>
  <c r="M189" i="26"/>
  <c r="K189" i="26"/>
  <c r="C190" i="26"/>
  <c r="J189" i="26"/>
  <c r="E189" i="26"/>
  <c r="D189" i="26"/>
  <c r="K188" i="25"/>
  <c r="H188" i="25"/>
  <c r="G188" i="25"/>
  <c r="F188" i="25"/>
  <c r="E188" i="25"/>
  <c r="D188" i="25"/>
  <c r="J188" i="25"/>
  <c r="I188" i="25"/>
  <c r="C189" i="25"/>
  <c r="N188" i="25"/>
  <c r="M188" i="25"/>
  <c r="L188" i="25"/>
  <c r="I185" i="20"/>
  <c r="H185" i="20"/>
  <c r="C186" i="20"/>
  <c r="G185" i="20"/>
  <c r="N185" i="20"/>
  <c r="F185" i="20"/>
  <c r="K185" i="20"/>
  <c r="L185" i="20"/>
  <c r="J185" i="20"/>
  <c r="E185" i="20"/>
  <c r="D185" i="20"/>
  <c r="M185" i="20"/>
  <c r="N186" i="19"/>
  <c r="F186" i="19"/>
  <c r="M186" i="19"/>
  <c r="E186" i="19"/>
  <c r="K186" i="19"/>
  <c r="I186" i="19"/>
  <c r="D186" i="19"/>
  <c r="C187" i="19"/>
  <c r="L186" i="19"/>
  <c r="H186" i="19"/>
  <c r="J186" i="19"/>
  <c r="G186" i="19"/>
  <c r="K185" i="18"/>
  <c r="I185" i="18"/>
  <c r="H185" i="18"/>
  <c r="C186" i="18"/>
  <c r="G185" i="18"/>
  <c r="N185" i="18"/>
  <c r="F185" i="18"/>
  <c r="M185" i="18"/>
  <c r="E185" i="18"/>
  <c r="L185" i="18"/>
  <c r="J185" i="18"/>
  <c r="D185" i="18"/>
  <c r="K190" i="1" l="1"/>
  <c r="C191" i="1"/>
  <c r="J190" i="1"/>
  <c r="L190" i="1"/>
  <c r="D190" i="1"/>
  <c r="N190" i="1"/>
  <c r="I190" i="1"/>
  <c r="G190" i="1"/>
  <c r="H190" i="1"/>
  <c r="F190" i="1"/>
  <c r="E190" i="1"/>
  <c r="M190" i="1"/>
  <c r="F190" i="27"/>
  <c r="L190" i="27"/>
  <c r="I190" i="27"/>
  <c r="N190" i="27"/>
  <c r="J190" i="27"/>
  <c r="C191" i="27"/>
  <c r="M190" i="27"/>
  <c r="G190" i="27"/>
  <c r="K190" i="27"/>
  <c r="H190" i="27"/>
  <c r="E190" i="27"/>
  <c r="D190" i="27"/>
  <c r="F190" i="26"/>
  <c r="C191" i="26"/>
  <c r="N190" i="26"/>
  <c r="K190" i="26"/>
  <c r="J190" i="26"/>
  <c r="I190" i="26"/>
  <c r="H190" i="26"/>
  <c r="G190" i="26"/>
  <c r="E190" i="26"/>
  <c r="D190" i="26"/>
  <c r="M190" i="26"/>
  <c r="L190" i="26"/>
  <c r="D189" i="25"/>
  <c r="G189" i="25"/>
  <c r="F189" i="25"/>
  <c r="E189" i="25"/>
  <c r="C190" i="25"/>
  <c r="N189" i="25"/>
  <c r="M189" i="25"/>
  <c r="L189" i="25"/>
  <c r="K189" i="25"/>
  <c r="J189" i="25"/>
  <c r="I189" i="25"/>
  <c r="H189" i="25"/>
  <c r="M186" i="20"/>
  <c r="E186" i="20"/>
  <c r="L186" i="20"/>
  <c r="D186" i="20"/>
  <c r="K186" i="20"/>
  <c r="J186" i="20"/>
  <c r="C187" i="20"/>
  <c r="G186" i="20"/>
  <c r="N186" i="20"/>
  <c r="I186" i="20"/>
  <c r="F186" i="20"/>
  <c r="H186" i="20"/>
  <c r="J187" i="19"/>
  <c r="I187" i="19"/>
  <c r="C188" i="19"/>
  <c r="G187" i="19"/>
  <c r="M187" i="19"/>
  <c r="E187" i="19"/>
  <c r="H187" i="19"/>
  <c r="F187" i="19"/>
  <c r="D187" i="19"/>
  <c r="L187" i="19"/>
  <c r="N187" i="19"/>
  <c r="K187" i="19"/>
  <c r="C187" i="18"/>
  <c r="G186" i="18"/>
  <c r="M186" i="18"/>
  <c r="E186" i="18"/>
  <c r="L186" i="18"/>
  <c r="D186" i="18"/>
  <c r="K186" i="18"/>
  <c r="J186" i="18"/>
  <c r="I186" i="18"/>
  <c r="H186" i="18"/>
  <c r="F186" i="18"/>
  <c r="N186" i="18"/>
  <c r="I191" i="1" l="1"/>
  <c r="H191" i="1"/>
  <c r="K191" i="1"/>
  <c r="G191" i="1"/>
  <c r="L191" i="1"/>
  <c r="F191" i="1"/>
  <c r="N191" i="1"/>
  <c r="D191" i="1"/>
  <c r="M191" i="1"/>
  <c r="J191" i="1"/>
  <c r="E191" i="1"/>
  <c r="C192" i="1"/>
  <c r="J191" i="27"/>
  <c r="N191" i="27"/>
  <c r="K191" i="27"/>
  <c r="I191" i="27"/>
  <c r="F191" i="27"/>
  <c r="E191" i="27"/>
  <c r="D191" i="27"/>
  <c r="C192" i="27"/>
  <c r="M191" i="27"/>
  <c r="L191" i="27"/>
  <c r="H191" i="27"/>
  <c r="G191" i="27"/>
  <c r="D191" i="26"/>
  <c r="K191" i="26"/>
  <c r="F191" i="26"/>
  <c r="E191" i="26"/>
  <c r="M191" i="26"/>
  <c r="L191" i="26"/>
  <c r="J191" i="26"/>
  <c r="C192" i="26"/>
  <c r="N191" i="26"/>
  <c r="I191" i="26"/>
  <c r="H191" i="26"/>
  <c r="G191" i="26"/>
  <c r="H190" i="25"/>
  <c r="D190" i="25"/>
  <c r="M190" i="25"/>
  <c r="L190" i="25"/>
  <c r="K190" i="25"/>
  <c r="F190" i="25"/>
  <c r="E190" i="25"/>
  <c r="C191" i="25"/>
  <c r="N190" i="25"/>
  <c r="J190" i="25"/>
  <c r="I190" i="25"/>
  <c r="G190" i="25"/>
  <c r="I187" i="20"/>
  <c r="H187" i="20"/>
  <c r="C188" i="20"/>
  <c r="G187" i="20"/>
  <c r="N187" i="20"/>
  <c r="F187" i="20"/>
  <c r="K187" i="20"/>
  <c r="J187" i="20"/>
  <c r="E187" i="20"/>
  <c r="D187" i="20"/>
  <c r="M187" i="20"/>
  <c r="L187" i="20"/>
  <c r="C189" i="19"/>
  <c r="N188" i="19"/>
  <c r="F188" i="19"/>
  <c r="M188" i="19"/>
  <c r="E188" i="19"/>
  <c r="K188" i="19"/>
  <c r="I188" i="19"/>
  <c r="L188" i="19"/>
  <c r="J188" i="19"/>
  <c r="H188" i="19"/>
  <c r="G188" i="19"/>
  <c r="D188" i="19"/>
  <c r="K187" i="18"/>
  <c r="I187" i="18"/>
  <c r="H187" i="18"/>
  <c r="C188" i="18"/>
  <c r="G187" i="18"/>
  <c r="N187" i="18"/>
  <c r="F187" i="18"/>
  <c r="M187" i="18"/>
  <c r="E187" i="18"/>
  <c r="L187" i="18"/>
  <c r="D187" i="18"/>
  <c r="J187" i="18"/>
  <c r="H192" i="1" l="1"/>
  <c r="F192" i="1"/>
  <c r="G192" i="1"/>
  <c r="J192" i="1"/>
  <c r="K192" i="1"/>
  <c r="E192" i="1"/>
  <c r="D192" i="1"/>
  <c r="C193" i="1"/>
  <c r="N192" i="1"/>
  <c r="I192" i="1"/>
  <c r="M192" i="1"/>
  <c r="L192" i="1"/>
  <c r="N192" i="27"/>
  <c r="E192" i="27"/>
  <c r="I192" i="27"/>
  <c r="F192" i="27"/>
  <c r="C193" i="27"/>
  <c r="M192" i="27"/>
  <c r="L192" i="27"/>
  <c r="K192" i="27"/>
  <c r="J192" i="27"/>
  <c r="H192" i="27"/>
  <c r="G192" i="27"/>
  <c r="D192" i="27"/>
  <c r="H192" i="26"/>
  <c r="J192" i="26"/>
  <c r="I192" i="26"/>
  <c r="N192" i="26"/>
  <c r="M192" i="26"/>
  <c r="C193" i="26"/>
  <c r="L192" i="26"/>
  <c r="K192" i="26"/>
  <c r="G192" i="26"/>
  <c r="F192" i="26"/>
  <c r="E192" i="26"/>
  <c r="D192" i="26"/>
  <c r="L191" i="25"/>
  <c r="I191" i="25"/>
  <c r="C192" i="25"/>
  <c r="N191" i="25"/>
  <c r="M191" i="25"/>
  <c r="K191" i="25"/>
  <c r="J191" i="25"/>
  <c r="F191" i="25"/>
  <c r="E191" i="25"/>
  <c r="D191" i="25"/>
  <c r="H191" i="25"/>
  <c r="G191" i="25"/>
  <c r="M188" i="20"/>
  <c r="E188" i="20"/>
  <c r="L188" i="20"/>
  <c r="D188" i="20"/>
  <c r="K188" i="20"/>
  <c r="J188" i="20"/>
  <c r="C189" i="20"/>
  <c r="G188" i="20"/>
  <c r="N188" i="20"/>
  <c r="I188" i="20"/>
  <c r="H188" i="20"/>
  <c r="F188" i="20"/>
  <c r="K189" i="19"/>
  <c r="J189" i="19"/>
  <c r="I189" i="19"/>
  <c r="C190" i="19"/>
  <c r="G189" i="19"/>
  <c r="M189" i="19"/>
  <c r="E189" i="19"/>
  <c r="N189" i="19"/>
  <c r="L189" i="19"/>
  <c r="F189" i="19"/>
  <c r="H189" i="19"/>
  <c r="D189" i="19"/>
  <c r="C189" i="18"/>
  <c r="G188" i="18"/>
  <c r="M188" i="18"/>
  <c r="E188" i="18"/>
  <c r="L188" i="18"/>
  <c r="D188" i="18"/>
  <c r="K188" i="18"/>
  <c r="J188" i="18"/>
  <c r="I188" i="18"/>
  <c r="N188" i="18"/>
  <c r="H188" i="18"/>
  <c r="F188" i="18"/>
  <c r="D193" i="1" l="1"/>
  <c r="C194" i="1"/>
  <c r="K193" i="1"/>
  <c r="J193" i="1"/>
  <c r="G193" i="1"/>
  <c r="I193" i="1"/>
  <c r="E193" i="1"/>
  <c r="N193" i="1"/>
  <c r="M193" i="1"/>
  <c r="L193" i="1"/>
  <c r="H193" i="1"/>
  <c r="F193" i="1"/>
  <c r="J193" i="27"/>
  <c r="G193" i="27"/>
  <c r="M193" i="27"/>
  <c r="I193" i="27"/>
  <c r="H193" i="27"/>
  <c r="F193" i="27"/>
  <c r="E193" i="27"/>
  <c r="C194" i="27"/>
  <c r="K193" i="27"/>
  <c r="N193" i="27"/>
  <c r="L193" i="27"/>
  <c r="D193" i="27"/>
  <c r="L193" i="26"/>
  <c r="D193" i="26"/>
  <c r="C194" i="26"/>
  <c r="K193" i="26"/>
  <c r="J193" i="26"/>
  <c r="I193" i="26"/>
  <c r="F193" i="26"/>
  <c r="E193" i="26"/>
  <c r="H193" i="26"/>
  <c r="G193" i="26"/>
  <c r="N193" i="26"/>
  <c r="M193" i="26"/>
  <c r="N192" i="25"/>
  <c r="G192" i="25"/>
  <c r="F192" i="25"/>
  <c r="E192" i="25"/>
  <c r="D192" i="25"/>
  <c r="C193" i="25"/>
  <c r="M192" i="25"/>
  <c r="L192" i="25"/>
  <c r="K192" i="25"/>
  <c r="J192" i="25"/>
  <c r="I192" i="25"/>
  <c r="H192" i="25"/>
  <c r="I189" i="20"/>
  <c r="H189" i="20"/>
  <c r="C190" i="20"/>
  <c r="G189" i="20"/>
  <c r="N189" i="20"/>
  <c r="F189" i="20"/>
  <c r="K189" i="20"/>
  <c r="E189" i="20"/>
  <c r="D189" i="20"/>
  <c r="L189" i="20"/>
  <c r="M189" i="20"/>
  <c r="J189" i="20"/>
  <c r="C191" i="19"/>
  <c r="G190" i="19"/>
  <c r="N190" i="19"/>
  <c r="F190" i="19"/>
  <c r="M190" i="19"/>
  <c r="E190" i="19"/>
  <c r="L190" i="19"/>
  <c r="K190" i="19"/>
  <c r="I190" i="19"/>
  <c r="J190" i="19"/>
  <c r="H190" i="19"/>
  <c r="D190" i="19"/>
  <c r="K189" i="18"/>
  <c r="I189" i="18"/>
  <c r="H189" i="18"/>
  <c r="C190" i="18"/>
  <c r="G189" i="18"/>
  <c r="N189" i="18"/>
  <c r="F189" i="18"/>
  <c r="M189" i="18"/>
  <c r="E189" i="18"/>
  <c r="D189" i="18"/>
  <c r="L189" i="18"/>
  <c r="J189" i="18"/>
  <c r="M194" i="1" l="1"/>
  <c r="F194" i="1"/>
  <c r="K194" i="1"/>
  <c r="L194" i="1"/>
  <c r="E194" i="1"/>
  <c r="D194" i="1"/>
  <c r="C195" i="1"/>
  <c r="J194" i="1"/>
  <c r="I194" i="1"/>
  <c r="H194" i="1"/>
  <c r="G194" i="1"/>
  <c r="N194" i="1"/>
  <c r="F194" i="27"/>
  <c r="C195" i="27"/>
  <c r="L194" i="27"/>
  <c r="D194" i="27"/>
  <c r="N194" i="27"/>
  <c r="M194" i="27"/>
  <c r="K194" i="27"/>
  <c r="J194" i="27"/>
  <c r="I194" i="27"/>
  <c r="H194" i="27"/>
  <c r="G194" i="27"/>
  <c r="E194" i="27"/>
  <c r="I194" i="26"/>
  <c r="D194" i="26"/>
  <c r="K194" i="26"/>
  <c r="J194" i="26"/>
  <c r="C195" i="26"/>
  <c r="N194" i="26"/>
  <c r="M194" i="26"/>
  <c r="L194" i="26"/>
  <c r="H194" i="26"/>
  <c r="G194" i="26"/>
  <c r="F194" i="26"/>
  <c r="E194" i="26"/>
  <c r="D193" i="25"/>
  <c r="M193" i="25"/>
  <c r="L193" i="25"/>
  <c r="K193" i="25"/>
  <c r="C194" i="25"/>
  <c r="N193" i="25"/>
  <c r="J193" i="25"/>
  <c r="I193" i="25"/>
  <c r="H193" i="25"/>
  <c r="G193" i="25"/>
  <c r="F193" i="25"/>
  <c r="E193" i="25"/>
  <c r="M190" i="20"/>
  <c r="E190" i="20"/>
  <c r="L190" i="20"/>
  <c r="D190" i="20"/>
  <c r="K190" i="20"/>
  <c r="J190" i="20"/>
  <c r="C191" i="20"/>
  <c r="G190" i="20"/>
  <c r="N190" i="20"/>
  <c r="I190" i="20"/>
  <c r="H190" i="20"/>
  <c r="F190" i="20"/>
  <c r="K191" i="19"/>
  <c r="J191" i="19"/>
  <c r="I191" i="19"/>
  <c r="H191" i="19"/>
  <c r="C192" i="19"/>
  <c r="G191" i="19"/>
  <c r="M191" i="19"/>
  <c r="E191" i="19"/>
  <c r="N191" i="19"/>
  <c r="F191" i="19"/>
  <c r="L191" i="19"/>
  <c r="D191" i="19"/>
  <c r="C191" i="18"/>
  <c r="G190" i="18"/>
  <c r="M190" i="18"/>
  <c r="E190" i="18"/>
  <c r="L190" i="18"/>
  <c r="D190" i="18"/>
  <c r="K190" i="18"/>
  <c r="J190" i="18"/>
  <c r="I190" i="18"/>
  <c r="N190" i="18"/>
  <c r="H190" i="18"/>
  <c r="F190" i="18"/>
  <c r="H195" i="1" l="1"/>
  <c r="M195" i="1"/>
  <c r="E195" i="1"/>
  <c r="L195" i="1"/>
  <c r="J195" i="1"/>
  <c r="I195" i="1"/>
  <c r="G195" i="1"/>
  <c r="F195" i="1"/>
  <c r="N195" i="1"/>
  <c r="D195" i="1"/>
  <c r="C196" i="1"/>
  <c r="K195" i="1"/>
  <c r="J195" i="27"/>
  <c r="L195" i="27"/>
  <c r="H195" i="27"/>
  <c r="G195" i="27"/>
  <c r="F195" i="27"/>
  <c r="K195" i="27"/>
  <c r="I195" i="27"/>
  <c r="D195" i="27"/>
  <c r="C196" i="27"/>
  <c r="N195" i="27"/>
  <c r="M195" i="27"/>
  <c r="E195" i="27"/>
  <c r="D195" i="26"/>
  <c r="N195" i="26"/>
  <c r="J195" i="26"/>
  <c r="I195" i="26"/>
  <c r="L195" i="26"/>
  <c r="K195" i="26"/>
  <c r="H195" i="26"/>
  <c r="M195" i="26"/>
  <c r="G195" i="26"/>
  <c r="F195" i="26"/>
  <c r="E195" i="26"/>
  <c r="C196" i="26"/>
  <c r="H194" i="25"/>
  <c r="G194" i="25"/>
  <c r="D194" i="25"/>
  <c r="J194" i="25"/>
  <c r="I194" i="25"/>
  <c r="F194" i="25"/>
  <c r="E194" i="25"/>
  <c r="C195" i="25"/>
  <c r="N194" i="25"/>
  <c r="M194" i="25"/>
  <c r="L194" i="25"/>
  <c r="K194" i="25"/>
  <c r="I191" i="20"/>
  <c r="H191" i="20"/>
  <c r="C192" i="20"/>
  <c r="G191" i="20"/>
  <c r="N191" i="20"/>
  <c r="F191" i="20"/>
  <c r="M191" i="20"/>
  <c r="E191" i="20"/>
  <c r="K191" i="20"/>
  <c r="D191" i="20"/>
  <c r="L191" i="20"/>
  <c r="J191" i="20"/>
  <c r="C193" i="19"/>
  <c r="G192" i="19"/>
  <c r="N192" i="19"/>
  <c r="F192" i="19"/>
  <c r="M192" i="19"/>
  <c r="E192" i="19"/>
  <c r="L192" i="19"/>
  <c r="D192" i="19"/>
  <c r="K192" i="19"/>
  <c r="I192" i="19"/>
  <c r="J192" i="19"/>
  <c r="H192" i="19"/>
  <c r="K191" i="18"/>
  <c r="I191" i="18"/>
  <c r="H191" i="18"/>
  <c r="C192" i="18"/>
  <c r="G191" i="18"/>
  <c r="N191" i="18"/>
  <c r="F191" i="18"/>
  <c r="M191" i="18"/>
  <c r="E191" i="18"/>
  <c r="L191" i="18"/>
  <c r="J191" i="18"/>
  <c r="D191" i="18"/>
  <c r="E196" i="1" l="1"/>
  <c r="J196" i="1"/>
  <c r="I196" i="1"/>
  <c r="H196" i="1"/>
  <c r="L196" i="1"/>
  <c r="K196" i="1"/>
  <c r="M196" i="1"/>
  <c r="G196" i="1"/>
  <c r="N196" i="1"/>
  <c r="D196" i="1"/>
  <c r="F196" i="1"/>
  <c r="C197" i="1"/>
  <c r="N196" i="27"/>
  <c r="H196" i="27"/>
  <c r="E196" i="27"/>
  <c r="C197" i="27"/>
  <c r="J196" i="27"/>
  <c r="F196" i="27"/>
  <c r="I196" i="27"/>
  <c r="G196" i="27"/>
  <c r="M196" i="27"/>
  <c r="L196" i="27"/>
  <c r="K196" i="27"/>
  <c r="D196" i="27"/>
  <c r="H196" i="26"/>
  <c r="C197" i="26"/>
  <c r="G196" i="26"/>
  <c r="F196" i="26"/>
  <c r="N196" i="26"/>
  <c r="M196" i="26"/>
  <c r="L196" i="26"/>
  <c r="K196" i="26"/>
  <c r="J196" i="26"/>
  <c r="D196" i="26"/>
  <c r="I196" i="26"/>
  <c r="E196" i="26"/>
  <c r="L195" i="25"/>
  <c r="M195" i="25"/>
  <c r="G195" i="25"/>
  <c r="F195" i="25"/>
  <c r="E195" i="25"/>
  <c r="C196" i="25"/>
  <c r="N195" i="25"/>
  <c r="K195" i="25"/>
  <c r="J195" i="25"/>
  <c r="I195" i="25"/>
  <c r="H195" i="25"/>
  <c r="D195" i="25"/>
  <c r="M192" i="20"/>
  <c r="E192" i="20"/>
  <c r="L192" i="20"/>
  <c r="D192" i="20"/>
  <c r="K192" i="20"/>
  <c r="J192" i="20"/>
  <c r="I192" i="20"/>
  <c r="C193" i="20"/>
  <c r="G192" i="20"/>
  <c r="N192" i="20"/>
  <c r="H192" i="20"/>
  <c r="F192" i="20"/>
  <c r="K193" i="19"/>
  <c r="J193" i="19"/>
  <c r="I193" i="19"/>
  <c r="H193" i="19"/>
  <c r="C194" i="19"/>
  <c r="G193" i="19"/>
  <c r="M193" i="19"/>
  <c r="E193" i="19"/>
  <c r="F193" i="19"/>
  <c r="D193" i="19"/>
  <c r="N193" i="19"/>
  <c r="L193" i="19"/>
  <c r="C193" i="18"/>
  <c r="G192" i="18"/>
  <c r="M192" i="18"/>
  <c r="E192" i="18"/>
  <c r="L192" i="18"/>
  <c r="D192" i="18"/>
  <c r="K192" i="18"/>
  <c r="J192" i="18"/>
  <c r="I192" i="18"/>
  <c r="H192" i="18"/>
  <c r="N192" i="18"/>
  <c r="F192" i="18"/>
  <c r="K197" i="1" l="1"/>
  <c r="I197" i="1"/>
  <c r="E197" i="1"/>
  <c r="D197" i="1"/>
  <c r="L197" i="1"/>
  <c r="M197" i="1"/>
  <c r="C198" i="1"/>
  <c r="J197" i="1"/>
  <c r="H197" i="1"/>
  <c r="N197" i="1"/>
  <c r="G197" i="1"/>
  <c r="F197" i="1"/>
  <c r="M197" i="27"/>
  <c r="J197" i="27"/>
  <c r="G197" i="27"/>
  <c r="D197" i="27"/>
  <c r="F197" i="27"/>
  <c r="E197" i="27"/>
  <c r="L197" i="27"/>
  <c r="K197" i="27"/>
  <c r="H197" i="27"/>
  <c r="C198" i="27"/>
  <c r="N197" i="27"/>
  <c r="I197" i="27"/>
  <c r="L197" i="26"/>
  <c r="G197" i="26"/>
  <c r="D197" i="26"/>
  <c r="C198" i="26"/>
  <c r="K197" i="26"/>
  <c r="J197" i="26"/>
  <c r="I197" i="26"/>
  <c r="N197" i="26"/>
  <c r="M197" i="26"/>
  <c r="H197" i="26"/>
  <c r="F197" i="26"/>
  <c r="E197" i="26"/>
  <c r="M196" i="25"/>
  <c r="L196" i="25"/>
  <c r="K196" i="25"/>
  <c r="C197" i="25"/>
  <c r="N196" i="25"/>
  <c r="J196" i="25"/>
  <c r="I196" i="25"/>
  <c r="H196" i="25"/>
  <c r="G196" i="25"/>
  <c r="F196" i="25"/>
  <c r="E196" i="25"/>
  <c r="D196" i="25"/>
  <c r="M193" i="20"/>
  <c r="J193" i="20"/>
  <c r="H193" i="20"/>
  <c r="C194" i="20"/>
  <c r="G193" i="20"/>
  <c r="L193" i="20"/>
  <c r="K193" i="20"/>
  <c r="I193" i="20"/>
  <c r="F193" i="20"/>
  <c r="E193" i="20"/>
  <c r="N193" i="20"/>
  <c r="D193" i="20"/>
  <c r="C195" i="19"/>
  <c r="G194" i="19"/>
  <c r="N194" i="19"/>
  <c r="F194" i="19"/>
  <c r="M194" i="19"/>
  <c r="E194" i="19"/>
  <c r="L194" i="19"/>
  <c r="D194" i="19"/>
  <c r="K194" i="19"/>
  <c r="I194" i="19"/>
  <c r="J194" i="19"/>
  <c r="H194" i="19"/>
  <c r="N193" i="18"/>
  <c r="M193" i="18"/>
  <c r="L193" i="18"/>
  <c r="K193" i="18"/>
  <c r="C194" i="18"/>
  <c r="I193" i="18"/>
  <c r="H193" i="18"/>
  <c r="G193" i="18"/>
  <c r="F193" i="18"/>
  <c r="E193" i="18"/>
  <c r="J193" i="18"/>
  <c r="D193" i="18"/>
  <c r="D198" i="1" l="1"/>
  <c r="J198" i="1"/>
  <c r="N198" i="1"/>
  <c r="C199" i="1"/>
  <c r="E198" i="1"/>
  <c r="M198" i="1"/>
  <c r="K198" i="1"/>
  <c r="L198" i="1"/>
  <c r="H198" i="1"/>
  <c r="F198" i="1"/>
  <c r="I198" i="1"/>
  <c r="G198" i="1"/>
  <c r="F198" i="27"/>
  <c r="C199" i="27"/>
  <c r="N198" i="27"/>
  <c r="K198" i="27"/>
  <c r="L198" i="27"/>
  <c r="M198" i="27"/>
  <c r="H198" i="27"/>
  <c r="G198" i="27"/>
  <c r="E198" i="27"/>
  <c r="D198" i="27"/>
  <c r="J198" i="27"/>
  <c r="I198" i="27"/>
  <c r="L198" i="26"/>
  <c r="J198" i="26"/>
  <c r="I198" i="26"/>
  <c r="D198" i="26"/>
  <c r="F198" i="26"/>
  <c r="E198" i="26"/>
  <c r="M198" i="26"/>
  <c r="K198" i="26"/>
  <c r="H198" i="26"/>
  <c r="G198" i="26"/>
  <c r="C199" i="26"/>
  <c r="N198" i="26"/>
  <c r="D197" i="25"/>
  <c r="F197" i="25"/>
  <c r="L197" i="25"/>
  <c r="K197" i="25"/>
  <c r="J197" i="25"/>
  <c r="I197" i="25"/>
  <c r="H197" i="25"/>
  <c r="G197" i="25"/>
  <c r="E197" i="25"/>
  <c r="C198" i="25"/>
  <c r="N197" i="25"/>
  <c r="M197" i="25"/>
  <c r="I194" i="20"/>
  <c r="N194" i="20"/>
  <c r="F194" i="20"/>
  <c r="L194" i="20"/>
  <c r="D194" i="20"/>
  <c r="K194" i="20"/>
  <c r="C195" i="20"/>
  <c r="M194" i="20"/>
  <c r="J194" i="20"/>
  <c r="H194" i="20"/>
  <c r="E194" i="20"/>
  <c r="G194" i="20"/>
  <c r="K195" i="19"/>
  <c r="J195" i="19"/>
  <c r="I195" i="19"/>
  <c r="H195" i="19"/>
  <c r="C196" i="19"/>
  <c r="G195" i="19"/>
  <c r="M195" i="19"/>
  <c r="E195" i="19"/>
  <c r="N195" i="19"/>
  <c r="L195" i="19"/>
  <c r="F195" i="19"/>
  <c r="D195" i="19"/>
  <c r="M194" i="18"/>
  <c r="E194" i="18"/>
  <c r="J194" i="18"/>
  <c r="I194" i="18"/>
  <c r="H194" i="18"/>
  <c r="C195" i="18"/>
  <c r="G194" i="18"/>
  <c r="N194" i="18"/>
  <c r="L194" i="18"/>
  <c r="K194" i="18"/>
  <c r="F194" i="18"/>
  <c r="D194" i="18"/>
  <c r="H199" i="1" l="1"/>
  <c r="I199" i="1"/>
  <c r="E199" i="1"/>
  <c r="M199" i="1"/>
  <c r="L199" i="1"/>
  <c r="K199" i="1"/>
  <c r="G199" i="1"/>
  <c r="C200" i="1"/>
  <c r="D199" i="1"/>
  <c r="J199" i="1"/>
  <c r="F199" i="1"/>
  <c r="N199" i="1"/>
  <c r="J199" i="27"/>
  <c r="F199" i="27"/>
  <c r="E199" i="27"/>
  <c r="D199" i="27"/>
  <c r="M199" i="27"/>
  <c r="L199" i="27"/>
  <c r="I199" i="27"/>
  <c r="H199" i="27"/>
  <c r="K199" i="27"/>
  <c r="G199" i="27"/>
  <c r="C200" i="27"/>
  <c r="N199" i="27"/>
  <c r="D199" i="26"/>
  <c r="C200" i="26"/>
  <c r="L199" i="26"/>
  <c r="K199" i="26"/>
  <c r="J199" i="26"/>
  <c r="I199" i="26"/>
  <c r="H199" i="26"/>
  <c r="N199" i="26"/>
  <c r="M199" i="26"/>
  <c r="G199" i="26"/>
  <c r="F199" i="26"/>
  <c r="E199" i="26"/>
  <c r="H198" i="25"/>
  <c r="K198" i="25"/>
  <c r="G198" i="25"/>
  <c r="F198" i="25"/>
  <c r="E198" i="25"/>
  <c r="C199" i="25"/>
  <c r="N198" i="25"/>
  <c r="M198" i="25"/>
  <c r="L198" i="25"/>
  <c r="J198" i="25"/>
  <c r="I198" i="25"/>
  <c r="D198" i="25"/>
  <c r="M195" i="20"/>
  <c r="E195" i="20"/>
  <c r="J195" i="20"/>
  <c r="I195" i="20"/>
  <c r="H195" i="20"/>
  <c r="C196" i="20"/>
  <c r="G195" i="20"/>
  <c r="D195" i="20"/>
  <c r="N195" i="20"/>
  <c r="K195" i="20"/>
  <c r="L195" i="20"/>
  <c r="F195" i="20"/>
  <c r="C197" i="19"/>
  <c r="G196" i="19"/>
  <c r="N196" i="19"/>
  <c r="F196" i="19"/>
  <c r="M196" i="19"/>
  <c r="E196" i="19"/>
  <c r="L196" i="19"/>
  <c r="D196" i="19"/>
  <c r="K196" i="19"/>
  <c r="I196" i="19"/>
  <c r="J196" i="19"/>
  <c r="H196" i="19"/>
  <c r="I195" i="18"/>
  <c r="N195" i="18"/>
  <c r="F195" i="18"/>
  <c r="M195" i="18"/>
  <c r="E195" i="18"/>
  <c r="L195" i="18"/>
  <c r="D195" i="18"/>
  <c r="K195" i="18"/>
  <c r="J195" i="18"/>
  <c r="G195" i="18"/>
  <c r="C196" i="18"/>
  <c r="H195" i="18"/>
  <c r="N200" i="1" l="1"/>
  <c r="M200" i="1"/>
  <c r="J200" i="1"/>
  <c r="L200" i="1"/>
  <c r="G200" i="1"/>
  <c r="F200" i="1"/>
  <c r="C201" i="1"/>
  <c r="I200" i="1"/>
  <c r="H200" i="1"/>
  <c r="D200" i="1"/>
  <c r="E200" i="1"/>
  <c r="K200" i="1"/>
  <c r="N200" i="27"/>
  <c r="K200" i="27"/>
  <c r="H200" i="27"/>
  <c r="J200" i="27"/>
  <c r="F200" i="27"/>
  <c r="C201" i="27"/>
  <c r="L200" i="27"/>
  <c r="I200" i="27"/>
  <c r="G200" i="27"/>
  <c r="E200" i="27"/>
  <c r="D200" i="27"/>
  <c r="M200" i="27"/>
  <c r="H200" i="26"/>
  <c r="E200" i="26"/>
  <c r="D200" i="26"/>
  <c r="K200" i="26"/>
  <c r="J200" i="26"/>
  <c r="I200" i="26"/>
  <c r="G200" i="26"/>
  <c r="F200" i="26"/>
  <c r="C201" i="26"/>
  <c r="N200" i="26"/>
  <c r="M200" i="26"/>
  <c r="L200" i="26"/>
  <c r="L199" i="25"/>
  <c r="N199" i="25"/>
  <c r="M199" i="25"/>
  <c r="K199" i="25"/>
  <c r="I199" i="25"/>
  <c r="H199" i="25"/>
  <c r="G199" i="25"/>
  <c r="F199" i="25"/>
  <c r="E199" i="25"/>
  <c r="D199" i="25"/>
  <c r="C200" i="25"/>
  <c r="J199" i="25"/>
  <c r="I196" i="20"/>
  <c r="N196" i="20"/>
  <c r="F196" i="20"/>
  <c r="M196" i="20"/>
  <c r="E196" i="20"/>
  <c r="L196" i="20"/>
  <c r="D196" i="20"/>
  <c r="K196" i="20"/>
  <c r="C197" i="20"/>
  <c r="J196" i="20"/>
  <c r="H196" i="20"/>
  <c r="G196" i="20"/>
  <c r="K197" i="19"/>
  <c r="J197" i="19"/>
  <c r="I197" i="19"/>
  <c r="H197" i="19"/>
  <c r="C198" i="19"/>
  <c r="G197" i="19"/>
  <c r="M197" i="19"/>
  <c r="E197" i="19"/>
  <c r="N197" i="19"/>
  <c r="L197" i="19"/>
  <c r="F197" i="19"/>
  <c r="D197" i="19"/>
  <c r="M196" i="18"/>
  <c r="E196" i="18"/>
  <c r="J196" i="18"/>
  <c r="I196" i="18"/>
  <c r="H196" i="18"/>
  <c r="C197" i="18"/>
  <c r="G196" i="18"/>
  <c r="N196" i="18"/>
  <c r="L196" i="18"/>
  <c r="K196" i="18"/>
  <c r="F196" i="18"/>
  <c r="D196" i="18"/>
  <c r="H201" i="1" l="1"/>
  <c r="G201" i="1"/>
  <c r="L201" i="1"/>
  <c r="K201" i="1"/>
  <c r="J201" i="1"/>
  <c r="N201" i="1"/>
  <c r="I201" i="1"/>
  <c r="F201" i="1"/>
  <c r="D201" i="1"/>
  <c r="E201" i="1"/>
  <c r="C202" i="1"/>
  <c r="M201" i="1"/>
  <c r="M201" i="27"/>
  <c r="N201" i="27"/>
  <c r="L201" i="27"/>
  <c r="D201" i="27"/>
  <c r="C202" i="27"/>
  <c r="K201" i="27"/>
  <c r="I201" i="27"/>
  <c r="H201" i="27"/>
  <c r="J201" i="27"/>
  <c r="G201" i="27"/>
  <c r="F201" i="27"/>
  <c r="E201" i="27"/>
  <c r="L201" i="26"/>
  <c r="J201" i="26"/>
  <c r="K201" i="26"/>
  <c r="I201" i="26"/>
  <c r="H201" i="26"/>
  <c r="G201" i="26"/>
  <c r="N201" i="26"/>
  <c r="M201" i="26"/>
  <c r="F201" i="26"/>
  <c r="C202" i="26"/>
  <c r="E201" i="26"/>
  <c r="D201" i="26"/>
  <c r="D200" i="25"/>
  <c r="C201" i="25"/>
  <c r="N200" i="25"/>
  <c r="M200" i="25"/>
  <c r="H200" i="25"/>
  <c r="G200" i="25"/>
  <c r="F200" i="25"/>
  <c r="E200" i="25"/>
  <c r="L200" i="25"/>
  <c r="K200" i="25"/>
  <c r="J200" i="25"/>
  <c r="I200" i="25"/>
  <c r="M197" i="20"/>
  <c r="E197" i="20"/>
  <c r="J197" i="20"/>
  <c r="I197" i="20"/>
  <c r="H197" i="20"/>
  <c r="C198" i="20"/>
  <c r="G197" i="20"/>
  <c r="N197" i="20"/>
  <c r="L197" i="20"/>
  <c r="F197" i="20"/>
  <c r="K197" i="20"/>
  <c r="D197" i="20"/>
  <c r="C199" i="19"/>
  <c r="G198" i="19"/>
  <c r="N198" i="19"/>
  <c r="F198" i="19"/>
  <c r="M198" i="19"/>
  <c r="E198" i="19"/>
  <c r="L198" i="19"/>
  <c r="D198" i="19"/>
  <c r="K198" i="19"/>
  <c r="I198" i="19"/>
  <c r="J198" i="19"/>
  <c r="H198" i="19"/>
  <c r="I197" i="18"/>
  <c r="N197" i="18"/>
  <c r="F197" i="18"/>
  <c r="M197" i="18"/>
  <c r="E197" i="18"/>
  <c r="L197" i="18"/>
  <c r="D197" i="18"/>
  <c r="K197" i="18"/>
  <c r="H197" i="18"/>
  <c r="C198" i="18"/>
  <c r="J197" i="18"/>
  <c r="G197" i="18"/>
  <c r="F202" i="1" l="1"/>
  <c r="I202" i="1"/>
  <c r="H202" i="1"/>
  <c r="G202" i="1"/>
  <c r="C203" i="1"/>
  <c r="D202" i="1"/>
  <c r="E202" i="1"/>
  <c r="K202" i="1"/>
  <c r="M202" i="1"/>
  <c r="L202" i="1"/>
  <c r="N202" i="1"/>
  <c r="J202" i="1"/>
  <c r="F202" i="27"/>
  <c r="D202" i="27"/>
  <c r="G202" i="27"/>
  <c r="N202" i="27"/>
  <c r="M202" i="27"/>
  <c r="J202" i="27"/>
  <c r="H202" i="27"/>
  <c r="E202" i="27"/>
  <c r="I202" i="27"/>
  <c r="C203" i="27"/>
  <c r="L202" i="27"/>
  <c r="K202" i="27"/>
  <c r="C203" i="26"/>
  <c r="L202" i="26"/>
  <c r="K202" i="26"/>
  <c r="J202" i="26"/>
  <c r="I202" i="26"/>
  <c r="H202" i="26"/>
  <c r="G202" i="26"/>
  <c r="F202" i="26"/>
  <c r="E202" i="26"/>
  <c r="D202" i="26"/>
  <c r="N202" i="26"/>
  <c r="M202" i="26"/>
  <c r="D201" i="25"/>
  <c r="I201" i="25"/>
  <c r="H201" i="25"/>
  <c r="G201" i="25"/>
  <c r="F201" i="25"/>
  <c r="K201" i="25"/>
  <c r="J201" i="25"/>
  <c r="E201" i="25"/>
  <c r="C202" i="25"/>
  <c r="N201" i="25"/>
  <c r="M201" i="25"/>
  <c r="L201" i="25"/>
  <c r="I198" i="20"/>
  <c r="N198" i="20"/>
  <c r="F198" i="20"/>
  <c r="M198" i="20"/>
  <c r="E198" i="20"/>
  <c r="L198" i="20"/>
  <c r="D198" i="20"/>
  <c r="K198" i="20"/>
  <c r="J198" i="20"/>
  <c r="H198" i="20"/>
  <c r="G198" i="20"/>
  <c r="C199" i="20"/>
  <c r="K199" i="19"/>
  <c r="J199" i="19"/>
  <c r="I199" i="19"/>
  <c r="H199" i="19"/>
  <c r="C200" i="19"/>
  <c r="G199" i="19"/>
  <c r="M199" i="19"/>
  <c r="E199" i="19"/>
  <c r="N199" i="19"/>
  <c r="F199" i="19"/>
  <c r="L199" i="19"/>
  <c r="D199" i="19"/>
  <c r="M198" i="18"/>
  <c r="E198" i="18"/>
  <c r="J198" i="18"/>
  <c r="I198" i="18"/>
  <c r="H198" i="18"/>
  <c r="C199" i="18"/>
  <c r="G198" i="18"/>
  <c r="L198" i="18"/>
  <c r="K198" i="18"/>
  <c r="F198" i="18"/>
  <c r="D198" i="18"/>
  <c r="N198" i="18"/>
  <c r="D203" i="1" l="1"/>
  <c r="AH11" i="1" s="1"/>
  <c r="M203" i="1"/>
  <c r="AQ11" i="1" s="1"/>
  <c r="AC53" i="8" s="1"/>
  <c r="L203" i="1"/>
  <c r="AP11" i="1" s="1"/>
  <c r="AC52" i="8" s="1"/>
  <c r="K203" i="1"/>
  <c r="AO11" i="1" s="1"/>
  <c r="AC51" i="8" s="1"/>
  <c r="N203" i="1"/>
  <c r="AR11" i="1" s="1"/>
  <c r="AC54" i="8" s="1"/>
  <c r="F203" i="1"/>
  <c r="AJ11" i="1" s="1"/>
  <c r="AC46" i="8" s="1"/>
  <c r="J203" i="1"/>
  <c r="AN11" i="1" s="1"/>
  <c r="AC50" i="8" s="1"/>
  <c r="G203" i="1"/>
  <c r="AK11" i="1" s="1"/>
  <c r="AC47" i="8" s="1"/>
  <c r="C207" i="1"/>
  <c r="H203" i="1"/>
  <c r="AL11" i="1" s="1"/>
  <c r="AC48" i="8" s="1"/>
  <c r="I203" i="1"/>
  <c r="AM11" i="1" s="1"/>
  <c r="AC49" i="8" s="1"/>
  <c r="E203" i="1"/>
  <c r="AI11" i="1" s="1"/>
  <c r="AC45" i="8" s="1"/>
  <c r="J203" i="27"/>
  <c r="AN11" i="27" s="1"/>
  <c r="AC50" i="24" s="1"/>
  <c r="I203" i="27"/>
  <c r="AM11" i="27" s="1"/>
  <c r="AC49" i="24" s="1"/>
  <c r="F203" i="27"/>
  <c r="AJ11" i="27" s="1"/>
  <c r="AC46" i="24" s="1"/>
  <c r="N203" i="27"/>
  <c r="AR11" i="27" s="1"/>
  <c r="AC54" i="24" s="1"/>
  <c r="K203" i="27"/>
  <c r="AO11" i="27" s="1"/>
  <c r="AC51" i="24" s="1"/>
  <c r="H203" i="27"/>
  <c r="AL11" i="27" s="1"/>
  <c r="AC48" i="24" s="1"/>
  <c r="C207" i="27"/>
  <c r="M203" i="27"/>
  <c r="AQ11" i="27" s="1"/>
  <c r="AC53" i="24" s="1"/>
  <c r="L203" i="27"/>
  <c r="AP11" i="27" s="1"/>
  <c r="AC52" i="24" s="1"/>
  <c r="G203" i="27"/>
  <c r="AK11" i="27" s="1"/>
  <c r="AC47" i="24" s="1"/>
  <c r="E203" i="27"/>
  <c r="AI11" i="27" s="1"/>
  <c r="AC45" i="24" s="1"/>
  <c r="D203" i="27"/>
  <c r="AH11" i="27" s="1"/>
  <c r="D203" i="26"/>
  <c r="AH11" i="26" s="1"/>
  <c r="F203" i="26"/>
  <c r="AJ11" i="26" s="1"/>
  <c r="AC46" i="23" s="1"/>
  <c r="E203" i="26"/>
  <c r="AI11" i="26" s="1"/>
  <c r="AC45" i="23" s="1"/>
  <c r="H203" i="26"/>
  <c r="AL11" i="26" s="1"/>
  <c r="AC48" i="23" s="1"/>
  <c r="G203" i="26"/>
  <c r="AK11" i="26" s="1"/>
  <c r="AC47" i="23" s="1"/>
  <c r="L203" i="26"/>
  <c r="AP11" i="26" s="1"/>
  <c r="AC52" i="23" s="1"/>
  <c r="K203" i="26"/>
  <c r="AO11" i="26" s="1"/>
  <c r="AC51" i="23" s="1"/>
  <c r="J203" i="26"/>
  <c r="AN11" i="26" s="1"/>
  <c r="AC50" i="23" s="1"/>
  <c r="C207" i="26"/>
  <c r="N203" i="26"/>
  <c r="AR11" i="26" s="1"/>
  <c r="AC54" i="23" s="1"/>
  <c r="M203" i="26"/>
  <c r="AQ11" i="26" s="1"/>
  <c r="AC53" i="23" s="1"/>
  <c r="I203" i="26"/>
  <c r="AM11" i="26" s="1"/>
  <c r="AC49" i="23" s="1"/>
  <c r="H202" i="25"/>
  <c r="N202" i="25"/>
  <c r="C203" i="25"/>
  <c r="M202" i="25"/>
  <c r="L202" i="25"/>
  <c r="K202" i="25"/>
  <c r="J202" i="25"/>
  <c r="I202" i="25"/>
  <c r="G202" i="25"/>
  <c r="F202" i="25"/>
  <c r="E202" i="25"/>
  <c r="D202" i="25"/>
  <c r="M199" i="20"/>
  <c r="E199" i="20"/>
  <c r="J199" i="20"/>
  <c r="I199" i="20"/>
  <c r="H199" i="20"/>
  <c r="C200" i="20"/>
  <c r="G199" i="20"/>
  <c r="N199" i="20"/>
  <c r="L199" i="20"/>
  <c r="K199" i="20"/>
  <c r="D199" i="20"/>
  <c r="F199" i="20"/>
  <c r="C201" i="19"/>
  <c r="G200" i="19"/>
  <c r="N200" i="19"/>
  <c r="F200" i="19"/>
  <c r="M200" i="19"/>
  <c r="E200" i="19"/>
  <c r="L200" i="19"/>
  <c r="D200" i="19"/>
  <c r="K200" i="19"/>
  <c r="I200" i="19"/>
  <c r="J200" i="19"/>
  <c r="H200" i="19"/>
  <c r="I199" i="18"/>
  <c r="N199" i="18"/>
  <c r="F199" i="18"/>
  <c r="M199" i="18"/>
  <c r="E199" i="18"/>
  <c r="L199" i="18"/>
  <c r="D199" i="18"/>
  <c r="K199" i="18"/>
  <c r="G199" i="18"/>
  <c r="C200" i="18"/>
  <c r="J199" i="18"/>
  <c r="H199" i="18"/>
  <c r="AC55" i="8" l="1"/>
  <c r="AC57" i="8" s="1"/>
  <c r="K207" i="1"/>
  <c r="J207" i="1"/>
  <c r="I207" i="1"/>
  <c r="H207" i="1"/>
  <c r="L207" i="1"/>
  <c r="G207" i="1"/>
  <c r="N207" i="1"/>
  <c r="F207" i="1"/>
  <c r="E207" i="1"/>
  <c r="D207" i="1"/>
  <c r="C208" i="1"/>
  <c r="M207" i="1"/>
  <c r="AC55" i="24"/>
  <c r="AC57" i="24" s="1"/>
  <c r="AC55" i="23"/>
  <c r="AC57" i="23" s="1"/>
  <c r="N207" i="27"/>
  <c r="C208" i="27"/>
  <c r="K207" i="27"/>
  <c r="M207" i="27"/>
  <c r="L207" i="27"/>
  <c r="F207" i="27"/>
  <c r="E207" i="27"/>
  <c r="I207" i="27"/>
  <c r="H207" i="27"/>
  <c r="G207" i="27"/>
  <c r="D207" i="27"/>
  <c r="J207" i="27"/>
  <c r="H207" i="26"/>
  <c r="I207" i="26"/>
  <c r="L207" i="26"/>
  <c r="K207" i="26"/>
  <c r="C208" i="26"/>
  <c r="N207" i="26"/>
  <c r="M207" i="26"/>
  <c r="J207" i="26"/>
  <c r="G207" i="26"/>
  <c r="F207" i="26"/>
  <c r="E207" i="26"/>
  <c r="D207" i="26"/>
  <c r="L203" i="25"/>
  <c r="AP11" i="25" s="1"/>
  <c r="AC52" i="22" s="1"/>
  <c r="H203" i="25"/>
  <c r="AL11" i="25" s="1"/>
  <c r="AC48" i="22" s="1"/>
  <c r="G203" i="25"/>
  <c r="AK11" i="25" s="1"/>
  <c r="AC47" i="22" s="1"/>
  <c r="F203" i="25"/>
  <c r="AJ11" i="25" s="1"/>
  <c r="AC46" i="22" s="1"/>
  <c r="E203" i="25"/>
  <c r="AI11" i="25" s="1"/>
  <c r="AC45" i="22" s="1"/>
  <c r="D203" i="25"/>
  <c r="AH11" i="25" s="1"/>
  <c r="J203" i="25"/>
  <c r="AN11" i="25" s="1"/>
  <c r="AC50" i="22" s="1"/>
  <c r="I203" i="25"/>
  <c r="AM11" i="25" s="1"/>
  <c r="AC49" i="22" s="1"/>
  <c r="C207" i="25"/>
  <c r="N203" i="25"/>
  <c r="AR11" i="25" s="1"/>
  <c r="AC54" i="22" s="1"/>
  <c r="M203" i="25"/>
  <c r="AQ11" i="25" s="1"/>
  <c r="AC53" i="22" s="1"/>
  <c r="K203" i="25"/>
  <c r="AO11" i="25" s="1"/>
  <c r="AC51" i="22" s="1"/>
  <c r="I200" i="20"/>
  <c r="N200" i="20"/>
  <c r="F200" i="20"/>
  <c r="M200" i="20"/>
  <c r="E200" i="20"/>
  <c r="L200" i="20"/>
  <c r="D200" i="20"/>
  <c r="K200" i="20"/>
  <c r="H200" i="20"/>
  <c r="G200" i="20"/>
  <c r="C201" i="20"/>
  <c r="J200" i="20"/>
  <c r="K201" i="19"/>
  <c r="J201" i="19"/>
  <c r="I201" i="19"/>
  <c r="H201" i="19"/>
  <c r="C202" i="19"/>
  <c r="G201" i="19"/>
  <c r="M201" i="19"/>
  <c r="E201" i="19"/>
  <c r="F201" i="19"/>
  <c r="D201" i="19"/>
  <c r="N201" i="19"/>
  <c r="L201" i="19"/>
  <c r="M200" i="18"/>
  <c r="E200" i="18"/>
  <c r="J200" i="18"/>
  <c r="I200" i="18"/>
  <c r="H200" i="18"/>
  <c r="C201" i="18"/>
  <c r="G200" i="18"/>
  <c r="N200" i="18"/>
  <c r="K200" i="18"/>
  <c r="F200" i="18"/>
  <c r="D200" i="18"/>
  <c r="L200" i="18"/>
  <c r="L208" i="1" l="1"/>
  <c r="E208" i="1"/>
  <c r="N208" i="1"/>
  <c r="F208" i="1"/>
  <c r="J208" i="1"/>
  <c r="G208" i="1"/>
  <c r="D208" i="1"/>
  <c r="M208" i="1"/>
  <c r="H208" i="1"/>
  <c r="I208" i="1"/>
  <c r="K208" i="1"/>
  <c r="C209" i="1"/>
  <c r="AC55" i="22"/>
  <c r="AC57" i="22" s="1"/>
  <c r="I208" i="27"/>
  <c r="F208" i="27"/>
  <c r="E208" i="27"/>
  <c r="C209" i="27"/>
  <c r="N208" i="27"/>
  <c r="J208" i="27"/>
  <c r="D208" i="27"/>
  <c r="H208" i="27"/>
  <c r="G208" i="27"/>
  <c r="L208" i="27"/>
  <c r="K208" i="27"/>
  <c r="M208" i="27"/>
  <c r="L208" i="26"/>
  <c r="N208" i="26"/>
  <c r="D208" i="26"/>
  <c r="J208" i="26"/>
  <c r="I208" i="26"/>
  <c r="H208" i="26"/>
  <c r="G208" i="26"/>
  <c r="F208" i="26"/>
  <c r="E208" i="26"/>
  <c r="C209" i="26"/>
  <c r="M208" i="26"/>
  <c r="K208" i="26"/>
  <c r="G207" i="25"/>
  <c r="I207" i="25"/>
  <c r="H207" i="25"/>
  <c r="F207" i="25"/>
  <c r="C208" i="25"/>
  <c r="N207" i="25"/>
  <c r="M207" i="25"/>
  <c r="L207" i="25"/>
  <c r="K207" i="25"/>
  <c r="J207" i="25"/>
  <c r="E207" i="25"/>
  <c r="D207" i="25"/>
  <c r="M201" i="20"/>
  <c r="E201" i="20"/>
  <c r="J201" i="20"/>
  <c r="I201" i="20"/>
  <c r="H201" i="20"/>
  <c r="C202" i="20"/>
  <c r="G201" i="20"/>
  <c r="N201" i="20"/>
  <c r="L201" i="20"/>
  <c r="K201" i="20"/>
  <c r="F201" i="20"/>
  <c r="D201" i="20"/>
  <c r="C203" i="19"/>
  <c r="G202" i="19"/>
  <c r="N202" i="19"/>
  <c r="F202" i="19"/>
  <c r="M202" i="19"/>
  <c r="E202" i="19"/>
  <c r="L202" i="19"/>
  <c r="D202" i="19"/>
  <c r="K202" i="19"/>
  <c r="I202" i="19"/>
  <c r="J202" i="19"/>
  <c r="H202" i="19"/>
  <c r="I201" i="18"/>
  <c r="N201" i="18"/>
  <c r="F201" i="18"/>
  <c r="M201" i="18"/>
  <c r="E201" i="18"/>
  <c r="L201" i="18"/>
  <c r="D201" i="18"/>
  <c r="K201" i="18"/>
  <c r="C202" i="18"/>
  <c r="J201" i="18"/>
  <c r="H201" i="18"/>
  <c r="G201" i="18"/>
  <c r="M209" i="1" l="1"/>
  <c r="L209" i="1"/>
  <c r="N209" i="1"/>
  <c r="K209" i="1"/>
  <c r="C210" i="1"/>
  <c r="J209" i="1"/>
  <c r="E209" i="1"/>
  <c r="I209" i="1"/>
  <c r="D209" i="1"/>
  <c r="G209" i="1"/>
  <c r="H209" i="1"/>
  <c r="F209" i="1"/>
  <c r="F209" i="27"/>
  <c r="H209" i="27"/>
  <c r="D209" i="27"/>
  <c r="M209" i="27"/>
  <c r="L209" i="27"/>
  <c r="C210" i="27"/>
  <c r="N209" i="27"/>
  <c r="I209" i="27"/>
  <c r="G209" i="27"/>
  <c r="K209" i="27"/>
  <c r="J209" i="27"/>
  <c r="E209" i="27"/>
  <c r="F209" i="26"/>
  <c r="E209" i="26"/>
  <c r="L209" i="26"/>
  <c r="K209" i="26"/>
  <c r="C210" i="26"/>
  <c r="N209" i="26"/>
  <c r="M209" i="26"/>
  <c r="J209" i="26"/>
  <c r="H209" i="26"/>
  <c r="G209" i="26"/>
  <c r="D209" i="26"/>
  <c r="I209" i="26"/>
  <c r="D208" i="25"/>
  <c r="L208" i="25"/>
  <c r="C209" i="25"/>
  <c r="N208" i="25"/>
  <c r="M208" i="25"/>
  <c r="F208" i="25"/>
  <c r="E208" i="25"/>
  <c r="K208" i="25"/>
  <c r="J208" i="25"/>
  <c r="I208" i="25"/>
  <c r="H208" i="25"/>
  <c r="G208" i="25"/>
  <c r="I202" i="20"/>
  <c r="N202" i="20"/>
  <c r="F202" i="20"/>
  <c r="M202" i="20"/>
  <c r="E202" i="20"/>
  <c r="L202" i="20"/>
  <c r="D202" i="20"/>
  <c r="K202" i="20"/>
  <c r="G202" i="20"/>
  <c r="J202" i="20"/>
  <c r="C203" i="20"/>
  <c r="H202" i="20"/>
  <c r="K203" i="19"/>
  <c r="AO11" i="19" s="1"/>
  <c r="AC51" i="12" s="1"/>
  <c r="J203" i="19"/>
  <c r="AN11" i="19" s="1"/>
  <c r="AC50" i="12" s="1"/>
  <c r="I203" i="19"/>
  <c r="AM11" i="19" s="1"/>
  <c r="AC49" i="12" s="1"/>
  <c r="H203" i="19"/>
  <c r="AL11" i="19" s="1"/>
  <c r="AC48" i="12" s="1"/>
  <c r="C207" i="19"/>
  <c r="G203" i="19"/>
  <c r="AK11" i="19" s="1"/>
  <c r="AC47" i="12" s="1"/>
  <c r="M203" i="19"/>
  <c r="AQ11" i="19" s="1"/>
  <c r="AC53" i="12" s="1"/>
  <c r="E203" i="19"/>
  <c r="AI11" i="19" s="1"/>
  <c r="N203" i="19"/>
  <c r="AR11" i="19" s="1"/>
  <c r="AC54" i="12" s="1"/>
  <c r="L203" i="19"/>
  <c r="AP11" i="19" s="1"/>
  <c r="AC52" i="12" s="1"/>
  <c r="F203" i="19"/>
  <c r="AJ11" i="19" s="1"/>
  <c r="AC46" i="12" s="1"/>
  <c r="D203" i="19"/>
  <c r="AH11" i="19" s="1"/>
  <c r="M202" i="18"/>
  <c r="E202" i="18"/>
  <c r="J202" i="18"/>
  <c r="I202" i="18"/>
  <c r="H202" i="18"/>
  <c r="C203" i="18"/>
  <c r="G202" i="18"/>
  <c r="L202" i="18"/>
  <c r="F202" i="18"/>
  <c r="D202" i="18"/>
  <c r="N202" i="18"/>
  <c r="K202" i="18"/>
  <c r="D210" i="1" l="1"/>
  <c r="K210" i="1"/>
  <c r="H210" i="1"/>
  <c r="N210" i="1"/>
  <c r="J210" i="1"/>
  <c r="G210" i="1"/>
  <c r="M210" i="1"/>
  <c r="I210" i="1"/>
  <c r="C211" i="1"/>
  <c r="F210" i="1"/>
  <c r="E210" i="1"/>
  <c r="L210" i="1"/>
  <c r="J210" i="27"/>
  <c r="M210" i="27"/>
  <c r="I210" i="27"/>
  <c r="D210" i="27"/>
  <c r="N210" i="27"/>
  <c r="C211" i="27"/>
  <c r="L210" i="27"/>
  <c r="K210" i="27"/>
  <c r="H210" i="27"/>
  <c r="G210" i="27"/>
  <c r="F210" i="27"/>
  <c r="E210" i="27"/>
  <c r="D210" i="26"/>
  <c r="G210" i="26"/>
  <c r="L210" i="26"/>
  <c r="K210" i="26"/>
  <c r="J210" i="26"/>
  <c r="I210" i="26"/>
  <c r="H210" i="26"/>
  <c r="C211" i="26"/>
  <c r="N210" i="26"/>
  <c r="M210" i="26"/>
  <c r="F210" i="26"/>
  <c r="E210" i="26"/>
  <c r="H209" i="25"/>
  <c r="C210" i="25"/>
  <c r="N209" i="25"/>
  <c r="M209" i="25"/>
  <c r="L209" i="25"/>
  <c r="K209" i="25"/>
  <c r="J209" i="25"/>
  <c r="F209" i="25"/>
  <c r="E209" i="25"/>
  <c r="D209" i="25"/>
  <c r="I209" i="25"/>
  <c r="G209" i="25"/>
  <c r="AC45" i="12"/>
  <c r="AC55" i="12" s="1"/>
  <c r="AC57" i="12" s="1"/>
  <c r="M203" i="20"/>
  <c r="AQ11" i="20" s="1"/>
  <c r="E203" i="20"/>
  <c r="AI11" i="20" s="1"/>
  <c r="J203" i="20"/>
  <c r="AN11" i="20" s="1"/>
  <c r="I203" i="20"/>
  <c r="AM11" i="20" s="1"/>
  <c r="H203" i="20"/>
  <c r="AL11" i="20" s="1"/>
  <c r="C207" i="20"/>
  <c r="G203" i="20"/>
  <c r="AK11" i="20" s="1"/>
  <c r="N203" i="20"/>
  <c r="AR11" i="20" s="1"/>
  <c r="L203" i="20"/>
  <c r="AP11" i="20" s="1"/>
  <c r="K203" i="20"/>
  <c r="AO11" i="20" s="1"/>
  <c r="F203" i="20"/>
  <c r="AJ11" i="20" s="1"/>
  <c r="D203" i="20"/>
  <c r="AH11" i="20" s="1"/>
  <c r="C208" i="19"/>
  <c r="G207" i="19"/>
  <c r="N207" i="19"/>
  <c r="F207" i="19"/>
  <c r="M207" i="19"/>
  <c r="E207" i="19"/>
  <c r="L207" i="19"/>
  <c r="D207" i="19"/>
  <c r="K207" i="19"/>
  <c r="I207" i="19"/>
  <c r="J207" i="19"/>
  <c r="H207" i="19"/>
  <c r="I203" i="18"/>
  <c r="AM11" i="18" s="1"/>
  <c r="N203" i="18"/>
  <c r="AR11" i="18" s="1"/>
  <c r="F203" i="18"/>
  <c r="AJ11" i="18" s="1"/>
  <c r="M203" i="18"/>
  <c r="AQ11" i="18" s="1"/>
  <c r="E203" i="18"/>
  <c r="AI11" i="18" s="1"/>
  <c r="L203" i="18"/>
  <c r="AP11" i="18" s="1"/>
  <c r="D203" i="18"/>
  <c r="AH11" i="18" s="1"/>
  <c r="K203" i="18"/>
  <c r="AO11" i="18" s="1"/>
  <c r="C207" i="18"/>
  <c r="J203" i="18"/>
  <c r="AN11" i="18" s="1"/>
  <c r="H203" i="18"/>
  <c r="AL11" i="18" s="1"/>
  <c r="G203" i="18"/>
  <c r="AK11" i="18" s="1"/>
  <c r="L211" i="1" l="1"/>
  <c r="J211" i="1"/>
  <c r="I211" i="1"/>
  <c r="K211" i="1"/>
  <c r="H211" i="1"/>
  <c r="N211" i="1"/>
  <c r="D211" i="1"/>
  <c r="M211" i="1"/>
  <c r="G211" i="1"/>
  <c r="C212" i="1"/>
  <c r="F211" i="1"/>
  <c r="E211" i="1"/>
  <c r="N211" i="27"/>
  <c r="C212" i="27"/>
  <c r="K211" i="27"/>
  <c r="H211" i="27"/>
  <c r="G211" i="27"/>
  <c r="M211" i="27"/>
  <c r="L211" i="27"/>
  <c r="J211" i="27"/>
  <c r="F211" i="27"/>
  <c r="E211" i="27"/>
  <c r="I211" i="27"/>
  <c r="D211" i="27"/>
  <c r="H211" i="26"/>
  <c r="L211" i="26"/>
  <c r="I211" i="26"/>
  <c r="G211" i="26"/>
  <c r="F211" i="26"/>
  <c r="C212" i="26"/>
  <c r="N211" i="26"/>
  <c r="M211" i="26"/>
  <c r="K211" i="26"/>
  <c r="J211" i="26"/>
  <c r="E211" i="26"/>
  <c r="D211" i="26"/>
  <c r="L210" i="25"/>
  <c r="E210" i="25"/>
  <c r="I210" i="25"/>
  <c r="H210" i="25"/>
  <c r="G210" i="25"/>
  <c r="C211" i="25"/>
  <c r="N210" i="25"/>
  <c r="M210" i="25"/>
  <c r="K210" i="25"/>
  <c r="J210" i="25"/>
  <c r="F210" i="25"/>
  <c r="D210" i="25"/>
  <c r="I207" i="20"/>
  <c r="N207" i="20"/>
  <c r="F207" i="20"/>
  <c r="M207" i="20"/>
  <c r="E207" i="20"/>
  <c r="L207" i="20"/>
  <c r="D207" i="20"/>
  <c r="K207" i="20"/>
  <c r="C208" i="20"/>
  <c r="H207" i="20"/>
  <c r="J207" i="20"/>
  <c r="G207" i="20"/>
  <c r="K208" i="19"/>
  <c r="J208" i="19"/>
  <c r="I208" i="19"/>
  <c r="H208" i="19"/>
  <c r="C209" i="19"/>
  <c r="G208" i="19"/>
  <c r="M208" i="19"/>
  <c r="E208" i="19"/>
  <c r="N208" i="19"/>
  <c r="L208" i="19"/>
  <c r="F208" i="19"/>
  <c r="D208" i="19"/>
  <c r="M207" i="18"/>
  <c r="E207" i="18"/>
  <c r="J207" i="18"/>
  <c r="I207" i="18"/>
  <c r="H207" i="18"/>
  <c r="C208" i="18"/>
  <c r="G207" i="18"/>
  <c r="K207" i="18"/>
  <c r="D207" i="18"/>
  <c r="N207" i="18"/>
  <c r="L207" i="18"/>
  <c r="F207" i="18"/>
  <c r="J212" i="1" l="1"/>
  <c r="H212" i="1"/>
  <c r="F212" i="1"/>
  <c r="E212" i="1"/>
  <c r="I212" i="1"/>
  <c r="K212" i="1"/>
  <c r="G212" i="1"/>
  <c r="N212" i="1"/>
  <c r="D212" i="1"/>
  <c r="L212" i="1"/>
  <c r="M212" i="1"/>
  <c r="C213" i="1"/>
  <c r="E212" i="27"/>
  <c r="G212" i="27"/>
  <c r="C213" i="27"/>
  <c r="D212" i="27"/>
  <c r="I212" i="27"/>
  <c r="H212" i="27"/>
  <c r="F212" i="27"/>
  <c r="N212" i="27"/>
  <c r="M212" i="27"/>
  <c r="L212" i="27"/>
  <c r="K212" i="27"/>
  <c r="J212" i="27"/>
  <c r="L212" i="26"/>
  <c r="F212" i="26"/>
  <c r="E212" i="26"/>
  <c r="C213" i="26"/>
  <c r="K212" i="26"/>
  <c r="J212" i="26"/>
  <c r="I212" i="26"/>
  <c r="N212" i="26"/>
  <c r="M212" i="26"/>
  <c r="H212" i="26"/>
  <c r="G212" i="26"/>
  <c r="D212" i="26"/>
  <c r="J211" i="25"/>
  <c r="C212" i="25"/>
  <c r="N211" i="25"/>
  <c r="M211" i="25"/>
  <c r="L211" i="25"/>
  <c r="K211" i="25"/>
  <c r="I211" i="25"/>
  <c r="H211" i="25"/>
  <c r="G211" i="25"/>
  <c r="F211" i="25"/>
  <c r="E211" i="25"/>
  <c r="D211" i="25"/>
  <c r="M208" i="20"/>
  <c r="E208" i="20"/>
  <c r="J208" i="20"/>
  <c r="I208" i="20"/>
  <c r="H208" i="20"/>
  <c r="C209" i="20"/>
  <c r="G208" i="20"/>
  <c r="L208" i="20"/>
  <c r="K208" i="20"/>
  <c r="F208" i="20"/>
  <c r="D208" i="20"/>
  <c r="N208" i="20"/>
  <c r="C210" i="19"/>
  <c r="G209" i="19"/>
  <c r="N209" i="19"/>
  <c r="F209" i="19"/>
  <c r="M209" i="19"/>
  <c r="E209" i="19"/>
  <c r="L209" i="19"/>
  <c r="D209" i="19"/>
  <c r="K209" i="19"/>
  <c r="I209" i="19"/>
  <c r="J209" i="19"/>
  <c r="H209" i="19"/>
  <c r="I208" i="18"/>
  <c r="N208" i="18"/>
  <c r="F208" i="18"/>
  <c r="M208" i="18"/>
  <c r="E208" i="18"/>
  <c r="L208" i="18"/>
  <c r="D208" i="18"/>
  <c r="K208" i="18"/>
  <c r="C209" i="18"/>
  <c r="J208" i="18"/>
  <c r="H208" i="18"/>
  <c r="G208" i="18"/>
  <c r="G213" i="1" l="1"/>
  <c r="F213" i="1"/>
  <c r="M213" i="1"/>
  <c r="L213" i="1"/>
  <c r="E213" i="1"/>
  <c r="K213" i="1"/>
  <c r="J213" i="1"/>
  <c r="N213" i="1"/>
  <c r="D213" i="1"/>
  <c r="C214" i="1"/>
  <c r="H213" i="1"/>
  <c r="I213" i="1"/>
  <c r="I213" i="27"/>
  <c r="F213" i="27"/>
  <c r="M213" i="27"/>
  <c r="J213" i="27"/>
  <c r="H213" i="27"/>
  <c r="D213" i="27"/>
  <c r="N213" i="27"/>
  <c r="L213" i="27"/>
  <c r="C214" i="27"/>
  <c r="K213" i="27"/>
  <c r="G213" i="27"/>
  <c r="E213" i="27"/>
  <c r="E213" i="26"/>
  <c r="L213" i="26"/>
  <c r="K213" i="26"/>
  <c r="F213" i="26"/>
  <c r="D213" i="26"/>
  <c r="J213" i="26"/>
  <c r="I213" i="26"/>
  <c r="H213" i="26"/>
  <c r="G213" i="26"/>
  <c r="M213" i="26"/>
  <c r="C214" i="26"/>
  <c r="N213" i="26"/>
  <c r="D212" i="25"/>
  <c r="C213" i="25"/>
  <c r="E212" i="25"/>
  <c r="I212" i="25"/>
  <c r="H212" i="25"/>
  <c r="G212" i="25"/>
  <c r="F212" i="25"/>
  <c r="N212" i="25"/>
  <c r="M212" i="25"/>
  <c r="L212" i="25"/>
  <c r="K212" i="25"/>
  <c r="J212" i="25"/>
  <c r="I209" i="20"/>
  <c r="N209" i="20"/>
  <c r="F209" i="20"/>
  <c r="M209" i="20"/>
  <c r="E209" i="20"/>
  <c r="L209" i="20"/>
  <c r="D209" i="20"/>
  <c r="K209" i="20"/>
  <c r="C210" i="20"/>
  <c r="J209" i="20"/>
  <c r="G209" i="20"/>
  <c r="H209" i="20"/>
  <c r="K210" i="19"/>
  <c r="J210" i="19"/>
  <c r="I210" i="19"/>
  <c r="H210" i="19"/>
  <c r="C211" i="19"/>
  <c r="G210" i="19"/>
  <c r="M210" i="19"/>
  <c r="E210" i="19"/>
  <c r="N210" i="19"/>
  <c r="F210" i="19"/>
  <c r="L210" i="19"/>
  <c r="D210" i="19"/>
  <c r="M209" i="18"/>
  <c r="E209" i="18"/>
  <c r="J209" i="18"/>
  <c r="I209" i="18"/>
  <c r="H209" i="18"/>
  <c r="C210" i="18"/>
  <c r="G209" i="18"/>
  <c r="F209" i="18"/>
  <c r="N209" i="18"/>
  <c r="L209" i="18"/>
  <c r="K209" i="18"/>
  <c r="D209" i="18"/>
  <c r="L214" i="1" l="1"/>
  <c r="H214" i="1"/>
  <c r="C215" i="1"/>
  <c r="M214" i="1"/>
  <c r="K214" i="1"/>
  <c r="J214" i="1"/>
  <c r="N214" i="1"/>
  <c r="I214" i="1"/>
  <c r="F214" i="1"/>
  <c r="D214" i="1"/>
  <c r="E214" i="1"/>
  <c r="G214" i="1"/>
  <c r="M214" i="27"/>
  <c r="J214" i="27"/>
  <c r="N214" i="27"/>
  <c r="L214" i="27"/>
  <c r="E214" i="27"/>
  <c r="D214" i="27"/>
  <c r="G214" i="27"/>
  <c r="F214" i="27"/>
  <c r="C215" i="27"/>
  <c r="H214" i="27"/>
  <c r="K214" i="27"/>
  <c r="I214" i="27"/>
  <c r="D214" i="26"/>
  <c r="J214" i="26"/>
  <c r="N214" i="26"/>
  <c r="M214" i="26"/>
  <c r="L214" i="26"/>
  <c r="C215" i="26"/>
  <c r="K214" i="26"/>
  <c r="I214" i="26"/>
  <c r="H214" i="26"/>
  <c r="G214" i="26"/>
  <c r="F214" i="26"/>
  <c r="E214" i="26"/>
  <c r="H213" i="25"/>
  <c r="J213" i="25"/>
  <c r="I213" i="25"/>
  <c r="G213" i="25"/>
  <c r="N213" i="25"/>
  <c r="M213" i="25"/>
  <c r="L213" i="25"/>
  <c r="K213" i="25"/>
  <c r="F213" i="25"/>
  <c r="E213" i="25"/>
  <c r="C214" i="25"/>
  <c r="D213" i="25"/>
  <c r="M210" i="20"/>
  <c r="E210" i="20"/>
  <c r="K210" i="20"/>
  <c r="J210" i="20"/>
  <c r="I210" i="20"/>
  <c r="H210" i="20"/>
  <c r="C211" i="20"/>
  <c r="G210" i="20"/>
  <c r="L210" i="20"/>
  <c r="F210" i="20"/>
  <c r="D210" i="20"/>
  <c r="N210" i="20"/>
  <c r="C212" i="19"/>
  <c r="G211" i="19"/>
  <c r="N211" i="19"/>
  <c r="F211" i="19"/>
  <c r="M211" i="19"/>
  <c r="E211" i="19"/>
  <c r="L211" i="19"/>
  <c r="D211" i="19"/>
  <c r="K211" i="19"/>
  <c r="I211" i="19"/>
  <c r="J211" i="19"/>
  <c r="H211" i="19"/>
  <c r="I210" i="18"/>
  <c r="N210" i="18"/>
  <c r="F210" i="18"/>
  <c r="M210" i="18"/>
  <c r="E210" i="18"/>
  <c r="L210" i="18"/>
  <c r="D210" i="18"/>
  <c r="K210" i="18"/>
  <c r="J210" i="18"/>
  <c r="H210" i="18"/>
  <c r="G210" i="18"/>
  <c r="C211" i="18"/>
  <c r="F215" i="1" l="1"/>
  <c r="J215" i="1"/>
  <c r="E215" i="1"/>
  <c r="N215" i="1"/>
  <c r="D215" i="1"/>
  <c r="M215" i="1"/>
  <c r="I215" i="1"/>
  <c r="L215" i="1"/>
  <c r="H215" i="1"/>
  <c r="C216" i="1"/>
  <c r="K215" i="1"/>
  <c r="G215" i="1"/>
  <c r="N215" i="27"/>
  <c r="G215" i="27"/>
  <c r="D215" i="27"/>
  <c r="F215" i="27"/>
  <c r="C216" i="27"/>
  <c r="M215" i="27"/>
  <c r="L215" i="27"/>
  <c r="K215" i="27"/>
  <c r="J215" i="27"/>
  <c r="I215" i="27"/>
  <c r="H215" i="27"/>
  <c r="E215" i="27"/>
  <c r="H215" i="26"/>
  <c r="C216" i="26"/>
  <c r="F215" i="26"/>
  <c r="E215" i="26"/>
  <c r="N215" i="26"/>
  <c r="M215" i="26"/>
  <c r="L215" i="26"/>
  <c r="K215" i="26"/>
  <c r="J215" i="26"/>
  <c r="I215" i="26"/>
  <c r="G215" i="26"/>
  <c r="D215" i="26"/>
  <c r="L214" i="25"/>
  <c r="H214" i="25"/>
  <c r="C215" i="25"/>
  <c r="N214" i="25"/>
  <c r="M214" i="25"/>
  <c r="K214" i="25"/>
  <c r="J214" i="25"/>
  <c r="I214" i="25"/>
  <c r="G214" i="25"/>
  <c r="F214" i="25"/>
  <c r="E214" i="25"/>
  <c r="D214" i="25"/>
  <c r="I211" i="20"/>
  <c r="C212" i="20"/>
  <c r="G211" i="20"/>
  <c r="N211" i="20"/>
  <c r="F211" i="20"/>
  <c r="M211" i="20"/>
  <c r="E211" i="20"/>
  <c r="L211" i="20"/>
  <c r="D211" i="20"/>
  <c r="K211" i="20"/>
  <c r="H211" i="20"/>
  <c r="J211" i="20"/>
  <c r="K212" i="19"/>
  <c r="J212" i="19"/>
  <c r="I212" i="19"/>
  <c r="H212" i="19"/>
  <c r="C213" i="19"/>
  <c r="G212" i="19"/>
  <c r="M212" i="19"/>
  <c r="E212" i="19"/>
  <c r="F212" i="19"/>
  <c r="D212" i="19"/>
  <c r="N212" i="19"/>
  <c r="L212" i="19"/>
  <c r="M211" i="18"/>
  <c r="E211" i="18"/>
  <c r="J211" i="18"/>
  <c r="I211" i="18"/>
  <c r="H211" i="18"/>
  <c r="C212" i="18"/>
  <c r="G211" i="18"/>
  <c r="D211" i="18"/>
  <c r="N211" i="18"/>
  <c r="L211" i="18"/>
  <c r="K211" i="18"/>
  <c r="F211" i="18"/>
  <c r="N216" i="1" l="1"/>
  <c r="F216" i="1"/>
  <c r="G216" i="1"/>
  <c r="C217" i="1"/>
  <c r="E216" i="1"/>
  <c r="H216" i="1"/>
  <c r="M216" i="1"/>
  <c r="L216" i="1"/>
  <c r="J216" i="1"/>
  <c r="I216" i="1"/>
  <c r="K216" i="1"/>
  <c r="D216" i="1"/>
  <c r="E216" i="27"/>
  <c r="M216" i="27"/>
  <c r="J216" i="27"/>
  <c r="C217" i="27"/>
  <c r="K216" i="27"/>
  <c r="I216" i="27"/>
  <c r="F216" i="27"/>
  <c r="D216" i="27"/>
  <c r="N216" i="27"/>
  <c r="L216" i="27"/>
  <c r="G216" i="27"/>
  <c r="H216" i="27"/>
  <c r="L216" i="26"/>
  <c r="M216" i="26"/>
  <c r="K216" i="26"/>
  <c r="J216" i="26"/>
  <c r="I216" i="26"/>
  <c r="H216" i="26"/>
  <c r="C217" i="26"/>
  <c r="D216" i="26"/>
  <c r="N216" i="26"/>
  <c r="E216" i="26"/>
  <c r="G216" i="26"/>
  <c r="F216" i="26"/>
  <c r="M215" i="25"/>
  <c r="D215" i="25"/>
  <c r="K215" i="25"/>
  <c r="J215" i="25"/>
  <c r="I215" i="25"/>
  <c r="H215" i="25"/>
  <c r="G215" i="25"/>
  <c r="F215" i="25"/>
  <c r="E215" i="25"/>
  <c r="C216" i="25"/>
  <c r="N215" i="25"/>
  <c r="L215" i="25"/>
  <c r="M212" i="20"/>
  <c r="E212" i="20"/>
  <c r="K212" i="20"/>
  <c r="J212" i="20"/>
  <c r="I212" i="20"/>
  <c r="H212" i="20"/>
  <c r="C213" i="20"/>
  <c r="G212" i="20"/>
  <c r="N212" i="20"/>
  <c r="L212" i="20"/>
  <c r="F212" i="20"/>
  <c r="D212" i="20"/>
  <c r="C214" i="19"/>
  <c r="G213" i="19"/>
  <c r="N213" i="19"/>
  <c r="F213" i="19"/>
  <c r="M213" i="19"/>
  <c r="E213" i="19"/>
  <c r="L213" i="19"/>
  <c r="D213" i="19"/>
  <c r="K213" i="19"/>
  <c r="I213" i="19"/>
  <c r="J213" i="19"/>
  <c r="H213" i="19"/>
  <c r="I212" i="18"/>
  <c r="N212" i="18"/>
  <c r="F212" i="18"/>
  <c r="M212" i="18"/>
  <c r="E212" i="18"/>
  <c r="L212" i="18"/>
  <c r="D212" i="18"/>
  <c r="K212" i="18"/>
  <c r="C213" i="18"/>
  <c r="H212" i="18"/>
  <c r="G212" i="18"/>
  <c r="J212" i="18"/>
  <c r="L217" i="1" l="1"/>
  <c r="K217" i="1"/>
  <c r="J217" i="1"/>
  <c r="F217" i="1"/>
  <c r="I217" i="1"/>
  <c r="H217" i="1"/>
  <c r="M217" i="1"/>
  <c r="G217" i="1"/>
  <c r="C218" i="1"/>
  <c r="D217" i="1"/>
  <c r="E217" i="1"/>
  <c r="N217" i="1"/>
  <c r="I217" i="27"/>
  <c r="F217" i="27"/>
  <c r="M217" i="27"/>
  <c r="J217" i="27"/>
  <c r="L217" i="27"/>
  <c r="K217" i="27"/>
  <c r="C218" i="27"/>
  <c r="N217" i="27"/>
  <c r="H217" i="27"/>
  <c r="G217" i="27"/>
  <c r="E217" i="27"/>
  <c r="D217" i="27"/>
  <c r="H217" i="26"/>
  <c r="E217" i="26"/>
  <c r="D217" i="26"/>
  <c r="C218" i="26"/>
  <c r="N217" i="26"/>
  <c r="M217" i="26"/>
  <c r="L217" i="26"/>
  <c r="K217" i="26"/>
  <c r="J217" i="26"/>
  <c r="I217" i="26"/>
  <c r="G217" i="26"/>
  <c r="F217" i="26"/>
  <c r="D216" i="25"/>
  <c r="J216" i="25"/>
  <c r="I216" i="25"/>
  <c r="H216" i="25"/>
  <c r="C217" i="25"/>
  <c r="N216" i="25"/>
  <c r="M216" i="25"/>
  <c r="L216" i="25"/>
  <c r="K216" i="25"/>
  <c r="G216" i="25"/>
  <c r="F216" i="25"/>
  <c r="E216" i="25"/>
  <c r="I213" i="20"/>
  <c r="C214" i="20"/>
  <c r="G213" i="20"/>
  <c r="N213" i="20"/>
  <c r="F213" i="20"/>
  <c r="M213" i="20"/>
  <c r="E213" i="20"/>
  <c r="L213" i="20"/>
  <c r="D213" i="20"/>
  <c r="K213" i="20"/>
  <c r="H213" i="20"/>
  <c r="J213" i="20"/>
  <c r="K214" i="19"/>
  <c r="J214" i="19"/>
  <c r="I214" i="19"/>
  <c r="H214" i="19"/>
  <c r="C215" i="19"/>
  <c r="G214" i="19"/>
  <c r="M214" i="19"/>
  <c r="E214" i="19"/>
  <c r="N214" i="19"/>
  <c r="L214" i="19"/>
  <c r="F214" i="19"/>
  <c r="D214" i="19"/>
  <c r="M213" i="18"/>
  <c r="E213" i="18"/>
  <c r="J213" i="18"/>
  <c r="I213" i="18"/>
  <c r="H213" i="18"/>
  <c r="C214" i="18"/>
  <c r="G213" i="18"/>
  <c r="N213" i="18"/>
  <c r="L213" i="18"/>
  <c r="K213" i="18"/>
  <c r="F213" i="18"/>
  <c r="D213" i="18"/>
  <c r="E218" i="1" l="1"/>
  <c r="J218" i="1"/>
  <c r="I218" i="1"/>
  <c r="F218" i="1"/>
  <c r="K218" i="1"/>
  <c r="M218" i="1"/>
  <c r="H218" i="1"/>
  <c r="N218" i="1"/>
  <c r="C219" i="1"/>
  <c r="D218" i="1"/>
  <c r="G218" i="1"/>
  <c r="L218" i="1"/>
  <c r="M218" i="27"/>
  <c r="J218" i="27"/>
  <c r="G218" i="27"/>
  <c r="D218" i="27"/>
  <c r="L218" i="27"/>
  <c r="H218" i="27"/>
  <c r="F218" i="27"/>
  <c r="I218" i="27"/>
  <c r="E218" i="27"/>
  <c r="C219" i="27"/>
  <c r="N218" i="27"/>
  <c r="K218" i="27"/>
  <c r="D218" i="26"/>
  <c r="M218" i="26"/>
  <c r="G218" i="26"/>
  <c r="F218" i="26"/>
  <c r="I218" i="26"/>
  <c r="H218" i="26"/>
  <c r="E218" i="26"/>
  <c r="C219" i="26"/>
  <c r="L218" i="26"/>
  <c r="K218" i="26"/>
  <c r="J218" i="26"/>
  <c r="N218" i="26"/>
  <c r="H217" i="25"/>
  <c r="F217" i="25"/>
  <c r="C218" i="25"/>
  <c r="N217" i="25"/>
  <c r="J217" i="25"/>
  <c r="I217" i="25"/>
  <c r="G217" i="25"/>
  <c r="E217" i="25"/>
  <c r="D217" i="25"/>
  <c r="M217" i="25"/>
  <c r="L217" i="25"/>
  <c r="K217" i="25"/>
  <c r="M214" i="20"/>
  <c r="E214" i="20"/>
  <c r="K214" i="20"/>
  <c r="J214" i="20"/>
  <c r="I214" i="20"/>
  <c r="H214" i="20"/>
  <c r="C215" i="20"/>
  <c r="G214" i="20"/>
  <c r="N214" i="20"/>
  <c r="L214" i="20"/>
  <c r="D214" i="20"/>
  <c r="F214" i="20"/>
  <c r="C216" i="19"/>
  <c r="G215" i="19"/>
  <c r="N215" i="19"/>
  <c r="F215" i="19"/>
  <c r="M215" i="19"/>
  <c r="E215" i="19"/>
  <c r="L215" i="19"/>
  <c r="D215" i="19"/>
  <c r="K215" i="19"/>
  <c r="I215" i="19"/>
  <c r="J215" i="19"/>
  <c r="H215" i="19"/>
  <c r="I214" i="18"/>
  <c r="N214" i="18"/>
  <c r="F214" i="18"/>
  <c r="M214" i="18"/>
  <c r="E214" i="18"/>
  <c r="L214" i="18"/>
  <c r="D214" i="18"/>
  <c r="K214" i="18"/>
  <c r="J214" i="18"/>
  <c r="G214" i="18"/>
  <c r="C215" i="18"/>
  <c r="H214" i="18"/>
  <c r="N219" i="1" l="1"/>
  <c r="M219" i="1"/>
  <c r="L219" i="1"/>
  <c r="G219" i="1"/>
  <c r="K219" i="1"/>
  <c r="E219" i="1"/>
  <c r="F219" i="1"/>
  <c r="J219" i="1"/>
  <c r="D219" i="1"/>
  <c r="C220" i="1"/>
  <c r="I219" i="1"/>
  <c r="H219" i="1"/>
  <c r="N219" i="27"/>
  <c r="M219" i="27"/>
  <c r="J219" i="27"/>
  <c r="F219" i="27"/>
  <c r="E219" i="27"/>
  <c r="C220" i="27"/>
  <c r="L219" i="27"/>
  <c r="K219" i="27"/>
  <c r="I219" i="27"/>
  <c r="H219" i="27"/>
  <c r="G219" i="27"/>
  <c r="D219" i="27"/>
  <c r="H219" i="26"/>
  <c r="M219" i="26"/>
  <c r="L219" i="26"/>
  <c r="C220" i="26"/>
  <c r="E219" i="26"/>
  <c r="D219" i="26"/>
  <c r="G219" i="26"/>
  <c r="F219" i="26"/>
  <c r="N219" i="26"/>
  <c r="K219" i="26"/>
  <c r="J219" i="26"/>
  <c r="I219" i="26"/>
  <c r="L218" i="25"/>
  <c r="K218" i="25"/>
  <c r="D218" i="25"/>
  <c r="C219" i="25"/>
  <c r="N218" i="25"/>
  <c r="G218" i="25"/>
  <c r="F218" i="25"/>
  <c r="E218" i="25"/>
  <c r="M218" i="25"/>
  <c r="J218" i="25"/>
  <c r="I218" i="25"/>
  <c r="H218" i="25"/>
  <c r="I215" i="20"/>
  <c r="C216" i="20"/>
  <c r="G215" i="20"/>
  <c r="N215" i="20"/>
  <c r="F215" i="20"/>
  <c r="M215" i="20"/>
  <c r="E215" i="20"/>
  <c r="L215" i="20"/>
  <c r="D215" i="20"/>
  <c r="K215" i="20"/>
  <c r="J215" i="20"/>
  <c r="H215" i="20"/>
  <c r="K216" i="19"/>
  <c r="J216" i="19"/>
  <c r="I216" i="19"/>
  <c r="H216" i="19"/>
  <c r="C217" i="19"/>
  <c r="G216" i="19"/>
  <c r="M216" i="19"/>
  <c r="E216" i="19"/>
  <c r="N216" i="19"/>
  <c r="L216" i="19"/>
  <c r="F216" i="19"/>
  <c r="D216" i="19"/>
  <c r="M215" i="18"/>
  <c r="E215" i="18"/>
  <c r="J215" i="18"/>
  <c r="I215" i="18"/>
  <c r="H215" i="18"/>
  <c r="C216" i="18"/>
  <c r="G215" i="18"/>
  <c r="N215" i="18"/>
  <c r="L215" i="18"/>
  <c r="K215" i="18"/>
  <c r="F215" i="18"/>
  <c r="D215" i="18"/>
  <c r="I220" i="1" l="1"/>
  <c r="C221" i="1"/>
  <c r="N220" i="1"/>
  <c r="H220" i="1"/>
  <c r="M220" i="1"/>
  <c r="D220" i="1"/>
  <c r="L220" i="1"/>
  <c r="K220" i="1"/>
  <c r="J220" i="1"/>
  <c r="F220" i="1"/>
  <c r="G220" i="1"/>
  <c r="E220" i="1"/>
  <c r="E220" i="27"/>
  <c r="I220" i="27"/>
  <c r="F220" i="27"/>
  <c r="D220" i="27"/>
  <c r="K220" i="27"/>
  <c r="J220" i="27"/>
  <c r="C221" i="27"/>
  <c r="L220" i="27"/>
  <c r="N220" i="27"/>
  <c r="M220" i="27"/>
  <c r="G220" i="27"/>
  <c r="H220" i="27"/>
  <c r="L220" i="26"/>
  <c r="F220" i="26"/>
  <c r="E220" i="26"/>
  <c r="D220" i="26"/>
  <c r="C221" i="26"/>
  <c r="N220" i="26"/>
  <c r="M220" i="26"/>
  <c r="K220" i="26"/>
  <c r="J220" i="26"/>
  <c r="I220" i="26"/>
  <c r="H220" i="26"/>
  <c r="G220" i="26"/>
  <c r="J219" i="25"/>
  <c r="I219" i="25"/>
  <c r="H219" i="25"/>
  <c r="G219" i="25"/>
  <c r="F219" i="25"/>
  <c r="E219" i="25"/>
  <c r="D219" i="25"/>
  <c r="C220" i="25"/>
  <c r="N219" i="25"/>
  <c r="M219" i="25"/>
  <c r="L219" i="25"/>
  <c r="K219" i="25"/>
  <c r="M216" i="20"/>
  <c r="E216" i="20"/>
  <c r="K216" i="20"/>
  <c r="J216" i="20"/>
  <c r="I216" i="20"/>
  <c r="H216" i="20"/>
  <c r="C217" i="20"/>
  <c r="G216" i="20"/>
  <c r="D216" i="20"/>
  <c r="L216" i="20"/>
  <c r="N216" i="20"/>
  <c r="F216" i="20"/>
  <c r="C218" i="19"/>
  <c r="G217" i="19"/>
  <c r="N217" i="19"/>
  <c r="F217" i="19"/>
  <c r="M217" i="19"/>
  <c r="E217" i="19"/>
  <c r="L217" i="19"/>
  <c r="D217" i="19"/>
  <c r="K217" i="19"/>
  <c r="I217" i="19"/>
  <c r="J217" i="19"/>
  <c r="H217" i="19"/>
  <c r="I216" i="18"/>
  <c r="N216" i="18"/>
  <c r="F216" i="18"/>
  <c r="M216" i="18"/>
  <c r="E216" i="18"/>
  <c r="L216" i="18"/>
  <c r="D216" i="18"/>
  <c r="K216" i="18"/>
  <c r="H216" i="18"/>
  <c r="C217" i="18"/>
  <c r="J216" i="18"/>
  <c r="G216" i="18"/>
  <c r="K221" i="1" l="1"/>
  <c r="E221" i="1"/>
  <c r="M221" i="1"/>
  <c r="G221" i="1"/>
  <c r="C222" i="1"/>
  <c r="D221" i="1"/>
  <c r="J221" i="1"/>
  <c r="I221" i="1"/>
  <c r="N221" i="1"/>
  <c r="L221" i="1"/>
  <c r="H221" i="1"/>
  <c r="F221" i="1"/>
  <c r="I221" i="27"/>
  <c r="F221" i="27"/>
  <c r="H221" i="27"/>
  <c r="D221" i="27"/>
  <c r="N221" i="27"/>
  <c r="M221" i="27"/>
  <c r="K221" i="27"/>
  <c r="J221" i="27"/>
  <c r="E221" i="27"/>
  <c r="G221" i="27"/>
  <c r="C222" i="27"/>
  <c r="L221" i="27"/>
  <c r="K221" i="26"/>
  <c r="G221" i="26"/>
  <c r="F221" i="26"/>
  <c r="N221" i="26"/>
  <c r="M221" i="26"/>
  <c r="L221" i="26"/>
  <c r="E221" i="26"/>
  <c r="D221" i="26"/>
  <c r="I221" i="26"/>
  <c r="H221" i="26"/>
  <c r="C222" i="26"/>
  <c r="J221" i="26"/>
  <c r="D220" i="25"/>
  <c r="E220" i="25"/>
  <c r="C221" i="25"/>
  <c r="N220" i="25"/>
  <c r="M220" i="25"/>
  <c r="L220" i="25"/>
  <c r="K220" i="25"/>
  <c r="J220" i="25"/>
  <c r="I220" i="25"/>
  <c r="H220" i="25"/>
  <c r="G220" i="25"/>
  <c r="F220" i="25"/>
  <c r="I217" i="20"/>
  <c r="C218" i="20"/>
  <c r="G217" i="20"/>
  <c r="N217" i="20"/>
  <c r="F217" i="20"/>
  <c r="M217" i="20"/>
  <c r="E217" i="20"/>
  <c r="L217" i="20"/>
  <c r="D217" i="20"/>
  <c r="K217" i="20"/>
  <c r="J217" i="20"/>
  <c r="H217" i="20"/>
  <c r="K218" i="19"/>
  <c r="J218" i="19"/>
  <c r="I218" i="19"/>
  <c r="H218" i="19"/>
  <c r="C219" i="19"/>
  <c r="G218" i="19"/>
  <c r="M218" i="19"/>
  <c r="E218" i="19"/>
  <c r="N218" i="19"/>
  <c r="F218" i="19"/>
  <c r="L218" i="19"/>
  <c r="D218" i="19"/>
  <c r="M217" i="18"/>
  <c r="E217" i="18"/>
  <c r="J217" i="18"/>
  <c r="I217" i="18"/>
  <c r="H217" i="18"/>
  <c r="C218" i="18"/>
  <c r="G217" i="18"/>
  <c r="L217" i="18"/>
  <c r="K217" i="18"/>
  <c r="F217" i="18"/>
  <c r="D217" i="18"/>
  <c r="N217" i="18"/>
  <c r="I222" i="1" l="1"/>
  <c r="E222" i="1"/>
  <c r="M222" i="1"/>
  <c r="L222" i="1"/>
  <c r="F222" i="1"/>
  <c r="N222" i="1"/>
  <c r="H222" i="1"/>
  <c r="D222" i="1"/>
  <c r="K222" i="1"/>
  <c r="G222" i="1"/>
  <c r="J222" i="1"/>
  <c r="C223" i="1"/>
  <c r="M222" i="27"/>
  <c r="J222" i="27"/>
  <c r="C223" i="27"/>
  <c r="K222" i="27"/>
  <c r="E222" i="27"/>
  <c r="L222" i="27"/>
  <c r="I222" i="27"/>
  <c r="F222" i="27"/>
  <c r="D222" i="27"/>
  <c r="N222" i="27"/>
  <c r="H222" i="27"/>
  <c r="G222" i="27"/>
  <c r="D222" i="26"/>
  <c r="M222" i="26"/>
  <c r="L222" i="26"/>
  <c r="C223" i="26"/>
  <c r="N222" i="26"/>
  <c r="K222" i="26"/>
  <c r="J222" i="26"/>
  <c r="I222" i="26"/>
  <c r="H222" i="26"/>
  <c r="G222" i="26"/>
  <c r="E222" i="26"/>
  <c r="F222" i="26"/>
  <c r="H221" i="25"/>
  <c r="J221" i="25"/>
  <c r="D221" i="25"/>
  <c r="G221" i="25"/>
  <c r="F221" i="25"/>
  <c r="E221" i="25"/>
  <c r="K221" i="25"/>
  <c r="I221" i="25"/>
  <c r="C222" i="25"/>
  <c r="N221" i="25"/>
  <c r="M221" i="25"/>
  <c r="L221" i="25"/>
  <c r="M218" i="20"/>
  <c r="E218" i="20"/>
  <c r="K218" i="20"/>
  <c r="J218" i="20"/>
  <c r="I218" i="20"/>
  <c r="H218" i="20"/>
  <c r="C219" i="20"/>
  <c r="G218" i="20"/>
  <c r="L218" i="20"/>
  <c r="F218" i="20"/>
  <c r="D218" i="20"/>
  <c r="N218" i="20"/>
  <c r="C220" i="19"/>
  <c r="G219" i="19"/>
  <c r="N219" i="19"/>
  <c r="F219" i="19"/>
  <c r="M219" i="19"/>
  <c r="E219" i="19"/>
  <c r="L219" i="19"/>
  <c r="D219" i="19"/>
  <c r="K219" i="19"/>
  <c r="I219" i="19"/>
  <c r="J219" i="19"/>
  <c r="H219" i="19"/>
  <c r="I218" i="18"/>
  <c r="N218" i="18"/>
  <c r="F218" i="18"/>
  <c r="M218" i="18"/>
  <c r="E218" i="18"/>
  <c r="L218" i="18"/>
  <c r="D218" i="18"/>
  <c r="K218" i="18"/>
  <c r="G218" i="18"/>
  <c r="C219" i="18"/>
  <c r="J218" i="18"/>
  <c r="H218" i="18"/>
  <c r="N223" i="1" l="1"/>
  <c r="F223" i="1"/>
  <c r="J223" i="1"/>
  <c r="C224" i="1"/>
  <c r="E223" i="1"/>
  <c r="M223" i="1"/>
  <c r="D223" i="1"/>
  <c r="L223" i="1"/>
  <c r="I223" i="1"/>
  <c r="K223" i="1"/>
  <c r="H223" i="1"/>
  <c r="G223" i="1"/>
  <c r="N223" i="27"/>
  <c r="M223" i="27"/>
  <c r="J223" i="27"/>
  <c r="I223" i="27"/>
  <c r="C224" i="27"/>
  <c r="K223" i="27"/>
  <c r="H223" i="27"/>
  <c r="L223" i="27"/>
  <c r="G223" i="27"/>
  <c r="F223" i="27"/>
  <c r="E223" i="27"/>
  <c r="D223" i="27"/>
  <c r="H223" i="26"/>
  <c r="D223" i="26"/>
  <c r="K223" i="26"/>
  <c r="J223" i="26"/>
  <c r="I223" i="26"/>
  <c r="G223" i="26"/>
  <c r="F223" i="26"/>
  <c r="E223" i="26"/>
  <c r="C224" i="26"/>
  <c r="N223" i="26"/>
  <c r="M223" i="26"/>
  <c r="L223" i="26"/>
  <c r="L222" i="25"/>
  <c r="C223" i="25"/>
  <c r="J222" i="25"/>
  <c r="I222" i="25"/>
  <c r="H222" i="25"/>
  <c r="N222" i="25"/>
  <c r="M222" i="25"/>
  <c r="K222" i="25"/>
  <c r="G222" i="25"/>
  <c r="F222" i="25"/>
  <c r="E222" i="25"/>
  <c r="D222" i="25"/>
  <c r="I219" i="20"/>
  <c r="C220" i="20"/>
  <c r="G219" i="20"/>
  <c r="N219" i="20"/>
  <c r="F219" i="20"/>
  <c r="M219" i="20"/>
  <c r="E219" i="20"/>
  <c r="L219" i="20"/>
  <c r="D219" i="20"/>
  <c r="K219" i="20"/>
  <c r="H219" i="20"/>
  <c r="J219" i="20"/>
  <c r="K220" i="19"/>
  <c r="J220" i="19"/>
  <c r="I220" i="19"/>
  <c r="H220" i="19"/>
  <c r="C221" i="19"/>
  <c r="G220" i="19"/>
  <c r="M220" i="19"/>
  <c r="E220" i="19"/>
  <c r="F220" i="19"/>
  <c r="D220" i="19"/>
  <c r="N220" i="19"/>
  <c r="L220" i="19"/>
  <c r="M219" i="18"/>
  <c r="E219" i="18"/>
  <c r="J219" i="18"/>
  <c r="I219" i="18"/>
  <c r="H219" i="18"/>
  <c r="C220" i="18"/>
  <c r="G219" i="18"/>
  <c r="N219" i="18"/>
  <c r="K219" i="18"/>
  <c r="F219" i="18"/>
  <c r="D219" i="18"/>
  <c r="L219" i="18"/>
  <c r="D224" i="1" l="1"/>
  <c r="N224" i="1"/>
  <c r="L224" i="1"/>
  <c r="C225" i="1"/>
  <c r="G224" i="1"/>
  <c r="M224" i="1"/>
  <c r="K224" i="1"/>
  <c r="H224" i="1"/>
  <c r="J224" i="1"/>
  <c r="E224" i="1"/>
  <c r="I224" i="1"/>
  <c r="F224" i="1"/>
  <c r="E224" i="27"/>
  <c r="I224" i="27"/>
  <c r="F224" i="27"/>
  <c r="M224" i="27"/>
  <c r="L224" i="27"/>
  <c r="D224" i="27"/>
  <c r="K224" i="27"/>
  <c r="G224" i="27"/>
  <c r="J224" i="27"/>
  <c r="H224" i="27"/>
  <c r="C225" i="27"/>
  <c r="N224" i="27"/>
  <c r="L224" i="26"/>
  <c r="I224" i="26"/>
  <c r="G224" i="26"/>
  <c r="F224" i="26"/>
  <c r="D224" i="26"/>
  <c r="M224" i="26"/>
  <c r="K224" i="26"/>
  <c r="J224" i="26"/>
  <c r="H224" i="26"/>
  <c r="E224" i="26"/>
  <c r="C225" i="26"/>
  <c r="N224" i="26"/>
  <c r="C224" i="25"/>
  <c r="N223" i="25"/>
  <c r="F223" i="25"/>
  <c r="E223" i="25"/>
  <c r="D223" i="25"/>
  <c r="M223" i="25"/>
  <c r="L223" i="25"/>
  <c r="K223" i="25"/>
  <c r="J223" i="25"/>
  <c r="I223" i="25"/>
  <c r="H223" i="25"/>
  <c r="G223" i="25"/>
  <c r="M220" i="20"/>
  <c r="E220" i="20"/>
  <c r="K220" i="20"/>
  <c r="J220" i="20"/>
  <c r="I220" i="20"/>
  <c r="H220" i="20"/>
  <c r="C221" i="20"/>
  <c r="G220" i="20"/>
  <c r="N220" i="20"/>
  <c r="L220" i="20"/>
  <c r="F220" i="20"/>
  <c r="D220" i="20"/>
  <c r="C222" i="19"/>
  <c r="G221" i="19"/>
  <c r="N221" i="19"/>
  <c r="F221" i="19"/>
  <c r="M221" i="19"/>
  <c r="E221" i="19"/>
  <c r="L221" i="19"/>
  <c r="D221" i="19"/>
  <c r="K221" i="19"/>
  <c r="I221" i="19"/>
  <c r="J221" i="19"/>
  <c r="H221" i="19"/>
  <c r="I220" i="18"/>
  <c r="N220" i="18"/>
  <c r="F220" i="18"/>
  <c r="M220" i="18"/>
  <c r="E220" i="18"/>
  <c r="L220" i="18"/>
  <c r="D220" i="18"/>
  <c r="K220" i="18"/>
  <c r="C221" i="18"/>
  <c r="J220" i="18"/>
  <c r="H220" i="18"/>
  <c r="G220" i="18"/>
  <c r="N225" i="1" l="1"/>
  <c r="M225" i="1"/>
  <c r="L225" i="1"/>
  <c r="G225" i="1"/>
  <c r="E225" i="1"/>
  <c r="H225" i="1"/>
  <c r="K225" i="1"/>
  <c r="I225" i="1"/>
  <c r="C226" i="1"/>
  <c r="J225" i="1"/>
  <c r="F225" i="1"/>
  <c r="D225" i="1"/>
  <c r="I225" i="27"/>
  <c r="F225" i="27"/>
  <c r="C226" i="27"/>
  <c r="L225" i="27"/>
  <c r="K225" i="27"/>
  <c r="G225" i="27"/>
  <c r="E225" i="27"/>
  <c r="D225" i="27"/>
  <c r="N225" i="27"/>
  <c r="M225" i="27"/>
  <c r="J225" i="27"/>
  <c r="H225" i="27"/>
  <c r="N225" i="26"/>
  <c r="M225" i="26"/>
  <c r="L225" i="26"/>
  <c r="G225" i="26"/>
  <c r="F225" i="26"/>
  <c r="E225" i="26"/>
  <c r="J225" i="26"/>
  <c r="I225" i="26"/>
  <c r="H225" i="26"/>
  <c r="D225" i="26"/>
  <c r="C226" i="26"/>
  <c r="K225" i="26"/>
  <c r="D224" i="25"/>
  <c r="H224" i="25"/>
  <c r="E224" i="25"/>
  <c r="C225" i="25"/>
  <c r="N224" i="25"/>
  <c r="M224" i="25"/>
  <c r="L224" i="25"/>
  <c r="K224" i="25"/>
  <c r="J224" i="25"/>
  <c r="F224" i="25"/>
  <c r="I224" i="25"/>
  <c r="G224" i="25"/>
  <c r="I221" i="20"/>
  <c r="C222" i="20"/>
  <c r="G221" i="20"/>
  <c r="N221" i="20"/>
  <c r="F221" i="20"/>
  <c r="M221" i="20"/>
  <c r="E221" i="20"/>
  <c r="L221" i="20"/>
  <c r="D221" i="20"/>
  <c r="K221" i="20"/>
  <c r="H221" i="20"/>
  <c r="J221" i="20"/>
  <c r="K222" i="19"/>
  <c r="J222" i="19"/>
  <c r="I222" i="19"/>
  <c r="H222" i="19"/>
  <c r="C223" i="19"/>
  <c r="G222" i="19"/>
  <c r="M222" i="19"/>
  <c r="E222" i="19"/>
  <c r="N222" i="19"/>
  <c r="L222" i="19"/>
  <c r="F222" i="19"/>
  <c r="D222" i="19"/>
  <c r="M221" i="18"/>
  <c r="E221" i="18"/>
  <c r="J221" i="18"/>
  <c r="I221" i="18"/>
  <c r="H221" i="18"/>
  <c r="C222" i="18"/>
  <c r="G221" i="18"/>
  <c r="L221" i="18"/>
  <c r="F221" i="18"/>
  <c r="D221" i="18"/>
  <c r="N221" i="18"/>
  <c r="K221" i="18"/>
  <c r="F226" i="1" l="1"/>
  <c r="I226" i="1"/>
  <c r="C227" i="1"/>
  <c r="E226" i="1"/>
  <c r="D226" i="1"/>
  <c r="J226" i="1"/>
  <c r="G226" i="1"/>
  <c r="K226" i="1"/>
  <c r="N226" i="1"/>
  <c r="L226" i="1"/>
  <c r="M226" i="1"/>
  <c r="H226" i="1"/>
  <c r="M226" i="27"/>
  <c r="J226" i="27"/>
  <c r="C227" i="27"/>
  <c r="N226" i="27"/>
  <c r="L226" i="27"/>
  <c r="H226" i="27"/>
  <c r="G226" i="27"/>
  <c r="E226" i="27"/>
  <c r="D226" i="27"/>
  <c r="K226" i="27"/>
  <c r="I226" i="27"/>
  <c r="F226" i="27"/>
  <c r="D226" i="26"/>
  <c r="C227" i="26"/>
  <c r="N226" i="26"/>
  <c r="M226" i="26"/>
  <c r="J226" i="26"/>
  <c r="I226" i="26"/>
  <c r="H226" i="26"/>
  <c r="G226" i="26"/>
  <c r="F226" i="26"/>
  <c r="E226" i="26"/>
  <c r="L226" i="26"/>
  <c r="K226" i="26"/>
  <c r="H225" i="25"/>
  <c r="M225" i="25"/>
  <c r="K225" i="25"/>
  <c r="J225" i="25"/>
  <c r="I225" i="25"/>
  <c r="C226" i="25"/>
  <c r="N225" i="25"/>
  <c r="L225" i="25"/>
  <c r="G225" i="25"/>
  <c r="F225" i="25"/>
  <c r="E225" i="25"/>
  <c r="D225" i="25"/>
  <c r="M222" i="20"/>
  <c r="E222" i="20"/>
  <c r="K222" i="20"/>
  <c r="J222" i="20"/>
  <c r="I222" i="20"/>
  <c r="H222" i="20"/>
  <c r="C223" i="20"/>
  <c r="G222" i="20"/>
  <c r="N222" i="20"/>
  <c r="L222" i="20"/>
  <c r="D222" i="20"/>
  <c r="F222" i="20"/>
  <c r="C224" i="19"/>
  <c r="G223" i="19"/>
  <c r="N223" i="19"/>
  <c r="F223" i="19"/>
  <c r="M223" i="19"/>
  <c r="E223" i="19"/>
  <c r="L223" i="19"/>
  <c r="D223" i="19"/>
  <c r="K223" i="19"/>
  <c r="I223" i="19"/>
  <c r="J223" i="19"/>
  <c r="H223" i="19"/>
  <c r="I222" i="18"/>
  <c r="N222" i="18"/>
  <c r="F222" i="18"/>
  <c r="M222" i="18"/>
  <c r="E222" i="18"/>
  <c r="L222" i="18"/>
  <c r="D222" i="18"/>
  <c r="K222" i="18"/>
  <c r="C223" i="18"/>
  <c r="J222" i="18"/>
  <c r="H222" i="18"/>
  <c r="G222" i="18"/>
  <c r="N227" i="1" l="1"/>
  <c r="K227" i="1"/>
  <c r="H227" i="1"/>
  <c r="M227" i="1"/>
  <c r="C228" i="1"/>
  <c r="F227" i="1"/>
  <c r="L227" i="1"/>
  <c r="E227" i="1"/>
  <c r="J227" i="1"/>
  <c r="I227" i="1"/>
  <c r="D227" i="1"/>
  <c r="G227" i="1"/>
  <c r="N227" i="27"/>
  <c r="I227" i="27"/>
  <c r="F227" i="27"/>
  <c r="H227" i="27"/>
  <c r="D227" i="27"/>
  <c r="M227" i="27"/>
  <c r="J227" i="27"/>
  <c r="L227" i="27"/>
  <c r="K227" i="27"/>
  <c r="G227" i="27"/>
  <c r="C228" i="27"/>
  <c r="E227" i="27"/>
  <c r="H227" i="26"/>
  <c r="G227" i="26"/>
  <c r="I227" i="26"/>
  <c r="F227" i="26"/>
  <c r="M227" i="26"/>
  <c r="L227" i="26"/>
  <c r="K227" i="26"/>
  <c r="J227" i="26"/>
  <c r="E227" i="26"/>
  <c r="D227" i="26"/>
  <c r="C228" i="26"/>
  <c r="N227" i="26"/>
  <c r="L226" i="25"/>
  <c r="C227" i="25"/>
  <c r="M226" i="25"/>
  <c r="K226" i="25"/>
  <c r="J226" i="25"/>
  <c r="I226" i="25"/>
  <c r="H226" i="25"/>
  <c r="G226" i="25"/>
  <c r="N226" i="25"/>
  <c r="F226" i="25"/>
  <c r="E226" i="25"/>
  <c r="D226" i="25"/>
  <c r="I223" i="20"/>
  <c r="C224" i="20"/>
  <c r="G223" i="20"/>
  <c r="N223" i="20"/>
  <c r="F223" i="20"/>
  <c r="M223" i="20"/>
  <c r="E223" i="20"/>
  <c r="L223" i="20"/>
  <c r="D223" i="20"/>
  <c r="K223" i="20"/>
  <c r="J223" i="20"/>
  <c r="H223" i="20"/>
  <c r="K224" i="19"/>
  <c r="J224" i="19"/>
  <c r="I224" i="19"/>
  <c r="H224" i="19"/>
  <c r="C225" i="19"/>
  <c r="G224" i="19"/>
  <c r="M224" i="19"/>
  <c r="E224" i="19"/>
  <c r="N224" i="19"/>
  <c r="L224" i="19"/>
  <c r="F224" i="19"/>
  <c r="D224" i="19"/>
  <c r="M223" i="18"/>
  <c r="E223" i="18"/>
  <c r="J223" i="18"/>
  <c r="I223" i="18"/>
  <c r="H223" i="18"/>
  <c r="C224" i="18"/>
  <c r="G223" i="18"/>
  <c r="K223" i="18"/>
  <c r="D223" i="18"/>
  <c r="N223" i="18"/>
  <c r="L223" i="18"/>
  <c r="F223" i="18"/>
  <c r="I228" i="1" l="1"/>
  <c r="F228" i="1"/>
  <c r="H228" i="1"/>
  <c r="C229" i="1"/>
  <c r="G228" i="1"/>
  <c r="J228" i="1"/>
  <c r="D228" i="1"/>
  <c r="N228" i="1"/>
  <c r="K228" i="1"/>
  <c r="M228" i="1"/>
  <c r="L228" i="1"/>
  <c r="E228" i="1"/>
  <c r="E228" i="27"/>
  <c r="C229" i="27"/>
  <c r="L228" i="27"/>
  <c r="M228" i="27"/>
  <c r="K228" i="27"/>
  <c r="N228" i="27"/>
  <c r="J228" i="27"/>
  <c r="H228" i="27"/>
  <c r="G228" i="27"/>
  <c r="I228" i="27"/>
  <c r="F228" i="27"/>
  <c r="D228" i="27"/>
  <c r="L228" i="26"/>
  <c r="M228" i="26"/>
  <c r="C229" i="26"/>
  <c r="N228" i="26"/>
  <c r="K228" i="26"/>
  <c r="J228" i="26"/>
  <c r="I228" i="26"/>
  <c r="H228" i="26"/>
  <c r="G228" i="26"/>
  <c r="F228" i="26"/>
  <c r="E228" i="26"/>
  <c r="D228" i="26"/>
  <c r="F227" i="25"/>
  <c r="E227" i="25"/>
  <c r="D227" i="25"/>
  <c r="I227" i="25"/>
  <c r="H227" i="25"/>
  <c r="G227" i="25"/>
  <c r="C228" i="25"/>
  <c r="N227" i="25"/>
  <c r="M227" i="25"/>
  <c r="L227" i="25"/>
  <c r="K227" i="25"/>
  <c r="J227" i="25"/>
  <c r="M224" i="20"/>
  <c r="E224" i="20"/>
  <c r="K224" i="20"/>
  <c r="J224" i="20"/>
  <c r="I224" i="20"/>
  <c r="H224" i="20"/>
  <c r="C225" i="20"/>
  <c r="G224" i="20"/>
  <c r="D224" i="20"/>
  <c r="L224" i="20"/>
  <c r="N224" i="20"/>
  <c r="F224" i="20"/>
  <c r="C226" i="19"/>
  <c r="G225" i="19"/>
  <c r="N225" i="19"/>
  <c r="F225" i="19"/>
  <c r="M225" i="19"/>
  <c r="E225" i="19"/>
  <c r="L225" i="19"/>
  <c r="D225" i="19"/>
  <c r="K225" i="19"/>
  <c r="I225" i="19"/>
  <c r="J225" i="19"/>
  <c r="H225" i="19"/>
  <c r="I224" i="18"/>
  <c r="N224" i="18"/>
  <c r="F224" i="18"/>
  <c r="M224" i="18"/>
  <c r="E224" i="18"/>
  <c r="L224" i="18"/>
  <c r="D224" i="18"/>
  <c r="K224" i="18"/>
  <c r="C225" i="18"/>
  <c r="J224" i="18"/>
  <c r="H224" i="18"/>
  <c r="G224" i="18"/>
  <c r="H229" i="1" l="1"/>
  <c r="N229" i="1"/>
  <c r="J229" i="1"/>
  <c r="G229" i="1"/>
  <c r="E229" i="1"/>
  <c r="M229" i="1"/>
  <c r="L229" i="1"/>
  <c r="D229" i="1"/>
  <c r="C230" i="1"/>
  <c r="K229" i="1"/>
  <c r="F229" i="1"/>
  <c r="I229" i="1"/>
  <c r="I229" i="27"/>
  <c r="F229" i="27"/>
  <c r="E229" i="27"/>
  <c r="G229" i="27"/>
  <c r="D229" i="27"/>
  <c r="L229" i="27"/>
  <c r="K229" i="27"/>
  <c r="J229" i="27"/>
  <c r="H229" i="27"/>
  <c r="M229" i="27"/>
  <c r="C230" i="27"/>
  <c r="N229" i="27"/>
  <c r="L229" i="26"/>
  <c r="K229" i="26"/>
  <c r="J229" i="26"/>
  <c r="G229" i="26"/>
  <c r="F229" i="26"/>
  <c r="E229" i="26"/>
  <c r="D229" i="26"/>
  <c r="C230" i="26"/>
  <c r="N229" i="26"/>
  <c r="M229" i="26"/>
  <c r="I229" i="26"/>
  <c r="H229" i="26"/>
  <c r="D228" i="25"/>
  <c r="K228" i="25"/>
  <c r="L228" i="25"/>
  <c r="J228" i="25"/>
  <c r="I228" i="25"/>
  <c r="N228" i="25"/>
  <c r="M228" i="25"/>
  <c r="H228" i="25"/>
  <c r="G228" i="25"/>
  <c r="F228" i="25"/>
  <c r="E228" i="25"/>
  <c r="C229" i="25"/>
  <c r="I225" i="20"/>
  <c r="C226" i="20"/>
  <c r="G225" i="20"/>
  <c r="N225" i="20"/>
  <c r="F225" i="20"/>
  <c r="M225" i="20"/>
  <c r="E225" i="20"/>
  <c r="L225" i="20"/>
  <c r="D225" i="20"/>
  <c r="K225" i="20"/>
  <c r="J225" i="20"/>
  <c r="H225" i="20"/>
  <c r="K226" i="19"/>
  <c r="J226" i="19"/>
  <c r="I226" i="19"/>
  <c r="H226" i="19"/>
  <c r="C227" i="19"/>
  <c r="G226" i="19"/>
  <c r="M226" i="19"/>
  <c r="E226" i="19"/>
  <c r="N226" i="19"/>
  <c r="F226" i="19"/>
  <c r="L226" i="19"/>
  <c r="D226" i="19"/>
  <c r="M225" i="18"/>
  <c r="E225" i="18"/>
  <c r="J225" i="18"/>
  <c r="I225" i="18"/>
  <c r="H225" i="18"/>
  <c r="C226" i="18"/>
  <c r="G225" i="18"/>
  <c r="F225" i="18"/>
  <c r="N225" i="18"/>
  <c r="L225" i="18"/>
  <c r="K225" i="18"/>
  <c r="D225" i="18"/>
  <c r="N230" i="1" l="1"/>
  <c r="D230" i="1"/>
  <c r="M230" i="1"/>
  <c r="I230" i="1"/>
  <c r="F230" i="1"/>
  <c r="K230" i="1"/>
  <c r="J230" i="1"/>
  <c r="L230" i="1"/>
  <c r="C231" i="1"/>
  <c r="H230" i="1"/>
  <c r="E230" i="1"/>
  <c r="G230" i="1"/>
  <c r="M230" i="27"/>
  <c r="J230" i="27"/>
  <c r="I230" i="27"/>
  <c r="F230" i="27"/>
  <c r="C231" i="27"/>
  <c r="K230" i="27"/>
  <c r="H230" i="27"/>
  <c r="N230" i="27"/>
  <c r="E230" i="27"/>
  <c r="L230" i="27"/>
  <c r="G230" i="27"/>
  <c r="D230" i="27"/>
  <c r="D230" i="26"/>
  <c r="F230" i="26"/>
  <c r="I230" i="26"/>
  <c r="H230" i="26"/>
  <c r="K230" i="26"/>
  <c r="J230" i="26"/>
  <c r="G230" i="26"/>
  <c r="C231" i="26"/>
  <c r="N230" i="26"/>
  <c r="M230" i="26"/>
  <c r="L230" i="26"/>
  <c r="E230" i="26"/>
  <c r="H229" i="25"/>
  <c r="C230" i="25"/>
  <c r="N229" i="25"/>
  <c r="M229" i="25"/>
  <c r="L229" i="25"/>
  <c r="K229" i="25"/>
  <c r="J229" i="25"/>
  <c r="I229" i="25"/>
  <c r="G229" i="25"/>
  <c r="F229" i="25"/>
  <c r="E229" i="25"/>
  <c r="D229" i="25"/>
  <c r="M226" i="20"/>
  <c r="E226" i="20"/>
  <c r="K226" i="20"/>
  <c r="J226" i="20"/>
  <c r="I226" i="20"/>
  <c r="H226" i="20"/>
  <c r="C227" i="20"/>
  <c r="G226" i="20"/>
  <c r="L226" i="20"/>
  <c r="F226" i="20"/>
  <c r="D226" i="20"/>
  <c r="N226" i="20"/>
  <c r="C228" i="19"/>
  <c r="G227" i="19"/>
  <c r="N227" i="19"/>
  <c r="F227" i="19"/>
  <c r="M227" i="19"/>
  <c r="E227" i="19"/>
  <c r="L227" i="19"/>
  <c r="D227" i="19"/>
  <c r="K227" i="19"/>
  <c r="I227" i="19"/>
  <c r="J227" i="19"/>
  <c r="H227" i="19"/>
  <c r="I226" i="18"/>
  <c r="N226" i="18"/>
  <c r="F226" i="18"/>
  <c r="M226" i="18"/>
  <c r="E226" i="18"/>
  <c r="L226" i="18"/>
  <c r="D226" i="18"/>
  <c r="K226" i="18"/>
  <c r="J226" i="18"/>
  <c r="H226" i="18"/>
  <c r="G226" i="18"/>
  <c r="C227" i="18"/>
  <c r="H231" i="1" l="1"/>
  <c r="G231" i="1"/>
  <c r="L231" i="1"/>
  <c r="F231" i="1"/>
  <c r="J231" i="1"/>
  <c r="C232" i="1"/>
  <c r="E231" i="1"/>
  <c r="D231" i="1"/>
  <c r="M231" i="1"/>
  <c r="N231" i="1"/>
  <c r="I231" i="1"/>
  <c r="K231" i="1"/>
  <c r="N231" i="27"/>
  <c r="L231" i="27"/>
  <c r="G231" i="27"/>
  <c r="F231" i="27"/>
  <c r="I231" i="27"/>
  <c r="H231" i="27"/>
  <c r="D231" i="27"/>
  <c r="E231" i="27"/>
  <c r="C232" i="27"/>
  <c r="M231" i="27"/>
  <c r="K231" i="27"/>
  <c r="J231" i="27"/>
  <c r="H231" i="26"/>
  <c r="K231" i="26"/>
  <c r="C232" i="26"/>
  <c r="N231" i="26"/>
  <c r="M231" i="26"/>
  <c r="L231" i="26"/>
  <c r="J231" i="26"/>
  <c r="I231" i="26"/>
  <c r="G231" i="26"/>
  <c r="F231" i="26"/>
  <c r="E231" i="26"/>
  <c r="D231" i="26"/>
  <c r="L230" i="25"/>
  <c r="D230" i="25"/>
  <c r="F230" i="25"/>
  <c r="E230" i="25"/>
  <c r="K230" i="25"/>
  <c r="J230" i="25"/>
  <c r="I230" i="25"/>
  <c r="H230" i="25"/>
  <c r="G230" i="25"/>
  <c r="C231" i="25"/>
  <c r="N230" i="25"/>
  <c r="M230" i="25"/>
  <c r="I227" i="20"/>
  <c r="C228" i="20"/>
  <c r="G227" i="20"/>
  <c r="N227" i="20"/>
  <c r="F227" i="20"/>
  <c r="M227" i="20"/>
  <c r="E227" i="20"/>
  <c r="L227" i="20"/>
  <c r="D227" i="20"/>
  <c r="K227" i="20"/>
  <c r="H227" i="20"/>
  <c r="J227" i="20"/>
  <c r="K228" i="19"/>
  <c r="J228" i="19"/>
  <c r="I228" i="19"/>
  <c r="H228" i="19"/>
  <c r="C229" i="19"/>
  <c r="G228" i="19"/>
  <c r="M228" i="19"/>
  <c r="E228" i="19"/>
  <c r="F228" i="19"/>
  <c r="D228" i="19"/>
  <c r="N228" i="19"/>
  <c r="L228" i="19"/>
  <c r="M227" i="18"/>
  <c r="E227" i="18"/>
  <c r="J227" i="18"/>
  <c r="I227" i="18"/>
  <c r="H227" i="18"/>
  <c r="C228" i="18"/>
  <c r="G227" i="18"/>
  <c r="D227" i="18"/>
  <c r="N227" i="18"/>
  <c r="L227" i="18"/>
  <c r="K227" i="18"/>
  <c r="F227" i="18"/>
  <c r="M232" i="1" l="1"/>
  <c r="F232" i="1"/>
  <c r="L232" i="1"/>
  <c r="E232" i="1"/>
  <c r="C233" i="1"/>
  <c r="K232" i="1"/>
  <c r="H232" i="1"/>
  <c r="G232" i="1"/>
  <c r="N232" i="1"/>
  <c r="D232" i="1"/>
  <c r="J232" i="1"/>
  <c r="I232" i="1"/>
  <c r="E232" i="27"/>
  <c r="D232" i="27"/>
  <c r="K232" i="27"/>
  <c r="H232" i="27"/>
  <c r="G232" i="27"/>
  <c r="C233" i="27"/>
  <c r="N232" i="27"/>
  <c r="M232" i="27"/>
  <c r="L232" i="27"/>
  <c r="J232" i="27"/>
  <c r="I232" i="27"/>
  <c r="F232" i="27"/>
  <c r="L232" i="26"/>
  <c r="G232" i="26"/>
  <c r="F232" i="26"/>
  <c r="E232" i="26"/>
  <c r="D232" i="26"/>
  <c r="C233" i="26"/>
  <c r="N232" i="26"/>
  <c r="M232" i="26"/>
  <c r="K232" i="26"/>
  <c r="J232" i="26"/>
  <c r="I232" i="26"/>
  <c r="H232" i="26"/>
  <c r="I231" i="25"/>
  <c r="L231" i="25"/>
  <c r="K231" i="25"/>
  <c r="J231" i="25"/>
  <c r="C232" i="25"/>
  <c r="N231" i="25"/>
  <c r="M231" i="25"/>
  <c r="H231" i="25"/>
  <c r="G231" i="25"/>
  <c r="F231" i="25"/>
  <c r="E231" i="25"/>
  <c r="D231" i="25"/>
  <c r="M228" i="20"/>
  <c r="E228" i="20"/>
  <c r="K228" i="20"/>
  <c r="J228" i="20"/>
  <c r="I228" i="20"/>
  <c r="H228" i="20"/>
  <c r="C229" i="20"/>
  <c r="G228" i="20"/>
  <c r="N228" i="20"/>
  <c r="L228" i="20"/>
  <c r="F228" i="20"/>
  <c r="D228" i="20"/>
  <c r="C230" i="19"/>
  <c r="G229" i="19"/>
  <c r="N229" i="19"/>
  <c r="F229" i="19"/>
  <c r="M229" i="19"/>
  <c r="E229" i="19"/>
  <c r="L229" i="19"/>
  <c r="D229" i="19"/>
  <c r="K229" i="19"/>
  <c r="I229" i="19"/>
  <c r="J229" i="19"/>
  <c r="H229" i="19"/>
  <c r="I228" i="18"/>
  <c r="N228" i="18"/>
  <c r="F228" i="18"/>
  <c r="M228" i="18"/>
  <c r="E228" i="18"/>
  <c r="L228" i="18"/>
  <c r="D228" i="18"/>
  <c r="K228" i="18"/>
  <c r="C229" i="18"/>
  <c r="H228" i="18"/>
  <c r="G228" i="18"/>
  <c r="J228" i="18"/>
  <c r="D233" i="1" l="1"/>
  <c r="L233" i="1"/>
  <c r="F233" i="1"/>
  <c r="C234" i="1"/>
  <c r="K233" i="1"/>
  <c r="H233" i="1"/>
  <c r="G233" i="1"/>
  <c r="N233" i="1"/>
  <c r="M233" i="1"/>
  <c r="E233" i="1"/>
  <c r="J233" i="1"/>
  <c r="I233" i="1"/>
  <c r="I233" i="27"/>
  <c r="F233" i="27"/>
  <c r="K233" i="27"/>
  <c r="G233" i="27"/>
  <c r="C234" i="27"/>
  <c r="H233" i="27"/>
  <c r="E233" i="27"/>
  <c r="N233" i="27"/>
  <c r="M233" i="27"/>
  <c r="J233" i="27"/>
  <c r="D233" i="27"/>
  <c r="L233" i="27"/>
  <c r="D233" i="26"/>
  <c r="I233" i="26"/>
  <c r="H233" i="26"/>
  <c r="C234" i="26"/>
  <c r="N233" i="26"/>
  <c r="M233" i="26"/>
  <c r="L233" i="26"/>
  <c r="K233" i="26"/>
  <c r="J233" i="26"/>
  <c r="G233" i="26"/>
  <c r="F233" i="26"/>
  <c r="E233" i="26"/>
  <c r="D232" i="25"/>
  <c r="N232" i="25"/>
  <c r="I232" i="25"/>
  <c r="H232" i="25"/>
  <c r="G232" i="25"/>
  <c r="F232" i="25"/>
  <c r="E232" i="25"/>
  <c r="C233" i="25"/>
  <c r="M232" i="25"/>
  <c r="L232" i="25"/>
  <c r="K232" i="25"/>
  <c r="J232" i="25"/>
  <c r="I229" i="20"/>
  <c r="C230" i="20"/>
  <c r="G229" i="20"/>
  <c r="N229" i="20"/>
  <c r="F229" i="20"/>
  <c r="M229" i="20"/>
  <c r="E229" i="20"/>
  <c r="L229" i="20"/>
  <c r="D229" i="20"/>
  <c r="K229" i="20"/>
  <c r="H229" i="20"/>
  <c r="J229" i="20"/>
  <c r="K230" i="19"/>
  <c r="J230" i="19"/>
  <c r="I230" i="19"/>
  <c r="H230" i="19"/>
  <c r="C231" i="19"/>
  <c r="G230" i="19"/>
  <c r="M230" i="19"/>
  <c r="E230" i="19"/>
  <c r="N230" i="19"/>
  <c r="L230" i="19"/>
  <c r="F230" i="19"/>
  <c r="D230" i="19"/>
  <c r="M229" i="18"/>
  <c r="E229" i="18"/>
  <c r="J229" i="18"/>
  <c r="I229" i="18"/>
  <c r="H229" i="18"/>
  <c r="C230" i="18"/>
  <c r="G229" i="18"/>
  <c r="N229" i="18"/>
  <c r="L229" i="18"/>
  <c r="K229" i="18"/>
  <c r="F229" i="18"/>
  <c r="D229" i="18"/>
  <c r="J234" i="1" l="1"/>
  <c r="F234" i="1"/>
  <c r="E234" i="1"/>
  <c r="C235" i="1"/>
  <c r="N234" i="1"/>
  <c r="D234" i="1"/>
  <c r="K234" i="1"/>
  <c r="M234" i="1"/>
  <c r="L234" i="1"/>
  <c r="I234" i="1"/>
  <c r="H234" i="1"/>
  <c r="G234" i="1"/>
  <c r="M234" i="27"/>
  <c r="J234" i="27"/>
  <c r="N234" i="27"/>
  <c r="G234" i="27"/>
  <c r="D234" i="27"/>
  <c r="I234" i="27"/>
  <c r="E234" i="27"/>
  <c r="H234" i="27"/>
  <c r="F234" i="27"/>
  <c r="L234" i="27"/>
  <c r="K234" i="27"/>
  <c r="C235" i="27"/>
  <c r="D234" i="26"/>
  <c r="I234" i="26"/>
  <c r="C235" i="26"/>
  <c r="N234" i="26"/>
  <c r="F234" i="26"/>
  <c r="E234" i="26"/>
  <c r="K234" i="26"/>
  <c r="J234" i="26"/>
  <c r="H234" i="26"/>
  <c r="G234" i="26"/>
  <c r="M234" i="26"/>
  <c r="L234" i="26"/>
  <c r="H233" i="25"/>
  <c r="F233" i="25"/>
  <c r="E233" i="25"/>
  <c r="D233" i="25"/>
  <c r="C234" i="25"/>
  <c r="N233" i="25"/>
  <c r="M233" i="25"/>
  <c r="G233" i="25"/>
  <c r="L233" i="25"/>
  <c r="K233" i="25"/>
  <c r="J233" i="25"/>
  <c r="I233" i="25"/>
  <c r="M230" i="20"/>
  <c r="E230" i="20"/>
  <c r="K230" i="20"/>
  <c r="J230" i="20"/>
  <c r="I230" i="20"/>
  <c r="H230" i="20"/>
  <c r="C231" i="20"/>
  <c r="G230" i="20"/>
  <c r="N230" i="20"/>
  <c r="L230" i="20"/>
  <c r="D230" i="20"/>
  <c r="F230" i="20"/>
  <c r="C232" i="19"/>
  <c r="G231" i="19"/>
  <c r="N231" i="19"/>
  <c r="F231" i="19"/>
  <c r="M231" i="19"/>
  <c r="E231" i="19"/>
  <c r="L231" i="19"/>
  <c r="D231" i="19"/>
  <c r="K231" i="19"/>
  <c r="I231" i="19"/>
  <c r="J231" i="19"/>
  <c r="H231" i="19"/>
  <c r="I230" i="18"/>
  <c r="N230" i="18"/>
  <c r="F230" i="18"/>
  <c r="M230" i="18"/>
  <c r="E230" i="18"/>
  <c r="L230" i="18"/>
  <c r="D230" i="18"/>
  <c r="K230" i="18"/>
  <c r="J230" i="18"/>
  <c r="G230" i="18"/>
  <c r="C231" i="18"/>
  <c r="H230" i="18"/>
  <c r="D235" i="1" l="1"/>
  <c r="N235" i="1"/>
  <c r="C236" i="1"/>
  <c r="E235" i="1"/>
  <c r="K235" i="1"/>
  <c r="G235" i="1"/>
  <c r="J235" i="1"/>
  <c r="M235" i="1"/>
  <c r="I235" i="1"/>
  <c r="H235" i="1"/>
  <c r="F235" i="1"/>
  <c r="L235" i="1"/>
  <c r="N235" i="27"/>
  <c r="E235" i="27"/>
  <c r="L235" i="27"/>
  <c r="K235" i="27"/>
  <c r="I235" i="27"/>
  <c r="H235" i="27"/>
  <c r="C236" i="27"/>
  <c r="M235" i="27"/>
  <c r="J235" i="27"/>
  <c r="G235" i="27"/>
  <c r="F235" i="27"/>
  <c r="D235" i="27"/>
  <c r="H235" i="26"/>
  <c r="N235" i="26"/>
  <c r="L235" i="26"/>
  <c r="K235" i="26"/>
  <c r="J235" i="26"/>
  <c r="C236" i="26"/>
  <c r="M235" i="26"/>
  <c r="I235" i="26"/>
  <c r="G235" i="26"/>
  <c r="F235" i="26"/>
  <c r="E235" i="26"/>
  <c r="D235" i="26"/>
  <c r="L234" i="25"/>
  <c r="G234" i="25"/>
  <c r="M234" i="25"/>
  <c r="K234" i="25"/>
  <c r="J234" i="25"/>
  <c r="F234" i="25"/>
  <c r="E234" i="25"/>
  <c r="D234" i="25"/>
  <c r="C235" i="25"/>
  <c r="N234" i="25"/>
  <c r="I234" i="25"/>
  <c r="H234" i="25"/>
  <c r="I231" i="20"/>
  <c r="C232" i="20"/>
  <c r="G231" i="20"/>
  <c r="N231" i="20"/>
  <c r="F231" i="20"/>
  <c r="M231" i="20"/>
  <c r="E231" i="20"/>
  <c r="L231" i="20"/>
  <c r="D231" i="20"/>
  <c r="K231" i="20"/>
  <c r="J231" i="20"/>
  <c r="H231" i="20"/>
  <c r="K232" i="19"/>
  <c r="J232" i="19"/>
  <c r="I232" i="19"/>
  <c r="H232" i="19"/>
  <c r="C233" i="19"/>
  <c r="G232" i="19"/>
  <c r="M232" i="19"/>
  <c r="E232" i="19"/>
  <c r="N232" i="19"/>
  <c r="L232" i="19"/>
  <c r="F232" i="19"/>
  <c r="D232" i="19"/>
  <c r="M231" i="18"/>
  <c r="E231" i="18"/>
  <c r="J231" i="18"/>
  <c r="I231" i="18"/>
  <c r="H231" i="18"/>
  <c r="C232" i="18"/>
  <c r="G231" i="18"/>
  <c r="N231" i="18"/>
  <c r="L231" i="18"/>
  <c r="K231" i="18"/>
  <c r="F231" i="18"/>
  <c r="D231" i="18"/>
  <c r="J236" i="1" l="1"/>
  <c r="E236" i="1"/>
  <c r="D236" i="1"/>
  <c r="I236" i="1"/>
  <c r="N236" i="1"/>
  <c r="M236" i="1"/>
  <c r="G236" i="1"/>
  <c r="H236" i="1"/>
  <c r="L236" i="1"/>
  <c r="K236" i="1"/>
  <c r="F236" i="1"/>
  <c r="C237" i="1"/>
  <c r="E236" i="27"/>
  <c r="K236" i="27"/>
  <c r="H236" i="27"/>
  <c r="D236" i="27"/>
  <c r="I236" i="27"/>
  <c r="G236" i="27"/>
  <c r="C237" i="27"/>
  <c r="N236" i="27"/>
  <c r="J236" i="27"/>
  <c r="F236" i="27"/>
  <c r="M236" i="27"/>
  <c r="L236" i="27"/>
  <c r="L236" i="26"/>
  <c r="I236" i="26"/>
  <c r="H236" i="26"/>
  <c r="F236" i="26"/>
  <c r="E236" i="26"/>
  <c r="D236" i="26"/>
  <c r="C237" i="26"/>
  <c r="N236" i="26"/>
  <c r="M236" i="26"/>
  <c r="K236" i="26"/>
  <c r="J236" i="26"/>
  <c r="G236" i="26"/>
  <c r="L235" i="25"/>
  <c r="C236" i="25"/>
  <c r="N235" i="25"/>
  <c r="M235" i="25"/>
  <c r="K235" i="25"/>
  <c r="J235" i="25"/>
  <c r="I235" i="25"/>
  <c r="H235" i="25"/>
  <c r="G235" i="25"/>
  <c r="F235" i="25"/>
  <c r="E235" i="25"/>
  <c r="D235" i="25"/>
  <c r="M232" i="20"/>
  <c r="E232" i="20"/>
  <c r="K232" i="20"/>
  <c r="J232" i="20"/>
  <c r="I232" i="20"/>
  <c r="H232" i="20"/>
  <c r="C233" i="20"/>
  <c r="G232" i="20"/>
  <c r="D232" i="20"/>
  <c r="L232" i="20"/>
  <c r="N232" i="20"/>
  <c r="F232" i="20"/>
  <c r="C234" i="19"/>
  <c r="G233" i="19"/>
  <c r="N233" i="19"/>
  <c r="F233" i="19"/>
  <c r="M233" i="19"/>
  <c r="E233" i="19"/>
  <c r="L233" i="19"/>
  <c r="D233" i="19"/>
  <c r="K233" i="19"/>
  <c r="I233" i="19"/>
  <c r="J233" i="19"/>
  <c r="H233" i="19"/>
  <c r="I232" i="18"/>
  <c r="N232" i="18"/>
  <c r="F232" i="18"/>
  <c r="M232" i="18"/>
  <c r="E232" i="18"/>
  <c r="L232" i="18"/>
  <c r="D232" i="18"/>
  <c r="K232" i="18"/>
  <c r="H232" i="18"/>
  <c r="C233" i="18"/>
  <c r="J232" i="18"/>
  <c r="G232" i="18"/>
  <c r="D237" i="1" l="1"/>
  <c r="AH12" i="1" s="1"/>
  <c r="I237" i="1"/>
  <c r="AM12" i="1" s="1"/>
  <c r="D78" i="8" s="1"/>
  <c r="C241" i="1"/>
  <c r="L237" i="1"/>
  <c r="AP12" i="1" s="1"/>
  <c r="D81" i="8" s="1"/>
  <c r="G237" i="1"/>
  <c r="AK12" i="1" s="1"/>
  <c r="D76" i="8" s="1"/>
  <c r="H237" i="1"/>
  <c r="AL12" i="1" s="1"/>
  <c r="D77" i="8" s="1"/>
  <c r="J237" i="1"/>
  <c r="AN12" i="1" s="1"/>
  <c r="D79" i="8" s="1"/>
  <c r="N237" i="1"/>
  <c r="AR12" i="1" s="1"/>
  <c r="D83" i="8" s="1"/>
  <c r="E237" i="1"/>
  <c r="AI12" i="1" s="1"/>
  <c r="D74" i="8" s="1"/>
  <c r="K237" i="1"/>
  <c r="AO12" i="1" s="1"/>
  <c r="D80" i="8" s="1"/>
  <c r="M237" i="1"/>
  <c r="AQ12" i="1" s="1"/>
  <c r="D82" i="8" s="1"/>
  <c r="F237" i="1"/>
  <c r="AJ12" i="1" s="1"/>
  <c r="D75" i="8" s="1"/>
  <c r="I237" i="27"/>
  <c r="AM12" i="27" s="1"/>
  <c r="D78" i="24" s="1"/>
  <c r="F237" i="27"/>
  <c r="AJ12" i="27" s="1"/>
  <c r="D75" i="24" s="1"/>
  <c r="N237" i="27"/>
  <c r="AR12" i="27" s="1"/>
  <c r="D83" i="24" s="1"/>
  <c r="M237" i="27"/>
  <c r="AQ12" i="27" s="1"/>
  <c r="D82" i="24" s="1"/>
  <c r="J237" i="27"/>
  <c r="AN12" i="27" s="1"/>
  <c r="D79" i="24" s="1"/>
  <c r="H237" i="27"/>
  <c r="AL12" i="27" s="1"/>
  <c r="D77" i="24" s="1"/>
  <c r="L237" i="27"/>
  <c r="AP12" i="27" s="1"/>
  <c r="D81" i="24" s="1"/>
  <c r="K237" i="27"/>
  <c r="AO12" i="27" s="1"/>
  <c r="D80" i="24" s="1"/>
  <c r="G237" i="27"/>
  <c r="AK12" i="27" s="1"/>
  <c r="D76" i="24" s="1"/>
  <c r="E237" i="27"/>
  <c r="AI12" i="27" s="1"/>
  <c r="D74" i="24" s="1"/>
  <c r="D237" i="27"/>
  <c r="AH12" i="27" s="1"/>
  <c r="C241" i="27"/>
  <c r="G237" i="26"/>
  <c r="AK12" i="26" s="1"/>
  <c r="D76" i="23" s="1"/>
  <c r="C241" i="26"/>
  <c r="N237" i="26"/>
  <c r="AR12" i="26" s="1"/>
  <c r="D83" i="23" s="1"/>
  <c r="I237" i="26"/>
  <c r="AM12" i="26" s="1"/>
  <c r="D78" i="23" s="1"/>
  <c r="H237" i="26"/>
  <c r="AL12" i="26" s="1"/>
  <c r="D77" i="23" s="1"/>
  <c r="F237" i="26"/>
  <c r="AJ12" i="26" s="1"/>
  <c r="D75" i="23" s="1"/>
  <c r="D237" i="26"/>
  <c r="AH12" i="26" s="1"/>
  <c r="J237" i="26"/>
  <c r="AN12" i="26" s="1"/>
  <c r="D79" i="23" s="1"/>
  <c r="E237" i="26"/>
  <c r="AI12" i="26" s="1"/>
  <c r="D74" i="23" s="1"/>
  <c r="M237" i="26"/>
  <c r="AQ12" i="26" s="1"/>
  <c r="D82" i="23" s="1"/>
  <c r="L237" i="26"/>
  <c r="AP12" i="26" s="1"/>
  <c r="D81" i="23" s="1"/>
  <c r="K237" i="26"/>
  <c r="AO12" i="26" s="1"/>
  <c r="D80" i="23" s="1"/>
  <c r="D236" i="25"/>
  <c r="G236" i="25"/>
  <c r="F236" i="25"/>
  <c r="E236" i="25"/>
  <c r="H236" i="25"/>
  <c r="J236" i="25"/>
  <c r="I236" i="25"/>
  <c r="C237" i="25"/>
  <c r="N236" i="25"/>
  <c r="M236" i="25"/>
  <c r="L236" i="25"/>
  <c r="K236" i="25"/>
  <c r="I233" i="20"/>
  <c r="C234" i="20"/>
  <c r="G233" i="20"/>
  <c r="N233" i="20"/>
  <c r="F233" i="20"/>
  <c r="M233" i="20"/>
  <c r="E233" i="20"/>
  <c r="L233" i="20"/>
  <c r="D233" i="20"/>
  <c r="K233" i="20"/>
  <c r="J233" i="20"/>
  <c r="H233" i="20"/>
  <c r="H234" i="19"/>
  <c r="N234" i="19"/>
  <c r="F234" i="19"/>
  <c r="M234" i="19"/>
  <c r="K234" i="19"/>
  <c r="D234" i="19"/>
  <c r="C235" i="19"/>
  <c r="L234" i="19"/>
  <c r="J234" i="19"/>
  <c r="G234" i="19"/>
  <c r="I234" i="19"/>
  <c r="E234" i="19"/>
  <c r="M233" i="18"/>
  <c r="E233" i="18"/>
  <c r="J233" i="18"/>
  <c r="I233" i="18"/>
  <c r="H233" i="18"/>
  <c r="C234" i="18"/>
  <c r="G233" i="18"/>
  <c r="L233" i="18"/>
  <c r="K233" i="18"/>
  <c r="F233" i="18"/>
  <c r="D233" i="18"/>
  <c r="N233" i="18"/>
  <c r="F241" i="1" l="1"/>
  <c r="E241" i="1"/>
  <c r="H241" i="1"/>
  <c r="J241" i="1"/>
  <c r="L241" i="1"/>
  <c r="C242" i="1"/>
  <c r="I241" i="1"/>
  <c r="D241" i="1"/>
  <c r="M241" i="1"/>
  <c r="N241" i="1"/>
  <c r="K241" i="1"/>
  <c r="G241" i="1"/>
  <c r="D84" i="8"/>
  <c r="D86" i="8" s="1"/>
  <c r="D84" i="24"/>
  <c r="D86" i="24" s="1"/>
  <c r="D84" i="23"/>
  <c r="D86" i="23" s="1"/>
  <c r="M241" i="27"/>
  <c r="J241" i="27"/>
  <c r="E241" i="27"/>
  <c r="L241" i="27"/>
  <c r="K241" i="27"/>
  <c r="H241" i="27"/>
  <c r="G241" i="27"/>
  <c r="C242" i="27"/>
  <c r="N241" i="27"/>
  <c r="I241" i="27"/>
  <c r="F241" i="27"/>
  <c r="D241" i="27"/>
  <c r="D241" i="26"/>
  <c r="L241" i="26"/>
  <c r="C242" i="26"/>
  <c r="H241" i="26"/>
  <c r="G241" i="26"/>
  <c r="F241" i="26"/>
  <c r="N241" i="26"/>
  <c r="M241" i="26"/>
  <c r="K241" i="26"/>
  <c r="J241" i="26"/>
  <c r="I241" i="26"/>
  <c r="E241" i="26"/>
  <c r="H237" i="25"/>
  <c r="AL12" i="25" s="1"/>
  <c r="D77" i="22" s="1"/>
  <c r="E237" i="25"/>
  <c r="AI12" i="25" s="1"/>
  <c r="D74" i="22" s="1"/>
  <c r="M237" i="25"/>
  <c r="AQ12" i="25" s="1"/>
  <c r="D82" i="22" s="1"/>
  <c r="L237" i="25"/>
  <c r="AP12" i="25" s="1"/>
  <c r="D81" i="22" s="1"/>
  <c r="K237" i="25"/>
  <c r="AO12" i="25" s="1"/>
  <c r="D80" i="22" s="1"/>
  <c r="C241" i="25"/>
  <c r="N237" i="25"/>
  <c r="AR12" i="25" s="1"/>
  <c r="D83" i="22" s="1"/>
  <c r="J237" i="25"/>
  <c r="AN12" i="25" s="1"/>
  <c r="D79" i="22" s="1"/>
  <c r="I237" i="25"/>
  <c r="AM12" i="25" s="1"/>
  <c r="D78" i="22" s="1"/>
  <c r="G237" i="25"/>
  <c r="AK12" i="25" s="1"/>
  <c r="D76" i="22" s="1"/>
  <c r="F237" i="25"/>
  <c r="AJ12" i="25" s="1"/>
  <c r="D75" i="22" s="1"/>
  <c r="D237" i="25"/>
  <c r="AH12" i="25" s="1"/>
  <c r="M234" i="20"/>
  <c r="E234" i="20"/>
  <c r="K234" i="20"/>
  <c r="J234" i="20"/>
  <c r="I234" i="20"/>
  <c r="H234" i="20"/>
  <c r="C235" i="20"/>
  <c r="G234" i="20"/>
  <c r="L234" i="20"/>
  <c r="F234" i="20"/>
  <c r="D234" i="20"/>
  <c r="N234" i="20"/>
  <c r="L235" i="19"/>
  <c r="D235" i="19"/>
  <c r="J235" i="19"/>
  <c r="I235" i="19"/>
  <c r="C236" i="19"/>
  <c r="G235" i="19"/>
  <c r="F235" i="19"/>
  <c r="E235" i="19"/>
  <c r="N235" i="19"/>
  <c r="K235" i="19"/>
  <c r="M235" i="19"/>
  <c r="H235" i="19"/>
  <c r="I234" i="18"/>
  <c r="N234" i="18"/>
  <c r="F234" i="18"/>
  <c r="M234" i="18"/>
  <c r="E234" i="18"/>
  <c r="L234" i="18"/>
  <c r="D234" i="18"/>
  <c r="K234" i="18"/>
  <c r="G234" i="18"/>
  <c r="C235" i="18"/>
  <c r="J234" i="18"/>
  <c r="H234" i="18"/>
  <c r="G242" i="1" l="1"/>
  <c r="M242" i="1"/>
  <c r="F242" i="1"/>
  <c r="J242" i="1"/>
  <c r="K242" i="1"/>
  <c r="E242" i="1"/>
  <c r="D242" i="1"/>
  <c r="N242" i="1"/>
  <c r="I242" i="1"/>
  <c r="C243" i="1"/>
  <c r="H242" i="1"/>
  <c r="L242" i="1"/>
  <c r="D84" i="22"/>
  <c r="D86" i="22" s="1"/>
  <c r="N242" i="27"/>
  <c r="K242" i="27"/>
  <c r="H242" i="27"/>
  <c r="J242" i="27"/>
  <c r="F242" i="27"/>
  <c r="E242" i="27"/>
  <c r="C243" i="27"/>
  <c r="M242" i="27"/>
  <c r="D242" i="27"/>
  <c r="L242" i="27"/>
  <c r="I242" i="27"/>
  <c r="G242" i="27"/>
  <c r="H242" i="26"/>
  <c r="J242" i="26"/>
  <c r="I242" i="26"/>
  <c r="E242" i="26"/>
  <c r="D242" i="26"/>
  <c r="M242" i="26"/>
  <c r="L242" i="26"/>
  <c r="K242" i="26"/>
  <c r="G242" i="26"/>
  <c r="F242" i="26"/>
  <c r="C243" i="26"/>
  <c r="N242" i="26"/>
  <c r="L241" i="25"/>
  <c r="J241" i="25"/>
  <c r="E241" i="25"/>
  <c r="D241" i="25"/>
  <c r="C242" i="25"/>
  <c r="N241" i="25"/>
  <c r="M241" i="25"/>
  <c r="K241" i="25"/>
  <c r="I241" i="25"/>
  <c r="H241" i="25"/>
  <c r="G241" i="25"/>
  <c r="F241" i="25"/>
  <c r="I235" i="20"/>
  <c r="C236" i="20"/>
  <c r="G235" i="20"/>
  <c r="N235" i="20"/>
  <c r="F235" i="20"/>
  <c r="M235" i="20"/>
  <c r="E235" i="20"/>
  <c r="L235" i="20"/>
  <c r="D235" i="20"/>
  <c r="K235" i="20"/>
  <c r="H235" i="20"/>
  <c r="J235" i="20"/>
  <c r="H236" i="19"/>
  <c r="N236" i="19"/>
  <c r="F236" i="19"/>
  <c r="M236" i="19"/>
  <c r="E236" i="19"/>
  <c r="K236" i="19"/>
  <c r="J236" i="19"/>
  <c r="I236" i="19"/>
  <c r="G236" i="19"/>
  <c r="D236" i="19"/>
  <c r="C237" i="19"/>
  <c r="L236" i="19"/>
  <c r="M235" i="18"/>
  <c r="E235" i="18"/>
  <c r="J235" i="18"/>
  <c r="I235" i="18"/>
  <c r="H235" i="18"/>
  <c r="C236" i="18"/>
  <c r="G235" i="18"/>
  <c r="N235" i="18"/>
  <c r="K235" i="18"/>
  <c r="F235" i="18"/>
  <c r="D235" i="18"/>
  <c r="L235" i="18"/>
  <c r="K243" i="1" l="1"/>
  <c r="J243" i="1"/>
  <c r="D243" i="1"/>
  <c r="I243" i="1"/>
  <c r="L243" i="1"/>
  <c r="C244" i="1"/>
  <c r="H243" i="1"/>
  <c r="E243" i="1"/>
  <c r="M243" i="1"/>
  <c r="G243" i="1"/>
  <c r="N243" i="1"/>
  <c r="F243" i="1"/>
  <c r="E243" i="27"/>
  <c r="N243" i="27"/>
  <c r="C244" i="27"/>
  <c r="M243" i="27"/>
  <c r="K243" i="27"/>
  <c r="J243" i="27"/>
  <c r="L243" i="27"/>
  <c r="H243" i="27"/>
  <c r="G243" i="27"/>
  <c r="I243" i="27"/>
  <c r="F243" i="27"/>
  <c r="D243" i="27"/>
  <c r="L243" i="26"/>
  <c r="E243" i="26"/>
  <c r="C244" i="26"/>
  <c r="N243" i="26"/>
  <c r="M243" i="26"/>
  <c r="K243" i="26"/>
  <c r="H243" i="26"/>
  <c r="G243" i="26"/>
  <c r="F243" i="26"/>
  <c r="J243" i="26"/>
  <c r="I243" i="26"/>
  <c r="D243" i="26"/>
  <c r="C243" i="25"/>
  <c r="G242" i="25"/>
  <c r="F242" i="25"/>
  <c r="E242" i="25"/>
  <c r="N242" i="25"/>
  <c r="M242" i="25"/>
  <c r="L242" i="25"/>
  <c r="K242" i="25"/>
  <c r="J242" i="25"/>
  <c r="I242" i="25"/>
  <c r="H242" i="25"/>
  <c r="D242" i="25"/>
  <c r="M236" i="20"/>
  <c r="E236" i="20"/>
  <c r="K236" i="20"/>
  <c r="J236" i="20"/>
  <c r="I236" i="20"/>
  <c r="H236" i="20"/>
  <c r="C237" i="20"/>
  <c r="G236" i="20"/>
  <c r="N236" i="20"/>
  <c r="L236" i="20"/>
  <c r="F236" i="20"/>
  <c r="D236" i="20"/>
  <c r="L237" i="19"/>
  <c r="AP12" i="19" s="1"/>
  <c r="D81" i="12" s="1"/>
  <c r="D237" i="19"/>
  <c r="AH12" i="19" s="1"/>
  <c r="J237" i="19"/>
  <c r="AN12" i="19" s="1"/>
  <c r="D79" i="12" s="1"/>
  <c r="I237" i="19"/>
  <c r="AM12" i="19" s="1"/>
  <c r="D78" i="12" s="1"/>
  <c r="C241" i="19"/>
  <c r="G237" i="19"/>
  <c r="AK12" i="19" s="1"/>
  <c r="D76" i="12" s="1"/>
  <c r="N237" i="19"/>
  <c r="AR12" i="19" s="1"/>
  <c r="D83" i="12" s="1"/>
  <c r="M237" i="19"/>
  <c r="AQ12" i="19" s="1"/>
  <c r="D82" i="12" s="1"/>
  <c r="K237" i="19"/>
  <c r="AO12" i="19" s="1"/>
  <c r="D80" i="12" s="1"/>
  <c r="H237" i="19"/>
  <c r="AL12" i="19" s="1"/>
  <c r="D77" i="12" s="1"/>
  <c r="F237" i="19"/>
  <c r="AJ12" i="19" s="1"/>
  <c r="D75" i="12" s="1"/>
  <c r="E237" i="19"/>
  <c r="AI12" i="19" s="1"/>
  <c r="D74" i="12" s="1"/>
  <c r="I236" i="18"/>
  <c r="N236" i="18"/>
  <c r="F236" i="18"/>
  <c r="M236" i="18"/>
  <c r="E236" i="18"/>
  <c r="L236" i="18"/>
  <c r="D236" i="18"/>
  <c r="K236" i="18"/>
  <c r="C237" i="18"/>
  <c r="J236" i="18"/>
  <c r="H236" i="18"/>
  <c r="G236" i="18"/>
  <c r="N244" i="1" l="1"/>
  <c r="H244" i="1"/>
  <c r="L244" i="1"/>
  <c r="M244" i="1"/>
  <c r="K244" i="1"/>
  <c r="J244" i="1"/>
  <c r="E244" i="1"/>
  <c r="I244" i="1"/>
  <c r="C245" i="1"/>
  <c r="G244" i="1"/>
  <c r="F244" i="1"/>
  <c r="D244" i="1"/>
  <c r="I244" i="27"/>
  <c r="F244" i="27"/>
  <c r="E244" i="27"/>
  <c r="H244" i="27"/>
  <c r="C245" i="27"/>
  <c r="N244" i="27"/>
  <c r="G244" i="27"/>
  <c r="D244" i="27"/>
  <c r="M244" i="27"/>
  <c r="L244" i="27"/>
  <c r="K244" i="27"/>
  <c r="J244" i="27"/>
  <c r="J244" i="26"/>
  <c r="D244" i="26"/>
  <c r="C245" i="26"/>
  <c r="N244" i="26"/>
  <c r="M244" i="26"/>
  <c r="L244" i="26"/>
  <c r="K244" i="26"/>
  <c r="I244" i="26"/>
  <c r="H244" i="26"/>
  <c r="G244" i="26"/>
  <c r="F244" i="26"/>
  <c r="E244" i="26"/>
  <c r="D243" i="25"/>
  <c r="M243" i="25"/>
  <c r="L243" i="25"/>
  <c r="K243" i="25"/>
  <c r="C244" i="25"/>
  <c r="N243" i="25"/>
  <c r="J243" i="25"/>
  <c r="I243" i="25"/>
  <c r="H243" i="25"/>
  <c r="G243" i="25"/>
  <c r="F243" i="25"/>
  <c r="E243" i="25"/>
  <c r="D84" i="12"/>
  <c r="D86" i="12" s="1"/>
  <c r="I237" i="20"/>
  <c r="AM12" i="20" s="1"/>
  <c r="C241" i="20"/>
  <c r="G237" i="20"/>
  <c r="AK12" i="20" s="1"/>
  <c r="N237" i="20"/>
  <c r="AR12" i="20" s="1"/>
  <c r="F237" i="20"/>
  <c r="AJ12" i="20" s="1"/>
  <c r="M237" i="20"/>
  <c r="AQ12" i="20" s="1"/>
  <c r="E237" i="20"/>
  <c r="AI12" i="20" s="1"/>
  <c r="L237" i="20"/>
  <c r="AP12" i="20" s="1"/>
  <c r="D237" i="20"/>
  <c r="AH12" i="20" s="1"/>
  <c r="K237" i="20"/>
  <c r="AO12" i="20" s="1"/>
  <c r="H237" i="20"/>
  <c r="AL12" i="20" s="1"/>
  <c r="J237" i="20"/>
  <c r="AN12" i="20" s="1"/>
  <c r="H241" i="19"/>
  <c r="N241" i="19"/>
  <c r="F241" i="19"/>
  <c r="M241" i="19"/>
  <c r="E241" i="19"/>
  <c r="K241" i="19"/>
  <c r="C242" i="19"/>
  <c r="L241" i="19"/>
  <c r="J241" i="19"/>
  <c r="G241" i="19"/>
  <c r="I241" i="19"/>
  <c r="D241" i="19"/>
  <c r="M237" i="18"/>
  <c r="AQ12" i="18" s="1"/>
  <c r="E237" i="18"/>
  <c r="AI12" i="18" s="1"/>
  <c r="J237" i="18"/>
  <c r="AN12" i="18" s="1"/>
  <c r="I237" i="18"/>
  <c r="AM12" i="18" s="1"/>
  <c r="H237" i="18"/>
  <c r="AL12" i="18" s="1"/>
  <c r="C241" i="18"/>
  <c r="G237" i="18"/>
  <c r="AK12" i="18" s="1"/>
  <c r="L237" i="18"/>
  <c r="AP12" i="18" s="1"/>
  <c r="F237" i="18"/>
  <c r="AJ12" i="18" s="1"/>
  <c r="D237" i="18"/>
  <c r="AH12" i="18" s="1"/>
  <c r="N237" i="18"/>
  <c r="AR12" i="18" s="1"/>
  <c r="K237" i="18"/>
  <c r="AO12" i="18" s="1"/>
  <c r="D245" i="1" l="1"/>
  <c r="M245" i="1"/>
  <c r="N245" i="1"/>
  <c r="C246" i="1"/>
  <c r="I245" i="1"/>
  <c r="K245" i="1"/>
  <c r="F245" i="1"/>
  <c r="J245" i="1"/>
  <c r="E245" i="1"/>
  <c r="H245" i="1"/>
  <c r="L245" i="1"/>
  <c r="G245" i="1"/>
  <c r="M245" i="27"/>
  <c r="J245" i="27"/>
  <c r="L245" i="27"/>
  <c r="H245" i="27"/>
  <c r="N245" i="27"/>
  <c r="K245" i="27"/>
  <c r="C246" i="27"/>
  <c r="I245" i="27"/>
  <c r="G245" i="27"/>
  <c r="F245" i="27"/>
  <c r="E245" i="27"/>
  <c r="D245" i="27"/>
  <c r="D245" i="26"/>
  <c r="C246" i="26"/>
  <c r="J245" i="26"/>
  <c r="I245" i="26"/>
  <c r="L245" i="26"/>
  <c r="K245" i="26"/>
  <c r="H245" i="26"/>
  <c r="M245" i="26"/>
  <c r="G245" i="26"/>
  <c r="F245" i="26"/>
  <c r="E245" i="26"/>
  <c r="N245" i="26"/>
  <c r="H244" i="25"/>
  <c r="I244" i="25"/>
  <c r="M244" i="25"/>
  <c r="L244" i="25"/>
  <c r="K244" i="25"/>
  <c r="J244" i="25"/>
  <c r="G244" i="25"/>
  <c r="F244" i="25"/>
  <c r="C245" i="25"/>
  <c r="N244" i="25"/>
  <c r="E244" i="25"/>
  <c r="D244" i="25"/>
  <c r="M241" i="20"/>
  <c r="E241" i="20"/>
  <c r="K241" i="20"/>
  <c r="J241" i="20"/>
  <c r="I241" i="20"/>
  <c r="H241" i="20"/>
  <c r="C242" i="20"/>
  <c r="G241" i="20"/>
  <c r="N241" i="20"/>
  <c r="L241" i="20"/>
  <c r="D241" i="20"/>
  <c r="F241" i="20"/>
  <c r="L242" i="19"/>
  <c r="D242" i="19"/>
  <c r="J242" i="19"/>
  <c r="I242" i="19"/>
  <c r="C243" i="19"/>
  <c r="G242" i="19"/>
  <c r="F242" i="19"/>
  <c r="E242" i="19"/>
  <c r="N242" i="19"/>
  <c r="K242" i="19"/>
  <c r="M242" i="19"/>
  <c r="H242" i="19"/>
  <c r="I241" i="18"/>
  <c r="N241" i="18"/>
  <c r="F241" i="18"/>
  <c r="M241" i="18"/>
  <c r="E241" i="18"/>
  <c r="L241" i="18"/>
  <c r="D241" i="18"/>
  <c r="K241" i="18"/>
  <c r="C242" i="18"/>
  <c r="J241" i="18"/>
  <c r="H241" i="18"/>
  <c r="G241" i="18"/>
  <c r="M246" i="1" l="1"/>
  <c r="J246" i="1"/>
  <c r="H246" i="1"/>
  <c r="G246" i="1"/>
  <c r="L246" i="1"/>
  <c r="N246" i="1"/>
  <c r="I246" i="1"/>
  <c r="F246" i="1"/>
  <c r="K246" i="1"/>
  <c r="E246" i="1"/>
  <c r="D246" i="1"/>
  <c r="C247" i="1"/>
  <c r="N246" i="27"/>
  <c r="C247" i="27"/>
  <c r="E246" i="27"/>
  <c r="M246" i="27"/>
  <c r="J246" i="27"/>
  <c r="I246" i="27"/>
  <c r="G246" i="27"/>
  <c r="F246" i="27"/>
  <c r="K246" i="27"/>
  <c r="L246" i="27"/>
  <c r="H246" i="27"/>
  <c r="D246" i="27"/>
  <c r="H246" i="26"/>
  <c r="C247" i="26"/>
  <c r="N246" i="26"/>
  <c r="M246" i="26"/>
  <c r="L246" i="26"/>
  <c r="K246" i="26"/>
  <c r="F246" i="26"/>
  <c r="E246" i="26"/>
  <c r="D246" i="26"/>
  <c r="J246" i="26"/>
  <c r="I246" i="26"/>
  <c r="G246" i="26"/>
  <c r="L245" i="25"/>
  <c r="N245" i="25"/>
  <c r="G245" i="25"/>
  <c r="F245" i="25"/>
  <c r="E245" i="25"/>
  <c r="H245" i="25"/>
  <c r="D245" i="25"/>
  <c r="C246" i="25"/>
  <c r="M245" i="25"/>
  <c r="K245" i="25"/>
  <c r="J245" i="25"/>
  <c r="I245" i="25"/>
  <c r="I242" i="20"/>
  <c r="C243" i="20"/>
  <c r="G242" i="20"/>
  <c r="N242" i="20"/>
  <c r="F242" i="20"/>
  <c r="M242" i="20"/>
  <c r="E242" i="20"/>
  <c r="L242" i="20"/>
  <c r="D242" i="20"/>
  <c r="K242" i="20"/>
  <c r="J242" i="20"/>
  <c r="H242" i="20"/>
  <c r="H243" i="19"/>
  <c r="N243" i="19"/>
  <c r="F243" i="19"/>
  <c r="M243" i="19"/>
  <c r="E243" i="19"/>
  <c r="K243" i="19"/>
  <c r="J243" i="19"/>
  <c r="I243" i="19"/>
  <c r="G243" i="19"/>
  <c r="D243" i="19"/>
  <c r="C244" i="19"/>
  <c r="L243" i="19"/>
  <c r="M242" i="18"/>
  <c r="E242" i="18"/>
  <c r="J242" i="18"/>
  <c r="I242" i="18"/>
  <c r="H242" i="18"/>
  <c r="C243" i="18"/>
  <c r="G242" i="18"/>
  <c r="K242" i="18"/>
  <c r="D242" i="18"/>
  <c r="N242" i="18"/>
  <c r="L242" i="18"/>
  <c r="F242" i="18"/>
  <c r="H247" i="1" l="1"/>
  <c r="L247" i="1"/>
  <c r="D247" i="1"/>
  <c r="J247" i="1"/>
  <c r="C248" i="1"/>
  <c r="I247" i="1"/>
  <c r="G247" i="1"/>
  <c r="F247" i="1"/>
  <c r="N247" i="1"/>
  <c r="K247" i="1"/>
  <c r="E247" i="1"/>
  <c r="M247" i="1"/>
  <c r="E247" i="27"/>
  <c r="G247" i="27"/>
  <c r="M247" i="27"/>
  <c r="J247" i="27"/>
  <c r="I247" i="27"/>
  <c r="D247" i="27"/>
  <c r="H247" i="27"/>
  <c r="F247" i="27"/>
  <c r="K247" i="27"/>
  <c r="C248" i="27"/>
  <c r="N247" i="27"/>
  <c r="L247" i="27"/>
  <c r="L247" i="26"/>
  <c r="H247" i="26"/>
  <c r="D247" i="26"/>
  <c r="I247" i="26"/>
  <c r="G247" i="26"/>
  <c r="F247" i="26"/>
  <c r="N247" i="26"/>
  <c r="M247" i="26"/>
  <c r="K247" i="26"/>
  <c r="C248" i="26"/>
  <c r="J247" i="26"/>
  <c r="E247" i="26"/>
  <c r="M246" i="25"/>
  <c r="L246" i="25"/>
  <c r="K246" i="25"/>
  <c r="J246" i="25"/>
  <c r="I246" i="25"/>
  <c r="H246" i="25"/>
  <c r="G246" i="25"/>
  <c r="F246" i="25"/>
  <c r="E246" i="25"/>
  <c r="C247" i="25"/>
  <c r="N246" i="25"/>
  <c r="D246" i="25"/>
  <c r="M243" i="20"/>
  <c r="E243" i="20"/>
  <c r="K243" i="20"/>
  <c r="J243" i="20"/>
  <c r="I243" i="20"/>
  <c r="H243" i="20"/>
  <c r="C244" i="20"/>
  <c r="G243" i="20"/>
  <c r="D243" i="20"/>
  <c r="L243" i="20"/>
  <c r="N243" i="20"/>
  <c r="F243" i="20"/>
  <c r="L244" i="19"/>
  <c r="D244" i="19"/>
  <c r="J244" i="19"/>
  <c r="I244" i="19"/>
  <c r="C245" i="19"/>
  <c r="G244" i="19"/>
  <c r="N244" i="19"/>
  <c r="M244" i="19"/>
  <c r="K244" i="19"/>
  <c r="H244" i="19"/>
  <c r="F244" i="19"/>
  <c r="E244" i="19"/>
  <c r="I243" i="18"/>
  <c r="N243" i="18"/>
  <c r="F243" i="18"/>
  <c r="M243" i="18"/>
  <c r="E243" i="18"/>
  <c r="L243" i="18"/>
  <c r="D243" i="18"/>
  <c r="K243" i="18"/>
  <c r="C244" i="18"/>
  <c r="J243" i="18"/>
  <c r="H243" i="18"/>
  <c r="G243" i="18"/>
  <c r="L248" i="1" l="1"/>
  <c r="D248" i="1"/>
  <c r="H248" i="1"/>
  <c r="E248" i="1"/>
  <c r="K248" i="1"/>
  <c r="F248" i="1"/>
  <c r="I248" i="1"/>
  <c r="N248" i="1"/>
  <c r="M248" i="1"/>
  <c r="G248" i="1"/>
  <c r="C249" i="1"/>
  <c r="J248" i="1"/>
  <c r="I248" i="27"/>
  <c r="F248" i="27"/>
  <c r="M248" i="27"/>
  <c r="J248" i="27"/>
  <c r="C249" i="27"/>
  <c r="N248" i="27"/>
  <c r="K248" i="27"/>
  <c r="H248" i="27"/>
  <c r="L248" i="27"/>
  <c r="G248" i="27"/>
  <c r="E248" i="27"/>
  <c r="D248" i="27"/>
  <c r="M248" i="26"/>
  <c r="I248" i="26"/>
  <c r="K248" i="26"/>
  <c r="J248" i="26"/>
  <c r="E248" i="26"/>
  <c r="D248" i="26"/>
  <c r="L248" i="26"/>
  <c r="H248" i="26"/>
  <c r="G248" i="26"/>
  <c r="F248" i="26"/>
  <c r="C249" i="26"/>
  <c r="N248" i="26"/>
  <c r="D247" i="25"/>
  <c r="G247" i="25"/>
  <c r="C248" i="25"/>
  <c r="N247" i="25"/>
  <c r="M247" i="25"/>
  <c r="L247" i="25"/>
  <c r="K247" i="25"/>
  <c r="J247" i="25"/>
  <c r="I247" i="25"/>
  <c r="H247" i="25"/>
  <c r="F247" i="25"/>
  <c r="E247" i="25"/>
  <c r="I244" i="20"/>
  <c r="C245" i="20"/>
  <c r="G244" i="20"/>
  <c r="N244" i="20"/>
  <c r="F244" i="20"/>
  <c r="M244" i="20"/>
  <c r="E244" i="20"/>
  <c r="L244" i="20"/>
  <c r="D244" i="20"/>
  <c r="K244" i="20"/>
  <c r="J244" i="20"/>
  <c r="H244" i="20"/>
  <c r="H245" i="19"/>
  <c r="N245" i="19"/>
  <c r="F245" i="19"/>
  <c r="M245" i="19"/>
  <c r="E245" i="19"/>
  <c r="K245" i="19"/>
  <c r="C246" i="19"/>
  <c r="L245" i="19"/>
  <c r="J245" i="19"/>
  <c r="G245" i="19"/>
  <c r="I245" i="19"/>
  <c r="D245" i="19"/>
  <c r="M244" i="18"/>
  <c r="E244" i="18"/>
  <c r="J244" i="18"/>
  <c r="I244" i="18"/>
  <c r="H244" i="18"/>
  <c r="C245" i="18"/>
  <c r="G244" i="18"/>
  <c r="F244" i="18"/>
  <c r="D244" i="18"/>
  <c r="N244" i="18"/>
  <c r="L244" i="18"/>
  <c r="K244" i="18"/>
  <c r="J249" i="1" l="1"/>
  <c r="E249" i="1"/>
  <c r="F249" i="1"/>
  <c r="I249" i="1"/>
  <c r="L249" i="1"/>
  <c r="H249" i="1"/>
  <c r="K249" i="1"/>
  <c r="N249" i="1"/>
  <c r="G249" i="1"/>
  <c r="D249" i="1"/>
  <c r="M249" i="1"/>
  <c r="C250" i="1"/>
  <c r="M249" i="27"/>
  <c r="J249" i="27"/>
  <c r="I249" i="27"/>
  <c r="F249" i="27"/>
  <c r="E249" i="27"/>
  <c r="G249" i="27"/>
  <c r="D249" i="27"/>
  <c r="C250" i="27"/>
  <c r="N249" i="27"/>
  <c r="L249" i="27"/>
  <c r="K249" i="27"/>
  <c r="H249" i="27"/>
  <c r="D249" i="26"/>
  <c r="C250" i="26"/>
  <c r="G249" i="26"/>
  <c r="F249" i="26"/>
  <c r="E249" i="26"/>
  <c r="N249" i="26"/>
  <c r="M249" i="26"/>
  <c r="L249" i="26"/>
  <c r="K249" i="26"/>
  <c r="J249" i="26"/>
  <c r="I249" i="26"/>
  <c r="H249" i="26"/>
  <c r="H248" i="25"/>
  <c r="L248" i="25"/>
  <c r="G248" i="25"/>
  <c r="F248" i="25"/>
  <c r="E248" i="25"/>
  <c r="K248" i="25"/>
  <c r="J248" i="25"/>
  <c r="I248" i="25"/>
  <c r="D248" i="25"/>
  <c r="C249" i="25"/>
  <c r="N248" i="25"/>
  <c r="M248" i="25"/>
  <c r="M245" i="20"/>
  <c r="E245" i="20"/>
  <c r="K245" i="20"/>
  <c r="J245" i="20"/>
  <c r="I245" i="20"/>
  <c r="H245" i="20"/>
  <c r="C246" i="20"/>
  <c r="G245" i="20"/>
  <c r="L245" i="20"/>
  <c r="F245" i="20"/>
  <c r="D245" i="20"/>
  <c r="N245" i="20"/>
  <c r="L246" i="19"/>
  <c r="D246" i="19"/>
  <c r="J246" i="19"/>
  <c r="I246" i="19"/>
  <c r="C247" i="19"/>
  <c r="G246" i="19"/>
  <c r="F246" i="19"/>
  <c r="E246" i="19"/>
  <c r="N246" i="19"/>
  <c r="K246" i="19"/>
  <c r="M246" i="19"/>
  <c r="H246" i="19"/>
  <c r="I245" i="18"/>
  <c r="N245" i="18"/>
  <c r="F245" i="18"/>
  <c r="M245" i="18"/>
  <c r="E245" i="18"/>
  <c r="L245" i="18"/>
  <c r="D245" i="18"/>
  <c r="K245" i="18"/>
  <c r="C246" i="18"/>
  <c r="J245" i="18"/>
  <c r="H245" i="18"/>
  <c r="G245" i="18"/>
  <c r="H250" i="1" l="1"/>
  <c r="C251" i="1"/>
  <c r="F250" i="1"/>
  <c r="G250" i="1"/>
  <c r="N250" i="1"/>
  <c r="E250" i="1"/>
  <c r="M250" i="1"/>
  <c r="I250" i="1"/>
  <c r="L250" i="1"/>
  <c r="K250" i="1"/>
  <c r="J250" i="1"/>
  <c r="D250" i="1"/>
  <c r="N250" i="27"/>
  <c r="G250" i="27"/>
  <c r="D250" i="27"/>
  <c r="C251" i="27"/>
  <c r="M250" i="27"/>
  <c r="L250" i="27"/>
  <c r="H250" i="27"/>
  <c r="F250" i="27"/>
  <c r="E250" i="27"/>
  <c r="K250" i="27"/>
  <c r="J250" i="27"/>
  <c r="I250" i="27"/>
  <c r="H250" i="26"/>
  <c r="F250" i="26"/>
  <c r="G250" i="26"/>
  <c r="E250" i="26"/>
  <c r="C251" i="26"/>
  <c r="N250" i="26"/>
  <c r="M250" i="26"/>
  <c r="L250" i="26"/>
  <c r="K250" i="26"/>
  <c r="J250" i="26"/>
  <c r="I250" i="26"/>
  <c r="D250" i="26"/>
  <c r="L249" i="25"/>
  <c r="N249" i="25"/>
  <c r="M249" i="25"/>
  <c r="K249" i="25"/>
  <c r="C250" i="25"/>
  <c r="J249" i="25"/>
  <c r="I249" i="25"/>
  <c r="H249" i="25"/>
  <c r="G249" i="25"/>
  <c r="F249" i="25"/>
  <c r="E249" i="25"/>
  <c r="D249" i="25"/>
  <c r="I246" i="20"/>
  <c r="C247" i="20"/>
  <c r="G246" i="20"/>
  <c r="N246" i="20"/>
  <c r="F246" i="20"/>
  <c r="M246" i="20"/>
  <c r="E246" i="20"/>
  <c r="L246" i="20"/>
  <c r="D246" i="20"/>
  <c r="K246" i="20"/>
  <c r="H246" i="20"/>
  <c r="J246" i="20"/>
  <c r="H247" i="19"/>
  <c r="N247" i="19"/>
  <c r="F247" i="19"/>
  <c r="M247" i="19"/>
  <c r="E247" i="19"/>
  <c r="K247" i="19"/>
  <c r="J247" i="19"/>
  <c r="I247" i="19"/>
  <c r="G247" i="19"/>
  <c r="D247" i="19"/>
  <c r="C248" i="19"/>
  <c r="L247" i="19"/>
  <c r="M246" i="18"/>
  <c r="E246" i="18"/>
  <c r="J246" i="18"/>
  <c r="I246" i="18"/>
  <c r="H246" i="18"/>
  <c r="C247" i="18"/>
  <c r="G246" i="18"/>
  <c r="D246" i="18"/>
  <c r="N246" i="18"/>
  <c r="L246" i="18"/>
  <c r="K246" i="18"/>
  <c r="F246" i="18"/>
  <c r="N251" i="1" l="1"/>
  <c r="E251" i="1"/>
  <c r="D251" i="1"/>
  <c r="G251" i="1"/>
  <c r="J251" i="1"/>
  <c r="L251" i="1"/>
  <c r="I251" i="1"/>
  <c r="H251" i="1"/>
  <c r="M251" i="1"/>
  <c r="K251" i="1"/>
  <c r="C252" i="1"/>
  <c r="F251" i="1"/>
  <c r="E251" i="27"/>
  <c r="M251" i="27"/>
  <c r="J251" i="27"/>
  <c r="G251" i="27"/>
  <c r="I251" i="27"/>
  <c r="H251" i="27"/>
  <c r="L251" i="27"/>
  <c r="K251" i="27"/>
  <c r="D251" i="27"/>
  <c r="C252" i="27"/>
  <c r="N251" i="27"/>
  <c r="F251" i="27"/>
  <c r="L251" i="26"/>
  <c r="K251" i="26"/>
  <c r="I251" i="26"/>
  <c r="C252" i="26"/>
  <c r="N251" i="26"/>
  <c r="D251" i="26"/>
  <c r="M251" i="26"/>
  <c r="J251" i="26"/>
  <c r="H251" i="26"/>
  <c r="G251" i="26"/>
  <c r="F251" i="26"/>
  <c r="E251" i="26"/>
  <c r="E250" i="25"/>
  <c r="I250" i="25"/>
  <c r="H250" i="25"/>
  <c r="G250" i="25"/>
  <c r="F250" i="25"/>
  <c r="D250" i="25"/>
  <c r="C251" i="25"/>
  <c r="N250" i="25"/>
  <c r="M250" i="25"/>
  <c r="L250" i="25"/>
  <c r="K250" i="25"/>
  <c r="J250" i="25"/>
  <c r="M247" i="20"/>
  <c r="E247" i="20"/>
  <c r="K247" i="20"/>
  <c r="J247" i="20"/>
  <c r="I247" i="20"/>
  <c r="H247" i="20"/>
  <c r="C248" i="20"/>
  <c r="G247" i="20"/>
  <c r="N247" i="20"/>
  <c r="L247" i="20"/>
  <c r="F247" i="20"/>
  <c r="D247" i="20"/>
  <c r="L248" i="19"/>
  <c r="D248" i="19"/>
  <c r="J248" i="19"/>
  <c r="I248" i="19"/>
  <c r="C249" i="19"/>
  <c r="G248" i="19"/>
  <c r="N248" i="19"/>
  <c r="M248" i="19"/>
  <c r="K248" i="19"/>
  <c r="H248" i="19"/>
  <c r="F248" i="19"/>
  <c r="E248" i="19"/>
  <c r="I247" i="18"/>
  <c r="N247" i="18"/>
  <c r="F247" i="18"/>
  <c r="M247" i="18"/>
  <c r="E247" i="18"/>
  <c r="L247" i="18"/>
  <c r="D247" i="18"/>
  <c r="K247" i="18"/>
  <c r="C248" i="18"/>
  <c r="J247" i="18"/>
  <c r="H247" i="18"/>
  <c r="G247" i="18"/>
  <c r="E252" i="1" l="1"/>
  <c r="F252" i="1"/>
  <c r="I252" i="1"/>
  <c r="N252" i="1"/>
  <c r="H252" i="1"/>
  <c r="C253" i="1"/>
  <c r="G252" i="1"/>
  <c r="D252" i="1"/>
  <c r="M252" i="1"/>
  <c r="L252" i="1"/>
  <c r="J252" i="1"/>
  <c r="K252" i="1"/>
  <c r="I252" i="27"/>
  <c r="F252" i="27"/>
  <c r="C253" i="27"/>
  <c r="L252" i="27"/>
  <c r="K252" i="27"/>
  <c r="N252" i="27"/>
  <c r="M252" i="27"/>
  <c r="J252" i="27"/>
  <c r="H252" i="27"/>
  <c r="G252" i="27"/>
  <c r="E252" i="27"/>
  <c r="D252" i="27"/>
  <c r="C253" i="26"/>
  <c r="M252" i="26"/>
  <c r="L252" i="26"/>
  <c r="K252" i="26"/>
  <c r="G252" i="26"/>
  <c r="F252" i="26"/>
  <c r="E252" i="26"/>
  <c r="N252" i="26"/>
  <c r="J252" i="26"/>
  <c r="I252" i="26"/>
  <c r="H252" i="26"/>
  <c r="D252" i="26"/>
  <c r="D251" i="25"/>
  <c r="J251" i="25"/>
  <c r="H251" i="25"/>
  <c r="G251" i="25"/>
  <c r="F251" i="25"/>
  <c r="C252" i="25"/>
  <c r="N251" i="25"/>
  <c r="M251" i="25"/>
  <c r="L251" i="25"/>
  <c r="K251" i="25"/>
  <c r="I251" i="25"/>
  <c r="E251" i="25"/>
  <c r="I248" i="20"/>
  <c r="C249" i="20"/>
  <c r="G248" i="20"/>
  <c r="N248" i="20"/>
  <c r="F248" i="20"/>
  <c r="M248" i="20"/>
  <c r="E248" i="20"/>
  <c r="L248" i="20"/>
  <c r="D248" i="20"/>
  <c r="K248" i="20"/>
  <c r="H248" i="20"/>
  <c r="J248" i="20"/>
  <c r="H249" i="19"/>
  <c r="N249" i="19"/>
  <c r="F249" i="19"/>
  <c r="M249" i="19"/>
  <c r="E249" i="19"/>
  <c r="K249" i="19"/>
  <c r="C250" i="19"/>
  <c r="L249" i="19"/>
  <c r="J249" i="19"/>
  <c r="G249" i="19"/>
  <c r="I249" i="19"/>
  <c r="D249" i="19"/>
  <c r="M248" i="18"/>
  <c r="E248" i="18"/>
  <c r="J248" i="18"/>
  <c r="I248" i="18"/>
  <c r="H248" i="18"/>
  <c r="C249" i="18"/>
  <c r="G248" i="18"/>
  <c r="N248" i="18"/>
  <c r="L248" i="18"/>
  <c r="K248" i="18"/>
  <c r="F248" i="18"/>
  <c r="D248" i="18"/>
  <c r="K253" i="1" l="1"/>
  <c r="D253" i="1"/>
  <c r="H253" i="1"/>
  <c r="C254" i="1"/>
  <c r="G253" i="1"/>
  <c r="I253" i="1"/>
  <c r="N253" i="1"/>
  <c r="F253" i="1"/>
  <c r="M253" i="1"/>
  <c r="E253" i="1"/>
  <c r="J253" i="1"/>
  <c r="L253" i="1"/>
  <c r="M253" i="27"/>
  <c r="J253" i="27"/>
  <c r="G253" i="27"/>
  <c r="D253" i="27"/>
  <c r="K253" i="27"/>
  <c r="I253" i="27"/>
  <c r="C254" i="27"/>
  <c r="L253" i="27"/>
  <c r="H253" i="27"/>
  <c r="N253" i="27"/>
  <c r="F253" i="27"/>
  <c r="E253" i="27"/>
  <c r="D253" i="26"/>
  <c r="E253" i="26"/>
  <c r="J253" i="26"/>
  <c r="I253" i="26"/>
  <c r="L253" i="26"/>
  <c r="K253" i="26"/>
  <c r="H253" i="26"/>
  <c r="G253" i="26"/>
  <c r="F253" i="26"/>
  <c r="C254" i="26"/>
  <c r="N253" i="26"/>
  <c r="M253" i="26"/>
  <c r="H252" i="25"/>
  <c r="C253" i="25"/>
  <c r="N252" i="25"/>
  <c r="M252" i="25"/>
  <c r="L252" i="25"/>
  <c r="F252" i="25"/>
  <c r="E252" i="25"/>
  <c r="D252" i="25"/>
  <c r="K252" i="25"/>
  <c r="J252" i="25"/>
  <c r="I252" i="25"/>
  <c r="G252" i="25"/>
  <c r="M249" i="20"/>
  <c r="E249" i="20"/>
  <c r="K249" i="20"/>
  <c r="J249" i="20"/>
  <c r="I249" i="20"/>
  <c r="H249" i="20"/>
  <c r="C250" i="20"/>
  <c r="G249" i="20"/>
  <c r="N249" i="20"/>
  <c r="L249" i="20"/>
  <c r="D249" i="20"/>
  <c r="F249" i="20"/>
  <c r="L250" i="19"/>
  <c r="D250" i="19"/>
  <c r="J250" i="19"/>
  <c r="I250" i="19"/>
  <c r="C251" i="19"/>
  <c r="G250" i="19"/>
  <c r="F250" i="19"/>
  <c r="E250" i="19"/>
  <c r="N250" i="19"/>
  <c r="K250" i="19"/>
  <c r="M250" i="19"/>
  <c r="H250" i="19"/>
  <c r="I249" i="18"/>
  <c r="N249" i="18"/>
  <c r="F249" i="18"/>
  <c r="M249" i="18"/>
  <c r="E249" i="18"/>
  <c r="L249" i="18"/>
  <c r="D249" i="18"/>
  <c r="K249" i="18"/>
  <c r="J249" i="18"/>
  <c r="H249" i="18"/>
  <c r="G249" i="18"/>
  <c r="C250" i="18"/>
  <c r="L254" i="1" l="1"/>
  <c r="I254" i="1"/>
  <c r="N254" i="1"/>
  <c r="J254" i="1"/>
  <c r="H254" i="1"/>
  <c r="K254" i="1"/>
  <c r="M254" i="1"/>
  <c r="E254" i="1"/>
  <c r="C255" i="1"/>
  <c r="D254" i="1"/>
  <c r="G254" i="1"/>
  <c r="F254" i="1"/>
  <c r="K254" i="27"/>
  <c r="H254" i="27"/>
  <c r="C255" i="27"/>
  <c r="L254" i="27"/>
  <c r="N254" i="27"/>
  <c r="I254" i="27"/>
  <c r="G254" i="27"/>
  <c r="D254" i="27"/>
  <c r="M254" i="27"/>
  <c r="J254" i="27"/>
  <c r="F254" i="27"/>
  <c r="E254" i="27"/>
  <c r="H254" i="26"/>
  <c r="J254" i="26"/>
  <c r="K254" i="26"/>
  <c r="M254" i="26"/>
  <c r="L254" i="26"/>
  <c r="I254" i="26"/>
  <c r="G254" i="26"/>
  <c r="F254" i="26"/>
  <c r="E254" i="26"/>
  <c r="C255" i="26"/>
  <c r="N254" i="26"/>
  <c r="D254" i="26"/>
  <c r="L253" i="25"/>
  <c r="C254" i="25"/>
  <c r="N253" i="25"/>
  <c r="M253" i="25"/>
  <c r="K253" i="25"/>
  <c r="J253" i="25"/>
  <c r="I253" i="25"/>
  <c r="H253" i="25"/>
  <c r="G253" i="25"/>
  <c r="F253" i="25"/>
  <c r="E253" i="25"/>
  <c r="D253" i="25"/>
  <c r="I250" i="20"/>
  <c r="C251" i="20"/>
  <c r="G250" i="20"/>
  <c r="N250" i="20"/>
  <c r="F250" i="20"/>
  <c r="M250" i="20"/>
  <c r="E250" i="20"/>
  <c r="L250" i="20"/>
  <c r="D250" i="20"/>
  <c r="K250" i="20"/>
  <c r="J250" i="20"/>
  <c r="H250" i="20"/>
  <c r="H251" i="19"/>
  <c r="N251" i="19"/>
  <c r="F251" i="19"/>
  <c r="M251" i="19"/>
  <c r="E251" i="19"/>
  <c r="K251" i="19"/>
  <c r="J251" i="19"/>
  <c r="I251" i="19"/>
  <c r="G251" i="19"/>
  <c r="D251" i="19"/>
  <c r="C252" i="19"/>
  <c r="L251" i="19"/>
  <c r="M250" i="18"/>
  <c r="E250" i="18"/>
  <c r="J250" i="18"/>
  <c r="I250" i="18"/>
  <c r="H250" i="18"/>
  <c r="C251" i="18"/>
  <c r="G250" i="18"/>
  <c r="N250" i="18"/>
  <c r="L250" i="18"/>
  <c r="K250" i="18"/>
  <c r="F250" i="18"/>
  <c r="D250" i="18"/>
  <c r="K255" i="1" l="1"/>
  <c r="J255" i="1"/>
  <c r="L255" i="1"/>
  <c r="H255" i="1"/>
  <c r="D255" i="1"/>
  <c r="I255" i="1"/>
  <c r="N255" i="1"/>
  <c r="G255" i="1"/>
  <c r="M255" i="1"/>
  <c r="F255" i="1"/>
  <c r="E255" i="1"/>
  <c r="C256" i="1"/>
  <c r="C256" i="27"/>
  <c r="L255" i="27"/>
  <c r="G255" i="27"/>
  <c r="D255" i="27"/>
  <c r="N255" i="27"/>
  <c r="M255" i="27"/>
  <c r="K255" i="27"/>
  <c r="J255" i="27"/>
  <c r="I255" i="27"/>
  <c r="H255" i="27"/>
  <c r="F255" i="27"/>
  <c r="E255" i="27"/>
  <c r="L255" i="26"/>
  <c r="C256" i="26"/>
  <c r="E255" i="26"/>
  <c r="D255" i="26"/>
  <c r="N255" i="26"/>
  <c r="M255" i="26"/>
  <c r="K255" i="26"/>
  <c r="J255" i="26"/>
  <c r="I255" i="26"/>
  <c r="H255" i="26"/>
  <c r="G255" i="26"/>
  <c r="F255" i="26"/>
  <c r="H254" i="25"/>
  <c r="I254" i="25"/>
  <c r="G254" i="25"/>
  <c r="F254" i="25"/>
  <c r="D254" i="25"/>
  <c r="J254" i="25"/>
  <c r="E254" i="25"/>
  <c r="C255" i="25"/>
  <c r="N254" i="25"/>
  <c r="M254" i="25"/>
  <c r="L254" i="25"/>
  <c r="K254" i="25"/>
  <c r="M251" i="20"/>
  <c r="E251" i="20"/>
  <c r="K251" i="20"/>
  <c r="J251" i="20"/>
  <c r="I251" i="20"/>
  <c r="H251" i="20"/>
  <c r="C252" i="20"/>
  <c r="G251" i="20"/>
  <c r="D251" i="20"/>
  <c r="L251" i="20"/>
  <c r="N251" i="20"/>
  <c r="F251" i="20"/>
  <c r="L252" i="19"/>
  <c r="D252" i="19"/>
  <c r="J252" i="19"/>
  <c r="I252" i="19"/>
  <c r="C253" i="19"/>
  <c r="G252" i="19"/>
  <c r="N252" i="19"/>
  <c r="M252" i="19"/>
  <c r="K252" i="19"/>
  <c r="H252" i="19"/>
  <c r="F252" i="19"/>
  <c r="E252" i="19"/>
  <c r="I251" i="18"/>
  <c r="N251" i="18"/>
  <c r="F251" i="18"/>
  <c r="M251" i="18"/>
  <c r="E251" i="18"/>
  <c r="L251" i="18"/>
  <c r="D251" i="18"/>
  <c r="K251" i="18"/>
  <c r="H251" i="18"/>
  <c r="G251" i="18"/>
  <c r="C252" i="18"/>
  <c r="J251" i="18"/>
  <c r="G256" i="1" l="1"/>
  <c r="J256" i="1"/>
  <c r="M256" i="1"/>
  <c r="D256" i="1"/>
  <c r="K256" i="1"/>
  <c r="F256" i="1"/>
  <c r="H256" i="1"/>
  <c r="L256" i="1"/>
  <c r="E256" i="1"/>
  <c r="I256" i="1"/>
  <c r="N256" i="1"/>
  <c r="C257" i="1"/>
  <c r="M256" i="27"/>
  <c r="J256" i="27"/>
  <c r="L256" i="27"/>
  <c r="H256" i="27"/>
  <c r="C257" i="27"/>
  <c r="I256" i="27"/>
  <c r="G256" i="27"/>
  <c r="N256" i="27"/>
  <c r="F256" i="27"/>
  <c r="E256" i="27"/>
  <c r="K256" i="27"/>
  <c r="D256" i="27"/>
  <c r="E256" i="26"/>
  <c r="L256" i="26"/>
  <c r="K256" i="26"/>
  <c r="J256" i="26"/>
  <c r="I256" i="26"/>
  <c r="H256" i="26"/>
  <c r="C257" i="26"/>
  <c r="N256" i="26"/>
  <c r="M256" i="26"/>
  <c r="F256" i="26"/>
  <c r="D256" i="26"/>
  <c r="G256" i="26"/>
  <c r="D255" i="25"/>
  <c r="M255" i="25"/>
  <c r="C256" i="25"/>
  <c r="N255" i="25"/>
  <c r="L255" i="25"/>
  <c r="K255" i="25"/>
  <c r="J255" i="25"/>
  <c r="I255" i="25"/>
  <c r="H255" i="25"/>
  <c r="G255" i="25"/>
  <c r="F255" i="25"/>
  <c r="E255" i="25"/>
  <c r="I252" i="20"/>
  <c r="C253" i="20"/>
  <c r="G252" i="20"/>
  <c r="N252" i="20"/>
  <c r="F252" i="20"/>
  <c r="M252" i="20"/>
  <c r="E252" i="20"/>
  <c r="L252" i="20"/>
  <c r="D252" i="20"/>
  <c r="K252" i="20"/>
  <c r="J252" i="20"/>
  <c r="H252" i="20"/>
  <c r="H253" i="19"/>
  <c r="N253" i="19"/>
  <c r="F253" i="19"/>
  <c r="M253" i="19"/>
  <c r="E253" i="19"/>
  <c r="K253" i="19"/>
  <c r="C254" i="19"/>
  <c r="L253" i="19"/>
  <c r="J253" i="19"/>
  <c r="G253" i="19"/>
  <c r="I253" i="19"/>
  <c r="D253" i="19"/>
  <c r="M252" i="18"/>
  <c r="E252" i="18"/>
  <c r="J252" i="18"/>
  <c r="I252" i="18"/>
  <c r="H252" i="18"/>
  <c r="C253" i="18"/>
  <c r="G252" i="18"/>
  <c r="N252" i="18"/>
  <c r="L252" i="18"/>
  <c r="K252" i="18"/>
  <c r="F252" i="18"/>
  <c r="D252" i="18"/>
  <c r="K257" i="1" l="1"/>
  <c r="D257" i="1"/>
  <c r="J257" i="1"/>
  <c r="E257" i="1"/>
  <c r="N257" i="1"/>
  <c r="C258" i="1"/>
  <c r="F257" i="1"/>
  <c r="M257" i="1"/>
  <c r="L257" i="1"/>
  <c r="H257" i="1"/>
  <c r="I257" i="1"/>
  <c r="G257" i="1"/>
  <c r="G257" i="27"/>
  <c r="D257" i="27"/>
  <c r="C258" i="27"/>
  <c r="E257" i="27"/>
  <c r="J257" i="27"/>
  <c r="F257" i="27"/>
  <c r="I257" i="27"/>
  <c r="H257" i="27"/>
  <c r="N257" i="27"/>
  <c r="M257" i="27"/>
  <c r="L257" i="27"/>
  <c r="K257" i="27"/>
  <c r="D257" i="26"/>
  <c r="H257" i="26"/>
  <c r="K257" i="26"/>
  <c r="C258" i="26"/>
  <c r="N257" i="26"/>
  <c r="M257" i="26"/>
  <c r="L257" i="26"/>
  <c r="J257" i="26"/>
  <c r="I257" i="26"/>
  <c r="G257" i="26"/>
  <c r="F257" i="26"/>
  <c r="E257" i="26"/>
  <c r="H256" i="25"/>
  <c r="E256" i="25"/>
  <c r="D256" i="25"/>
  <c r="N256" i="25"/>
  <c r="M256" i="25"/>
  <c r="L256" i="25"/>
  <c r="K256" i="25"/>
  <c r="J256" i="25"/>
  <c r="I256" i="25"/>
  <c r="G256" i="25"/>
  <c r="F256" i="25"/>
  <c r="C257" i="25"/>
  <c r="M253" i="20"/>
  <c r="E253" i="20"/>
  <c r="K253" i="20"/>
  <c r="J253" i="20"/>
  <c r="I253" i="20"/>
  <c r="H253" i="20"/>
  <c r="C254" i="20"/>
  <c r="G253" i="20"/>
  <c r="L253" i="20"/>
  <c r="F253" i="20"/>
  <c r="D253" i="20"/>
  <c r="N253" i="20"/>
  <c r="L254" i="19"/>
  <c r="D254" i="19"/>
  <c r="J254" i="19"/>
  <c r="I254" i="19"/>
  <c r="C255" i="19"/>
  <c r="G254" i="19"/>
  <c r="F254" i="19"/>
  <c r="E254" i="19"/>
  <c r="N254" i="19"/>
  <c r="K254" i="19"/>
  <c r="M254" i="19"/>
  <c r="H254" i="19"/>
  <c r="I253" i="18"/>
  <c r="N253" i="18"/>
  <c r="F253" i="18"/>
  <c r="M253" i="18"/>
  <c r="E253" i="18"/>
  <c r="L253" i="18"/>
  <c r="D253" i="18"/>
  <c r="K253" i="18"/>
  <c r="G253" i="18"/>
  <c r="C254" i="18"/>
  <c r="J253" i="18"/>
  <c r="H253" i="18"/>
  <c r="H258" i="1" l="1"/>
  <c r="G258" i="1"/>
  <c r="K258" i="1"/>
  <c r="F258" i="1"/>
  <c r="C259" i="1"/>
  <c r="E258" i="1"/>
  <c r="D258" i="1"/>
  <c r="L258" i="1"/>
  <c r="N258" i="1"/>
  <c r="M258" i="1"/>
  <c r="J258" i="1"/>
  <c r="I258" i="1"/>
  <c r="K258" i="27"/>
  <c r="H258" i="27"/>
  <c r="G258" i="27"/>
  <c r="D258" i="27"/>
  <c r="J258" i="27"/>
  <c r="E258" i="27"/>
  <c r="C259" i="27"/>
  <c r="L258" i="27"/>
  <c r="I258" i="27"/>
  <c r="F258" i="27"/>
  <c r="N258" i="27"/>
  <c r="M258" i="27"/>
  <c r="H258" i="26"/>
  <c r="M258" i="26"/>
  <c r="G258" i="26"/>
  <c r="F258" i="26"/>
  <c r="J258" i="26"/>
  <c r="I258" i="26"/>
  <c r="E258" i="26"/>
  <c r="C259" i="26"/>
  <c r="N258" i="26"/>
  <c r="L258" i="26"/>
  <c r="K258" i="26"/>
  <c r="D258" i="26"/>
  <c r="L257" i="25"/>
  <c r="F257" i="25"/>
  <c r="I257" i="25"/>
  <c r="H257" i="25"/>
  <c r="G257" i="25"/>
  <c r="C258" i="25"/>
  <c r="N257" i="25"/>
  <c r="M257" i="25"/>
  <c r="K257" i="25"/>
  <c r="J257" i="25"/>
  <c r="E257" i="25"/>
  <c r="D257" i="25"/>
  <c r="I254" i="20"/>
  <c r="C255" i="20"/>
  <c r="G254" i="20"/>
  <c r="N254" i="20"/>
  <c r="F254" i="20"/>
  <c r="M254" i="20"/>
  <c r="E254" i="20"/>
  <c r="L254" i="20"/>
  <c r="D254" i="20"/>
  <c r="K254" i="20"/>
  <c r="H254" i="20"/>
  <c r="J254" i="20"/>
  <c r="H255" i="19"/>
  <c r="N255" i="19"/>
  <c r="F255" i="19"/>
  <c r="M255" i="19"/>
  <c r="E255" i="19"/>
  <c r="K255" i="19"/>
  <c r="J255" i="19"/>
  <c r="I255" i="19"/>
  <c r="G255" i="19"/>
  <c r="D255" i="19"/>
  <c r="C256" i="19"/>
  <c r="L255" i="19"/>
  <c r="M254" i="18"/>
  <c r="E254" i="18"/>
  <c r="J254" i="18"/>
  <c r="I254" i="18"/>
  <c r="H254" i="18"/>
  <c r="C255" i="18"/>
  <c r="G254" i="18"/>
  <c r="N254" i="18"/>
  <c r="L254" i="18"/>
  <c r="K254" i="18"/>
  <c r="F254" i="18"/>
  <c r="D254" i="18"/>
  <c r="N259" i="1" l="1"/>
  <c r="I259" i="1"/>
  <c r="H259" i="1"/>
  <c r="M259" i="1"/>
  <c r="L259" i="1"/>
  <c r="K259" i="1"/>
  <c r="E259" i="1"/>
  <c r="F259" i="1"/>
  <c r="D259" i="1"/>
  <c r="C260" i="1"/>
  <c r="G259" i="1"/>
  <c r="J259" i="1"/>
  <c r="C260" i="27"/>
  <c r="L259" i="27"/>
  <c r="N259" i="27"/>
  <c r="J259" i="27"/>
  <c r="I259" i="27"/>
  <c r="H259" i="27"/>
  <c r="F259" i="27"/>
  <c r="E259" i="27"/>
  <c r="M259" i="27"/>
  <c r="K259" i="27"/>
  <c r="G259" i="27"/>
  <c r="D259" i="27"/>
  <c r="L259" i="26"/>
  <c r="E259" i="26"/>
  <c r="C260" i="26"/>
  <c r="N259" i="26"/>
  <c r="F259" i="26"/>
  <c r="D259" i="26"/>
  <c r="H259" i="26"/>
  <c r="G259" i="26"/>
  <c r="I259" i="26"/>
  <c r="M259" i="26"/>
  <c r="K259" i="26"/>
  <c r="J259" i="26"/>
  <c r="K258" i="25"/>
  <c r="C259" i="25"/>
  <c r="N258" i="25"/>
  <c r="M258" i="25"/>
  <c r="L258" i="25"/>
  <c r="J258" i="25"/>
  <c r="I258" i="25"/>
  <c r="H258" i="25"/>
  <c r="G258" i="25"/>
  <c r="F258" i="25"/>
  <c r="E258" i="25"/>
  <c r="D258" i="25"/>
  <c r="M255" i="20"/>
  <c r="E255" i="20"/>
  <c r="K255" i="20"/>
  <c r="J255" i="20"/>
  <c r="I255" i="20"/>
  <c r="H255" i="20"/>
  <c r="C256" i="20"/>
  <c r="G255" i="20"/>
  <c r="N255" i="20"/>
  <c r="L255" i="20"/>
  <c r="F255" i="20"/>
  <c r="D255" i="20"/>
  <c r="L256" i="19"/>
  <c r="D256" i="19"/>
  <c r="J256" i="19"/>
  <c r="I256" i="19"/>
  <c r="C257" i="19"/>
  <c r="G256" i="19"/>
  <c r="N256" i="19"/>
  <c r="M256" i="19"/>
  <c r="K256" i="19"/>
  <c r="H256" i="19"/>
  <c r="F256" i="19"/>
  <c r="E256" i="19"/>
  <c r="I255" i="18"/>
  <c r="N255" i="18"/>
  <c r="F255" i="18"/>
  <c r="M255" i="18"/>
  <c r="E255" i="18"/>
  <c r="L255" i="18"/>
  <c r="D255" i="18"/>
  <c r="K255" i="18"/>
  <c r="C256" i="18"/>
  <c r="J255" i="18"/>
  <c r="H255" i="18"/>
  <c r="G255" i="18"/>
  <c r="M260" i="1" l="1"/>
  <c r="C261" i="1"/>
  <c r="F260" i="1"/>
  <c r="N260" i="1"/>
  <c r="K260" i="1"/>
  <c r="J260" i="1"/>
  <c r="L260" i="1"/>
  <c r="E260" i="1"/>
  <c r="I260" i="1"/>
  <c r="H260" i="1"/>
  <c r="G260" i="1"/>
  <c r="D260" i="1"/>
  <c r="G260" i="27"/>
  <c r="D260" i="27"/>
  <c r="M260" i="27"/>
  <c r="J260" i="27"/>
  <c r="I260" i="27"/>
  <c r="N260" i="27"/>
  <c r="L260" i="27"/>
  <c r="H260" i="27"/>
  <c r="C261" i="27"/>
  <c r="K260" i="27"/>
  <c r="F260" i="27"/>
  <c r="E260" i="27"/>
  <c r="F260" i="26"/>
  <c r="K260" i="26"/>
  <c r="H260" i="26"/>
  <c r="G260" i="26"/>
  <c r="E260" i="26"/>
  <c r="C261" i="26"/>
  <c r="N260" i="26"/>
  <c r="M260" i="26"/>
  <c r="L260" i="26"/>
  <c r="J260" i="26"/>
  <c r="I260" i="26"/>
  <c r="D260" i="26"/>
  <c r="D259" i="25"/>
  <c r="L259" i="25"/>
  <c r="K259" i="25"/>
  <c r="J259" i="25"/>
  <c r="I259" i="25"/>
  <c r="H259" i="25"/>
  <c r="G259" i="25"/>
  <c r="C260" i="25"/>
  <c r="N259" i="25"/>
  <c r="M259" i="25"/>
  <c r="F259" i="25"/>
  <c r="E259" i="25"/>
  <c r="I256" i="20"/>
  <c r="C257" i="20"/>
  <c r="G256" i="20"/>
  <c r="N256" i="20"/>
  <c r="F256" i="20"/>
  <c r="M256" i="20"/>
  <c r="E256" i="20"/>
  <c r="L256" i="20"/>
  <c r="D256" i="20"/>
  <c r="K256" i="20"/>
  <c r="H256" i="20"/>
  <c r="J256" i="20"/>
  <c r="H257" i="19"/>
  <c r="N257" i="19"/>
  <c r="F257" i="19"/>
  <c r="M257" i="19"/>
  <c r="E257" i="19"/>
  <c r="K257" i="19"/>
  <c r="C258" i="19"/>
  <c r="L257" i="19"/>
  <c r="J257" i="19"/>
  <c r="G257" i="19"/>
  <c r="I257" i="19"/>
  <c r="D257" i="19"/>
  <c r="M256" i="18"/>
  <c r="E256" i="18"/>
  <c r="J256" i="18"/>
  <c r="I256" i="18"/>
  <c r="H256" i="18"/>
  <c r="C257" i="18"/>
  <c r="G256" i="18"/>
  <c r="L256" i="18"/>
  <c r="K256" i="18"/>
  <c r="F256" i="18"/>
  <c r="D256" i="18"/>
  <c r="N256" i="18"/>
  <c r="E261" i="1" l="1"/>
  <c r="D261" i="1"/>
  <c r="L261" i="1"/>
  <c r="N261" i="1"/>
  <c r="G261" i="1"/>
  <c r="F261" i="1"/>
  <c r="I261" i="1"/>
  <c r="K261" i="1"/>
  <c r="M261" i="1"/>
  <c r="H261" i="1"/>
  <c r="C262" i="1"/>
  <c r="J261" i="1"/>
  <c r="G261" i="27"/>
  <c r="D261" i="27"/>
  <c r="I261" i="27"/>
  <c r="E261" i="27"/>
  <c r="C262" i="27"/>
  <c r="L261" i="27"/>
  <c r="N261" i="27"/>
  <c r="M261" i="27"/>
  <c r="F261" i="27"/>
  <c r="K261" i="27"/>
  <c r="J261" i="27"/>
  <c r="H261" i="27"/>
  <c r="D261" i="26"/>
  <c r="K261" i="26"/>
  <c r="J261" i="26"/>
  <c r="I261" i="26"/>
  <c r="C262" i="26"/>
  <c r="G261" i="26"/>
  <c r="F261" i="26"/>
  <c r="E261" i="26"/>
  <c r="N261" i="26"/>
  <c r="M261" i="26"/>
  <c r="L261" i="26"/>
  <c r="H261" i="26"/>
  <c r="H260" i="25"/>
  <c r="D260" i="25"/>
  <c r="J260" i="25"/>
  <c r="I260" i="25"/>
  <c r="G260" i="25"/>
  <c r="E260" i="25"/>
  <c r="C261" i="25"/>
  <c r="N260" i="25"/>
  <c r="M260" i="25"/>
  <c r="L260" i="25"/>
  <c r="K260" i="25"/>
  <c r="F260" i="25"/>
  <c r="M257" i="20"/>
  <c r="E257" i="20"/>
  <c r="K257" i="20"/>
  <c r="J257" i="20"/>
  <c r="I257" i="20"/>
  <c r="H257" i="20"/>
  <c r="C258" i="20"/>
  <c r="G257" i="20"/>
  <c r="N257" i="20"/>
  <c r="L257" i="20"/>
  <c r="D257" i="20"/>
  <c r="F257" i="20"/>
  <c r="L258" i="19"/>
  <c r="D258" i="19"/>
  <c r="J258" i="19"/>
  <c r="I258" i="19"/>
  <c r="C259" i="19"/>
  <c r="G258" i="19"/>
  <c r="F258" i="19"/>
  <c r="E258" i="19"/>
  <c r="N258" i="19"/>
  <c r="K258" i="19"/>
  <c r="M258" i="19"/>
  <c r="H258" i="19"/>
  <c r="I257" i="18"/>
  <c r="N257" i="18"/>
  <c r="F257" i="18"/>
  <c r="M257" i="18"/>
  <c r="E257" i="18"/>
  <c r="L257" i="18"/>
  <c r="D257" i="18"/>
  <c r="K257" i="18"/>
  <c r="C258" i="18"/>
  <c r="J257" i="18"/>
  <c r="H257" i="18"/>
  <c r="G257" i="18"/>
  <c r="F262" i="1" l="1"/>
  <c r="E262" i="1"/>
  <c r="D262" i="1"/>
  <c r="C263" i="1"/>
  <c r="J262" i="1"/>
  <c r="I262" i="1"/>
  <c r="G262" i="1"/>
  <c r="M262" i="1"/>
  <c r="H262" i="1"/>
  <c r="N262" i="1"/>
  <c r="K262" i="1"/>
  <c r="L262" i="1"/>
  <c r="K262" i="27"/>
  <c r="H262" i="27"/>
  <c r="C263" i="27"/>
  <c r="L262" i="27"/>
  <c r="N262" i="27"/>
  <c r="I262" i="27"/>
  <c r="G262" i="27"/>
  <c r="F262" i="27"/>
  <c r="E262" i="27"/>
  <c r="J262" i="27"/>
  <c r="D262" i="27"/>
  <c r="M262" i="27"/>
  <c r="H262" i="26"/>
  <c r="E262" i="26"/>
  <c r="F262" i="26"/>
  <c r="D262" i="26"/>
  <c r="G262" i="26"/>
  <c r="C263" i="26"/>
  <c r="N262" i="26"/>
  <c r="M262" i="26"/>
  <c r="L262" i="26"/>
  <c r="I262" i="26"/>
  <c r="K262" i="26"/>
  <c r="J262" i="26"/>
  <c r="L261" i="25"/>
  <c r="I261" i="25"/>
  <c r="C262" i="25"/>
  <c r="N261" i="25"/>
  <c r="J261" i="25"/>
  <c r="H261" i="25"/>
  <c r="G261" i="25"/>
  <c r="F261" i="25"/>
  <c r="E261" i="25"/>
  <c r="D261" i="25"/>
  <c r="M261" i="25"/>
  <c r="K261" i="25"/>
  <c r="I258" i="20"/>
  <c r="C259" i="20"/>
  <c r="G258" i="20"/>
  <c r="N258" i="20"/>
  <c r="F258" i="20"/>
  <c r="M258" i="20"/>
  <c r="E258" i="20"/>
  <c r="L258" i="20"/>
  <c r="D258" i="20"/>
  <c r="K258" i="20"/>
  <c r="J258" i="20"/>
  <c r="H258" i="20"/>
  <c r="H259" i="19"/>
  <c r="N259" i="19"/>
  <c r="F259" i="19"/>
  <c r="M259" i="19"/>
  <c r="E259" i="19"/>
  <c r="K259" i="19"/>
  <c r="J259" i="19"/>
  <c r="I259" i="19"/>
  <c r="G259" i="19"/>
  <c r="D259" i="19"/>
  <c r="C260" i="19"/>
  <c r="L259" i="19"/>
  <c r="M258" i="18"/>
  <c r="E258" i="18"/>
  <c r="L258" i="18"/>
  <c r="K258" i="18"/>
  <c r="J258" i="18"/>
  <c r="I258" i="18"/>
  <c r="H258" i="18"/>
  <c r="C259" i="18"/>
  <c r="G258" i="18"/>
  <c r="N258" i="18"/>
  <c r="F258" i="18"/>
  <c r="D258" i="18"/>
  <c r="E263" i="1" l="1"/>
  <c r="D263" i="1"/>
  <c r="G263" i="1"/>
  <c r="F263" i="1"/>
  <c r="N263" i="1"/>
  <c r="C264" i="1"/>
  <c r="J263" i="1"/>
  <c r="M263" i="1"/>
  <c r="H263" i="1"/>
  <c r="L263" i="1"/>
  <c r="I263" i="1"/>
  <c r="K263" i="1"/>
  <c r="C264" i="27"/>
  <c r="L263" i="27"/>
  <c r="K263" i="27"/>
  <c r="H263" i="27"/>
  <c r="G263" i="27"/>
  <c r="F263" i="27"/>
  <c r="N263" i="27"/>
  <c r="J263" i="27"/>
  <c r="I263" i="27"/>
  <c r="E263" i="27"/>
  <c r="D263" i="27"/>
  <c r="M263" i="27"/>
  <c r="L263" i="26"/>
  <c r="D263" i="26"/>
  <c r="K263" i="26"/>
  <c r="F263" i="26"/>
  <c r="E263" i="26"/>
  <c r="C264" i="26"/>
  <c r="N263" i="26"/>
  <c r="J263" i="26"/>
  <c r="I263" i="26"/>
  <c r="H263" i="26"/>
  <c r="M263" i="26"/>
  <c r="G263" i="26"/>
  <c r="N262" i="25"/>
  <c r="D262" i="25"/>
  <c r="C263" i="25"/>
  <c r="M262" i="25"/>
  <c r="L262" i="25"/>
  <c r="K262" i="25"/>
  <c r="J262" i="25"/>
  <c r="I262" i="25"/>
  <c r="H262" i="25"/>
  <c r="G262" i="25"/>
  <c r="F262" i="25"/>
  <c r="E262" i="25"/>
  <c r="M259" i="20"/>
  <c r="E259" i="20"/>
  <c r="K259" i="20"/>
  <c r="J259" i="20"/>
  <c r="I259" i="20"/>
  <c r="H259" i="20"/>
  <c r="C260" i="20"/>
  <c r="G259" i="20"/>
  <c r="D259" i="20"/>
  <c r="L259" i="20"/>
  <c r="N259" i="20"/>
  <c r="F259" i="20"/>
  <c r="L260" i="19"/>
  <c r="D260" i="19"/>
  <c r="J260" i="19"/>
  <c r="I260" i="19"/>
  <c r="C261" i="19"/>
  <c r="G260" i="19"/>
  <c r="N260" i="19"/>
  <c r="M260" i="19"/>
  <c r="K260" i="19"/>
  <c r="H260" i="19"/>
  <c r="F260" i="19"/>
  <c r="E260" i="19"/>
  <c r="I259" i="18"/>
  <c r="H259" i="18"/>
  <c r="C260" i="18"/>
  <c r="G259" i="18"/>
  <c r="N259" i="18"/>
  <c r="F259" i="18"/>
  <c r="M259" i="18"/>
  <c r="E259" i="18"/>
  <c r="L259" i="18"/>
  <c r="D259" i="18"/>
  <c r="K259" i="18"/>
  <c r="J259" i="18"/>
  <c r="I264" i="1" l="1"/>
  <c r="K264" i="1"/>
  <c r="M264" i="1"/>
  <c r="L264" i="1"/>
  <c r="J264" i="1"/>
  <c r="G264" i="1"/>
  <c r="D264" i="1"/>
  <c r="F264" i="1"/>
  <c r="N264" i="1"/>
  <c r="C265" i="1"/>
  <c r="E264" i="1"/>
  <c r="H264" i="1"/>
  <c r="I264" i="27"/>
  <c r="F264" i="27"/>
  <c r="M264" i="27"/>
  <c r="J264" i="27"/>
  <c r="H264" i="27"/>
  <c r="C265" i="27"/>
  <c r="L264" i="27"/>
  <c r="K264" i="27"/>
  <c r="N264" i="27"/>
  <c r="D264" i="27"/>
  <c r="G264" i="27"/>
  <c r="E264" i="27"/>
  <c r="I264" i="26"/>
  <c r="M264" i="26"/>
  <c r="L264" i="26"/>
  <c r="D264" i="26"/>
  <c r="N264" i="26"/>
  <c r="K264" i="26"/>
  <c r="J264" i="26"/>
  <c r="H264" i="26"/>
  <c r="G264" i="26"/>
  <c r="F264" i="26"/>
  <c r="E264" i="26"/>
  <c r="C265" i="26"/>
  <c r="D263" i="25"/>
  <c r="J263" i="25"/>
  <c r="I263" i="25"/>
  <c r="H263" i="25"/>
  <c r="K263" i="25"/>
  <c r="G263" i="25"/>
  <c r="F263" i="25"/>
  <c r="E263" i="25"/>
  <c r="C264" i="25"/>
  <c r="N263" i="25"/>
  <c r="M263" i="25"/>
  <c r="L263" i="25"/>
  <c r="I260" i="20"/>
  <c r="C261" i="20"/>
  <c r="G260" i="20"/>
  <c r="N260" i="20"/>
  <c r="F260" i="20"/>
  <c r="M260" i="20"/>
  <c r="E260" i="20"/>
  <c r="L260" i="20"/>
  <c r="D260" i="20"/>
  <c r="K260" i="20"/>
  <c r="J260" i="20"/>
  <c r="H260" i="20"/>
  <c r="H261" i="19"/>
  <c r="N261" i="19"/>
  <c r="F261" i="19"/>
  <c r="M261" i="19"/>
  <c r="E261" i="19"/>
  <c r="K261" i="19"/>
  <c r="C262" i="19"/>
  <c r="L261" i="19"/>
  <c r="J261" i="19"/>
  <c r="G261" i="19"/>
  <c r="I261" i="19"/>
  <c r="D261" i="19"/>
  <c r="M260" i="18"/>
  <c r="E260" i="18"/>
  <c r="L260" i="18"/>
  <c r="D260" i="18"/>
  <c r="K260" i="18"/>
  <c r="J260" i="18"/>
  <c r="I260" i="18"/>
  <c r="H260" i="18"/>
  <c r="C261" i="18"/>
  <c r="G260" i="18"/>
  <c r="N260" i="18"/>
  <c r="F260" i="18"/>
  <c r="J265" i="1" l="1"/>
  <c r="D265" i="1"/>
  <c r="N265" i="1"/>
  <c r="I265" i="1"/>
  <c r="G265" i="1"/>
  <c r="E265" i="1"/>
  <c r="C266" i="1"/>
  <c r="K265" i="1"/>
  <c r="F265" i="1"/>
  <c r="L265" i="1"/>
  <c r="M265" i="1"/>
  <c r="H265" i="1"/>
  <c r="G265" i="27"/>
  <c r="D265" i="27"/>
  <c r="C266" i="27"/>
  <c r="L265" i="27"/>
  <c r="I265" i="27"/>
  <c r="E265" i="27"/>
  <c r="M265" i="27"/>
  <c r="K265" i="27"/>
  <c r="F265" i="27"/>
  <c r="N265" i="27"/>
  <c r="J265" i="27"/>
  <c r="H265" i="27"/>
  <c r="D265" i="26"/>
  <c r="N265" i="26"/>
  <c r="F265" i="26"/>
  <c r="M265" i="26"/>
  <c r="L265" i="26"/>
  <c r="K265" i="26"/>
  <c r="C266" i="26"/>
  <c r="J265" i="26"/>
  <c r="G265" i="26"/>
  <c r="E265" i="26"/>
  <c r="I265" i="26"/>
  <c r="H265" i="26"/>
  <c r="H264" i="25"/>
  <c r="G264" i="25"/>
  <c r="C265" i="25"/>
  <c r="N264" i="25"/>
  <c r="M264" i="25"/>
  <c r="L264" i="25"/>
  <c r="K264" i="25"/>
  <c r="J264" i="25"/>
  <c r="I264" i="25"/>
  <c r="F264" i="25"/>
  <c r="E264" i="25"/>
  <c r="D264" i="25"/>
  <c r="M261" i="20"/>
  <c r="E261" i="20"/>
  <c r="K261" i="20"/>
  <c r="J261" i="20"/>
  <c r="I261" i="20"/>
  <c r="H261" i="20"/>
  <c r="C262" i="20"/>
  <c r="G261" i="20"/>
  <c r="L261" i="20"/>
  <c r="F261" i="20"/>
  <c r="D261" i="20"/>
  <c r="N261" i="20"/>
  <c r="L262" i="19"/>
  <c r="D262" i="19"/>
  <c r="J262" i="19"/>
  <c r="I262" i="19"/>
  <c r="C263" i="19"/>
  <c r="G262" i="19"/>
  <c r="F262" i="19"/>
  <c r="E262" i="19"/>
  <c r="N262" i="19"/>
  <c r="K262" i="19"/>
  <c r="M262" i="19"/>
  <c r="H262" i="19"/>
  <c r="I261" i="18"/>
  <c r="H261" i="18"/>
  <c r="C262" i="18"/>
  <c r="G261" i="18"/>
  <c r="N261" i="18"/>
  <c r="F261" i="18"/>
  <c r="M261" i="18"/>
  <c r="E261" i="18"/>
  <c r="L261" i="18"/>
  <c r="D261" i="18"/>
  <c r="K261" i="18"/>
  <c r="J261" i="18"/>
  <c r="I266" i="1" l="1"/>
  <c r="M266" i="1"/>
  <c r="J266" i="1"/>
  <c r="G266" i="1"/>
  <c r="F266" i="1"/>
  <c r="N266" i="1"/>
  <c r="L266" i="1"/>
  <c r="C267" i="1"/>
  <c r="K266" i="1"/>
  <c r="H266" i="1"/>
  <c r="E266" i="1"/>
  <c r="D266" i="1"/>
  <c r="K266" i="27"/>
  <c r="H266" i="27"/>
  <c r="N266" i="27"/>
  <c r="M266" i="27"/>
  <c r="I266" i="27"/>
  <c r="G266" i="27"/>
  <c r="C267" i="27"/>
  <c r="L266" i="27"/>
  <c r="J266" i="27"/>
  <c r="F266" i="27"/>
  <c r="E266" i="27"/>
  <c r="D266" i="27"/>
  <c r="H266" i="26"/>
  <c r="L266" i="26"/>
  <c r="I266" i="26"/>
  <c r="G266" i="26"/>
  <c r="D266" i="26"/>
  <c r="C267" i="26"/>
  <c r="N266" i="26"/>
  <c r="M266" i="26"/>
  <c r="K266" i="26"/>
  <c r="J266" i="26"/>
  <c r="F266" i="26"/>
  <c r="E266" i="26"/>
  <c r="L265" i="25"/>
  <c r="M265" i="25"/>
  <c r="D265" i="25"/>
  <c r="H265" i="25"/>
  <c r="G265" i="25"/>
  <c r="F265" i="25"/>
  <c r="E265" i="25"/>
  <c r="C266" i="25"/>
  <c r="N265" i="25"/>
  <c r="K265" i="25"/>
  <c r="J265" i="25"/>
  <c r="I265" i="25"/>
  <c r="I262" i="20"/>
  <c r="C263" i="20"/>
  <c r="G262" i="20"/>
  <c r="N262" i="20"/>
  <c r="F262" i="20"/>
  <c r="M262" i="20"/>
  <c r="E262" i="20"/>
  <c r="L262" i="20"/>
  <c r="D262" i="20"/>
  <c r="K262" i="20"/>
  <c r="H262" i="20"/>
  <c r="J262" i="20"/>
  <c r="H263" i="19"/>
  <c r="N263" i="19"/>
  <c r="F263" i="19"/>
  <c r="M263" i="19"/>
  <c r="E263" i="19"/>
  <c r="K263" i="19"/>
  <c r="J263" i="19"/>
  <c r="I263" i="19"/>
  <c r="G263" i="19"/>
  <c r="D263" i="19"/>
  <c r="C264" i="19"/>
  <c r="L263" i="19"/>
  <c r="M262" i="18"/>
  <c r="E262" i="18"/>
  <c r="L262" i="18"/>
  <c r="D262" i="18"/>
  <c r="K262" i="18"/>
  <c r="J262" i="18"/>
  <c r="I262" i="18"/>
  <c r="H262" i="18"/>
  <c r="C263" i="18"/>
  <c r="G262" i="18"/>
  <c r="N262" i="18"/>
  <c r="F262" i="18"/>
  <c r="F267" i="1" l="1"/>
  <c r="D267" i="1"/>
  <c r="E267" i="1"/>
  <c r="H267" i="1"/>
  <c r="N267" i="1"/>
  <c r="L267" i="1"/>
  <c r="I267" i="1"/>
  <c r="K267" i="1"/>
  <c r="G267" i="1"/>
  <c r="J267" i="1"/>
  <c r="M267" i="1"/>
  <c r="C268" i="1"/>
  <c r="C268" i="27"/>
  <c r="L267" i="27"/>
  <c r="I267" i="27"/>
  <c r="F267" i="27"/>
  <c r="E267" i="27"/>
  <c r="N267" i="27"/>
  <c r="M267" i="27"/>
  <c r="J267" i="27"/>
  <c r="H267" i="27"/>
  <c r="K267" i="27"/>
  <c r="D267" i="27"/>
  <c r="G267" i="27"/>
  <c r="L267" i="26"/>
  <c r="G267" i="26"/>
  <c r="C268" i="26"/>
  <c r="K267" i="26"/>
  <c r="J267" i="26"/>
  <c r="I267" i="26"/>
  <c r="H267" i="26"/>
  <c r="F267" i="26"/>
  <c r="E267" i="26"/>
  <c r="D267" i="26"/>
  <c r="N267" i="26"/>
  <c r="M267" i="26"/>
  <c r="J266" i="25"/>
  <c r="I266" i="25"/>
  <c r="H266" i="25"/>
  <c r="C267" i="25"/>
  <c r="N266" i="25"/>
  <c r="M266" i="25"/>
  <c r="L266" i="25"/>
  <c r="D266" i="25"/>
  <c r="K266" i="25"/>
  <c r="G266" i="25"/>
  <c r="F266" i="25"/>
  <c r="E266" i="25"/>
  <c r="M263" i="20"/>
  <c r="E263" i="20"/>
  <c r="K263" i="20"/>
  <c r="J263" i="20"/>
  <c r="I263" i="20"/>
  <c r="H263" i="20"/>
  <c r="C264" i="20"/>
  <c r="G263" i="20"/>
  <c r="N263" i="20"/>
  <c r="L263" i="20"/>
  <c r="F263" i="20"/>
  <c r="D263" i="20"/>
  <c r="L264" i="19"/>
  <c r="D264" i="19"/>
  <c r="J264" i="19"/>
  <c r="I264" i="19"/>
  <c r="C265" i="19"/>
  <c r="G264" i="19"/>
  <c r="N264" i="19"/>
  <c r="M264" i="19"/>
  <c r="K264" i="19"/>
  <c r="H264" i="19"/>
  <c r="F264" i="19"/>
  <c r="E264" i="19"/>
  <c r="I263" i="18"/>
  <c r="H263" i="18"/>
  <c r="C264" i="18"/>
  <c r="G263" i="18"/>
  <c r="N263" i="18"/>
  <c r="F263" i="18"/>
  <c r="M263" i="18"/>
  <c r="E263" i="18"/>
  <c r="L263" i="18"/>
  <c r="D263" i="18"/>
  <c r="K263" i="18"/>
  <c r="J263" i="18"/>
  <c r="F268" i="1" l="1"/>
  <c r="D268" i="1"/>
  <c r="C269" i="1"/>
  <c r="E268" i="1"/>
  <c r="G268" i="1"/>
  <c r="L268" i="1"/>
  <c r="K268" i="1"/>
  <c r="H268" i="1"/>
  <c r="M268" i="1"/>
  <c r="J268" i="1"/>
  <c r="N268" i="1"/>
  <c r="I268" i="1"/>
  <c r="M268" i="27"/>
  <c r="J268" i="27"/>
  <c r="N268" i="27"/>
  <c r="K268" i="27"/>
  <c r="C269" i="27"/>
  <c r="H268" i="27"/>
  <c r="G268" i="27"/>
  <c r="E268" i="27"/>
  <c r="D268" i="27"/>
  <c r="F268" i="27"/>
  <c r="L268" i="27"/>
  <c r="I268" i="27"/>
  <c r="L268" i="26"/>
  <c r="F268" i="26"/>
  <c r="D268" i="26"/>
  <c r="H268" i="26"/>
  <c r="G268" i="26"/>
  <c r="E268" i="26"/>
  <c r="C269" i="26"/>
  <c r="N268" i="26"/>
  <c r="M268" i="26"/>
  <c r="I268" i="26"/>
  <c r="K268" i="26"/>
  <c r="J268" i="26"/>
  <c r="D267" i="25"/>
  <c r="F267" i="25"/>
  <c r="C268" i="25"/>
  <c r="N267" i="25"/>
  <c r="G267" i="25"/>
  <c r="E267" i="25"/>
  <c r="M267" i="25"/>
  <c r="L267" i="25"/>
  <c r="K267" i="25"/>
  <c r="J267" i="25"/>
  <c r="I267" i="25"/>
  <c r="H267" i="25"/>
  <c r="I264" i="20"/>
  <c r="C265" i="20"/>
  <c r="G264" i="20"/>
  <c r="N264" i="20"/>
  <c r="F264" i="20"/>
  <c r="M264" i="20"/>
  <c r="E264" i="20"/>
  <c r="L264" i="20"/>
  <c r="D264" i="20"/>
  <c r="K264" i="20"/>
  <c r="H264" i="20"/>
  <c r="J264" i="20"/>
  <c r="H265" i="19"/>
  <c r="N265" i="19"/>
  <c r="F265" i="19"/>
  <c r="M265" i="19"/>
  <c r="E265" i="19"/>
  <c r="K265" i="19"/>
  <c r="C266" i="19"/>
  <c r="L265" i="19"/>
  <c r="J265" i="19"/>
  <c r="G265" i="19"/>
  <c r="I265" i="19"/>
  <c r="D265" i="19"/>
  <c r="M264" i="18"/>
  <c r="E264" i="18"/>
  <c r="L264" i="18"/>
  <c r="D264" i="18"/>
  <c r="K264" i="18"/>
  <c r="J264" i="18"/>
  <c r="I264" i="18"/>
  <c r="H264" i="18"/>
  <c r="C265" i="18"/>
  <c r="G264" i="18"/>
  <c r="F264" i="18"/>
  <c r="N264" i="18"/>
  <c r="L269" i="1" l="1"/>
  <c r="H269" i="1"/>
  <c r="E269" i="1"/>
  <c r="M269" i="1"/>
  <c r="J269" i="1"/>
  <c r="D269" i="1"/>
  <c r="I269" i="1"/>
  <c r="G269" i="1"/>
  <c r="K269" i="1"/>
  <c r="C270" i="1"/>
  <c r="N269" i="1"/>
  <c r="F269" i="1"/>
  <c r="N269" i="27"/>
  <c r="I269" i="27"/>
  <c r="F269" i="27"/>
  <c r="E269" i="27"/>
  <c r="D269" i="27"/>
  <c r="G269" i="27"/>
  <c r="C270" i="27"/>
  <c r="M269" i="27"/>
  <c r="L269" i="27"/>
  <c r="K269" i="27"/>
  <c r="J269" i="27"/>
  <c r="H269" i="27"/>
  <c r="D269" i="26"/>
  <c r="L269" i="26"/>
  <c r="K269" i="26"/>
  <c r="J269" i="26"/>
  <c r="I269" i="26"/>
  <c r="H269" i="26"/>
  <c r="G269" i="26"/>
  <c r="C270" i="26"/>
  <c r="N269" i="26"/>
  <c r="M269" i="26"/>
  <c r="F269" i="26"/>
  <c r="E269" i="26"/>
  <c r="M268" i="25"/>
  <c r="H268" i="25"/>
  <c r="K268" i="25"/>
  <c r="D268" i="25"/>
  <c r="C269" i="25"/>
  <c r="N268" i="25"/>
  <c r="L268" i="25"/>
  <c r="J268" i="25"/>
  <c r="I268" i="25"/>
  <c r="G268" i="25"/>
  <c r="F268" i="25"/>
  <c r="E268" i="25"/>
  <c r="M265" i="20"/>
  <c r="E265" i="20"/>
  <c r="K265" i="20"/>
  <c r="J265" i="20"/>
  <c r="I265" i="20"/>
  <c r="H265" i="20"/>
  <c r="C266" i="20"/>
  <c r="G265" i="20"/>
  <c r="N265" i="20"/>
  <c r="L265" i="20"/>
  <c r="D265" i="20"/>
  <c r="F265" i="20"/>
  <c r="L266" i="19"/>
  <c r="D266" i="19"/>
  <c r="J266" i="19"/>
  <c r="I266" i="19"/>
  <c r="C267" i="19"/>
  <c r="G266" i="19"/>
  <c r="F266" i="19"/>
  <c r="E266" i="19"/>
  <c r="N266" i="19"/>
  <c r="K266" i="19"/>
  <c r="M266" i="19"/>
  <c r="H266" i="19"/>
  <c r="I265" i="18"/>
  <c r="H265" i="18"/>
  <c r="C266" i="18"/>
  <c r="G265" i="18"/>
  <c r="N265" i="18"/>
  <c r="F265" i="18"/>
  <c r="M265" i="18"/>
  <c r="E265" i="18"/>
  <c r="L265" i="18"/>
  <c r="D265" i="18"/>
  <c r="K265" i="18"/>
  <c r="J265" i="18"/>
  <c r="D270" i="1" l="1"/>
  <c r="M270" i="1"/>
  <c r="N270" i="1"/>
  <c r="K270" i="1"/>
  <c r="C271" i="1"/>
  <c r="J270" i="1"/>
  <c r="H270" i="1"/>
  <c r="F270" i="1"/>
  <c r="E270" i="1"/>
  <c r="I270" i="1"/>
  <c r="L270" i="1"/>
  <c r="G270" i="1"/>
  <c r="E270" i="27"/>
  <c r="C271" i="27"/>
  <c r="L270" i="27"/>
  <c r="N270" i="27"/>
  <c r="J270" i="27"/>
  <c r="K270" i="27"/>
  <c r="M270" i="27"/>
  <c r="I270" i="27"/>
  <c r="G270" i="27"/>
  <c r="F270" i="27"/>
  <c r="H270" i="27"/>
  <c r="D270" i="27"/>
  <c r="H270" i="26"/>
  <c r="E270" i="26"/>
  <c r="J270" i="26"/>
  <c r="I270" i="26"/>
  <c r="G270" i="26"/>
  <c r="K270" i="26"/>
  <c r="F270" i="26"/>
  <c r="D270" i="26"/>
  <c r="C271" i="26"/>
  <c r="N270" i="26"/>
  <c r="M270" i="26"/>
  <c r="L270" i="26"/>
  <c r="M269" i="25"/>
  <c r="K269" i="25"/>
  <c r="J269" i="25"/>
  <c r="I269" i="25"/>
  <c r="E269" i="25"/>
  <c r="D269" i="25"/>
  <c r="G269" i="25"/>
  <c r="F269" i="25"/>
  <c r="C270" i="25"/>
  <c r="N269" i="25"/>
  <c r="L269" i="25"/>
  <c r="H269" i="25"/>
  <c r="I266" i="20"/>
  <c r="C267" i="20"/>
  <c r="G266" i="20"/>
  <c r="N266" i="20"/>
  <c r="F266" i="20"/>
  <c r="M266" i="20"/>
  <c r="E266" i="20"/>
  <c r="L266" i="20"/>
  <c r="D266" i="20"/>
  <c r="K266" i="20"/>
  <c r="J266" i="20"/>
  <c r="H266" i="20"/>
  <c r="H267" i="19"/>
  <c r="N267" i="19"/>
  <c r="F267" i="19"/>
  <c r="M267" i="19"/>
  <c r="E267" i="19"/>
  <c r="K267" i="19"/>
  <c r="J267" i="19"/>
  <c r="I267" i="19"/>
  <c r="G267" i="19"/>
  <c r="D267" i="19"/>
  <c r="C268" i="19"/>
  <c r="L267" i="19"/>
  <c r="M266" i="18"/>
  <c r="E266" i="18"/>
  <c r="L266" i="18"/>
  <c r="D266" i="18"/>
  <c r="K266" i="18"/>
  <c r="J266" i="18"/>
  <c r="I266" i="18"/>
  <c r="H266" i="18"/>
  <c r="C267" i="18"/>
  <c r="G266" i="18"/>
  <c r="N266" i="18"/>
  <c r="F266" i="18"/>
  <c r="K271" i="1" l="1"/>
  <c r="AO13" i="1" s="1"/>
  <c r="I80" i="8" s="1"/>
  <c r="N271" i="1"/>
  <c r="AR13" i="1" s="1"/>
  <c r="I83" i="8" s="1"/>
  <c r="J271" i="1"/>
  <c r="AN13" i="1" s="1"/>
  <c r="I79" i="8" s="1"/>
  <c r="H271" i="1"/>
  <c r="AL13" i="1" s="1"/>
  <c r="I77" i="8" s="1"/>
  <c r="I271" i="1"/>
  <c r="AM13" i="1" s="1"/>
  <c r="I78" i="8" s="1"/>
  <c r="F271" i="1"/>
  <c r="AJ13" i="1" s="1"/>
  <c r="I75" i="8" s="1"/>
  <c r="E271" i="1"/>
  <c r="AI13" i="1" s="1"/>
  <c r="I74" i="8" s="1"/>
  <c r="M271" i="1"/>
  <c r="AQ13" i="1" s="1"/>
  <c r="I82" i="8" s="1"/>
  <c r="D271" i="1"/>
  <c r="AH13" i="1" s="1"/>
  <c r="G271" i="1"/>
  <c r="AK13" i="1" s="1"/>
  <c r="I76" i="8" s="1"/>
  <c r="C275" i="1"/>
  <c r="L271" i="1"/>
  <c r="AP13" i="1" s="1"/>
  <c r="I81" i="8" s="1"/>
  <c r="I271" i="27"/>
  <c r="AM13" i="27" s="1"/>
  <c r="I78" i="24" s="1"/>
  <c r="F271" i="27"/>
  <c r="AJ13" i="27" s="1"/>
  <c r="I75" i="24" s="1"/>
  <c r="E271" i="27"/>
  <c r="AI13" i="27" s="1"/>
  <c r="I74" i="24" s="1"/>
  <c r="H271" i="27"/>
  <c r="AL13" i="27" s="1"/>
  <c r="I77" i="24" s="1"/>
  <c r="G271" i="27"/>
  <c r="AK13" i="27" s="1"/>
  <c r="I76" i="24" s="1"/>
  <c r="D271" i="27"/>
  <c r="AH13" i="27" s="1"/>
  <c r="K271" i="27"/>
  <c r="AO13" i="27" s="1"/>
  <c r="I80" i="24" s="1"/>
  <c r="J271" i="27"/>
  <c r="AN13" i="27" s="1"/>
  <c r="I79" i="24" s="1"/>
  <c r="C275" i="27"/>
  <c r="N271" i="27"/>
  <c r="AR13" i="27" s="1"/>
  <c r="I83" i="24" s="1"/>
  <c r="M271" i="27"/>
  <c r="AQ13" i="27" s="1"/>
  <c r="I82" i="24" s="1"/>
  <c r="L271" i="27"/>
  <c r="AP13" i="27" s="1"/>
  <c r="I81" i="24" s="1"/>
  <c r="L271" i="26"/>
  <c r="AP13" i="26" s="1"/>
  <c r="I81" i="23" s="1"/>
  <c r="J271" i="26"/>
  <c r="AN13" i="26" s="1"/>
  <c r="I79" i="23" s="1"/>
  <c r="F271" i="26"/>
  <c r="AJ13" i="26" s="1"/>
  <c r="I75" i="23" s="1"/>
  <c r="G271" i="26"/>
  <c r="AK13" i="26" s="1"/>
  <c r="I76" i="23" s="1"/>
  <c r="E271" i="26"/>
  <c r="AI13" i="26" s="1"/>
  <c r="I74" i="23" s="1"/>
  <c r="I271" i="26"/>
  <c r="AM13" i="26" s="1"/>
  <c r="I78" i="23" s="1"/>
  <c r="H271" i="26"/>
  <c r="AL13" i="26" s="1"/>
  <c r="I77" i="23" s="1"/>
  <c r="D271" i="26"/>
  <c r="AH13" i="26" s="1"/>
  <c r="C275" i="26"/>
  <c r="K271" i="26"/>
  <c r="AO13" i="26" s="1"/>
  <c r="I80" i="23" s="1"/>
  <c r="N271" i="26"/>
  <c r="AR13" i="26" s="1"/>
  <c r="I83" i="23" s="1"/>
  <c r="M271" i="26"/>
  <c r="AQ13" i="26" s="1"/>
  <c r="I82" i="23" s="1"/>
  <c r="E270" i="25"/>
  <c r="F270" i="25"/>
  <c r="C271" i="25"/>
  <c r="N270" i="25"/>
  <c r="M270" i="25"/>
  <c r="L270" i="25"/>
  <c r="K270" i="25"/>
  <c r="J270" i="25"/>
  <c r="I270" i="25"/>
  <c r="H270" i="25"/>
  <c r="G270" i="25"/>
  <c r="D270" i="25"/>
  <c r="M267" i="20"/>
  <c r="E267" i="20"/>
  <c r="K267" i="20"/>
  <c r="J267" i="20"/>
  <c r="I267" i="20"/>
  <c r="H267" i="20"/>
  <c r="C268" i="20"/>
  <c r="G267" i="20"/>
  <c r="D267" i="20"/>
  <c r="L267" i="20"/>
  <c r="N267" i="20"/>
  <c r="F267" i="20"/>
  <c r="L268" i="19"/>
  <c r="D268" i="19"/>
  <c r="J268" i="19"/>
  <c r="I268" i="19"/>
  <c r="C269" i="19"/>
  <c r="G268" i="19"/>
  <c r="N268" i="19"/>
  <c r="M268" i="19"/>
  <c r="K268" i="19"/>
  <c r="H268" i="19"/>
  <c r="F268" i="19"/>
  <c r="E268" i="19"/>
  <c r="I267" i="18"/>
  <c r="H267" i="18"/>
  <c r="C268" i="18"/>
  <c r="G267" i="18"/>
  <c r="N267" i="18"/>
  <c r="F267" i="18"/>
  <c r="M267" i="18"/>
  <c r="E267" i="18"/>
  <c r="L267" i="18"/>
  <c r="D267" i="18"/>
  <c r="K267" i="18"/>
  <c r="J267" i="18"/>
  <c r="I84" i="8" l="1"/>
  <c r="I86" i="8" s="1"/>
  <c r="K275" i="1"/>
  <c r="I275" i="1"/>
  <c r="J275" i="1"/>
  <c r="G275" i="1"/>
  <c r="F275" i="1"/>
  <c r="E275" i="1"/>
  <c r="C276" i="1"/>
  <c r="D275" i="1"/>
  <c r="L275" i="1"/>
  <c r="H275" i="1"/>
  <c r="N275" i="1"/>
  <c r="M275" i="1"/>
  <c r="I84" i="24"/>
  <c r="I86" i="24" s="1"/>
  <c r="I84" i="23"/>
  <c r="I86" i="23" s="1"/>
  <c r="M275" i="27"/>
  <c r="J275" i="27"/>
  <c r="I275" i="27"/>
  <c r="F275" i="27"/>
  <c r="L275" i="27"/>
  <c r="G275" i="27"/>
  <c r="N275" i="27"/>
  <c r="K275" i="27"/>
  <c r="D275" i="27"/>
  <c r="H275" i="27"/>
  <c r="E275" i="27"/>
  <c r="C276" i="27"/>
  <c r="C276" i="26"/>
  <c r="L275" i="26"/>
  <c r="N275" i="26"/>
  <c r="M275" i="26"/>
  <c r="J275" i="26"/>
  <c r="I275" i="26"/>
  <c r="H275" i="26"/>
  <c r="K275" i="26"/>
  <c r="G275" i="26"/>
  <c r="F275" i="26"/>
  <c r="E275" i="26"/>
  <c r="D275" i="26"/>
  <c r="I271" i="25"/>
  <c r="AM13" i="25" s="1"/>
  <c r="I78" i="22" s="1"/>
  <c r="F271" i="25"/>
  <c r="AJ13" i="25" s="1"/>
  <c r="I75" i="22" s="1"/>
  <c r="L271" i="25"/>
  <c r="AP13" i="25" s="1"/>
  <c r="I81" i="22" s="1"/>
  <c r="G271" i="25"/>
  <c r="AK13" i="25" s="1"/>
  <c r="I76" i="22" s="1"/>
  <c r="E271" i="25"/>
  <c r="AI13" i="25" s="1"/>
  <c r="I74" i="22" s="1"/>
  <c r="D271" i="25"/>
  <c r="AH13" i="25" s="1"/>
  <c r="C275" i="25"/>
  <c r="N271" i="25"/>
  <c r="AR13" i="25" s="1"/>
  <c r="I83" i="22" s="1"/>
  <c r="M271" i="25"/>
  <c r="AQ13" i="25" s="1"/>
  <c r="I82" i="22" s="1"/>
  <c r="K271" i="25"/>
  <c r="AO13" i="25" s="1"/>
  <c r="I80" i="22" s="1"/>
  <c r="J271" i="25"/>
  <c r="AN13" i="25" s="1"/>
  <c r="I79" i="22" s="1"/>
  <c r="H271" i="25"/>
  <c r="AL13" i="25" s="1"/>
  <c r="I77" i="22" s="1"/>
  <c r="I268" i="20"/>
  <c r="C269" i="20"/>
  <c r="G268" i="20"/>
  <c r="N268" i="20"/>
  <c r="F268" i="20"/>
  <c r="M268" i="20"/>
  <c r="E268" i="20"/>
  <c r="L268" i="20"/>
  <c r="D268" i="20"/>
  <c r="K268" i="20"/>
  <c r="J268" i="20"/>
  <c r="H268" i="20"/>
  <c r="H269" i="19"/>
  <c r="N269" i="19"/>
  <c r="F269" i="19"/>
  <c r="M269" i="19"/>
  <c r="E269" i="19"/>
  <c r="K269" i="19"/>
  <c r="C270" i="19"/>
  <c r="L269" i="19"/>
  <c r="J269" i="19"/>
  <c r="G269" i="19"/>
  <c r="I269" i="19"/>
  <c r="D269" i="19"/>
  <c r="M268" i="18"/>
  <c r="E268" i="18"/>
  <c r="L268" i="18"/>
  <c r="D268" i="18"/>
  <c r="K268" i="18"/>
  <c r="J268" i="18"/>
  <c r="I268" i="18"/>
  <c r="H268" i="18"/>
  <c r="C269" i="18"/>
  <c r="G268" i="18"/>
  <c r="N268" i="18"/>
  <c r="F268" i="18"/>
  <c r="J276" i="1" l="1"/>
  <c r="K276" i="1"/>
  <c r="M276" i="1"/>
  <c r="F276" i="1"/>
  <c r="I276" i="1"/>
  <c r="D276" i="1"/>
  <c r="H276" i="1"/>
  <c r="G276" i="1"/>
  <c r="N276" i="1"/>
  <c r="E276" i="1"/>
  <c r="C277" i="1"/>
  <c r="L276" i="1"/>
  <c r="I84" i="22"/>
  <c r="I86" i="22" s="1"/>
  <c r="N276" i="27"/>
  <c r="L276" i="27"/>
  <c r="E276" i="27"/>
  <c r="I276" i="27"/>
  <c r="F276" i="27"/>
  <c r="D276" i="27"/>
  <c r="M276" i="27"/>
  <c r="K276" i="27"/>
  <c r="C277" i="27"/>
  <c r="J276" i="27"/>
  <c r="H276" i="27"/>
  <c r="G276" i="27"/>
  <c r="D276" i="26"/>
  <c r="H276" i="26"/>
  <c r="G276" i="26"/>
  <c r="F276" i="26"/>
  <c r="J276" i="26"/>
  <c r="I276" i="26"/>
  <c r="E276" i="26"/>
  <c r="C277" i="26"/>
  <c r="N276" i="26"/>
  <c r="M276" i="26"/>
  <c r="L276" i="26"/>
  <c r="K276" i="26"/>
  <c r="M275" i="25"/>
  <c r="K275" i="25"/>
  <c r="C276" i="25"/>
  <c r="N275" i="25"/>
  <c r="L275" i="25"/>
  <c r="J275" i="25"/>
  <c r="I275" i="25"/>
  <c r="H275" i="25"/>
  <c r="E275" i="25"/>
  <c r="D275" i="25"/>
  <c r="G275" i="25"/>
  <c r="F275" i="25"/>
  <c r="M269" i="20"/>
  <c r="E269" i="20"/>
  <c r="K269" i="20"/>
  <c r="J269" i="20"/>
  <c r="I269" i="20"/>
  <c r="H269" i="20"/>
  <c r="C270" i="20"/>
  <c r="G269" i="20"/>
  <c r="L269" i="20"/>
  <c r="F269" i="20"/>
  <c r="D269" i="20"/>
  <c r="N269" i="20"/>
  <c r="L270" i="19"/>
  <c r="D270" i="19"/>
  <c r="J270" i="19"/>
  <c r="I270" i="19"/>
  <c r="C271" i="19"/>
  <c r="G270" i="19"/>
  <c r="F270" i="19"/>
  <c r="E270" i="19"/>
  <c r="N270" i="19"/>
  <c r="K270" i="19"/>
  <c r="M270" i="19"/>
  <c r="H270" i="19"/>
  <c r="I269" i="18"/>
  <c r="H269" i="18"/>
  <c r="C270" i="18"/>
  <c r="G269" i="18"/>
  <c r="N269" i="18"/>
  <c r="F269" i="18"/>
  <c r="M269" i="18"/>
  <c r="E269" i="18"/>
  <c r="L269" i="18"/>
  <c r="D269" i="18"/>
  <c r="K269" i="18"/>
  <c r="J269" i="18"/>
  <c r="H277" i="1" l="1"/>
  <c r="F277" i="1"/>
  <c r="M277" i="1"/>
  <c r="L277" i="1"/>
  <c r="K277" i="1"/>
  <c r="E277" i="1"/>
  <c r="G277" i="1"/>
  <c r="N277" i="1"/>
  <c r="D277" i="1"/>
  <c r="C278" i="1"/>
  <c r="J277" i="1"/>
  <c r="I277" i="1"/>
  <c r="E277" i="27"/>
  <c r="D277" i="27"/>
  <c r="I277" i="27"/>
  <c r="F277" i="27"/>
  <c r="C278" i="27"/>
  <c r="L277" i="27"/>
  <c r="J277" i="27"/>
  <c r="H277" i="27"/>
  <c r="G277" i="27"/>
  <c r="K277" i="27"/>
  <c r="N277" i="27"/>
  <c r="M277" i="27"/>
  <c r="M277" i="26"/>
  <c r="H277" i="26"/>
  <c r="I277" i="26"/>
  <c r="F277" i="26"/>
  <c r="K277" i="26"/>
  <c r="J277" i="26"/>
  <c r="C278" i="26"/>
  <c r="N277" i="26"/>
  <c r="L277" i="26"/>
  <c r="G277" i="26"/>
  <c r="E277" i="26"/>
  <c r="D277" i="26"/>
  <c r="F276" i="25"/>
  <c r="G276" i="25"/>
  <c r="E276" i="25"/>
  <c r="D276" i="25"/>
  <c r="C277" i="25"/>
  <c r="N276" i="25"/>
  <c r="M276" i="25"/>
  <c r="L276" i="25"/>
  <c r="K276" i="25"/>
  <c r="J276" i="25"/>
  <c r="I276" i="25"/>
  <c r="H276" i="25"/>
  <c r="I270" i="20"/>
  <c r="C271" i="20"/>
  <c r="G270" i="20"/>
  <c r="N270" i="20"/>
  <c r="F270" i="20"/>
  <c r="M270" i="20"/>
  <c r="E270" i="20"/>
  <c r="L270" i="20"/>
  <c r="D270" i="20"/>
  <c r="K270" i="20"/>
  <c r="H270" i="20"/>
  <c r="J270" i="20"/>
  <c r="H271" i="19"/>
  <c r="AL13" i="19" s="1"/>
  <c r="I77" i="12" s="1"/>
  <c r="N271" i="19"/>
  <c r="AR13" i="19" s="1"/>
  <c r="I83" i="12" s="1"/>
  <c r="F271" i="19"/>
  <c r="AJ13" i="19" s="1"/>
  <c r="I75" i="12" s="1"/>
  <c r="M271" i="19"/>
  <c r="AQ13" i="19" s="1"/>
  <c r="I82" i="12" s="1"/>
  <c r="E271" i="19"/>
  <c r="AI13" i="19" s="1"/>
  <c r="K271" i="19"/>
  <c r="AO13" i="19" s="1"/>
  <c r="I80" i="12" s="1"/>
  <c r="J271" i="19"/>
  <c r="AN13" i="19" s="1"/>
  <c r="I79" i="12" s="1"/>
  <c r="I271" i="19"/>
  <c r="AM13" i="19" s="1"/>
  <c r="I78" i="12" s="1"/>
  <c r="G271" i="19"/>
  <c r="AK13" i="19" s="1"/>
  <c r="I76" i="12" s="1"/>
  <c r="D271" i="19"/>
  <c r="AH13" i="19" s="1"/>
  <c r="C275" i="19"/>
  <c r="L271" i="19"/>
  <c r="AP13" i="19" s="1"/>
  <c r="I81" i="12" s="1"/>
  <c r="M270" i="18"/>
  <c r="E270" i="18"/>
  <c r="L270" i="18"/>
  <c r="D270" i="18"/>
  <c r="K270" i="18"/>
  <c r="J270" i="18"/>
  <c r="I270" i="18"/>
  <c r="H270" i="18"/>
  <c r="C271" i="18"/>
  <c r="G270" i="18"/>
  <c r="N270" i="18"/>
  <c r="F270" i="18"/>
  <c r="J278" i="1" l="1"/>
  <c r="L278" i="1"/>
  <c r="I278" i="1"/>
  <c r="E278" i="1"/>
  <c r="D278" i="1"/>
  <c r="K278" i="1"/>
  <c r="G278" i="1"/>
  <c r="F278" i="1"/>
  <c r="C279" i="1"/>
  <c r="M278" i="1"/>
  <c r="H278" i="1"/>
  <c r="N278" i="1"/>
  <c r="I74" i="12"/>
  <c r="I84" i="12" s="1"/>
  <c r="I86" i="12" s="1"/>
  <c r="I278" i="27"/>
  <c r="F278" i="27"/>
  <c r="K278" i="27"/>
  <c r="G278" i="27"/>
  <c r="N278" i="27"/>
  <c r="M278" i="27"/>
  <c r="H278" i="27"/>
  <c r="E278" i="27"/>
  <c r="C279" i="27"/>
  <c r="L278" i="27"/>
  <c r="J278" i="27"/>
  <c r="D278" i="27"/>
  <c r="M278" i="26"/>
  <c r="C279" i="26"/>
  <c r="N278" i="26"/>
  <c r="F278" i="26"/>
  <c r="E278" i="26"/>
  <c r="D278" i="26"/>
  <c r="G278" i="26"/>
  <c r="L278" i="26"/>
  <c r="K278" i="26"/>
  <c r="J278" i="26"/>
  <c r="I278" i="26"/>
  <c r="H278" i="26"/>
  <c r="E277" i="25"/>
  <c r="D277" i="25"/>
  <c r="L277" i="25"/>
  <c r="J277" i="25"/>
  <c r="I277" i="25"/>
  <c r="H277" i="25"/>
  <c r="C278" i="25"/>
  <c r="N277" i="25"/>
  <c r="M277" i="25"/>
  <c r="K277" i="25"/>
  <c r="G277" i="25"/>
  <c r="F277" i="25"/>
  <c r="M271" i="20"/>
  <c r="AQ13" i="20" s="1"/>
  <c r="E271" i="20"/>
  <c r="AI13" i="20" s="1"/>
  <c r="K271" i="20"/>
  <c r="AO13" i="20" s="1"/>
  <c r="J271" i="20"/>
  <c r="AN13" i="20" s="1"/>
  <c r="I271" i="20"/>
  <c r="AM13" i="20" s="1"/>
  <c r="H271" i="20"/>
  <c r="AL13" i="20" s="1"/>
  <c r="C275" i="20"/>
  <c r="G271" i="20"/>
  <c r="AK13" i="20" s="1"/>
  <c r="N271" i="20"/>
  <c r="AR13" i="20" s="1"/>
  <c r="L271" i="20"/>
  <c r="AP13" i="20" s="1"/>
  <c r="F271" i="20"/>
  <c r="AJ13" i="20" s="1"/>
  <c r="D271" i="20"/>
  <c r="AH13" i="20" s="1"/>
  <c r="L275" i="19"/>
  <c r="D275" i="19"/>
  <c r="K275" i="19"/>
  <c r="J275" i="19"/>
  <c r="I275" i="19"/>
  <c r="C276" i="19"/>
  <c r="G275" i="19"/>
  <c r="N275" i="19"/>
  <c r="M275" i="19"/>
  <c r="H275" i="19"/>
  <c r="F275" i="19"/>
  <c r="E275" i="19"/>
  <c r="I271" i="18"/>
  <c r="AM13" i="18" s="1"/>
  <c r="H271" i="18"/>
  <c r="AL13" i="18" s="1"/>
  <c r="C275" i="18"/>
  <c r="G271" i="18"/>
  <c r="AK13" i="18" s="1"/>
  <c r="N271" i="18"/>
  <c r="AR13" i="18" s="1"/>
  <c r="F271" i="18"/>
  <c r="AJ13" i="18" s="1"/>
  <c r="M271" i="18"/>
  <c r="AQ13" i="18" s="1"/>
  <c r="E271" i="18"/>
  <c r="AI13" i="18" s="1"/>
  <c r="L271" i="18"/>
  <c r="AP13" i="18" s="1"/>
  <c r="D271" i="18"/>
  <c r="AH13" i="18" s="1"/>
  <c r="K271" i="18"/>
  <c r="AO13" i="18" s="1"/>
  <c r="J271" i="18"/>
  <c r="AN13" i="18" s="1"/>
  <c r="F279" i="1" l="1"/>
  <c r="N279" i="1"/>
  <c r="M279" i="1"/>
  <c r="D279" i="1"/>
  <c r="J279" i="1"/>
  <c r="L279" i="1"/>
  <c r="K279" i="1"/>
  <c r="C280" i="1"/>
  <c r="H279" i="1"/>
  <c r="G279" i="1"/>
  <c r="I279" i="1"/>
  <c r="E279" i="1"/>
  <c r="M279" i="27"/>
  <c r="J279" i="27"/>
  <c r="N279" i="27"/>
  <c r="E279" i="27"/>
  <c r="K279" i="27"/>
  <c r="I279" i="27"/>
  <c r="H279" i="27"/>
  <c r="C280" i="27"/>
  <c r="F279" i="27"/>
  <c r="L279" i="27"/>
  <c r="G279" i="27"/>
  <c r="D279" i="27"/>
  <c r="E279" i="26"/>
  <c r="H279" i="26"/>
  <c r="G279" i="26"/>
  <c r="C280" i="26"/>
  <c r="N279" i="26"/>
  <c r="F279" i="26"/>
  <c r="D279" i="26"/>
  <c r="M279" i="26"/>
  <c r="L279" i="26"/>
  <c r="K279" i="26"/>
  <c r="J279" i="26"/>
  <c r="I279" i="26"/>
  <c r="I278" i="25"/>
  <c r="J278" i="25"/>
  <c r="C279" i="25"/>
  <c r="E278" i="25"/>
  <c r="D278" i="25"/>
  <c r="K278" i="25"/>
  <c r="H278" i="25"/>
  <c r="G278" i="25"/>
  <c r="F278" i="25"/>
  <c r="N278" i="25"/>
  <c r="M278" i="25"/>
  <c r="L278" i="25"/>
  <c r="I275" i="20"/>
  <c r="C276" i="20"/>
  <c r="G275" i="20"/>
  <c r="N275" i="20"/>
  <c r="F275" i="20"/>
  <c r="M275" i="20"/>
  <c r="E275" i="20"/>
  <c r="L275" i="20"/>
  <c r="D275" i="20"/>
  <c r="K275" i="20"/>
  <c r="H275" i="20"/>
  <c r="J275" i="20"/>
  <c r="I276" i="19"/>
  <c r="H276" i="19"/>
  <c r="C277" i="19"/>
  <c r="G276" i="19"/>
  <c r="N276" i="19"/>
  <c r="F276" i="19"/>
  <c r="M276" i="19"/>
  <c r="E276" i="19"/>
  <c r="K276" i="19"/>
  <c r="D276" i="19"/>
  <c r="L276" i="19"/>
  <c r="J276" i="19"/>
  <c r="M275" i="18"/>
  <c r="E275" i="18"/>
  <c r="L275" i="18"/>
  <c r="D275" i="18"/>
  <c r="K275" i="18"/>
  <c r="J275" i="18"/>
  <c r="I275" i="18"/>
  <c r="H275" i="18"/>
  <c r="C276" i="18"/>
  <c r="G275" i="18"/>
  <c r="N275" i="18"/>
  <c r="F275" i="18"/>
  <c r="N280" i="1" l="1"/>
  <c r="F280" i="1"/>
  <c r="J280" i="1"/>
  <c r="M280" i="1"/>
  <c r="L280" i="1"/>
  <c r="E280" i="1"/>
  <c r="C281" i="1"/>
  <c r="D280" i="1"/>
  <c r="H280" i="1"/>
  <c r="G280" i="1"/>
  <c r="K280" i="1"/>
  <c r="I280" i="1"/>
  <c r="N280" i="27"/>
  <c r="E280" i="27"/>
  <c r="M280" i="27"/>
  <c r="J280" i="27"/>
  <c r="D280" i="27"/>
  <c r="K280" i="27"/>
  <c r="I280" i="27"/>
  <c r="L280" i="27"/>
  <c r="H280" i="27"/>
  <c r="F280" i="27"/>
  <c r="G280" i="27"/>
  <c r="C281" i="27"/>
  <c r="I280" i="26"/>
  <c r="F280" i="26"/>
  <c r="J280" i="26"/>
  <c r="K280" i="26"/>
  <c r="C281" i="26"/>
  <c r="D280" i="26"/>
  <c r="L280" i="26"/>
  <c r="H280" i="26"/>
  <c r="G280" i="26"/>
  <c r="N280" i="26"/>
  <c r="M280" i="26"/>
  <c r="E280" i="26"/>
  <c r="M279" i="25"/>
  <c r="C280" i="25"/>
  <c r="F279" i="25"/>
  <c r="E279" i="25"/>
  <c r="D279" i="25"/>
  <c r="N279" i="25"/>
  <c r="L279" i="25"/>
  <c r="K279" i="25"/>
  <c r="J279" i="25"/>
  <c r="I279" i="25"/>
  <c r="H279" i="25"/>
  <c r="G279" i="25"/>
  <c r="M276" i="20"/>
  <c r="E276" i="20"/>
  <c r="K276" i="20"/>
  <c r="J276" i="20"/>
  <c r="I276" i="20"/>
  <c r="H276" i="20"/>
  <c r="C277" i="20"/>
  <c r="G276" i="20"/>
  <c r="N276" i="20"/>
  <c r="L276" i="20"/>
  <c r="D276" i="20"/>
  <c r="F276" i="20"/>
  <c r="M277" i="19"/>
  <c r="E277" i="19"/>
  <c r="L277" i="19"/>
  <c r="D277" i="19"/>
  <c r="K277" i="19"/>
  <c r="J277" i="19"/>
  <c r="I277" i="19"/>
  <c r="C278" i="19"/>
  <c r="G277" i="19"/>
  <c r="N277" i="19"/>
  <c r="H277" i="19"/>
  <c r="F277" i="19"/>
  <c r="I276" i="18"/>
  <c r="H276" i="18"/>
  <c r="C277" i="18"/>
  <c r="G276" i="18"/>
  <c r="N276" i="18"/>
  <c r="F276" i="18"/>
  <c r="M276" i="18"/>
  <c r="E276" i="18"/>
  <c r="L276" i="18"/>
  <c r="D276" i="18"/>
  <c r="K276" i="18"/>
  <c r="J276" i="18"/>
  <c r="E281" i="1" l="1"/>
  <c r="K281" i="1"/>
  <c r="N281" i="1"/>
  <c r="J281" i="1"/>
  <c r="M281" i="1"/>
  <c r="D281" i="1"/>
  <c r="L281" i="1"/>
  <c r="I281" i="1"/>
  <c r="H281" i="1"/>
  <c r="C282" i="1"/>
  <c r="F281" i="1"/>
  <c r="G281" i="1"/>
  <c r="E281" i="27"/>
  <c r="K281" i="27"/>
  <c r="H281" i="27"/>
  <c r="C282" i="27"/>
  <c r="L281" i="27"/>
  <c r="D281" i="27"/>
  <c r="N281" i="27"/>
  <c r="M281" i="27"/>
  <c r="J281" i="27"/>
  <c r="I281" i="27"/>
  <c r="G281" i="27"/>
  <c r="F281" i="27"/>
  <c r="M281" i="26"/>
  <c r="K281" i="26"/>
  <c r="D281" i="26"/>
  <c r="C282" i="26"/>
  <c r="N281" i="26"/>
  <c r="L281" i="26"/>
  <c r="J281" i="26"/>
  <c r="I281" i="26"/>
  <c r="H281" i="26"/>
  <c r="G281" i="26"/>
  <c r="F281" i="26"/>
  <c r="E281" i="26"/>
  <c r="L280" i="25"/>
  <c r="M280" i="25"/>
  <c r="K280" i="25"/>
  <c r="J280" i="25"/>
  <c r="E280" i="25"/>
  <c r="D280" i="25"/>
  <c r="C281" i="25"/>
  <c r="N280" i="25"/>
  <c r="I280" i="25"/>
  <c r="H280" i="25"/>
  <c r="G280" i="25"/>
  <c r="F280" i="25"/>
  <c r="I277" i="20"/>
  <c r="C278" i="20"/>
  <c r="G277" i="20"/>
  <c r="N277" i="20"/>
  <c r="F277" i="20"/>
  <c r="M277" i="20"/>
  <c r="E277" i="20"/>
  <c r="L277" i="20"/>
  <c r="D277" i="20"/>
  <c r="K277" i="20"/>
  <c r="J277" i="20"/>
  <c r="H277" i="20"/>
  <c r="I278" i="19"/>
  <c r="H278" i="19"/>
  <c r="C279" i="19"/>
  <c r="G278" i="19"/>
  <c r="N278" i="19"/>
  <c r="F278" i="19"/>
  <c r="M278" i="19"/>
  <c r="E278" i="19"/>
  <c r="K278" i="19"/>
  <c r="L278" i="19"/>
  <c r="J278" i="19"/>
  <c r="D278" i="19"/>
  <c r="M277" i="18"/>
  <c r="E277" i="18"/>
  <c r="L277" i="18"/>
  <c r="D277" i="18"/>
  <c r="K277" i="18"/>
  <c r="J277" i="18"/>
  <c r="I277" i="18"/>
  <c r="H277" i="18"/>
  <c r="C278" i="18"/>
  <c r="G277" i="18"/>
  <c r="N277" i="18"/>
  <c r="F277" i="18"/>
  <c r="K282" i="1" l="1"/>
  <c r="J282" i="1"/>
  <c r="N282" i="1"/>
  <c r="F282" i="1"/>
  <c r="M282" i="1"/>
  <c r="L282" i="1"/>
  <c r="I282" i="1"/>
  <c r="E282" i="1"/>
  <c r="H282" i="1"/>
  <c r="C283" i="1"/>
  <c r="G282" i="1"/>
  <c r="D282" i="1"/>
  <c r="I282" i="27"/>
  <c r="F282" i="27"/>
  <c r="N282" i="27"/>
  <c r="K282" i="27"/>
  <c r="G282" i="27"/>
  <c r="C283" i="27"/>
  <c r="M282" i="27"/>
  <c r="H282" i="27"/>
  <c r="E282" i="27"/>
  <c r="J282" i="27"/>
  <c r="D282" i="27"/>
  <c r="L282" i="27"/>
  <c r="D282" i="26"/>
  <c r="F282" i="26"/>
  <c r="L282" i="26"/>
  <c r="K282" i="26"/>
  <c r="E282" i="26"/>
  <c r="C283" i="26"/>
  <c r="N282" i="26"/>
  <c r="M282" i="26"/>
  <c r="G282" i="26"/>
  <c r="J282" i="26"/>
  <c r="I282" i="26"/>
  <c r="H282" i="26"/>
  <c r="E281" i="25"/>
  <c r="H281" i="25"/>
  <c r="C282" i="25"/>
  <c r="N281" i="25"/>
  <c r="M281" i="25"/>
  <c r="L281" i="25"/>
  <c r="K281" i="25"/>
  <c r="J281" i="25"/>
  <c r="I281" i="25"/>
  <c r="G281" i="25"/>
  <c r="F281" i="25"/>
  <c r="D281" i="25"/>
  <c r="M278" i="20"/>
  <c r="E278" i="20"/>
  <c r="K278" i="20"/>
  <c r="J278" i="20"/>
  <c r="I278" i="20"/>
  <c r="H278" i="20"/>
  <c r="C279" i="20"/>
  <c r="G278" i="20"/>
  <c r="D278" i="20"/>
  <c r="L278" i="20"/>
  <c r="N278" i="20"/>
  <c r="F278" i="20"/>
  <c r="M279" i="19"/>
  <c r="E279" i="19"/>
  <c r="L279" i="19"/>
  <c r="D279" i="19"/>
  <c r="K279" i="19"/>
  <c r="J279" i="19"/>
  <c r="I279" i="19"/>
  <c r="C280" i="19"/>
  <c r="G279" i="19"/>
  <c r="H279" i="19"/>
  <c r="N279" i="19"/>
  <c r="F279" i="19"/>
  <c r="I278" i="18"/>
  <c r="H278" i="18"/>
  <c r="C279" i="18"/>
  <c r="G278" i="18"/>
  <c r="N278" i="18"/>
  <c r="F278" i="18"/>
  <c r="M278" i="18"/>
  <c r="E278" i="18"/>
  <c r="L278" i="18"/>
  <c r="D278" i="18"/>
  <c r="K278" i="18"/>
  <c r="J278" i="18"/>
  <c r="G283" i="1" l="1"/>
  <c r="F283" i="1"/>
  <c r="D283" i="1"/>
  <c r="I283" i="1"/>
  <c r="N283" i="1"/>
  <c r="L283" i="1"/>
  <c r="M283" i="1"/>
  <c r="K283" i="1"/>
  <c r="J283" i="1"/>
  <c r="E283" i="1"/>
  <c r="H283" i="1"/>
  <c r="C284" i="1"/>
  <c r="M283" i="27"/>
  <c r="J283" i="27"/>
  <c r="E283" i="27"/>
  <c r="C284" i="27"/>
  <c r="K283" i="27"/>
  <c r="G283" i="27"/>
  <c r="N283" i="27"/>
  <c r="L283" i="27"/>
  <c r="H283" i="27"/>
  <c r="F283" i="27"/>
  <c r="I283" i="27"/>
  <c r="D283" i="27"/>
  <c r="E283" i="26"/>
  <c r="D283" i="26"/>
  <c r="J283" i="26"/>
  <c r="M283" i="26"/>
  <c r="C284" i="26"/>
  <c r="N283" i="26"/>
  <c r="L283" i="26"/>
  <c r="K283" i="26"/>
  <c r="I283" i="26"/>
  <c r="H283" i="26"/>
  <c r="G283" i="26"/>
  <c r="F283" i="26"/>
  <c r="I282" i="25"/>
  <c r="M282" i="25"/>
  <c r="F282" i="25"/>
  <c r="H282" i="25"/>
  <c r="G282" i="25"/>
  <c r="E282" i="25"/>
  <c r="C283" i="25"/>
  <c r="N282" i="25"/>
  <c r="L282" i="25"/>
  <c r="K282" i="25"/>
  <c r="J282" i="25"/>
  <c r="D282" i="25"/>
  <c r="I279" i="20"/>
  <c r="C280" i="20"/>
  <c r="G279" i="20"/>
  <c r="N279" i="20"/>
  <c r="F279" i="20"/>
  <c r="M279" i="20"/>
  <c r="E279" i="20"/>
  <c r="L279" i="20"/>
  <c r="D279" i="20"/>
  <c r="K279" i="20"/>
  <c r="J279" i="20"/>
  <c r="H279" i="20"/>
  <c r="I280" i="19"/>
  <c r="H280" i="19"/>
  <c r="C281" i="19"/>
  <c r="G280" i="19"/>
  <c r="N280" i="19"/>
  <c r="F280" i="19"/>
  <c r="M280" i="19"/>
  <c r="E280" i="19"/>
  <c r="K280" i="19"/>
  <c r="L280" i="19"/>
  <c r="J280" i="19"/>
  <c r="D280" i="19"/>
  <c r="M279" i="18"/>
  <c r="E279" i="18"/>
  <c r="L279" i="18"/>
  <c r="D279" i="18"/>
  <c r="K279" i="18"/>
  <c r="J279" i="18"/>
  <c r="I279" i="18"/>
  <c r="H279" i="18"/>
  <c r="C280" i="18"/>
  <c r="G279" i="18"/>
  <c r="N279" i="18"/>
  <c r="F279" i="18"/>
  <c r="G284" i="1" l="1"/>
  <c r="H284" i="1"/>
  <c r="D284" i="1"/>
  <c r="I284" i="1"/>
  <c r="E284" i="1"/>
  <c r="J284" i="1"/>
  <c r="K284" i="1"/>
  <c r="N284" i="1"/>
  <c r="C285" i="1"/>
  <c r="L284" i="1"/>
  <c r="M284" i="1"/>
  <c r="F284" i="1"/>
  <c r="M284" i="27"/>
  <c r="C285" i="27"/>
  <c r="K284" i="27"/>
  <c r="H284" i="27"/>
  <c r="G284" i="27"/>
  <c r="D284" i="27"/>
  <c r="J284" i="27"/>
  <c r="E284" i="27"/>
  <c r="I284" i="27"/>
  <c r="F284" i="27"/>
  <c r="N284" i="27"/>
  <c r="L284" i="27"/>
  <c r="M284" i="26"/>
  <c r="I284" i="26"/>
  <c r="J284" i="26"/>
  <c r="H284" i="26"/>
  <c r="G284" i="26"/>
  <c r="D284" i="26"/>
  <c r="C285" i="26"/>
  <c r="N284" i="26"/>
  <c r="L284" i="26"/>
  <c r="K284" i="26"/>
  <c r="F284" i="26"/>
  <c r="E284" i="26"/>
  <c r="M283" i="25"/>
  <c r="L283" i="25"/>
  <c r="C284" i="25"/>
  <c r="N283" i="25"/>
  <c r="K283" i="25"/>
  <c r="J283" i="25"/>
  <c r="I283" i="25"/>
  <c r="H283" i="25"/>
  <c r="G283" i="25"/>
  <c r="F283" i="25"/>
  <c r="E283" i="25"/>
  <c r="D283" i="25"/>
  <c r="M280" i="20"/>
  <c r="E280" i="20"/>
  <c r="K280" i="20"/>
  <c r="J280" i="20"/>
  <c r="I280" i="20"/>
  <c r="H280" i="20"/>
  <c r="C281" i="20"/>
  <c r="G280" i="20"/>
  <c r="L280" i="20"/>
  <c r="F280" i="20"/>
  <c r="D280" i="20"/>
  <c r="N280" i="20"/>
  <c r="M281" i="19"/>
  <c r="E281" i="19"/>
  <c r="L281" i="19"/>
  <c r="D281" i="19"/>
  <c r="K281" i="19"/>
  <c r="J281" i="19"/>
  <c r="I281" i="19"/>
  <c r="C282" i="19"/>
  <c r="G281" i="19"/>
  <c r="H281" i="19"/>
  <c r="F281" i="19"/>
  <c r="N281" i="19"/>
  <c r="I280" i="18"/>
  <c r="H280" i="18"/>
  <c r="C281" i="18"/>
  <c r="G280" i="18"/>
  <c r="N280" i="18"/>
  <c r="F280" i="18"/>
  <c r="M280" i="18"/>
  <c r="E280" i="18"/>
  <c r="L280" i="18"/>
  <c r="D280" i="18"/>
  <c r="K280" i="18"/>
  <c r="J280" i="18"/>
  <c r="H285" i="1" l="1"/>
  <c r="E285" i="1"/>
  <c r="L285" i="1"/>
  <c r="K285" i="1"/>
  <c r="G285" i="1"/>
  <c r="J285" i="1"/>
  <c r="C286" i="1"/>
  <c r="I285" i="1"/>
  <c r="D285" i="1"/>
  <c r="M285" i="1"/>
  <c r="N285" i="1"/>
  <c r="F285" i="1"/>
  <c r="F285" i="27"/>
  <c r="C286" i="27"/>
  <c r="M285" i="27"/>
  <c r="K285" i="27"/>
  <c r="J285" i="27"/>
  <c r="G285" i="27"/>
  <c r="E285" i="27"/>
  <c r="H285" i="27"/>
  <c r="D285" i="27"/>
  <c r="N285" i="27"/>
  <c r="L285" i="27"/>
  <c r="I285" i="27"/>
  <c r="N285" i="26"/>
  <c r="E285" i="26"/>
  <c r="I285" i="26"/>
  <c r="C286" i="26"/>
  <c r="M285" i="26"/>
  <c r="H285" i="26"/>
  <c r="G285" i="26"/>
  <c r="F285" i="26"/>
  <c r="D285" i="26"/>
  <c r="L285" i="26"/>
  <c r="K285" i="26"/>
  <c r="J285" i="26"/>
  <c r="M284" i="25"/>
  <c r="F284" i="25"/>
  <c r="D284" i="25"/>
  <c r="G284" i="25"/>
  <c r="E284" i="25"/>
  <c r="N284" i="25"/>
  <c r="L284" i="25"/>
  <c r="K284" i="25"/>
  <c r="J284" i="25"/>
  <c r="I284" i="25"/>
  <c r="H284" i="25"/>
  <c r="C285" i="25"/>
  <c r="I281" i="20"/>
  <c r="C282" i="20"/>
  <c r="G281" i="20"/>
  <c r="N281" i="20"/>
  <c r="F281" i="20"/>
  <c r="M281" i="20"/>
  <c r="E281" i="20"/>
  <c r="L281" i="20"/>
  <c r="D281" i="20"/>
  <c r="K281" i="20"/>
  <c r="H281" i="20"/>
  <c r="J281" i="20"/>
  <c r="I282" i="19"/>
  <c r="H282" i="19"/>
  <c r="C283" i="19"/>
  <c r="G282" i="19"/>
  <c r="N282" i="19"/>
  <c r="F282" i="19"/>
  <c r="M282" i="19"/>
  <c r="E282" i="19"/>
  <c r="K282" i="19"/>
  <c r="L282" i="19"/>
  <c r="D282" i="19"/>
  <c r="J282" i="19"/>
  <c r="M281" i="18"/>
  <c r="E281" i="18"/>
  <c r="L281" i="18"/>
  <c r="D281" i="18"/>
  <c r="K281" i="18"/>
  <c r="J281" i="18"/>
  <c r="I281" i="18"/>
  <c r="H281" i="18"/>
  <c r="C282" i="18"/>
  <c r="G281" i="18"/>
  <c r="N281" i="18"/>
  <c r="F281" i="18"/>
  <c r="G286" i="1" l="1"/>
  <c r="F286" i="1"/>
  <c r="M286" i="1"/>
  <c r="E286" i="1"/>
  <c r="D286" i="1"/>
  <c r="L286" i="1"/>
  <c r="K286" i="1"/>
  <c r="C287" i="1"/>
  <c r="N286" i="1"/>
  <c r="J286" i="1"/>
  <c r="I286" i="1"/>
  <c r="H286" i="1"/>
  <c r="E286" i="27"/>
  <c r="K286" i="27"/>
  <c r="H286" i="27"/>
  <c r="G286" i="27"/>
  <c r="F286" i="27"/>
  <c r="D286" i="27"/>
  <c r="C287" i="27"/>
  <c r="M286" i="27"/>
  <c r="L286" i="27"/>
  <c r="N286" i="27"/>
  <c r="J286" i="27"/>
  <c r="I286" i="27"/>
  <c r="E286" i="26"/>
  <c r="D286" i="26"/>
  <c r="L286" i="26"/>
  <c r="H286" i="26"/>
  <c r="G286" i="26"/>
  <c r="F286" i="26"/>
  <c r="C287" i="26"/>
  <c r="N286" i="26"/>
  <c r="M286" i="26"/>
  <c r="K286" i="26"/>
  <c r="J286" i="26"/>
  <c r="I286" i="26"/>
  <c r="F285" i="25"/>
  <c r="L285" i="25"/>
  <c r="H285" i="25"/>
  <c r="M285" i="25"/>
  <c r="K285" i="25"/>
  <c r="J285" i="25"/>
  <c r="C286" i="25"/>
  <c r="N285" i="25"/>
  <c r="I285" i="25"/>
  <c r="G285" i="25"/>
  <c r="E285" i="25"/>
  <c r="D285" i="25"/>
  <c r="M282" i="20"/>
  <c r="E282" i="20"/>
  <c r="K282" i="20"/>
  <c r="J282" i="20"/>
  <c r="I282" i="20"/>
  <c r="H282" i="20"/>
  <c r="C283" i="20"/>
  <c r="G282" i="20"/>
  <c r="N282" i="20"/>
  <c r="L282" i="20"/>
  <c r="F282" i="20"/>
  <c r="D282" i="20"/>
  <c r="M283" i="19"/>
  <c r="E283" i="19"/>
  <c r="L283" i="19"/>
  <c r="D283" i="19"/>
  <c r="K283" i="19"/>
  <c r="J283" i="19"/>
  <c r="I283" i="19"/>
  <c r="C284" i="19"/>
  <c r="G283" i="19"/>
  <c r="N283" i="19"/>
  <c r="H283" i="19"/>
  <c r="F283" i="19"/>
  <c r="I282" i="18"/>
  <c r="H282" i="18"/>
  <c r="C283" i="18"/>
  <c r="G282" i="18"/>
  <c r="N282" i="18"/>
  <c r="F282" i="18"/>
  <c r="M282" i="18"/>
  <c r="E282" i="18"/>
  <c r="L282" i="18"/>
  <c r="D282" i="18"/>
  <c r="K282" i="18"/>
  <c r="J282" i="18"/>
  <c r="J287" i="1" l="1"/>
  <c r="H287" i="1"/>
  <c r="G287" i="1"/>
  <c r="I287" i="1"/>
  <c r="M287" i="1"/>
  <c r="C288" i="1"/>
  <c r="F287" i="1"/>
  <c r="E287" i="1"/>
  <c r="D287" i="1"/>
  <c r="L287" i="1"/>
  <c r="N287" i="1"/>
  <c r="K287" i="1"/>
  <c r="I287" i="27"/>
  <c r="M287" i="27"/>
  <c r="C288" i="27"/>
  <c r="K287" i="27"/>
  <c r="L287" i="27"/>
  <c r="N287" i="27"/>
  <c r="H287" i="27"/>
  <c r="G287" i="27"/>
  <c r="D287" i="27"/>
  <c r="J287" i="27"/>
  <c r="F287" i="27"/>
  <c r="E287" i="27"/>
  <c r="I287" i="26"/>
  <c r="G287" i="26"/>
  <c r="K287" i="26"/>
  <c r="E287" i="26"/>
  <c r="C288" i="26"/>
  <c r="N287" i="26"/>
  <c r="M287" i="26"/>
  <c r="L287" i="26"/>
  <c r="J287" i="26"/>
  <c r="H287" i="26"/>
  <c r="F287" i="26"/>
  <c r="D287" i="26"/>
  <c r="E286" i="25"/>
  <c r="K286" i="25"/>
  <c r="C287" i="25"/>
  <c r="G286" i="25"/>
  <c r="F286" i="25"/>
  <c r="D286" i="25"/>
  <c r="N286" i="25"/>
  <c r="M286" i="25"/>
  <c r="L286" i="25"/>
  <c r="J286" i="25"/>
  <c r="I286" i="25"/>
  <c r="H286" i="25"/>
  <c r="I283" i="20"/>
  <c r="C284" i="20"/>
  <c r="G283" i="20"/>
  <c r="N283" i="20"/>
  <c r="F283" i="20"/>
  <c r="M283" i="20"/>
  <c r="E283" i="20"/>
  <c r="L283" i="20"/>
  <c r="D283" i="20"/>
  <c r="K283" i="20"/>
  <c r="H283" i="20"/>
  <c r="J283" i="20"/>
  <c r="I284" i="19"/>
  <c r="H284" i="19"/>
  <c r="C285" i="19"/>
  <c r="G284" i="19"/>
  <c r="N284" i="19"/>
  <c r="F284" i="19"/>
  <c r="M284" i="19"/>
  <c r="E284" i="19"/>
  <c r="K284" i="19"/>
  <c r="D284" i="19"/>
  <c r="L284" i="19"/>
  <c r="J284" i="19"/>
  <c r="M283" i="18"/>
  <c r="E283" i="18"/>
  <c r="L283" i="18"/>
  <c r="D283" i="18"/>
  <c r="K283" i="18"/>
  <c r="J283" i="18"/>
  <c r="I283" i="18"/>
  <c r="H283" i="18"/>
  <c r="C284" i="18"/>
  <c r="G283" i="18"/>
  <c r="F283" i="18"/>
  <c r="N283" i="18"/>
  <c r="D288" i="1" l="1"/>
  <c r="G288" i="1"/>
  <c r="J288" i="1"/>
  <c r="I288" i="1"/>
  <c r="F288" i="1"/>
  <c r="E288" i="1"/>
  <c r="N288" i="1"/>
  <c r="L288" i="1"/>
  <c r="K288" i="1"/>
  <c r="C289" i="1"/>
  <c r="H288" i="1"/>
  <c r="M288" i="1"/>
  <c r="M288" i="27"/>
  <c r="D288" i="27"/>
  <c r="F288" i="27"/>
  <c r="H288" i="27"/>
  <c r="G288" i="27"/>
  <c r="J288" i="27"/>
  <c r="I288" i="27"/>
  <c r="C289" i="27"/>
  <c r="K288" i="27"/>
  <c r="N288" i="27"/>
  <c r="L288" i="27"/>
  <c r="E288" i="27"/>
  <c r="M288" i="26"/>
  <c r="L288" i="26"/>
  <c r="G288" i="26"/>
  <c r="C289" i="26"/>
  <c r="E288" i="26"/>
  <c r="D288" i="26"/>
  <c r="H288" i="26"/>
  <c r="F288" i="26"/>
  <c r="K288" i="26"/>
  <c r="J288" i="26"/>
  <c r="I288" i="26"/>
  <c r="N288" i="26"/>
  <c r="I287" i="25"/>
  <c r="F287" i="25"/>
  <c r="J287" i="25"/>
  <c r="H287" i="25"/>
  <c r="G287" i="25"/>
  <c r="C288" i="25"/>
  <c r="N287" i="25"/>
  <c r="M287" i="25"/>
  <c r="L287" i="25"/>
  <c r="K287" i="25"/>
  <c r="E287" i="25"/>
  <c r="D287" i="25"/>
  <c r="M284" i="20"/>
  <c r="E284" i="20"/>
  <c r="K284" i="20"/>
  <c r="J284" i="20"/>
  <c r="I284" i="20"/>
  <c r="H284" i="20"/>
  <c r="C285" i="20"/>
  <c r="G284" i="20"/>
  <c r="N284" i="20"/>
  <c r="L284" i="20"/>
  <c r="D284" i="20"/>
  <c r="F284" i="20"/>
  <c r="M285" i="19"/>
  <c r="E285" i="19"/>
  <c r="L285" i="19"/>
  <c r="D285" i="19"/>
  <c r="K285" i="19"/>
  <c r="J285" i="19"/>
  <c r="I285" i="19"/>
  <c r="C286" i="19"/>
  <c r="G285" i="19"/>
  <c r="N285" i="19"/>
  <c r="H285" i="19"/>
  <c r="F285" i="19"/>
  <c r="I284" i="18"/>
  <c r="H284" i="18"/>
  <c r="C285" i="18"/>
  <c r="G284" i="18"/>
  <c r="N284" i="18"/>
  <c r="F284" i="18"/>
  <c r="M284" i="18"/>
  <c r="E284" i="18"/>
  <c r="L284" i="18"/>
  <c r="D284" i="18"/>
  <c r="K284" i="18"/>
  <c r="J284" i="18"/>
  <c r="K289" i="1" l="1"/>
  <c r="M289" i="1"/>
  <c r="J289" i="1"/>
  <c r="L289" i="1"/>
  <c r="I289" i="1"/>
  <c r="H289" i="1"/>
  <c r="E289" i="1"/>
  <c r="N289" i="1"/>
  <c r="D289" i="1"/>
  <c r="C290" i="1"/>
  <c r="G289" i="1"/>
  <c r="F289" i="1"/>
  <c r="I289" i="27"/>
  <c r="F289" i="27"/>
  <c r="K289" i="27"/>
  <c r="G289" i="27"/>
  <c r="C290" i="27"/>
  <c r="L289" i="27"/>
  <c r="N289" i="27"/>
  <c r="M289" i="27"/>
  <c r="J289" i="27"/>
  <c r="H289" i="27"/>
  <c r="E289" i="27"/>
  <c r="D289" i="27"/>
  <c r="E289" i="26"/>
  <c r="N289" i="26"/>
  <c r="C290" i="26"/>
  <c r="M289" i="26"/>
  <c r="L289" i="26"/>
  <c r="K289" i="26"/>
  <c r="D289" i="26"/>
  <c r="J289" i="26"/>
  <c r="I289" i="26"/>
  <c r="H289" i="26"/>
  <c r="G289" i="26"/>
  <c r="F289" i="26"/>
  <c r="M288" i="25"/>
  <c r="D288" i="25"/>
  <c r="L288" i="25"/>
  <c r="J288" i="25"/>
  <c r="G288" i="25"/>
  <c r="F288" i="25"/>
  <c r="E288" i="25"/>
  <c r="I288" i="25"/>
  <c r="H288" i="25"/>
  <c r="C289" i="25"/>
  <c r="N288" i="25"/>
  <c r="K288" i="25"/>
  <c r="I285" i="20"/>
  <c r="C286" i="20"/>
  <c r="G285" i="20"/>
  <c r="N285" i="20"/>
  <c r="F285" i="20"/>
  <c r="M285" i="20"/>
  <c r="E285" i="20"/>
  <c r="L285" i="20"/>
  <c r="D285" i="20"/>
  <c r="K285" i="20"/>
  <c r="J285" i="20"/>
  <c r="H285" i="20"/>
  <c r="I286" i="19"/>
  <c r="H286" i="19"/>
  <c r="C287" i="19"/>
  <c r="G286" i="19"/>
  <c r="N286" i="19"/>
  <c r="F286" i="19"/>
  <c r="M286" i="19"/>
  <c r="E286" i="19"/>
  <c r="K286" i="19"/>
  <c r="L286" i="19"/>
  <c r="J286" i="19"/>
  <c r="D286" i="19"/>
  <c r="M285" i="18"/>
  <c r="E285" i="18"/>
  <c r="L285" i="18"/>
  <c r="D285" i="18"/>
  <c r="K285" i="18"/>
  <c r="J285" i="18"/>
  <c r="I285" i="18"/>
  <c r="H285" i="18"/>
  <c r="C286" i="18"/>
  <c r="G285" i="18"/>
  <c r="N285" i="18"/>
  <c r="F285" i="18"/>
  <c r="M290" i="1" l="1"/>
  <c r="L290" i="1"/>
  <c r="C291" i="1"/>
  <c r="D290" i="1"/>
  <c r="K290" i="1"/>
  <c r="G290" i="1"/>
  <c r="J290" i="1"/>
  <c r="N290" i="1"/>
  <c r="I290" i="1"/>
  <c r="F290" i="1"/>
  <c r="E290" i="1"/>
  <c r="H290" i="1"/>
  <c r="E290" i="27"/>
  <c r="N290" i="27"/>
  <c r="K290" i="27"/>
  <c r="C291" i="27"/>
  <c r="H290" i="27"/>
  <c r="D290" i="27"/>
  <c r="J290" i="27"/>
  <c r="F290" i="27"/>
  <c r="L290" i="27"/>
  <c r="I290" i="27"/>
  <c r="M290" i="27"/>
  <c r="G290" i="27"/>
  <c r="E290" i="26"/>
  <c r="F290" i="26"/>
  <c r="K290" i="26"/>
  <c r="L290" i="26"/>
  <c r="I290" i="26"/>
  <c r="H290" i="26"/>
  <c r="G290" i="26"/>
  <c r="N290" i="26"/>
  <c r="M290" i="26"/>
  <c r="J290" i="26"/>
  <c r="C291" i="26"/>
  <c r="D290" i="26"/>
  <c r="I289" i="25"/>
  <c r="F289" i="25"/>
  <c r="E289" i="25"/>
  <c r="D289" i="25"/>
  <c r="C290" i="25"/>
  <c r="N289" i="25"/>
  <c r="M289" i="25"/>
  <c r="L289" i="25"/>
  <c r="K289" i="25"/>
  <c r="J289" i="25"/>
  <c r="H289" i="25"/>
  <c r="G289" i="25"/>
  <c r="M286" i="20"/>
  <c r="E286" i="20"/>
  <c r="K286" i="20"/>
  <c r="J286" i="20"/>
  <c r="I286" i="20"/>
  <c r="H286" i="20"/>
  <c r="C287" i="20"/>
  <c r="G286" i="20"/>
  <c r="D286" i="20"/>
  <c r="L286" i="20"/>
  <c r="N286" i="20"/>
  <c r="F286" i="20"/>
  <c r="M287" i="19"/>
  <c r="E287" i="19"/>
  <c r="L287" i="19"/>
  <c r="D287" i="19"/>
  <c r="K287" i="19"/>
  <c r="J287" i="19"/>
  <c r="I287" i="19"/>
  <c r="C288" i="19"/>
  <c r="G287" i="19"/>
  <c r="H287" i="19"/>
  <c r="N287" i="19"/>
  <c r="F287" i="19"/>
  <c r="I286" i="18"/>
  <c r="H286" i="18"/>
  <c r="C287" i="18"/>
  <c r="G286" i="18"/>
  <c r="N286" i="18"/>
  <c r="F286" i="18"/>
  <c r="M286" i="18"/>
  <c r="E286" i="18"/>
  <c r="L286" i="18"/>
  <c r="D286" i="18"/>
  <c r="K286" i="18"/>
  <c r="J286" i="18"/>
  <c r="K291" i="1" l="1"/>
  <c r="J291" i="1"/>
  <c r="G291" i="1"/>
  <c r="N291" i="1"/>
  <c r="E291" i="1"/>
  <c r="D291" i="1"/>
  <c r="F291" i="1"/>
  <c r="C292" i="1"/>
  <c r="I291" i="1"/>
  <c r="L291" i="1"/>
  <c r="M291" i="1"/>
  <c r="H291" i="1"/>
  <c r="I291" i="27"/>
  <c r="F291" i="27"/>
  <c r="M291" i="27"/>
  <c r="J291" i="27"/>
  <c r="G291" i="27"/>
  <c r="E291" i="27"/>
  <c r="C292" i="27"/>
  <c r="N291" i="27"/>
  <c r="L291" i="27"/>
  <c r="K291" i="27"/>
  <c r="H291" i="27"/>
  <c r="D291" i="27"/>
  <c r="I291" i="26"/>
  <c r="K291" i="26"/>
  <c r="J291" i="26"/>
  <c r="N291" i="26"/>
  <c r="M291" i="26"/>
  <c r="H291" i="26"/>
  <c r="G291" i="26"/>
  <c r="F291" i="26"/>
  <c r="E291" i="26"/>
  <c r="D291" i="26"/>
  <c r="C292" i="26"/>
  <c r="L291" i="26"/>
  <c r="E290" i="25"/>
  <c r="N290" i="25"/>
  <c r="G290" i="25"/>
  <c r="F290" i="25"/>
  <c r="C291" i="25"/>
  <c r="M290" i="25"/>
  <c r="L290" i="25"/>
  <c r="I290" i="25"/>
  <c r="H290" i="25"/>
  <c r="D290" i="25"/>
  <c r="K290" i="25"/>
  <c r="J290" i="25"/>
  <c r="I287" i="20"/>
  <c r="C288" i="20"/>
  <c r="G287" i="20"/>
  <c r="N287" i="20"/>
  <c r="F287" i="20"/>
  <c r="M287" i="20"/>
  <c r="E287" i="20"/>
  <c r="L287" i="20"/>
  <c r="D287" i="20"/>
  <c r="K287" i="20"/>
  <c r="J287" i="20"/>
  <c r="H287" i="20"/>
  <c r="I288" i="19"/>
  <c r="H288" i="19"/>
  <c r="C289" i="19"/>
  <c r="G288" i="19"/>
  <c r="N288" i="19"/>
  <c r="F288" i="19"/>
  <c r="M288" i="19"/>
  <c r="E288" i="19"/>
  <c r="K288" i="19"/>
  <c r="L288" i="19"/>
  <c r="J288" i="19"/>
  <c r="D288" i="19"/>
  <c r="M287" i="18"/>
  <c r="E287" i="18"/>
  <c r="L287" i="18"/>
  <c r="D287" i="18"/>
  <c r="K287" i="18"/>
  <c r="J287" i="18"/>
  <c r="I287" i="18"/>
  <c r="H287" i="18"/>
  <c r="C288" i="18"/>
  <c r="G287" i="18"/>
  <c r="N287" i="18"/>
  <c r="F287" i="18"/>
  <c r="L292" i="1" l="1"/>
  <c r="C293" i="1"/>
  <c r="K292" i="1"/>
  <c r="J292" i="1"/>
  <c r="E292" i="1"/>
  <c r="H292" i="1"/>
  <c r="D292" i="1"/>
  <c r="G292" i="1"/>
  <c r="I292" i="1"/>
  <c r="F292" i="1"/>
  <c r="M292" i="1"/>
  <c r="N292" i="1"/>
  <c r="M292" i="27"/>
  <c r="G292" i="27"/>
  <c r="D292" i="27"/>
  <c r="N292" i="27"/>
  <c r="J292" i="27"/>
  <c r="I292" i="27"/>
  <c r="E292" i="27"/>
  <c r="K292" i="27"/>
  <c r="H292" i="27"/>
  <c r="L292" i="27"/>
  <c r="C293" i="27"/>
  <c r="F292" i="27"/>
  <c r="M292" i="26"/>
  <c r="E292" i="26"/>
  <c r="H292" i="26"/>
  <c r="J292" i="26"/>
  <c r="I292" i="26"/>
  <c r="G292" i="26"/>
  <c r="C293" i="26"/>
  <c r="N292" i="26"/>
  <c r="L292" i="26"/>
  <c r="K292" i="26"/>
  <c r="F292" i="26"/>
  <c r="D292" i="26"/>
  <c r="I291" i="25"/>
  <c r="M291" i="25"/>
  <c r="N291" i="25"/>
  <c r="C292" i="25"/>
  <c r="J291" i="25"/>
  <c r="H291" i="25"/>
  <c r="G291" i="25"/>
  <c r="F291" i="25"/>
  <c r="E291" i="25"/>
  <c r="D291" i="25"/>
  <c r="L291" i="25"/>
  <c r="K291" i="25"/>
  <c r="M288" i="20"/>
  <c r="E288" i="20"/>
  <c r="K288" i="20"/>
  <c r="J288" i="20"/>
  <c r="I288" i="20"/>
  <c r="H288" i="20"/>
  <c r="C289" i="20"/>
  <c r="G288" i="20"/>
  <c r="L288" i="20"/>
  <c r="F288" i="20"/>
  <c r="D288" i="20"/>
  <c r="N288" i="20"/>
  <c r="M289" i="19"/>
  <c r="E289" i="19"/>
  <c r="L289" i="19"/>
  <c r="D289" i="19"/>
  <c r="K289" i="19"/>
  <c r="J289" i="19"/>
  <c r="I289" i="19"/>
  <c r="C290" i="19"/>
  <c r="G289" i="19"/>
  <c r="H289" i="19"/>
  <c r="F289" i="19"/>
  <c r="N289" i="19"/>
  <c r="I288" i="18"/>
  <c r="H288" i="18"/>
  <c r="C289" i="18"/>
  <c r="G288" i="18"/>
  <c r="N288" i="18"/>
  <c r="F288" i="18"/>
  <c r="M288" i="18"/>
  <c r="E288" i="18"/>
  <c r="L288" i="18"/>
  <c r="D288" i="18"/>
  <c r="K288" i="18"/>
  <c r="J288" i="18"/>
  <c r="H293" i="1" l="1"/>
  <c r="F293" i="1"/>
  <c r="I293" i="1"/>
  <c r="N293" i="1"/>
  <c r="L293" i="1"/>
  <c r="K293" i="1"/>
  <c r="C294" i="1"/>
  <c r="J293" i="1"/>
  <c r="D293" i="1"/>
  <c r="E293" i="1"/>
  <c r="M293" i="1"/>
  <c r="G293" i="1"/>
  <c r="L293" i="27"/>
  <c r="I293" i="27"/>
  <c r="K293" i="27"/>
  <c r="G293" i="27"/>
  <c r="D293" i="27"/>
  <c r="C294" i="27"/>
  <c r="N293" i="27"/>
  <c r="M293" i="27"/>
  <c r="H293" i="27"/>
  <c r="F293" i="27"/>
  <c r="J293" i="27"/>
  <c r="E293" i="27"/>
  <c r="D293" i="26"/>
  <c r="K293" i="26"/>
  <c r="F293" i="26"/>
  <c r="L293" i="26"/>
  <c r="J293" i="26"/>
  <c r="G293" i="26"/>
  <c r="E293" i="26"/>
  <c r="C294" i="26"/>
  <c r="N293" i="26"/>
  <c r="M293" i="26"/>
  <c r="I293" i="26"/>
  <c r="H293" i="26"/>
  <c r="M292" i="25"/>
  <c r="G292" i="25"/>
  <c r="K292" i="25"/>
  <c r="J292" i="25"/>
  <c r="I292" i="25"/>
  <c r="L292" i="25"/>
  <c r="H292" i="25"/>
  <c r="F292" i="25"/>
  <c r="E292" i="25"/>
  <c r="D292" i="25"/>
  <c r="C293" i="25"/>
  <c r="N292" i="25"/>
  <c r="I289" i="20"/>
  <c r="C290" i="20"/>
  <c r="G289" i="20"/>
  <c r="N289" i="20"/>
  <c r="F289" i="20"/>
  <c r="M289" i="20"/>
  <c r="E289" i="20"/>
  <c r="L289" i="20"/>
  <c r="D289" i="20"/>
  <c r="K289" i="20"/>
  <c r="H289" i="20"/>
  <c r="J289" i="20"/>
  <c r="I290" i="19"/>
  <c r="H290" i="19"/>
  <c r="C291" i="19"/>
  <c r="G290" i="19"/>
  <c r="N290" i="19"/>
  <c r="F290" i="19"/>
  <c r="M290" i="19"/>
  <c r="E290" i="19"/>
  <c r="K290" i="19"/>
  <c r="L290" i="19"/>
  <c r="D290" i="19"/>
  <c r="J290" i="19"/>
  <c r="M289" i="18"/>
  <c r="E289" i="18"/>
  <c r="L289" i="18"/>
  <c r="D289" i="18"/>
  <c r="K289" i="18"/>
  <c r="J289" i="18"/>
  <c r="I289" i="18"/>
  <c r="H289" i="18"/>
  <c r="C290" i="18"/>
  <c r="G289" i="18"/>
  <c r="N289" i="18"/>
  <c r="F289" i="18"/>
  <c r="E294" i="1" l="1"/>
  <c r="D294" i="1"/>
  <c r="M294" i="1"/>
  <c r="C295" i="1"/>
  <c r="J294" i="1"/>
  <c r="F294" i="1"/>
  <c r="K294" i="1"/>
  <c r="H294" i="1"/>
  <c r="G294" i="1"/>
  <c r="L294" i="1"/>
  <c r="I294" i="1"/>
  <c r="N294" i="1"/>
  <c r="E294" i="27"/>
  <c r="N294" i="27"/>
  <c r="I294" i="27"/>
  <c r="F294" i="27"/>
  <c r="K294" i="27"/>
  <c r="G294" i="27"/>
  <c r="C295" i="27"/>
  <c r="M294" i="27"/>
  <c r="D294" i="27"/>
  <c r="L294" i="27"/>
  <c r="J294" i="27"/>
  <c r="H294" i="27"/>
  <c r="E294" i="26"/>
  <c r="I294" i="26"/>
  <c r="M294" i="26"/>
  <c r="D294" i="26"/>
  <c r="K294" i="26"/>
  <c r="J294" i="26"/>
  <c r="H294" i="26"/>
  <c r="N294" i="26"/>
  <c r="L294" i="26"/>
  <c r="G294" i="26"/>
  <c r="F294" i="26"/>
  <c r="C295" i="26"/>
  <c r="L293" i="25"/>
  <c r="G293" i="25"/>
  <c r="I293" i="25"/>
  <c r="C294" i="25"/>
  <c r="N293" i="25"/>
  <c r="M293" i="25"/>
  <c r="K293" i="25"/>
  <c r="J293" i="25"/>
  <c r="H293" i="25"/>
  <c r="F293" i="25"/>
  <c r="E293" i="25"/>
  <c r="D293" i="25"/>
  <c r="M290" i="20"/>
  <c r="E290" i="20"/>
  <c r="K290" i="20"/>
  <c r="J290" i="20"/>
  <c r="I290" i="20"/>
  <c r="H290" i="20"/>
  <c r="C291" i="20"/>
  <c r="G290" i="20"/>
  <c r="N290" i="20"/>
  <c r="L290" i="20"/>
  <c r="F290" i="20"/>
  <c r="D290" i="20"/>
  <c r="M291" i="19"/>
  <c r="E291" i="19"/>
  <c r="L291" i="19"/>
  <c r="D291" i="19"/>
  <c r="K291" i="19"/>
  <c r="J291" i="19"/>
  <c r="I291" i="19"/>
  <c r="C292" i="19"/>
  <c r="G291" i="19"/>
  <c r="N291" i="19"/>
  <c r="H291" i="19"/>
  <c r="F291" i="19"/>
  <c r="I290" i="18"/>
  <c r="H290" i="18"/>
  <c r="C291" i="18"/>
  <c r="G290" i="18"/>
  <c r="N290" i="18"/>
  <c r="F290" i="18"/>
  <c r="M290" i="18"/>
  <c r="E290" i="18"/>
  <c r="L290" i="18"/>
  <c r="D290" i="18"/>
  <c r="K290" i="18"/>
  <c r="J290" i="18"/>
  <c r="N295" i="1" l="1"/>
  <c r="D295" i="1"/>
  <c r="M295" i="1"/>
  <c r="L295" i="1"/>
  <c r="C296" i="1"/>
  <c r="E295" i="1"/>
  <c r="J295" i="1"/>
  <c r="G295" i="1"/>
  <c r="K295" i="1"/>
  <c r="F295" i="1"/>
  <c r="I295" i="1"/>
  <c r="H295" i="1"/>
  <c r="I295" i="27"/>
  <c r="E295" i="27"/>
  <c r="M295" i="27"/>
  <c r="J295" i="27"/>
  <c r="F295" i="27"/>
  <c r="H295" i="27"/>
  <c r="N295" i="27"/>
  <c r="L295" i="27"/>
  <c r="K295" i="27"/>
  <c r="G295" i="27"/>
  <c r="D295" i="27"/>
  <c r="C296" i="27"/>
  <c r="I295" i="26"/>
  <c r="N295" i="26"/>
  <c r="E295" i="26"/>
  <c r="M295" i="26"/>
  <c r="J295" i="26"/>
  <c r="H295" i="26"/>
  <c r="C296" i="26"/>
  <c r="L295" i="26"/>
  <c r="K295" i="26"/>
  <c r="G295" i="26"/>
  <c r="F295" i="26"/>
  <c r="D295" i="26"/>
  <c r="E294" i="25"/>
  <c r="M294" i="25"/>
  <c r="H294" i="25"/>
  <c r="G294" i="25"/>
  <c r="F294" i="25"/>
  <c r="L294" i="25"/>
  <c r="K294" i="25"/>
  <c r="J294" i="25"/>
  <c r="I294" i="25"/>
  <c r="D294" i="25"/>
  <c r="C295" i="25"/>
  <c r="N294" i="25"/>
  <c r="I291" i="20"/>
  <c r="C292" i="20"/>
  <c r="G291" i="20"/>
  <c r="N291" i="20"/>
  <c r="F291" i="20"/>
  <c r="M291" i="20"/>
  <c r="E291" i="20"/>
  <c r="L291" i="20"/>
  <c r="D291" i="20"/>
  <c r="K291" i="20"/>
  <c r="H291" i="20"/>
  <c r="J291" i="20"/>
  <c r="I292" i="19"/>
  <c r="H292" i="19"/>
  <c r="C293" i="19"/>
  <c r="G292" i="19"/>
  <c r="N292" i="19"/>
  <c r="F292" i="19"/>
  <c r="M292" i="19"/>
  <c r="E292" i="19"/>
  <c r="K292" i="19"/>
  <c r="D292" i="19"/>
  <c r="L292" i="19"/>
  <c r="J292" i="19"/>
  <c r="M291" i="18"/>
  <c r="E291" i="18"/>
  <c r="L291" i="18"/>
  <c r="D291" i="18"/>
  <c r="K291" i="18"/>
  <c r="J291" i="18"/>
  <c r="I291" i="18"/>
  <c r="H291" i="18"/>
  <c r="C292" i="18"/>
  <c r="G291" i="18"/>
  <c r="N291" i="18"/>
  <c r="F291" i="18"/>
  <c r="N296" i="1" l="1"/>
  <c r="E296" i="1"/>
  <c r="M296" i="1"/>
  <c r="L296" i="1"/>
  <c r="C297" i="1"/>
  <c r="H296" i="1"/>
  <c r="F296" i="1"/>
  <c r="G296" i="1"/>
  <c r="J296" i="1"/>
  <c r="D296" i="1"/>
  <c r="I296" i="1"/>
  <c r="K296" i="1"/>
  <c r="M296" i="27"/>
  <c r="J296" i="27"/>
  <c r="G296" i="27"/>
  <c r="D296" i="27"/>
  <c r="L296" i="27"/>
  <c r="H296" i="27"/>
  <c r="C297" i="27"/>
  <c r="K296" i="27"/>
  <c r="I296" i="27"/>
  <c r="N296" i="27"/>
  <c r="F296" i="27"/>
  <c r="E296" i="27"/>
  <c r="M296" i="26"/>
  <c r="K296" i="26"/>
  <c r="H296" i="26"/>
  <c r="L296" i="26"/>
  <c r="J296" i="26"/>
  <c r="I296" i="26"/>
  <c r="C297" i="26"/>
  <c r="N296" i="26"/>
  <c r="G296" i="26"/>
  <c r="F296" i="26"/>
  <c r="E296" i="26"/>
  <c r="D296" i="26"/>
  <c r="I295" i="25"/>
  <c r="E295" i="25"/>
  <c r="D295" i="25"/>
  <c r="C296" i="25"/>
  <c r="N295" i="25"/>
  <c r="G295" i="25"/>
  <c r="F295" i="25"/>
  <c r="M295" i="25"/>
  <c r="L295" i="25"/>
  <c r="K295" i="25"/>
  <c r="J295" i="25"/>
  <c r="H295" i="25"/>
  <c r="M292" i="20"/>
  <c r="E292" i="20"/>
  <c r="K292" i="20"/>
  <c r="J292" i="20"/>
  <c r="I292" i="20"/>
  <c r="H292" i="20"/>
  <c r="C293" i="20"/>
  <c r="G292" i="20"/>
  <c r="N292" i="20"/>
  <c r="L292" i="20"/>
  <c r="D292" i="20"/>
  <c r="F292" i="20"/>
  <c r="M293" i="19"/>
  <c r="E293" i="19"/>
  <c r="L293" i="19"/>
  <c r="D293" i="19"/>
  <c r="K293" i="19"/>
  <c r="J293" i="19"/>
  <c r="I293" i="19"/>
  <c r="C294" i="19"/>
  <c r="G293" i="19"/>
  <c r="N293" i="19"/>
  <c r="H293" i="19"/>
  <c r="F293" i="19"/>
  <c r="I292" i="18"/>
  <c r="H292" i="18"/>
  <c r="C293" i="18"/>
  <c r="G292" i="18"/>
  <c r="N292" i="18"/>
  <c r="F292" i="18"/>
  <c r="M292" i="18"/>
  <c r="E292" i="18"/>
  <c r="L292" i="18"/>
  <c r="D292" i="18"/>
  <c r="K292" i="18"/>
  <c r="J292" i="18"/>
  <c r="K297" i="1" l="1"/>
  <c r="L297" i="1"/>
  <c r="C298" i="1"/>
  <c r="J297" i="1"/>
  <c r="H297" i="1"/>
  <c r="N297" i="1"/>
  <c r="F297" i="1"/>
  <c r="M297" i="1"/>
  <c r="I297" i="1"/>
  <c r="G297" i="1"/>
  <c r="D297" i="1"/>
  <c r="E297" i="1"/>
  <c r="C298" i="27"/>
  <c r="L297" i="27"/>
  <c r="K297" i="27"/>
  <c r="H297" i="27"/>
  <c r="G297" i="27"/>
  <c r="D297" i="27"/>
  <c r="N297" i="27"/>
  <c r="I297" i="27"/>
  <c r="F297" i="27"/>
  <c r="E297" i="27"/>
  <c r="M297" i="27"/>
  <c r="J297" i="27"/>
  <c r="G297" i="26"/>
  <c r="C298" i="26"/>
  <c r="J297" i="26"/>
  <c r="H297" i="26"/>
  <c r="F297" i="26"/>
  <c r="M297" i="26"/>
  <c r="L297" i="26"/>
  <c r="K297" i="26"/>
  <c r="I297" i="26"/>
  <c r="E297" i="26"/>
  <c r="D297" i="26"/>
  <c r="N297" i="26"/>
  <c r="M296" i="25"/>
  <c r="J296" i="25"/>
  <c r="G296" i="25"/>
  <c r="L296" i="25"/>
  <c r="D296" i="25"/>
  <c r="C297" i="25"/>
  <c r="N296" i="25"/>
  <c r="K296" i="25"/>
  <c r="I296" i="25"/>
  <c r="H296" i="25"/>
  <c r="F296" i="25"/>
  <c r="E296" i="25"/>
  <c r="J293" i="20"/>
  <c r="I293" i="20"/>
  <c r="N293" i="20"/>
  <c r="F293" i="20"/>
  <c r="M293" i="20"/>
  <c r="E293" i="20"/>
  <c r="C294" i="20"/>
  <c r="K293" i="20"/>
  <c r="H293" i="20"/>
  <c r="G293" i="20"/>
  <c r="D293" i="20"/>
  <c r="L293" i="20"/>
  <c r="I294" i="19"/>
  <c r="H294" i="19"/>
  <c r="C295" i="19"/>
  <c r="G294" i="19"/>
  <c r="N294" i="19"/>
  <c r="F294" i="19"/>
  <c r="M294" i="19"/>
  <c r="E294" i="19"/>
  <c r="K294" i="19"/>
  <c r="L294" i="19"/>
  <c r="J294" i="19"/>
  <c r="D294" i="19"/>
  <c r="M293" i="18"/>
  <c r="E293" i="18"/>
  <c r="L293" i="18"/>
  <c r="D293" i="18"/>
  <c r="K293" i="18"/>
  <c r="J293" i="18"/>
  <c r="I293" i="18"/>
  <c r="H293" i="18"/>
  <c r="C294" i="18"/>
  <c r="G293" i="18"/>
  <c r="N293" i="18"/>
  <c r="F293" i="18"/>
  <c r="I298" i="1" l="1"/>
  <c r="E298" i="1"/>
  <c r="H298" i="1"/>
  <c r="K298" i="1"/>
  <c r="G298" i="1"/>
  <c r="C299" i="1"/>
  <c r="F298" i="1"/>
  <c r="N298" i="1"/>
  <c r="M298" i="1"/>
  <c r="L298" i="1"/>
  <c r="J298" i="1"/>
  <c r="D298" i="1"/>
  <c r="E298" i="27"/>
  <c r="C299" i="27"/>
  <c r="M298" i="27"/>
  <c r="L298" i="27"/>
  <c r="I298" i="27"/>
  <c r="H298" i="27"/>
  <c r="D298" i="27"/>
  <c r="G298" i="27"/>
  <c r="F298" i="27"/>
  <c r="N298" i="27"/>
  <c r="K298" i="27"/>
  <c r="J298" i="27"/>
  <c r="E298" i="26"/>
  <c r="L298" i="26"/>
  <c r="F298" i="26"/>
  <c r="M298" i="26"/>
  <c r="K298" i="26"/>
  <c r="J298" i="26"/>
  <c r="H298" i="26"/>
  <c r="G298" i="26"/>
  <c r="D298" i="26"/>
  <c r="C299" i="26"/>
  <c r="N298" i="26"/>
  <c r="I298" i="26"/>
  <c r="C298" i="25"/>
  <c r="M297" i="25"/>
  <c r="L297" i="25"/>
  <c r="K297" i="25"/>
  <c r="J297" i="25"/>
  <c r="N297" i="25"/>
  <c r="I297" i="25"/>
  <c r="H297" i="25"/>
  <c r="G297" i="25"/>
  <c r="F297" i="25"/>
  <c r="E297" i="25"/>
  <c r="D297" i="25"/>
  <c r="N294" i="20"/>
  <c r="F294" i="20"/>
  <c r="M294" i="20"/>
  <c r="E294" i="20"/>
  <c r="J294" i="20"/>
  <c r="I294" i="20"/>
  <c r="C295" i="20"/>
  <c r="L294" i="20"/>
  <c r="K294" i="20"/>
  <c r="H294" i="20"/>
  <c r="G294" i="20"/>
  <c r="D294" i="20"/>
  <c r="M295" i="19"/>
  <c r="E295" i="19"/>
  <c r="L295" i="19"/>
  <c r="D295" i="19"/>
  <c r="K295" i="19"/>
  <c r="J295" i="19"/>
  <c r="I295" i="19"/>
  <c r="C296" i="19"/>
  <c r="G295" i="19"/>
  <c r="H295" i="19"/>
  <c r="N295" i="19"/>
  <c r="F295" i="19"/>
  <c r="I294" i="18"/>
  <c r="H294" i="18"/>
  <c r="C295" i="18"/>
  <c r="G294" i="18"/>
  <c r="N294" i="18"/>
  <c r="F294" i="18"/>
  <c r="M294" i="18"/>
  <c r="E294" i="18"/>
  <c r="L294" i="18"/>
  <c r="D294" i="18"/>
  <c r="K294" i="18"/>
  <c r="J294" i="18"/>
  <c r="H299" i="1" l="1"/>
  <c r="D299" i="1"/>
  <c r="E299" i="1"/>
  <c r="I299" i="1"/>
  <c r="M299" i="1"/>
  <c r="C300" i="1"/>
  <c r="G299" i="1"/>
  <c r="L299" i="1"/>
  <c r="F299" i="1"/>
  <c r="K299" i="1"/>
  <c r="J299" i="1"/>
  <c r="N299" i="1"/>
  <c r="I299" i="27"/>
  <c r="H299" i="27"/>
  <c r="E299" i="27"/>
  <c r="G299" i="27"/>
  <c r="F299" i="27"/>
  <c r="N299" i="27"/>
  <c r="M299" i="27"/>
  <c r="C300" i="27"/>
  <c r="L299" i="27"/>
  <c r="K299" i="27"/>
  <c r="J299" i="27"/>
  <c r="D299" i="27"/>
  <c r="I299" i="26"/>
  <c r="L299" i="26"/>
  <c r="K299" i="26"/>
  <c r="F299" i="26"/>
  <c r="E299" i="26"/>
  <c r="D299" i="26"/>
  <c r="C300" i="26"/>
  <c r="N299" i="26"/>
  <c r="M299" i="26"/>
  <c r="J299" i="26"/>
  <c r="H299" i="26"/>
  <c r="G299" i="26"/>
  <c r="E298" i="25"/>
  <c r="H298" i="25"/>
  <c r="N298" i="25"/>
  <c r="M298" i="25"/>
  <c r="L298" i="25"/>
  <c r="K298" i="25"/>
  <c r="J298" i="25"/>
  <c r="I298" i="25"/>
  <c r="G298" i="25"/>
  <c r="F298" i="25"/>
  <c r="D298" i="25"/>
  <c r="C299" i="25"/>
  <c r="J295" i="20"/>
  <c r="I295" i="20"/>
  <c r="N295" i="20"/>
  <c r="F295" i="20"/>
  <c r="M295" i="20"/>
  <c r="E295" i="20"/>
  <c r="G295" i="20"/>
  <c r="C296" i="20"/>
  <c r="L295" i="20"/>
  <c r="K295" i="20"/>
  <c r="D295" i="20"/>
  <c r="H295" i="20"/>
  <c r="I296" i="19"/>
  <c r="H296" i="19"/>
  <c r="C297" i="19"/>
  <c r="G296" i="19"/>
  <c r="N296" i="19"/>
  <c r="F296" i="19"/>
  <c r="M296" i="19"/>
  <c r="E296" i="19"/>
  <c r="K296" i="19"/>
  <c r="L296" i="19"/>
  <c r="J296" i="19"/>
  <c r="D296" i="19"/>
  <c r="M295" i="18"/>
  <c r="E295" i="18"/>
  <c r="L295" i="18"/>
  <c r="D295" i="18"/>
  <c r="K295" i="18"/>
  <c r="J295" i="18"/>
  <c r="I295" i="18"/>
  <c r="H295" i="18"/>
  <c r="C296" i="18"/>
  <c r="G295" i="18"/>
  <c r="N295" i="18"/>
  <c r="F295" i="18"/>
  <c r="H300" i="1" l="1"/>
  <c r="M300" i="1"/>
  <c r="L300" i="1"/>
  <c r="G300" i="1"/>
  <c r="F300" i="1"/>
  <c r="N300" i="1"/>
  <c r="J300" i="1"/>
  <c r="K300" i="1"/>
  <c r="I300" i="1"/>
  <c r="C301" i="1"/>
  <c r="D300" i="1"/>
  <c r="E300" i="1"/>
  <c r="M300" i="27"/>
  <c r="N300" i="27"/>
  <c r="J300" i="27"/>
  <c r="K300" i="27"/>
  <c r="L300" i="27"/>
  <c r="H300" i="27"/>
  <c r="E300" i="27"/>
  <c r="F300" i="27"/>
  <c r="D300" i="27"/>
  <c r="C301" i="27"/>
  <c r="G300" i="27"/>
  <c r="I300" i="27"/>
  <c r="M300" i="26"/>
  <c r="E300" i="26"/>
  <c r="C301" i="26"/>
  <c r="N300" i="26"/>
  <c r="L300" i="26"/>
  <c r="K300" i="26"/>
  <c r="J300" i="26"/>
  <c r="I300" i="26"/>
  <c r="H300" i="26"/>
  <c r="G300" i="26"/>
  <c r="F300" i="26"/>
  <c r="D300" i="26"/>
  <c r="I299" i="25"/>
  <c r="H299" i="25"/>
  <c r="G299" i="25"/>
  <c r="C300" i="25"/>
  <c r="K299" i="25"/>
  <c r="J299" i="25"/>
  <c r="F299" i="25"/>
  <c r="N299" i="25"/>
  <c r="M299" i="25"/>
  <c r="L299" i="25"/>
  <c r="E299" i="25"/>
  <c r="D299" i="25"/>
  <c r="N296" i="20"/>
  <c r="F296" i="20"/>
  <c r="M296" i="20"/>
  <c r="E296" i="20"/>
  <c r="J296" i="20"/>
  <c r="I296" i="20"/>
  <c r="K296" i="20"/>
  <c r="G296" i="20"/>
  <c r="D296" i="20"/>
  <c r="C297" i="20"/>
  <c r="H296" i="20"/>
  <c r="L296" i="20"/>
  <c r="M297" i="19"/>
  <c r="E297" i="19"/>
  <c r="L297" i="19"/>
  <c r="D297" i="19"/>
  <c r="K297" i="19"/>
  <c r="J297" i="19"/>
  <c r="I297" i="19"/>
  <c r="C298" i="19"/>
  <c r="G297" i="19"/>
  <c r="H297" i="19"/>
  <c r="F297" i="19"/>
  <c r="N297" i="19"/>
  <c r="I296" i="18"/>
  <c r="H296" i="18"/>
  <c r="C297" i="18"/>
  <c r="G296" i="18"/>
  <c r="N296" i="18"/>
  <c r="F296" i="18"/>
  <c r="M296" i="18"/>
  <c r="E296" i="18"/>
  <c r="L296" i="18"/>
  <c r="D296" i="18"/>
  <c r="K296" i="18"/>
  <c r="J296" i="18"/>
  <c r="I301" i="1" l="1"/>
  <c r="J301" i="1"/>
  <c r="H301" i="1"/>
  <c r="K301" i="1"/>
  <c r="M301" i="1"/>
  <c r="C302" i="1"/>
  <c r="E301" i="1"/>
  <c r="L301" i="1"/>
  <c r="G301" i="1"/>
  <c r="D301" i="1"/>
  <c r="F301" i="1"/>
  <c r="N301" i="1"/>
  <c r="C302" i="27"/>
  <c r="D301" i="27"/>
  <c r="F301" i="27"/>
  <c r="E301" i="27"/>
  <c r="N301" i="27"/>
  <c r="G301" i="27"/>
  <c r="L301" i="27"/>
  <c r="M301" i="27"/>
  <c r="K301" i="27"/>
  <c r="J301" i="27"/>
  <c r="I301" i="27"/>
  <c r="H301" i="27"/>
  <c r="J301" i="26"/>
  <c r="F301" i="26"/>
  <c r="G301" i="26"/>
  <c r="D301" i="26"/>
  <c r="H301" i="26"/>
  <c r="E301" i="26"/>
  <c r="K301" i="26"/>
  <c r="I301" i="26"/>
  <c r="C302" i="26"/>
  <c r="N301" i="26"/>
  <c r="M301" i="26"/>
  <c r="L301" i="26"/>
  <c r="M300" i="25"/>
  <c r="N300" i="25"/>
  <c r="C301" i="25"/>
  <c r="L300" i="25"/>
  <c r="K300" i="25"/>
  <c r="J300" i="25"/>
  <c r="I300" i="25"/>
  <c r="H300" i="25"/>
  <c r="G300" i="25"/>
  <c r="F300" i="25"/>
  <c r="E300" i="25"/>
  <c r="D300" i="25"/>
  <c r="J297" i="20"/>
  <c r="I297" i="20"/>
  <c r="N297" i="20"/>
  <c r="F297" i="20"/>
  <c r="M297" i="20"/>
  <c r="E297" i="20"/>
  <c r="C298" i="20"/>
  <c r="K297" i="20"/>
  <c r="H297" i="20"/>
  <c r="G297" i="20"/>
  <c r="D297" i="20"/>
  <c r="L297" i="20"/>
  <c r="I298" i="19"/>
  <c r="H298" i="19"/>
  <c r="C299" i="19"/>
  <c r="G298" i="19"/>
  <c r="N298" i="19"/>
  <c r="F298" i="19"/>
  <c r="M298" i="19"/>
  <c r="E298" i="19"/>
  <c r="K298" i="19"/>
  <c r="L298" i="19"/>
  <c r="D298" i="19"/>
  <c r="J298" i="19"/>
  <c r="M297" i="18"/>
  <c r="E297" i="18"/>
  <c r="L297" i="18"/>
  <c r="D297" i="18"/>
  <c r="K297" i="18"/>
  <c r="J297" i="18"/>
  <c r="I297" i="18"/>
  <c r="H297" i="18"/>
  <c r="C298" i="18"/>
  <c r="G297" i="18"/>
  <c r="N297" i="18"/>
  <c r="F297" i="18"/>
  <c r="F302" i="1" l="1"/>
  <c r="E302" i="1"/>
  <c r="N302" i="1"/>
  <c r="M302" i="1"/>
  <c r="I302" i="1"/>
  <c r="C303" i="1"/>
  <c r="G302" i="1"/>
  <c r="L302" i="1"/>
  <c r="D302" i="1"/>
  <c r="K302" i="1"/>
  <c r="H302" i="1"/>
  <c r="J302" i="1"/>
  <c r="F302" i="27"/>
  <c r="E302" i="27"/>
  <c r="H302" i="27"/>
  <c r="L302" i="27"/>
  <c r="I302" i="27"/>
  <c r="M302" i="27"/>
  <c r="N302" i="27"/>
  <c r="K302" i="27"/>
  <c r="D302" i="27"/>
  <c r="J302" i="27"/>
  <c r="G302" i="27"/>
  <c r="C303" i="27"/>
  <c r="E302" i="26"/>
  <c r="C303" i="26"/>
  <c r="L302" i="26"/>
  <c r="N302" i="26"/>
  <c r="K302" i="26"/>
  <c r="M302" i="26"/>
  <c r="J302" i="26"/>
  <c r="I302" i="26"/>
  <c r="H302" i="26"/>
  <c r="F302" i="26"/>
  <c r="D302" i="26"/>
  <c r="G302" i="26"/>
  <c r="J301" i="25"/>
  <c r="G301" i="25"/>
  <c r="F301" i="25"/>
  <c r="E301" i="25"/>
  <c r="D301" i="25"/>
  <c r="N301" i="25"/>
  <c r="M301" i="25"/>
  <c r="L301" i="25"/>
  <c r="K301" i="25"/>
  <c r="I301" i="25"/>
  <c r="H301" i="25"/>
  <c r="C302" i="25"/>
  <c r="N298" i="20"/>
  <c r="F298" i="20"/>
  <c r="M298" i="20"/>
  <c r="E298" i="20"/>
  <c r="J298" i="20"/>
  <c r="I298" i="20"/>
  <c r="C299" i="20"/>
  <c r="L298" i="20"/>
  <c r="K298" i="20"/>
  <c r="H298" i="20"/>
  <c r="G298" i="20"/>
  <c r="D298" i="20"/>
  <c r="M299" i="19"/>
  <c r="E299" i="19"/>
  <c r="L299" i="19"/>
  <c r="D299" i="19"/>
  <c r="K299" i="19"/>
  <c r="J299" i="19"/>
  <c r="I299" i="19"/>
  <c r="C300" i="19"/>
  <c r="G299" i="19"/>
  <c r="N299" i="19"/>
  <c r="H299" i="19"/>
  <c r="F299" i="19"/>
  <c r="I298" i="18"/>
  <c r="H298" i="18"/>
  <c r="C299" i="18"/>
  <c r="G298" i="18"/>
  <c r="N298" i="18"/>
  <c r="F298" i="18"/>
  <c r="M298" i="18"/>
  <c r="E298" i="18"/>
  <c r="L298" i="18"/>
  <c r="D298" i="18"/>
  <c r="K298" i="18"/>
  <c r="J298" i="18"/>
  <c r="L303" i="1" l="1"/>
  <c r="J303" i="1"/>
  <c r="I303" i="1"/>
  <c r="M303" i="1"/>
  <c r="H303" i="1"/>
  <c r="G303" i="1"/>
  <c r="F303" i="1"/>
  <c r="D303" i="1"/>
  <c r="E303" i="1"/>
  <c r="K303" i="1"/>
  <c r="C304" i="1"/>
  <c r="N303" i="1"/>
  <c r="J303" i="27"/>
  <c r="I303" i="27"/>
  <c r="N303" i="27"/>
  <c r="K303" i="27"/>
  <c r="D303" i="27"/>
  <c r="F303" i="27"/>
  <c r="H303" i="27"/>
  <c r="G303" i="27"/>
  <c r="C304" i="27"/>
  <c r="M303" i="27"/>
  <c r="E303" i="27"/>
  <c r="L303" i="27"/>
  <c r="I303" i="26"/>
  <c r="D303" i="26"/>
  <c r="F303" i="26"/>
  <c r="E303" i="26"/>
  <c r="L303" i="26"/>
  <c r="K303" i="26"/>
  <c r="J303" i="26"/>
  <c r="C304" i="26"/>
  <c r="N303" i="26"/>
  <c r="M303" i="26"/>
  <c r="H303" i="26"/>
  <c r="G303" i="26"/>
  <c r="F302" i="25"/>
  <c r="E302" i="25"/>
  <c r="H302" i="25"/>
  <c r="J302" i="25"/>
  <c r="C303" i="25"/>
  <c r="N302" i="25"/>
  <c r="M302" i="25"/>
  <c r="L302" i="25"/>
  <c r="K302" i="25"/>
  <c r="I302" i="25"/>
  <c r="G302" i="25"/>
  <c r="D302" i="25"/>
  <c r="J299" i="20"/>
  <c r="I299" i="20"/>
  <c r="N299" i="20"/>
  <c r="F299" i="20"/>
  <c r="M299" i="20"/>
  <c r="E299" i="20"/>
  <c r="G299" i="20"/>
  <c r="C300" i="20"/>
  <c r="L299" i="20"/>
  <c r="K299" i="20"/>
  <c r="H299" i="20"/>
  <c r="D299" i="20"/>
  <c r="I300" i="19"/>
  <c r="H300" i="19"/>
  <c r="C301" i="19"/>
  <c r="G300" i="19"/>
  <c r="N300" i="19"/>
  <c r="F300" i="19"/>
  <c r="M300" i="19"/>
  <c r="E300" i="19"/>
  <c r="K300" i="19"/>
  <c r="D300" i="19"/>
  <c r="L300" i="19"/>
  <c r="J300" i="19"/>
  <c r="C300" i="18"/>
  <c r="M299" i="18"/>
  <c r="E299" i="18"/>
  <c r="L299" i="18"/>
  <c r="D299" i="18"/>
  <c r="K299" i="18"/>
  <c r="J299" i="18"/>
  <c r="I299" i="18"/>
  <c r="H299" i="18"/>
  <c r="G299" i="18"/>
  <c r="F299" i="18"/>
  <c r="N299" i="18"/>
  <c r="M304" i="1" l="1"/>
  <c r="AQ14" i="1" s="1"/>
  <c r="N82" i="8" s="1"/>
  <c r="L304" i="1"/>
  <c r="AP14" i="1" s="1"/>
  <c r="N81" i="8" s="1"/>
  <c r="J304" i="1"/>
  <c r="AN14" i="1" s="1"/>
  <c r="N79" i="8" s="1"/>
  <c r="I304" i="1"/>
  <c r="AM14" i="1" s="1"/>
  <c r="N78" i="8" s="1"/>
  <c r="C308" i="1"/>
  <c r="H304" i="1"/>
  <c r="AL14" i="1" s="1"/>
  <c r="N77" i="8" s="1"/>
  <c r="E304" i="1"/>
  <c r="AI14" i="1" s="1"/>
  <c r="N74" i="8" s="1"/>
  <c r="G304" i="1"/>
  <c r="AK14" i="1" s="1"/>
  <c r="N76" i="8" s="1"/>
  <c r="F304" i="1"/>
  <c r="AJ14" i="1" s="1"/>
  <c r="N75" i="8" s="1"/>
  <c r="K304" i="1"/>
  <c r="AO14" i="1" s="1"/>
  <c r="N80" i="8" s="1"/>
  <c r="N304" i="1"/>
  <c r="AR14" i="1" s="1"/>
  <c r="N83" i="8" s="1"/>
  <c r="D304" i="1"/>
  <c r="AH14" i="1" s="1"/>
  <c r="N304" i="27"/>
  <c r="AR14" i="27" s="1"/>
  <c r="N83" i="24" s="1"/>
  <c r="M304" i="27"/>
  <c r="AQ14" i="27" s="1"/>
  <c r="N82" i="24" s="1"/>
  <c r="H304" i="27"/>
  <c r="AL14" i="27" s="1"/>
  <c r="N77" i="24" s="1"/>
  <c r="E304" i="27"/>
  <c r="AI14" i="27" s="1"/>
  <c r="N74" i="24" s="1"/>
  <c r="K304" i="27"/>
  <c r="AO14" i="27" s="1"/>
  <c r="N80" i="24" s="1"/>
  <c r="L304" i="27"/>
  <c r="AP14" i="27" s="1"/>
  <c r="N81" i="24" s="1"/>
  <c r="J304" i="27"/>
  <c r="AN14" i="27" s="1"/>
  <c r="N79" i="24" s="1"/>
  <c r="G304" i="27"/>
  <c r="AK14" i="27" s="1"/>
  <c r="N76" i="24" s="1"/>
  <c r="F304" i="27"/>
  <c r="AJ14" i="27" s="1"/>
  <c r="N75" i="24" s="1"/>
  <c r="C308" i="27"/>
  <c r="I304" i="27"/>
  <c r="AM14" i="27" s="1"/>
  <c r="N78" i="24" s="1"/>
  <c r="D304" i="27"/>
  <c r="AH14" i="27" s="1"/>
  <c r="M304" i="26"/>
  <c r="AQ14" i="26" s="1"/>
  <c r="N82" i="23" s="1"/>
  <c r="H304" i="26"/>
  <c r="AL14" i="26" s="1"/>
  <c r="N77" i="23" s="1"/>
  <c r="F304" i="26"/>
  <c r="AJ14" i="26" s="1"/>
  <c r="N75" i="23" s="1"/>
  <c r="J304" i="26"/>
  <c r="AN14" i="26" s="1"/>
  <c r="N79" i="23" s="1"/>
  <c r="I304" i="26"/>
  <c r="AM14" i="26" s="1"/>
  <c r="N78" i="23" s="1"/>
  <c r="N304" i="26"/>
  <c r="AR14" i="26" s="1"/>
  <c r="N83" i="23" s="1"/>
  <c r="L304" i="26"/>
  <c r="AP14" i="26" s="1"/>
  <c r="N81" i="23" s="1"/>
  <c r="E304" i="26"/>
  <c r="AI14" i="26" s="1"/>
  <c r="N74" i="23" s="1"/>
  <c r="D304" i="26"/>
  <c r="AH14" i="26" s="1"/>
  <c r="C308" i="26"/>
  <c r="K304" i="26"/>
  <c r="AO14" i="26" s="1"/>
  <c r="N80" i="23" s="1"/>
  <c r="G304" i="26"/>
  <c r="AK14" i="26" s="1"/>
  <c r="N76" i="23" s="1"/>
  <c r="J303" i="25"/>
  <c r="I303" i="25"/>
  <c r="N303" i="25"/>
  <c r="F303" i="25"/>
  <c r="D303" i="25"/>
  <c r="H303" i="25"/>
  <c r="G303" i="25"/>
  <c r="E303" i="25"/>
  <c r="C304" i="25"/>
  <c r="M303" i="25"/>
  <c r="L303" i="25"/>
  <c r="K303" i="25"/>
  <c r="N300" i="20"/>
  <c r="F300" i="20"/>
  <c r="M300" i="20"/>
  <c r="E300" i="20"/>
  <c r="J300" i="20"/>
  <c r="I300" i="20"/>
  <c r="K300" i="20"/>
  <c r="G300" i="20"/>
  <c r="D300" i="20"/>
  <c r="C301" i="20"/>
  <c r="H300" i="20"/>
  <c r="L300" i="20"/>
  <c r="M301" i="19"/>
  <c r="E301" i="19"/>
  <c r="L301" i="19"/>
  <c r="D301" i="19"/>
  <c r="K301" i="19"/>
  <c r="J301" i="19"/>
  <c r="I301" i="19"/>
  <c r="C302" i="19"/>
  <c r="G301" i="19"/>
  <c r="N301" i="19"/>
  <c r="H301" i="19"/>
  <c r="F301" i="19"/>
  <c r="N300" i="18"/>
  <c r="F300" i="18"/>
  <c r="M300" i="18"/>
  <c r="L300" i="18"/>
  <c r="K300" i="18"/>
  <c r="C301" i="18"/>
  <c r="J300" i="18"/>
  <c r="I300" i="18"/>
  <c r="H300" i="18"/>
  <c r="G300" i="18"/>
  <c r="E300" i="18"/>
  <c r="D300" i="18"/>
  <c r="N84" i="8" l="1"/>
  <c r="N86" i="8" s="1"/>
  <c r="N308" i="1"/>
  <c r="K308" i="1"/>
  <c r="H308" i="1"/>
  <c r="I308" i="1"/>
  <c r="M308" i="1"/>
  <c r="D308" i="1"/>
  <c r="L308" i="1"/>
  <c r="G308" i="1"/>
  <c r="E308" i="1"/>
  <c r="F308" i="1"/>
  <c r="C309" i="1"/>
  <c r="J308" i="1"/>
  <c r="N84" i="24"/>
  <c r="N86" i="24" s="1"/>
  <c r="N84" i="23"/>
  <c r="N86" i="23" s="1"/>
  <c r="H308" i="27"/>
  <c r="E308" i="27"/>
  <c r="M308" i="27"/>
  <c r="D308" i="27"/>
  <c r="J308" i="27"/>
  <c r="F308" i="27"/>
  <c r="I308" i="27"/>
  <c r="C309" i="27"/>
  <c r="N308" i="27"/>
  <c r="L308" i="27"/>
  <c r="K308" i="27"/>
  <c r="G308" i="27"/>
  <c r="M308" i="26"/>
  <c r="L308" i="26"/>
  <c r="F308" i="26"/>
  <c r="E308" i="26"/>
  <c r="D308" i="26"/>
  <c r="C309" i="26"/>
  <c r="N308" i="26"/>
  <c r="K308" i="26"/>
  <c r="I308" i="26"/>
  <c r="H308" i="26"/>
  <c r="G308" i="26"/>
  <c r="J308" i="26"/>
  <c r="N304" i="25"/>
  <c r="AR14" i="25" s="1"/>
  <c r="N83" i="22" s="1"/>
  <c r="M304" i="25"/>
  <c r="AQ14" i="25" s="1"/>
  <c r="N82" i="22" s="1"/>
  <c r="E304" i="25"/>
  <c r="AI14" i="25" s="1"/>
  <c r="N74" i="22" s="1"/>
  <c r="C308" i="25"/>
  <c r="L304" i="25"/>
  <c r="AP14" i="25" s="1"/>
  <c r="N81" i="22" s="1"/>
  <c r="K304" i="25"/>
  <c r="AO14" i="25" s="1"/>
  <c r="N80" i="22" s="1"/>
  <c r="J304" i="25"/>
  <c r="AN14" i="25" s="1"/>
  <c r="N79" i="22" s="1"/>
  <c r="I304" i="25"/>
  <c r="AM14" i="25" s="1"/>
  <c r="N78" i="22" s="1"/>
  <c r="H304" i="25"/>
  <c r="AL14" i="25" s="1"/>
  <c r="N77" i="22" s="1"/>
  <c r="G304" i="25"/>
  <c r="AK14" i="25" s="1"/>
  <c r="N76" i="22" s="1"/>
  <c r="F304" i="25"/>
  <c r="AJ14" i="25" s="1"/>
  <c r="N75" i="22" s="1"/>
  <c r="D304" i="25"/>
  <c r="AH14" i="25" s="1"/>
  <c r="J301" i="20"/>
  <c r="I301" i="20"/>
  <c r="N301" i="20"/>
  <c r="F301" i="20"/>
  <c r="M301" i="20"/>
  <c r="E301" i="20"/>
  <c r="C302" i="20"/>
  <c r="K301" i="20"/>
  <c r="H301" i="20"/>
  <c r="G301" i="20"/>
  <c r="D301" i="20"/>
  <c r="L301" i="20"/>
  <c r="I302" i="19"/>
  <c r="H302" i="19"/>
  <c r="C303" i="19"/>
  <c r="G302" i="19"/>
  <c r="N302" i="19"/>
  <c r="F302" i="19"/>
  <c r="M302" i="19"/>
  <c r="E302" i="19"/>
  <c r="K302" i="19"/>
  <c r="L302" i="19"/>
  <c r="J302" i="19"/>
  <c r="D302" i="19"/>
  <c r="M301" i="18"/>
  <c r="E301" i="18"/>
  <c r="J301" i="18"/>
  <c r="I301" i="18"/>
  <c r="H301" i="18"/>
  <c r="C302" i="18"/>
  <c r="G301" i="18"/>
  <c r="N301" i="18"/>
  <c r="L301" i="18"/>
  <c r="K301" i="18"/>
  <c r="F301" i="18"/>
  <c r="D301" i="18"/>
  <c r="G309" i="1" l="1"/>
  <c r="C310" i="1"/>
  <c r="I309" i="1"/>
  <c r="M309" i="1"/>
  <c r="N309" i="1"/>
  <c r="L309" i="1"/>
  <c r="D309" i="1"/>
  <c r="H309" i="1"/>
  <c r="K309" i="1"/>
  <c r="J309" i="1"/>
  <c r="F309" i="1"/>
  <c r="E309" i="1"/>
  <c r="N84" i="22"/>
  <c r="N86" i="22" s="1"/>
  <c r="F309" i="27"/>
  <c r="E309" i="27"/>
  <c r="N309" i="27"/>
  <c r="K309" i="27"/>
  <c r="D309" i="27"/>
  <c r="L309" i="27"/>
  <c r="I309" i="27"/>
  <c r="H309" i="27"/>
  <c r="J309" i="27"/>
  <c r="C310" i="27"/>
  <c r="M309" i="27"/>
  <c r="G309" i="27"/>
  <c r="E309" i="26"/>
  <c r="F309" i="26"/>
  <c r="G309" i="26"/>
  <c r="K309" i="26"/>
  <c r="J309" i="26"/>
  <c r="C310" i="26"/>
  <c r="D309" i="26"/>
  <c r="N309" i="26"/>
  <c r="M309" i="26"/>
  <c r="L309" i="26"/>
  <c r="I309" i="26"/>
  <c r="H309" i="26"/>
  <c r="H308" i="25"/>
  <c r="L308" i="25"/>
  <c r="D308" i="25"/>
  <c r="K308" i="25"/>
  <c r="J308" i="25"/>
  <c r="I308" i="25"/>
  <c r="G308" i="25"/>
  <c r="F308" i="25"/>
  <c r="E308" i="25"/>
  <c r="N308" i="25"/>
  <c r="M308" i="25"/>
  <c r="C309" i="25"/>
  <c r="N302" i="20"/>
  <c r="F302" i="20"/>
  <c r="M302" i="20"/>
  <c r="E302" i="20"/>
  <c r="J302" i="20"/>
  <c r="I302" i="20"/>
  <c r="C303" i="20"/>
  <c r="L302" i="20"/>
  <c r="K302" i="20"/>
  <c r="H302" i="20"/>
  <c r="G302" i="20"/>
  <c r="D302" i="20"/>
  <c r="M303" i="19"/>
  <c r="E303" i="19"/>
  <c r="L303" i="19"/>
  <c r="D303" i="19"/>
  <c r="K303" i="19"/>
  <c r="J303" i="19"/>
  <c r="I303" i="19"/>
  <c r="C304" i="19"/>
  <c r="G303" i="19"/>
  <c r="H303" i="19"/>
  <c r="N303" i="19"/>
  <c r="F303" i="19"/>
  <c r="I302" i="18"/>
  <c r="N302" i="18"/>
  <c r="F302" i="18"/>
  <c r="M302" i="18"/>
  <c r="E302" i="18"/>
  <c r="L302" i="18"/>
  <c r="D302" i="18"/>
  <c r="K302" i="18"/>
  <c r="J302" i="18"/>
  <c r="H302" i="18"/>
  <c r="G302" i="18"/>
  <c r="C303" i="18"/>
  <c r="D310" i="1" l="1"/>
  <c r="F310" i="1"/>
  <c r="E310" i="1"/>
  <c r="L310" i="1"/>
  <c r="I310" i="1"/>
  <c r="H310" i="1"/>
  <c r="M310" i="1"/>
  <c r="G310" i="1"/>
  <c r="J310" i="1"/>
  <c r="C311" i="1"/>
  <c r="K310" i="1"/>
  <c r="N310" i="1"/>
  <c r="J310" i="27"/>
  <c r="I310" i="27"/>
  <c r="N310" i="27"/>
  <c r="K310" i="27"/>
  <c r="D310" i="27"/>
  <c r="M310" i="27"/>
  <c r="G310" i="27"/>
  <c r="H310" i="27"/>
  <c r="F310" i="27"/>
  <c r="L310" i="27"/>
  <c r="E310" i="27"/>
  <c r="C311" i="27"/>
  <c r="I310" i="26"/>
  <c r="F310" i="26"/>
  <c r="G310" i="26"/>
  <c r="M310" i="26"/>
  <c r="C311" i="26"/>
  <c r="E310" i="26"/>
  <c r="D310" i="26"/>
  <c r="K310" i="26"/>
  <c r="J310" i="26"/>
  <c r="H310" i="26"/>
  <c r="N310" i="26"/>
  <c r="L310" i="26"/>
  <c r="F309" i="25"/>
  <c r="E309" i="25"/>
  <c r="N309" i="25"/>
  <c r="L309" i="25"/>
  <c r="M309" i="25"/>
  <c r="K309" i="25"/>
  <c r="J309" i="25"/>
  <c r="C310" i="25"/>
  <c r="I309" i="25"/>
  <c r="H309" i="25"/>
  <c r="G309" i="25"/>
  <c r="D309" i="25"/>
  <c r="J303" i="20"/>
  <c r="I303" i="20"/>
  <c r="N303" i="20"/>
  <c r="F303" i="20"/>
  <c r="M303" i="20"/>
  <c r="E303" i="20"/>
  <c r="G303" i="20"/>
  <c r="C304" i="20"/>
  <c r="L303" i="20"/>
  <c r="K303" i="20"/>
  <c r="H303" i="20"/>
  <c r="D303" i="20"/>
  <c r="M304" i="19"/>
  <c r="AQ14" i="19" s="1"/>
  <c r="N82" i="12" s="1"/>
  <c r="L304" i="19"/>
  <c r="AP14" i="19" s="1"/>
  <c r="N81" i="12" s="1"/>
  <c r="H304" i="19"/>
  <c r="AL14" i="19" s="1"/>
  <c r="N77" i="12" s="1"/>
  <c r="J304" i="19"/>
  <c r="AN14" i="19" s="1"/>
  <c r="N79" i="12" s="1"/>
  <c r="I304" i="19"/>
  <c r="AM14" i="19" s="1"/>
  <c r="N78" i="12" s="1"/>
  <c r="G304" i="19"/>
  <c r="AK14" i="19" s="1"/>
  <c r="N76" i="12" s="1"/>
  <c r="F304" i="19"/>
  <c r="AJ14" i="19" s="1"/>
  <c r="N75" i="12" s="1"/>
  <c r="E304" i="19"/>
  <c r="AI14" i="19" s="1"/>
  <c r="N304" i="19"/>
  <c r="AR14" i="19" s="1"/>
  <c r="N83" i="12" s="1"/>
  <c r="C308" i="19"/>
  <c r="K304" i="19"/>
  <c r="AO14" i="19" s="1"/>
  <c r="N80" i="12" s="1"/>
  <c r="D304" i="19"/>
  <c r="AH14" i="19" s="1"/>
  <c r="M303" i="18"/>
  <c r="E303" i="18"/>
  <c r="J303" i="18"/>
  <c r="I303" i="18"/>
  <c r="H303" i="18"/>
  <c r="C304" i="18"/>
  <c r="G303" i="18"/>
  <c r="N303" i="18"/>
  <c r="L303" i="18"/>
  <c r="K303" i="18"/>
  <c r="F303" i="18"/>
  <c r="D303" i="18"/>
  <c r="K311" i="1" l="1"/>
  <c r="J311" i="1"/>
  <c r="I311" i="1"/>
  <c r="N311" i="1"/>
  <c r="C312" i="1"/>
  <c r="F311" i="1"/>
  <c r="M311" i="1"/>
  <c r="D311" i="1"/>
  <c r="G311" i="1"/>
  <c r="H311" i="1"/>
  <c r="E311" i="1"/>
  <c r="L311" i="1"/>
  <c r="N74" i="12"/>
  <c r="N84" i="12" s="1"/>
  <c r="N86" i="12" s="1"/>
  <c r="N311" i="27"/>
  <c r="M311" i="27"/>
  <c r="H311" i="27"/>
  <c r="E311" i="27"/>
  <c r="K311" i="27"/>
  <c r="D311" i="27"/>
  <c r="G311" i="27"/>
  <c r="F311" i="27"/>
  <c r="C312" i="27"/>
  <c r="L311" i="27"/>
  <c r="J311" i="27"/>
  <c r="I311" i="27"/>
  <c r="M311" i="26"/>
  <c r="K311" i="26"/>
  <c r="N311" i="26"/>
  <c r="H311" i="26"/>
  <c r="G311" i="26"/>
  <c r="L311" i="26"/>
  <c r="J311" i="26"/>
  <c r="I311" i="26"/>
  <c r="C312" i="26"/>
  <c r="F311" i="26"/>
  <c r="E311" i="26"/>
  <c r="D311" i="26"/>
  <c r="J310" i="25"/>
  <c r="I310" i="25"/>
  <c r="G310" i="25"/>
  <c r="N310" i="25"/>
  <c r="M310" i="25"/>
  <c r="L310" i="25"/>
  <c r="K310" i="25"/>
  <c r="H310" i="25"/>
  <c r="F310" i="25"/>
  <c r="C311" i="25"/>
  <c r="E310" i="25"/>
  <c r="D310" i="25"/>
  <c r="N304" i="20"/>
  <c r="AR14" i="20" s="1"/>
  <c r="F304" i="20"/>
  <c r="AJ14" i="20" s="1"/>
  <c r="M304" i="20"/>
  <c r="AQ14" i="20" s="1"/>
  <c r="E304" i="20"/>
  <c r="AI14" i="20" s="1"/>
  <c r="K304" i="20"/>
  <c r="AO14" i="20" s="1"/>
  <c r="J304" i="20"/>
  <c r="AN14" i="20" s="1"/>
  <c r="I304" i="20"/>
  <c r="AM14" i="20" s="1"/>
  <c r="L304" i="20"/>
  <c r="AP14" i="20" s="1"/>
  <c r="G304" i="20"/>
  <c r="AK14" i="20" s="1"/>
  <c r="D304" i="20"/>
  <c r="AH14" i="20" s="1"/>
  <c r="C308" i="20"/>
  <c r="H304" i="20"/>
  <c r="AL14" i="20" s="1"/>
  <c r="I308" i="19"/>
  <c r="H308" i="19"/>
  <c r="N308" i="19"/>
  <c r="F308" i="19"/>
  <c r="L308" i="19"/>
  <c r="D308" i="19"/>
  <c r="M308" i="19"/>
  <c r="K308" i="19"/>
  <c r="J308" i="19"/>
  <c r="G308" i="19"/>
  <c r="E308" i="19"/>
  <c r="C309" i="19"/>
  <c r="I304" i="18"/>
  <c r="AM14" i="18" s="1"/>
  <c r="N304" i="18"/>
  <c r="AR14" i="18" s="1"/>
  <c r="F304" i="18"/>
  <c r="AJ14" i="18" s="1"/>
  <c r="M304" i="18"/>
  <c r="AQ14" i="18" s="1"/>
  <c r="E304" i="18"/>
  <c r="AI14" i="18" s="1"/>
  <c r="L304" i="18"/>
  <c r="AP14" i="18" s="1"/>
  <c r="D304" i="18"/>
  <c r="AH14" i="18" s="1"/>
  <c r="K304" i="18"/>
  <c r="AO14" i="18" s="1"/>
  <c r="H304" i="18"/>
  <c r="AL14" i="18" s="1"/>
  <c r="G304" i="18"/>
  <c r="AK14" i="18" s="1"/>
  <c r="C308" i="18"/>
  <c r="J304" i="18"/>
  <c r="AN14" i="18" s="1"/>
  <c r="H312" i="1" l="1"/>
  <c r="M312" i="1"/>
  <c r="I312" i="1"/>
  <c r="G312" i="1"/>
  <c r="J312" i="1"/>
  <c r="F312" i="1"/>
  <c r="E312" i="1"/>
  <c r="C313" i="1"/>
  <c r="D312" i="1"/>
  <c r="L312" i="1"/>
  <c r="K312" i="1"/>
  <c r="N312" i="1"/>
  <c r="N312" i="27"/>
  <c r="K312" i="27"/>
  <c r="J312" i="27"/>
  <c r="G312" i="27"/>
  <c r="D312" i="27"/>
  <c r="L312" i="27"/>
  <c r="C313" i="27"/>
  <c r="I312" i="27"/>
  <c r="H312" i="27"/>
  <c r="M312" i="27"/>
  <c r="F312" i="27"/>
  <c r="E312" i="27"/>
  <c r="H312" i="26"/>
  <c r="K312" i="26"/>
  <c r="G312" i="26"/>
  <c r="F312" i="26"/>
  <c r="E312" i="26"/>
  <c r="C313" i="26"/>
  <c r="N312" i="26"/>
  <c r="M312" i="26"/>
  <c r="L312" i="26"/>
  <c r="J312" i="26"/>
  <c r="I312" i="26"/>
  <c r="D312" i="26"/>
  <c r="N311" i="25"/>
  <c r="M311" i="25"/>
  <c r="H311" i="25"/>
  <c r="I311" i="25"/>
  <c r="K311" i="25"/>
  <c r="J311" i="25"/>
  <c r="G311" i="25"/>
  <c r="C312" i="25"/>
  <c r="L311" i="25"/>
  <c r="F311" i="25"/>
  <c r="E311" i="25"/>
  <c r="D311" i="25"/>
  <c r="J308" i="20"/>
  <c r="I308" i="20"/>
  <c r="C309" i="20"/>
  <c r="G308" i="20"/>
  <c r="N308" i="20"/>
  <c r="F308" i="20"/>
  <c r="M308" i="20"/>
  <c r="E308" i="20"/>
  <c r="L308" i="20"/>
  <c r="K308" i="20"/>
  <c r="H308" i="20"/>
  <c r="D308" i="20"/>
  <c r="M309" i="19"/>
  <c r="E309" i="19"/>
  <c r="L309" i="19"/>
  <c r="D309" i="19"/>
  <c r="J309" i="19"/>
  <c r="H309" i="19"/>
  <c r="C310" i="19"/>
  <c r="N309" i="19"/>
  <c r="K309" i="19"/>
  <c r="I309" i="19"/>
  <c r="F309" i="19"/>
  <c r="G309" i="19"/>
  <c r="M308" i="18"/>
  <c r="E308" i="18"/>
  <c r="J308" i="18"/>
  <c r="I308" i="18"/>
  <c r="H308" i="18"/>
  <c r="C309" i="18"/>
  <c r="G308" i="18"/>
  <c r="N308" i="18"/>
  <c r="L308" i="18"/>
  <c r="K308" i="18"/>
  <c r="F308" i="18"/>
  <c r="D308" i="18"/>
  <c r="H313" i="1" l="1"/>
  <c r="G313" i="1"/>
  <c r="C314" i="1"/>
  <c r="F313" i="1"/>
  <c r="N313" i="1"/>
  <c r="I313" i="1"/>
  <c r="E313" i="1"/>
  <c r="M313" i="1"/>
  <c r="J313" i="1"/>
  <c r="D313" i="1"/>
  <c r="K313" i="1"/>
  <c r="L313" i="1"/>
  <c r="F313" i="27"/>
  <c r="E313" i="27"/>
  <c r="C314" i="27"/>
  <c r="N313" i="27"/>
  <c r="K313" i="27"/>
  <c r="D313" i="27"/>
  <c r="J313" i="27"/>
  <c r="G313" i="27"/>
  <c r="M313" i="27"/>
  <c r="L313" i="27"/>
  <c r="I313" i="27"/>
  <c r="H313" i="27"/>
  <c r="E313" i="26"/>
  <c r="D313" i="26"/>
  <c r="H313" i="26"/>
  <c r="C314" i="26"/>
  <c r="G313" i="26"/>
  <c r="F313" i="26"/>
  <c r="N313" i="26"/>
  <c r="K313" i="26"/>
  <c r="J313" i="26"/>
  <c r="I313" i="26"/>
  <c r="L313" i="26"/>
  <c r="M313" i="26"/>
  <c r="N312" i="25"/>
  <c r="D312" i="25"/>
  <c r="C313" i="25"/>
  <c r="M312" i="25"/>
  <c r="L312" i="25"/>
  <c r="K312" i="25"/>
  <c r="J312" i="25"/>
  <c r="I312" i="25"/>
  <c r="F312" i="25"/>
  <c r="E312" i="25"/>
  <c r="H312" i="25"/>
  <c r="G312" i="25"/>
  <c r="N309" i="20"/>
  <c r="F309" i="20"/>
  <c r="M309" i="20"/>
  <c r="E309" i="20"/>
  <c r="K309" i="20"/>
  <c r="J309" i="20"/>
  <c r="I309" i="20"/>
  <c r="H309" i="20"/>
  <c r="D309" i="20"/>
  <c r="C310" i="20"/>
  <c r="G309" i="20"/>
  <c r="L309" i="20"/>
  <c r="I310" i="19"/>
  <c r="H310" i="19"/>
  <c r="N310" i="19"/>
  <c r="F310" i="19"/>
  <c r="L310" i="19"/>
  <c r="D310" i="19"/>
  <c r="E310" i="19"/>
  <c r="C311" i="19"/>
  <c r="M310" i="19"/>
  <c r="J310" i="19"/>
  <c r="K310" i="19"/>
  <c r="G310" i="19"/>
  <c r="I309" i="18"/>
  <c r="N309" i="18"/>
  <c r="F309" i="18"/>
  <c r="M309" i="18"/>
  <c r="E309" i="18"/>
  <c r="L309" i="18"/>
  <c r="D309" i="18"/>
  <c r="K309" i="18"/>
  <c r="G309" i="18"/>
  <c r="C310" i="18"/>
  <c r="J309" i="18"/>
  <c r="H309" i="18"/>
  <c r="M314" i="1" l="1"/>
  <c r="C315" i="1"/>
  <c r="I314" i="1"/>
  <c r="L314" i="1"/>
  <c r="K314" i="1"/>
  <c r="J314" i="1"/>
  <c r="G314" i="1"/>
  <c r="F314" i="1"/>
  <c r="N314" i="1"/>
  <c r="E314" i="1"/>
  <c r="H314" i="1"/>
  <c r="D314" i="1"/>
  <c r="J314" i="27"/>
  <c r="I314" i="27"/>
  <c r="H314" i="27"/>
  <c r="E314" i="27"/>
  <c r="G314" i="27"/>
  <c r="C315" i="27"/>
  <c r="M314" i="27"/>
  <c r="L314" i="27"/>
  <c r="F314" i="27"/>
  <c r="D314" i="27"/>
  <c r="N314" i="27"/>
  <c r="K314" i="27"/>
  <c r="I314" i="26"/>
  <c r="J314" i="26"/>
  <c r="N314" i="26"/>
  <c r="G314" i="26"/>
  <c r="H314" i="26"/>
  <c r="F314" i="26"/>
  <c r="E314" i="26"/>
  <c r="K314" i="26"/>
  <c r="D314" i="26"/>
  <c r="C315" i="26"/>
  <c r="M314" i="26"/>
  <c r="L314" i="26"/>
  <c r="F313" i="25"/>
  <c r="E313" i="25"/>
  <c r="K313" i="25"/>
  <c r="G313" i="25"/>
  <c r="J313" i="25"/>
  <c r="I313" i="25"/>
  <c r="H313" i="25"/>
  <c r="C314" i="25"/>
  <c r="N313" i="25"/>
  <c r="M313" i="25"/>
  <c r="L313" i="25"/>
  <c r="D313" i="25"/>
  <c r="J310" i="20"/>
  <c r="I310" i="20"/>
  <c r="C311" i="20"/>
  <c r="G310" i="20"/>
  <c r="N310" i="20"/>
  <c r="F310" i="20"/>
  <c r="M310" i="20"/>
  <c r="E310" i="20"/>
  <c r="L310" i="20"/>
  <c r="K310" i="20"/>
  <c r="H310" i="20"/>
  <c r="D310" i="20"/>
  <c r="M311" i="19"/>
  <c r="E311" i="19"/>
  <c r="L311" i="19"/>
  <c r="D311" i="19"/>
  <c r="J311" i="19"/>
  <c r="H311" i="19"/>
  <c r="I311" i="19"/>
  <c r="G311" i="19"/>
  <c r="F311" i="19"/>
  <c r="N311" i="19"/>
  <c r="C312" i="19"/>
  <c r="K311" i="19"/>
  <c r="M310" i="18"/>
  <c r="E310" i="18"/>
  <c r="J310" i="18"/>
  <c r="I310" i="18"/>
  <c r="H310" i="18"/>
  <c r="C311" i="18"/>
  <c r="G310" i="18"/>
  <c r="N310" i="18"/>
  <c r="L310" i="18"/>
  <c r="K310" i="18"/>
  <c r="F310" i="18"/>
  <c r="D310" i="18"/>
  <c r="J315" i="1" l="1"/>
  <c r="I315" i="1"/>
  <c r="H315" i="1"/>
  <c r="G315" i="1"/>
  <c r="L315" i="1"/>
  <c r="F315" i="1"/>
  <c r="C316" i="1"/>
  <c r="K315" i="1"/>
  <c r="E315" i="1"/>
  <c r="D315" i="1"/>
  <c r="N315" i="1"/>
  <c r="M315" i="1"/>
  <c r="N315" i="27"/>
  <c r="M315" i="27"/>
  <c r="K315" i="27"/>
  <c r="L315" i="27"/>
  <c r="I315" i="27"/>
  <c r="F315" i="27"/>
  <c r="J315" i="27"/>
  <c r="H315" i="27"/>
  <c r="C316" i="27"/>
  <c r="G315" i="27"/>
  <c r="E315" i="27"/>
  <c r="D315" i="27"/>
  <c r="M315" i="26"/>
  <c r="C316" i="26"/>
  <c r="J315" i="26"/>
  <c r="E315" i="26"/>
  <c r="D315" i="26"/>
  <c r="N315" i="26"/>
  <c r="L315" i="26"/>
  <c r="K315" i="26"/>
  <c r="I315" i="26"/>
  <c r="H315" i="26"/>
  <c r="G315" i="26"/>
  <c r="F315" i="26"/>
  <c r="J314" i="25"/>
  <c r="I314" i="25"/>
  <c r="H314" i="25"/>
  <c r="C315" i="25"/>
  <c r="N314" i="25"/>
  <c r="M314" i="25"/>
  <c r="L314" i="25"/>
  <c r="K314" i="25"/>
  <c r="G314" i="25"/>
  <c r="F314" i="25"/>
  <c r="E314" i="25"/>
  <c r="D314" i="25"/>
  <c r="N311" i="20"/>
  <c r="F311" i="20"/>
  <c r="M311" i="20"/>
  <c r="E311" i="20"/>
  <c r="K311" i="20"/>
  <c r="J311" i="20"/>
  <c r="I311" i="20"/>
  <c r="G311" i="20"/>
  <c r="C312" i="20"/>
  <c r="L311" i="20"/>
  <c r="D311" i="20"/>
  <c r="H311" i="20"/>
  <c r="I312" i="19"/>
  <c r="H312" i="19"/>
  <c r="N312" i="19"/>
  <c r="F312" i="19"/>
  <c r="L312" i="19"/>
  <c r="D312" i="19"/>
  <c r="M312" i="19"/>
  <c r="K312" i="19"/>
  <c r="J312" i="19"/>
  <c r="G312" i="19"/>
  <c r="E312" i="19"/>
  <c r="C313" i="19"/>
  <c r="I311" i="18"/>
  <c r="N311" i="18"/>
  <c r="F311" i="18"/>
  <c r="M311" i="18"/>
  <c r="E311" i="18"/>
  <c r="L311" i="18"/>
  <c r="D311" i="18"/>
  <c r="K311" i="18"/>
  <c r="C312" i="18"/>
  <c r="J311" i="18"/>
  <c r="H311" i="18"/>
  <c r="G311" i="18"/>
  <c r="K316" i="1" l="1"/>
  <c r="L316" i="1"/>
  <c r="J316" i="1"/>
  <c r="M316" i="1"/>
  <c r="I316" i="1"/>
  <c r="F316" i="1"/>
  <c r="H316" i="1"/>
  <c r="G316" i="1"/>
  <c r="C317" i="1"/>
  <c r="N316" i="1"/>
  <c r="E316" i="1"/>
  <c r="D316" i="1"/>
  <c r="D316" i="27"/>
  <c r="F316" i="27"/>
  <c r="E316" i="27"/>
  <c r="C317" i="27"/>
  <c r="H316" i="27"/>
  <c r="G316" i="27"/>
  <c r="N316" i="27"/>
  <c r="M316" i="27"/>
  <c r="L316" i="27"/>
  <c r="K316" i="27"/>
  <c r="J316" i="27"/>
  <c r="I316" i="27"/>
  <c r="H316" i="26"/>
  <c r="E316" i="26"/>
  <c r="N316" i="26"/>
  <c r="M316" i="26"/>
  <c r="J316" i="26"/>
  <c r="I316" i="26"/>
  <c r="G316" i="26"/>
  <c r="C317" i="26"/>
  <c r="L316" i="26"/>
  <c r="K316" i="26"/>
  <c r="F316" i="26"/>
  <c r="D316" i="26"/>
  <c r="N315" i="25"/>
  <c r="M315" i="25"/>
  <c r="F315" i="25"/>
  <c r="H315" i="25"/>
  <c r="G315" i="25"/>
  <c r="E315" i="25"/>
  <c r="J315" i="25"/>
  <c r="I315" i="25"/>
  <c r="D315" i="25"/>
  <c r="C316" i="25"/>
  <c r="L315" i="25"/>
  <c r="K315" i="25"/>
  <c r="J312" i="20"/>
  <c r="I312" i="20"/>
  <c r="C313" i="20"/>
  <c r="G312" i="20"/>
  <c r="N312" i="20"/>
  <c r="F312" i="20"/>
  <c r="M312" i="20"/>
  <c r="E312" i="20"/>
  <c r="K312" i="20"/>
  <c r="H312" i="20"/>
  <c r="D312" i="20"/>
  <c r="L312" i="20"/>
  <c r="M313" i="19"/>
  <c r="E313" i="19"/>
  <c r="L313" i="19"/>
  <c r="D313" i="19"/>
  <c r="J313" i="19"/>
  <c r="H313" i="19"/>
  <c r="C314" i="19"/>
  <c r="N313" i="19"/>
  <c r="K313" i="19"/>
  <c r="I313" i="19"/>
  <c r="F313" i="19"/>
  <c r="G313" i="19"/>
  <c r="M312" i="18"/>
  <c r="E312" i="18"/>
  <c r="J312" i="18"/>
  <c r="I312" i="18"/>
  <c r="H312" i="18"/>
  <c r="C313" i="18"/>
  <c r="G312" i="18"/>
  <c r="L312" i="18"/>
  <c r="K312" i="18"/>
  <c r="F312" i="18"/>
  <c r="D312" i="18"/>
  <c r="N312" i="18"/>
  <c r="H317" i="1" l="1"/>
  <c r="E317" i="1"/>
  <c r="G317" i="1"/>
  <c r="L317" i="1"/>
  <c r="C318" i="1"/>
  <c r="K317" i="1"/>
  <c r="I317" i="1"/>
  <c r="J317" i="1"/>
  <c r="D317" i="1"/>
  <c r="N317" i="1"/>
  <c r="M317" i="1"/>
  <c r="F317" i="1"/>
  <c r="F317" i="27"/>
  <c r="E317" i="27"/>
  <c r="J317" i="27"/>
  <c r="G317" i="27"/>
  <c r="N317" i="27"/>
  <c r="K317" i="27"/>
  <c r="L317" i="27"/>
  <c r="I317" i="27"/>
  <c r="M317" i="27"/>
  <c r="H317" i="27"/>
  <c r="C318" i="27"/>
  <c r="D317" i="27"/>
  <c r="E317" i="26"/>
  <c r="H317" i="26"/>
  <c r="N317" i="26"/>
  <c r="F317" i="26"/>
  <c r="M317" i="26"/>
  <c r="D317" i="26"/>
  <c r="G317" i="26"/>
  <c r="C318" i="26"/>
  <c r="L317" i="26"/>
  <c r="I317" i="26"/>
  <c r="K317" i="26"/>
  <c r="J317" i="26"/>
  <c r="D316" i="25"/>
  <c r="M316" i="25"/>
  <c r="K316" i="25"/>
  <c r="C317" i="25"/>
  <c r="N316" i="25"/>
  <c r="E316" i="25"/>
  <c r="L316" i="25"/>
  <c r="J316" i="25"/>
  <c r="I316" i="25"/>
  <c r="H316" i="25"/>
  <c r="G316" i="25"/>
  <c r="F316" i="25"/>
  <c r="N313" i="20"/>
  <c r="F313" i="20"/>
  <c r="M313" i="20"/>
  <c r="E313" i="20"/>
  <c r="K313" i="20"/>
  <c r="J313" i="20"/>
  <c r="I313" i="20"/>
  <c r="D313" i="20"/>
  <c r="C314" i="20"/>
  <c r="L313" i="20"/>
  <c r="H313" i="20"/>
  <c r="G313" i="20"/>
  <c r="I314" i="19"/>
  <c r="H314" i="19"/>
  <c r="N314" i="19"/>
  <c r="F314" i="19"/>
  <c r="L314" i="19"/>
  <c r="D314" i="19"/>
  <c r="E314" i="19"/>
  <c r="C315" i="19"/>
  <c r="M314" i="19"/>
  <c r="J314" i="19"/>
  <c r="K314" i="19"/>
  <c r="G314" i="19"/>
  <c r="I313" i="18"/>
  <c r="N313" i="18"/>
  <c r="F313" i="18"/>
  <c r="M313" i="18"/>
  <c r="E313" i="18"/>
  <c r="L313" i="18"/>
  <c r="D313" i="18"/>
  <c r="K313" i="18"/>
  <c r="C314" i="18"/>
  <c r="J313" i="18"/>
  <c r="H313" i="18"/>
  <c r="G313" i="18"/>
  <c r="G318" i="1" l="1"/>
  <c r="M318" i="1"/>
  <c r="I318" i="1"/>
  <c r="F318" i="1"/>
  <c r="L318" i="1"/>
  <c r="C319" i="1"/>
  <c r="J318" i="1"/>
  <c r="E318" i="1"/>
  <c r="K318" i="1"/>
  <c r="N318" i="1"/>
  <c r="D318" i="1"/>
  <c r="H318" i="1"/>
  <c r="J318" i="27"/>
  <c r="I318" i="27"/>
  <c r="M318" i="27"/>
  <c r="D318" i="27"/>
  <c r="L318" i="27"/>
  <c r="G318" i="27"/>
  <c r="F318" i="27"/>
  <c r="C319" i="27"/>
  <c r="H318" i="27"/>
  <c r="E318" i="27"/>
  <c r="N318" i="27"/>
  <c r="K318" i="27"/>
  <c r="I318" i="26"/>
  <c r="M318" i="26"/>
  <c r="N318" i="26"/>
  <c r="L318" i="26"/>
  <c r="K318" i="26"/>
  <c r="J318" i="26"/>
  <c r="H318" i="26"/>
  <c r="G318" i="26"/>
  <c r="C319" i="26"/>
  <c r="F318" i="26"/>
  <c r="E318" i="26"/>
  <c r="D318" i="26"/>
  <c r="F317" i="25"/>
  <c r="E317" i="25"/>
  <c r="J317" i="25"/>
  <c r="G317" i="25"/>
  <c r="D317" i="25"/>
  <c r="M317" i="25"/>
  <c r="L317" i="25"/>
  <c r="K317" i="25"/>
  <c r="I317" i="25"/>
  <c r="H317" i="25"/>
  <c r="C318" i="25"/>
  <c r="N317" i="25"/>
  <c r="J314" i="20"/>
  <c r="I314" i="20"/>
  <c r="C315" i="20"/>
  <c r="G314" i="20"/>
  <c r="N314" i="20"/>
  <c r="F314" i="20"/>
  <c r="M314" i="20"/>
  <c r="E314" i="20"/>
  <c r="L314" i="20"/>
  <c r="H314" i="20"/>
  <c r="D314" i="20"/>
  <c r="K314" i="20"/>
  <c r="M315" i="19"/>
  <c r="E315" i="19"/>
  <c r="L315" i="19"/>
  <c r="D315" i="19"/>
  <c r="J315" i="19"/>
  <c r="H315" i="19"/>
  <c r="I315" i="19"/>
  <c r="G315" i="19"/>
  <c r="F315" i="19"/>
  <c r="N315" i="19"/>
  <c r="C316" i="19"/>
  <c r="K315" i="19"/>
  <c r="M314" i="18"/>
  <c r="E314" i="18"/>
  <c r="J314" i="18"/>
  <c r="I314" i="18"/>
  <c r="H314" i="18"/>
  <c r="C315" i="18"/>
  <c r="G314" i="18"/>
  <c r="K314" i="18"/>
  <c r="F314" i="18"/>
  <c r="D314" i="18"/>
  <c r="N314" i="18"/>
  <c r="L314" i="18"/>
  <c r="J319" i="1" l="1"/>
  <c r="I319" i="1"/>
  <c r="H319" i="1"/>
  <c r="C320" i="1"/>
  <c r="M319" i="1"/>
  <c r="E319" i="1"/>
  <c r="N319" i="1"/>
  <c r="D319" i="1"/>
  <c r="L319" i="1"/>
  <c r="G319" i="1"/>
  <c r="F319" i="1"/>
  <c r="K319" i="1"/>
  <c r="N319" i="27"/>
  <c r="M319" i="27"/>
  <c r="D319" i="27"/>
  <c r="J319" i="27"/>
  <c r="G319" i="27"/>
  <c r="K319" i="27"/>
  <c r="C320" i="27"/>
  <c r="H319" i="27"/>
  <c r="E319" i="27"/>
  <c r="L319" i="27"/>
  <c r="I319" i="27"/>
  <c r="F319" i="27"/>
  <c r="M319" i="26"/>
  <c r="H319" i="26"/>
  <c r="J319" i="26"/>
  <c r="K319" i="26"/>
  <c r="I319" i="26"/>
  <c r="G319" i="26"/>
  <c r="C320" i="26"/>
  <c r="N319" i="26"/>
  <c r="L319" i="26"/>
  <c r="F319" i="26"/>
  <c r="E319" i="26"/>
  <c r="D319" i="26"/>
  <c r="J318" i="25"/>
  <c r="I318" i="25"/>
  <c r="H318" i="25"/>
  <c r="G318" i="25"/>
  <c r="C319" i="25"/>
  <c r="N318" i="25"/>
  <c r="M318" i="25"/>
  <c r="L318" i="25"/>
  <c r="K318" i="25"/>
  <c r="F318" i="25"/>
  <c r="E318" i="25"/>
  <c r="D318" i="25"/>
  <c r="N315" i="20"/>
  <c r="F315" i="20"/>
  <c r="M315" i="20"/>
  <c r="E315" i="20"/>
  <c r="K315" i="20"/>
  <c r="J315" i="20"/>
  <c r="I315" i="20"/>
  <c r="C316" i="20"/>
  <c r="L315" i="20"/>
  <c r="H315" i="20"/>
  <c r="G315" i="20"/>
  <c r="D315" i="20"/>
  <c r="I316" i="19"/>
  <c r="H316" i="19"/>
  <c r="N316" i="19"/>
  <c r="F316" i="19"/>
  <c r="L316" i="19"/>
  <c r="D316" i="19"/>
  <c r="M316" i="19"/>
  <c r="K316" i="19"/>
  <c r="J316" i="19"/>
  <c r="G316" i="19"/>
  <c r="E316" i="19"/>
  <c r="C317" i="19"/>
  <c r="I315" i="18"/>
  <c r="N315" i="18"/>
  <c r="F315" i="18"/>
  <c r="M315" i="18"/>
  <c r="E315" i="18"/>
  <c r="L315" i="18"/>
  <c r="D315" i="18"/>
  <c r="K315" i="18"/>
  <c r="C316" i="18"/>
  <c r="J315" i="18"/>
  <c r="H315" i="18"/>
  <c r="G315" i="18"/>
  <c r="K320" i="1" l="1"/>
  <c r="J320" i="1"/>
  <c r="H320" i="1"/>
  <c r="G320" i="1"/>
  <c r="E320" i="1"/>
  <c r="L320" i="1"/>
  <c r="F320" i="1"/>
  <c r="D320" i="1"/>
  <c r="I320" i="1"/>
  <c r="N320" i="1"/>
  <c r="C321" i="1"/>
  <c r="M320" i="1"/>
  <c r="J320" i="27"/>
  <c r="G320" i="27"/>
  <c r="C321" i="27"/>
  <c r="D320" i="27"/>
  <c r="M320" i="27"/>
  <c r="L320" i="27"/>
  <c r="H320" i="27"/>
  <c r="F320" i="27"/>
  <c r="E320" i="27"/>
  <c r="I320" i="27"/>
  <c r="N320" i="27"/>
  <c r="K320" i="27"/>
  <c r="F320" i="26"/>
  <c r="N320" i="26"/>
  <c r="I320" i="26"/>
  <c r="K320" i="26"/>
  <c r="J320" i="26"/>
  <c r="M320" i="26"/>
  <c r="L320" i="26"/>
  <c r="H320" i="26"/>
  <c r="D320" i="26"/>
  <c r="C321" i="26"/>
  <c r="E320" i="26"/>
  <c r="G320" i="26"/>
  <c r="N319" i="25"/>
  <c r="M319" i="25"/>
  <c r="D319" i="25"/>
  <c r="E319" i="25"/>
  <c r="C320" i="25"/>
  <c r="L319" i="25"/>
  <c r="K319" i="25"/>
  <c r="J319" i="25"/>
  <c r="I319" i="25"/>
  <c r="H319" i="25"/>
  <c r="G319" i="25"/>
  <c r="F319" i="25"/>
  <c r="J316" i="20"/>
  <c r="I316" i="20"/>
  <c r="C317" i="20"/>
  <c r="G316" i="20"/>
  <c r="N316" i="20"/>
  <c r="F316" i="20"/>
  <c r="M316" i="20"/>
  <c r="E316" i="20"/>
  <c r="K316" i="20"/>
  <c r="D316" i="20"/>
  <c r="H316" i="20"/>
  <c r="L316" i="20"/>
  <c r="M317" i="19"/>
  <c r="E317" i="19"/>
  <c r="L317" i="19"/>
  <c r="D317" i="19"/>
  <c r="J317" i="19"/>
  <c r="H317" i="19"/>
  <c r="C318" i="19"/>
  <c r="N317" i="19"/>
  <c r="K317" i="19"/>
  <c r="I317" i="19"/>
  <c r="F317" i="19"/>
  <c r="G317" i="19"/>
  <c r="M316" i="18"/>
  <c r="E316" i="18"/>
  <c r="J316" i="18"/>
  <c r="I316" i="18"/>
  <c r="H316" i="18"/>
  <c r="C317" i="18"/>
  <c r="G316" i="18"/>
  <c r="F316" i="18"/>
  <c r="D316" i="18"/>
  <c r="N316" i="18"/>
  <c r="L316" i="18"/>
  <c r="K316" i="18"/>
  <c r="K321" i="1" l="1"/>
  <c r="H321" i="1"/>
  <c r="G321" i="1"/>
  <c r="J321" i="1"/>
  <c r="E321" i="1"/>
  <c r="L321" i="1"/>
  <c r="D321" i="1"/>
  <c r="C322" i="1"/>
  <c r="N321" i="1"/>
  <c r="M321" i="1"/>
  <c r="I321" i="1"/>
  <c r="F321" i="1"/>
  <c r="F321" i="27"/>
  <c r="E321" i="27"/>
  <c r="M321" i="27"/>
  <c r="H321" i="27"/>
  <c r="C322" i="27"/>
  <c r="K321" i="27"/>
  <c r="L321" i="27"/>
  <c r="G321" i="27"/>
  <c r="N321" i="27"/>
  <c r="I321" i="27"/>
  <c r="D321" i="27"/>
  <c r="J321" i="27"/>
  <c r="E321" i="26"/>
  <c r="K321" i="26"/>
  <c r="G321" i="26"/>
  <c r="C322" i="26"/>
  <c r="N321" i="26"/>
  <c r="M321" i="26"/>
  <c r="L321" i="26"/>
  <c r="J321" i="26"/>
  <c r="I321" i="26"/>
  <c r="H321" i="26"/>
  <c r="F321" i="26"/>
  <c r="D321" i="26"/>
  <c r="J320" i="25"/>
  <c r="E320" i="25"/>
  <c r="F320" i="25"/>
  <c r="N320" i="25"/>
  <c r="M320" i="25"/>
  <c r="L320" i="25"/>
  <c r="C321" i="25"/>
  <c r="K320" i="25"/>
  <c r="I320" i="25"/>
  <c r="H320" i="25"/>
  <c r="G320" i="25"/>
  <c r="D320" i="25"/>
  <c r="N317" i="20"/>
  <c r="F317" i="20"/>
  <c r="M317" i="20"/>
  <c r="E317" i="20"/>
  <c r="K317" i="20"/>
  <c r="J317" i="20"/>
  <c r="I317" i="20"/>
  <c r="C318" i="20"/>
  <c r="L317" i="20"/>
  <c r="H317" i="20"/>
  <c r="G317" i="20"/>
  <c r="D317" i="20"/>
  <c r="I318" i="19"/>
  <c r="H318" i="19"/>
  <c r="N318" i="19"/>
  <c r="F318" i="19"/>
  <c r="L318" i="19"/>
  <c r="D318" i="19"/>
  <c r="E318" i="19"/>
  <c r="C319" i="19"/>
  <c r="M318" i="19"/>
  <c r="J318" i="19"/>
  <c r="K318" i="19"/>
  <c r="G318" i="19"/>
  <c r="I317" i="18"/>
  <c r="N317" i="18"/>
  <c r="F317" i="18"/>
  <c r="M317" i="18"/>
  <c r="E317" i="18"/>
  <c r="L317" i="18"/>
  <c r="D317" i="18"/>
  <c r="K317" i="18"/>
  <c r="C318" i="18"/>
  <c r="J317" i="18"/>
  <c r="H317" i="18"/>
  <c r="G317" i="18"/>
  <c r="F322" i="1" l="1"/>
  <c r="C323" i="1"/>
  <c r="G322" i="1"/>
  <c r="J322" i="1"/>
  <c r="M322" i="1"/>
  <c r="N322" i="1"/>
  <c r="L322" i="1"/>
  <c r="K322" i="1"/>
  <c r="E322" i="1"/>
  <c r="H322" i="1"/>
  <c r="D322" i="1"/>
  <c r="I322" i="1"/>
  <c r="J322" i="27"/>
  <c r="I322" i="27"/>
  <c r="D322" i="27"/>
  <c r="M322" i="27"/>
  <c r="F322" i="27"/>
  <c r="H322" i="27"/>
  <c r="G322" i="27"/>
  <c r="E322" i="27"/>
  <c r="L322" i="27"/>
  <c r="K322" i="27"/>
  <c r="C323" i="27"/>
  <c r="N322" i="27"/>
  <c r="I322" i="26"/>
  <c r="H322" i="26"/>
  <c r="D322" i="26"/>
  <c r="C323" i="26"/>
  <c r="J322" i="26"/>
  <c r="G322" i="26"/>
  <c r="N322" i="26"/>
  <c r="M322" i="26"/>
  <c r="L322" i="26"/>
  <c r="K322" i="26"/>
  <c r="F322" i="26"/>
  <c r="E322" i="26"/>
  <c r="F321" i="25"/>
  <c r="E321" i="25"/>
  <c r="L321" i="25"/>
  <c r="N321" i="25"/>
  <c r="C322" i="25"/>
  <c r="M321" i="25"/>
  <c r="K321" i="25"/>
  <c r="J321" i="25"/>
  <c r="I321" i="25"/>
  <c r="H321" i="25"/>
  <c r="G321" i="25"/>
  <c r="D321" i="25"/>
  <c r="J318" i="20"/>
  <c r="I318" i="20"/>
  <c r="C319" i="20"/>
  <c r="G318" i="20"/>
  <c r="N318" i="20"/>
  <c r="F318" i="20"/>
  <c r="M318" i="20"/>
  <c r="E318" i="20"/>
  <c r="H318" i="20"/>
  <c r="L318" i="20"/>
  <c r="D318" i="20"/>
  <c r="K318" i="20"/>
  <c r="M319" i="19"/>
  <c r="E319" i="19"/>
  <c r="L319" i="19"/>
  <c r="D319" i="19"/>
  <c r="J319" i="19"/>
  <c r="H319" i="19"/>
  <c r="I319" i="19"/>
  <c r="G319" i="19"/>
  <c r="F319" i="19"/>
  <c r="N319" i="19"/>
  <c r="C320" i="19"/>
  <c r="K319" i="19"/>
  <c r="M318" i="18"/>
  <c r="E318" i="18"/>
  <c r="J318" i="18"/>
  <c r="I318" i="18"/>
  <c r="H318" i="18"/>
  <c r="C319" i="18"/>
  <c r="G318" i="18"/>
  <c r="D318" i="18"/>
  <c r="N318" i="18"/>
  <c r="L318" i="18"/>
  <c r="K318" i="18"/>
  <c r="F318" i="18"/>
  <c r="K323" i="1" l="1"/>
  <c r="J323" i="1"/>
  <c r="I323" i="1"/>
  <c r="H323" i="1"/>
  <c r="C324" i="1"/>
  <c r="E323" i="1"/>
  <c r="N323" i="1"/>
  <c r="L323" i="1"/>
  <c r="G323" i="1"/>
  <c r="D323" i="1"/>
  <c r="F323" i="1"/>
  <c r="M323" i="1"/>
  <c r="N323" i="27"/>
  <c r="M323" i="27"/>
  <c r="J323" i="27"/>
  <c r="G323" i="27"/>
  <c r="D323" i="27"/>
  <c r="K323" i="27"/>
  <c r="C324" i="27"/>
  <c r="H323" i="27"/>
  <c r="F323" i="27"/>
  <c r="L323" i="27"/>
  <c r="I323" i="27"/>
  <c r="E323" i="27"/>
  <c r="M323" i="26"/>
  <c r="D323" i="26"/>
  <c r="C324" i="26"/>
  <c r="K323" i="26"/>
  <c r="H323" i="26"/>
  <c r="G323" i="26"/>
  <c r="F323" i="26"/>
  <c r="E323" i="26"/>
  <c r="L323" i="26"/>
  <c r="J323" i="26"/>
  <c r="I323" i="26"/>
  <c r="N323" i="26"/>
  <c r="J322" i="25"/>
  <c r="I322" i="25"/>
  <c r="D322" i="25"/>
  <c r="M322" i="25"/>
  <c r="L322" i="25"/>
  <c r="K322" i="25"/>
  <c r="F322" i="25"/>
  <c r="E322" i="25"/>
  <c r="C323" i="25"/>
  <c r="N322" i="25"/>
  <c r="H322" i="25"/>
  <c r="G322" i="25"/>
  <c r="N319" i="20"/>
  <c r="F319" i="20"/>
  <c r="M319" i="20"/>
  <c r="E319" i="20"/>
  <c r="K319" i="20"/>
  <c r="J319" i="20"/>
  <c r="I319" i="20"/>
  <c r="L319" i="20"/>
  <c r="H319" i="20"/>
  <c r="G319" i="20"/>
  <c r="D319" i="20"/>
  <c r="C320" i="20"/>
  <c r="I320" i="19"/>
  <c r="H320" i="19"/>
  <c r="N320" i="19"/>
  <c r="F320" i="19"/>
  <c r="L320" i="19"/>
  <c r="D320" i="19"/>
  <c r="M320" i="19"/>
  <c r="K320" i="19"/>
  <c r="J320" i="19"/>
  <c r="G320" i="19"/>
  <c r="E320" i="19"/>
  <c r="C321" i="19"/>
  <c r="I319" i="18"/>
  <c r="N319" i="18"/>
  <c r="F319" i="18"/>
  <c r="M319" i="18"/>
  <c r="E319" i="18"/>
  <c r="L319" i="18"/>
  <c r="D319" i="18"/>
  <c r="K319" i="18"/>
  <c r="C320" i="18"/>
  <c r="J319" i="18"/>
  <c r="H319" i="18"/>
  <c r="G319" i="18"/>
  <c r="M324" i="1" l="1"/>
  <c r="C325" i="1"/>
  <c r="L324" i="1"/>
  <c r="K324" i="1"/>
  <c r="G324" i="1"/>
  <c r="I324" i="1"/>
  <c r="F324" i="1"/>
  <c r="D324" i="1"/>
  <c r="J324" i="1"/>
  <c r="E324" i="1"/>
  <c r="H324" i="1"/>
  <c r="N324" i="1"/>
  <c r="M324" i="27"/>
  <c r="L324" i="27"/>
  <c r="I324" i="27"/>
  <c r="D324" i="27"/>
  <c r="H324" i="27"/>
  <c r="E324" i="27"/>
  <c r="C325" i="27"/>
  <c r="N324" i="27"/>
  <c r="G324" i="27"/>
  <c r="K324" i="27"/>
  <c r="J324" i="27"/>
  <c r="F324" i="27"/>
  <c r="I324" i="26"/>
  <c r="L324" i="26"/>
  <c r="G324" i="26"/>
  <c r="F324" i="26"/>
  <c r="C325" i="26"/>
  <c r="N324" i="26"/>
  <c r="M324" i="26"/>
  <c r="K324" i="26"/>
  <c r="J324" i="26"/>
  <c r="H324" i="26"/>
  <c r="E324" i="26"/>
  <c r="D324" i="26"/>
  <c r="N323" i="25"/>
  <c r="M323" i="25"/>
  <c r="J323" i="25"/>
  <c r="G323" i="25"/>
  <c r="K323" i="25"/>
  <c r="I323" i="25"/>
  <c r="E323" i="25"/>
  <c r="D323" i="25"/>
  <c r="C324" i="25"/>
  <c r="L323" i="25"/>
  <c r="H323" i="25"/>
  <c r="F323" i="25"/>
  <c r="J320" i="20"/>
  <c r="I320" i="20"/>
  <c r="C321" i="20"/>
  <c r="G320" i="20"/>
  <c r="N320" i="20"/>
  <c r="F320" i="20"/>
  <c r="M320" i="20"/>
  <c r="E320" i="20"/>
  <c r="D320" i="20"/>
  <c r="L320" i="20"/>
  <c r="K320" i="20"/>
  <c r="H320" i="20"/>
  <c r="M321" i="19"/>
  <c r="E321" i="19"/>
  <c r="L321" i="19"/>
  <c r="D321" i="19"/>
  <c r="J321" i="19"/>
  <c r="H321" i="19"/>
  <c r="C322" i="19"/>
  <c r="N321" i="19"/>
  <c r="K321" i="19"/>
  <c r="I321" i="19"/>
  <c r="F321" i="19"/>
  <c r="G321" i="19"/>
  <c r="M320" i="18"/>
  <c r="E320" i="18"/>
  <c r="J320" i="18"/>
  <c r="I320" i="18"/>
  <c r="H320" i="18"/>
  <c r="C321" i="18"/>
  <c r="G320" i="18"/>
  <c r="N320" i="18"/>
  <c r="L320" i="18"/>
  <c r="K320" i="18"/>
  <c r="F320" i="18"/>
  <c r="D320" i="18"/>
  <c r="J325" i="1" l="1"/>
  <c r="C326" i="1"/>
  <c r="I325" i="1"/>
  <c r="L325" i="1"/>
  <c r="N325" i="1"/>
  <c r="H325" i="1"/>
  <c r="G325" i="1"/>
  <c r="K325" i="1"/>
  <c r="D325" i="1"/>
  <c r="F325" i="1"/>
  <c r="E325" i="1"/>
  <c r="M325" i="1"/>
  <c r="F325" i="27"/>
  <c r="E325" i="27"/>
  <c r="D325" i="27"/>
  <c r="N325" i="27"/>
  <c r="K325" i="27"/>
  <c r="C326" i="27"/>
  <c r="M325" i="27"/>
  <c r="I325" i="27"/>
  <c r="H325" i="27"/>
  <c r="L325" i="27"/>
  <c r="J325" i="27"/>
  <c r="G325" i="27"/>
  <c r="E325" i="26"/>
  <c r="N325" i="26"/>
  <c r="I325" i="26"/>
  <c r="G325" i="26"/>
  <c r="C326" i="26"/>
  <c r="M325" i="26"/>
  <c r="L325" i="26"/>
  <c r="K325" i="26"/>
  <c r="J325" i="26"/>
  <c r="H325" i="26"/>
  <c r="F325" i="26"/>
  <c r="D325" i="26"/>
  <c r="N324" i="25"/>
  <c r="K324" i="25"/>
  <c r="J324" i="25"/>
  <c r="I324" i="25"/>
  <c r="L324" i="25"/>
  <c r="H324" i="25"/>
  <c r="G324" i="25"/>
  <c r="F324" i="25"/>
  <c r="E324" i="25"/>
  <c r="D324" i="25"/>
  <c r="C325" i="25"/>
  <c r="M324" i="25"/>
  <c r="N321" i="20"/>
  <c r="F321" i="20"/>
  <c r="M321" i="20"/>
  <c r="E321" i="20"/>
  <c r="K321" i="20"/>
  <c r="J321" i="20"/>
  <c r="I321" i="20"/>
  <c r="C322" i="20"/>
  <c r="H321" i="20"/>
  <c r="G321" i="20"/>
  <c r="D321" i="20"/>
  <c r="L321" i="20"/>
  <c r="I322" i="19"/>
  <c r="H322" i="19"/>
  <c r="N322" i="19"/>
  <c r="F322" i="19"/>
  <c r="L322" i="19"/>
  <c r="D322" i="19"/>
  <c r="E322" i="19"/>
  <c r="C323" i="19"/>
  <c r="M322" i="19"/>
  <c r="J322" i="19"/>
  <c r="K322" i="19"/>
  <c r="G322" i="19"/>
  <c r="I321" i="18"/>
  <c r="N321" i="18"/>
  <c r="F321" i="18"/>
  <c r="M321" i="18"/>
  <c r="E321" i="18"/>
  <c r="L321" i="18"/>
  <c r="D321" i="18"/>
  <c r="K321" i="18"/>
  <c r="J321" i="18"/>
  <c r="H321" i="18"/>
  <c r="G321" i="18"/>
  <c r="C322" i="18"/>
  <c r="N326" i="1" l="1"/>
  <c r="G326" i="1"/>
  <c r="E326" i="1"/>
  <c r="J326" i="1"/>
  <c r="H326" i="1"/>
  <c r="M326" i="1"/>
  <c r="C327" i="1"/>
  <c r="F326" i="1"/>
  <c r="L326" i="1"/>
  <c r="I326" i="1"/>
  <c r="K326" i="1"/>
  <c r="D326" i="1"/>
  <c r="J326" i="27"/>
  <c r="I326" i="27"/>
  <c r="L326" i="27"/>
  <c r="G326" i="27"/>
  <c r="K326" i="27"/>
  <c r="E326" i="27"/>
  <c r="N326" i="27"/>
  <c r="F326" i="27"/>
  <c r="M326" i="27"/>
  <c r="C327" i="27"/>
  <c r="H326" i="27"/>
  <c r="D326" i="27"/>
  <c r="I326" i="26"/>
  <c r="C327" i="26"/>
  <c r="N326" i="26"/>
  <c r="H326" i="26"/>
  <c r="E326" i="26"/>
  <c r="D326" i="26"/>
  <c r="M326" i="26"/>
  <c r="G326" i="26"/>
  <c r="F326" i="26"/>
  <c r="L326" i="26"/>
  <c r="K326" i="26"/>
  <c r="J326" i="26"/>
  <c r="F325" i="25"/>
  <c r="E325" i="25"/>
  <c r="D325" i="25"/>
  <c r="I325" i="25"/>
  <c r="H325" i="25"/>
  <c r="C326" i="25"/>
  <c r="N325" i="25"/>
  <c r="M325" i="25"/>
  <c r="L325" i="25"/>
  <c r="K325" i="25"/>
  <c r="J325" i="25"/>
  <c r="G325" i="25"/>
  <c r="J322" i="20"/>
  <c r="I322" i="20"/>
  <c r="C323" i="20"/>
  <c r="G322" i="20"/>
  <c r="N322" i="20"/>
  <c r="F322" i="20"/>
  <c r="M322" i="20"/>
  <c r="E322" i="20"/>
  <c r="L322" i="20"/>
  <c r="K322" i="20"/>
  <c r="H322" i="20"/>
  <c r="D322" i="20"/>
  <c r="M323" i="19"/>
  <c r="E323" i="19"/>
  <c r="L323" i="19"/>
  <c r="D323" i="19"/>
  <c r="J323" i="19"/>
  <c r="H323" i="19"/>
  <c r="I323" i="19"/>
  <c r="G323" i="19"/>
  <c r="F323" i="19"/>
  <c r="N323" i="19"/>
  <c r="C324" i="19"/>
  <c r="K323" i="19"/>
  <c r="M322" i="18"/>
  <c r="E322" i="18"/>
  <c r="J322" i="18"/>
  <c r="I322" i="18"/>
  <c r="H322" i="18"/>
  <c r="C323" i="18"/>
  <c r="G322" i="18"/>
  <c r="N322" i="18"/>
  <c r="L322" i="18"/>
  <c r="K322" i="18"/>
  <c r="F322" i="18"/>
  <c r="D322" i="18"/>
  <c r="F327" i="1" l="1"/>
  <c r="E327" i="1"/>
  <c r="N327" i="1"/>
  <c r="H327" i="1"/>
  <c r="I327" i="1"/>
  <c r="M327" i="1"/>
  <c r="L327" i="1"/>
  <c r="K327" i="1"/>
  <c r="J327" i="1"/>
  <c r="C328" i="1"/>
  <c r="D327" i="1"/>
  <c r="G327" i="1"/>
  <c r="N327" i="27"/>
  <c r="M327" i="27"/>
  <c r="C328" i="27"/>
  <c r="L327" i="27"/>
  <c r="I327" i="27"/>
  <c r="F327" i="27"/>
  <c r="E327" i="27"/>
  <c r="D327" i="27"/>
  <c r="K327" i="27"/>
  <c r="J327" i="27"/>
  <c r="H327" i="27"/>
  <c r="G327" i="27"/>
  <c r="M327" i="26"/>
  <c r="G327" i="26"/>
  <c r="C328" i="26"/>
  <c r="N327" i="26"/>
  <c r="E327" i="26"/>
  <c r="D327" i="26"/>
  <c r="I327" i="26"/>
  <c r="H327" i="26"/>
  <c r="F327" i="26"/>
  <c r="K327" i="26"/>
  <c r="J327" i="26"/>
  <c r="L327" i="26"/>
  <c r="J326" i="25"/>
  <c r="I326" i="25"/>
  <c r="L326" i="25"/>
  <c r="K326" i="25"/>
  <c r="M326" i="25"/>
  <c r="H326" i="25"/>
  <c r="G326" i="25"/>
  <c r="C327" i="25"/>
  <c r="N326" i="25"/>
  <c r="F326" i="25"/>
  <c r="E326" i="25"/>
  <c r="D326" i="25"/>
  <c r="N323" i="20"/>
  <c r="F323" i="20"/>
  <c r="M323" i="20"/>
  <c r="E323" i="20"/>
  <c r="K323" i="20"/>
  <c r="J323" i="20"/>
  <c r="I323" i="20"/>
  <c r="L323" i="20"/>
  <c r="G323" i="20"/>
  <c r="D323" i="20"/>
  <c r="H323" i="20"/>
  <c r="C324" i="20"/>
  <c r="I324" i="19"/>
  <c r="H324" i="19"/>
  <c r="N324" i="19"/>
  <c r="F324" i="19"/>
  <c r="L324" i="19"/>
  <c r="D324" i="19"/>
  <c r="M324" i="19"/>
  <c r="K324" i="19"/>
  <c r="J324" i="19"/>
  <c r="G324" i="19"/>
  <c r="E324" i="19"/>
  <c r="C325" i="19"/>
  <c r="I323" i="18"/>
  <c r="N323" i="18"/>
  <c r="F323" i="18"/>
  <c r="M323" i="18"/>
  <c r="E323" i="18"/>
  <c r="L323" i="18"/>
  <c r="D323" i="18"/>
  <c r="K323" i="18"/>
  <c r="H323" i="18"/>
  <c r="G323" i="18"/>
  <c r="C324" i="18"/>
  <c r="J323" i="18"/>
  <c r="I328" i="1" l="1"/>
  <c r="E328" i="1"/>
  <c r="J328" i="1"/>
  <c r="H328" i="1"/>
  <c r="M328" i="1"/>
  <c r="G328" i="1"/>
  <c r="F328" i="1"/>
  <c r="L328" i="1"/>
  <c r="C329" i="1"/>
  <c r="N328" i="1"/>
  <c r="K328" i="1"/>
  <c r="D328" i="1"/>
  <c r="F328" i="27"/>
  <c r="H328" i="27"/>
  <c r="D328" i="27"/>
  <c r="N328" i="27"/>
  <c r="K328" i="27"/>
  <c r="L328" i="27"/>
  <c r="J328" i="27"/>
  <c r="M328" i="27"/>
  <c r="I328" i="27"/>
  <c r="C329" i="27"/>
  <c r="G328" i="27"/>
  <c r="E328" i="27"/>
  <c r="L328" i="26"/>
  <c r="I328" i="26"/>
  <c r="J328" i="26"/>
  <c r="E328" i="26"/>
  <c r="C329" i="26"/>
  <c r="N328" i="26"/>
  <c r="M328" i="26"/>
  <c r="K328" i="26"/>
  <c r="H328" i="26"/>
  <c r="G328" i="26"/>
  <c r="F328" i="26"/>
  <c r="D328" i="26"/>
  <c r="N327" i="25"/>
  <c r="M327" i="25"/>
  <c r="E327" i="25"/>
  <c r="D327" i="25"/>
  <c r="G327" i="25"/>
  <c r="F327" i="25"/>
  <c r="I327" i="25"/>
  <c r="H327" i="25"/>
  <c r="C328" i="25"/>
  <c r="L327" i="25"/>
  <c r="K327" i="25"/>
  <c r="J327" i="25"/>
  <c r="J324" i="20"/>
  <c r="I324" i="20"/>
  <c r="C325" i="20"/>
  <c r="G324" i="20"/>
  <c r="N324" i="20"/>
  <c r="F324" i="20"/>
  <c r="M324" i="20"/>
  <c r="E324" i="20"/>
  <c r="L324" i="20"/>
  <c r="K324" i="20"/>
  <c r="H324" i="20"/>
  <c r="D324" i="20"/>
  <c r="M325" i="19"/>
  <c r="E325" i="19"/>
  <c r="L325" i="19"/>
  <c r="D325" i="19"/>
  <c r="J325" i="19"/>
  <c r="H325" i="19"/>
  <c r="C326" i="19"/>
  <c r="N325" i="19"/>
  <c r="K325" i="19"/>
  <c r="I325" i="19"/>
  <c r="F325" i="19"/>
  <c r="G325" i="19"/>
  <c r="M324" i="18"/>
  <c r="E324" i="18"/>
  <c r="J324" i="18"/>
  <c r="I324" i="18"/>
  <c r="H324" i="18"/>
  <c r="C325" i="18"/>
  <c r="G324" i="18"/>
  <c r="N324" i="18"/>
  <c r="L324" i="18"/>
  <c r="K324" i="18"/>
  <c r="F324" i="18"/>
  <c r="D324" i="18"/>
  <c r="N329" i="1" l="1"/>
  <c r="M329" i="1"/>
  <c r="L329" i="1"/>
  <c r="E329" i="1"/>
  <c r="K329" i="1"/>
  <c r="H329" i="1"/>
  <c r="G329" i="1"/>
  <c r="D329" i="1"/>
  <c r="I329" i="1"/>
  <c r="F329" i="1"/>
  <c r="J329" i="1"/>
  <c r="C330" i="1"/>
  <c r="F329" i="27"/>
  <c r="E329" i="27"/>
  <c r="L329" i="27"/>
  <c r="I329" i="27"/>
  <c r="M329" i="27"/>
  <c r="C330" i="27"/>
  <c r="J329" i="27"/>
  <c r="D329" i="27"/>
  <c r="K329" i="27"/>
  <c r="H329" i="27"/>
  <c r="N329" i="27"/>
  <c r="G329" i="27"/>
  <c r="E329" i="26"/>
  <c r="C330" i="26"/>
  <c r="M329" i="26"/>
  <c r="L329" i="26"/>
  <c r="K329" i="26"/>
  <c r="F329" i="26"/>
  <c r="D329" i="26"/>
  <c r="N329" i="26"/>
  <c r="J329" i="26"/>
  <c r="I329" i="26"/>
  <c r="H329" i="26"/>
  <c r="G329" i="26"/>
  <c r="F328" i="25"/>
  <c r="G328" i="25"/>
  <c r="M328" i="25"/>
  <c r="L328" i="25"/>
  <c r="K328" i="25"/>
  <c r="J328" i="25"/>
  <c r="I328" i="25"/>
  <c r="C329" i="25"/>
  <c r="N328" i="25"/>
  <c r="H328" i="25"/>
  <c r="E328" i="25"/>
  <c r="D328" i="25"/>
  <c r="N325" i="20"/>
  <c r="F325" i="20"/>
  <c r="M325" i="20"/>
  <c r="E325" i="20"/>
  <c r="K325" i="20"/>
  <c r="J325" i="20"/>
  <c r="I325" i="20"/>
  <c r="H325" i="20"/>
  <c r="D325" i="20"/>
  <c r="C326" i="20"/>
  <c r="G325" i="20"/>
  <c r="L325" i="20"/>
  <c r="I326" i="19"/>
  <c r="H326" i="19"/>
  <c r="N326" i="19"/>
  <c r="F326" i="19"/>
  <c r="L326" i="19"/>
  <c r="D326" i="19"/>
  <c r="E326" i="19"/>
  <c r="C327" i="19"/>
  <c r="M326" i="19"/>
  <c r="J326" i="19"/>
  <c r="K326" i="19"/>
  <c r="G326" i="19"/>
  <c r="I325" i="18"/>
  <c r="N325" i="18"/>
  <c r="F325" i="18"/>
  <c r="M325" i="18"/>
  <c r="E325" i="18"/>
  <c r="L325" i="18"/>
  <c r="D325" i="18"/>
  <c r="K325" i="18"/>
  <c r="G325" i="18"/>
  <c r="C326" i="18"/>
  <c r="J325" i="18"/>
  <c r="H325" i="18"/>
  <c r="N330" i="1" l="1"/>
  <c r="M330" i="1"/>
  <c r="H330" i="1"/>
  <c r="L330" i="1"/>
  <c r="J330" i="1"/>
  <c r="D330" i="1"/>
  <c r="G330" i="1"/>
  <c r="F330" i="1"/>
  <c r="I330" i="1"/>
  <c r="E330" i="1"/>
  <c r="C331" i="1"/>
  <c r="K330" i="1"/>
  <c r="J330" i="27"/>
  <c r="I330" i="27"/>
  <c r="C331" i="27"/>
  <c r="D330" i="27"/>
  <c r="M330" i="27"/>
  <c r="G330" i="27"/>
  <c r="F330" i="27"/>
  <c r="E330" i="27"/>
  <c r="N330" i="27"/>
  <c r="L330" i="27"/>
  <c r="K330" i="27"/>
  <c r="H330" i="27"/>
  <c r="I330" i="26"/>
  <c r="E330" i="26"/>
  <c r="F330" i="26"/>
  <c r="C331" i="26"/>
  <c r="D330" i="26"/>
  <c r="L330" i="26"/>
  <c r="K330" i="26"/>
  <c r="J330" i="26"/>
  <c r="H330" i="26"/>
  <c r="G330" i="26"/>
  <c r="N330" i="26"/>
  <c r="M330" i="26"/>
  <c r="F329" i="25"/>
  <c r="E329" i="25"/>
  <c r="L329" i="25"/>
  <c r="N329" i="25"/>
  <c r="J329" i="25"/>
  <c r="I329" i="25"/>
  <c r="H329" i="25"/>
  <c r="G329" i="25"/>
  <c r="D329" i="25"/>
  <c r="C330" i="25"/>
  <c r="M329" i="25"/>
  <c r="K329" i="25"/>
  <c r="J326" i="20"/>
  <c r="I326" i="20"/>
  <c r="C327" i="20"/>
  <c r="G326" i="20"/>
  <c r="N326" i="20"/>
  <c r="F326" i="20"/>
  <c r="M326" i="20"/>
  <c r="E326" i="20"/>
  <c r="L326" i="20"/>
  <c r="K326" i="20"/>
  <c r="H326" i="20"/>
  <c r="D326" i="20"/>
  <c r="M327" i="19"/>
  <c r="E327" i="19"/>
  <c r="L327" i="19"/>
  <c r="D327" i="19"/>
  <c r="J327" i="19"/>
  <c r="H327" i="19"/>
  <c r="I327" i="19"/>
  <c r="G327" i="19"/>
  <c r="F327" i="19"/>
  <c r="N327" i="19"/>
  <c r="C328" i="19"/>
  <c r="K327" i="19"/>
  <c r="M326" i="18"/>
  <c r="E326" i="18"/>
  <c r="J326" i="18"/>
  <c r="I326" i="18"/>
  <c r="H326" i="18"/>
  <c r="C327" i="18"/>
  <c r="G326" i="18"/>
  <c r="N326" i="18"/>
  <c r="L326" i="18"/>
  <c r="K326" i="18"/>
  <c r="F326" i="18"/>
  <c r="D326" i="18"/>
  <c r="I331" i="1" l="1"/>
  <c r="K331" i="1"/>
  <c r="N331" i="1"/>
  <c r="M331" i="1"/>
  <c r="E331" i="1"/>
  <c r="L331" i="1"/>
  <c r="J331" i="1"/>
  <c r="C332" i="1"/>
  <c r="H331" i="1"/>
  <c r="D331" i="1"/>
  <c r="G331" i="1"/>
  <c r="F331" i="1"/>
  <c r="N331" i="27"/>
  <c r="M331" i="27"/>
  <c r="F331" i="27"/>
  <c r="L331" i="27"/>
  <c r="I331" i="27"/>
  <c r="J331" i="27"/>
  <c r="E331" i="27"/>
  <c r="C332" i="27"/>
  <c r="G331" i="27"/>
  <c r="D331" i="27"/>
  <c r="K331" i="27"/>
  <c r="H331" i="27"/>
  <c r="M331" i="26"/>
  <c r="J331" i="26"/>
  <c r="I331" i="26"/>
  <c r="N331" i="26"/>
  <c r="K331" i="26"/>
  <c r="L331" i="26"/>
  <c r="H331" i="26"/>
  <c r="E331" i="26"/>
  <c r="D331" i="26"/>
  <c r="C332" i="26"/>
  <c r="G331" i="26"/>
  <c r="F331" i="26"/>
  <c r="J330" i="25"/>
  <c r="I330" i="25"/>
  <c r="K330" i="25"/>
  <c r="H330" i="25"/>
  <c r="M330" i="25"/>
  <c r="L330" i="25"/>
  <c r="G330" i="25"/>
  <c r="C331" i="25"/>
  <c r="N330" i="25"/>
  <c r="F330" i="25"/>
  <c r="E330" i="25"/>
  <c r="D330" i="25"/>
  <c r="N327" i="20"/>
  <c r="F327" i="20"/>
  <c r="M327" i="20"/>
  <c r="E327" i="20"/>
  <c r="K327" i="20"/>
  <c r="J327" i="20"/>
  <c r="I327" i="20"/>
  <c r="G327" i="20"/>
  <c r="C328" i="20"/>
  <c r="L327" i="20"/>
  <c r="H327" i="20"/>
  <c r="D327" i="20"/>
  <c r="I328" i="19"/>
  <c r="H328" i="19"/>
  <c r="N328" i="19"/>
  <c r="F328" i="19"/>
  <c r="L328" i="19"/>
  <c r="D328" i="19"/>
  <c r="M328" i="19"/>
  <c r="K328" i="19"/>
  <c r="J328" i="19"/>
  <c r="G328" i="19"/>
  <c r="E328" i="19"/>
  <c r="C329" i="19"/>
  <c r="I327" i="18"/>
  <c r="N327" i="18"/>
  <c r="F327" i="18"/>
  <c r="M327" i="18"/>
  <c r="E327" i="18"/>
  <c r="L327" i="18"/>
  <c r="D327" i="18"/>
  <c r="K327" i="18"/>
  <c r="C328" i="18"/>
  <c r="J327" i="18"/>
  <c r="H327" i="18"/>
  <c r="G327" i="18"/>
  <c r="K332" i="1" l="1"/>
  <c r="J332" i="1"/>
  <c r="I332" i="1"/>
  <c r="C333" i="1"/>
  <c r="D332" i="1"/>
  <c r="F332" i="1"/>
  <c r="E332" i="1"/>
  <c r="L332" i="1"/>
  <c r="N332" i="1"/>
  <c r="H332" i="1"/>
  <c r="M332" i="1"/>
  <c r="G332" i="1"/>
  <c r="L332" i="27"/>
  <c r="I332" i="27"/>
  <c r="D332" i="27"/>
  <c r="C333" i="27"/>
  <c r="F332" i="27"/>
  <c r="E332" i="27"/>
  <c r="N332" i="27"/>
  <c r="M332" i="27"/>
  <c r="J332" i="27"/>
  <c r="H332" i="27"/>
  <c r="K332" i="27"/>
  <c r="G332" i="27"/>
  <c r="C333" i="26"/>
  <c r="N332" i="26"/>
  <c r="I332" i="26"/>
  <c r="H332" i="26"/>
  <c r="G332" i="26"/>
  <c r="F332" i="26"/>
  <c r="M332" i="26"/>
  <c r="L332" i="26"/>
  <c r="K332" i="26"/>
  <c r="J332" i="26"/>
  <c r="E332" i="26"/>
  <c r="D332" i="26"/>
  <c r="N331" i="25"/>
  <c r="M331" i="25"/>
  <c r="F331" i="25"/>
  <c r="I331" i="25"/>
  <c r="C332" i="25"/>
  <c r="L331" i="25"/>
  <c r="K331" i="25"/>
  <c r="J331" i="25"/>
  <c r="H331" i="25"/>
  <c r="G331" i="25"/>
  <c r="E331" i="25"/>
  <c r="D331" i="25"/>
  <c r="J328" i="20"/>
  <c r="I328" i="20"/>
  <c r="C329" i="20"/>
  <c r="G328" i="20"/>
  <c r="N328" i="20"/>
  <c r="F328" i="20"/>
  <c r="M328" i="20"/>
  <c r="E328" i="20"/>
  <c r="K328" i="20"/>
  <c r="H328" i="20"/>
  <c r="D328" i="20"/>
  <c r="L328" i="20"/>
  <c r="M329" i="19"/>
  <c r="E329" i="19"/>
  <c r="L329" i="19"/>
  <c r="D329" i="19"/>
  <c r="J329" i="19"/>
  <c r="H329" i="19"/>
  <c r="C330" i="19"/>
  <c r="N329" i="19"/>
  <c r="K329" i="19"/>
  <c r="I329" i="19"/>
  <c r="F329" i="19"/>
  <c r="G329" i="19"/>
  <c r="M328" i="18"/>
  <c r="E328" i="18"/>
  <c r="J328" i="18"/>
  <c r="I328" i="18"/>
  <c r="H328" i="18"/>
  <c r="C329" i="18"/>
  <c r="G328" i="18"/>
  <c r="L328" i="18"/>
  <c r="K328" i="18"/>
  <c r="F328" i="18"/>
  <c r="D328" i="18"/>
  <c r="N328" i="18"/>
  <c r="K333" i="1" l="1"/>
  <c r="M333" i="1"/>
  <c r="N333" i="1"/>
  <c r="L333" i="1"/>
  <c r="C334" i="1"/>
  <c r="F333" i="1"/>
  <c r="I333" i="1"/>
  <c r="E333" i="1"/>
  <c r="D333" i="1"/>
  <c r="H333" i="1"/>
  <c r="J333" i="1"/>
  <c r="G333" i="1"/>
  <c r="F333" i="27"/>
  <c r="E333" i="27"/>
  <c r="C334" i="27"/>
  <c r="J333" i="27"/>
  <c r="G333" i="27"/>
  <c r="N333" i="27"/>
  <c r="K333" i="27"/>
  <c r="I333" i="27"/>
  <c r="M333" i="27"/>
  <c r="L333" i="27"/>
  <c r="H333" i="27"/>
  <c r="D333" i="27"/>
  <c r="E333" i="26"/>
  <c r="D333" i="26"/>
  <c r="I333" i="26"/>
  <c r="H333" i="26"/>
  <c r="K333" i="26"/>
  <c r="J333" i="26"/>
  <c r="G333" i="26"/>
  <c r="F333" i="26"/>
  <c r="C334" i="26"/>
  <c r="N333" i="26"/>
  <c r="M333" i="26"/>
  <c r="L333" i="26"/>
  <c r="L332" i="25"/>
  <c r="G332" i="25"/>
  <c r="F332" i="25"/>
  <c r="K332" i="25"/>
  <c r="J332" i="25"/>
  <c r="I332" i="25"/>
  <c r="C333" i="25"/>
  <c r="N332" i="25"/>
  <c r="M332" i="25"/>
  <c r="H332" i="25"/>
  <c r="E332" i="25"/>
  <c r="D332" i="25"/>
  <c r="N329" i="20"/>
  <c r="F329" i="20"/>
  <c r="M329" i="20"/>
  <c r="E329" i="20"/>
  <c r="K329" i="20"/>
  <c r="J329" i="20"/>
  <c r="I329" i="20"/>
  <c r="D329" i="20"/>
  <c r="C330" i="20"/>
  <c r="L329" i="20"/>
  <c r="H329" i="20"/>
  <c r="G329" i="20"/>
  <c r="I330" i="19"/>
  <c r="H330" i="19"/>
  <c r="N330" i="19"/>
  <c r="F330" i="19"/>
  <c r="L330" i="19"/>
  <c r="D330" i="19"/>
  <c r="E330" i="19"/>
  <c r="C331" i="19"/>
  <c r="M330" i="19"/>
  <c r="J330" i="19"/>
  <c r="K330" i="19"/>
  <c r="G330" i="19"/>
  <c r="I329" i="18"/>
  <c r="N329" i="18"/>
  <c r="F329" i="18"/>
  <c r="M329" i="18"/>
  <c r="E329" i="18"/>
  <c r="L329" i="18"/>
  <c r="D329" i="18"/>
  <c r="K329" i="18"/>
  <c r="C330" i="18"/>
  <c r="J329" i="18"/>
  <c r="H329" i="18"/>
  <c r="G329" i="18"/>
  <c r="G334" i="1" l="1"/>
  <c r="F334" i="1"/>
  <c r="N334" i="1"/>
  <c r="J334" i="1"/>
  <c r="C335" i="1"/>
  <c r="E334" i="1"/>
  <c r="D334" i="1"/>
  <c r="M334" i="1"/>
  <c r="L334" i="1"/>
  <c r="I334" i="1"/>
  <c r="K334" i="1"/>
  <c r="H334" i="1"/>
  <c r="J334" i="27"/>
  <c r="I334" i="27"/>
  <c r="F334" i="27"/>
  <c r="C335" i="27"/>
  <c r="H334" i="27"/>
  <c r="D334" i="27"/>
  <c r="N334" i="27"/>
  <c r="M334" i="27"/>
  <c r="G334" i="27"/>
  <c r="L334" i="27"/>
  <c r="K334" i="27"/>
  <c r="E334" i="27"/>
  <c r="I334" i="26"/>
  <c r="H334" i="26"/>
  <c r="K334" i="26"/>
  <c r="N334" i="26"/>
  <c r="M334" i="26"/>
  <c r="L334" i="26"/>
  <c r="J334" i="26"/>
  <c r="C335" i="26"/>
  <c r="G334" i="26"/>
  <c r="F334" i="26"/>
  <c r="D334" i="26"/>
  <c r="E334" i="26"/>
  <c r="F333" i="25"/>
  <c r="E333" i="25"/>
  <c r="D333" i="25"/>
  <c r="C334" i="25"/>
  <c r="N333" i="25"/>
  <c r="M333" i="25"/>
  <c r="L333" i="25"/>
  <c r="K333" i="25"/>
  <c r="J333" i="25"/>
  <c r="I333" i="25"/>
  <c r="H333" i="25"/>
  <c r="G333" i="25"/>
  <c r="J330" i="20"/>
  <c r="I330" i="20"/>
  <c r="C331" i="20"/>
  <c r="G330" i="20"/>
  <c r="N330" i="20"/>
  <c r="F330" i="20"/>
  <c r="M330" i="20"/>
  <c r="E330" i="20"/>
  <c r="L330" i="20"/>
  <c r="H330" i="20"/>
  <c r="D330" i="20"/>
  <c r="K330" i="20"/>
  <c r="M331" i="19"/>
  <c r="E331" i="19"/>
  <c r="L331" i="19"/>
  <c r="D331" i="19"/>
  <c r="J331" i="19"/>
  <c r="H331" i="19"/>
  <c r="I331" i="19"/>
  <c r="G331" i="19"/>
  <c r="F331" i="19"/>
  <c r="N331" i="19"/>
  <c r="C332" i="19"/>
  <c r="K331" i="19"/>
  <c r="M330" i="18"/>
  <c r="E330" i="18"/>
  <c r="J330" i="18"/>
  <c r="I330" i="18"/>
  <c r="H330" i="18"/>
  <c r="C331" i="18"/>
  <c r="G330" i="18"/>
  <c r="K330" i="18"/>
  <c r="F330" i="18"/>
  <c r="D330" i="18"/>
  <c r="N330" i="18"/>
  <c r="L330" i="18"/>
  <c r="N335" i="1" l="1"/>
  <c r="L335" i="1"/>
  <c r="M335" i="1"/>
  <c r="G335" i="1"/>
  <c r="F335" i="1"/>
  <c r="C336" i="1"/>
  <c r="E335" i="1"/>
  <c r="H335" i="1"/>
  <c r="K335" i="1"/>
  <c r="D335" i="1"/>
  <c r="J335" i="1"/>
  <c r="I335" i="1"/>
  <c r="N335" i="27"/>
  <c r="M335" i="27"/>
  <c r="L335" i="27"/>
  <c r="I335" i="27"/>
  <c r="F335" i="27"/>
  <c r="J335" i="27"/>
  <c r="C336" i="27"/>
  <c r="G335" i="27"/>
  <c r="D335" i="27"/>
  <c r="H335" i="27"/>
  <c r="E335" i="27"/>
  <c r="K335" i="27"/>
  <c r="M335" i="26"/>
  <c r="N335" i="26"/>
  <c r="D335" i="26"/>
  <c r="E335" i="26"/>
  <c r="H335" i="26"/>
  <c r="G335" i="26"/>
  <c r="J335" i="26"/>
  <c r="I335" i="26"/>
  <c r="F335" i="26"/>
  <c r="C336" i="26"/>
  <c r="L335" i="26"/>
  <c r="K335" i="26"/>
  <c r="J334" i="25"/>
  <c r="I334" i="25"/>
  <c r="F334" i="25"/>
  <c r="M334" i="25"/>
  <c r="L334" i="25"/>
  <c r="K334" i="25"/>
  <c r="H334" i="25"/>
  <c r="G334" i="25"/>
  <c r="E334" i="25"/>
  <c r="D334" i="25"/>
  <c r="C335" i="25"/>
  <c r="N334" i="25"/>
  <c r="N331" i="20"/>
  <c r="F331" i="20"/>
  <c r="M331" i="20"/>
  <c r="E331" i="20"/>
  <c r="K331" i="20"/>
  <c r="J331" i="20"/>
  <c r="I331" i="20"/>
  <c r="C332" i="20"/>
  <c r="L331" i="20"/>
  <c r="H331" i="20"/>
  <c r="G331" i="20"/>
  <c r="D331" i="20"/>
  <c r="I332" i="19"/>
  <c r="H332" i="19"/>
  <c r="N332" i="19"/>
  <c r="F332" i="19"/>
  <c r="L332" i="19"/>
  <c r="D332" i="19"/>
  <c r="M332" i="19"/>
  <c r="K332" i="19"/>
  <c r="J332" i="19"/>
  <c r="G332" i="19"/>
  <c r="E332" i="19"/>
  <c r="C333" i="19"/>
  <c r="I331" i="18"/>
  <c r="N331" i="18"/>
  <c r="F331" i="18"/>
  <c r="M331" i="18"/>
  <c r="E331" i="18"/>
  <c r="L331" i="18"/>
  <c r="D331" i="18"/>
  <c r="K331" i="18"/>
  <c r="C332" i="18"/>
  <c r="J331" i="18"/>
  <c r="H331" i="18"/>
  <c r="G331" i="18"/>
  <c r="F336" i="1" l="1"/>
  <c r="E336" i="1"/>
  <c r="H336" i="1"/>
  <c r="D336" i="1"/>
  <c r="M336" i="1"/>
  <c r="J336" i="1"/>
  <c r="C337" i="1"/>
  <c r="K336" i="1"/>
  <c r="I336" i="1"/>
  <c r="G336" i="1"/>
  <c r="N336" i="1"/>
  <c r="L336" i="1"/>
  <c r="C337" i="27"/>
  <c r="N336" i="27"/>
  <c r="K336" i="27"/>
  <c r="D336" i="27"/>
  <c r="M336" i="27"/>
  <c r="I336" i="27"/>
  <c r="H336" i="27"/>
  <c r="L336" i="27"/>
  <c r="J336" i="27"/>
  <c r="F336" i="27"/>
  <c r="E336" i="27"/>
  <c r="G336" i="27"/>
  <c r="E336" i="26"/>
  <c r="K336" i="26"/>
  <c r="M336" i="26"/>
  <c r="C337" i="26"/>
  <c r="H336" i="26"/>
  <c r="G336" i="26"/>
  <c r="F336" i="26"/>
  <c r="D336" i="26"/>
  <c r="N336" i="26"/>
  <c r="L336" i="26"/>
  <c r="J336" i="26"/>
  <c r="I336" i="26"/>
  <c r="N335" i="25"/>
  <c r="M335" i="25"/>
  <c r="L335" i="25"/>
  <c r="K335" i="25"/>
  <c r="J335" i="25"/>
  <c r="E335" i="25"/>
  <c r="D335" i="25"/>
  <c r="C336" i="25"/>
  <c r="I335" i="25"/>
  <c r="H335" i="25"/>
  <c r="G335" i="25"/>
  <c r="F335" i="25"/>
  <c r="J332" i="20"/>
  <c r="I332" i="20"/>
  <c r="C333" i="20"/>
  <c r="G332" i="20"/>
  <c r="N332" i="20"/>
  <c r="F332" i="20"/>
  <c r="M332" i="20"/>
  <c r="E332" i="20"/>
  <c r="K332" i="20"/>
  <c r="D332" i="20"/>
  <c r="H332" i="20"/>
  <c r="L332" i="20"/>
  <c r="M333" i="19"/>
  <c r="E333" i="19"/>
  <c r="L333" i="19"/>
  <c r="D333" i="19"/>
  <c r="J333" i="19"/>
  <c r="H333" i="19"/>
  <c r="C334" i="19"/>
  <c r="N333" i="19"/>
  <c r="K333" i="19"/>
  <c r="I333" i="19"/>
  <c r="F333" i="19"/>
  <c r="G333" i="19"/>
  <c r="M332" i="18"/>
  <c r="E332" i="18"/>
  <c r="J332" i="18"/>
  <c r="I332" i="18"/>
  <c r="H332" i="18"/>
  <c r="C333" i="18"/>
  <c r="G332" i="18"/>
  <c r="F332" i="18"/>
  <c r="D332" i="18"/>
  <c r="N332" i="18"/>
  <c r="L332" i="18"/>
  <c r="K332" i="18"/>
  <c r="I337" i="1" l="1"/>
  <c r="D337" i="1"/>
  <c r="G337" i="1"/>
  <c r="J337" i="1"/>
  <c r="N337" i="1"/>
  <c r="F337" i="1"/>
  <c r="E337" i="1"/>
  <c r="M337" i="1"/>
  <c r="L337" i="1"/>
  <c r="C338" i="1"/>
  <c r="K337" i="1"/>
  <c r="H337" i="1"/>
  <c r="F337" i="27"/>
  <c r="E337" i="27"/>
  <c r="H337" i="27"/>
  <c r="N337" i="27"/>
  <c r="K337" i="27"/>
  <c r="L337" i="27"/>
  <c r="C338" i="27"/>
  <c r="M337" i="27"/>
  <c r="J337" i="27"/>
  <c r="I337" i="27"/>
  <c r="G337" i="27"/>
  <c r="D337" i="27"/>
  <c r="E337" i="26"/>
  <c r="G337" i="26"/>
  <c r="K337" i="26"/>
  <c r="F337" i="26"/>
  <c r="D337" i="26"/>
  <c r="L337" i="26"/>
  <c r="J337" i="26"/>
  <c r="I337" i="26"/>
  <c r="N337" i="26"/>
  <c r="M337" i="26"/>
  <c r="H337" i="26"/>
  <c r="C338" i="26"/>
  <c r="H336" i="25"/>
  <c r="K336" i="25"/>
  <c r="J336" i="25"/>
  <c r="I336" i="25"/>
  <c r="N336" i="25"/>
  <c r="M336" i="25"/>
  <c r="L336" i="25"/>
  <c r="G336" i="25"/>
  <c r="F336" i="25"/>
  <c r="E336" i="25"/>
  <c r="C337" i="25"/>
  <c r="D336" i="25"/>
  <c r="N333" i="20"/>
  <c r="F333" i="20"/>
  <c r="M333" i="20"/>
  <c r="E333" i="20"/>
  <c r="K333" i="20"/>
  <c r="J333" i="20"/>
  <c r="I333" i="20"/>
  <c r="C334" i="20"/>
  <c r="L333" i="20"/>
  <c r="H333" i="20"/>
  <c r="G333" i="20"/>
  <c r="D333" i="20"/>
  <c r="I334" i="19"/>
  <c r="H334" i="19"/>
  <c r="N334" i="19"/>
  <c r="F334" i="19"/>
  <c r="L334" i="19"/>
  <c r="D334" i="19"/>
  <c r="E334" i="19"/>
  <c r="C335" i="19"/>
  <c r="M334" i="19"/>
  <c r="J334" i="19"/>
  <c r="K334" i="19"/>
  <c r="G334" i="19"/>
  <c r="I333" i="18"/>
  <c r="N333" i="18"/>
  <c r="F333" i="18"/>
  <c r="M333" i="18"/>
  <c r="E333" i="18"/>
  <c r="L333" i="18"/>
  <c r="D333" i="18"/>
  <c r="K333" i="18"/>
  <c r="C334" i="18"/>
  <c r="J333" i="18"/>
  <c r="H333" i="18"/>
  <c r="G333" i="18"/>
  <c r="F338" i="1" l="1"/>
  <c r="AJ15" i="1" s="1"/>
  <c r="S75" i="8" s="1"/>
  <c r="E338" i="1"/>
  <c r="AI15" i="1" s="1"/>
  <c r="S74" i="8" s="1"/>
  <c r="D338" i="1"/>
  <c r="AH15" i="1" s="1"/>
  <c r="C342" i="1"/>
  <c r="M338" i="1"/>
  <c r="AQ15" i="1" s="1"/>
  <c r="S82" i="8" s="1"/>
  <c r="N338" i="1"/>
  <c r="AR15" i="1" s="1"/>
  <c r="S83" i="8" s="1"/>
  <c r="L338" i="1"/>
  <c r="AP15" i="1" s="1"/>
  <c r="S81" i="8" s="1"/>
  <c r="G338" i="1"/>
  <c r="AK15" i="1" s="1"/>
  <c r="S76" i="8" s="1"/>
  <c r="J338" i="1"/>
  <c r="AN15" i="1" s="1"/>
  <c r="S79" i="8" s="1"/>
  <c r="K338" i="1"/>
  <c r="AO15" i="1" s="1"/>
  <c r="S80" i="8" s="1"/>
  <c r="I338" i="1"/>
  <c r="AM15" i="1" s="1"/>
  <c r="S78" i="8" s="1"/>
  <c r="H338" i="1"/>
  <c r="AL15" i="1" s="1"/>
  <c r="S77" i="8" s="1"/>
  <c r="J338" i="27"/>
  <c r="AN15" i="27" s="1"/>
  <c r="S79" i="24" s="1"/>
  <c r="I338" i="27"/>
  <c r="AM15" i="27" s="1"/>
  <c r="S78" i="24" s="1"/>
  <c r="N338" i="27"/>
  <c r="AR15" i="27" s="1"/>
  <c r="S83" i="24" s="1"/>
  <c r="K338" i="27"/>
  <c r="AO15" i="27" s="1"/>
  <c r="S80" i="24" s="1"/>
  <c r="M338" i="27"/>
  <c r="AQ15" i="27" s="1"/>
  <c r="S82" i="24" s="1"/>
  <c r="G338" i="27"/>
  <c r="AK15" i="27" s="1"/>
  <c r="S76" i="24" s="1"/>
  <c r="D338" i="27"/>
  <c r="AH15" i="27" s="1"/>
  <c r="F338" i="27"/>
  <c r="AJ15" i="27" s="1"/>
  <c r="S75" i="24" s="1"/>
  <c r="E338" i="27"/>
  <c r="AI15" i="27" s="1"/>
  <c r="S74" i="24" s="1"/>
  <c r="C342" i="27"/>
  <c r="L338" i="27"/>
  <c r="AP15" i="27" s="1"/>
  <c r="S81" i="24" s="1"/>
  <c r="H338" i="27"/>
  <c r="AL15" i="27" s="1"/>
  <c r="S77" i="24" s="1"/>
  <c r="I338" i="26"/>
  <c r="AM15" i="26" s="1"/>
  <c r="S78" i="23" s="1"/>
  <c r="L338" i="26"/>
  <c r="AP15" i="26" s="1"/>
  <c r="S81" i="23" s="1"/>
  <c r="F338" i="26"/>
  <c r="AJ15" i="26" s="1"/>
  <c r="S75" i="23" s="1"/>
  <c r="J338" i="26"/>
  <c r="AN15" i="26" s="1"/>
  <c r="S79" i="23" s="1"/>
  <c r="C342" i="26"/>
  <c r="N338" i="26"/>
  <c r="AR15" i="26" s="1"/>
  <c r="S83" i="23" s="1"/>
  <c r="M338" i="26"/>
  <c r="AQ15" i="26" s="1"/>
  <c r="S82" i="23" s="1"/>
  <c r="K338" i="26"/>
  <c r="AO15" i="26" s="1"/>
  <c r="S80" i="23" s="1"/>
  <c r="H338" i="26"/>
  <c r="AL15" i="26" s="1"/>
  <c r="S77" i="23" s="1"/>
  <c r="G338" i="26"/>
  <c r="AK15" i="26" s="1"/>
  <c r="S76" i="23" s="1"/>
  <c r="E338" i="26"/>
  <c r="AI15" i="26" s="1"/>
  <c r="S74" i="23" s="1"/>
  <c r="D338" i="26"/>
  <c r="AH15" i="26" s="1"/>
  <c r="F337" i="25"/>
  <c r="E337" i="25"/>
  <c r="H337" i="25"/>
  <c r="C338" i="25"/>
  <c r="J337" i="25"/>
  <c r="I337" i="25"/>
  <c r="N337" i="25"/>
  <c r="M337" i="25"/>
  <c r="L337" i="25"/>
  <c r="K337" i="25"/>
  <c r="G337" i="25"/>
  <c r="D337" i="25"/>
  <c r="J334" i="20"/>
  <c r="I334" i="20"/>
  <c r="C335" i="20"/>
  <c r="G334" i="20"/>
  <c r="N334" i="20"/>
  <c r="F334" i="20"/>
  <c r="M334" i="20"/>
  <c r="E334" i="20"/>
  <c r="H334" i="20"/>
  <c r="L334" i="20"/>
  <c r="K334" i="20"/>
  <c r="D334" i="20"/>
  <c r="M335" i="19"/>
  <c r="E335" i="19"/>
  <c r="L335" i="19"/>
  <c r="D335" i="19"/>
  <c r="J335" i="19"/>
  <c r="H335" i="19"/>
  <c r="I335" i="19"/>
  <c r="G335" i="19"/>
  <c r="F335" i="19"/>
  <c r="N335" i="19"/>
  <c r="C336" i="19"/>
  <c r="K335" i="19"/>
  <c r="M334" i="18"/>
  <c r="E334" i="18"/>
  <c r="J334" i="18"/>
  <c r="I334" i="18"/>
  <c r="H334" i="18"/>
  <c r="C335" i="18"/>
  <c r="G334" i="18"/>
  <c r="D334" i="18"/>
  <c r="N334" i="18"/>
  <c r="L334" i="18"/>
  <c r="K334" i="18"/>
  <c r="F334" i="18"/>
  <c r="M342" i="1" l="1"/>
  <c r="L342" i="1"/>
  <c r="D342" i="1"/>
  <c r="J342" i="1"/>
  <c r="I342" i="1"/>
  <c r="G342" i="1"/>
  <c r="F342" i="1"/>
  <c r="E342" i="1"/>
  <c r="H342" i="1"/>
  <c r="K342" i="1"/>
  <c r="N342" i="1"/>
  <c r="C343" i="1"/>
  <c r="S84" i="8"/>
  <c r="S86" i="8" s="1"/>
  <c r="S84" i="24"/>
  <c r="S86" i="24" s="1"/>
  <c r="S84" i="23"/>
  <c r="S86" i="23" s="1"/>
  <c r="N342" i="27"/>
  <c r="M342" i="27"/>
  <c r="L342" i="27"/>
  <c r="I342" i="27"/>
  <c r="C343" i="27"/>
  <c r="H342" i="27"/>
  <c r="E342" i="27"/>
  <c r="D342" i="27"/>
  <c r="K342" i="27"/>
  <c r="J342" i="27"/>
  <c r="G342" i="27"/>
  <c r="F342" i="27"/>
  <c r="M342" i="26"/>
  <c r="E342" i="26"/>
  <c r="N342" i="26"/>
  <c r="D342" i="26"/>
  <c r="K342" i="26"/>
  <c r="J342" i="26"/>
  <c r="I342" i="26"/>
  <c r="C343" i="26"/>
  <c r="L342" i="26"/>
  <c r="H342" i="26"/>
  <c r="G342" i="26"/>
  <c r="F342" i="26"/>
  <c r="J338" i="25"/>
  <c r="AN15" i="25" s="1"/>
  <c r="S79" i="22" s="1"/>
  <c r="I338" i="25"/>
  <c r="AM15" i="25" s="1"/>
  <c r="S78" i="22" s="1"/>
  <c r="N338" i="25"/>
  <c r="AR15" i="25" s="1"/>
  <c r="S83" i="22" s="1"/>
  <c r="K338" i="25"/>
  <c r="AO15" i="25" s="1"/>
  <c r="S80" i="22" s="1"/>
  <c r="H338" i="25"/>
  <c r="AL15" i="25" s="1"/>
  <c r="S77" i="22" s="1"/>
  <c r="G338" i="25"/>
  <c r="AK15" i="25" s="1"/>
  <c r="S76" i="22" s="1"/>
  <c r="C342" i="25"/>
  <c r="M338" i="25"/>
  <c r="AQ15" i="25" s="1"/>
  <c r="S82" i="22" s="1"/>
  <c r="L338" i="25"/>
  <c r="AP15" i="25" s="1"/>
  <c r="S81" i="22" s="1"/>
  <c r="F338" i="25"/>
  <c r="AJ15" i="25" s="1"/>
  <c r="S75" i="22" s="1"/>
  <c r="E338" i="25"/>
  <c r="AI15" i="25" s="1"/>
  <c r="S74" i="22" s="1"/>
  <c r="D338" i="25"/>
  <c r="AH15" i="25" s="1"/>
  <c r="N335" i="20"/>
  <c r="F335" i="20"/>
  <c r="M335" i="20"/>
  <c r="E335" i="20"/>
  <c r="K335" i="20"/>
  <c r="J335" i="20"/>
  <c r="I335" i="20"/>
  <c r="L335" i="20"/>
  <c r="H335" i="20"/>
  <c r="G335" i="20"/>
  <c r="D335" i="20"/>
  <c r="C336" i="20"/>
  <c r="I336" i="19"/>
  <c r="H336" i="19"/>
  <c r="N336" i="19"/>
  <c r="F336" i="19"/>
  <c r="L336" i="19"/>
  <c r="D336" i="19"/>
  <c r="M336" i="19"/>
  <c r="K336" i="19"/>
  <c r="J336" i="19"/>
  <c r="G336" i="19"/>
  <c r="E336" i="19"/>
  <c r="C337" i="19"/>
  <c r="I335" i="18"/>
  <c r="N335" i="18"/>
  <c r="F335" i="18"/>
  <c r="M335" i="18"/>
  <c r="E335" i="18"/>
  <c r="L335" i="18"/>
  <c r="D335" i="18"/>
  <c r="K335" i="18"/>
  <c r="C336" i="18"/>
  <c r="J335" i="18"/>
  <c r="H335" i="18"/>
  <c r="G335" i="18"/>
  <c r="L343" i="1" l="1"/>
  <c r="E343" i="1"/>
  <c r="M343" i="1"/>
  <c r="K343" i="1"/>
  <c r="H343" i="1"/>
  <c r="J343" i="1"/>
  <c r="I343" i="1"/>
  <c r="G343" i="1"/>
  <c r="D343" i="1"/>
  <c r="C344" i="1"/>
  <c r="F343" i="1"/>
  <c r="N343" i="1"/>
  <c r="S84" i="22"/>
  <c r="S86" i="22" s="1"/>
  <c r="H343" i="27"/>
  <c r="E343" i="27"/>
  <c r="J343" i="27"/>
  <c r="F343" i="27"/>
  <c r="I343" i="27"/>
  <c r="K343" i="27"/>
  <c r="G343" i="27"/>
  <c r="D343" i="27"/>
  <c r="C344" i="27"/>
  <c r="N343" i="27"/>
  <c r="M343" i="27"/>
  <c r="L343" i="27"/>
  <c r="E343" i="26"/>
  <c r="K343" i="26"/>
  <c r="G343" i="26"/>
  <c r="N343" i="26"/>
  <c r="M343" i="26"/>
  <c r="H343" i="26"/>
  <c r="F343" i="26"/>
  <c r="D343" i="26"/>
  <c r="C344" i="26"/>
  <c r="L343" i="26"/>
  <c r="J343" i="26"/>
  <c r="I343" i="26"/>
  <c r="N342" i="25"/>
  <c r="M342" i="25"/>
  <c r="J342" i="25"/>
  <c r="F342" i="25"/>
  <c r="E342" i="25"/>
  <c r="H342" i="25"/>
  <c r="G342" i="25"/>
  <c r="D342" i="25"/>
  <c r="C343" i="25"/>
  <c r="L342" i="25"/>
  <c r="K342" i="25"/>
  <c r="I342" i="25"/>
  <c r="J336" i="20"/>
  <c r="I336" i="20"/>
  <c r="C337" i="20"/>
  <c r="G336" i="20"/>
  <c r="N336" i="20"/>
  <c r="F336" i="20"/>
  <c r="M336" i="20"/>
  <c r="E336" i="20"/>
  <c r="D336" i="20"/>
  <c r="L336" i="20"/>
  <c r="K336" i="20"/>
  <c r="H336" i="20"/>
  <c r="M337" i="19"/>
  <c r="E337" i="19"/>
  <c r="L337" i="19"/>
  <c r="D337" i="19"/>
  <c r="J337" i="19"/>
  <c r="H337" i="19"/>
  <c r="C338" i="19"/>
  <c r="N337" i="19"/>
  <c r="K337" i="19"/>
  <c r="I337" i="19"/>
  <c r="F337" i="19"/>
  <c r="G337" i="19"/>
  <c r="M336" i="18"/>
  <c r="E336" i="18"/>
  <c r="J336" i="18"/>
  <c r="I336" i="18"/>
  <c r="H336" i="18"/>
  <c r="C337" i="18"/>
  <c r="G336" i="18"/>
  <c r="N336" i="18"/>
  <c r="L336" i="18"/>
  <c r="K336" i="18"/>
  <c r="F336" i="18"/>
  <c r="D336" i="18"/>
  <c r="I344" i="1" l="1"/>
  <c r="K344" i="1"/>
  <c r="H344" i="1"/>
  <c r="J344" i="1"/>
  <c r="F344" i="1"/>
  <c r="E344" i="1"/>
  <c r="M344" i="1"/>
  <c r="G344" i="1"/>
  <c r="D344" i="1"/>
  <c r="N344" i="1"/>
  <c r="L344" i="1"/>
  <c r="C345" i="1"/>
  <c r="F344" i="27"/>
  <c r="E344" i="27"/>
  <c r="N344" i="27"/>
  <c r="K344" i="27"/>
  <c r="C345" i="27"/>
  <c r="M344" i="27"/>
  <c r="I344" i="27"/>
  <c r="J344" i="27"/>
  <c r="H344" i="27"/>
  <c r="G344" i="27"/>
  <c r="D344" i="27"/>
  <c r="L344" i="27"/>
  <c r="E344" i="26"/>
  <c r="J344" i="26"/>
  <c r="I344" i="26"/>
  <c r="H344" i="26"/>
  <c r="N344" i="26"/>
  <c r="M344" i="26"/>
  <c r="L344" i="26"/>
  <c r="C345" i="26"/>
  <c r="K344" i="26"/>
  <c r="G344" i="26"/>
  <c r="F344" i="26"/>
  <c r="D344" i="26"/>
  <c r="H343" i="25"/>
  <c r="N343" i="25"/>
  <c r="M343" i="25"/>
  <c r="J343" i="25"/>
  <c r="I343" i="25"/>
  <c r="G343" i="25"/>
  <c r="C344" i="25"/>
  <c r="L343" i="25"/>
  <c r="K343" i="25"/>
  <c r="F343" i="25"/>
  <c r="E343" i="25"/>
  <c r="D343" i="25"/>
  <c r="N337" i="20"/>
  <c r="F337" i="20"/>
  <c r="M337" i="20"/>
  <c r="E337" i="20"/>
  <c r="K337" i="20"/>
  <c r="J337" i="20"/>
  <c r="I337" i="20"/>
  <c r="C338" i="20"/>
  <c r="H337" i="20"/>
  <c r="G337" i="20"/>
  <c r="D337" i="20"/>
  <c r="L337" i="20"/>
  <c r="I338" i="19"/>
  <c r="AM15" i="19" s="1"/>
  <c r="H338" i="19"/>
  <c r="AL15" i="19" s="1"/>
  <c r="N338" i="19"/>
  <c r="AR15" i="19" s="1"/>
  <c r="F338" i="19"/>
  <c r="AJ15" i="19" s="1"/>
  <c r="L338" i="19"/>
  <c r="AP15" i="19" s="1"/>
  <c r="D338" i="19"/>
  <c r="AH15" i="19" s="1"/>
  <c r="E338" i="19"/>
  <c r="AI15" i="19" s="1"/>
  <c r="C342" i="19"/>
  <c r="M338" i="19"/>
  <c r="AQ15" i="19" s="1"/>
  <c r="J338" i="19"/>
  <c r="AN15" i="19" s="1"/>
  <c r="K338" i="19"/>
  <c r="AO15" i="19" s="1"/>
  <c r="G338" i="19"/>
  <c r="AK15" i="19" s="1"/>
  <c r="I337" i="18"/>
  <c r="C338" i="18"/>
  <c r="G337" i="18"/>
  <c r="N337" i="18"/>
  <c r="F337" i="18"/>
  <c r="M337" i="18"/>
  <c r="E337" i="18"/>
  <c r="L337" i="18"/>
  <c r="D337" i="18"/>
  <c r="K337" i="18"/>
  <c r="J337" i="18"/>
  <c r="H337" i="18"/>
  <c r="F345" i="1" l="1"/>
  <c r="H345" i="1"/>
  <c r="K345" i="1"/>
  <c r="G345" i="1"/>
  <c r="C346" i="1"/>
  <c r="N345" i="1"/>
  <c r="M345" i="1"/>
  <c r="E345" i="1"/>
  <c r="J345" i="1"/>
  <c r="I345" i="1"/>
  <c r="D345" i="1"/>
  <c r="L345" i="1"/>
  <c r="J345" i="27"/>
  <c r="I345" i="27"/>
  <c r="F345" i="27"/>
  <c r="L345" i="27"/>
  <c r="G345" i="27"/>
  <c r="E345" i="27"/>
  <c r="C346" i="27"/>
  <c r="N345" i="27"/>
  <c r="M345" i="27"/>
  <c r="K345" i="27"/>
  <c r="H345" i="27"/>
  <c r="D345" i="27"/>
  <c r="I345" i="26"/>
  <c r="C346" i="26"/>
  <c r="E345" i="26"/>
  <c r="D345" i="26"/>
  <c r="M345" i="26"/>
  <c r="L345" i="26"/>
  <c r="N345" i="26"/>
  <c r="K345" i="26"/>
  <c r="J345" i="26"/>
  <c r="H345" i="26"/>
  <c r="G345" i="26"/>
  <c r="F345" i="26"/>
  <c r="F344" i="25"/>
  <c r="E344" i="25"/>
  <c r="N344" i="25"/>
  <c r="G344" i="25"/>
  <c r="L344" i="25"/>
  <c r="K344" i="25"/>
  <c r="J344" i="25"/>
  <c r="I344" i="25"/>
  <c r="H344" i="25"/>
  <c r="D344" i="25"/>
  <c r="C345" i="25"/>
  <c r="M344" i="25"/>
  <c r="S75" i="12"/>
  <c r="S76" i="12"/>
  <c r="S80" i="12"/>
  <c r="S79" i="12"/>
  <c r="S82" i="12"/>
  <c r="S77" i="12"/>
  <c r="S78" i="12"/>
  <c r="S74" i="12"/>
  <c r="S83" i="12"/>
  <c r="S81" i="12"/>
  <c r="J338" i="20"/>
  <c r="AN15" i="20" s="1"/>
  <c r="I338" i="20"/>
  <c r="AM15" i="20" s="1"/>
  <c r="C342" i="20"/>
  <c r="G338" i="20"/>
  <c r="AK15" i="20" s="1"/>
  <c r="N338" i="20"/>
  <c r="AR15" i="20" s="1"/>
  <c r="F338" i="20"/>
  <c r="AJ15" i="20" s="1"/>
  <c r="M338" i="20"/>
  <c r="AQ15" i="20" s="1"/>
  <c r="E338" i="20"/>
  <c r="AI15" i="20" s="1"/>
  <c r="L338" i="20"/>
  <c r="AP15" i="20" s="1"/>
  <c r="K338" i="20"/>
  <c r="AO15" i="20" s="1"/>
  <c r="H338" i="20"/>
  <c r="AL15" i="20" s="1"/>
  <c r="D338" i="20"/>
  <c r="AH15" i="20" s="1"/>
  <c r="M342" i="19"/>
  <c r="E342" i="19"/>
  <c r="L342" i="19"/>
  <c r="D342" i="19"/>
  <c r="J342" i="19"/>
  <c r="H342" i="19"/>
  <c r="I342" i="19"/>
  <c r="G342" i="19"/>
  <c r="F342" i="19"/>
  <c r="N342" i="19"/>
  <c r="C343" i="19"/>
  <c r="K342" i="19"/>
  <c r="M338" i="18"/>
  <c r="AQ15" i="18" s="1"/>
  <c r="E338" i="18"/>
  <c r="AI15" i="18" s="1"/>
  <c r="S74" i="14" s="1"/>
  <c r="L338" i="18"/>
  <c r="AP15" i="18" s="1"/>
  <c r="D338" i="18"/>
  <c r="AH15" i="18" s="1"/>
  <c r="K338" i="18"/>
  <c r="AO15" i="18" s="1"/>
  <c r="J338" i="18"/>
  <c r="AN15" i="18" s="1"/>
  <c r="I338" i="18"/>
  <c r="AM15" i="18" s="1"/>
  <c r="H338" i="18"/>
  <c r="AL15" i="18" s="1"/>
  <c r="S77" i="14" s="1"/>
  <c r="C342" i="18"/>
  <c r="G338" i="18"/>
  <c r="AK15" i="18" s="1"/>
  <c r="F338" i="18"/>
  <c r="AJ15" i="18" s="1"/>
  <c r="N338" i="18"/>
  <c r="AR15" i="18" s="1"/>
  <c r="E346" i="1" l="1"/>
  <c r="J346" i="1"/>
  <c r="I346" i="1"/>
  <c r="D346" i="1"/>
  <c r="F346" i="1"/>
  <c r="N346" i="1"/>
  <c r="H346" i="1"/>
  <c r="M346" i="1"/>
  <c r="C347" i="1"/>
  <c r="L346" i="1"/>
  <c r="G346" i="1"/>
  <c r="K346" i="1"/>
  <c r="N346" i="27"/>
  <c r="M346" i="27"/>
  <c r="H346" i="27"/>
  <c r="E346" i="27"/>
  <c r="K346" i="27"/>
  <c r="C347" i="27"/>
  <c r="I346" i="27"/>
  <c r="L346" i="27"/>
  <c r="J346" i="27"/>
  <c r="F346" i="27"/>
  <c r="D346" i="27"/>
  <c r="G346" i="27"/>
  <c r="M346" i="26"/>
  <c r="K346" i="26"/>
  <c r="E346" i="26"/>
  <c r="D346" i="26"/>
  <c r="C347" i="26"/>
  <c r="N346" i="26"/>
  <c r="F346" i="26"/>
  <c r="J346" i="26"/>
  <c r="I346" i="26"/>
  <c r="H346" i="26"/>
  <c r="G346" i="26"/>
  <c r="L346" i="26"/>
  <c r="J345" i="25"/>
  <c r="I345" i="25"/>
  <c r="N345" i="25"/>
  <c r="L345" i="25"/>
  <c r="K345" i="25"/>
  <c r="H345" i="25"/>
  <c r="G345" i="25"/>
  <c r="F345" i="25"/>
  <c r="C346" i="25"/>
  <c r="M345" i="25"/>
  <c r="E345" i="25"/>
  <c r="D345" i="25"/>
  <c r="S84" i="12"/>
  <c r="S86" i="12" s="1"/>
  <c r="S79" i="14"/>
  <c r="S80" i="14"/>
  <c r="S83" i="14"/>
  <c r="S81" i="14"/>
  <c r="S75" i="14"/>
  <c r="S82" i="14"/>
  <c r="S78" i="14"/>
  <c r="S76" i="14"/>
  <c r="N342" i="20"/>
  <c r="F342" i="20"/>
  <c r="M342" i="20"/>
  <c r="E342" i="20"/>
  <c r="K342" i="20"/>
  <c r="J342" i="20"/>
  <c r="I342" i="20"/>
  <c r="L342" i="20"/>
  <c r="G342" i="20"/>
  <c r="D342" i="20"/>
  <c r="H342" i="20"/>
  <c r="C343" i="20"/>
  <c r="I343" i="19"/>
  <c r="H343" i="19"/>
  <c r="N343" i="19"/>
  <c r="F343" i="19"/>
  <c r="L343" i="19"/>
  <c r="D343" i="19"/>
  <c r="M343" i="19"/>
  <c r="K343" i="19"/>
  <c r="J343" i="19"/>
  <c r="G343" i="19"/>
  <c r="E343" i="19"/>
  <c r="C344" i="19"/>
  <c r="I342" i="18"/>
  <c r="H342" i="18"/>
  <c r="C343" i="18"/>
  <c r="G342" i="18"/>
  <c r="N342" i="18"/>
  <c r="F342" i="18"/>
  <c r="M342" i="18"/>
  <c r="E342" i="18"/>
  <c r="L342" i="18"/>
  <c r="D342" i="18"/>
  <c r="K342" i="18"/>
  <c r="J342" i="18"/>
  <c r="N347" i="1" l="1"/>
  <c r="G347" i="1"/>
  <c r="F347" i="1"/>
  <c r="E347" i="1"/>
  <c r="K347" i="1"/>
  <c r="J347" i="1"/>
  <c r="H347" i="1"/>
  <c r="M347" i="1"/>
  <c r="L347" i="1"/>
  <c r="D347" i="1"/>
  <c r="I347" i="1"/>
  <c r="C348" i="1"/>
  <c r="N347" i="27"/>
  <c r="K347" i="27"/>
  <c r="D347" i="27"/>
  <c r="M347" i="27"/>
  <c r="I347" i="27"/>
  <c r="L347" i="27"/>
  <c r="G347" i="27"/>
  <c r="F347" i="27"/>
  <c r="C348" i="27"/>
  <c r="J347" i="27"/>
  <c r="E347" i="27"/>
  <c r="H347" i="27"/>
  <c r="H347" i="26"/>
  <c r="L347" i="26"/>
  <c r="K347" i="26"/>
  <c r="N347" i="26"/>
  <c r="M347" i="26"/>
  <c r="E347" i="26"/>
  <c r="D347" i="26"/>
  <c r="F347" i="26"/>
  <c r="C348" i="26"/>
  <c r="J347" i="26"/>
  <c r="I347" i="26"/>
  <c r="G347" i="26"/>
  <c r="N346" i="25"/>
  <c r="M346" i="25"/>
  <c r="H346" i="25"/>
  <c r="C347" i="25"/>
  <c r="L346" i="25"/>
  <c r="K346" i="25"/>
  <c r="J346" i="25"/>
  <c r="I346" i="25"/>
  <c r="G346" i="25"/>
  <c r="F346" i="25"/>
  <c r="E346" i="25"/>
  <c r="D346" i="25"/>
  <c r="S84" i="14"/>
  <c r="S86" i="14" s="1"/>
  <c r="J343" i="20"/>
  <c r="I343" i="20"/>
  <c r="C344" i="20"/>
  <c r="G343" i="20"/>
  <c r="N343" i="20"/>
  <c r="F343" i="20"/>
  <c r="M343" i="20"/>
  <c r="E343" i="20"/>
  <c r="L343" i="20"/>
  <c r="K343" i="20"/>
  <c r="H343" i="20"/>
  <c r="D343" i="20"/>
  <c r="M344" i="19"/>
  <c r="E344" i="19"/>
  <c r="L344" i="19"/>
  <c r="D344" i="19"/>
  <c r="J344" i="19"/>
  <c r="H344" i="19"/>
  <c r="C345" i="19"/>
  <c r="N344" i="19"/>
  <c r="K344" i="19"/>
  <c r="I344" i="19"/>
  <c r="F344" i="19"/>
  <c r="G344" i="19"/>
  <c r="M343" i="18"/>
  <c r="E343" i="18"/>
  <c r="L343" i="18"/>
  <c r="D343" i="18"/>
  <c r="K343" i="18"/>
  <c r="J343" i="18"/>
  <c r="I343" i="18"/>
  <c r="H343" i="18"/>
  <c r="C344" i="18"/>
  <c r="G343" i="18"/>
  <c r="N343" i="18"/>
  <c r="F343" i="18"/>
  <c r="D348" i="1" l="1"/>
  <c r="I348" i="1"/>
  <c r="L348" i="1"/>
  <c r="H348" i="1"/>
  <c r="J348" i="1"/>
  <c r="M348" i="1"/>
  <c r="C349" i="1"/>
  <c r="N348" i="1"/>
  <c r="G348" i="1"/>
  <c r="K348" i="1"/>
  <c r="F348" i="1"/>
  <c r="E348" i="1"/>
  <c r="F348" i="27"/>
  <c r="E348" i="27"/>
  <c r="L348" i="27"/>
  <c r="I348" i="27"/>
  <c r="N348" i="27"/>
  <c r="J348" i="27"/>
  <c r="G348" i="27"/>
  <c r="D348" i="27"/>
  <c r="C349" i="27"/>
  <c r="M348" i="27"/>
  <c r="K348" i="27"/>
  <c r="H348" i="27"/>
  <c r="E348" i="26"/>
  <c r="M348" i="26"/>
  <c r="F348" i="26"/>
  <c r="L348" i="26"/>
  <c r="K348" i="26"/>
  <c r="J348" i="26"/>
  <c r="I348" i="26"/>
  <c r="H348" i="26"/>
  <c r="C349" i="26"/>
  <c r="N348" i="26"/>
  <c r="G348" i="26"/>
  <c r="D348" i="26"/>
  <c r="N347" i="25"/>
  <c r="I347" i="25"/>
  <c r="H347" i="25"/>
  <c r="G347" i="25"/>
  <c r="K347" i="25"/>
  <c r="J347" i="25"/>
  <c r="F347" i="25"/>
  <c r="D347" i="25"/>
  <c r="C348" i="25"/>
  <c r="M347" i="25"/>
  <c r="L347" i="25"/>
  <c r="E347" i="25"/>
  <c r="N344" i="20"/>
  <c r="F344" i="20"/>
  <c r="M344" i="20"/>
  <c r="E344" i="20"/>
  <c r="K344" i="20"/>
  <c r="J344" i="20"/>
  <c r="I344" i="20"/>
  <c r="H344" i="20"/>
  <c r="D344" i="20"/>
  <c r="C345" i="20"/>
  <c r="L344" i="20"/>
  <c r="G344" i="20"/>
  <c r="I345" i="19"/>
  <c r="H345" i="19"/>
  <c r="N345" i="19"/>
  <c r="F345" i="19"/>
  <c r="L345" i="19"/>
  <c r="D345" i="19"/>
  <c r="E345" i="19"/>
  <c r="C346" i="19"/>
  <c r="M345" i="19"/>
  <c r="J345" i="19"/>
  <c r="K345" i="19"/>
  <c r="G345" i="19"/>
  <c r="I344" i="18"/>
  <c r="H344" i="18"/>
  <c r="C345" i="18"/>
  <c r="G344" i="18"/>
  <c r="N344" i="18"/>
  <c r="F344" i="18"/>
  <c r="M344" i="18"/>
  <c r="E344" i="18"/>
  <c r="L344" i="18"/>
  <c r="D344" i="18"/>
  <c r="K344" i="18"/>
  <c r="J344" i="18"/>
  <c r="K349" i="1" l="1"/>
  <c r="F349" i="1"/>
  <c r="L349" i="1"/>
  <c r="I349" i="1"/>
  <c r="H349" i="1"/>
  <c r="G349" i="1"/>
  <c r="C350" i="1"/>
  <c r="E349" i="1"/>
  <c r="N349" i="1"/>
  <c r="J349" i="1"/>
  <c r="M349" i="1"/>
  <c r="D349" i="1"/>
  <c r="J349" i="27"/>
  <c r="I349" i="27"/>
  <c r="H349" i="27"/>
  <c r="E349" i="27"/>
  <c r="M349" i="27"/>
  <c r="N349" i="27"/>
  <c r="L349" i="27"/>
  <c r="C350" i="27"/>
  <c r="K349" i="27"/>
  <c r="G349" i="27"/>
  <c r="F349" i="27"/>
  <c r="D349" i="27"/>
  <c r="I349" i="26"/>
  <c r="L349" i="26"/>
  <c r="G349" i="26"/>
  <c r="F349" i="26"/>
  <c r="N349" i="26"/>
  <c r="M349" i="26"/>
  <c r="H349" i="26"/>
  <c r="E349" i="26"/>
  <c r="D349" i="26"/>
  <c r="C350" i="26"/>
  <c r="K349" i="26"/>
  <c r="J349" i="26"/>
  <c r="F348" i="25"/>
  <c r="E348" i="25"/>
  <c r="C349" i="25"/>
  <c r="N348" i="25"/>
  <c r="M348" i="25"/>
  <c r="L348" i="25"/>
  <c r="K348" i="25"/>
  <c r="J348" i="25"/>
  <c r="I348" i="25"/>
  <c r="H348" i="25"/>
  <c r="G348" i="25"/>
  <c r="D348" i="25"/>
  <c r="J345" i="20"/>
  <c r="I345" i="20"/>
  <c r="C346" i="20"/>
  <c r="G345" i="20"/>
  <c r="N345" i="20"/>
  <c r="F345" i="20"/>
  <c r="M345" i="20"/>
  <c r="E345" i="20"/>
  <c r="L345" i="20"/>
  <c r="K345" i="20"/>
  <c r="H345" i="20"/>
  <c r="D345" i="20"/>
  <c r="M346" i="19"/>
  <c r="L346" i="19"/>
  <c r="K346" i="19"/>
  <c r="H346" i="19"/>
  <c r="E346" i="19"/>
  <c r="D346" i="19"/>
  <c r="N346" i="19"/>
  <c r="I346" i="19"/>
  <c r="J346" i="19"/>
  <c r="G346" i="19"/>
  <c r="F346" i="19"/>
  <c r="C347" i="19"/>
  <c r="M345" i="18"/>
  <c r="E345" i="18"/>
  <c r="L345" i="18"/>
  <c r="D345" i="18"/>
  <c r="K345" i="18"/>
  <c r="J345" i="18"/>
  <c r="I345" i="18"/>
  <c r="H345" i="18"/>
  <c r="C346" i="18"/>
  <c r="G345" i="18"/>
  <c r="N345" i="18"/>
  <c r="F345" i="18"/>
  <c r="M350" i="1" l="1"/>
  <c r="L350" i="1"/>
  <c r="C351" i="1"/>
  <c r="J350" i="1"/>
  <c r="E350" i="1"/>
  <c r="N350" i="1"/>
  <c r="H350" i="1"/>
  <c r="G350" i="1"/>
  <c r="F350" i="1"/>
  <c r="I350" i="1"/>
  <c r="K350" i="1"/>
  <c r="D350" i="1"/>
  <c r="N350" i="27"/>
  <c r="M350" i="27"/>
  <c r="K350" i="27"/>
  <c r="H350" i="27"/>
  <c r="E350" i="27"/>
  <c r="C351" i="27"/>
  <c r="I350" i="27"/>
  <c r="D350" i="27"/>
  <c r="G350" i="27"/>
  <c r="L350" i="27"/>
  <c r="J350" i="27"/>
  <c r="F350" i="27"/>
  <c r="M350" i="26"/>
  <c r="F350" i="26"/>
  <c r="C351" i="26"/>
  <c r="N350" i="26"/>
  <c r="J350" i="26"/>
  <c r="G350" i="26"/>
  <c r="E350" i="26"/>
  <c r="D350" i="26"/>
  <c r="I350" i="26"/>
  <c r="H350" i="26"/>
  <c r="L350" i="26"/>
  <c r="K350" i="26"/>
  <c r="J349" i="25"/>
  <c r="I349" i="25"/>
  <c r="H349" i="25"/>
  <c r="D349" i="25"/>
  <c r="E349" i="25"/>
  <c r="L349" i="25"/>
  <c r="K349" i="25"/>
  <c r="G349" i="25"/>
  <c r="N349" i="25"/>
  <c r="M349" i="25"/>
  <c r="F349" i="25"/>
  <c r="C350" i="25"/>
  <c r="N346" i="20"/>
  <c r="K346" i="20"/>
  <c r="J346" i="20"/>
  <c r="I346" i="20"/>
  <c r="H346" i="20"/>
  <c r="F346" i="20"/>
  <c r="E346" i="20"/>
  <c r="C347" i="20"/>
  <c r="M346" i="20"/>
  <c r="G346" i="20"/>
  <c r="L346" i="20"/>
  <c r="D346" i="20"/>
  <c r="I347" i="19"/>
  <c r="H347" i="19"/>
  <c r="C348" i="19"/>
  <c r="G347" i="19"/>
  <c r="L347" i="19"/>
  <c r="D347" i="19"/>
  <c r="F347" i="19"/>
  <c r="E347" i="19"/>
  <c r="M347" i="19"/>
  <c r="N347" i="19"/>
  <c r="J347" i="19"/>
  <c r="K347" i="19"/>
  <c r="K346" i="18"/>
  <c r="H346" i="18"/>
  <c r="J346" i="18"/>
  <c r="I346" i="18"/>
  <c r="G346" i="18"/>
  <c r="F346" i="18"/>
  <c r="C347" i="18"/>
  <c r="E346" i="18"/>
  <c r="N346" i="18"/>
  <c r="D346" i="18"/>
  <c r="M346" i="18"/>
  <c r="L346" i="18"/>
  <c r="I351" i="1" l="1"/>
  <c r="H351" i="1"/>
  <c r="N351" i="1"/>
  <c r="E351" i="1"/>
  <c r="D351" i="1"/>
  <c r="F351" i="1"/>
  <c r="M351" i="1"/>
  <c r="G351" i="1"/>
  <c r="C352" i="1"/>
  <c r="L351" i="1"/>
  <c r="K351" i="1"/>
  <c r="J351" i="1"/>
  <c r="D351" i="27"/>
  <c r="M351" i="27"/>
  <c r="N351" i="27"/>
  <c r="F351" i="27"/>
  <c r="E351" i="27"/>
  <c r="K351" i="27"/>
  <c r="C352" i="27"/>
  <c r="L351" i="27"/>
  <c r="J351" i="27"/>
  <c r="H351" i="27"/>
  <c r="G351" i="27"/>
  <c r="I351" i="27"/>
  <c r="K351" i="26"/>
  <c r="F351" i="26"/>
  <c r="M351" i="26"/>
  <c r="L351" i="26"/>
  <c r="J351" i="26"/>
  <c r="I351" i="26"/>
  <c r="H351" i="26"/>
  <c r="N351" i="26"/>
  <c r="G351" i="26"/>
  <c r="E351" i="26"/>
  <c r="D351" i="26"/>
  <c r="C352" i="26"/>
  <c r="N350" i="25"/>
  <c r="M350" i="25"/>
  <c r="K350" i="25"/>
  <c r="C351" i="25"/>
  <c r="L350" i="25"/>
  <c r="D350" i="25"/>
  <c r="J350" i="25"/>
  <c r="I350" i="25"/>
  <c r="H350" i="25"/>
  <c r="G350" i="25"/>
  <c r="F350" i="25"/>
  <c r="E350" i="25"/>
  <c r="J347" i="20"/>
  <c r="C348" i="20"/>
  <c r="G347" i="20"/>
  <c r="N347" i="20"/>
  <c r="F347" i="20"/>
  <c r="M347" i="20"/>
  <c r="E347" i="20"/>
  <c r="L347" i="20"/>
  <c r="D347" i="20"/>
  <c r="K347" i="20"/>
  <c r="H347" i="20"/>
  <c r="I347" i="20"/>
  <c r="N348" i="19"/>
  <c r="F348" i="19"/>
  <c r="M348" i="19"/>
  <c r="E348" i="19"/>
  <c r="L348" i="19"/>
  <c r="D348" i="19"/>
  <c r="K348" i="19"/>
  <c r="H348" i="19"/>
  <c r="C349" i="19"/>
  <c r="J348" i="19"/>
  <c r="G348" i="19"/>
  <c r="I348" i="19"/>
  <c r="C348" i="18"/>
  <c r="G347" i="18"/>
  <c r="N347" i="18"/>
  <c r="L347" i="18"/>
  <c r="D347" i="18"/>
  <c r="I347" i="18"/>
  <c r="H347" i="18"/>
  <c r="F347" i="18"/>
  <c r="E347" i="18"/>
  <c r="M347" i="18"/>
  <c r="K347" i="18"/>
  <c r="J347" i="18"/>
  <c r="K352" i="1" l="1"/>
  <c r="L352" i="1"/>
  <c r="G352" i="1"/>
  <c r="C353" i="1"/>
  <c r="F352" i="1"/>
  <c r="D352" i="1"/>
  <c r="I352" i="1"/>
  <c r="N352" i="1"/>
  <c r="J352" i="1"/>
  <c r="E352" i="1"/>
  <c r="M352" i="1"/>
  <c r="H352" i="1"/>
  <c r="F352" i="27"/>
  <c r="E352" i="27"/>
  <c r="J352" i="27"/>
  <c r="G352" i="27"/>
  <c r="D352" i="27"/>
  <c r="N352" i="27"/>
  <c r="K352" i="27"/>
  <c r="I352" i="27"/>
  <c r="L352" i="27"/>
  <c r="H352" i="27"/>
  <c r="M352" i="27"/>
  <c r="C353" i="27"/>
  <c r="E352" i="26"/>
  <c r="L352" i="26"/>
  <c r="J352" i="26"/>
  <c r="I352" i="26"/>
  <c r="M352" i="26"/>
  <c r="H352" i="26"/>
  <c r="C353" i="26"/>
  <c r="N352" i="26"/>
  <c r="K352" i="26"/>
  <c r="G352" i="26"/>
  <c r="F352" i="26"/>
  <c r="D352" i="26"/>
  <c r="D351" i="25"/>
  <c r="J351" i="25"/>
  <c r="I351" i="25"/>
  <c r="H351" i="25"/>
  <c r="C352" i="25"/>
  <c r="N351" i="25"/>
  <c r="M351" i="25"/>
  <c r="L351" i="25"/>
  <c r="K351" i="25"/>
  <c r="G351" i="25"/>
  <c r="F351" i="25"/>
  <c r="E351" i="25"/>
  <c r="N348" i="20"/>
  <c r="F348" i="20"/>
  <c r="K348" i="20"/>
  <c r="J348" i="20"/>
  <c r="I348" i="20"/>
  <c r="H348" i="20"/>
  <c r="D348" i="20"/>
  <c r="C349" i="20"/>
  <c r="M348" i="20"/>
  <c r="L348" i="20"/>
  <c r="G348" i="20"/>
  <c r="E348" i="20"/>
  <c r="J349" i="19"/>
  <c r="I349" i="19"/>
  <c r="H349" i="19"/>
  <c r="C350" i="19"/>
  <c r="G349" i="19"/>
  <c r="L349" i="19"/>
  <c r="D349" i="19"/>
  <c r="N349" i="19"/>
  <c r="K349" i="19"/>
  <c r="M349" i="19"/>
  <c r="F349" i="19"/>
  <c r="E349" i="19"/>
  <c r="K348" i="18"/>
  <c r="J348" i="18"/>
  <c r="H348" i="18"/>
  <c r="I348" i="18"/>
  <c r="G348" i="18"/>
  <c r="F348" i="18"/>
  <c r="E348" i="18"/>
  <c r="C349" i="18"/>
  <c r="D348" i="18"/>
  <c r="N348" i="18"/>
  <c r="M348" i="18"/>
  <c r="L348" i="18"/>
  <c r="I353" i="1" l="1"/>
  <c r="J353" i="1"/>
  <c r="H353" i="1"/>
  <c r="F353" i="1"/>
  <c r="E353" i="1"/>
  <c r="K353" i="1"/>
  <c r="C354" i="1"/>
  <c r="D353" i="1"/>
  <c r="G353" i="1"/>
  <c r="M353" i="1"/>
  <c r="L353" i="1"/>
  <c r="N353" i="1"/>
  <c r="J353" i="27"/>
  <c r="I353" i="27"/>
  <c r="M353" i="27"/>
  <c r="C354" i="27"/>
  <c r="K353" i="27"/>
  <c r="D353" i="27"/>
  <c r="N353" i="27"/>
  <c r="H353" i="27"/>
  <c r="G353" i="27"/>
  <c r="L353" i="27"/>
  <c r="F353" i="27"/>
  <c r="E353" i="27"/>
  <c r="I353" i="26"/>
  <c r="D353" i="26"/>
  <c r="M353" i="26"/>
  <c r="L353" i="26"/>
  <c r="C354" i="26"/>
  <c r="N353" i="26"/>
  <c r="K353" i="26"/>
  <c r="J353" i="26"/>
  <c r="H353" i="26"/>
  <c r="G353" i="26"/>
  <c r="F353" i="26"/>
  <c r="E353" i="26"/>
  <c r="F352" i="25"/>
  <c r="E352" i="25"/>
  <c r="J352" i="25"/>
  <c r="H352" i="25"/>
  <c r="L352" i="25"/>
  <c r="K352" i="25"/>
  <c r="C353" i="25"/>
  <c r="N352" i="25"/>
  <c r="M352" i="25"/>
  <c r="I352" i="25"/>
  <c r="G352" i="25"/>
  <c r="D352" i="25"/>
  <c r="J349" i="20"/>
  <c r="C350" i="20"/>
  <c r="G349" i="20"/>
  <c r="N349" i="20"/>
  <c r="F349" i="20"/>
  <c r="M349" i="20"/>
  <c r="E349" i="20"/>
  <c r="L349" i="20"/>
  <c r="D349" i="20"/>
  <c r="K349" i="20"/>
  <c r="I349" i="20"/>
  <c r="H349" i="20"/>
  <c r="N350" i="19"/>
  <c r="F350" i="19"/>
  <c r="M350" i="19"/>
  <c r="E350" i="19"/>
  <c r="L350" i="19"/>
  <c r="D350" i="19"/>
  <c r="K350" i="19"/>
  <c r="H350" i="19"/>
  <c r="J350" i="19"/>
  <c r="I350" i="19"/>
  <c r="C351" i="19"/>
  <c r="G350" i="19"/>
  <c r="C350" i="18"/>
  <c r="G349" i="18"/>
  <c r="N349" i="18"/>
  <c r="F349" i="18"/>
  <c r="L349" i="18"/>
  <c r="D349" i="18"/>
  <c r="J349" i="18"/>
  <c r="I349" i="18"/>
  <c r="H349" i="18"/>
  <c r="E349" i="18"/>
  <c r="M349" i="18"/>
  <c r="K349" i="18"/>
  <c r="K354" i="1" l="1"/>
  <c r="J354" i="1"/>
  <c r="I354" i="1"/>
  <c r="H354" i="1"/>
  <c r="M354" i="1"/>
  <c r="N354" i="1"/>
  <c r="G354" i="1"/>
  <c r="D354" i="1"/>
  <c r="E354" i="1"/>
  <c r="C355" i="1"/>
  <c r="L354" i="1"/>
  <c r="F354" i="1"/>
  <c r="N354" i="27"/>
  <c r="M354" i="27"/>
  <c r="D354" i="27"/>
  <c r="L354" i="27"/>
  <c r="I354" i="27"/>
  <c r="K354" i="27"/>
  <c r="G354" i="27"/>
  <c r="E354" i="27"/>
  <c r="H354" i="27"/>
  <c r="F354" i="27"/>
  <c r="C355" i="27"/>
  <c r="J354" i="27"/>
  <c r="M354" i="26"/>
  <c r="I354" i="26"/>
  <c r="F354" i="26"/>
  <c r="E354" i="26"/>
  <c r="D354" i="26"/>
  <c r="K354" i="26"/>
  <c r="H354" i="26"/>
  <c r="N354" i="26"/>
  <c r="L354" i="26"/>
  <c r="J354" i="26"/>
  <c r="G354" i="26"/>
  <c r="C355" i="26"/>
  <c r="J353" i="25"/>
  <c r="I353" i="25"/>
  <c r="C354" i="25"/>
  <c r="H353" i="25"/>
  <c r="G353" i="25"/>
  <c r="F353" i="25"/>
  <c r="N353" i="25"/>
  <c r="M353" i="25"/>
  <c r="E353" i="25"/>
  <c r="D353" i="25"/>
  <c r="L353" i="25"/>
  <c r="K353" i="25"/>
  <c r="N350" i="20"/>
  <c r="F350" i="20"/>
  <c r="K350" i="20"/>
  <c r="J350" i="20"/>
  <c r="I350" i="20"/>
  <c r="H350" i="20"/>
  <c r="M350" i="20"/>
  <c r="L350" i="20"/>
  <c r="G350" i="20"/>
  <c r="C351" i="20"/>
  <c r="D350" i="20"/>
  <c r="E350" i="20"/>
  <c r="J351" i="19"/>
  <c r="I351" i="19"/>
  <c r="H351" i="19"/>
  <c r="C352" i="19"/>
  <c r="G351" i="19"/>
  <c r="L351" i="19"/>
  <c r="D351" i="19"/>
  <c r="M351" i="19"/>
  <c r="F351" i="19"/>
  <c r="N351" i="19"/>
  <c r="K351" i="19"/>
  <c r="E351" i="19"/>
  <c r="K350" i="18"/>
  <c r="J350" i="18"/>
  <c r="H350" i="18"/>
  <c r="L350" i="18"/>
  <c r="I350" i="18"/>
  <c r="G350" i="18"/>
  <c r="F350" i="18"/>
  <c r="E350" i="18"/>
  <c r="C351" i="18"/>
  <c r="D350" i="18"/>
  <c r="N350" i="18"/>
  <c r="M350" i="18"/>
  <c r="E355" i="1" l="1"/>
  <c r="H355" i="1"/>
  <c r="N355" i="1"/>
  <c r="M355" i="1"/>
  <c r="D355" i="1"/>
  <c r="L355" i="1"/>
  <c r="I355" i="1"/>
  <c r="F355" i="1"/>
  <c r="K355" i="1"/>
  <c r="C356" i="1"/>
  <c r="J355" i="1"/>
  <c r="G355" i="1"/>
  <c r="J355" i="27"/>
  <c r="G355" i="27"/>
  <c r="L355" i="27"/>
  <c r="H355" i="27"/>
  <c r="K355" i="27"/>
  <c r="E355" i="27"/>
  <c r="D355" i="27"/>
  <c r="C356" i="27"/>
  <c r="N355" i="27"/>
  <c r="M355" i="27"/>
  <c r="I355" i="27"/>
  <c r="F355" i="27"/>
  <c r="N355" i="26"/>
  <c r="L355" i="26"/>
  <c r="M355" i="26"/>
  <c r="K355" i="26"/>
  <c r="C356" i="26"/>
  <c r="J355" i="26"/>
  <c r="F355" i="26"/>
  <c r="D355" i="26"/>
  <c r="I355" i="26"/>
  <c r="H355" i="26"/>
  <c r="E355" i="26"/>
  <c r="G355" i="26"/>
  <c r="N354" i="25"/>
  <c r="M354" i="25"/>
  <c r="D354" i="25"/>
  <c r="H354" i="25"/>
  <c r="G354" i="25"/>
  <c r="J354" i="25"/>
  <c r="I354" i="25"/>
  <c r="F354" i="25"/>
  <c r="E354" i="25"/>
  <c r="C355" i="25"/>
  <c r="L354" i="25"/>
  <c r="K354" i="25"/>
  <c r="J351" i="20"/>
  <c r="C352" i="20"/>
  <c r="G351" i="20"/>
  <c r="N351" i="20"/>
  <c r="F351" i="20"/>
  <c r="M351" i="20"/>
  <c r="E351" i="20"/>
  <c r="L351" i="20"/>
  <c r="D351" i="20"/>
  <c r="I351" i="20"/>
  <c r="H351" i="20"/>
  <c r="K351" i="20"/>
  <c r="N352" i="19"/>
  <c r="F352" i="19"/>
  <c r="M352" i="19"/>
  <c r="E352" i="19"/>
  <c r="L352" i="19"/>
  <c r="D352" i="19"/>
  <c r="K352" i="19"/>
  <c r="H352" i="19"/>
  <c r="I352" i="19"/>
  <c r="G352" i="19"/>
  <c r="C353" i="19"/>
  <c r="J352" i="19"/>
  <c r="C352" i="18"/>
  <c r="G351" i="18"/>
  <c r="N351" i="18"/>
  <c r="F351" i="18"/>
  <c r="L351" i="18"/>
  <c r="D351" i="18"/>
  <c r="K351" i="18"/>
  <c r="J351" i="18"/>
  <c r="I351" i="18"/>
  <c r="H351" i="18"/>
  <c r="E351" i="18"/>
  <c r="M351" i="18"/>
  <c r="N356" i="1" l="1"/>
  <c r="M356" i="1"/>
  <c r="J356" i="1"/>
  <c r="F356" i="1"/>
  <c r="G356" i="1"/>
  <c r="E356" i="1"/>
  <c r="C357" i="1"/>
  <c r="H356" i="1"/>
  <c r="D356" i="1"/>
  <c r="I356" i="1"/>
  <c r="K356" i="1"/>
  <c r="L356" i="1"/>
  <c r="F356" i="27"/>
  <c r="E356" i="27"/>
  <c r="M356" i="27"/>
  <c r="L356" i="27"/>
  <c r="I356" i="27"/>
  <c r="C357" i="27"/>
  <c r="J356" i="27"/>
  <c r="N356" i="27"/>
  <c r="G356" i="27"/>
  <c r="K356" i="27"/>
  <c r="H356" i="27"/>
  <c r="D356" i="27"/>
  <c r="E356" i="26"/>
  <c r="I356" i="26"/>
  <c r="G356" i="26"/>
  <c r="D356" i="26"/>
  <c r="K356" i="26"/>
  <c r="J356" i="26"/>
  <c r="H356" i="26"/>
  <c r="C357" i="26"/>
  <c r="N356" i="26"/>
  <c r="M356" i="26"/>
  <c r="L356" i="26"/>
  <c r="F356" i="26"/>
  <c r="J355" i="25"/>
  <c r="K355" i="25"/>
  <c r="C356" i="25"/>
  <c r="H355" i="25"/>
  <c r="G355" i="25"/>
  <c r="F355" i="25"/>
  <c r="N355" i="25"/>
  <c r="M355" i="25"/>
  <c r="L355" i="25"/>
  <c r="I355" i="25"/>
  <c r="E355" i="25"/>
  <c r="D355" i="25"/>
  <c r="N352" i="20"/>
  <c r="F352" i="20"/>
  <c r="K352" i="20"/>
  <c r="J352" i="20"/>
  <c r="I352" i="20"/>
  <c r="H352" i="20"/>
  <c r="C353" i="20"/>
  <c r="L352" i="20"/>
  <c r="G352" i="20"/>
  <c r="E352" i="20"/>
  <c r="M352" i="20"/>
  <c r="D352" i="20"/>
  <c r="J353" i="19"/>
  <c r="I353" i="19"/>
  <c r="H353" i="19"/>
  <c r="C354" i="19"/>
  <c r="G353" i="19"/>
  <c r="L353" i="19"/>
  <c r="D353" i="19"/>
  <c r="N353" i="19"/>
  <c r="K353" i="19"/>
  <c r="E353" i="19"/>
  <c r="F353" i="19"/>
  <c r="M353" i="19"/>
  <c r="K352" i="18"/>
  <c r="J352" i="18"/>
  <c r="H352" i="18"/>
  <c r="M352" i="18"/>
  <c r="L352" i="18"/>
  <c r="I352" i="18"/>
  <c r="G352" i="18"/>
  <c r="F352" i="18"/>
  <c r="E352" i="18"/>
  <c r="C353" i="18"/>
  <c r="D352" i="18"/>
  <c r="N352" i="18"/>
  <c r="H357" i="1" l="1"/>
  <c r="G357" i="1"/>
  <c r="F357" i="1"/>
  <c r="K357" i="1"/>
  <c r="N357" i="1"/>
  <c r="D357" i="1"/>
  <c r="J357" i="1"/>
  <c r="I357" i="1"/>
  <c r="C358" i="1"/>
  <c r="E357" i="1"/>
  <c r="M357" i="1"/>
  <c r="L357" i="1"/>
  <c r="J357" i="27"/>
  <c r="I357" i="27"/>
  <c r="D357" i="27"/>
  <c r="H357" i="27"/>
  <c r="E357" i="27"/>
  <c r="M357" i="27"/>
  <c r="L357" i="27"/>
  <c r="G357" i="27"/>
  <c r="F357" i="27"/>
  <c r="C358" i="27"/>
  <c r="K357" i="27"/>
  <c r="N357" i="27"/>
  <c r="I357" i="26"/>
  <c r="G357" i="26"/>
  <c r="F357" i="26"/>
  <c r="J357" i="26"/>
  <c r="H357" i="26"/>
  <c r="C358" i="26"/>
  <c r="K357" i="26"/>
  <c r="E357" i="26"/>
  <c r="D357" i="26"/>
  <c r="N357" i="26"/>
  <c r="M357" i="26"/>
  <c r="L357" i="26"/>
  <c r="F356" i="25"/>
  <c r="E356" i="25"/>
  <c r="D356" i="25"/>
  <c r="M356" i="25"/>
  <c r="L356" i="25"/>
  <c r="K356" i="25"/>
  <c r="J356" i="25"/>
  <c r="I356" i="25"/>
  <c r="H356" i="25"/>
  <c r="C357" i="25"/>
  <c r="N356" i="25"/>
  <c r="G356" i="25"/>
  <c r="J353" i="20"/>
  <c r="C354" i="20"/>
  <c r="G353" i="20"/>
  <c r="N353" i="20"/>
  <c r="F353" i="20"/>
  <c r="M353" i="20"/>
  <c r="E353" i="20"/>
  <c r="L353" i="20"/>
  <c r="D353" i="20"/>
  <c r="H353" i="20"/>
  <c r="K353" i="20"/>
  <c r="I353" i="20"/>
  <c r="N354" i="19"/>
  <c r="F354" i="19"/>
  <c r="M354" i="19"/>
  <c r="E354" i="19"/>
  <c r="L354" i="19"/>
  <c r="D354" i="19"/>
  <c r="K354" i="19"/>
  <c r="H354" i="19"/>
  <c r="G354" i="19"/>
  <c r="C355" i="19"/>
  <c r="I354" i="19"/>
  <c r="J354" i="19"/>
  <c r="C354" i="18"/>
  <c r="G353" i="18"/>
  <c r="N353" i="18"/>
  <c r="F353" i="18"/>
  <c r="L353" i="18"/>
  <c r="D353" i="18"/>
  <c r="M353" i="18"/>
  <c r="K353" i="18"/>
  <c r="J353" i="18"/>
  <c r="I353" i="18"/>
  <c r="H353" i="18"/>
  <c r="E353" i="18"/>
  <c r="J358" i="1" l="1"/>
  <c r="L358" i="1"/>
  <c r="G358" i="1"/>
  <c r="I358" i="1"/>
  <c r="H358" i="1"/>
  <c r="D358" i="1"/>
  <c r="F358" i="1"/>
  <c r="E358" i="1"/>
  <c r="C359" i="1"/>
  <c r="N358" i="1"/>
  <c r="K358" i="1"/>
  <c r="M358" i="1"/>
  <c r="N358" i="27"/>
  <c r="M358" i="27"/>
  <c r="J358" i="27"/>
  <c r="G358" i="27"/>
  <c r="C359" i="27"/>
  <c r="L358" i="27"/>
  <c r="H358" i="27"/>
  <c r="D358" i="27"/>
  <c r="E358" i="27"/>
  <c r="K358" i="27"/>
  <c r="I358" i="27"/>
  <c r="F358" i="27"/>
  <c r="M358" i="26"/>
  <c r="L358" i="26"/>
  <c r="N358" i="26"/>
  <c r="F358" i="26"/>
  <c r="D358" i="26"/>
  <c r="E358" i="26"/>
  <c r="C359" i="26"/>
  <c r="K358" i="26"/>
  <c r="J358" i="26"/>
  <c r="G358" i="26"/>
  <c r="I358" i="26"/>
  <c r="H358" i="26"/>
  <c r="J357" i="25"/>
  <c r="I357" i="25"/>
  <c r="D357" i="25"/>
  <c r="F357" i="25"/>
  <c r="N357" i="25"/>
  <c r="M357" i="25"/>
  <c r="H357" i="25"/>
  <c r="G357" i="25"/>
  <c r="E357" i="25"/>
  <c r="L357" i="25"/>
  <c r="K357" i="25"/>
  <c r="C358" i="25"/>
  <c r="N354" i="20"/>
  <c r="F354" i="20"/>
  <c r="K354" i="20"/>
  <c r="J354" i="20"/>
  <c r="I354" i="20"/>
  <c r="H354" i="20"/>
  <c r="C355" i="20"/>
  <c r="M354" i="20"/>
  <c r="G354" i="20"/>
  <c r="E354" i="20"/>
  <c r="D354" i="20"/>
  <c r="L354" i="20"/>
  <c r="J355" i="19"/>
  <c r="I355" i="19"/>
  <c r="H355" i="19"/>
  <c r="C356" i="19"/>
  <c r="G355" i="19"/>
  <c r="L355" i="19"/>
  <c r="D355" i="19"/>
  <c r="N355" i="19"/>
  <c r="M355" i="19"/>
  <c r="F355" i="19"/>
  <c r="K355" i="19"/>
  <c r="E355" i="19"/>
  <c r="K354" i="18"/>
  <c r="J354" i="18"/>
  <c r="H354" i="18"/>
  <c r="N354" i="18"/>
  <c r="M354" i="18"/>
  <c r="L354" i="18"/>
  <c r="I354" i="18"/>
  <c r="G354" i="18"/>
  <c r="F354" i="18"/>
  <c r="E354" i="18"/>
  <c r="C355" i="18"/>
  <c r="D354" i="18"/>
  <c r="K359" i="1" l="1"/>
  <c r="G359" i="1"/>
  <c r="C360" i="1"/>
  <c r="F359" i="1"/>
  <c r="N359" i="1"/>
  <c r="E359" i="1"/>
  <c r="H359" i="1"/>
  <c r="I359" i="1"/>
  <c r="M359" i="1"/>
  <c r="L359" i="1"/>
  <c r="D359" i="1"/>
  <c r="J359" i="1"/>
  <c r="M359" i="27"/>
  <c r="F359" i="27"/>
  <c r="H359" i="27"/>
  <c r="D359" i="27"/>
  <c r="C360" i="27"/>
  <c r="E359" i="27"/>
  <c r="N359" i="27"/>
  <c r="L359" i="27"/>
  <c r="K359" i="27"/>
  <c r="J359" i="27"/>
  <c r="I359" i="27"/>
  <c r="G359" i="27"/>
  <c r="E359" i="26"/>
  <c r="D359" i="26"/>
  <c r="C360" i="26"/>
  <c r="M359" i="26"/>
  <c r="N359" i="26"/>
  <c r="L359" i="26"/>
  <c r="K359" i="26"/>
  <c r="J359" i="26"/>
  <c r="G359" i="26"/>
  <c r="F359" i="26"/>
  <c r="I359" i="26"/>
  <c r="H359" i="26"/>
  <c r="N358" i="25"/>
  <c r="M358" i="25"/>
  <c r="J358" i="25"/>
  <c r="C359" i="25"/>
  <c r="L358" i="25"/>
  <c r="K358" i="25"/>
  <c r="I358" i="25"/>
  <c r="H358" i="25"/>
  <c r="G358" i="25"/>
  <c r="F358" i="25"/>
  <c r="E358" i="25"/>
  <c r="D358" i="25"/>
  <c r="J355" i="20"/>
  <c r="C356" i="20"/>
  <c r="G355" i="20"/>
  <c r="N355" i="20"/>
  <c r="F355" i="20"/>
  <c r="M355" i="20"/>
  <c r="E355" i="20"/>
  <c r="L355" i="20"/>
  <c r="D355" i="20"/>
  <c r="K355" i="20"/>
  <c r="I355" i="20"/>
  <c r="H355" i="20"/>
  <c r="N356" i="19"/>
  <c r="F356" i="19"/>
  <c r="M356" i="19"/>
  <c r="E356" i="19"/>
  <c r="L356" i="19"/>
  <c r="D356" i="19"/>
  <c r="K356" i="19"/>
  <c r="H356" i="19"/>
  <c r="J356" i="19"/>
  <c r="C357" i="19"/>
  <c r="I356" i="19"/>
  <c r="G356" i="19"/>
  <c r="C356" i="18"/>
  <c r="G355" i="18"/>
  <c r="N355" i="18"/>
  <c r="F355" i="18"/>
  <c r="L355" i="18"/>
  <c r="D355" i="18"/>
  <c r="M355" i="18"/>
  <c r="K355" i="18"/>
  <c r="J355" i="18"/>
  <c r="I355" i="18"/>
  <c r="H355" i="18"/>
  <c r="E355" i="18"/>
  <c r="G360" i="1" l="1"/>
  <c r="C361" i="1"/>
  <c r="F360" i="1"/>
  <c r="E360" i="1"/>
  <c r="D360" i="1"/>
  <c r="I360" i="1"/>
  <c r="K360" i="1"/>
  <c r="J360" i="1"/>
  <c r="M360" i="1"/>
  <c r="N360" i="1"/>
  <c r="H360" i="1"/>
  <c r="L360" i="1"/>
  <c r="F360" i="27"/>
  <c r="E360" i="27"/>
  <c r="D360" i="27"/>
  <c r="N360" i="27"/>
  <c r="K360" i="27"/>
  <c r="M360" i="27"/>
  <c r="I360" i="27"/>
  <c r="L360" i="27"/>
  <c r="G360" i="27"/>
  <c r="J360" i="27"/>
  <c r="H360" i="27"/>
  <c r="C361" i="27"/>
  <c r="E360" i="26"/>
  <c r="F360" i="26"/>
  <c r="H360" i="26"/>
  <c r="L360" i="26"/>
  <c r="K360" i="26"/>
  <c r="G360" i="26"/>
  <c r="D360" i="26"/>
  <c r="J360" i="26"/>
  <c r="I360" i="26"/>
  <c r="C361" i="26"/>
  <c r="N360" i="26"/>
  <c r="M360" i="26"/>
  <c r="J359" i="25"/>
  <c r="I359" i="25"/>
  <c r="H359" i="25"/>
  <c r="G359" i="25"/>
  <c r="F359" i="25"/>
  <c r="K359" i="25"/>
  <c r="E359" i="25"/>
  <c r="D359" i="25"/>
  <c r="C360" i="25"/>
  <c r="N359" i="25"/>
  <c r="M359" i="25"/>
  <c r="L359" i="25"/>
  <c r="N356" i="20"/>
  <c r="F356" i="20"/>
  <c r="M356" i="20"/>
  <c r="E356" i="20"/>
  <c r="L356" i="20"/>
  <c r="D356" i="20"/>
  <c r="K356" i="20"/>
  <c r="J356" i="20"/>
  <c r="I356" i="20"/>
  <c r="H356" i="20"/>
  <c r="C357" i="20"/>
  <c r="G356" i="20"/>
  <c r="J357" i="19"/>
  <c r="I357" i="19"/>
  <c r="H357" i="19"/>
  <c r="C358" i="19"/>
  <c r="G357" i="19"/>
  <c r="L357" i="19"/>
  <c r="D357" i="19"/>
  <c r="M357" i="19"/>
  <c r="K357" i="19"/>
  <c r="E357" i="19"/>
  <c r="N357" i="19"/>
  <c r="F357" i="19"/>
  <c r="K356" i="18"/>
  <c r="J356" i="18"/>
  <c r="H356" i="18"/>
  <c r="C357" i="18"/>
  <c r="D356" i="18"/>
  <c r="N356" i="18"/>
  <c r="M356" i="18"/>
  <c r="L356" i="18"/>
  <c r="I356" i="18"/>
  <c r="G356" i="18"/>
  <c r="F356" i="18"/>
  <c r="E356" i="18"/>
  <c r="J361" i="1" l="1"/>
  <c r="I361" i="1"/>
  <c r="L361" i="1"/>
  <c r="K361" i="1"/>
  <c r="H361" i="1"/>
  <c r="C362" i="1"/>
  <c r="G361" i="1"/>
  <c r="F361" i="1"/>
  <c r="N361" i="1"/>
  <c r="E361" i="1"/>
  <c r="M361" i="1"/>
  <c r="D361" i="1"/>
  <c r="J361" i="27"/>
  <c r="I361" i="27"/>
  <c r="L361" i="27"/>
  <c r="G361" i="27"/>
  <c r="K361" i="27"/>
  <c r="E361" i="27"/>
  <c r="N361" i="27"/>
  <c r="M361" i="27"/>
  <c r="F361" i="27"/>
  <c r="D361" i="27"/>
  <c r="C362" i="27"/>
  <c r="H361" i="27"/>
  <c r="I361" i="26"/>
  <c r="K361" i="26"/>
  <c r="N361" i="26"/>
  <c r="C362" i="26"/>
  <c r="L361" i="26"/>
  <c r="F361" i="26"/>
  <c r="E361" i="26"/>
  <c r="D361" i="26"/>
  <c r="M361" i="26"/>
  <c r="J361" i="26"/>
  <c r="H361" i="26"/>
  <c r="G361" i="26"/>
  <c r="F360" i="25"/>
  <c r="E360" i="25"/>
  <c r="D360" i="25"/>
  <c r="J360" i="25"/>
  <c r="C361" i="25"/>
  <c r="N360" i="25"/>
  <c r="M360" i="25"/>
  <c r="L360" i="25"/>
  <c r="K360" i="25"/>
  <c r="I360" i="25"/>
  <c r="H360" i="25"/>
  <c r="G360" i="25"/>
  <c r="J357" i="20"/>
  <c r="I357" i="20"/>
  <c r="H357" i="20"/>
  <c r="C358" i="20"/>
  <c r="G357" i="20"/>
  <c r="N357" i="20"/>
  <c r="F357" i="20"/>
  <c r="M357" i="20"/>
  <c r="E357" i="20"/>
  <c r="L357" i="20"/>
  <c r="D357" i="20"/>
  <c r="K357" i="20"/>
  <c r="N358" i="19"/>
  <c r="F358" i="19"/>
  <c r="M358" i="19"/>
  <c r="E358" i="19"/>
  <c r="L358" i="19"/>
  <c r="D358" i="19"/>
  <c r="K358" i="19"/>
  <c r="H358" i="19"/>
  <c r="C359" i="19"/>
  <c r="I358" i="19"/>
  <c r="J358" i="19"/>
  <c r="G358" i="19"/>
  <c r="C358" i="18"/>
  <c r="G357" i="18"/>
  <c r="N357" i="18"/>
  <c r="F357" i="18"/>
  <c r="L357" i="18"/>
  <c r="D357" i="18"/>
  <c r="M357" i="18"/>
  <c r="K357" i="18"/>
  <c r="J357" i="18"/>
  <c r="I357" i="18"/>
  <c r="H357" i="18"/>
  <c r="E357" i="18"/>
  <c r="F362" i="1" l="1"/>
  <c r="G362" i="1"/>
  <c r="E362" i="1"/>
  <c r="J362" i="1"/>
  <c r="D362" i="1"/>
  <c r="N362" i="1"/>
  <c r="C363" i="1"/>
  <c r="M362" i="1"/>
  <c r="K362" i="1"/>
  <c r="L362" i="1"/>
  <c r="I362" i="1"/>
  <c r="H362" i="1"/>
  <c r="N362" i="27"/>
  <c r="M362" i="27"/>
  <c r="C363" i="27"/>
  <c r="J362" i="27"/>
  <c r="G362" i="27"/>
  <c r="L362" i="27"/>
  <c r="H362" i="27"/>
  <c r="K362" i="27"/>
  <c r="F362" i="27"/>
  <c r="E362" i="27"/>
  <c r="D362" i="27"/>
  <c r="I362" i="27"/>
  <c r="M362" i="26"/>
  <c r="G362" i="26"/>
  <c r="F362" i="26"/>
  <c r="I362" i="26"/>
  <c r="H362" i="26"/>
  <c r="C363" i="26"/>
  <c r="N362" i="26"/>
  <c r="D362" i="26"/>
  <c r="L362" i="26"/>
  <c r="K362" i="26"/>
  <c r="J362" i="26"/>
  <c r="E362" i="26"/>
  <c r="J361" i="25"/>
  <c r="I361" i="25"/>
  <c r="L361" i="25"/>
  <c r="F361" i="25"/>
  <c r="E361" i="25"/>
  <c r="H361" i="25"/>
  <c r="G361" i="25"/>
  <c r="D361" i="25"/>
  <c r="C362" i="25"/>
  <c r="N361" i="25"/>
  <c r="M361" i="25"/>
  <c r="K361" i="25"/>
  <c r="N358" i="20"/>
  <c r="F358" i="20"/>
  <c r="M358" i="20"/>
  <c r="E358" i="20"/>
  <c r="L358" i="20"/>
  <c r="D358" i="20"/>
  <c r="K358" i="20"/>
  <c r="J358" i="20"/>
  <c r="I358" i="20"/>
  <c r="H358" i="20"/>
  <c r="C359" i="20"/>
  <c r="G358" i="20"/>
  <c r="J359" i="19"/>
  <c r="I359" i="19"/>
  <c r="H359" i="19"/>
  <c r="C360" i="19"/>
  <c r="G359" i="19"/>
  <c r="L359" i="19"/>
  <c r="D359" i="19"/>
  <c r="K359" i="19"/>
  <c r="F359" i="19"/>
  <c r="N359" i="19"/>
  <c r="M359" i="19"/>
  <c r="E359" i="19"/>
  <c r="K358" i="18"/>
  <c r="J358" i="18"/>
  <c r="H358" i="18"/>
  <c r="E358" i="18"/>
  <c r="C359" i="18"/>
  <c r="D358" i="18"/>
  <c r="N358" i="18"/>
  <c r="M358" i="18"/>
  <c r="L358" i="18"/>
  <c r="I358" i="18"/>
  <c r="G358" i="18"/>
  <c r="F358" i="18"/>
  <c r="K363" i="1" l="1"/>
  <c r="J363" i="1"/>
  <c r="I363" i="1"/>
  <c r="D363" i="1"/>
  <c r="F363" i="1"/>
  <c r="C364" i="1"/>
  <c r="H363" i="1"/>
  <c r="L363" i="1"/>
  <c r="G363" i="1"/>
  <c r="M363" i="1"/>
  <c r="E363" i="1"/>
  <c r="N363" i="1"/>
  <c r="F363" i="27"/>
  <c r="C364" i="27"/>
  <c r="L363" i="27"/>
  <c r="I363" i="27"/>
  <c r="H363" i="27"/>
  <c r="D363" i="27"/>
  <c r="M363" i="27"/>
  <c r="K363" i="27"/>
  <c r="N363" i="27"/>
  <c r="G363" i="27"/>
  <c r="J363" i="27"/>
  <c r="E363" i="27"/>
  <c r="D363" i="26"/>
  <c r="H363" i="26"/>
  <c r="N363" i="26"/>
  <c r="M363" i="26"/>
  <c r="L363" i="26"/>
  <c r="J363" i="26"/>
  <c r="K363" i="26"/>
  <c r="I363" i="26"/>
  <c r="G363" i="26"/>
  <c r="F363" i="26"/>
  <c r="E363" i="26"/>
  <c r="C364" i="26"/>
  <c r="N362" i="25"/>
  <c r="M362" i="25"/>
  <c r="E362" i="25"/>
  <c r="C363" i="25"/>
  <c r="L362" i="25"/>
  <c r="K362" i="25"/>
  <c r="J362" i="25"/>
  <c r="I362" i="25"/>
  <c r="H362" i="25"/>
  <c r="G362" i="25"/>
  <c r="F362" i="25"/>
  <c r="D362" i="25"/>
  <c r="J359" i="20"/>
  <c r="I359" i="20"/>
  <c r="H359" i="20"/>
  <c r="C360" i="20"/>
  <c r="G359" i="20"/>
  <c r="N359" i="20"/>
  <c r="F359" i="20"/>
  <c r="M359" i="20"/>
  <c r="E359" i="20"/>
  <c r="L359" i="20"/>
  <c r="D359" i="20"/>
  <c r="K359" i="20"/>
  <c r="N360" i="19"/>
  <c r="F360" i="19"/>
  <c r="M360" i="19"/>
  <c r="E360" i="19"/>
  <c r="L360" i="19"/>
  <c r="D360" i="19"/>
  <c r="K360" i="19"/>
  <c r="H360" i="19"/>
  <c r="J360" i="19"/>
  <c r="G360" i="19"/>
  <c r="I360" i="19"/>
  <c r="C361" i="19"/>
  <c r="J359" i="18"/>
  <c r="C360" i="18"/>
  <c r="G359" i="18"/>
  <c r="N359" i="18"/>
  <c r="F359" i="18"/>
  <c r="M359" i="18"/>
  <c r="E359" i="18"/>
  <c r="L359" i="18"/>
  <c r="D359" i="18"/>
  <c r="H359" i="18"/>
  <c r="K359" i="18"/>
  <c r="I359" i="18"/>
  <c r="F364" i="1" l="1"/>
  <c r="E364" i="1"/>
  <c r="C365" i="1"/>
  <c r="D364" i="1"/>
  <c r="M364" i="1"/>
  <c r="H364" i="1"/>
  <c r="G364" i="1"/>
  <c r="N364" i="1"/>
  <c r="I364" i="1"/>
  <c r="K364" i="1"/>
  <c r="J364" i="1"/>
  <c r="L364" i="1"/>
  <c r="F364" i="27"/>
  <c r="E364" i="27"/>
  <c r="L364" i="27"/>
  <c r="I364" i="27"/>
  <c r="H364" i="27"/>
  <c r="N364" i="27"/>
  <c r="J364" i="27"/>
  <c r="M364" i="27"/>
  <c r="K364" i="27"/>
  <c r="C365" i="27"/>
  <c r="G364" i="27"/>
  <c r="D364" i="27"/>
  <c r="E364" i="26"/>
  <c r="I364" i="26"/>
  <c r="N364" i="26"/>
  <c r="J364" i="26"/>
  <c r="H364" i="26"/>
  <c r="C365" i="26"/>
  <c r="M364" i="26"/>
  <c r="L364" i="26"/>
  <c r="K364" i="26"/>
  <c r="G364" i="26"/>
  <c r="D364" i="26"/>
  <c r="F364" i="26"/>
  <c r="F363" i="25"/>
  <c r="L363" i="25"/>
  <c r="D363" i="25"/>
  <c r="I363" i="25"/>
  <c r="H363" i="25"/>
  <c r="G363" i="25"/>
  <c r="C364" i="25"/>
  <c r="N363" i="25"/>
  <c r="M363" i="25"/>
  <c r="K363" i="25"/>
  <c r="J363" i="25"/>
  <c r="E363" i="25"/>
  <c r="N360" i="20"/>
  <c r="F360" i="20"/>
  <c r="M360" i="20"/>
  <c r="E360" i="20"/>
  <c r="L360" i="20"/>
  <c r="D360" i="20"/>
  <c r="K360" i="20"/>
  <c r="J360" i="20"/>
  <c r="I360" i="20"/>
  <c r="H360" i="20"/>
  <c r="C361" i="20"/>
  <c r="G360" i="20"/>
  <c r="J361" i="19"/>
  <c r="I361" i="19"/>
  <c r="H361" i="19"/>
  <c r="C362" i="19"/>
  <c r="G361" i="19"/>
  <c r="L361" i="19"/>
  <c r="D361" i="19"/>
  <c r="F361" i="19"/>
  <c r="E361" i="19"/>
  <c r="N361" i="19"/>
  <c r="K361" i="19"/>
  <c r="M361" i="19"/>
  <c r="N360" i="18"/>
  <c r="F360" i="18"/>
  <c r="K360" i="18"/>
  <c r="J360" i="18"/>
  <c r="I360" i="18"/>
  <c r="H360" i="18"/>
  <c r="C361" i="18"/>
  <c r="M360" i="18"/>
  <c r="L360" i="18"/>
  <c r="G360" i="18"/>
  <c r="E360" i="18"/>
  <c r="D360" i="18"/>
  <c r="K365" i="1" l="1"/>
  <c r="L365" i="1"/>
  <c r="N365" i="1"/>
  <c r="F365" i="1"/>
  <c r="M365" i="1"/>
  <c r="J365" i="1"/>
  <c r="H365" i="1"/>
  <c r="G365" i="1"/>
  <c r="E365" i="1"/>
  <c r="I365" i="1"/>
  <c r="C366" i="1"/>
  <c r="D365" i="1"/>
  <c r="J365" i="27"/>
  <c r="I365" i="27"/>
  <c r="C366" i="27"/>
  <c r="M365" i="27"/>
  <c r="K365" i="27"/>
  <c r="N365" i="27"/>
  <c r="G365" i="27"/>
  <c r="F365" i="27"/>
  <c r="E365" i="27"/>
  <c r="D365" i="27"/>
  <c r="H365" i="27"/>
  <c r="L365" i="27"/>
  <c r="I365" i="26"/>
  <c r="N365" i="26"/>
  <c r="J365" i="26"/>
  <c r="H365" i="26"/>
  <c r="L365" i="26"/>
  <c r="G365" i="26"/>
  <c r="C366" i="26"/>
  <c r="M365" i="26"/>
  <c r="K365" i="26"/>
  <c r="F365" i="26"/>
  <c r="E365" i="26"/>
  <c r="D365" i="26"/>
  <c r="F364" i="25"/>
  <c r="E364" i="25"/>
  <c r="L364" i="25"/>
  <c r="M364" i="25"/>
  <c r="K364" i="25"/>
  <c r="G364" i="25"/>
  <c r="D364" i="25"/>
  <c r="C365" i="25"/>
  <c r="N364" i="25"/>
  <c r="J364" i="25"/>
  <c r="I364" i="25"/>
  <c r="H364" i="25"/>
  <c r="J361" i="20"/>
  <c r="I361" i="20"/>
  <c r="H361" i="20"/>
  <c r="C362" i="20"/>
  <c r="G361" i="20"/>
  <c r="N361" i="20"/>
  <c r="F361" i="20"/>
  <c r="M361" i="20"/>
  <c r="E361" i="20"/>
  <c r="L361" i="20"/>
  <c r="D361" i="20"/>
  <c r="K361" i="20"/>
  <c r="N362" i="19"/>
  <c r="F362" i="19"/>
  <c r="M362" i="19"/>
  <c r="E362" i="19"/>
  <c r="L362" i="19"/>
  <c r="D362" i="19"/>
  <c r="K362" i="19"/>
  <c r="H362" i="19"/>
  <c r="C363" i="19"/>
  <c r="I362" i="19"/>
  <c r="J362" i="19"/>
  <c r="G362" i="19"/>
  <c r="J361" i="18"/>
  <c r="C362" i="18"/>
  <c r="G361" i="18"/>
  <c r="N361" i="18"/>
  <c r="F361" i="18"/>
  <c r="M361" i="18"/>
  <c r="E361" i="18"/>
  <c r="L361" i="18"/>
  <c r="D361" i="18"/>
  <c r="K361" i="18"/>
  <c r="I361" i="18"/>
  <c r="H361" i="18"/>
  <c r="D366" i="1" l="1"/>
  <c r="L366" i="1"/>
  <c r="F366" i="1"/>
  <c r="N366" i="1"/>
  <c r="M366" i="1"/>
  <c r="C367" i="1"/>
  <c r="J366" i="1"/>
  <c r="I366" i="1"/>
  <c r="H366" i="1"/>
  <c r="K366" i="1"/>
  <c r="G366" i="1"/>
  <c r="E366" i="1"/>
  <c r="N366" i="27"/>
  <c r="M366" i="27"/>
  <c r="F366" i="27"/>
  <c r="E366" i="27"/>
  <c r="L366" i="27"/>
  <c r="I366" i="27"/>
  <c r="D366" i="27"/>
  <c r="C367" i="27"/>
  <c r="J366" i="27"/>
  <c r="K366" i="27"/>
  <c r="H366" i="27"/>
  <c r="G366" i="27"/>
  <c r="M366" i="26"/>
  <c r="H366" i="26"/>
  <c r="J366" i="26"/>
  <c r="I366" i="26"/>
  <c r="E366" i="26"/>
  <c r="D366" i="26"/>
  <c r="K366" i="26"/>
  <c r="G366" i="26"/>
  <c r="F366" i="26"/>
  <c r="C367" i="26"/>
  <c r="N366" i="26"/>
  <c r="L366" i="26"/>
  <c r="J365" i="25"/>
  <c r="I365" i="25"/>
  <c r="G365" i="25"/>
  <c r="H365" i="25"/>
  <c r="F365" i="25"/>
  <c r="E365" i="25"/>
  <c r="C366" i="25"/>
  <c r="D365" i="25"/>
  <c r="N365" i="25"/>
  <c r="M365" i="25"/>
  <c r="L365" i="25"/>
  <c r="K365" i="25"/>
  <c r="N362" i="20"/>
  <c r="F362" i="20"/>
  <c r="M362" i="20"/>
  <c r="E362" i="20"/>
  <c r="L362" i="20"/>
  <c r="D362" i="20"/>
  <c r="K362" i="20"/>
  <c r="J362" i="20"/>
  <c r="I362" i="20"/>
  <c r="H362" i="20"/>
  <c r="G362" i="20"/>
  <c r="C363" i="20"/>
  <c r="J363" i="19"/>
  <c r="I363" i="19"/>
  <c r="H363" i="19"/>
  <c r="C364" i="19"/>
  <c r="G363" i="19"/>
  <c r="L363" i="19"/>
  <c r="D363" i="19"/>
  <c r="E363" i="19"/>
  <c r="M363" i="19"/>
  <c r="N363" i="19"/>
  <c r="K363" i="19"/>
  <c r="F363" i="19"/>
  <c r="N362" i="18"/>
  <c r="F362" i="18"/>
  <c r="K362" i="18"/>
  <c r="J362" i="18"/>
  <c r="I362" i="18"/>
  <c r="H362" i="18"/>
  <c r="M362" i="18"/>
  <c r="L362" i="18"/>
  <c r="G362" i="18"/>
  <c r="E362" i="18"/>
  <c r="D362" i="18"/>
  <c r="C363" i="18"/>
  <c r="K367" i="1" l="1"/>
  <c r="J367" i="1"/>
  <c r="I367" i="1"/>
  <c r="G367" i="1"/>
  <c r="N367" i="1"/>
  <c r="C368" i="1"/>
  <c r="F367" i="1"/>
  <c r="M367" i="1"/>
  <c r="L367" i="1"/>
  <c r="E367" i="1"/>
  <c r="D367" i="1"/>
  <c r="H367" i="1"/>
  <c r="L367" i="27"/>
  <c r="I367" i="27"/>
  <c r="N367" i="27"/>
  <c r="J367" i="27"/>
  <c r="C368" i="27"/>
  <c r="M367" i="27"/>
  <c r="D367" i="27"/>
  <c r="F367" i="27"/>
  <c r="E367" i="27"/>
  <c r="K367" i="27"/>
  <c r="H367" i="27"/>
  <c r="G367" i="27"/>
  <c r="G367" i="26"/>
  <c r="N367" i="26"/>
  <c r="E367" i="26"/>
  <c r="D367" i="26"/>
  <c r="J367" i="26"/>
  <c r="H367" i="26"/>
  <c r="C368" i="26"/>
  <c r="M367" i="26"/>
  <c r="K367" i="26"/>
  <c r="I367" i="26"/>
  <c r="F367" i="26"/>
  <c r="L367" i="26"/>
  <c r="N366" i="25"/>
  <c r="M366" i="25"/>
  <c r="F366" i="25"/>
  <c r="I366" i="25"/>
  <c r="H366" i="25"/>
  <c r="K366" i="25"/>
  <c r="J366" i="25"/>
  <c r="G366" i="25"/>
  <c r="E366" i="25"/>
  <c r="D366" i="25"/>
  <c r="C367" i="25"/>
  <c r="L366" i="25"/>
  <c r="J363" i="20"/>
  <c r="I363" i="20"/>
  <c r="H363" i="20"/>
  <c r="C364" i="20"/>
  <c r="G363" i="20"/>
  <c r="N363" i="20"/>
  <c r="F363" i="20"/>
  <c r="M363" i="20"/>
  <c r="E363" i="20"/>
  <c r="L363" i="20"/>
  <c r="D363" i="20"/>
  <c r="K363" i="20"/>
  <c r="N364" i="19"/>
  <c r="F364" i="19"/>
  <c r="M364" i="19"/>
  <c r="E364" i="19"/>
  <c r="L364" i="19"/>
  <c r="D364" i="19"/>
  <c r="K364" i="19"/>
  <c r="H364" i="19"/>
  <c r="C365" i="19"/>
  <c r="J364" i="19"/>
  <c r="G364" i="19"/>
  <c r="I364" i="19"/>
  <c r="J363" i="18"/>
  <c r="C364" i="18"/>
  <c r="G363" i="18"/>
  <c r="N363" i="18"/>
  <c r="F363" i="18"/>
  <c r="M363" i="18"/>
  <c r="E363" i="18"/>
  <c r="L363" i="18"/>
  <c r="D363" i="18"/>
  <c r="K363" i="18"/>
  <c r="I363" i="18"/>
  <c r="H363" i="18"/>
  <c r="G368" i="1" l="1"/>
  <c r="L368" i="1"/>
  <c r="F368" i="1"/>
  <c r="M368" i="1"/>
  <c r="D368" i="1"/>
  <c r="I368" i="1"/>
  <c r="C369" i="1"/>
  <c r="H368" i="1"/>
  <c r="J368" i="1"/>
  <c r="N368" i="1"/>
  <c r="E368" i="1"/>
  <c r="K368" i="1"/>
  <c r="F368" i="27"/>
  <c r="E368" i="27"/>
  <c r="C369" i="27"/>
  <c r="L368" i="27"/>
  <c r="I368" i="27"/>
  <c r="H368" i="27"/>
  <c r="K368" i="27"/>
  <c r="D368" i="27"/>
  <c r="N368" i="27"/>
  <c r="J368" i="27"/>
  <c r="G368" i="27"/>
  <c r="M368" i="27"/>
  <c r="E368" i="26"/>
  <c r="L368" i="26"/>
  <c r="M368" i="26"/>
  <c r="K368" i="26"/>
  <c r="J368" i="26"/>
  <c r="I368" i="26"/>
  <c r="H368" i="26"/>
  <c r="G368" i="26"/>
  <c r="F368" i="26"/>
  <c r="C369" i="26"/>
  <c r="N368" i="26"/>
  <c r="D368" i="26"/>
  <c r="L367" i="25"/>
  <c r="D367" i="25"/>
  <c r="H367" i="25"/>
  <c r="G367" i="25"/>
  <c r="F367" i="25"/>
  <c r="C368" i="25"/>
  <c r="N367" i="25"/>
  <c r="M367" i="25"/>
  <c r="K367" i="25"/>
  <c r="J367" i="25"/>
  <c r="I367" i="25"/>
  <c r="E367" i="25"/>
  <c r="N364" i="20"/>
  <c r="F364" i="20"/>
  <c r="M364" i="20"/>
  <c r="E364" i="20"/>
  <c r="L364" i="20"/>
  <c r="D364" i="20"/>
  <c r="K364" i="20"/>
  <c r="J364" i="20"/>
  <c r="I364" i="20"/>
  <c r="H364" i="20"/>
  <c r="G364" i="20"/>
  <c r="C365" i="20"/>
  <c r="J365" i="19"/>
  <c r="I365" i="19"/>
  <c r="H365" i="19"/>
  <c r="C366" i="19"/>
  <c r="G365" i="19"/>
  <c r="L365" i="19"/>
  <c r="D365" i="19"/>
  <c r="N365" i="19"/>
  <c r="K365" i="19"/>
  <c r="M365" i="19"/>
  <c r="E365" i="19"/>
  <c r="F365" i="19"/>
  <c r="N364" i="18"/>
  <c r="F364" i="18"/>
  <c r="L364" i="18"/>
  <c r="D364" i="18"/>
  <c r="K364" i="18"/>
  <c r="J364" i="18"/>
  <c r="I364" i="18"/>
  <c r="H364" i="18"/>
  <c r="C365" i="18"/>
  <c r="M364" i="18"/>
  <c r="G364" i="18"/>
  <c r="E364" i="18"/>
  <c r="F369" i="1" l="1"/>
  <c r="G369" i="1"/>
  <c r="N369" i="1"/>
  <c r="M369" i="1"/>
  <c r="I369" i="1"/>
  <c r="L369" i="1"/>
  <c r="C370" i="1"/>
  <c r="E369" i="1"/>
  <c r="K369" i="1"/>
  <c r="H369" i="1"/>
  <c r="D369" i="1"/>
  <c r="J369" i="1"/>
  <c r="J369" i="27"/>
  <c r="I369" i="27"/>
  <c r="F369" i="27"/>
  <c r="L369" i="27"/>
  <c r="G369" i="27"/>
  <c r="C370" i="27"/>
  <c r="N369" i="27"/>
  <c r="D369" i="27"/>
  <c r="M369" i="27"/>
  <c r="K369" i="27"/>
  <c r="H369" i="27"/>
  <c r="E369" i="27"/>
  <c r="I369" i="26"/>
  <c r="H369" i="26"/>
  <c r="G369" i="26"/>
  <c r="E369" i="26"/>
  <c r="K369" i="26"/>
  <c r="J369" i="26"/>
  <c r="F369" i="26"/>
  <c r="D369" i="26"/>
  <c r="C370" i="26"/>
  <c r="N369" i="26"/>
  <c r="M369" i="26"/>
  <c r="L369" i="26"/>
  <c r="F368" i="25"/>
  <c r="E368" i="25"/>
  <c r="K368" i="25"/>
  <c r="G368" i="25"/>
  <c r="D368" i="25"/>
  <c r="C369" i="25"/>
  <c r="N368" i="25"/>
  <c r="M368" i="25"/>
  <c r="L368" i="25"/>
  <c r="J368" i="25"/>
  <c r="I368" i="25"/>
  <c r="H368" i="25"/>
  <c r="J365" i="20"/>
  <c r="I365" i="20"/>
  <c r="H365" i="20"/>
  <c r="C366" i="20"/>
  <c r="G365" i="20"/>
  <c r="N365" i="20"/>
  <c r="F365" i="20"/>
  <c r="M365" i="20"/>
  <c r="E365" i="20"/>
  <c r="L365" i="20"/>
  <c r="D365" i="20"/>
  <c r="K365" i="20"/>
  <c r="N366" i="19"/>
  <c r="F366" i="19"/>
  <c r="M366" i="19"/>
  <c r="E366" i="19"/>
  <c r="L366" i="19"/>
  <c r="D366" i="19"/>
  <c r="K366" i="19"/>
  <c r="H366" i="19"/>
  <c r="J366" i="19"/>
  <c r="I366" i="19"/>
  <c r="C367" i="19"/>
  <c r="G366" i="19"/>
  <c r="J365" i="18"/>
  <c r="H365" i="18"/>
  <c r="C366" i="18"/>
  <c r="G365" i="18"/>
  <c r="N365" i="18"/>
  <c r="F365" i="18"/>
  <c r="M365" i="18"/>
  <c r="E365" i="18"/>
  <c r="L365" i="18"/>
  <c r="D365" i="18"/>
  <c r="K365" i="18"/>
  <c r="I365" i="18"/>
  <c r="I370" i="1" l="1"/>
  <c r="E370" i="1"/>
  <c r="D370" i="1"/>
  <c r="H370" i="1"/>
  <c r="F370" i="1"/>
  <c r="C371" i="1"/>
  <c r="G370" i="1"/>
  <c r="M370" i="1"/>
  <c r="L370" i="1"/>
  <c r="J370" i="1"/>
  <c r="K370" i="1"/>
  <c r="N370" i="1"/>
  <c r="N370" i="27"/>
  <c r="M370" i="27"/>
  <c r="L370" i="27"/>
  <c r="I370" i="27"/>
  <c r="K370" i="27"/>
  <c r="G370" i="27"/>
  <c r="J370" i="27"/>
  <c r="E370" i="27"/>
  <c r="C371" i="27"/>
  <c r="H370" i="27"/>
  <c r="F370" i="27"/>
  <c r="D370" i="27"/>
  <c r="M370" i="26"/>
  <c r="E370" i="26"/>
  <c r="C371" i="26"/>
  <c r="H370" i="26"/>
  <c r="G370" i="26"/>
  <c r="L370" i="26"/>
  <c r="K370" i="26"/>
  <c r="N370" i="26"/>
  <c r="J370" i="26"/>
  <c r="I370" i="26"/>
  <c r="F370" i="26"/>
  <c r="D370" i="26"/>
  <c r="J369" i="25"/>
  <c r="I369" i="25"/>
  <c r="F369" i="25"/>
  <c r="C370" i="25"/>
  <c r="N369" i="25"/>
  <c r="G369" i="25"/>
  <c r="E369" i="25"/>
  <c r="D369" i="25"/>
  <c r="K369" i="25"/>
  <c r="H369" i="25"/>
  <c r="M369" i="25"/>
  <c r="L369" i="25"/>
  <c r="N366" i="20"/>
  <c r="F366" i="20"/>
  <c r="M366" i="20"/>
  <c r="E366" i="20"/>
  <c r="L366" i="20"/>
  <c r="D366" i="20"/>
  <c r="K366" i="20"/>
  <c r="J366" i="20"/>
  <c r="I366" i="20"/>
  <c r="H366" i="20"/>
  <c r="C367" i="20"/>
  <c r="G366" i="20"/>
  <c r="J367" i="19"/>
  <c r="I367" i="19"/>
  <c r="H367" i="19"/>
  <c r="C368" i="19"/>
  <c r="G367" i="19"/>
  <c r="L367" i="19"/>
  <c r="D367" i="19"/>
  <c r="M367" i="19"/>
  <c r="F367" i="19"/>
  <c r="K367" i="19"/>
  <c r="E367" i="19"/>
  <c r="N367" i="19"/>
  <c r="N366" i="18"/>
  <c r="F366" i="18"/>
  <c r="L366" i="18"/>
  <c r="D366" i="18"/>
  <c r="K366" i="18"/>
  <c r="J366" i="18"/>
  <c r="I366" i="18"/>
  <c r="H366" i="18"/>
  <c r="C367" i="18"/>
  <c r="M366" i="18"/>
  <c r="G366" i="18"/>
  <c r="E366" i="18"/>
  <c r="F371" i="1" l="1"/>
  <c r="AJ16" i="1" s="1"/>
  <c r="X75" i="8" s="1"/>
  <c r="E371" i="1"/>
  <c r="AI16" i="1" s="1"/>
  <c r="X74" i="8" s="1"/>
  <c r="N371" i="1"/>
  <c r="AR16" i="1" s="1"/>
  <c r="X83" i="8" s="1"/>
  <c r="G371" i="1"/>
  <c r="AK16" i="1" s="1"/>
  <c r="X76" i="8" s="1"/>
  <c r="I371" i="1"/>
  <c r="AM16" i="1" s="1"/>
  <c r="X78" i="8" s="1"/>
  <c r="C375" i="1"/>
  <c r="M371" i="1"/>
  <c r="AQ16" i="1" s="1"/>
  <c r="X82" i="8" s="1"/>
  <c r="H371" i="1"/>
  <c r="AL16" i="1" s="1"/>
  <c r="X77" i="8" s="1"/>
  <c r="L371" i="1"/>
  <c r="AP16" i="1" s="1"/>
  <c r="X81" i="8" s="1"/>
  <c r="D371" i="1"/>
  <c r="AH16" i="1" s="1"/>
  <c r="J371" i="1"/>
  <c r="AN16" i="1" s="1"/>
  <c r="X79" i="8" s="1"/>
  <c r="K371" i="1"/>
  <c r="AO16" i="1" s="1"/>
  <c r="X80" i="8" s="1"/>
  <c r="C375" i="27"/>
  <c r="H371" i="27"/>
  <c r="AL16" i="27" s="1"/>
  <c r="X77" i="24" s="1"/>
  <c r="E371" i="27"/>
  <c r="AI16" i="27" s="1"/>
  <c r="X74" i="24" s="1"/>
  <c r="G371" i="27"/>
  <c r="AK16" i="27" s="1"/>
  <c r="X76" i="24" s="1"/>
  <c r="M371" i="27"/>
  <c r="AQ16" i="27" s="1"/>
  <c r="X82" i="24" s="1"/>
  <c r="L371" i="27"/>
  <c r="AP16" i="27" s="1"/>
  <c r="X81" i="24" s="1"/>
  <c r="N371" i="27"/>
  <c r="AR16" i="27" s="1"/>
  <c r="X83" i="24" s="1"/>
  <c r="I371" i="27"/>
  <c r="AM16" i="27" s="1"/>
  <c r="X78" i="24" s="1"/>
  <c r="K371" i="27"/>
  <c r="AO16" i="27" s="1"/>
  <c r="X80" i="24" s="1"/>
  <c r="J371" i="27"/>
  <c r="AN16" i="27" s="1"/>
  <c r="X79" i="24" s="1"/>
  <c r="F371" i="27"/>
  <c r="AJ16" i="27" s="1"/>
  <c r="X75" i="24" s="1"/>
  <c r="D371" i="27"/>
  <c r="AH16" i="27" s="1"/>
  <c r="J371" i="26"/>
  <c r="AN16" i="26" s="1"/>
  <c r="X79" i="23" s="1"/>
  <c r="C375" i="26"/>
  <c r="N371" i="26"/>
  <c r="AR16" i="26" s="1"/>
  <c r="X83" i="23" s="1"/>
  <c r="F371" i="26"/>
  <c r="AJ16" i="26" s="1"/>
  <c r="X75" i="23" s="1"/>
  <c r="D371" i="26"/>
  <c r="AH16" i="26" s="1"/>
  <c r="E371" i="26"/>
  <c r="AI16" i="26" s="1"/>
  <c r="X74" i="23" s="1"/>
  <c r="M371" i="26"/>
  <c r="AQ16" i="26" s="1"/>
  <c r="X82" i="23" s="1"/>
  <c r="L371" i="26"/>
  <c r="AP16" i="26" s="1"/>
  <c r="X81" i="23" s="1"/>
  <c r="I371" i="26"/>
  <c r="AM16" i="26" s="1"/>
  <c r="X78" i="23" s="1"/>
  <c r="H371" i="26"/>
  <c r="AL16" i="26" s="1"/>
  <c r="X77" i="23" s="1"/>
  <c r="G371" i="26"/>
  <c r="AK16" i="26" s="1"/>
  <c r="X76" i="23" s="1"/>
  <c r="K371" i="26"/>
  <c r="AO16" i="26" s="1"/>
  <c r="X80" i="23" s="1"/>
  <c r="N370" i="25"/>
  <c r="M370" i="25"/>
  <c r="L370" i="25"/>
  <c r="F370" i="25"/>
  <c r="C371" i="25"/>
  <c r="K370" i="25"/>
  <c r="J370" i="25"/>
  <c r="I370" i="25"/>
  <c r="H370" i="25"/>
  <c r="G370" i="25"/>
  <c r="E370" i="25"/>
  <c r="D370" i="25"/>
  <c r="J367" i="20"/>
  <c r="I367" i="20"/>
  <c r="H367" i="20"/>
  <c r="C368" i="20"/>
  <c r="G367" i="20"/>
  <c r="N367" i="20"/>
  <c r="F367" i="20"/>
  <c r="M367" i="20"/>
  <c r="E367" i="20"/>
  <c r="L367" i="20"/>
  <c r="D367" i="20"/>
  <c r="K367" i="20"/>
  <c r="N368" i="19"/>
  <c r="F368" i="19"/>
  <c r="M368" i="19"/>
  <c r="E368" i="19"/>
  <c r="L368" i="19"/>
  <c r="D368" i="19"/>
  <c r="K368" i="19"/>
  <c r="H368" i="19"/>
  <c r="I368" i="19"/>
  <c r="G368" i="19"/>
  <c r="J368" i="19"/>
  <c r="C369" i="19"/>
  <c r="J367" i="18"/>
  <c r="H367" i="18"/>
  <c r="C368" i="18"/>
  <c r="G367" i="18"/>
  <c r="N367" i="18"/>
  <c r="F367" i="18"/>
  <c r="M367" i="18"/>
  <c r="E367" i="18"/>
  <c r="L367" i="18"/>
  <c r="D367" i="18"/>
  <c r="K367" i="18"/>
  <c r="I367" i="18"/>
  <c r="M375" i="1" l="1"/>
  <c r="C376" i="1"/>
  <c r="L375" i="1"/>
  <c r="J375" i="1"/>
  <c r="N375" i="1"/>
  <c r="H375" i="1"/>
  <c r="K375" i="1"/>
  <c r="I375" i="1"/>
  <c r="G375" i="1"/>
  <c r="F375" i="1"/>
  <c r="E375" i="1"/>
  <c r="D375" i="1"/>
  <c r="X84" i="8"/>
  <c r="X86" i="8" s="1"/>
  <c r="X84" i="24"/>
  <c r="X86" i="24" s="1"/>
  <c r="X84" i="23"/>
  <c r="X86" i="23" s="1"/>
  <c r="F375" i="27"/>
  <c r="E375" i="27"/>
  <c r="H375" i="27"/>
  <c r="M375" i="27"/>
  <c r="L375" i="27"/>
  <c r="I375" i="27"/>
  <c r="C376" i="27"/>
  <c r="J375" i="27"/>
  <c r="G375" i="27"/>
  <c r="D375" i="27"/>
  <c r="N375" i="27"/>
  <c r="K375" i="27"/>
  <c r="E375" i="26"/>
  <c r="C376" i="26"/>
  <c r="I375" i="26"/>
  <c r="M375" i="26"/>
  <c r="N375" i="26"/>
  <c r="L375" i="26"/>
  <c r="G375" i="26"/>
  <c r="F375" i="26"/>
  <c r="D375" i="26"/>
  <c r="K375" i="26"/>
  <c r="J375" i="26"/>
  <c r="H375" i="26"/>
  <c r="M371" i="25"/>
  <c r="AQ16" i="25" s="1"/>
  <c r="X82" i="22" s="1"/>
  <c r="K371" i="25"/>
  <c r="AO16" i="25" s="1"/>
  <c r="X80" i="22" s="1"/>
  <c r="J371" i="25"/>
  <c r="AN16" i="25" s="1"/>
  <c r="X79" i="22" s="1"/>
  <c r="G371" i="25"/>
  <c r="AK16" i="25" s="1"/>
  <c r="X76" i="22" s="1"/>
  <c r="F371" i="25"/>
  <c r="AJ16" i="25" s="1"/>
  <c r="X75" i="22" s="1"/>
  <c r="E371" i="25"/>
  <c r="AI16" i="25" s="1"/>
  <c r="X74" i="22" s="1"/>
  <c r="L371" i="25"/>
  <c r="AP16" i="25" s="1"/>
  <c r="X81" i="22" s="1"/>
  <c r="I371" i="25"/>
  <c r="AM16" i="25" s="1"/>
  <c r="X78" i="22" s="1"/>
  <c r="H371" i="25"/>
  <c r="AL16" i="25" s="1"/>
  <c r="X77" i="22" s="1"/>
  <c r="D371" i="25"/>
  <c r="AH16" i="25" s="1"/>
  <c r="C375" i="25"/>
  <c r="N371" i="25"/>
  <c r="AR16" i="25" s="1"/>
  <c r="X83" i="22" s="1"/>
  <c r="N368" i="20"/>
  <c r="F368" i="20"/>
  <c r="M368" i="20"/>
  <c r="E368" i="20"/>
  <c r="L368" i="20"/>
  <c r="D368" i="20"/>
  <c r="K368" i="20"/>
  <c r="J368" i="20"/>
  <c r="I368" i="20"/>
  <c r="H368" i="20"/>
  <c r="C369" i="20"/>
  <c r="G368" i="20"/>
  <c r="J369" i="19"/>
  <c r="I369" i="19"/>
  <c r="H369" i="19"/>
  <c r="C370" i="19"/>
  <c r="G369" i="19"/>
  <c r="L369" i="19"/>
  <c r="D369" i="19"/>
  <c r="N369" i="19"/>
  <c r="K369" i="19"/>
  <c r="E369" i="19"/>
  <c r="M369" i="19"/>
  <c r="F369" i="19"/>
  <c r="N368" i="18"/>
  <c r="F368" i="18"/>
  <c r="L368" i="18"/>
  <c r="D368" i="18"/>
  <c r="K368" i="18"/>
  <c r="J368" i="18"/>
  <c r="I368" i="18"/>
  <c r="H368" i="18"/>
  <c r="C369" i="18"/>
  <c r="M368" i="18"/>
  <c r="G368" i="18"/>
  <c r="E368" i="18"/>
  <c r="L376" i="1" l="1"/>
  <c r="N376" i="1"/>
  <c r="K376" i="1"/>
  <c r="J376" i="1"/>
  <c r="G376" i="1"/>
  <c r="H376" i="1"/>
  <c r="E376" i="1"/>
  <c r="C377" i="1"/>
  <c r="D376" i="1"/>
  <c r="M376" i="1"/>
  <c r="F376" i="1"/>
  <c r="I376" i="1"/>
  <c r="X84" i="22"/>
  <c r="X86" i="22" s="1"/>
  <c r="J376" i="27"/>
  <c r="I376" i="27"/>
  <c r="N376" i="27"/>
  <c r="K376" i="27"/>
  <c r="D376" i="27"/>
  <c r="M376" i="27"/>
  <c r="G376" i="27"/>
  <c r="F376" i="27"/>
  <c r="H376" i="27"/>
  <c r="E376" i="27"/>
  <c r="L376" i="27"/>
  <c r="C377" i="27"/>
  <c r="I376" i="26"/>
  <c r="C377" i="26"/>
  <c r="K376" i="26"/>
  <c r="J376" i="26"/>
  <c r="D376" i="26"/>
  <c r="H376" i="26"/>
  <c r="G376" i="26"/>
  <c r="F376" i="26"/>
  <c r="N376" i="26"/>
  <c r="M376" i="26"/>
  <c r="L376" i="26"/>
  <c r="E376" i="26"/>
  <c r="F375" i="25"/>
  <c r="E375" i="25"/>
  <c r="H375" i="25"/>
  <c r="C376" i="25"/>
  <c r="L375" i="25"/>
  <c r="K375" i="25"/>
  <c r="J375" i="25"/>
  <c r="I375" i="25"/>
  <c r="G375" i="25"/>
  <c r="D375" i="25"/>
  <c r="N375" i="25"/>
  <c r="M375" i="25"/>
  <c r="J369" i="20"/>
  <c r="I369" i="20"/>
  <c r="H369" i="20"/>
  <c r="C370" i="20"/>
  <c r="G369" i="20"/>
  <c r="N369" i="20"/>
  <c r="F369" i="20"/>
  <c r="M369" i="20"/>
  <c r="E369" i="20"/>
  <c r="L369" i="20"/>
  <c r="D369" i="20"/>
  <c r="K369" i="20"/>
  <c r="N370" i="19"/>
  <c r="F370" i="19"/>
  <c r="M370" i="19"/>
  <c r="E370" i="19"/>
  <c r="L370" i="19"/>
  <c r="D370" i="19"/>
  <c r="K370" i="19"/>
  <c r="H370" i="19"/>
  <c r="G370" i="19"/>
  <c r="C371" i="19"/>
  <c r="J370" i="19"/>
  <c r="I370" i="19"/>
  <c r="J369" i="18"/>
  <c r="H369" i="18"/>
  <c r="C370" i="18"/>
  <c r="G369" i="18"/>
  <c r="N369" i="18"/>
  <c r="F369" i="18"/>
  <c r="M369" i="18"/>
  <c r="E369" i="18"/>
  <c r="L369" i="18"/>
  <c r="D369" i="18"/>
  <c r="K369" i="18"/>
  <c r="I369" i="18"/>
  <c r="I377" i="1" l="1"/>
  <c r="E377" i="1"/>
  <c r="J377" i="1"/>
  <c r="M377" i="1"/>
  <c r="N377" i="1"/>
  <c r="L377" i="1"/>
  <c r="H377" i="1"/>
  <c r="D377" i="1"/>
  <c r="G377" i="1"/>
  <c r="K377" i="1"/>
  <c r="F377" i="1"/>
  <c r="C378" i="1"/>
  <c r="N377" i="27"/>
  <c r="M377" i="27"/>
  <c r="L377" i="27"/>
  <c r="I377" i="27"/>
  <c r="K377" i="27"/>
  <c r="G377" i="27"/>
  <c r="C378" i="27"/>
  <c r="H377" i="27"/>
  <c r="F377" i="27"/>
  <c r="E377" i="27"/>
  <c r="D377" i="27"/>
  <c r="J377" i="27"/>
  <c r="M377" i="26"/>
  <c r="H377" i="26"/>
  <c r="N377" i="26"/>
  <c r="K377" i="26"/>
  <c r="C378" i="26"/>
  <c r="L377" i="26"/>
  <c r="J377" i="26"/>
  <c r="D377" i="26"/>
  <c r="E377" i="26"/>
  <c r="I377" i="26"/>
  <c r="G377" i="26"/>
  <c r="F377" i="26"/>
  <c r="J376" i="25"/>
  <c r="I376" i="25"/>
  <c r="N376" i="25"/>
  <c r="H376" i="25"/>
  <c r="G376" i="25"/>
  <c r="F376" i="25"/>
  <c r="E376" i="25"/>
  <c r="D376" i="25"/>
  <c r="C377" i="25"/>
  <c r="M376" i="25"/>
  <c r="L376" i="25"/>
  <c r="K376" i="25"/>
  <c r="N370" i="20"/>
  <c r="F370" i="20"/>
  <c r="M370" i="20"/>
  <c r="E370" i="20"/>
  <c r="L370" i="20"/>
  <c r="D370" i="20"/>
  <c r="K370" i="20"/>
  <c r="J370" i="20"/>
  <c r="I370" i="20"/>
  <c r="H370" i="20"/>
  <c r="G370" i="20"/>
  <c r="C371" i="20"/>
  <c r="J371" i="19"/>
  <c r="AN16" i="19" s="1"/>
  <c r="I371" i="19"/>
  <c r="AM16" i="19" s="1"/>
  <c r="H371" i="19"/>
  <c r="AL16" i="19" s="1"/>
  <c r="C375" i="19"/>
  <c r="G371" i="19"/>
  <c r="AK16" i="19" s="1"/>
  <c r="L371" i="19"/>
  <c r="AP16" i="19" s="1"/>
  <c r="D371" i="19"/>
  <c r="AH16" i="19" s="1"/>
  <c r="N371" i="19"/>
  <c r="AR16" i="19" s="1"/>
  <c r="M371" i="19"/>
  <c r="AQ16" i="19" s="1"/>
  <c r="F371" i="19"/>
  <c r="AJ16" i="19" s="1"/>
  <c r="E371" i="19"/>
  <c r="AI16" i="19" s="1"/>
  <c r="K371" i="19"/>
  <c r="AO16" i="19" s="1"/>
  <c r="N370" i="18"/>
  <c r="F370" i="18"/>
  <c r="L370" i="18"/>
  <c r="D370" i="18"/>
  <c r="K370" i="18"/>
  <c r="J370" i="18"/>
  <c r="I370" i="18"/>
  <c r="H370" i="18"/>
  <c r="G370" i="18"/>
  <c r="E370" i="18"/>
  <c r="C371" i="18"/>
  <c r="M370" i="18"/>
  <c r="M378" i="1" l="1"/>
  <c r="E378" i="1"/>
  <c r="N378" i="1"/>
  <c r="L378" i="1"/>
  <c r="K378" i="1"/>
  <c r="J378" i="1"/>
  <c r="C379" i="1"/>
  <c r="I378" i="1"/>
  <c r="H378" i="1"/>
  <c r="G378" i="1"/>
  <c r="D378" i="1"/>
  <c r="F378" i="1"/>
  <c r="H378" i="27"/>
  <c r="E378" i="27"/>
  <c r="G378" i="27"/>
  <c r="M378" i="27"/>
  <c r="L378" i="27"/>
  <c r="C379" i="27"/>
  <c r="N378" i="27"/>
  <c r="J378" i="27"/>
  <c r="I378" i="27"/>
  <c r="K378" i="27"/>
  <c r="F378" i="27"/>
  <c r="D378" i="27"/>
  <c r="M378" i="26"/>
  <c r="I378" i="26"/>
  <c r="F378" i="26"/>
  <c r="E378" i="26"/>
  <c r="D378" i="26"/>
  <c r="N378" i="26"/>
  <c r="L378" i="26"/>
  <c r="K378" i="26"/>
  <c r="H378" i="26"/>
  <c r="G378" i="26"/>
  <c r="C379" i="26"/>
  <c r="J378" i="26"/>
  <c r="N377" i="25"/>
  <c r="M377" i="25"/>
  <c r="C378" i="25"/>
  <c r="E377" i="25"/>
  <c r="D377" i="25"/>
  <c r="L377" i="25"/>
  <c r="K377" i="25"/>
  <c r="J377" i="25"/>
  <c r="I377" i="25"/>
  <c r="H377" i="25"/>
  <c r="G377" i="25"/>
  <c r="F377" i="25"/>
  <c r="X80" i="12"/>
  <c r="X78" i="12"/>
  <c r="X74" i="12"/>
  <c r="X79" i="12"/>
  <c r="X75" i="12"/>
  <c r="X82" i="12"/>
  <c r="X77" i="12"/>
  <c r="X81" i="12"/>
  <c r="X76" i="12"/>
  <c r="J371" i="20"/>
  <c r="AN16" i="20" s="1"/>
  <c r="I371" i="20"/>
  <c r="AM16" i="20" s="1"/>
  <c r="H371" i="20"/>
  <c r="AL16" i="20" s="1"/>
  <c r="C375" i="20"/>
  <c r="G371" i="20"/>
  <c r="AK16" i="20" s="1"/>
  <c r="N371" i="20"/>
  <c r="AR16" i="20" s="1"/>
  <c r="F371" i="20"/>
  <c r="AJ16" i="20" s="1"/>
  <c r="M371" i="20"/>
  <c r="AQ16" i="20" s="1"/>
  <c r="E371" i="20"/>
  <c r="AI16" i="20" s="1"/>
  <c r="L371" i="20"/>
  <c r="AP16" i="20" s="1"/>
  <c r="D371" i="20"/>
  <c r="AH16" i="20" s="1"/>
  <c r="K371" i="20"/>
  <c r="AO16" i="20" s="1"/>
  <c r="N375" i="19"/>
  <c r="F375" i="19"/>
  <c r="M375" i="19"/>
  <c r="E375" i="19"/>
  <c r="L375" i="19"/>
  <c r="D375" i="19"/>
  <c r="K375" i="19"/>
  <c r="H375" i="19"/>
  <c r="J375" i="19"/>
  <c r="C376" i="19"/>
  <c r="G375" i="19"/>
  <c r="I375" i="19"/>
  <c r="J371" i="18"/>
  <c r="AN16" i="18" s="1"/>
  <c r="H371" i="18"/>
  <c r="AL16" i="18" s="1"/>
  <c r="C375" i="18"/>
  <c r="G371" i="18"/>
  <c r="AK16" i="18" s="1"/>
  <c r="N371" i="18"/>
  <c r="AR16" i="18" s="1"/>
  <c r="F371" i="18"/>
  <c r="AJ16" i="18" s="1"/>
  <c r="M371" i="18"/>
  <c r="AQ16" i="18" s="1"/>
  <c r="E371" i="18"/>
  <c r="AI16" i="18" s="1"/>
  <c r="L371" i="18"/>
  <c r="AP16" i="18" s="1"/>
  <c r="D371" i="18"/>
  <c r="AH16" i="18" s="1"/>
  <c r="K371" i="18"/>
  <c r="AO16" i="18" s="1"/>
  <c r="I371" i="18"/>
  <c r="AM16" i="18" s="1"/>
  <c r="H379" i="1" l="1"/>
  <c r="C380" i="1"/>
  <c r="I379" i="1"/>
  <c r="G379" i="1"/>
  <c r="K379" i="1"/>
  <c r="F379" i="1"/>
  <c r="N379" i="1"/>
  <c r="M379" i="1"/>
  <c r="E379" i="1"/>
  <c r="D379" i="1"/>
  <c r="J379" i="1"/>
  <c r="L379" i="1"/>
  <c r="F379" i="27"/>
  <c r="E379" i="27"/>
  <c r="N379" i="27"/>
  <c r="K379" i="27"/>
  <c r="J379" i="27"/>
  <c r="G379" i="27"/>
  <c r="M379" i="27"/>
  <c r="H379" i="27"/>
  <c r="D379" i="27"/>
  <c r="L379" i="27"/>
  <c r="I379" i="27"/>
  <c r="C380" i="27"/>
  <c r="E379" i="26"/>
  <c r="C380" i="26"/>
  <c r="M379" i="26"/>
  <c r="L379" i="26"/>
  <c r="K379" i="26"/>
  <c r="I379" i="26"/>
  <c r="N379" i="26"/>
  <c r="J379" i="26"/>
  <c r="H379" i="26"/>
  <c r="G379" i="26"/>
  <c r="F379" i="26"/>
  <c r="D379" i="26"/>
  <c r="H378" i="25"/>
  <c r="E378" i="25"/>
  <c r="F378" i="25"/>
  <c r="D378" i="25"/>
  <c r="I378" i="25"/>
  <c r="G378" i="25"/>
  <c r="C379" i="25"/>
  <c r="N378" i="25"/>
  <c r="M378" i="25"/>
  <c r="L378" i="25"/>
  <c r="K378" i="25"/>
  <c r="J378" i="25"/>
  <c r="X84" i="12"/>
  <c r="X86" i="12" s="1"/>
  <c r="X82" i="14"/>
  <c r="X79" i="14"/>
  <c r="X75" i="14"/>
  <c r="X83" i="14"/>
  <c r="X78" i="14"/>
  <c r="X76" i="14"/>
  <c r="X80" i="14"/>
  <c r="X77" i="14"/>
  <c r="X81" i="14"/>
  <c r="X74" i="14"/>
  <c r="N375" i="20"/>
  <c r="F375" i="20"/>
  <c r="M375" i="20"/>
  <c r="E375" i="20"/>
  <c r="L375" i="20"/>
  <c r="D375" i="20"/>
  <c r="K375" i="20"/>
  <c r="J375" i="20"/>
  <c r="I375" i="20"/>
  <c r="H375" i="20"/>
  <c r="C376" i="20"/>
  <c r="G375" i="20"/>
  <c r="J376" i="19"/>
  <c r="I376" i="19"/>
  <c r="H376" i="19"/>
  <c r="C377" i="19"/>
  <c r="G376" i="19"/>
  <c r="L376" i="19"/>
  <c r="D376" i="19"/>
  <c r="M376" i="19"/>
  <c r="K376" i="19"/>
  <c r="E376" i="19"/>
  <c r="N376" i="19"/>
  <c r="F376" i="19"/>
  <c r="N375" i="18"/>
  <c r="F375" i="18"/>
  <c r="L375" i="18"/>
  <c r="D375" i="18"/>
  <c r="K375" i="18"/>
  <c r="J375" i="18"/>
  <c r="I375" i="18"/>
  <c r="H375" i="18"/>
  <c r="C376" i="18"/>
  <c r="M375" i="18"/>
  <c r="G375" i="18"/>
  <c r="E375" i="18"/>
  <c r="M380" i="1" l="1"/>
  <c r="I380" i="1"/>
  <c r="H380" i="1"/>
  <c r="E380" i="1"/>
  <c r="L380" i="1"/>
  <c r="D380" i="1"/>
  <c r="K380" i="1"/>
  <c r="C381" i="1"/>
  <c r="J380" i="1"/>
  <c r="G380" i="1"/>
  <c r="F380" i="1"/>
  <c r="N380" i="1"/>
  <c r="J380" i="27"/>
  <c r="I380" i="27"/>
  <c r="C381" i="27"/>
  <c r="H380" i="27"/>
  <c r="E380" i="27"/>
  <c r="G380" i="27"/>
  <c r="F380" i="27"/>
  <c r="D380" i="27"/>
  <c r="N380" i="27"/>
  <c r="M380" i="27"/>
  <c r="L380" i="27"/>
  <c r="K380" i="27"/>
  <c r="I380" i="26"/>
  <c r="F380" i="26"/>
  <c r="G380" i="26"/>
  <c r="E380" i="26"/>
  <c r="C381" i="26"/>
  <c r="N380" i="26"/>
  <c r="M380" i="26"/>
  <c r="L380" i="26"/>
  <c r="K380" i="26"/>
  <c r="J380" i="26"/>
  <c r="H380" i="26"/>
  <c r="D380" i="26"/>
  <c r="F379" i="25"/>
  <c r="E379" i="25"/>
  <c r="N379" i="25"/>
  <c r="L379" i="25"/>
  <c r="C380" i="25"/>
  <c r="M379" i="25"/>
  <c r="H379" i="25"/>
  <c r="G379" i="25"/>
  <c r="D379" i="25"/>
  <c r="K379" i="25"/>
  <c r="J379" i="25"/>
  <c r="I379" i="25"/>
  <c r="X84" i="14"/>
  <c r="X86" i="14" s="1"/>
  <c r="J376" i="20"/>
  <c r="I376" i="20"/>
  <c r="H376" i="20"/>
  <c r="C377" i="20"/>
  <c r="G376" i="20"/>
  <c r="N376" i="20"/>
  <c r="F376" i="20"/>
  <c r="M376" i="20"/>
  <c r="E376" i="20"/>
  <c r="L376" i="20"/>
  <c r="D376" i="20"/>
  <c r="K376" i="20"/>
  <c r="N377" i="19"/>
  <c r="F377" i="19"/>
  <c r="M377" i="19"/>
  <c r="E377" i="19"/>
  <c r="L377" i="19"/>
  <c r="D377" i="19"/>
  <c r="K377" i="19"/>
  <c r="H377" i="19"/>
  <c r="C378" i="19"/>
  <c r="I377" i="19"/>
  <c r="J377" i="19"/>
  <c r="G377" i="19"/>
  <c r="J376" i="18"/>
  <c r="H376" i="18"/>
  <c r="C377" i="18"/>
  <c r="G376" i="18"/>
  <c r="N376" i="18"/>
  <c r="F376" i="18"/>
  <c r="M376" i="18"/>
  <c r="E376" i="18"/>
  <c r="L376" i="18"/>
  <c r="D376" i="18"/>
  <c r="K376" i="18"/>
  <c r="I376" i="18"/>
  <c r="H381" i="1" l="1"/>
  <c r="F381" i="1"/>
  <c r="N381" i="1"/>
  <c r="D381" i="1"/>
  <c r="M381" i="1"/>
  <c r="L381" i="1"/>
  <c r="K381" i="1"/>
  <c r="C382" i="1"/>
  <c r="J381" i="1"/>
  <c r="I381" i="1"/>
  <c r="G381" i="1"/>
  <c r="E381" i="1"/>
  <c r="N381" i="27"/>
  <c r="M381" i="27"/>
  <c r="H381" i="27"/>
  <c r="E381" i="27"/>
  <c r="G381" i="27"/>
  <c r="L381" i="27"/>
  <c r="I381" i="27"/>
  <c r="J381" i="27"/>
  <c r="F381" i="27"/>
  <c r="C382" i="27"/>
  <c r="K381" i="27"/>
  <c r="D381" i="27"/>
  <c r="M381" i="26"/>
  <c r="K381" i="26"/>
  <c r="I381" i="26"/>
  <c r="H381" i="26"/>
  <c r="G381" i="26"/>
  <c r="L381" i="26"/>
  <c r="F381" i="26"/>
  <c r="D381" i="26"/>
  <c r="J381" i="26"/>
  <c r="E381" i="26"/>
  <c r="N381" i="26"/>
  <c r="C382" i="26"/>
  <c r="J380" i="25"/>
  <c r="I380" i="25"/>
  <c r="G380" i="25"/>
  <c r="F380" i="25"/>
  <c r="E380" i="25"/>
  <c r="D380" i="25"/>
  <c r="C381" i="25"/>
  <c r="N380" i="25"/>
  <c r="M380" i="25"/>
  <c r="L380" i="25"/>
  <c r="K380" i="25"/>
  <c r="H380" i="25"/>
  <c r="N377" i="20"/>
  <c r="F377" i="20"/>
  <c r="M377" i="20"/>
  <c r="E377" i="20"/>
  <c r="L377" i="20"/>
  <c r="D377" i="20"/>
  <c r="K377" i="20"/>
  <c r="J377" i="20"/>
  <c r="I377" i="20"/>
  <c r="H377" i="20"/>
  <c r="C378" i="20"/>
  <c r="G377" i="20"/>
  <c r="J378" i="19"/>
  <c r="I378" i="19"/>
  <c r="H378" i="19"/>
  <c r="C379" i="19"/>
  <c r="G378" i="19"/>
  <c r="L378" i="19"/>
  <c r="D378" i="19"/>
  <c r="K378" i="19"/>
  <c r="F378" i="19"/>
  <c r="M378" i="19"/>
  <c r="N378" i="19"/>
  <c r="E378" i="19"/>
  <c r="N377" i="18"/>
  <c r="F377" i="18"/>
  <c r="L377" i="18"/>
  <c r="D377" i="18"/>
  <c r="K377" i="18"/>
  <c r="J377" i="18"/>
  <c r="I377" i="18"/>
  <c r="H377" i="18"/>
  <c r="C378" i="18"/>
  <c r="M377" i="18"/>
  <c r="G377" i="18"/>
  <c r="E377" i="18"/>
  <c r="N382" i="1" l="1"/>
  <c r="E382" i="1"/>
  <c r="K382" i="1"/>
  <c r="D382" i="1"/>
  <c r="J382" i="1"/>
  <c r="F382" i="1"/>
  <c r="G382" i="1"/>
  <c r="C383" i="1"/>
  <c r="I382" i="1"/>
  <c r="M382" i="1"/>
  <c r="L382" i="1"/>
  <c r="H382" i="1"/>
  <c r="N382" i="27"/>
  <c r="K382" i="27"/>
  <c r="L382" i="27"/>
  <c r="J382" i="27"/>
  <c r="G382" i="27"/>
  <c r="D382" i="27"/>
  <c r="M382" i="27"/>
  <c r="I382" i="27"/>
  <c r="C383" i="27"/>
  <c r="F382" i="27"/>
  <c r="E382" i="27"/>
  <c r="H382" i="27"/>
  <c r="C383" i="26"/>
  <c r="N382" i="26"/>
  <c r="G382" i="26"/>
  <c r="F382" i="26"/>
  <c r="M382" i="26"/>
  <c r="L382" i="26"/>
  <c r="K382" i="26"/>
  <c r="J382" i="26"/>
  <c r="I382" i="26"/>
  <c r="H382" i="26"/>
  <c r="E382" i="26"/>
  <c r="D382" i="26"/>
  <c r="N381" i="25"/>
  <c r="M381" i="25"/>
  <c r="H381" i="25"/>
  <c r="G381" i="25"/>
  <c r="K381" i="25"/>
  <c r="J381" i="25"/>
  <c r="C382" i="25"/>
  <c r="L381" i="25"/>
  <c r="I381" i="25"/>
  <c r="F381" i="25"/>
  <c r="E381" i="25"/>
  <c r="D381" i="25"/>
  <c r="J378" i="20"/>
  <c r="I378" i="20"/>
  <c r="H378" i="20"/>
  <c r="C379" i="20"/>
  <c r="G378" i="20"/>
  <c r="N378" i="20"/>
  <c r="F378" i="20"/>
  <c r="M378" i="20"/>
  <c r="E378" i="20"/>
  <c r="L378" i="20"/>
  <c r="D378" i="20"/>
  <c r="K378" i="20"/>
  <c r="N379" i="19"/>
  <c r="F379" i="19"/>
  <c r="M379" i="19"/>
  <c r="E379" i="19"/>
  <c r="L379" i="19"/>
  <c r="D379" i="19"/>
  <c r="K379" i="19"/>
  <c r="H379" i="19"/>
  <c r="J379" i="19"/>
  <c r="G379" i="19"/>
  <c r="C380" i="19"/>
  <c r="I379" i="19"/>
  <c r="J378" i="18"/>
  <c r="H378" i="18"/>
  <c r="C379" i="18"/>
  <c r="G378" i="18"/>
  <c r="N378" i="18"/>
  <c r="F378" i="18"/>
  <c r="M378" i="18"/>
  <c r="E378" i="18"/>
  <c r="L378" i="18"/>
  <c r="D378" i="18"/>
  <c r="K378" i="18"/>
  <c r="I378" i="18"/>
  <c r="K383" i="1" l="1"/>
  <c r="M383" i="1"/>
  <c r="E383" i="1"/>
  <c r="L383" i="1"/>
  <c r="D383" i="1"/>
  <c r="J383" i="1"/>
  <c r="N383" i="1"/>
  <c r="I383" i="1"/>
  <c r="H383" i="1"/>
  <c r="C384" i="1"/>
  <c r="G383" i="1"/>
  <c r="F383" i="1"/>
  <c r="F383" i="27"/>
  <c r="E383" i="27"/>
  <c r="D383" i="27"/>
  <c r="L383" i="27"/>
  <c r="I383" i="27"/>
  <c r="C384" i="27"/>
  <c r="N383" i="27"/>
  <c r="G383" i="27"/>
  <c r="M383" i="27"/>
  <c r="K383" i="27"/>
  <c r="J383" i="27"/>
  <c r="H383" i="27"/>
  <c r="E383" i="26"/>
  <c r="D383" i="26"/>
  <c r="F383" i="26"/>
  <c r="J383" i="26"/>
  <c r="H383" i="26"/>
  <c r="L383" i="26"/>
  <c r="K383" i="26"/>
  <c r="I383" i="26"/>
  <c r="C384" i="26"/>
  <c r="N383" i="26"/>
  <c r="M383" i="26"/>
  <c r="G383" i="26"/>
  <c r="N382" i="25"/>
  <c r="C383" i="25"/>
  <c r="G382" i="25"/>
  <c r="F382" i="25"/>
  <c r="E382" i="25"/>
  <c r="M382" i="25"/>
  <c r="L382" i="25"/>
  <c r="K382" i="25"/>
  <c r="J382" i="25"/>
  <c r="I382" i="25"/>
  <c r="H382" i="25"/>
  <c r="D382" i="25"/>
  <c r="N379" i="20"/>
  <c r="F379" i="20"/>
  <c r="M379" i="20"/>
  <c r="E379" i="20"/>
  <c r="L379" i="20"/>
  <c r="D379" i="20"/>
  <c r="K379" i="20"/>
  <c r="J379" i="20"/>
  <c r="I379" i="20"/>
  <c r="H379" i="20"/>
  <c r="C380" i="20"/>
  <c r="G379" i="20"/>
  <c r="J380" i="19"/>
  <c r="I380" i="19"/>
  <c r="H380" i="19"/>
  <c r="C381" i="19"/>
  <c r="G380" i="19"/>
  <c r="L380" i="19"/>
  <c r="D380" i="19"/>
  <c r="F380" i="19"/>
  <c r="E380" i="19"/>
  <c r="N380" i="19"/>
  <c r="M380" i="19"/>
  <c r="K380" i="19"/>
  <c r="N379" i="18"/>
  <c r="F379" i="18"/>
  <c r="L379" i="18"/>
  <c r="D379" i="18"/>
  <c r="K379" i="18"/>
  <c r="J379" i="18"/>
  <c r="I379" i="18"/>
  <c r="H379" i="18"/>
  <c r="C380" i="18"/>
  <c r="M379" i="18"/>
  <c r="G379" i="18"/>
  <c r="E379" i="18"/>
  <c r="M384" i="1" l="1"/>
  <c r="K384" i="1"/>
  <c r="L384" i="1"/>
  <c r="G384" i="1"/>
  <c r="H384" i="1"/>
  <c r="D384" i="1"/>
  <c r="N384" i="1"/>
  <c r="C385" i="1"/>
  <c r="E384" i="1"/>
  <c r="J384" i="1"/>
  <c r="I384" i="1"/>
  <c r="F384" i="1"/>
  <c r="J384" i="27"/>
  <c r="I384" i="27"/>
  <c r="H384" i="27"/>
  <c r="E384" i="27"/>
  <c r="N384" i="27"/>
  <c r="K384" i="27"/>
  <c r="L384" i="27"/>
  <c r="G384" i="27"/>
  <c r="C385" i="27"/>
  <c r="D384" i="27"/>
  <c r="M384" i="27"/>
  <c r="F384" i="27"/>
  <c r="I384" i="26"/>
  <c r="J384" i="26"/>
  <c r="K384" i="26"/>
  <c r="M384" i="26"/>
  <c r="L384" i="26"/>
  <c r="F384" i="26"/>
  <c r="E384" i="26"/>
  <c r="G384" i="26"/>
  <c r="D384" i="26"/>
  <c r="C385" i="26"/>
  <c r="N384" i="26"/>
  <c r="H384" i="26"/>
  <c r="F383" i="25"/>
  <c r="E383" i="25"/>
  <c r="I383" i="25"/>
  <c r="H383" i="25"/>
  <c r="C384" i="25"/>
  <c r="N383" i="25"/>
  <c r="M383" i="25"/>
  <c r="L383" i="25"/>
  <c r="K383" i="25"/>
  <c r="J383" i="25"/>
  <c r="G383" i="25"/>
  <c r="D383" i="25"/>
  <c r="J380" i="20"/>
  <c r="I380" i="20"/>
  <c r="H380" i="20"/>
  <c r="C381" i="20"/>
  <c r="G380" i="20"/>
  <c r="N380" i="20"/>
  <c r="F380" i="20"/>
  <c r="M380" i="20"/>
  <c r="E380" i="20"/>
  <c r="L380" i="20"/>
  <c r="D380" i="20"/>
  <c r="K380" i="20"/>
  <c r="N381" i="19"/>
  <c r="F381" i="19"/>
  <c r="M381" i="19"/>
  <c r="E381" i="19"/>
  <c r="L381" i="19"/>
  <c r="D381" i="19"/>
  <c r="K381" i="19"/>
  <c r="H381" i="19"/>
  <c r="C382" i="19"/>
  <c r="I381" i="19"/>
  <c r="G381" i="19"/>
  <c r="J381" i="19"/>
  <c r="J380" i="18"/>
  <c r="H380" i="18"/>
  <c r="C381" i="18"/>
  <c r="G380" i="18"/>
  <c r="N380" i="18"/>
  <c r="F380" i="18"/>
  <c r="M380" i="18"/>
  <c r="E380" i="18"/>
  <c r="L380" i="18"/>
  <c r="D380" i="18"/>
  <c r="K380" i="18"/>
  <c r="I380" i="18"/>
  <c r="D385" i="1" l="1"/>
  <c r="L385" i="1"/>
  <c r="F385" i="1"/>
  <c r="C386" i="1"/>
  <c r="E385" i="1"/>
  <c r="M385" i="1"/>
  <c r="J385" i="1"/>
  <c r="I385" i="1"/>
  <c r="K385" i="1"/>
  <c r="H385" i="1"/>
  <c r="G385" i="1"/>
  <c r="N385" i="1"/>
  <c r="N385" i="27"/>
  <c r="M385" i="27"/>
  <c r="K385" i="27"/>
  <c r="J385" i="27"/>
  <c r="G385" i="27"/>
  <c r="D385" i="27"/>
  <c r="C386" i="27"/>
  <c r="L385" i="27"/>
  <c r="I385" i="27"/>
  <c r="H385" i="27"/>
  <c r="F385" i="27"/>
  <c r="E385" i="27"/>
  <c r="M385" i="26"/>
  <c r="C386" i="26"/>
  <c r="G385" i="26"/>
  <c r="E385" i="26"/>
  <c r="N385" i="26"/>
  <c r="L385" i="26"/>
  <c r="K385" i="26"/>
  <c r="D385" i="26"/>
  <c r="I385" i="26"/>
  <c r="F385" i="26"/>
  <c r="H385" i="26"/>
  <c r="J385" i="26"/>
  <c r="J384" i="25"/>
  <c r="I384" i="25"/>
  <c r="H384" i="25"/>
  <c r="L384" i="25"/>
  <c r="K384" i="25"/>
  <c r="E384" i="25"/>
  <c r="D384" i="25"/>
  <c r="G384" i="25"/>
  <c r="F384" i="25"/>
  <c r="C385" i="25"/>
  <c r="N384" i="25"/>
  <c r="M384" i="25"/>
  <c r="N381" i="20"/>
  <c r="F381" i="20"/>
  <c r="M381" i="20"/>
  <c r="E381" i="20"/>
  <c r="L381" i="20"/>
  <c r="D381" i="20"/>
  <c r="K381" i="20"/>
  <c r="J381" i="20"/>
  <c r="I381" i="20"/>
  <c r="H381" i="20"/>
  <c r="G381" i="20"/>
  <c r="C382" i="20"/>
  <c r="J382" i="19"/>
  <c r="I382" i="19"/>
  <c r="H382" i="19"/>
  <c r="C383" i="19"/>
  <c r="G382" i="19"/>
  <c r="L382" i="19"/>
  <c r="D382" i="19"/>
  <c r="E382" i="19"/>
  <c r="M382" i="19"/>
  <c r="N382" i="19"/>
  <c r="F382" i="19"/>
  <c r="K382" i="19"/>
  <c r="N381" i="18"/>
  <c r="F381" i="18"/>
  <c r="L381" i="18"/>
  <c r="D381" i="18"/>
  <c r="K381" i="18"/>
  <c r="J381" i="18"/>
  <c r="I381" i="18"/>
  <c r="H381" i="18"/>
  <c r="G381" i="18"/>
  <c r="E381" i="18"/>
  <c r="C382" i="18"/>
  <c r="M381" i="18"/>
  <c r="K386" i="1" l="1"/>
  <c r="I386" i="1"/>
  <c r="G386" i="1"/>
  <c r="F386" i="1"/>
  <c r="E386" i="1"/>
  <c r="C387" i="1"/>
  <c r="M386" i="1"/>
  <c r="L386" i="1"/>
  <c r="D386" i="1"/>
  <c r="J386" i="1"/>
  <c r="H386" i="1"/>
  <c r="N386" i="1"/>
  <c r="D386" i="27"/>
  <c r="J386" i="27"/>
  <c r="G386" i="27"/>
  <c r="M386" i="27"/>
  <c r="C387" i="27"/>
  <c r="K386" i="27"/>
  <c r="I386" i="27"/>
  <c r="L386" i="27"/>
  <c r="H386" i="27"/>
  <c r="E386" i="27"/>
  <c r="N386" i="27"/>
  <c r="F386" i="27"/>
  <c r="E386" i="26"/>
  <c r="H386" i="26"/>
  <c r="G386" i="26"/>
  <c r="N386" i="26"/>
  <c r="J386" i="26"/>
  <c r="I386" i="26"/>
  <c r="C387" i="26"/>
  <c r="M386" i="26"/>
  <c r="L386" i="26"/>
  <c r="K386" i="26"/>
  <c r="F386" i="26"/>
  <c r="D386" i="26"/>
  <c r="N385" i="25"/>
  <c r="M385" i="25"/>
  <c r="F385" i="25"/>
  <c r="E385" i="25"/>
  <c r="C386" i="25"/>
  <c r="L385" i="25"/>
  <c r="K385" i="25"/>
  <c r="J385" i="25"/>
  <c r="I385" i="25"/>
  <c r="H385" i="25"/>
  <c r="G385" i="25"/>
  <c r="D385" i="25"/>
  <c r="J382" i="20"/>
  <c r="I382" i="20"/>
  <c r="H382" i="20"/>
  <c r="C383" i="20"/>
  <c r="G382" i="20"/>
  <c r="N382" i="20"/>
  <c r="F382" i="20"/>
  <c r="M382" i="20"/>
  <c r="E382" i="20"/>
  <c r="L382" i="20"/>
  <c r="D382" i="20"/>
  <c r="K382" i="20"/>
  <c r="N383" i="19"/>
  <c r="F383" i="19"/>
  <c r="M383" i="19"/>
  <c r="E383" i="19"/>
  <c r="L383" i="19"/>
  <c r="D383" i="19"/>
  <c r="K383" i="19"/>
  <c r="H383" i="19"/>
  <c r="C384" i="19"/>
  <c r="J383" i="19"/>
  <c r="G383" i="19"/>
  <c r="I383" i="19"/>
  <c r="J382" i="18"/>
  <c r="H382" i="18"/>
  <c r="C383" i="18"/>
  <c r="G382" i="18"/>
  <c r="N382" i="18"/>
  <c r="F382" i="18"/>
  <c r="M382" i="18"/>
  <c r="E382" i="18"/>
  <c r="L382" i="18"/>
  <c r="D382" i="18"/>
  <c r="K382" i="18"/>
  <c r="I382" i="18"/>
  <c r="J387" i="1" l="1"/>
  <c r="I387" i="1"/>
  <c r="F387" i="1"/>
  <c r="C388" i="1"/>
  <c r="H387" i="1"/>
  <c r="D387" i="1"/>
  <c r="L387" i="1"/>
  <c r="G387" i="1"/>
  <c r="N387" i="1"/>
  <c r="E387" i="1"/>
  <c r="M387" i="1"/>
  <c r="K387" i="1"/>
  <c r="F387" i="27"/>
  <c r="E387" i="27"/>
  <c r="J387" i="27"/>
  <c r="G387" i="27"/>
  <c r="C388" i="27"/>
  <c r="L387" i="27"/>
  <c r="H387" i="27"/>
  <c r="D387" i="27"/>
  <c r="N387" i="27"/>
  <c r="M387" i="27"/>
  <c r="K387" i="27"/>
  <c r="I387" i="27"/>
  <c r="E387" i="26"/>
  <c r="H387" i="26"/>
  <c r="K387" i="26"/>
  <c r="C388" i="26"/>
  <c r="N387" i="26"/>
  <c r="D387" i="26"/>
  <c r="G387" i="26"/>
  <c r="F387" i="26"/>
  <c r="M387" i="26"/>
  <c r="L387" i="26"/>
  <c r="J387" i="26"/>
  <c r="I387" i="26"/>
  <c r="D386" i="25"/>
  <c r="G386" i="25"/>
  <c r="F386" i="25"/>
  <c r="C387" i="25"/>
  <c r="N386" i="25"/>
  <c r="I386" i="25"/>
  <c r="H386" i="25"/>
  <c r="E386" i="25"/>
  <c r="M386" i="25"/>
  <c r="L386" i="25"/>
  <c r="K386" i="25"/>
  <c r="J386" i="25"/>
  <c r="N383" i="20"/>
  <c r="F383" i="20"/>
  <c r="M383" i="20"/>
  <c r="E383" i="20"/>
  <c r="L383" i="20"/>
  <c r="D383" i="20"/>
  <c r="K383" i="20"/>
  <c r="J383" i="20"/>
  <c r="I383" i="20"/>
  <c r="H383" i="20"/>
  <c r="G383" i="20"/>
  <c r="C384" i="20"/>
  <c r="J384" i="19"/>
  <c r="I384" i="19"/>
  <c r="H384" i="19"/>
  <c r="C385" i="19"/>
  <c r="G384" i="19"/>
  <c r="L384" i="19"/>
  <c r="D384" i="19"/>
  <c r="N384" i="19"/>
  <c r="K384" i="19"/>
  <c r="M384" i="19"/>
  <c r="F384" i="19"/>
  <c r="E384" i="19"/>
  <c r="N383" i="18"/>
  <c r="F383" i="18"/>
  <c r="L383" i="18"/>
  <c r="D383" i="18"/>
  <c r="K383" i="18"/>
  <c r="J383" i="18"/>
  <c r="I383" i="18"/>
  <c r="H383" i="18"/>
  <c r="C384" i="18"/>
  <c r="M383" i="18"/>
  <c r="G383" i="18"/>
  <c r="E383" i="18"/>
  <c r="G388" i="1" l="1"/>
  <c r="F388" i="1"/>
  <c r="C389" i="1"/>
  <c r="N388" i="1"/>
  <c r="E388" i="1"/>
  <c r="J388" i="1"/>
  <c r="M388" i="1"/>
  <c r="L388" i="1"/>
  <c r="K388" i="1"/>
  <c r="I388" i="1"/>
  <c r="H388" i="1"/>
  <c r="D388" i="1"/>
  <c r="J388" i="27"/>
  <c r="I388" i="27"/>
  <c r="M388" i="27"/>
  <c r="F388" i="27"/>
  <c r="C389" i="27"/>
  <c r="N388" i="27"/>
  <c r="L388" i="27"/>
  <c r="H388" i="27"/>
  <c r="K388" i="27"/>
  <c r="G388" i="27"/>
  <c r="E388" i="27"/>
  <c r="D388" i="27"/>
  <c r="I388" i="26"/>
  <c r="M388" i="26"/>
  <c r="C389" i="26"/>
  <c r="L388" i="26"/>
  <c r="J388" i="26"/>
  <c r="H388" i="26"/>
  <c r="G388" i="26"/>
  <c r="F388" i="26"/>
  <c r="E388" i="26"/>
  <c r="N388" i="26"/>
  <c r="K388" i="26"/>
  <c r="D388" i="26"/>
  <c r="F387" i="25"/>
  <c r="E387" i="25"/>
  <c r="J387" i="25"/>
  <c r="N387" i="25"/>
  <c r="M387" i="25"/>
  <c r="D387" i="25"/>
  <c r="C388" i="25"/>
  <c r="L387" i="25"/>
  <c r="K387" i="25"/>
  <c r="I387" i="25"/>
  <c r="H387" i="25"/>
  <c r="G387" i="25"/>
  <c r="J384" i="20"/>
  <c r="I384" i="20"/>
  <c r="H384" i="20"/>
  <c r="C385" i="20"/>
  <c r="G384" i="20"/>
  <c r="N384" i="20"/>
  <c r="F384" i="20"/>
  <c r="M384" i="20"/>
  <c r="E384" i="20"/>
  <c r="L384" i="20"/>
  <c r="D384" i="20"/>
  <c r="K384" i="20"/>
  <c r="N385" i="19"/>
  <c r="F385" i="19"/>
  <c r="M385" i="19"/>
  <c r="E385" i="19"/>
  <c r="L385" i="19"/>
  <c r="D385" i="19"/>
  <c r="K385" i="19"/>
  <c r="H385" i="19"/>
  <c r="J385" i="19"/>
  <c r="I385" i="19"/>
  <c r="C386" i="19"/>
  <c r="G385" i="19"/>
  <c r="J384" i="18"/>
  <c r="I384" i="18"/>
  <c r="H384" i="18"/>
  <c r="C385" i="18"/>
  <c r="G384" i="18"/>
  <c r="N384" i="18"/>
  <c r="F384" i="18"/>
  <c r="M384" i="18"/>
  <c r="E384" i="18"/>
  <c r="L384" i="18"/>
  <c r="D384" i="18"/>
  <c r="K384" i="18"/>
  <c r="K389" i="1" l="1"/>
  <c r="J389" i="1"/>
  <c r="H389" i="1"/>
  <c r="N389" i="1"/>
  <c r="G389" i="1"/>
  <c r="C390" i="1"/>
  <c r="I389" i="1"/>
  <c r="M389" i="1"/>
  <c r="F389" i="1"/>
  <c r="L389" i="1"/>
  <c r="E389" i="1"/>
  <c r="D389" i="1"/>
  <c r="N389" i="27"/>
  <c r="M389" i="27"/>
  <c r="D389" i="27"/>
  <c r="K389" i="27"/>
  <c r="J389" i="27"/>
  <c r="G389" i="27"/>
  <c r="I389" i="27"/>
  <c r="E389" i="27"/>
  <c r="C390" i="27"/>
  <c r="F389" i="27"/>
  <c r="L389" i="27"/>
  <c r="H389" i="27"/>
  <c r="M389" i="26"/>
  <c r="E389" i="26"/>
  <c r="J389" i="26"/>
  <c r="I389" i="26"/>
  <c r="C390" i="26"/>
  <c r="N389" i="26"/>
  <c r="L389" i="26"/>
  <c r="D389" i="26"/>
  <c r="H389" i="26"/>
  <c r="G389" i="26"/>
  <c r="F389" i="26"/>
  <c r="K389" i="26"/>
  <c r="J388" i="25"/>
  <c r="I388" i="25"/>
  <c r="N388" i="25"/>
  <c r="M388" i="25"/>
  <c r="H388" i="25"/>
  <c r="G388" i="25"/>
  <c r="F388" i="25"/>
  <c r="C389" i="25"/>
  <c r="L388" i="25"/>
  <c r="K388" i="25"/>
  <c r="E388" i="25"/>
  <c r="D388" i="25"/>
  <c r="N385" i="20"/>
  <c r="F385" i="20"/>
  <c r="M385" i="20"/>
  <c r="E385" i="20"/>
  <c r="L385" i="20"/>
  <c r="D385" i="20"/>
  <c r="K385" i="20"/>
  <c r="J385" i="20"/>
  <c r="I385" i="20"/>
  <c r="H385" i="20"/>
  <c r="C386" i="20"/>
  <c r="G385" i="20"/>
  <c r="J386" i="19"/>
  <c r="I386" i="19"/>
  <c r="H386" i="19"/>
  <c r="C387" i="19"/>
  <c r="G386" i="19"/>
  <c r="L386" i="19"/>
  <c r="D386" i="19"/>
  <c r="M386" i="19"/>
  <c r="F386" i="19"/>
  <c r="N386" i="19"/>
  <c r="K386" i="19"/>
  <c r="E386" i="19"/>
  <c r="N385" i="18"/>
  <c r="F385" i="18"/>
  <c r="M385" i="18"/>
  <c r="E385" i="18"/>
  <c r="L385" i="18"/>
  <c r="D385" i="18"/>
  <c r="K385" i="18"/>
  <c r="J385" i="18"/>
  <c r="I385" i="18"/>
  <c r="H385" i="18"/>
  <c r="C386" i="18"/>
  <c r="G385" i="18"/>
  <c r="E390" i="1" l="1"/>
  <c r="N390" i="1"/>
  <c r="I390" i="1"/>
  <c r="M390" i="1"/>
  <c r="L390" i="1"/>
  <c r="F390" i="1"/>
  <c r="K390" i="1"/>
  <c r="C391" i="1"/>
  <c r="J390" i="1"/>
  <c r="D390" i="1"/>
  <c r="G390" i="1"/>
  <c r="H390" i="1"/>
  <c r="J390" i="27"/>
  <c r="G390" i="27"/>
  <c r="D390" i="27"/>
  <c r="I390" i="27"/>
  <c r="H390" i="27"/>
  <c r="E390" i="27"/>
  <c r="F390" i="27"/>
  <c r="L390" i="27"/>
  <c r="K390" i="27"/>
  <c r="C391" i="27"/>
  <c r="N390" i="27"/>
  <c r="M390" i="27"/>
  <c r="F390" i="26"/>
  <c r="K390" i="26"/>
  <c r="M390" i="26"/>
  <c r="J390" i="26"/>
  <c r="L390" i="26"/>
  <c r="I390" i="26"/>
  <c r="C391" i="26"/>
  <c r="N390" i="26"/>
  <c r="H390" i="26"/>
  <c r="D390" i="26"/>
  <c r="G390" i="26"/>
  <c r="E390" i="26"/>
  <c r="N389" i="25"/>
  <c r="M389" i="25"/>
  <c r="D389" i="25"/>
  <c r="I389" i="25"/>
  <c r="H389" i="25"/>
  <c r="K389" i="25"/>
  <c r="J389" i="25"/>
  <c r="G389" i="25"/>
  <c r="F389" i="25"/>
  <c r="E389" i="25"/>
  <c r="C390" i="25"/>
  <c r="L389" i="25"/>
  <c r="J386" i="20"/>
  <c r="I386" i="20"/>
  <c r="H386" i="20"/>
  <c r="C387" i="20"/>
  <c r="G386" i="20"/>
  <c r="N386" i="20"/>
  <c r="F386" i="20"/>
  <c r="M386" i="20"/>
  <c r="E386" i="20"/>
  <c r="L386" i="20"/>
  <c r="D386" i="20"/>
  <c r="K386" i="20"/>
  <c r="N387" i="19"/>
  <c r="F387" i="19"/>
  <c r="M387" i="19"/>
  <c r="E387" i="19"/>
  <c r="L387" i="19"/>
  <c r="D387" i="19"/>
  <c r="K387" i="19"/>
  <c r="H387" i="19"/>
  <c r="I387" i="19"/>
  <c r="G387" i="19"/>
  <c r="C388" i="19"/>
  <c r="J387" i="19"/>
  <c r="J386" i="18"/>
  <c r="I386" i="18"/>
  <c r="H386" i="18"/>
  <c r="C387" i="18"/>
  <c r="G386" i="18"/>
  <c r="N386" i="18"/>
  <c r="F386" i="18"/>
  <c r="M386" i="18"/>
  <c r="E386" i="18"/>
  <c r="L386" i="18"/>
  <c r="D386" i="18"/>
  <c r="K386" i="18"/>
  <c r="L391" i="1" l="1"/>
  <c r="M391" i="1"/>
  <c r="K391" i="1"/>
  <c r="N391" i="1"/>
  <c r="F391" i="1"/>
  <c r="I391" i="1"/>
  <c r="J391" i="1"/>
  <c r="H391" i="1"/>
  <c r="G391" i="1"/>
  <c r="C392" i="1"/>
  <c r="E391" i="1"/>
  <c r="D391" i="1"/>
  <c r="F391" i="27"/>
  <c r="E391" i="27"/>
  <c r="M391" i="27"/>
  <c r="L391" i="27"/>
  <c r="I391" i="27"/>
  <c r="K391" i="27"/>
  <c r="G391" i="27"/>
  <c r="C392" i="27"/>
  <c r="H391" i="27"/>
  <c r="N391" i="27"/>
  <c r="J391" i="27"/>
  <c r="D391" i="27"/>
  <c r="E391" i="26"/>
  <c r="K391" i="26"/>
  <c r="F391" i="26"/>
  <c r="D391" i="26"/>
  <c r="C392" i="26"/>
  <c r="N391" i="26"/>
  <c r="M391" i="26"/>
  <c r="L391" i="26"/>
  <c r="J391" i="26"/>
  <c r="I391" i="26"/>
  <c r="H391" i="26"/>
  <c r="G391" i="26"/>
  <c r="J390" i="25"/>
  <c r="C391" i="25"/>
  <c r="L390" i="25"/>
  <c r="K390" i="25"/>
  <c r="I390" i="25"/>
  <c r="H390" i="25"/>
  <c r="G390" i="25"/>
  <c r="N390" i="25"/>
  <c r="M390" i="25"/>
  <c r="F390" i="25"/>
  <c r="E390" i="25"/>
  <c r="D390" i="25"/>
  <c r="N387" i="20"/>
  <c r="F387" i="20"/>
  <c r="M387" i="20"/>
  <c r="E387" i="20"/>
  <c r="L387" i="20"/>
  <c r="D387" i="20"/>
  <c r="K387" i="20"/>
  <c r="J387" i="20"/>
  <c r="I387" i="20"/>
  <c r="H387" i="20"/>
  <c r="C388" i="20"/>
  <c r="G387" i="20"/>
  <c r="J388" i="19"/>
  <c r="I388" i="19"/>
  <c r="H388" i="19"/>
  <c r="C389" i="19"/>
  <c r="G388" i="19"/>
  <c r="L388" i="19"/>
  <c r="D388" i="19"/>
  <c r="N388" i="19"/>
  <c r="K388" i="19"/>
  <c r="E388" i="19"/>
  <c r="F388" i="19"/>
  <c r="M388" i="19"/>
  <c r="N387" i="18"/>
  <c r="F387" i="18"/>
  <c r="M387" i="18"/>
  <c r="E387" i="18"/>
  <c r="L387" i="18"/>
  <c r="D387" i="18"/>
  <c r="K387" i="18"/>
  <c r="J387" i="18"/>
  <c r="I387" i="18"/>
  <c r="H387" i="18"/>
  <c r="C388" i="18"/>
  <c r="G387" i="18"/>
  <c r="L392" i="1" l="1"/>
  <c r="K392" i="1"/>
  <c r="J392" i="1"/>
  <c r="I392" i="1"/>
  <c r="H392" i="1"/>
  <c r="C393" i="1"/>
  <c r="D392" i="1"/>
  <c r="E392" i="1"/>
  <c r="F392" i="1"/>
  <c r="N392" i="1"/>
  <c r="M392" i="1"/>
  <c r="G392" i="1"/>
  <c r="J392" i="27"/>
  <c r="I392" i="27"/>
  <c r="D392" i="27"/>
  <c r="H392" i="27"/>
  <c r="E392" i="27"/>
  <c r="K392" i="27"/>
  <c r="G392" i="27"/>
  <c r="C393" i="27"/>
  <c r="N392" i="27"/>
  <c r="M392" i="27"/>
  <c r="L392" i="27"/>
  <c r="F392" i="27"/>
  <c r="I392" i="26"/>
  <c r="E392" i="26"/>
  <c r="M392" i="26"/>
  <c r="L392" i="26"/>
  <c r="K392" i="26"/>
  <c r="H392" i="26"/>
  <c r="C393" i="26"/>
  <c r="N392" i="26"/>
  <c r="J392" i="26"/>
  <c r="G392" i="26"/>
  <c r="F392" i="26"/>
  <c r="D392" i="26"/>
  <c r="F391" i="25"/>
  <c r="E391" i="25"/>
  <c r="D391" i="25"/>
  <c r="C392" i="25"/>
  <c r="N391" i="25"/>
  <c r="M391" i="25"/>
  <c r="L391" i="25"/>
  <c r="K391" i="25"/>
  <c r="J391" i="25"/>
  <c r="I391" i="25"/>
  <c r="H391" i="25"/>
  <c r="G391" i="25"/>
  <c r="J388" i="20"/>
  <c r="I388" i="20"/>
  <c r="H388" i="20"/>
  <c r="C389" i="20"/>
  <c r="G388" i="20"/>
  <c r="N388" i="20"/>
  <c r="F388" i="20"/>
  <c r="M388" i="20"/>
  <c r="E388" i="20"/>
  <c r="L388" i="20"/>
  <c r="D388" i="20"/>
  <c r="K388" i="20"/>
  <c r="N389" i="19"/>
  <c r="F389" i="19"/>
  <c r="M389" i="19"/>
  <c r="E389" i="19"/>
  <c r="L389" i="19"/>
  <c r="D389" i="19"/>
  <c r="K389" i="19"/>
  <c r="H389" i="19"/>
  <c r="G389" i="19"/>
  <c r="C390" i="19"/>
  <c r="I389" i="19"/>
  <c r="J389" i="19"/>
  <c r="J388" i="18"/>
  <c r="I388" i="18"/>
  <c r="H388" i="18"/>
  <c r="C389" i="18"/>
  <c r="G388" i="18"/>
  <c r="N388" i="18"/>
  <c r="F388" i="18"/>
  <c r="M388" i="18"/>
  <c r="E388" i="18"/>
  <c r="L388" i="18"/>
  <c r="D388" i="18"/>
  <c r="K388" i="18"/>
  <c r="K393" i="1" l="1"/>
  <c r="H393" i="1"/>
  <c r="J393" i="1"/>
  <c r="D393" i="1"/>
  <c r="N393" i="1"/>
  <c r="F393" i="1"/>
  <c r="L393" i="1"/>
  <c r="E393" i="1"/>
  <c r="C394" i="1"/>
  <c r="M393" i="1"/>
  <c r="I393" i="1"/>
  <c r="G393" i="1"/>
  <c r="N393" i="27"/>
  <c r="M393" i="27"/>
  <c r="J393" i="27"/>
  <c r="G393" i="27"/>
  <c r="I393" i="27"/>
  <c r="E393" i="27"/>
  <c r="L393" i="27"/>
  <c r="F393" i="27"/>
  <c r="C394" i="27"/>
  <c r="K393" i="27"/>
  <c r="D393" i="27"/>
  <c r="H393" i="27"/>
  <c r="M393" i="26"/>
  <c r="D393" i="26"/>
  <c r="K393" i="26"/>
  <c r="H393" i="26"/>
  <c r="G393" i="26"/>
  <c r="F393" i="26"/>
  <c r="I393" i="26"/>
  <c r="E393" i="26"/>
  <c r="N393" i="26"/>
  <c r="L393" i="26"/>
  <c r="J393" i="26"/>
  <c r="C394" i="26"/>
  <c r="J392" i="25"/>
  <c r="I392" i="25"/>
  <c r="D392" i="25"/>
  <c r="M392" i="25"/>
  <c r="L392" i="25"/>
  <c r="K392" i="25"/>
  <c r="H392" i="25"/>
  <c r="C393" i="25"/>
  <c r="N392" i="25"/>
  <c r="G392" i="25"/>
  <c r="F392" i="25"/>
  <c r="E392" i="25"/>
  <c r="N389" i="20"/>
  <c r="F389" i="20"/>
  <c r="M389" i="20"/>
  <c r="E389" i="20"/>
  <c r="L389" i="20"/>
  <c r="D389" i="20"/>
  <c r="K389" i="20"/>
  <c r="J389" i="20"/>
  <c r="I389" i="20"/>
  <c r="H389" i="20"/>
  <c r="C390" i="20"/>
  <c r="G389" i="20"/>
  <c r="J390" i="19"/>
  <c r="I390" i="19"/>
  <c r="H390" i="19"/>
  <c r="C391" i="19"/>
  <c r="G390" i="19"/>
  <c r="L390" i="19"/>
  <c r="D390" i="19"/>
  <c r="N390" i="19"/>
  <c r="M390" i="19"/>
  <c r="F390" i="19"/>
  <c r="K390" i="19"/>
  <c r="E390" i="19"/>
  <c r="N389" i="18"/>
  <c r="F389" i="18"/>
  <c r="M389" i="18"/>
  <c r="E389" i="18"/>
  <c r="L389" i="18"/>
  <c r="D389" i="18"/>
  <c r="K389" i="18"/>
  <c r="J389" i="18"/>
  <c r="I389" i="18"/>
  <c r="H389" i="18"/>
  <c r="G389" i="18"/>
  <c r="C390" i="18"/>
  <c r="L394" i="1" l="1"/>
  <c r="I394" i="1"/>
  <c r="C395" i="1"/>
  <c r="K394" i="1"/>
  <c r="N394" i="1"/>
  <c r="J394" i="1"/>
  <c r="F394" i="1"/>
  <c r="H394" i="1"/>
  <c r="M394" i="1"/>
  <c r="E394" i="1"/>
  <c r="G394" i="1"/>
  <c r="D394" i="1"/>
  <c r="M394" i="27"/>
  <c r="N394" i="27"/>
  <c r="F394" i="27"/>
  <c r="L394" i="27"/>
  <c r="I394" i="27"/>
  <c r="H394" i="27"/>
  <c r="D394" i="27"/>
  <c r="K394" i="27"/>
  <c r="E394" i="27"/>
  <c r="J394" i="27"/>
  <c r="G394" i="27"/>
  <c r="C395" i="27"/>
  <c r="I394" i="26"/>
  <c r="H394" i="26"/>
  <c r="G394" i="26"/>
  <c r="K394" i="26"/>
  <c r="F394" i="26"/>
  <c r="C395" i="26"/>
  <c r="N394" i="26"/>
  <c r="M394" i="26"/>
  <c r="L394" i="26"/>
  <c r="D394" i="26"/>
  <c r="J394" i="26"/>
  <c r="E394" i="26"/>
  <c r="N393" i="25"/>
  <c r="M393" i="25"/>
  <c r="J393" i="25"/>
  <c r="C394" i="25"/>
  <c r="L393" i="25"/>
  <c r="K393" i="25"/>
  <c r="I393" i="25"/>
  <c r="H393" i="25"/>
  <c r="G393" i="25"/>
  <c r="F393" i="25"/>
  <c r="E393" i="25"/>
  <c r="D393" i="25"/>
  <c r="J390" i="20"/>
  <c r="I390" i="20"/>
  <c r="H390" i="20"/>
  <c r="C391" i="20"/>
  <c r="G390" i="20"/>
  <c r="N390" i="20"/>
  <c r="F390" i="20"/>
  <c r="M390" i="20"/>
  <c r="E390" i="20"/>
  <c r="L390" i="20"/>
  <c r="D390" i="20"/>
  <c r="K390" i="20"/>
  <c r="N391" i="19"/>
  <c r="F391" i="19"/>
  <c r="M391" i="19"/>
  <c r="E391" i="19"/>
  <c r="L391" i="19"/>
  <c r="D391" i="19"/>
  <c r="K391" i="19"/>
  <c r="H391" i="19"/>
  <c r="J391" i="19"/>
  <c r="C392" i="19"/>
  <c r="I391" i="19"/>
  <c r="G391" i="19"/>
  <c r="J390" i="18"/>
  <c r="I390" i="18"/>
  <c r="H390" i="18"/>
  <c r="C391" i="18"/>
  <c r="G390" i="18"/>
  <c r="N390" i="18"/>
  <c r="F390" i="18"/>
  <c r="M390" i="18"/>
  <c r="E390" i="18"/>
  <c r="L390" i="18"/>
  <c r="D390" i="18"/>
  <c r="K390" i="18"/>
  <c r="I395" i="1" l="1"/>
  <c r="H395" i="1"/>
  <c r="C396" i="1"/>
  <c r="G395" i="1"/>
  <c r="F395" i="1"/>
  <c r="L395" i="1"/>
  <c r="E395" i="1"/>
  <c r="K395" i="1"/>
  <c r="D395" i="1"/>
  <c r="J395" i="1"/>
  <c r="N395" i="1"/>
  <c r="M395" i="1"/>
  <c r="F395" i="27"/>
  <c r="E395" i="27"/>
  <c r="D395" i="27"/>
  <c r="H395" i="27"/>
  <c r="L395" i="27"/>
  <c r="I395" i="27"/>
  <c r="C396" i="27"/>
  <c r="K395" i="27"/>
  <c r="J395" i="27"/>
  <c r="N395" i="27"/>
  <c r="M395" i="27"/>
  <c r="G395" i="27"/>
  <c r="E395" i="26"/>
  <c r="N395" i="26"/>
  <c r="F395" i="26"/>
  <c r="C396" i="26"/>
  <c r="K395" i="26"/>
  <c r="J395" i="26"/>
  <c r="I395" i="26"/>
  <c r="M395" i="26"/>
  <c r="L395" i="26"/>
  <c r="H395" i="26"/>
  <c r="G395" i="26"/>
  <c r="D395" i="26"/>
  <c r="H394" i="25"/>
  <c r="G394" i="25"/>
  <c r="J394" i="25"/>
  <c r="I394" i="25"/>
  <c r="N394" i="25"/>
  <c r="M394" i="25"/>
  <c r="L394" i="25"/>
  <c r="C395" i="25"/>
  <c r="K394" i="25"/>
  <c r="F394" i="25"/>
  <c r="E394" i="25"/>
  <c r="D394" i="25"/>
  <c r="N391" i="20"/>
  <c r="F391" i="20"/>
  <c r="M391" i="20"/>
  <c r="E391" i="20"/>
  <c r="L391" i="20"/>
  <c r="D391" i="20"/>
  <c r="K391" i="20"/>
  <c r="J391" i="20"/>
  <c r="I391" i="20"/>
  <c r="H391" i="20"/>
  <c r="C392" i="20"/>
  <c r="G391" i="20"/>
  <c r="J392" i="19"/>
  <c r="I392" i="19"/>
  <c r="H392" i="19"/>
  <c r="C393" i="19"/>
  <c r="G392" i="19"/>
  <c r="L392" i="19"/>
  <c r="D392" i="19"/>
  <c r="M392" i="19"/>
  <c r="K392" i="19"/>
  <c r="E392" i="19"/>
  <c r="N392" i="19"/>
  <c r="F392" i="19"/>
  <c r="N391" i="18"/>
  <c r="F391" i="18"/>
  <c r="M391" i="18"/>
  <c r="E391" i="18"/>
  <c r="L391" i="18"/>
  <c r="D391" i="18"/>
  <c r="K391" i="18"/>
  <c r="J391" i="18"/>
  <c r="I391" i="18"/>
  <c r="H391" i="18"/>
  <c r="C392" i="18"/>
  <c r="G391" i="18"/>
  <c r="G396" i="1" l="1"/>
  <c r="F396" i="1"/>
  <c r="E396" i="1"/>
  <c r="J396" i="1"/>
  <c r="N396" i="1"/>
  <c r="M396" i="1"/>
  <c r="H396" i="1"/>
  <c r="D396" i="1"/>
  <c r="L396" i="1"/>
  <c r="K396" i="1"/>
  <c r="I396" i="1"/>
  <c r="C397" i="1"/>
  <c r="J396" i="27"/>
  <c r="I396" i="27"/>
  <c r="L396" i="27"/>
  <c r="G396" i="27"/>
  <c r="M396" i="27"/>
  <c r="F396" i="27"/>
  <c r="C397" i="27"/>
  <c r="N396" i="27"/>
  <c r="K396" i="27"/>
  <c r="H396" i="27"/>
  <c r="E396" i="27"/>
  <c r="D396" i="27"/>
  <c r="I396" i="26"/>
  <c r="L396" i="26"/>
  <c r="D396" i="26"/>
  <c r="H396" i="26"/>
  <c r="F396" i="26"/>
  <c r="C397" i="26"/>
  <c r="G396" i="26"/>
  <c r="E396" i="26"/>
  <c r="N396" i="26"/>
  <c r="M396" i="26"/>
  <c r="K396" i="26"/>
  <c r="J396" i="26"/>
  <c r="F395" i="25"/>
  <c r="E395" i="25"/>
  <c r="D395" i="25"/>
  <c r="C396" i="25"/>
  <c r="N395" i="25"/>
  <c r="M395" i="25"/>
  <c r="L395" i="25"/>
  <c r="K395" i="25"/>
  <c r="J395" i="25"/>
  <c r="I395" i="25"/>
  <c r="H395" i="25"/>
  <c r="G395" i="25"/>
  <c r="J392" i="20"/>
  <c r="I392" i="20"/>
  <c r="H392" i="20"/>
  <c r="C393" i="20"/>
  <c r="G392" i="20"/>
  <c r="N392" i="20"/>
  <c r="F392" i="20"/>
  <c r="M392" i="20"/>
  <c r="E392" i="20"/>
  <c r="L392" i="20"/>
  <c r="D392" i="20"/>
  <c r="K392" i="20"/>
  <c r="N393" i="19"/>
  <c r="F393" i="19"/>
  <c r="M393" i="19"/>
  <c r="E393" i="19"/>
  <c r="L393" i="19"/>
  <c r="D393" i="19"/>
  <c r="K393" i="19"/>
  <c r="H393" i="19"/>
  <c r="C394" i="19"/>
  <c r="I393" i="19"/>
  <c r="J393" i="19"/>
  <c r="G393" i="19"/>
  <c r="J392" i="18"/>
  <c r="I392" i="18"/>
  <c r="H392" i="18"/>
  <c r="C393" i="18"/>
  <c r="G392" i="18"/>
  <c r="N392" i="18"/>
  <c r="F392" i="18"/>
  <c r="M392" i="18"/>
  <c r="E392" i="18"/>
  <c r="L392" i="18"/>
  <c r="D392" i="18"/>
  <c r="K392" i="18"/>
  <c r="D397" i="1" l="1"/>
  <c r="C398" i="1"/>
  <c r="J397" i="1"/>
  <c r="I397" i="1"/>
  <c r="G397" i="1"/>
  <c r="E397" i="1"/>
  <c r="H397" i="1"/>
  <c r="N397" i="1"/>
  <c r="M397" i="1"/>
  <c r="K397" i="1"/>
  <c r="L397" i="1"/>
  <c r="F397" i="1"/>
  <c r="N397" i="27"/>
  <c r="M397" i="27"/>
  <c r="C398" i="27"/>
  <c r="D397" i="27"/>
  <c r="J397" i="27"/>
  <c r="G397" i="27"/>
  <c r="I397" i="27"/>
  <c r="E397" i="27"/>
  <c r="K397" i="27"/>
  <c r="H397" i="27"/>
  <c r="L397" i="27"/>
  <c r="F397" i="27"/>
  <c r="M397" i="26"/>
  <c r="G397" i="26"/>
  <c r="K397" i="26"/>
  <c r="J397" i="26"/>
  <c r="D397" i="26"/>
  <c r="C398" i="26"/>
  <c r="N397" i="26"/>
  <c r="L397" i="26"/>
  <c r="I397" i="26"/>
  <c r="H397" i="26"/>
  <c r="F397" i="26"/>
  <c r="E397" i="26"/>
  <c r="J396" i="25"/>
  <c r="I396" i="25"/>
  <c r="L396" i="25"/>
  <c r="G396" i="25"/>
  <c r="F396" i="25"/>
  <c r="C397" i="25"/>
  <c r="N396" i="25"/>
  <c r="M396" i="25"/>
  <c r="K396" i="25"/>
  <c r="D396" i="25"/>
  <c r="H396" i="25"/>
  <c r="E396" i="25"/>
  <c r="N393" i="20"/>
  <c r="F393" i="20"/>
  <c r="M393" i="20"/>
  <c r="E393" i="20"/>
  <c r="L393" i="20"/>
  <c r="D393" i="20"/>
  <c r="K393" i="20"/>
  <c r="J393" i="20"/>
  <c r="I393" i="20"/>
  <c r="H393" i="20"/>
  <c r="C394" i="20"/>
  <c r="G393" i="20"/>
  <c r="J394" i="19"/>
  <c r="I394" i="19"/>
  <c r="H394" i="19"/>
  <c r="C395" i="19"/>
  <c r="G394" i="19"/>
  <c r="L394" i="19"/>
  <c r="D394" i="19"/>
  <c r="K394" i="19"/>
  <c r="F394" i="19"/>
  <c r="N394" i="19"/>
  <c r="M394" i="19"/>
  <c r="E394" i="19"/>
  <c r="N393" i="18"/>
  <c r="F393" i="18"/>
  <c r="M393" i="18"/>
  <c r="E393" i="18"/>
  <c r="L393" i="18"/>
  <c r="D393" i="18"/>
  <c r="K393" i="18"/>
  <c r="J393" i="18"/>
  <c r="I393" i="18"/>
  <c r="H393" i="18"/>
  <c r="C394" i="18"/>
  <c r="G393" i="18"/>
  <c r="L398" i="1" l="1"/>
  <c r="C399" i="1"/>
  <c r="F398" i="1"/>
  <c r="K398" i="1"/>
  <c r="H398" i="1"/>
  <c r="E398" i="1"/>
  <c r="J398" i="1"/>
  <c r="N398" i="1"/>
  <c r="M398" i="1"/>
  <c r="G398" i="1"/>
  <c r="D398" i="1"/>
  <c r="I398" i="1"/>
  <c r="F398" i="27"/>
  <c r="L398" i="27"/>
  <c r="I398" i="27"/>
  <c r="K398" i="27"/>
  <c r="G398" i="27"/>
  <c r="M398" i="27"/>
  <c r="J398" i="27"/>
  <c r="C399" i="27"/>
  <c r="N398" i="27"/>
  <c r="H398" i="27"/>
  <c r="E398" i="27"/>
  <c r="D398" i="27"/>
  <c r="L398" i="26"/>
  <c r="F398" i="26"/>
  <c r="G398" i="26"/>
  <c r="D398" i="26"/>
  <c r="C399" i="26"/>
  <c r="E398" i="26"/>
  <c r="N398" i="26"/>
  <c r="M398" i="26"/>
  <c r="K398" i="26"/>
  <c r="J398" i="26"/>
  <c r="I398" i="26"/>
  <c r="H398" i="26"/>
  <c r="N397" i="25"/>
  <c r="M397" i="25"/>
  <c r="J397" i="25"/>
  <c r="I397" i="25"/>
  <c r="D397" i="25"/>
  <c r="H397" i="25"/>
  <c r="G397" i="25"/>
  <c r="F397" i="25"/>
  <c r="E397" i="25"/>
  <c r="C398" i="25"/>
  <c r="L397" i="25"/>
  <c r="K397" i="25"/>
  <c r="J394" i="20"/>
  <c r="I394" i="20"/>
  <c r="H394" i="20"/>
  <c r="C395" i="20"/>
  <c r="G394" i="20"/>
  <c r="N394" i="20"/>
  <c r="F394" i="20"/>
  <c r="M394" i="20"/>
  <c r="E394" i="20"/>
  <c r="L394" i="20"/>
  <c r="D394" i="20"/>
  <c r="K394" i="20"/>
  <c r="N395" i="19"/>
  <c r="F395" i="19"/>
  <c r="M395" i="19"/>
  <c r="E395" i="19"/>
  <c r="L395" i="19"/>
  <c r="D395" i="19"/>
  <c r="K395" i="19"/>
  <c r="H395" i="19"/>
  <c r="J395" i="19"/>
  <c r="G395" i="19"/>
  <c r="I395" i="19"/>
  <c r="C396" i="19"/>
  <c r="J394" i="18"/>
  <c r="I394" i="18"/>
  <c r="H394" i="18"/>
  <c r="C395" i="18"/>
  <c r="G394" i="18"/>
  <c r="N394" i="18"/>
  <c r="F394" i="18"/>
  <c r="M394" i="18"/>
  <c r="E394" i="18"/>
  <c r="L394" i="18"/>
  <c r="D394" i="18"/>
  <c r="K394" i="18"/>
  <c r="D399" i="1" l="1"/>
  <c r="J399" i="1"/>
  <c r="I399" i="1"/>
  <c r="K399" i="1"/>
  <c r="H399" i="1"/>
  <c r="C400" i="1"/>
  <c r="F399" i="1"/>
  <c r="M399" i="1"/>
  <c r="E399" i="1"/>
  <c r="N399" i="1"/>
  <c r="G399" i="1"/>
  <c r="L399" i="1"/>
  <c r="F399" i="27"/>
  <c r="E399" i="27"/>
  <c r="L399" i="27"/>
  <c r="I399" i="27"/>
  <c r="K399" i="27"/>
  <c r="G399" i="27"/>
  <c r="M399" i="27"/>
  <c r="J399" i="27"/>
  <c r="H399" i="27"/>
  <c r="D399" i="27"/>
  <c r="C400" i="27"/>
  <c r="N399" i="27"/>
  <c r="E399" i="26"/>
  <c r="L399" i="26"/>
  <c r="G399" i="26"/>
  <c r="F399" i="26"/>
  <c r="N399" i="26"/>
  <c r="D399" i="26"/>
  <c r="H399" i="26"/>
  <c r="C400" i="26"/>
  <c r="M399" i="26"/>
  <c r="K399" i="26"/>
  <c r="J399" i="26"/>
  <c r="I399" i="26"/>
  <c r="F398" i="25"/>
  <c r="G398" i="25"/>
  <c r="E398" i="25"/>
  <c r="C399" i="25"/>
  <c r="N398" i="25"/>
  <c r="M398" i="25"/>
  <c r="L398" i="25"/>
  <c r="K398" i="25"/>
  <c r="J398" i="25"/>
  <c r="I398" i="25"/>
  <c r="H398" i="25"/>
  <c r="D398" i="25"/>
  <c r="N395" i="20"/>
  <c r="F395" i="20"/>
  <c r="M395" i="20"/>
  <c r="E395" i="20"/>
  <c r="L395" i="20"/>
  <c r="D395" i="20"/>
  <c r="K395" i="20"/>
  <c r="J395" i="20"/>
  <c r="I395" i="20"/>
  <c r="H395" i="20"/>
  <c r="C396" i="20"/>
  <c r="G395" i="20"/>
  <c r="J396" i="19"/>
  <c r="I396" i="19"/>
  <c r="H396" i="19"/>
  <c r="C397" i="19"/>
  <c r="G396" i="19"/>
  <c r="L396" i="19"/>
  <c r="D396" i="19"/>
  <c r="F396" i="19"/>
  <c r="E396" i="19"/>
  <c r="N396" i="19"/>
  <c r="K396" i="19"/>
  <c r="M396" i="19"/>
  <c r="N395" i="18"/>
  <c r="F395" i="18"/>
  <c r="M395" i="18"/>
  <c r="E395" i="18"/>
  <c r="L395" i="18"/>
  <c r="D395" i="18"/>
  <c r="K395" i="18"/>
  <c r="J395" i="18"/>
  <c r="I395" i="18"/>
  <c r="H395" i="18"/>
  <c r="C396" i="18"/>
  <c r="G395" i="18"/>
  <c r="J400" i="1" l="1"/>
  <c r="F400" i="1"/>
  <c r="N400" i="1"/>
  <c r="M400" i="1"/>
  <c r="I400" i="1"/>
  <c r="C401" i="1"/>
  <c r="H400" i="1"/>
  <c r="L400" i="1"/>
  <c r="G400" i="1"/>
  <c r="E400" i="1"/>
  <c r="D400" i="1"/>
  <c r="K400" i="1"/>
  <c r="J400" i="27"/>
  <c r="I400" i="27"/>
  <c r="C401" i="27"/>
  <c r="H400" i="27"/>
  <c r="E400" i="27"/>
  <c r="N400" i="27"/>
  <c r="K400" i="27"/>
  <c r="D400" i="27"/>
  <c r="L400" i="27"/>
  <c r="G400" i="27"/>
  <c r="M400" i="27"/>
  <c r="F400" i="27"/>
  <c r="I400" i="26"/>
  <c r="E400" i="26"/>
  <c r="N400" i="26"/>
  <c r="M400" i="26"/>
  <c r="D400" i="26"/>
  <c r="J400" i="26"/>
  <c r="H400" i="26"/>
  <c r="G400" i="26"/>
  <c r="L400" i="26"/>
  <c r="K400" i="26"/>
  <c r="F400" i="26"/>
  <c r="C401" i="26"/>
  <c r="F399" i="25"/>
  <c r="E399" i="25"/>
  <c r="L399" i="25"/>
  <c r="G399" i="25"/>
  <c r="D399" i="25"/>
  <c r="C400" i="25"/>
  <c r="N399" i="25"/>
  <c r="M399" i="25"/>
  <c r="K399" i="25"/>
  <c r="J399" i="25"/>
  <c r="I399" i="25"/>
  <c r="H399" i="25"/>
  <c r="J396" i="20"/>
  <c r="I396" i="20"/>
  <c r="H396" i="20"/>
  <c r="C397" i="20"/>
  <c r="G396" i="20"/>
  <c r="N396" i="20"/>
  <c r="F396" i="20"/>
  <c r="M396" i="20"/>
  <c r="E396" i="20"/>
  <c r="L396" i="20"/>
  <c r="D396" i="20"/>
  <c r="K396" i="20"/>
  <c r="N397" i="19"/>
  <c r="F397" i="19"/>
  <c r="M397" i="19"/>
  <c r="E397" i="19"/>
  <c r="L397" i="19"/>
  <c r="D397" i="19"/>
  <c r="K397" i="19"/>
  <c r="H397" i="19"/>
  <c r="C398" i="19"/>
  <c r="I397" i="19"/>
  <c r="J397" i="19"/>
  <c r="G397" i="19"/>
  <c r="J396" i="18"/>
  <c r="I396" i="18"/>
  <c r="H396" i="18"/>
  <c r="C397" i="18"/>
  <c r="G396" i="18"/>
  <c r="N396" i="18"/>
  <c r="F396" i="18"/>
  <c r="M396" i="18"/>
  <c r="E396" i="18"/>
  <c r="L396" i="18"/>
  <c r="D396" i="18"/>
  <c r="K396" i="18"/>
  <c r="M401" i="1" l="1"/>
  <c r="L401" i="1"/>
  <c r="G401" i="1"/>
  <c r="J401" i="1"/>
  <c r="E401" i="1"/>
  <c r="D401" i="1"/>
  <c r="K401" i="1"/>
  <c r="I401" i="1"/>
  <c r="H401" i="1"/>
  <c r="N401" i="1"/>
  <c r="C402" i="1"/>
  <c r="F401" i="1"/>
  <c r="N401" i="27"/>
  <c r="M401" i="27"/>
  <c r="F401" i="27"/>
  <c r="C402" i="27"/>
  <c r="J401" i="27"/>
  <c r="G401" i="27"/>
  <c r="L401" i="27"/>
  <c r="K401" i="27"/>
  <c r="E401" i="27"/>
  <c r="D401" i="27"/>
  <c r="I401" i="27"/>
  <c r="H401" i="27"/>
  <c r="M401" i="26"/>
  <c r="J401" i="26"/>
  <c r="F401" i="26"/>
  <c r="C402" i="26"/>
  <c r="L401" i="26"/>
  <c r="G401" i="26"/>
  <c r="E401" i="26"/>
  <c r="N401" i="26"/>
  <c r="K401" i="26"/>
  <c r="I401" i="26"/>
  <c r="H401" i="26"/>
  <c r="D401" i="26"/>
  <c r="J400" i="25"/>
  <c r="I400" i="25"/>
  <c r="N400" i="25"/>
  <c r="M400" i="25"/>
  <c r="D400" i="25"/>
  <c r="E400" i="25"/>
  <c r="K400" i="25"/>
  <c r="H400" i="25"/>
  <c r="G400" i="25"/>
  <c r="F400" i="25"/>
  <c r="C401" i="25"/>
  <c r="L400" i="25"/>
  <c r="N397" i="20"/>
  <c r="F397" i="20"/>
  <c r="M397" i="20"/>
  <c r="E397" i="20"/>
  <c r="L397" i="20"/>
  <c r="D397" i="20"/>
  <c r="K397" i="20"/>
  <c r="J397" i="20"/>
  <c r="I397" i="20"/>
  <c r="H397" i="20"/>
  <c r="G397" i="20"/>
  <c r="C398" i="20"/>
  <c r="J398" i="19"/>
  <c r="I398" i="19"/>
  <c r="H398" i="19"/>
  <c r="C399" i="19"/>
  <c r="G398" i="19"/>
  <c r="L398" i="19"/>
  <c r="D398" i="19"/>
  <c r="E398" i="19"/>
  <c r="M398" i="19"/>
  <c r="N398" i="19"/>
  <c r="K398" i="19"/>
  <c r="F398" i="19"/>
  <c r="N397" i="18"/>
  <c r="F397" i="18"/>
  <c r="M397" i="18"/>
  <c r="E397" i="18"/>
  <c r="L397" i="18"/>
  <c r="D397" i="18"/>
  <c r="K397" i="18"/>
  <c r="J397" i="18"/>
  <c r="I397" i="18"/>
  <c r="H397" i="18"/>
  <c r="C398" i="18"/>
  <c r="G397" i="18"/>
  <c r="H402" i="1" l="1"/>
  <c r="M402" i="1"/>
  <c r="G402" i="1"/>
  <c r="K402" i="1"/>
  <c r="D402" i="1"/>
  <c r="C403" i="1"/>
  <c r="J402" i="1"/>
  <c r="F402" i="1"/>
  <c r="L402" i="1"/>
  <c r="E402" i="1"/>
  <c r="I402" i="1"/>
  <c r="N402" i="1"/>
  <c r="L402" i="27"/>
  <c r="I402" i="27"/>
  <c r="F402" i="27"/>
  <c r="M402" i="27"/>
  <c r="K402" i="27"/>
  <c r="G402" i="27"/>
  <c r="E402" i="27"/>
  <c r="C403" i="27"/>
  <c r="N402" i="27"/>
  <c r="J402" i="27"/>
  <c r="H402" i="27"/>
  <c r="D402" i="27"/>
  <c r="C403" i="26"/>
  <c r="L402" i="26"/>
  <c r="I402" i="26"/>
  <c r="H402" i="26"/>
  <c r="N402" i="26"/>
  <c r="M402" i="26"/>
  <c r="K402" i="26"/>
  <c r="E402" i="26"/>
  <c r="D402" i="26"/>
  <c r="J402" i="26"/>
  <c r="F402" i="26"/>
  <c r="G402" i="26"/>
  <c r="N401" i="25"/>
  <c r="M401" i="25"/>
  <c r="F401" i="25"/>
  <c r="C402" i="25"/>
  <c r="L401" i="25"/>
  <c r="G401" i="25"/>
  <c r="E401" i="25"/>
  <c r="D401" i="25"/>
  <c r="K401" i="25"/>
  <c r="J401" i="25"/>
  <c r="I401" i="25"/>
  <c r="H401" i="25"/>
  <c r="J398" i="20"/>
  <c r="I398" i="20"/>
  <c r="H398" i="20"/>
  <c r="C399" i="20"/>
  <c r="G398" i="20"/>
  <c r="N398" i="20"/>
  <c r="F398" i="20"/>
  <c r="M398" i="20"/>
  <c r="E398" i="20"/>
  <c r="L398" i="20"/>
  <c r="D398" i="20"/>
  <c r="K398" i="20"/>
  <c r="N399" i="19"/>
  <c r="F399" i="19"/>
  <c r="M399" i="19"/>
  <c r="E399" i="19"/>
  <c r="L399" i="19"/>
  <c r="D399" i="19"/>
  <c r="K399" i="19"/>
  <c r="H399" i="19"/>
  <c r="C400" i="19"/>
  <c r="J399" i="19"/>
  <c r="G399" i="19"/>
  <c r="I399" i="19"/>
  <c r="J398" i="18"/>
  <c r="I398" i="18"/>
  <c r="H398" i="18"/>
  <c r="C399" i="18"/>
  <c r="G398" i="18"/>
  <c r="N398" i="18"/>
  <c r="F398" i="18"/>
  <c r="M398" i="18"/>
  <c r="E398" i="18"/>
  <c r="L398" i="18"/>
  <c r="D398" i="18"/>
  <c r="K398" i="18"/>
  <c r="M403" i="1" l="1"/>
  <c r="C404" i="1"/>
  <c r="L403" i="1"/>
  <c r="J403" i="1"/>
  <c r="N403" i="1"/>
  <c r="I403" i="1"/>
  <c r="E403" i="1"/>
  <c r="H403" i="1"/>
  <c r="G403" i="1"/>
  <c r="F403" i="1"/>
  <c r="D403" i="1"/>
  <c r="K403" i="1"/>
  <c r="F403" i="27"/>
  <c r="E403" i="27"/>
  <c r="C404" i="27"/>
  <c r="N403" i="27"/>
  <c r="K403" i="27"/>
  <c r="J403" i="27"/>
  <c r="G403" i="27"/>
  <c r="D403" i="27"/>
  <c r="L403" i="27"/>
  <c r="I403" i="27"/>
  <c r="M403" i="27"/>
  <c r="H403" i="27"/>
  <c r="E403" i="26"/>
  <c r="C404" i="26"/>
  <c r="L403" i="26"/>
  <c r="J403" i="26"/>
  <c r="H403" i="26"/>
  <c r="G403" i="26"/>
  <c r="N403" i="26"/>
  <c r="M403" i="26"/>
  <c r="K403" i="26"/>
  <c r="I403" i="26"/>
  <c r="F403" i="26"/>
  <c r="D403" i="26"/>
  <c r="L402" i="25"/>
  <c r="I402" i="25"/>
  <c r="H402" i="25"/>
  <c r="K402" i="25"/>
  <c r="J402" i="25"/>
  <c r="G402" i="25"/>
  <c r="F402" i="25"/>
  <c r="E402" i="25"/>
  <c r="D402" i="25"/>
  <c r="C403" i="25"/>
  <c r="N402" i="25"/>
  <c r="M402" i="25"/>
  <c r="N399" i="20"/>
  <c r="F399" i="20"/>
  <c r="M399" i="20"/>
  <c r="E399" i="20"/>
  <c r="L399" i="20"/>
  <c r="D399" i="20"/>
  <c r="K399" i="20"/>
  <c r="J399" i="20"/>
  <c r="I399" i="20"/>
  <c r="H399" i="20"/>
  <c r="G399" i="20"/>
  <c r="C400" i="20"/>
  <c r="J400" i="19"/>
  <c r="I400" i="19"/>
  <c r="H400" i="19"/>
  <c r="C401" i="19"/>
  <c r="G400" i="19"/>
  <c r="L400" i="19"/>
  <c r="D400" i="19"/>
  <c r="E400" i="19"/>
  <c r="N400" i="19"/>
  <c r="K400" i="19"/>
  <c r="F400" i="19"/>
  <c r="M400" i="19"/>
  <c r="N399" i="18"/>
  <c r="F399" i="18"/>
  <c r="M399" i="18"/>
  <c r="E399" i="18"/>
  <c r="L399" i="18"/>
  <c r="D399" i="18"/>
  <c r="K399" i="18"/>
  <c r="J399" i="18"/>
  <c r="I399" i="18"/>
  <c r="H399" i="18"/>
  <c r="C400" i="18"/>
  <c r="G399" i="18"/>
  <c r="H404" i="1" l="1"/>
  <c r="G404" i="1"/>
  <c r="C405" i="1"/>
  <c r="F404" i="1"/>
  <c r="K404" i="1"/>
  <c r="I404" i="1"/>
  <c r="E404" i="1"/>
  <c r="J404" i="1"/>
  <c r="N404" i="1"/>
  <c r="D404" i="1"/>
  <c r="M404" i="1"/>
  <c r="L404" i="1"/>
  <c r="J404" i="27"/>
  <c r="I404" i="27"/>
  <c r="F404" i="27"/>
  <c r="C405" i="27"/>
  <c r="M404" i="27"/>
  <c r="L404" i="27"/>
  <c r="N404" i="27"/>
  <c r="K404" i="27"/>
  <c r="H404" i="27"/>
  <c r="E404" i="27"/>
  <c r="D404" i="27"/>
  <c r="G404" i="27"/>
  <c r="I404" i="26"/>
  <c r="H404" i="26"/>
  <c r="F404" i="26"/>
  <c r="D404" i="26"/>
  <c r="C405" i="26"/>
  <c r="N404" i="26"/>
  <c r="M404" i="26"/>
  <c r="L404" i="26"/>
  <c r="K404" i="26"/>
  <c r="J404" i="26"/>
  <c r="G404" i="26"/>
  <c r="E404" i="26"/>
  <c r="F403" i="25"/>
  <c r="E403" i="25"/>
  <c r="C404" i="25"/>
  <c r="L403" i="25"/>
  <c r="K403" i="25"/>
  <c r="H403" i="25"/>
  <c r="G403" i="25"/>
  <c r="D403" i="25"/>
  <c r="N403" i="25"/>
  <c r="M403" i="25"/>
  <c r="J403" i="25"/>
  <c r="I403" i="25"/>
  <c r="J400" i="20"/>
  <c r="I400" i="20"/>
  <c r="H400" i="20"/>
  <c r="C401" i="20"/>
  <c r="G400" i="20"/>
  <c r="N400" i="20"/>
  <c r="F400" i="20"/>
  <c r="M400" i="20"/>
  <c r="E400" i="20"/>
  <c r="L400" i="20"/>
  <c r="D400" i="20"/>
  <c r="K400" i="20"/>
  <c r="N401" i="19"/>
  <c r="F401" i="19"/>
  <c r="M401" i="19"/>
  <c r="E401" i="19"/>
  <c r="L401" i="19"/>
  <c r="D401" i="19"/>
  <c r="K401" i="19"/>
  <c r="H401" i="19"/>
  <c r="C402" i="19"/>
  <c r="J401" i="19"/>
  <c r="I401" i="19"/>
  <c r="G401" i="19"/>
  <c r="J400" i="18"/>
  <c r="I400" i="18"/>
  <c r="H400" i="18"/>
  <c r="C401" i="18"/>
  <c r="G400" i="18"/>
  <c r="N400" i="18"/>
  <c r="F400" i="18"/>
  <c r="M400" i="18"/>
  <c r="E400" i="18"/>
  <c r="L400" i="18"/>
  <c r="D400" i="18"/>
  <c r="K400" i="18"/>
  <c r="J405" i="1" l="1"/>
  <c r="Y58" i="1" s="1"/>
  <c r="H405" i="1"/>
  <c r="W58" i="1" s="1"/>
  <c r="I405" i="1"/>
  <c r="K405" i="1"/>
  <c r="M405" i="1"/>
  <c r="N405" i="1"/>
  <c r="L405" i="1"/>
  <c r="D405" i="1"/>
  <c r="E405" i="1"/>
  <c r="F405" i="1"/>
  <c r="G405" i="1"/>
  <c r="V50" i="1"/>
  <c r="AC50" i="1"/>
  <c r="S50" i="1"/>
  <c r="X50" i="1"/>
  <c r="W50" i="1"/>
  <c r="T50" i="1"/>
  <c r="U50" i="1"/>
  <c r="S51" i="1"/>
  <c r="T51" i="1"/>
  <c r="Y50" i="1"/>
  <c r="U16" i="1"/>
  <c r="AB50" i="1"/>
  <c r="Z50" i="1"/>
  <c r="AA50" i="1"/>
  <c r="T48" i="1"/>
  <c r="U17" i="1"/>
  <c r="AA40" i="1"/>
  <c r="X48" i="1"/>
  <c r="AC27" i="1"/>
  <c r="Z34" i="1"/>
  <c r="AC26" i="1"/>
  <c r="Y38" i="1"/>
  <c r="V33" i="1"/>
  <c r="Z49" i="1"/>
  <c r="W14" i="1"/>
  <c r="Z23" i="1"/>
  <c r="X52" i="1"/>
  <c r="Z45" i="1"/>
  <c r="X41" i="1"/>
  <c r="AA22" i="1"/>
  <c r="V40" i="1"/>
  <c r="S22" i="1"/>
  <c r="AA53" i="1"/>
  <c r="Z46" i="1"/>
  <c r="Y23" i="1"/>
  <c r="Y42" i="1"/>
  <c r="U32" i="1"/>
  <c r="U13" i="1"/>
  <c r="AB42" i="1"/>
  <c r="AC11" i="1"/>
  <c r="W34" i="1"/>
  <c r="AA55" i="1"/>
  <c r="AC31" i="1"/>
  <c r="Z6" i="1"/>
  <c r="X24" i="1"/>
  <c r="X12" i="1"/>
  <c r="Z48" i="1"/>
  <c r="U14" i="1"/>
  <c r="V20" i="1"/>
  <c r="S12" i="1"/>
  <c r="S39" i="1"/>
  <c r="S16" i="1"/>
  <c r="AC47" i="1"/>
  <c r="X46" i="1"/>
  <c r="V15" i="1"/>
  <c r="T16" i="1"/>
  <c r="AC23" i="1"/>
  <c r="AA23" i="1"/>
  <c r="Z20" i="1"/>
  <c r="Z57" i="1"/>
  <c r="Y45" i="1"/>
  <c r="T19" i="1"/>
  <c r="V31" i="1"/>
  <c r="V22" i="1"/>
  <c r="U41" i="1"/>
  <c r="AC14" i="1"/>
  <c r="V37" i="1"/>
  <c r="W33" i="1"/>
  <c r="AA8" i="1"/>
  <c r="U39" i="1"/>
  <c r="Y6" i="1"/>
  <c r="X29" i="1"/>
  <c r="V42" i="1"/>
  <c r="U36" i="1"/>
  <c r="AB17" i="1"/>
  <c r="U23" i="1"/>
  <c r="X32" i="1"/>
  <c r="S44" i="1"/>
  <c r="Y36" i="1"/>
  <c r="AB28" i="1"/>
  <c r="V55" i="1"/>
  <c r="W44" i="1"/>
  <c r="AB30" i="1"/>
  <c r="U57" i="1"/>
  <c r="Y52" i="1"/>
  <c r="AA43" i="1"/>
  <c r="Y53" i="1"/>
  <c r="AA18" i="1"/>
  <c r="X25" i="1"/>
  <c r="V45" i="1"/>
  <c r="W7" i="1"/>
  <c r="U44" i="1"/>
  <c r="AA37" i="1"/>
  <c r="V6" i="1"/>
  <c r="U45" i="1"/>
  <c r="Y29" i="1"/>
  <c r="AB16" i="1"/>
  <c r="V16" i="1"/>
  <c r="Y33" i="1"/>
  <c r="W54" i="1"/>
  <c r="V18" i="1"/>
  <c r="W12" i="1"/>
  <c r="U30" i="1"/>
  <c r="W41" i="1"/>
  <c r="U7" i="1"/>
  <c r="AC21" i="1"/>
  <c r="AA48" i="1"/>
  <c r="S53" i="1"/>
  <c r="S21" i="1"/>
  <c r="AB24" i="1"/>
  <c r="AA20" i="1"/>
  <c r="X33" i="1"/>
  <c r="Y15" i="1"/>
  <c r="V43" i="1"/>
  <c r="T10" i="1"/>
  <c r="X9" i="1"/>
  <c r="AA36" i="1"/>
  <c r="Z9" i="1"/>
  <c r="U25" i="1"/>
  <c r="S29" i="1"/>
  <c r="V56" i="1"/>
  <c r="U48" i="1"/>
  <c r="W35" i="1"/>
  <c r="Y12" i="1"/>
  <c r="Z39" i="1"/>
  <c r="T43" i="1"/>
  <c r="W28" i="1"/>
  <c r="T27" i="1"/>
  <c r="S36" i="1"/>
  <c r="V25" i="1"/>
  <c r="T34" i="1"/>
  <c r="W39" i="1"/>
  <c r="Y34" i="1"/>
  <c r="S28" i="1"/>
  <c r="AC22" i="1"/>
  <c r="S27" i="1"/>
  <c r="W36" i="1"/>
  <c r="Y39" i="1"/>
  <c r="Y46" i="1"/>
  <c r="W27" i="1"/>
  <c r="T25" i="1"/>
  <c r="V9" i="1"/>
  <c r="W53" i="1"/>
  <c r="AC16" i="1"/>
  <c r="Z30" i="1"/>
  <c r="Z28" i="1"/>
  <c r="AC29" i="1"/>
  <c r="T56" i="1"/>
  <c r="W21" i="1"/>
  <c r="W6" i="1"/>
  <c r="AC40" i="1"/>
  <c r="Z16" i="1"/>
  <c r="Y49" i="1"/>
  <c r="X55" i="1"/>
  <c r="AA45" i="1"/>
  <c r="AA52" i="1"/>
  <c r="AB15" i="1"/>
  <c r="W18" i="1"/>
  <c r="AA30" i="1"/>
  <c r="U34" i="1"/>
  <c r="AB29" i="1"/>
  <c r="T29" i="1"/>
  <c r="AB49" i="1"/>
  <c r="T45" i="1"/>
  <c r="AB34" i="1"/>
  <c r="V10" i="1"/>
  <c r="AC54" i="1"/>
  <c r="Y7" i="1"/>
  <c r="V8" i="1"/>
  <c r="S55" i="1"/>
  <c r="V46" i="1"/>
  <c r="U12" i="1"/>
  <c r="AC37" i="1"/>
  <c r="AB13" i="1"/>
  <c r="AA38" i="1"/>
  <c r="W37" i="1"/>
  <c r="U18" i="1"/>
  <c r="S30" i="1"/>
  <c r="U46" i="1"/>
  <c r="V44" i="1"/>
  <c r="V19" i="1"/>
  <c r="V57" i="1"/>
  <c r="U31" i="1"/>
  <c r="W29" i="1"/>
  <c r="AC19" i="1"/>
  <c r="S57" i="1"/>
  <c r="S17" i="1"/>
  <c r="AB47" i="1"/>
  <c r="AB9" i="1"/>
  <c r="Z10" i="1"/>
  <c r="Z14" i="1"/>
  <c r="AA56" i="1"/>
  <c r="T6" i="1"/>
  <c r="Y41" i="1"/>
  <c r="V32" i="1"/>
  <c r="Y16" i="1"/>
  <c r="X17" i="1"/>
  <c r="V47" i="1"/>
  <c r="Y56" i="1"/>
  <c r="S10" i="1"/>
  <c r="AA6" i="1"/>
  <c r="U49" i="1"/>
  <c r="V27" i="1"/>
  <c r="Y27" i="1"/>
  <c r="AA10" i="1"/>
  <c r="T26" i="1"/>
  <c r="W23" i="1"/>
  <c r="T7" i="1"/>
  <c r="AC30" i="1"/>
  <c r="Z36" i="1"/>
  <c r="Y43" i="1"/>
  <c r="Y35" i="1"/>
  <c r="U42" i="1"/>
  <c r="Z40" i="1"/>
  <c r="AA33" i="1"/>
  <c r="Y40" i="1"/>
  <c r="T14" i="1"/>
  <c r="Z47" i="1"/>
  <c r="S18" i="1"/>
  <c r="W26" i="1"/>
  <c r="T24" i="1"/>
  <c r="AC41" i="1"/>
  <c r="X11" i="1"/>
  <c r="Y37" i="1"/>
  <c r="W9" i="1"/>
  <c r="AC57" i="1"/>
  <c r="V53" i="1"/>
  <c r="Z37" i="1"/>
  <c r="V17" i="1"/>
  <c r="AC10" i="1"/>
  <c r="AB10" i="1"/>
  <c r="Z31" i="1"/>
  <c r="S56" i="1"/>
  <c r="AC55" i="1"/>
  <c r="AB22" i="1"/>
  <c r="Y14" i="1"/>
  <c r="T15" i="1"/>
  <c r="S32" i="1"/>
  <c r="AB14" i="1"/>
  <c r="Z43" i="1"/>
  <c r="W22" i="1"/>
  <c r="AB48" i="1"/>
  <c r="T49" i="1"/>
  <c r="S20" i="1"/>
  <c r="Z25" i="1"/>
  <c r="Z15" i="1"/>
  <c r="W20" i="1"/>
  <c r="Y25" i="1"/>
  <c r="U40" i="1"/>
  <c r="U37" i="1"/>
  <c r="U8" i="1"/>
  <c r="S41" i="1"/>
  <c r="T21" i="1"/>
  <c r="AA11" i="1"/>
  <c r="V39" i="1"/>
  <c r="T46" i="1"/>
  <c r="Z27" i="1"/>
  <c r="AC8" i="1"/>
  <c r="Y11" i="1"/>
  <c r="AA35" i="1"/>
  <c r="W56" i="1"/>
  <c r="W13" i="1"/>
  <c r="X35" i="1"/>
  <c r="T38" i="1"/>
  <c r="AC25" i="1"/>
  <c r="AC18" i="1"/>
  <c r="S49" i="1"/>
  <c r="U11" i="1"/>
  <c r="X19" i="1"/>
  <c r="T22" i="1"/>
  <c r="V26" i="1"/>
  <c r="X30" i="1"/>
  <c r="W46" i="1"/>
  <c r="T41" i="1"/>
  <c r="V38" i="1"/>
  <c r="AA32" i="1"/>
  <c r="AA24" i="1"/>
  <c r="AB46" i="1"/>
  <c r="AB56" i="1"/>
  <c r="S14" i="1"/>
  <c r="X28" i="1"/>
  <c r="T13" i="1"/>
  <c r="AB37" i="1"/>
  <c r="AA7" i="1"/>
  <c r="T36" i="1"/>
  <c r="U15" i="1"/>
  <c r="U9" i="1"/>
  <c r="AA57" i="1"/>
  <c r="U53" i="1"/>
  <c r="V41" i="1"/>
  <c r="Z11" i="1"/>
  <c r="S24" i="1"/>
  <c r="AB43" i="1"/>
  <c r="Y24" i="1"/>
  <c r="X42" i="1"/>
  <c r="AC35" i="1"/>
  <c r="V11" i="1"/>
  <c r="AA15" i="1"/>
  <c r="T20" i="1"/>
  <c r="Y48" i="1"/>
  <c r="S37" i="1"/>
  <c r="U26" i="1"/>
  <c r="Y54" i="1"/>
  <c r="AB6" i="1"/>
  <c r="S46" i="1"/>
  <c r="X40" i="1"/>
  <c r="Z12" i="1"/>
  <c r="AC12" i="1"/>
  <c r="Y18" i="1"/>
  <c r="AA21" i="1"/>
  <c r="AB36" i="1"/>
  <c r="AC6" i="1"/>
  <c r="V12" i="1"/>
  <c r="AC42" i="1"/>
  <c r="AC33" i="1"/>
  <c r="Y32" i="1"/>
  <c r="T23" i="1"/>
  <c r="AA44" i="1"/>
  <c r="Z18" i="1"/>
  <c r="AC9" i="1"/>
  <c r="X44" i="1"/>
  <c r="T33" i="1"/>
  <c r="AB12" i="1"/>
  <c r="V24" i="1"/>
  <c r="AC38" i="1"/>
  <c r="V29" i="1"/>
  <c r="Z17" i="1"/>
  <c r="AB8" i="1"/>
  <c r="S35" i="1"/>
  <c r="X18" i="1"/>
  <c r="Y10" i="1"/>
  <c r="AC34" i="1"/>
  <c r="S34" i="1"/>
  <c r="S11" i="1"/>
  <c r="X16" i="1"/>
  <c r="U47" i="1"/>
  <c r="S33" i="1"/>
  <c r="Z21" i="1"/>
  <c r="W47" i="1"/>
  <c r="X38" i="1"/>
  <c r="X54" i="1"/>
  <c r="AC49" i="1"/>
  <c r="Z53" i="1"/>
  <c r="V52" i="1"/>
  <c r="X6" i="1"/>
  <c r="AB53" i="1"/>
  <c r="Z13" i="1"/>
  <c r="AB11" i="1"/>
  <c r="AA14" i="1"/>
  <c r="AA29" i="1"/>
  <c r="T44" i="1"/>
  <c r="Z8" i="1"/>
  <c r="Z26" i="1"/>
  <c r="AA26" i="1"/>
  <c r="Z22" i="1"/>
  <c r="T9" i="1"/>
  <c r="V30" i="1"/>
  <c r="W31" i="1"/>
  <c r="S9" i="1"/>
  <c r="AC45" i="1"/>
  <c r="Z35" i="1"/>
  <c r="AA42" i="1"/>
  <c r="AB40" i="1"/>
  <c r="Y55" i="1"/>
  <c r="AA54" i="1"/>
  <c r="X39" i="1"/>
  <c r="W8" i="1"/>
  <c r="AC24" i="1"/>
  <c r="AA13" i="1"/>
  <c r="X37" i="1"/>
  <c r="V14" i="1"/>
  <c r="T8" i="1"/>
  <c r="S38" i="1"/>
  <c r="Y30" i="1"/>
  <c r="Z54" i="1"/>
  <c r="W17" i="1"/>
  <c r="AB21" i="1"/>
  <c r="X22" i="1"/>
  <c r="AA49" i="1"/>
  <c r="W45" i="1"/>
  <c r="S47" i="1"/>
  <c r="Z42" i="1"/>
  <c r="AB44" i="1"/>
  <c r="T12" i="1"/>
  <c r="Z19" i="1"/>
  <c r="X56" i="1"/>
  <c r="S26" i="1"/>
  <c r="T54" i="1"/>
  <c r="U29" i="1"/>
  <c r="W48" i="1"/>
  <c r="AC17" i="1"/>
  <c r="V34" i="1"/>
  <c r="Y28" i="1"/>
  <c r="AA9" i="1"/>
  <c r="AC28" i="1"/>
  <c r="AB18" i="1"/>
  <c r="U22" i="1"/>
  <c r="T18" i="1"/>
  <c r="T17" i="1"/>
  <c r="AC13" i="1"/>
  <c r="V23" i="1"/>
  <c r="AA41" i="1"/>
  <c r="X14" i="1"/>
  <c r="Y20" i="1"/>
  <c r="AA17" i="1"/>
  <c r="AB52" i="1"/>
  <c r="U54" i="1"/>
  <c r="Z24" i="1"/>
  <c r="S25" i="1"/>
  <c r="W38" i="1"/>
  <c r="U35" i="1"/>
  <c r="W19" i="1"/>
  <c r="T47" i="1"/>
  <c r="W11" i="1"/>
  <c r="Y47" i="1"/>
  <c r="V28" i="1"/>
  <c r="S7" i="1"/>
  <c r="Z7" i="1"/>
  <c r="S15" i="1"/>
  <c r="T40" i="1"/>
  <c r="Y8" i="1"/>
  <c r="AC7" i="1"/>
  <c r="U43" i="1"/>
  <c r="T55" i="1"/>
  <c r="V7" i="1"/>
  <c r="Y13" i="1"/>
  <c r="X23" i="1"/>
  <c r="V48" i="1"/>
  <c r="T57" i="1"/>
  <c r="Y17" i="1"/>
  <c r="Y57" i="1"/>
  <c r="U38" i="1"/>
  <c r="V36" i="1"/>
  <c r="U6" i="1"/>
  <c r="AB7" i="1"/>
  <c r="U55" i="1"/>
  <c r="AB32" i="1"/>
  <c r="U10" i="1"/>
  <c r="V13" i="1"/>
  <c r="W55" i="1"/>
  <c r="AB54" i="1"/>
  <c r="W16" i="1"/>
  <c r="U19" i="1"/>
  <c r="X27" i="1"/>
  <c r="AB26" i="1"/>
  <c r="S13" i="1"/>
  <c r="Z33" i="1"/>
  <c r="T53" i="1"/>
  <c r="Z29" i="1"/>
  <c r="Y44" i="1"/>
  <c r="Z32" i="1"/>
  <c r="U20" i="1"/>
  <c r="AC48" i="1"/>
  <c r="W24" i="1"/>
  <c r="AB57" i="1"/>
  <c r="S42" i="1"/>
  <c r="S19" i="1"/>
  <c r="AB33" i="1"/>
  <c r="AA31" i="1"/>
  <c r="AB25" i="1"/>
  <c r="W42" i="1"/>
  <c r="U27" i="1"/>
  <c r="S54" i="1"/>
  <c r="X49" i="1"/>
  <c r="Y22" i="1"/>
  <c r="X7" i="1"/>
  <c r="S8" i="1"/>
  <c r="X8" i="1"/>
  <c r="X36" i="1"/>
  <c r="W43" i="1"/>
  <c r="U33" i="1"/>
  <c r="X26" i="1"/>
  <c r="X20" i="1"/>
  <c r="S48" i="1"/>
  <c r="AB31" i="1"/>
  <c r="X45" i="1"/>
  <c r="T32" i="1"/>
  <c r="U52" i="1"/>
  <c r="T30" i="1"/>
  <c r="X47" i="1"/>
  <c r="U56" i="1"/>
  <c r="T28" i="1"/>
  <c r="X31" i="1"/>
  <c r="AB39" i="1"/>
  <c r="X53" i="1"/>
  <c r="Y9" i="1"/>
  <c r="W57" i="1"/>
  <c r="V35" i="1"/>
  <c r="U21" i="1"/>
  <c r="AB27" i="1"/>
  <c r="V49" i="1"/>
  <c r="T35" i="1"/>
  <c r="AC56" i="1"/>
  <c r="X15" i="1"/>
  <c r="Y26" i="1"/>
  <c r="AB35" i="1"/>
  <c r="S6" i="1"/>
  <c r="W30" i="1"/>
  <c r="Z56" i="1"/>
  <c r="V54" i="1"/>
  <c r="T11" i="1"/>
  <c r="X21" i="1"/>
  <c r="AA46" i="1"/>
  <c r="X13" i="1"/>
  <c r="W49" i="1"/>
  <c r="AA34" i="1"/>
  <c r="AA16" i="1"/>
  <c r="AB23" i="1"/>
  <c r="Z44" i="1"/>
  <c r="AB38" i="1"/>
  <c r="T42" i="1"/>
  <c r="AC44" i="1"/>
  <c r="X43" i="1"/>
  <c r="AA25" i="1"/>
  <c r="AB55" i="1"/>
  <c r="Y21" i="1"/>
  <c r="T39" i="1"/>
  <c r="S31" i="1"/>
  <c r="X10" i="1"/>
  <c r="S40" i="1"/>
  <c r="Z41" i="1"/>
  <c r="AC36" i="1"/>
  <c r="Y19" i="1"/>
  <c r="AC43" i="1"/>
  <c r="AA27" i="1"/>
  <c r="AB45" i="1"/>
  <c r="Z55" i="1"/>
  <c r="AA12" i="1"/>
  <c r="AC53" i="1"/>
  <c r="AC46" i="1"/>
  <c r="T52" i="1"/>
  <c r="V21" i="1"/>
  <c r="AA19" i="1"/>
  <c r="S45" i="1"/>
  <c r="W25" i="1"/>
  <c r="Z38" i="1"/>
  <c r="AA47" i="1"/>
  <c r="AB20" i="1"/>
  <c r="U28" i="1"/>
  <c r="W15" i="1"/>
  <c r="AC32" i="1"/>
  <c r="AC39" i="1"/>
  <c r="AC20" i="1"/>
  <c r="T31" i="1"/>
  <c r="U24" i="1"/>
  <c r="T37" i="1"/>
  <c r="AA28" i="1"/>
  <c r="W10" i="1"/>
  <c r="W32" i="1"/>
  <c r="W40" i="1"/>
  <c r="AA39" i="1"/>
  <c r="AB19" i="1"/>
  <c r="X57" i="1"/>
  <c r="S23" i="1"/>
  <c r="AB41" i="1"/>
  <c r="S43" i="1"/>
  <c r="AC15" i="1"/>
  <c r="X34" i="1"/>
  <c r="Y31" i="1"/>
  <c r="N405" i="27"/>
  <c r="AC58" i="27" s="1"/>
  <c r="M405" i="27"/>
  <c r="AB58" i="27" s="1"/>
  <c r="L405" i="27"/>
  <c r="AA58" i="27" s="1"/>
  <c r="I405" i="27"/>
  <c r="X58" i="27" s="1"/>
  <c r="K405" i="27"/>
  <c r="Z58" i="27" s="1"/>
  <c r="G405" i="27"/>
  <c r="V58" i="27" s="1"/>
  <c r="J405" i="27"/>
  <c r="Y58" i="27" s="1"/>
  <c r="E405" i="27"/>
  <c r="AI17" i="27" s="1"/>
  <c r="AC74" i="24" s="1"/>
  <c r="H405" i="27"/>
  <c r="W58" i="27" s="1"/>
  <c r="F405" i="27"/>
  <c r="U58" i="27" s="1"/>
  <c r="D405" i="27"/>
  <c r="S58" i="27" s="1"/>
  <c r="V6" i="27"/>
  <c r="AB6" i="27"/>
  <c r="T6" i="27"/>
  <c r="Z6" i="27"/>
  <c r="X6" i="27"/>
  <c r="AC6" i="27"/>
  <c r="T7" i="27"/>
  <c r="Y6" i="27"/>
  <c r="T8" i="27"/>
  <c r="AB8" i="27"/>
  <c r="X9" i="27"/>
  <c r="AC8" i="27"/>
  <c r="V8" i="27"/>
  <c r="AB9" i="27"/>
  <c r="AA9" i="27"/>
  <c r="Z8" i="27"/>
  <c r="T9" i="27"/>
  <c r="U6" i="27"/>
  <c r="AC9" i="27"/>
  <c r="W6" i="27"/>
  <c r="Y9" i="27"/>
  <c r="U8" i="27"/>
  <c r="AA6" i="27"/>
  <c r="Y10" i="27"/>
  <c r="S9" i="27"/>
  <c r="Y12" i="27"/>
  <c r="W9" i="27"/>
  <c r="W8" i="27"/>
  <c r="Y8" i="27"/>
  <c r="U9" i="27"/>
  <c r="S10" i="27"/>
  <c r="X8" i="27"/>
  <c r="Z9" i="27"/>
  <c r="S8" i="27"/>
  <c r="Z10" i="27"/>
  <c r="V13" i="27"/>
  <c r="U10" i="27"/>
  <c r="V10" i="27"/>
  <c r="AC10" i="27"/>
  <c r="V9" i="27"/>
  <c r="AA8" i="27"/>
  <c r="X11" i="27"/>
  <c r="AC11" i="27"/>
  <c r="AB11" i="27"/>
  <c r="U11" i="27"/>
  <c r="Y11" i="27"/>
  <c r="U12" i="27"/>
  <c r="Z12" i="27"/>
  <c r="S11" i="27"/>
  <c r="X10" i="27"/>
  <c r="AB10" i="27"/>
  <c r="X12" i="27"/>
  <c r="AA12" i="27"/>
  <c r="W12" i="27"/>
  <c r="AC13" i="27"/>
  <c r="W10" i="27"/>
  <c r="T12" i="27"/>
  <c r="V12" i="27"/>
  <c r="T10" i="27"/>
  <c r="AA11" i="27"/>
  <c r="AC12" i="27"/>
  <c r="S12" i="27"/>
  <c r="AB13" i="27"/>
  <c r="T13" i="27"/>
  <c r="Z11" i="27"/>
  <c r="AA10" i="27"/>
  <c r="V11" i="27"/>
  <c r="AA14" i="27"/>
  <c r="X13" i="27"/>
  <c r="Y13" i="27"/>
  <c r="Z14" i="27"/>
  <c r="U13" i="27"/>
  <c r="S14" i="27"/>
  <c r="AA13" i="27"/>
  <c r="AB12" i="27"/>
  <c r="U14" i="27"/>
  <c r="AC14" i="27"/>
  <c r="W14" i="27"/>
  <c r="AB14" i="27"/>
  <c r="T14" i="27"/>
  <c r="X14" i="27"/>
  <c r="T11" i="27"/>
  <c r="Y14" i="27"/>
  <c r="W11" i="27"/>
  <c r="S13" i="27"/>
  <c r="W13" i="27"/>
  <c r="Z13" i="27"/>
  <c r="V14" i="27"/>
  <c r="X16" i="27"/>
  <c r="W16" i="27"/>
  <c r="AA18" i="27"/>
  <c r="U16" i="27"/>
  <c r="AA19" i="27"/>
  <c r="V16" i="27"/>
  <c r="T16" i="27"/>
  <c r="Y15" i="27"/>
  <c r="AC16" i="27"/>
  <c r="Z16" i="27"/>
  <c r="W15" i="27"/>
  <c r="AA16" i="27"/>
  <c r="S15" i="27"/>
  <c r="AA15" i="27"/>
  <c r="V15" i="27"/>
  <c r="T15" i="27"/>
  <c r="Y16" i="27"/>
  <c r="X15" i="27"/>
  <c r="AB15" i="27"/>
  <c r="Z15" i="27"/>
  <c r="U15" i="27"/>
  <c r="S16" i="27"/>
  <c r="AC15" i="27"/>
  <c r="AB16" i="27"/>
  <c r="AA17" i="27"/>
  <c r="Y17" i="27"/>
  <c r="AC18" i="27"/>
  <c r="T18" i="27"/>
  <c r="Y18" i="27"/>
  <c r="Z18" i="27"/>
  <c r="S17" i="27"/>
  <c r="W17" i="27"/>
  <c r="Z17" i="27"/>
  <c r="W18" i="27"/>
  <c r="V17" i="27"/>
  <c r="AC17" i="27"/>
  <c r="X17" i="27"/>
  <c r="AA20" i="27"/>
  <c r="AB17" i="27"/>
  <c r="U17" i="27"/>
  <c r="X18" i="27"/>
  <c r="W19" i="27"/>
  <c r="AB18" i="27"/>
  <c r="T17" i="27"/>
  <c r="S18" i="27"/>
  <c r="U18" i="27"/>
  <c r="U19" i="27"/>
  <c r="V18" i="27"/>
  <c r="AC20" i="27"/>
  <c r="AB21" i="27"/>
  <c r="T20" i="27"/>
  <c r="Y20" i="27"/>
  <c r="S20" i="27"/>
  <c r="X19" i="27"/>
  <c r="Y19" i="27"/>
  <c r="U20" i="27"/>
  <c r="AC19" i="27"/>
  <c r="V20" i="27"/>
  <c r="T19" i="27"/>
  <c r="AB20" i="27"/>
  <c r="V19" i="27"/>
  <c r="W20" i="27"/>
  <c r="S19" i="27"/>
  <c r="X20" i="27"/>
  <c r="AB19" i="27"/>
  <c r="Z20" i="27"/>
  <c r="Z19" i="27"/>
  <c r="W21" i="27"/>
  <c r="AC21" i="27"/>
  <c r="Y21" i="27"/>
  <c r="V24" i="27"/>
  <c r="S21" i="27"/>
  <c r="AA21" i="27"/>
  <c r="V21" i="27"/>
  <c r="X21" i="27"/>
  <c r="U21" i="27"/>
  <c r="AA23" i="27"/>
  <c r="Z21" i="27"/>
  <c r="V23" i="27"/>
  <c r="W23" i="27"/>
  <c r="T21" i="27"/>
  <c r="X25" i="27"/>
  <c r="U23" i="27"/>
  <c r="AA22" i="27"/>
  <c r="Y22" i="27"/>
  <c r="S22" i="27"/>
  <c r="T23" i="27"/>
  <c r="T22" i="27"/>
  <c r="Y23" i="27"/>
  <c r="W22" i="27"/>
  <c r="AC23" i="27"/>
  <c r="AB22" i="27"/>
  <c r="X22" i="27"/>
  <c r="Z23" i="27"/>
  <c r="S24" i="27"/>
  <c r="U22" i="27"/>
  <c r="AB24" i="27"/>
  <c r="Z22" i="27"/>
  <c r="X23" i="27"/>
  <c r="AC22" i="27"/>
  <c r="V22" i="27"/>
  <c r="W24" i="27"/>
  <c r="S23" i="27"/>
  <c r="U25" i="27"/>
  <c r="AB23" i="27"/>
  <c r="W25" i="27"/>
  <c r="AB25" i="27"/>
  <c r="X24" i="27"/>
  <c r="T25" i="27"/>
  <c r="AC24" i="27"/>
  <c r="U24" i="27"/>
  <c r="Y24" i="27"/>
  <c r="S25" i="27"/>
  <c r="AC25" i="27"/>
  <c r="Z25" i="27"/>
  <c r="X26" i="27"/>
  <c r="AB27" i="27"/>
  <c r="V25" i="27"/>
  <c r="AA25" i="27"/>
  <c r="X27" i="27"/>
  <c r="T24" i="27"/>
  <c r="AC26" i="27"/>
  <c r="Z26" i="27"/>
  <c r="W27" i="27"/>
  <c r="S26" i="27"/>
  <c r="T26" i="27"/>
  <c r="Z27" i="27"/>
  <c r="AA24" i="27"/>
  <c r="AA26" i="27"/>
  <c r="V26" i="27"/>
  <c r="U27" i="27"/>
  <c r="U26" i="27"/>
  <c r="Z24" i="27"/>
  <c r="AC27" i="27"/>
  <c r="W26" i="27"/>
  <c r="Y25" i="27"/>
  <c r="Y26" i="27"/>
  <c r="U28" i="27"/>
  <c r="Y27" i="27"/>
  <c r="S27" i="27"/>
  <c r="V27" i="27"/>
  <c r="S28" i="27"/>
  <c r="AA27" i="27"/>
  <c r="T27" i="27"/>
  <c r="V30" i="27"/>
  <c r="Z29" i="27"/>
  <c r="V29" i="27"/>
  <c r="V28" i="27"/>
  <c r="AC28" i="27"/>
  <c r="AA28" i="27"/>
  <c r="AA29" i="27"/>
  <c r="AB26" i="27"/>
  <c r="AB28" i="27"/>
  <c r="Y28" i="27"/>
  <c r="T28" i="27"/>
  <c r="Z30" i="27"/>
  <c r="S30" i="27"/>
  <c r="S29" i="27"/>
  <c r="W29" i="27"/>
  <c r="X28" i="27"/>
  <c r="Z28" i="27"/>
  <c r="U29" i="27"/>
  <c r="AB29" i="27"/>
  <c r="U30" i="27"/>
  <c r="AB30" i="27"/>
  <c r="X30" i="27"/>
  <c r="AC30" i="27"/>
  <c r="Y30" i="27"/>
  <c r="T29" i="27"/>
  <c r="X29" i="27"/>
  <c r="AA30" i="27"/>
  <c r="AC29" i="27"/>
  <c r="W30" i="27"/>
  <c r="T30" i="27"/>
  <c r="W28" i="27"/>
  <c r="Y29" i="27"/>
  <c r="X31" i="27"/>
  <c r="S31" i="27"/>
  <c r="AC31" i="27"/>
  <c r="S32" i="27"/>
  <c r="W31" i="27"/>
  <c r="AB31" i="27"/>
  <c r="U31" i="27"/>
  <c r="Y31" i="27"/>
  <c r="AA31" i="27"/>
  <c r="Z31" i="27"/>
  <c r="Z34" i="27"/>
  <c r="Y32" i="27"/>
  <c r="V31" i="27"/>
  <c r="T31" i="27"/>
  <c r="Y33" i="27"/>
  <c r="T33" i="27"/>
  <c r="W33" i="27"/>
  <c r="AC32" i="27"/>
  <c r="U32" i="27"/>
  <c r="T32" i="27"/>
  <c r="W32" i="27"/>
  <c r="V32" i="27"/>
  <c r="AA32" i="27"/>
  <c r="X32" i="27"/>
  <c r="S33" i="27"/>
  <c r="AA33" i="27"/>
  <c r="AB32" i="27"/>
  <c r="AB33" i="27"/>
  <c r="AA34" i="27"/>
  <c r="Z33" i="27"/>
  <c r="Y34" i="27"/>
  <c r="T34" i="27"/>
  <c r="X33" i="27"/>
  <c r="V34" i="27"/>
  <c r="Z32" i="27"/>
  <c r="AA35" i="27"/>
  <c r="AC34" i="27"/>
  <c r="S34" i="27"/>
  <c r="AB34" i="27"/>
  <c r="V33" i="27"/>
  <c r="X34" i="27"/>
  <c r="U33" i="27"/>
  <c r="AC33" i="27"/>
  <c r="Z36" i="27"/>
  <c r="U34" i="27"/>
  <c r="Z35" i="27"/>
  <c r="AB41" i="27"/>
  <c r="AB35" i="27"/>
  <c r="Y35" i="27"/>
  <c r="T36" i="27"/>
  <c r="U36" i="27"/>
  <c r="V36" i="27"/>
  <c r="AC36" i="27"/>
  <c r="T35" i="27"/>
  <c r="W36" i="27"/>
  <c r="AA36" i="27"/>
  <c r="V35" i="27"/>
  <c r="U35" i="27"/>
  <c r="AC35" i="27"/>
  <c r="W34" i="27"/>
  <c r="AB36" i="27"/>
  <c r="S36" i="27"/>
  <c r="AC41" i="27"/>
  <c r="V37" i="27"/>
  <c r="V39" i="27"/>
  <c r="AB37" i="27"/>
  <c r="AB42" i="27"/>
  <c r="AB40" i="27"/>
  <c r="S37" i="27"/>
  <c r="V38" i="27"/>
  <c r="AA40" i="27"/>
  <c r="U38" i="27"/>
  <c r="S35" i="27"/>
  <c r="Y36" i="27"/>
  <c r="W35" i="27"/>
  <c r="AA38" i="27"/>
  <c r="X36" i="27"/>
  <c r="S38" i="27"/>
  <c r="W38" i="27"/>
  <c r="W37" i="27"/>
  <c r="W39" i="27"/>
  <c r="Z38" i="27"/>
  <c r="AA39" i="27"/>
  <c r="X40" i="27"/>
  <c r="X37" i="27"/>
  <c r="T38" i="27"/>
  <c r="U40" i="27"/>
  <c r="AA37" i="27"/>
  <c r="T40" i="27"/>
  <c r="Z40" i="27"/>
  <c r="U39" i="27"/>
  <c r="AB39" i="27"/>
  <c r="AB38" i="27"/>
  <c r="AC39" i="27"/>
  <c r="W40" i="27"/>
  <c r="Y40" i="27"/>
  <c r="X35" i="27"/>
  <c r="Z39" i="27"/>
  <c r="V40" i="27"/>
  <c r="Z37" i="27"/>
  <c r="S40" i="27"/>
  <c r="AC37" i="27"/>
  <c r="S41" i="27"/>
  <c r="Y37" i="27"/>
  <c r="U42" i="27"/>
  <c r="Y41" i="27"/>
  <c r="U37" i="27"/>
  <c r="Z41" i="27"/>
  <c r="V42" i="27"/>
  <c r="S42" i="27"/>
  <c r="Y38" i="27"/>
  <c r="X41" i="27"/>
  <c r="U41" i="27"/>
  <c r="W42" i="27"/>
  <c r="U44" i="27"/>
  <c r="X38" i="27"/>
  <c r="Z42" i="27"/>
  <c r="AC42" i="27"/>
  <c r="T39" i="27"/>
  <c r="AC40" i="27"/>
  <c r="Y39" i="27"/>
  <c r="T37" i="27"/>
  <c r="T41" i="27"/>
  <c r="AC38" i="27"/>
  <c r="V41" i="27"/>
  <c r="X39" i="27"/>
  <c r="AA41" i="27"/>
  <c r="S39" i="27"/>
  <c r="T42" i="27"/>
  <c r="X44" i="27"/>
  <c r="T43" i="27"/>
  <c r="Z43" i="27"/>
  <c r="AA43" i="27"/>
  <c r="S43" i="27"/>
  <c r="Y43" i="27"/>
  <c r="Y42" i="27"/>
  <c r="AB43" i="27"/>
  <c r="AC43" i="27"/>
  <c r="T44" i="27"/>
  <c r="X42" i="27"/>
  <c r="X43" i="27"/>
  <c r="AA42" i="27"/>
  <c r="U43" i="27"/>
  <c r="V43" i="27"/>
  <c r="W43" i="27"/>
  <c r="W41" i="27"/>
  <c r="Z44" i="27"/>
  <c r="S44" i="27"/>
  <c r="W44" i="27"/>
  <c r="AC44" i="27"/>
  <c r="AA44" i="27"/>
  <c r="V44" i="27"/>
  <c r="AB44" i="27"/>
  <c r="T45" i="27"/>
  <c r="Z45" i="27"/>
  <c r="W45" i="27"/>
  <c r="U45" i="27"/>
  <c r="AC45" i="27"/>
  <c r="S46" i="27"/>
  <c r="AB45" i="27"/>
  <c r="Y45" i="27"/>
  <c r="V46" i="27"/>
  <c r="Y46" i="27"/>
  <c r="T46" i="27"/>
  <c r="AA45" i="27"/>
  <c r="Z46" i="27"/>
  <c r="Y44" i="27"/>
  <c r="V45" i="27"/>
  <c r="X45" i="27"/>
  <c r="AB49" i="27"/>
  <c r="S45" i="27"/>
  <c r="X46" i="27"/>
  <c r="AC48" i="27"/>
  <c r="U46" i="27"/>
  <c r="Z47" i="27"/>
  <c r="AB47" i="27"/>
  <c r="AB46" i="27"/>
  <c r="AA46" i="27"/>
  <c r="T47" i="27"/>
  <c r="U47" i="27"/>
  <c r="S47" i="27"/>
  <c r="AC47" i="27"/>
  <c r="AC46" i="27"/>
  <c r="W46" i="27"/>
  <c r="X47" i="27"/>
  <c r="V47" i="27"/>
  <c r="AA47" i="27"/>
  <c r="AA48" i="27"/>
  <c r="W47" i="27"/>
  <c r="V48" i="27"/>
  <c r="Y47" i="27"/>
  <c r="Y49" i="27"/>
  <c r="V49" i="27"/>
  <c r="S48" i="27"/>
  <c r="X49" i="27"/>
  <c r="W49" i="27"/>
  <c r="Y48" i="27"/>
  <c r="U48" i="27"/>
  <c r="T48" i="27"/>
  <c r="Z49" i="27"/>
  <c r="AB48" i="27"/>
  <c r="Z48" i="27"/>
  <c r="W48" i="27"/>
  <c r="S49" i="27"/>
  <c r="X48" i="27"/>
  <c r="Y50" i="27"/>
  <c r="V50" i="27"/>
  <c r="X50" i="27"/>
  <c r="T49" i="27"/>
  <c r="U50" i="27"/>
  <c r="AA50" i="27"/>
  <c r="Z50" i="27"/>
  <c r="Z51" i="27"/>
  <c r="AC50" i="27"/>
  <c r="W50" i="27"/>
  <c r="AB53" i="27"/>
  <c r="V51" i="27"/>
  <c r="X51" i="27"/>
  <c r="T50" i="27"/>
  <c r="AB50" i="27"/>
  <c r="U49" i="27"/>
  <c r="AA49" i="27"/>
  <c r="S50" i="27"/>
  <c r="AC49" i="27"/>
  <c r="S54" i="27"/>
  <c r="AA51" i="27"/>
  <c r="AB52" i="27"/>
  <c r="X52" i="27"/>
  <c r="T52" i="27"/>
  <c r="U51" i="27"/>
  <c r="AA52" i="27"/>
  <c r="AC52" i="27"/>
  <c r="Y51" i="27"/>
  <c r="W51" i="27"/>
  <c r="AC51" i="27"/>
  <c r="U52" i="27"/>
  <c r="Z52" i="27"/>
  <c r="AC53" i="27"/>
  <c r="Y53" i="27"/>
  <c r="U53" i="27"/>
  <c r="V53" i="27"/>
  <c r="AA53" i="27"/>
  <c r="S52" i="27"/>
  <c r="V52" i="27"/>
  <c r="V54" i="27"/>
  <c r="S51" i="27"/>
  <c r="W56" i="27"/>
  <c r="AA55" i="27"/>
  <c r="Y52" i="27"/>
  <c r="T53" i="27"/>
  <c r="W52" i="27"/>
  <c r="W54" i="27"/>
  <c r="AB51" i="27"/>
  <c r="T51" i="27"/>
  <c r="AA57" i="27"/>
  <c r="U54" i="27"/>
  <c r="W53" i="27"/>
  <c r="X54" i="27"/>
  <c r="AB56" i="27"/>
  <c r="U55" i="27"/>
  <c r="T54" i="27"/>
  <c r="T56" i="27"/>
  <c r="X53" i="27"/>
  <c r="Z56" i="27"/>
  <c r="Y54" i="27"/>
  <c r="V56" i="27"/>
  <c r="AA54" i="27"/>
  <c r="AB54" i="27"/>
  <c r="V55" i="27"/>
  <c r="Z53" i="27"/>
  <c r="AA56" i="27"/>
  <c r="S53" i="27"/>
  <c r="AC54" i="27"/>
  <c r="Z54" i="27"/>
  <c r="S56" i="27"/>
  <c r="W57" i="27"/>
  <c r="AC56" i="27"/>
  <c r="Y55" i="27"/>
  <c r="U57" i="27"/>
  <c r="S55" i="27"/>
  <c r="X57" i="27"/>
  <c r="Y57" i="27"/>
  <c r="X56" i="27"/>
  <c r="AC55" i="27"/>
  <c r="U56" i="27"/>
  <c r="T55" i="27"/>
  <c r="Y56" i="27"/>
  <c r="X55" i="27"/>
  <c r="Z55" i="27"/>
  <c r="W55" i="27"/>
  <c r="AB55" i="27"/>
  <c r="AC57" i="27"/>
  <c r="Z57" i="27"/>
  <c r="AB57" i="27"/>
  <c r="S57" i="27"/>
  <c r="T57" i="27"/>
  <c r="V57" i="27"/>
  <c r="M405" i="26"/>
  <c r="AB58" i="26" s="1"/>
  <c r="N405" i="26"/>
  <c r="AC58" i="26" s="1"/>
  <c r="L405" i="26"/>
  <c r="AA58" i="26" s="1"/>
  <c r="K405" i="26"/>
  <c r="Z58" i="26" s="1"/>
  <c r="J405" i="26"/>
  <c r="Y58" i="26" s="1"/>
  <c r="I405" i="26"/>
  <c r="AM17" i="26" s="1"/>
  <c r="AC78" i="23" s="1"/>
  <c r="D20" i="23" s="1"/>
  <c r="G405" i="26"/>
  <c r="V58" i="26" s="1"/>
  <c r="H405" i="26"/>
  <c r="W58" i="26" s="1"/>
  <c r="F405" i="26"/>
  <c r="U58" i="26" s="1"/>
  <c r="E405" i="26"/>
  <c r="T58" i="26" s="1"/>
  <c r="D405" i="26"/>
  <c r="S58" i="26" s="1"/>
  <c r="T6" i="26"/>
  <c r="W6" i="26"/>
  <c r="Z6" i="26"/>
  <c r="V6" i="26"/>
  <c r="AA6" i="26"/>
  <c r="AC6" i="26"/>
  <c r="X7" i="26"/>
  <c r="Y8" i="26"/>
  <c r="X8" i="26"/>
  <c r="U8" i="26"/>
  <c r="AC9" i="26"/>
  <c r="AB8" i="26"/>
  <c r="X6" i="26"/>
  <c r="AB6" i="26"/>
  <c r="V8" i="26"/>
  <c r="U6" i="26"/>
  <c r="AA8" i="26"/>
  <c r="T8" i="26"/>
  <c r="AB10" i="26"/>
  <c r="Y6" i="26"/>
  <c r="AC10" i="26"/>
  <c r="W10" i="26"/>
  <c r="AC8" i="26"/>
  <c r="Z9" i="26"/>
  <c r="U10" i="26"/>
  <c r="AA10" i="26"/>
  <c r="Z10" i="26"/>
  <c r="S9" i="26"/>
  <c r="V10" i="26"/>
  <c r="AA9" i="26"/>
  <c r="T9" i="26"/>
  <c r="W8" i="26"/>
  <c r="S10" i="26"/>
  <c r="T10" i="26"/>
  <c r="V9" i="26"/>
  <c r="S8" i="26"/>
  <c r="AB9" i="26"/>
  <c r="Z8" i="26"/>
  <c r="Y9" i="26"/>
  <c r="AC11" i="26"/>
  <c r="X10" i="26"/>
  <c r="AA11" i="26"/>
  <c r="AC12" i="26"/>
  <c r="U9" i="26"/>
  <c r="Z11" i="26"/>
  <c r="Y10" i="26"/>
  <c r="X9" i="26"/>
  <c r="T11" i="26"/>
  <c r="W12" i="26"/>
  <c r="W9" i="26"/>
  <c r="X11" i="26"/>
  <c r="X13" i="26"/>
  <c r="S11" i="26"/>
  <c r="AB12" i="26"/>
  <c r="W11" i="26"/>
  <c r="S12" i="26"/>
  <c r="V12" i="26"/>
  <c r="U11" i="26"/>
  <c r="AA12" i="26"/>
  <c r="X12" i="26"/>
  <c r="U12" i="26"/>
  <c r="Z12" i="26"/>
  <c r="AA14" i="26"/>
  <c r="AA15" i="26"/>
  <c r="U14" i="26"/>
  <c r="Y11" i="26"/>
  <c r="W14" i="26"/>
  <c r="AB11" i="26"/>
  <c r="AC13" i="26"/>
  <c r="AA13" i="26"/>
  <c r="T12" i="26"/>
  <c r="Y12" i="26"/>
  <c r="V11" i="26"/>
  <c r="AC14" i="26"/>
  <c r="T15" i="26"/>
  <c r="Y13" i="26"/>
  <c r="Y14" i="26"/>
  <c r="T14" i="26"/>
  <c r="Y15" i="26"/>
  <c r="S13" i="26"/>
  <c r="X15" i="26"/>
  <c r="W13" i="26"/>
  <c r="Z14" i="26"/>
  <c r="Z15" i="26"/>
  <c r="Z13" i="26"/>
  <c r="X16" i="26"/>
  <c r="X14" i="26"/>
  <c r="T16" i="26"/>
  <c r="S15" i="26"/>
  <c r="U15" i="26"/>
  <c r="AC16" i="26"/>
  <c r="T13" i="26"/>
  <c r="AC15" i="26"/>
  <c r="V13" i="26"/>
  <c r="AB14" i="26"/>
  <c r="AB15" i="26"/>
  <c r="V15" i="26"/>
  <c r="S14" i="26"/>
  <c r="V14" i="26"/>
  <c r="AB13" i="26"/>
  <c r="U13" i="26"/>
  <c r="Y16" i="26"/>
  <c r="S16" i="26"/>
  <c r="V16" i="26"/>
  <c r="AB16" i="26"/>
  <c r="Z16" i="26"/>
  <c r="U16" i="26"/>
  <c r="AA16" i="26"/>
  <c r="S17" i="26"/>
  <c r="W17" i="26"/>
  <c r="W15" i="26"/>
  <c r="W16" i="26"/>
  <c r="X17" i="26"/>
  <c r="AA17" i="26"/>
  <c r="AB17" i="26"/>
  <c r="Z17" i="26"/>
  <c r="V17" i="26"/>
  <c r="AB18" i="26"/>
  <c r="U18" i="26"/>
  <c r="AC17" i="26"/>
  <c r="AC18" i="26"/>
  <c r="T21" i="26"/>
  <c r="V19" i="26"/>
  <c r="Y18" i="26"/>
  <c r="T18" i="26"/>
  <c r="Z18" i="26"/>
  <c r="T17" i="26"/>
  <c r="U17" i="26"/>
  <c r="AC19" i="26"/>
  <c r="X18" i="26"/>
  <c r="X19" i="26"/>
  <c r="S18" i="26"/>
  <c r="Y17" i="26"/>
  <c r="T19" i="26"/>
  <c r="Y22" i="26"/>
  <c r="W19" i="26"/>
  <c r="Z21" i="26"/>
  <c r="Y19" i="26"/>
  <c r="V18" i="26"/>
  <c r="AA18" i="26"/>
  <c r="U19" i="26"/>
  <c r="S20" i="26"/>
  <c r="Z19" i="26"/>
  <c r="AB19" i="26"/>
  <c r="AA20" i="26"/>
  <c r="T20" i="26"/>
  <c r="U20" i="26"/>
  <c r="W18" i="26"/>
  <c r="AB21" i="26"/>
  <c r="AA19" i="26"/>
  <c r="AC21" i="26"/>
  <c r="X20" i="26"/>
  <c r="X21" i="26"/>
  <c r="Z20" i="26"/>
  <c r="Y21" i="26"/>
  <c r="S19" i="26"/>
  <c r="AC20" i="26"/>
  <c r="V21" i="26"/>
  <c r="W21" i="26"/>
  <c r="W20" i="26"/>
  <c r="V20" i="26"/>
  <c r="S21" i="26"/>
  <c r="AB20" i="26"/>
  <c r="Y20" i="26"/>
  <c r="AC22" i="26"/>
  <c r="U22" i="26"/>
  <c r="AB22" i="26"/>
  <c r="T22" i="26"/>
  <c r="U21" i="26"/>
  <c r="AA22" i="26"/>
  <c r="AA21" i="26"/>
  <c r="S23" i="26"/>
  <c r="AC24" i="26"/>
  <c r="Z22" i="26"/>
  <c r="V22" i="26"/>
  <c r="W22" i="26"/>
  <c r="AA24" i="26"/>
  <c r="W23" i="26"/>
  <c r="Y23" i="26"/>
  <c r="AB23" i="26"/>
  <c r="X22" i="26"/>
  <c r="T23" i="26"/>
  <c r="V23" i="26"/>
  <c r="X23" i="26"/>
  <c r="U24" i="26"/>
  <c r="W24" i="26"/>
  <c r="AB24" i="26"/>
  <c r="S22" i="26"/>
  <c r="T24" i="26"/>
  <c r="Y24" i="26"/>
  <c r="Z23" i="26"/>
  <c r="V24" i="26"/>
  <c r="Z24" i="26"/>
  <c r="S24" i="26"/>
  <c r="X24" i="26"/>
  <c r="AC23" i="26"/>
  <c r="AA23" i="26"/>
  <c r="U25" i="26"/>
  <c r="AA25" i="26"/>
  <c r="T25" i="26"/>
  <c r="AB25" i="26"/>
  <c r="X25" i="26"/>
  <c r="Y25" i="26"/>
  <c r="U23" i="26"/>
  <c r="V25" i="26"/>
  <c r="AC25" i="26"/>
  <c r="Z25" i="26"/>
  <c r="S25" i="26"/>
  <c r="Z26" i="26"/>
  <c r="X26" i="26"/>
  <c r="AB26" i="26"/>
  <c r="T26" i="26"/>
  <c r="W27" i="26"/>
  <c r="W25" i="26"/>
  <c r="Y26" i="26"/>
  <c r="AA26" i="26"/>
  <c r="S26" i="26"/>
  <c r="AA27" i="26"/>
  <c r="Z27" i="26"/>
  <c r="W26" i="26"/>
  <c r="U26" i="26"/>
  <c r="AC26" i="26"/>
  <c r="T28" i="26"/>
  <c r="V26" i="26"/>
  <c r="AB27" i="26"/>
  <c r="T29" i="26"/>
  <c r="W28" i="26"/>
  <c r="AC28" i="26"/>
  <c r="S29" i="26"/>
  <c r="V28" i="26"/>
  <c r="T27" i="26"/>
  <c r="Y28" i="26"/>
  <c r="X27" i="26"/>
  <c r="V27" i="26"/>
  <c r="S28" i="26"/>
  <c r="U29" i="26"/>
  <c r="S27" i="26"/>
  <c r="AC27" i="26"/>
  <c r="AB28" i="26"/>
  <c r="V29" i="26"/>
  <c r="AC29" i="26"/>
  <c r="AA28" i="26"/>
  <c r="Z28" i="26"/>
  <c r="Y27" i="26"/>
  <c r="X28" i="26"/>
  <c r="U28" i="26"/>
  <c r="U27" i="26"/>
  <c r="W29" i="26"/>
  <c r="S32" i="26"/>
  <c r="V30" i="26"/>
  <c r="AA30" i="26"/>
  <c r="W30" i="26"/>
  <c r="W32" i="26"/>
  <c r="X30" i="26"/>
  <c r="AB29" i="26"/>
  <c r="Z30" i="26"/>
  <c r="X29" i="26"/>
  <c r="Z29" i="26"/>
  <c r="Y29" i="26"/>
  <c r="U30" i="26"/>
  <c r="AA29" i="26"/>
  <c r="S30" i="26"/>
  <c r="T30" i="26"/>
  <c r="Y30" i="26"/>
  <c r="AC30" i="26"/>
  <c r="AB32" i="26"/>
  <c r="U31" i="26"/>
  <c r="AB31" i="26"/>
  <c r="Z32" i="26"/>
  <c r="AB30" i="26"/>
  <c r="V31" i="26"/>
  <c r="S31" i="26"/>
  <c r="AC32" i="26"/>
  <c r="AA32" i="26"/>
  <c r="T31" i="26"/>
  <c r="Z31" i="26"/>
  <c r="AC31" i="26"/>
  <c r="U32" i="26"/>
  <c r="X32" i="26"/>
  <c r="X31" i="26"/>
  <c r="T32" i="26"/>
  <c r="AA31" i="26"/>
  <c r="Y32" i="26"/>
  <c r="Y31" i="26"/>
  <c r="V32" i="26"/>
  <c r="Z35" i="26"/>
  <c r="W31" i="26"/>
  <c r="AB33" i="26"/>
  <c r="U34" i="26"/>
  <c r="Y34" i="26"/>
  <c r="W33" i="26"/>
  <c r="X34" i="26"/>
  <c r="Z33" i="26"/>
  <c r="T33" i="26"/>
  <c r="Y33" i="26"/>
  <c r="AC33" i="26"/>
  <c r="T34" i="26"/>
  <c r="AA33" i="26"/>
  <c r="V33" i="26"/>
  <c r="S33" i="26"/>
  <c r="AB40" i="26"/>
  <c r="AB35" i="26"/>
  <c r="AA34" i="26"/>
  <c r="AA35" i="26"/>
  <c r="U33" i="26"/>
  <c r="Z34" i="26"/>
  <c r="V34" i="26"/>
  <c r="X33" i="26"/>
  <c r="V35" i="26"/>
  <c r="W35" i="26"/>
  <c r="U35" i="26"/>
  <c r="S34" i="26"/>
  <c r="AC34" i="26"/>
  <c r="AC35" i="26"/>
  <c r="T35" i="26"/>
  <c r="W34" i="26"/>
  <c r="S36" i="26"/>
  <c r="U36" i="26"/>
  <c r="U41" i="26"/>
  <c r="V40" i="26"/>
  <c r="X37" i="26"/>
  <c r="T39" i="26"/>
  <c r="X35" i="26"/>
  <c r="W36" i="26"/>
  <c r="W37" i="26"/>
  <c r="AA40" i="26"/>
  <c r="AB36" i="26"/>
  <c r="Y35" i="26"/>
  <c r="AC38" i="26"/>
  <c r="X39" i="26"/>
  <c r="T37" i="26"/>
  <c r="AB34" i="26"/>
  <c r="V36" i="26"/>
  <c r="U39" i="26"/>
  <c r="AA38" i="26"/>
  <c r="S35" i="26"/>
  <c r="V37" i="26"/>
  <c r="Y39" i="26"/>
  <c r="AA39" i="26"/>
  <c r="Z38" i="26"/>
  <c r="V39" i="26"/>
  <c r="S37" i="26"/>
  <c r="X40" i="26"/>
  <c r="AA36" i="26"/>
  <c r="Y38" i="26"/>
  <c r="S40" i="26"/>
  <c r="Z39" i="26"/>
  <c r="W40" i="26"/>
  <c r="U37" i="26"/>
  <c r="S39" i="26"/>
  <c r="V38" i="26"/>
  <c r="AC42" i="26"/>
  <c r="X38" i="26"/>
  <c r="T36" i="26"/>
  <c r="Y36" i="26"/>
  <c r="AB37" i="26"/>
  <c r="W38" i="26"/>
  <c r="Z37" i="26"/>
  <c r="AB38" i="26"/>
  <c r="U40" i="26"/>
  <c r="AC41" i="26"/>
  <c r="X36" i="26"/>
  <c r="T38" i="26"/>
  <c r="Z36" i="26"/>
  <c r="AA37" i="26"/>
  <c r="V41" i="26"/>
  <c r="T41" i="26"/>
  <c r="Y40" i="26"/>
  <c r="U38" i="26"/>
  <c r="AB39" i="26"/>
  <c r="AC40" i="26"/>
  <c r="X41" i="26"/>
  <c r="AC36" i="26"/>
  <c r="Z42" i="26"/>
  <c r="T40" i="26"/>
  <c r="W43" i="26"/>
  <c r="W39" i="26"/>
  <c r="U42" i="26"/>
  <c r="S42" i="26"/>
  <c r="T42" i="26"/>
  <c r="AC37" i="26"/>
  <c r="Z41" i="26"/>
  <c r="AC39" i="26"/>
  <c r="W42" i="26"/>
  <c r="Y37" i="26"/>
  <c r="U43" i="26"/>
  <c r="AA41" i="26"/>
  <c r="AB42" i="26"/>
  <c r="S38" i="26"/>
  <c r="Z40" i="26"/>
  <c r="Y42" i="26"/>
  <c r="S41" i="26"/>
  <c r="AA42" i="26"/>
  <c r="Y41" i="26"/>
  <c r="X42" i="26"/>
  <c r="U44" i="26"/>
  <c r="AB43" i="26"/>
  <c r="V42" i="26"/>
  <c r="V44" i="26"/>
  <c r="Y45" i="26"/>
  <c r="Z43" i="26"/>
  <c r="X43" i="26"/>
  <c r="S43" i="26"/>
  <c r="T43" i="26"/>
  <c r="AB41" i="26"/>
  <c r="AA44" i="26"/>
  <c r="W41" i="26"/>
  <c r="W44" i="26"/>
  <c r="Z44" i="26"/>
  <c r="T44" i="26"/>
  <c r="AA43" i="26"/>
  <c r="V43" i="26"/>
  <c r="S44" i="26"/>
  <c r="AC44" i="26"/>
  <c r="AA46" i="26"/>
  <c r="W45" i="26"/>
  <c r="Y43" i="26"/>
  <c r="U45" i="26"/>
  <c r="AC43" i="26"/>
  <c r="AC45" i="26"/>
  <c r="V46" i="26"/>
  <c r="X45" i="26"/>
  <c r="Y46" i="26"/>
  <c r="Y44" i="26"/>
  <c r="X44" i="26"/>
  <c r="AB44" i="26"/>
  <c r="AB45" i="26"/>
  <c r="V45" i="26"/>
  <c r="T45" i="26"/>
  <c r="AB46" i="26"/>
  <c r="AC46" i="26"/>
  <c r="X46" i="26"/>
  <c r="AA45" i="26"/>
  <c r="T47" i="26"/>
  <c r="U46" i="26"/>
  <c r="S46" i="26"/>
  <c r="AB47" i="26"/>
  <c r="T46" i="26"/>
  <c r="Z45" i="26"/>
  <c r="Z46" i="26"/>
  <c r="S45" i="26"/>
  <c r="Z49" i="26"/>
  <c r="AB48" i="26"/>
  <c r="AA48" i="26"/>
  <c r="S47" i="26"/>
  <c r="AA47" i="26"/>
  <c r="V47" i="26"/>
  <c r="U47" i="26"/>
  <c r="W47" i="26"/>
  <c r="Y47" i="26"/>
  <c r="X47" i="26"/>
  <c r="Z48" i="26"/>
  <c r="AC47" i="26"/>
  <c r="X48" i="26"/>
  <c r="S48" i="26"/>
  <c r="W46" i="26"/>
  <c r="S49" i="26"/>
  <c r="AA49" i="26"/>
  <c r="Z47" i="26"/>
  <c r="X49" i="26"/>
  <c r="AB49" i="26"/>
  <c r="W49" i="26"/>
  <c r="Y49" i="26"/>
  <c r="T48" i="26"/>
  <c r="AC48" i="26"/>
  <c r="V49" i="26"/>
  <c r="W48" i="26"/>
  <c r="V48" i="26"/>
  <c r="T49" i="26"/>
  <c r="Y48" i="26"/>
  <c r="Z50" i="26"/>
  <c r="AA50" i="26"/>
  <c r="U48" i="26"/>
  <c r="U49" i="26"/>
  <c r="AC50" i="26"/>
  <c r="AC52" i="26"/>
  <c r="Y50" i="26"/>
  <c r="AC49" i="26"/>
  <c r="V53" i="26"/>
  <c r="AB51" i="26"/>
  <c r="T50" i="26"/>
  <c r="U52" i="26"/>
  <c r="Z51" i="26"/>
  <c r="S50" i="26"/>
  <c r="X51" i="26"/>
  <c r="U50" i="26"/>
  <c r="T51" i="26"/>
  <c r="W51" i="26"/>
  <c r="W50" i="26"/>
  <c r="S51" i="26"/>
  <c r="V50" i="26"/>
  <c r="AC54" i="26"/>
  <c r="V51" i="26"/>
  <c r="AB50" i="26"/>
  <c r="X50" i="26"/>
  <c r="AA51" i="26"/>
  <c r="Y52" i="26"/>
  <c r="T53" i="26"/>
  <c r="S53" i="26"/>
  <c r="AC51" i="26"/>
  <c r="U51" i="26"/>
  <c r="Z55" i="26"/>
  <c r="AB53" i="26"/>
  <c r="Y51" i="26"/>
  <c r="V55" i="26"/>
  <c r="Y53" i="26"/>
  <c r="AA52" i="26"/>
  <c r="W52" i="26"/>
  <c r="AB52" i="26"/>
  <c r="AC53" i="26"/>
  <c r="V52" i="26"/>
  <c r="W53" i="26"/>
  <c r="X52" i="26"/>
  <c r="Z52" i="26"/>
  <c r="U53" i="26"/>
  <c r="S52" i="26"/>
  <c r="T52" i="26"/>
  <c r="AA53" i="26"/>
  <c r="U54" i="26"/>
  <c r="W55" i="26"/>
  <c r="Z53" i="26"/>
  <c r="Z54" i="26"/>
  <c r="S54" i="26"/>
  <c r="T54" i="26"/>
  <c r="X53" i="26"/>
  <c r="T55" i="26"/>
  <c r="X55" i="26"/>
  <c r="AB54" i="26"/>
  <c r="AA55" i="26"/>
  <c r="X54" i="26"/>
  <c r="Y55" i="26"/>
  <c r="Z56" i="26"/>
  <c r="S55" i="26"/>
  <c r="X56" i="26"/>
  <c r="AA57" i="26"/>
  <c r="W56" i="26"/>
  <c r="AC56" i="26"/>
  <c r="AC55" i="26"/>
  <c r="W54" i="26"/>
  <c r="AB55" i="26"/>
  <c r="AA54" i="26"/>
  <c r="AC57" i="26"/>
  <c r="W57" i="26"/>
  <c r="V54" i="26"/>
  <c r="Y54" i="26"/>
  <c r="Z57" i="26"/>
  <c r="U55" i="26"/>
  <c r="S56" i="26"/>
  <c r="Y56" i="26"/>
  <c r="AB56" i="26"/>
  <c r="U56" i="26"/>
  <c r="X57" i="26"/>
  <c r="Y57" i="26"/>
  <c r="AA56" i="26"/>
  <c r="T56" i="26"/>
  <c r="S57" i="26"/>
  <c r="V57" i="26"/>
  <c r="U57" i="26"/>
  <c r="V56" i="26"/>
  <c r="AB57" i="26"/>
  <c r="T57" i="26"/>
  <c r="J404" i="25"/>
  <c r="I404" i="25"/>
  <c r="F404" i="25"/>
  <c r="D404" i="25"/>
  <c r="C405" i="25"/>
  <c r="N404" i="25"/>
  <c r="M404" i="25"/>
  <c r="L404" i="25"/>
  <c r="K404" i="25"/>
  <c r="H404" i="25"/>
  <c r="G404" i="25"/>
  <c r="E404" i="25"/>
  <c r="N401" i="20"/>
  <c r="F401" i="20"/>
  <c r="M401" i="20"/>
  <c r="E401" i="20"/>
  <c r="L401" i="20"/>
  <c r="D401" i="20"/>
  <c r="K401" i="20"/>
  <c r="J401" i="20"/>
  <c r="I401" i="20"/>
  <c r="H401" i="20"/>
  <c r="C402" i="20"/>
  <c r="G401" i="20"/>
  <c r="J402" i="19"/>
  <c r="I402" i="19"/>
  <c r="H402" i="19"/>
  <c r="C403" i="19"/>
  <c r="G402" i="19"/>
  <c r="L402" i="19"/>
  <c r="D402" i="19"/>
  <c r="N402" i="19"/>
  <c r="M402" i="19"/>
  <c r="F402" i="19"/>
  <c r="K402" i="19"/>
  <c r="E402" i="19"/>
  <c r="N401" i="18"/>
  <c r="F401" i="18"/>
  <c r="M401" i="18"/>
  <c r="E401" i="18"/>
  <c r="L401" i="18"/>
  <c r="D401" i="18"/>
  <c r="K401" i="18"/>
  <c r="J401" i="18"/>
  <c r="I401" i="18"/>
  <c r="H401" i="18"/>
  <c r="C402" i="18"/>
  <c r="G401" i="18"/>
  <c r="V51" i="1" l="1"/>
  <c r="AK17" i="1"/>
  <c r="AC76" i="8" s="1"/>
  <c r="D18" i="8" s="1"/>
  <c r="U58" i="1"/>
  <c r="U51" i="1"/>
  <c r="AJ17" i="1"/>
  <c r="AC75" i="8" s="1"/>
  <c r="D17" i="8" s="1"/>
  <c r="T58" i="1"/>
  <c r="AI17" i="1"/>
  <c r="AC74" i="8" s="1"/>
  <c r="S58" i="1"/>
  <c r="S52" i="1"/>
  <c r="AH17" i="1"/>
  <c r="AA58" i="1"/>
  <c r="AA51" i="1"/>
  <c r="AP17" i="1"/>
  <c r="AC81" i="8" s="1"/>
  <c r="D23" i="8" s="1"/>
  <c r="AC58" i="1"/>
  <c r="AC51" i="1"/>
  <c r="AC52" i="1"/>
  <c r="AR17" i="1"/>
  <c r="AC83" i="8" s="1"/>
  <c r="D25" i="8" s="1"/>
  <c r="AB58" i="1"/>
  <c r="AB51" i="1"/>
  <c r="AQ17" i="1"/>
  <c r="AC82" i="8" s="1"/>
  <c r="D24" i="8" s="1"/>
  <c r="Z58" i="1"/>
  <c r="Z51" i="1"/>
  <c r="Z52" i="1"/>
  <c r="AO17" i="1"/>
  <c r="AC80" i="8" s="1"/>
  <c r="D22" i="8" s="1"/>
  <c r="V58" i="1"/>
  <c r="X58" i="1"/>
  <c r="X51" i="1"/>
  <c r="AM17" i="1"/>
  <c r="AC78" i="8" s="1"/>
  <c r="D20" i="8" s="1"/>
  <c r="W51" i="1"/>
  <c r="W52" i="1"/>
  <c r="AL17" i="1"/>
  <c r="AC77" i="8" s="1"/>
  <c r="D19" i="8" s="1"/>
  <c r="AN17" i="1"/>
  <c r="AC79" i="8" s="1"/>
  <c r="D21" i="8" s="1"/>
  <c r="Y51" i="1"/>
  <c r="X58" i="26"/>
  <c r="T58" i="27"/>
  <c r="D16" i="24"/>
  <c r="Y7" i="27"/>
  <c r="AN17" i="27"/>
  <c r="AC79" i="24" s="1"/>
  <c r="D21" i="24" s="1"/>
  <c r="V7" i="27"/>
  <c r="AK17" i="27"/>
  <c r="AC76" i="24" s="1"/>
  <c r="D18" i="24" s="1"/>
  <c r="U7" i="27"/>
  <c r="AJ17" i="27"/>
  <c r="AC75" i="24" s="1"/>
  <c r="D17" i="24" s="1"/>
  <c r="Z7" i="27"/>
  <c r="AO17" i="27"/>
  <c r="AC80" i="24" s="1"/>
  <c r="D22" i="24" s="1"/>
  <c r="W7" i="27"/>
  <c r="AL17" i="27"/>
  <c r="AC77" i="24" s="1"/>
  <c r="D19" i="24" s="1"/>
  <c r="X7" i="27"/>
  <c r="AM17" i="27"/>
  <c r="AC78" i="24" s="1"/>
  <c r="D20" i="24" s="1"/>
  <c r="AA7" i="27"/>
  <c r="AP17" i="27"/>
  <c r="AC81" i="24" s="1"/>
  <c r="D23" i="24" s="1"/>
  <c r="AB7" i="27"/>
  <c r="AQ17" i="27"/>
  <c r="AC82" i="24" s="1"/>
  <c r="D24" i="24" s="1"/>
  <c r="S6" i="27"/>
  <c r="S7" i="27"/>
  <c r="AH17" i="27"/>
  <c r="AC7" i="27"/>
  <c r="AR17" i="27"/>
  <c r="AC83" i="24" s="1"/>
  <c r="D25" i="24" s="1"/>
  <c r="U7" i="26"/>
  <c r="AJ17" i="26"/>
  <c r="AC75" i="23" s="1"/>
  <c r="D17" i="23" s="1"/>
  <c r="Y7" i="26"/>
  <c r="AN17" i="26"/>
  <c r="AC79" i="23" s="1"/>
  <c r="D21" i="23" s="1"/>
  <c r="Z7" i="26"/>
  <c r="AO17" i="26"/>
  <c r="AC80" i="23" s="1"/>
  <c r="D22" i="23" s="1"/>
  <c r="AA7" i="26"/>
  <c r="AP17" i="26"/>
  <c r="AC81" i="23" s="1"/>
  <c r="D23" i="23" s="1"/>
  <c r="S6" i="26"/>
  <c r="S7" i="26"/>
  <c r="AH17" i="26"/>
  <c r="T7" i="26"/>
  <c r="AI17" i="26"/>
  <c r="AC74" i="23" s="1"/>
  <c r="W7" i="26"/>
  <c r="AL17" i="26"/>
  <c r="AC77" i="23" s="1"/>
  <c r="D19" i="23" s="1"/>
  <c r="V7" i="26"/>
  <c r="AK17" i="26"/>
  <c r="AC76" i="23" s="1"/>
  <c r="D18" i="23" s="1"/>
  <c r="AC7" i="26"/>
  <c r="AR17" i="26"/>
  <c r="AC83" i="23" s="1"/>
  <c r="D25" i="23" s="1"/>
  <c r="AB7" i="26"/>
  <c r="AQ17" i="26"/>
  <c r="AC82" i="23" s="1"/>
  <c r="D24" i="23" s="1"/>
  <c r="N405" i="25"/>
  <c r="AC58" i="25" s="1"/>
  <c r="M405" i="25"/>
  <c r="AB58" i="25" s="1"/>
  <c r="L405" i="25"/>
  <c r="AA58" i="25" s="1"/>
  <c r="K405" i="25"/>
  <c r="Z58" i="25" s="1"/>
  <c r="J405" i="25"/>
  <c r="Y58" i="25" s="1"/>
  <c r="I405" i="25"/>
  <c r="AM17" i="25" s="1"/>
  <c r="H405" i="25"/>
  <c r="W58" i="25" s="1"/>
  <c r="G405" i="25"/>
  <c r="V58" i="25" s="1"/>
  <c r="F405" i="25"/>
  <c r="U58" i="25" s="1"/>
  <c r="E405" i="25"/>
  <c r="T58" i="25" s="1"/>
  <c r="D405" i="25"/>
  <c r="S58" i="25" s="1"/>
  <c r="AA6" i="25"/>
  <c r="X7" i="25"/>
  <c r="AB6" i="25"/>
  <c r="AC6" i="25"/>
  <c r="Z6" i="25"/>
  <c r="W6" i="25"/>
  <c r="T6" i="25"/>
  <c r="V8" i="25"/>
  <c r="X8" i="25"/>
  <c r="V7" i="25"/>
  <c r="S9" i="25"/>
  <c r="X6" i="25"/>
  <c r="W8" i="25"/>
  <c r="Z9" i="25"/>
  <c r="AC8" i="25"/>
  <c r="Y8" i="25"/>
  <c r="AC9" i="25"/>
  <c r="V10" i="25"/>
  <c r="AB9" i="25"/>
  <c r="X9" i="25"/>
  <c r="AA8" i="25"/>
  <c r="U10" i="25"/>
  <c r="U8" i="25"/>
  <c r="Z10" i="25"/>
  <c r="T8" i="25"/>
  <c r="S8" i="25"/>
  <c r="V9" i="25"/>
  <c r="X10" i="25"/>
  <c r="W10" i="25"/>
  <c r="AB8" i="25"/>
  <c r="V11" i="25"/>
  <c r="T10" i="25"/>
  <c r="Y9" i="25"/>
  <c r="U9" i="25"/>
  <c r="AA10" i="25"/>
  <c r="W11" i="25"/>
  <c r="Y10" i="25"/>
  <c r="W9" i="25"/>
  <c r="Y11" i="25"/>
  <c r="AC11" i="25"/>
  <c r="Z8" i="25"/>
  <c r="T9" i="25"/>
  <c r="AC10" i="25"/>
  <c r="AA9" i="25"/>
  <c r="AB10" i="25"/>
  <c r="V14" i="25"/>
  <c r="AB11" i="25"/>
  <c r="S11" i="25"/>
  <c r="X12" i="25"/>
  <c r="S10" i="25"/>
  <c r="AC13" i="25"/>
  <c r="X11" i="25"/>
  <c r="X14" i="25"/>
  <c r="T12" i="25"/>
  <c r="AA11" i="25"/>
  <c r="Z11" i="25"/>
  <c r="Z12" i="25"/>
  <c r="W14" i="25"/>
  <c r="T13" i="25"/>
  <c r="W12" i="25"/>
  <c r="W13" i="25"/>
  <c r="AA12" i="25"/>
  <c r="AA14" i="25"/>
  <c r="T11" i="25"/>
  <c r="AB13" i="25"/>
  <c r="S12" i="25"/>
  <c r="AB12" i="25"/>
  <c r="U11" i="25"/>
  <c r="Z14" i="25"/>
  <c r="Y12" i="25"/>
  <c r="V13" i="25"/>
  <c r="AB14" i="25"/>
  <c r="U13" i="25"/>
  <c r="Y15" i="25"/>
  <c r="Y14" i="25"/>
  <c r="T15" i="25"/>
  <c r="AC14" i="25"/>
  <c r="U14" i="25"/>
  <c r="Y13" i="25"/>
  <c r="V12" i="25"/>
  <c r="AA13" i="25"/>
  <c r="Z15" i="25"/>
  <c r="S14" i="25"/>
  <c r="X13" i="25"/>
  <c r="U12" i="25"/>
  <c r="AC12" i="25"/>
  <c r="W15" i="25"/>
  <c r="T14" i="25"/>
  <c r="AB15" i="25"/>
  <c r="Z13" i="25"/>
  <c r="V15" i="25"/>
  <c r="S13" i="25"/>
  <c r="AA15" i="25"/>
  <c r="X15" i="25"/>
  <c r="AB16" i="25"/>
  <c r="AC15" i="25"/>
  <c r="S15" i="25"/>
  <c r="AA16" i="25"/>
  <c r="T18" i="25"/>
  <c r="Y17" i="25"/>
  <c r="W16" i="25"/>
  <c r="Y16" i="25"/>
  <c r="AC16" i="25"/>
  <c r="S17" i="25"/>
  <c r="V18" i="25"/>
  <c r="V16" i="25"/>
  <c r="W18" i="25"/>
  <c r="U15" i="25"/>
  <c r="S16" i="25"/>
  <c r="Z18" i="25"/>
  <c r="T16" i="25"/>
  <c r="AC17" i="25"/>
  <c r="Z16" i="25"/>
  <c r="X16" i="25"/>
  <c r="W17" i="25"/>
  <c r="X18" i="25"/>
  <c r="AC18" i="25"/>
  <c r="AB17" i="25"/>
  <c r="AC19" i="25"/>
  <c r="W19" i="25"/>
  <c r="X17" i="25"/>
  <c r="AA17" i="25"/>
  <c r="Z17" i="25"/>
  <c r="U19" i="25"/>
  <c r="S18" i="25"/>
  <c r="V17" i="25"/>
  <c r="AB18" i="25"/>
  <c r="T17" i="25"/>
  <c r="Y18" i="25"/>
  <c r="T19" i="25"/>
  <c r="U16" i="25"/>
  <c r="AA18" i="25"/>
  <c r="U18" i="25"/>
  <c r="V20" i="25"/>
  <c r="AA20" i="25"/>
  <c r="W20" i="25"/>
  <c r="Z19" i="25"/>
  <c r="U17" i="25"/>
  <c r="U20" i="25"/>
  <c r="X20" i="25"/>
  <c r="AB19" i="25"/>
  <c r="AC20" i="25"/>
  <c r="S20" i="25"/>
  <c r="V19" i="25"/>
  <c r="S19" i="25"/>
  <c r="Z20" i="25"/>
  <c r="Y20" i="25"/>
  <c r="Y19" i="25"/>
  <c r="AB20" i="25"/>
  <c r="AA19" i="25"/>
  <c r="T20" i="25"/>
  <c r="AA21" i="25"/>
  <c r="Y22" i="25"/>
  <c r="X19" i="25"/>
  <c r="V21" i="25"/>
  <c r="AA22" i="25"/>
  <c r="T21" i="25"/>
  <c r="W21" i="25"/>
  <c r="Z21" i="25"/>
  <c r="X21" i="25"/>
  <c r="Y21" i="25"/>
  <c r="S21" i="25"/>
  <c r="U21" i="25"/>
  <c r="AC21" i="25"/>
  <c r="T22" i="25"/>
  <c r="S22" i="25"/>
  <c r="AC22" i="25"/>
  <c r="X22" i="25"/>
  <c r="Z22" i="25"/>
  <c r="AB21" i="25"/>
  <c r="S23" i="25"/>
  <c r="V22" i="25"/>
  <c r="T23" i="25"/>
  <c r="AB22" i="25"/>
  <c r="W23" i="25"/>
  <c r="AC23" i="25"/>
  <c r="X23" i="25"/>
  <c r="Z24" i="25"/>
  <c r="V24" i="25"/>
  <c r="U22" i="25"/>
  <c r="Z23" i="25"/>
  <c r="U24" i="25"/>
  <c r="AA23" i="25"/>
  <c r="AA26" i="25"/>
  <c r="Y24" i="25"/>
  <c r="W22" i="25"/>
  <c r="X24" i="25"/>
  <c r="U23" i="25"/>
  <c r="W25" i="25"/>
  <c r="AA24" i="25"/>
  <c r="V23" i="25"/>
  <c r="Y23" i="25"/>
  <c r="W24" i="25"/>
  <c r="AB23" i="25"/>
  <c r="X25" i="25"/>
  <c r="AC25" i="25"/>
  <c r="S26" i="25"/>
  <c r="Y26" i="25"/>
  <c r="AB25" i="25"/>
  <c r="X26" i="25"/>
  <c r="Y25" i="25"/>
  <c r="AB26" i="25"/>
  <c r="S24" i="25"/>
  <c r="T24" i="25"/>
  <c r="AB24" i="25"/>
  <c r="W27" i="25"/>
  <c r="T25" i="25"/>
  <c r="S25" i="25"/>
  <c r="U25" i="25"/>
  <c r="AA25" i="25"/>
  <c r="AC24" i="25"/>
  <c r="Y27" i="25"/>
  <c r="AC27" i="25"/>
  <c r="V25" i="25"/>
  <c r="W26" i="25"/>
  <c r="U27" i="25"/>
  <c r="X27" i="25"/>
  <c r="AC26" i="25"/>
  <c r="U26" i="25"/>
  <c r="Z26" i="25"/>
  <c r="AB27" i="25"/>
  <c r="T27" i="25"/>
  <c r="S27" i="25"/>
  <c r="W28" i="25"/>
  <c r="V26" i="25"/>
  <c r="AA27" i="25"/>
  <c r="V27" i="25"/>
  <c r="Z25" i="25"/>
  <c r="AB28" i="25"/>
  <c r="T26" i="25"/>
  <c r="T28" i="25"/>
  <c r="AC28" i="25"/>
  <c r="Z27" i="25"/>
  <c r="U28" i="25"/>
  <c r="X28" i="25"/>
  <c r="S28" i="25"/>
  <c r="Z28" i="25"/>
  <c r="AA28" i="25"/>
  <c r="T29" i="25"/>
  <c r="Z29" i="25"/>
  <c r="U29" i="25"/>
  <c r="Y29" i="25"/>
  <c r="V29" i="25"/>
  <c r="S29" i="25"/>
  <c r="V28" i="25"/>
  <c r="AC31" i="25"/>
  <c r="Y28" i="25"/>
  <c r="S30" i="25"/>
  <c r="S31" i="25"/>
  <c r="Z30" i="25"/>
  <c r="U30" i="25"/>
  <c r="T30" i="25"/>
  <c r="AA30" i="25"/>
  <c r="AB31" i="25"/>
  <c r="W29" i="25"/>
  <c r="AA31" i="25"/>
  <c r="V30" i="25"/>
  <c r="AB29" i="25"/>
  <c r="V33" i="25"/>
  <c r="AB30" i="25"/>
  <c r="AC29" i="25"/>
  <c r="Y30" i="25"/>
  <c r="U31" i="25"/>
  <c r="X30" i="25"/>
  <c r="AA29" i="25"/>
  <c r="T31" i="25"/>
  <c r="X29" i="25"/>
  <c r="AC30" i="25"/>
  <c r="T32" i="25"/>
  <c r="Y31" i="25"/>
  <c r="X32" i="25"/>
  <c r="X31" i="25"/>
  <c r="S32" i="25"/>
  <c r="W30" i="25"/>
  <c r="Z34" i="25"/>
  <c r="V32" i="25"/>
  <c r="Y32" i="25"/>
  <c r="Z32" i="25"/>
  <c r="V34" i="25"/>
  <c r="W32" i="25"/>
  <c r="U34" i="25"/>
  <c r="AA32" i="25"/>
  <c r="U32" i="25"/>
  <c r="AB32" i="25"/>
  <c r="AC32" i="25"/>
  <c r="Z31" i="25"/>
  <c r="V31" i="25"/>
  <c r="W33" i="25"/>
  <c r="W31" i="25"/>
  <c r="Y33" i="25"/>
  <c r="AA33" i="25"/>
  <c r="T33" i="25"/>
  <c r="X34" i="25"/>
  <c r="AB33" i="25"/>
  <c r="AA34" i="25"/>
  <c r="S33" i="25"/>
  <c r="X33" i="25"/>
  <c r="W34" i="25"/>
  <c r="U33" i="25"/>
  <c r="T35" i="25"/>
  <c r="AB34" i="25"/>
  <c r="T34" i="25"/>
  <c r="Z33" i="25"/>
  <c r="AC33" i="25"/>
  <c r="Y34" i="25"/>
  <c r="AC34" i="25"/>
  <c r="Y36" i="25"/>
  <c r="AC35" i="25"/>
  <c r="W36" i="25"/>
  <c r="W35" i="25"/>
  <c r="U35" i="25"/>
  <c r="V36" i="25"/>
  <c r="AC38" i="25"/>
  <c r="U40" i="25"/>
  <c r="S34" i="25"/>
  <c r="V35" i="25"/>
  <c r="X35" i="25"/>
  <c r="T36" i="25"/>
  <c r="U36" i="25"/>
  <c r="AC36" i="25"/>
  <c r="Y37" i="25"/>
  <c r="AA35" i="25"/>
  <c r="T37" i="25"/>
  <c r="W38" i="25"/>
  <c r="S35" i="25"/>
  <c r="Z35" i="25"/>
  <c r="AA36" i="25"/>
  <c r="T40" i="25"/>
  <c r="S37" i="25"/>
  <c r="AA41" i="25"/>
  <c r="AA39" i="25"/>
  <c r="AA37" i="25"/>
  <c r="Y40" i="25"/>
  <c r="S39" i="25"/>
  <c r="Z36" i="25"/>
  <c r="V38" i="25"/>
  <c r="X36" i="25"/>
  <c r="U41" i="25"/>
  <c r="U37" i="25"/>
  <c r="AA38" i="25"/>
  <c r="S40" i="25"/>
  <c r="X37" i="25"/>
  <c r="AC39" i="25"/>
  <c r="Z40" i="25"/>
  <c r="Y39" i="25"/>
  <c r="W40" i="25"/>
  <c r="Y35" i="25"/>
  <c r="AB38" i="25"/>
  <c r="AB35" i="25"/>
  <c r="AC37" i="25"/>
  <c r="X39" i="25"/>
  <c r="U39" i="25"/>
  <c r="AB37" i="25"/>
  <c r="T39" i="25"/>
  <c r="AB39" i="25"/>
  <c r="V39" i="25"/>
  <c r="W37" i="25"/>
  <c r="S36" i="25"/>
  <c r="Z38" i="25"/>
  <c r="V37" i="25"/>
  <c r="Z41" i="25"/>
  <c r="T38" i="25"/>
  <c r="AB36" i="25"/>
  <c r="AA40" i="25"/>
  <c r="U38" i="25"/>
  <c r="V41" i="25"/>
  <c r="Y38" i="25"/>
  <c r="V40" i="25"/>
  <c r="AA42" i="25"/>
  <c r="S38" i="25"/>
  <c r="Z39" i="25"/>
  <c r="AC41" i="25"/>
  <c r="S41" i="25"/>
  <c r="U42" i="25"/>
  <c r="T41" i="25"/>
  <c r="Z42" i="25"/>
  <c r="V42" i="25"/>
  <c r="Y41" i="25"/>
  <c r="S42" i="25"/>
  <c r="W39" i="25"/>
  <c r="X38" i="25"/>
  <c r="Z37" i="25"/>
  <c r="W42" i="25"/>
  <c r="X41" i="25"/>
  <c r="AB40" i="25"/>
  <c r="T42" i="25"/>
  <c r="X40" i="25"/>
  <c r="AC40" i="25"/>
  <c r="W41" i="25"/>
  <c r="Y42" i="25"/>
  <c r="Z43" i="25"/>
  <c r="X43" i="25"/>
  <c r="AC42" i="25"/>
  <c r="AB42" i="25"/>
  <c r="X42" i="25"/>
  <c r="W43" i="25"/>
  <c r="AB41" i="25"/>
  <c r="V43" i="25"/>
  <c r="Y43" i="25"/>
  <c r="AB43" i="25"/>
  <c r="T43" i="25"/>
  <c r="AA43" i="25"/>
  <c r="X44" i="25"/>
  <c r="S43" i="25"/>
  <c r="T44" i="25"/>
  <c r="Z44" i="25"/>
  <c r="U43" i="25"/>
  <c r="AB44" i="25"/>
  <c r="AA47" i="25"/>
  <c r="AC47" i="25"/>
  <c r="V44" i="25"/>
  <c r="W44" i="25"/>
  <c r="W45" i="25"/>
  <c r="Y44" i="25"/>
  <c r="U44" i="25"/>
  <c r="Y45" i="25"/>
  <c r="S44" i="25"/>
  <c r="AA44" i="25"/>
  <c r="AC44" i="25"/>
  <c r="AC43" i="25"/>
  <c r="U46" i="25"/>
  <c r="Z45" i="25"/>
  <c r="AA45" i="25"/>
  <c r="U48" i="25"/>
  <c r="S45" i="25"/>
  <c r="V45" i="25"/>
  <c r="AA46" i="25"/>
  <c r="X46" i="25"/>
  <c r="Z46" i="25"/>
  <c r="X47" i="25"/>
  <c r="AB45" i="25"/>
  <c r="AC45" i="25"/>
  <c r="T46" i="25"/>
  <c r="T45" i="25"/>
  <c r="W47" i="25"/>
  <c r="U45" i="25"/>
  <c r="S46" i="25"/>
  <c r="S49" i="25"/>
  <c r="X45" i="25"/>
  <c r="Y49" i="25"/>
  <c r="V49" i="25"/>
  <c r="S48" i="25"/>
  <c r="Y46" i="25"/>
  <c r="AA48" i="25"/>
  <c r="T47" i="25"/>
  <c r="AC46" i="25"/>
  <c r="W46" i="25"/>
  <c r="AC51" i="25"/>
  <c r="V47" i="25"/>
  <c r="X48" i="25"/>
  <c r="AC48" i="25"/>
  <c r="W48" i="25"/>
  <c r="AB49" i="25"/>
  <c r="Y50" i="25"/>
  <c r="AB48" i="25"/>
  <c r="V46" i="25"/>
  <c r="AB47" i="25"/>
  <c r="Y47" i="25"/>
  <c r="AA51" i="25"/>
  <c r="S47" i="25"/>
  <c r="T48" i="25"/>
  <c r="U50" i="25"/>
  <c r="Y48" i="25"/>
  <c r="V48" i="25"/>
  <c r="AB46" i="25"/>
  <c r="Z47" i="25"/>
  <c r="Z48" i="25"/>
  <c r="U47" i="25"/>
  <c r="V50" i="25"/>
  <c r="AB50" i="25"/>
  <c r="W50" i="25"/>
  <c r="W49" i="25"/>
  <c r="Z50" i="25"/>
  <c r="Z49" i="25"/>
  <c r="T50" i="25"/>
  <c r="U49" i="25"/>
  <c r="S51" i="25"/>
  <c r="AC50" i="25"/>
  <c r="X50" i="25"/>
  <c r="T49" i="25"/>
  <c r="AB51" i="25"/>
  <c r="AA49" i="25"/>
  <c r="AA50" i="25"/>
  <c r="S50" i="25"/>
  <c r="AC49" i="25"/>
  <c r="T51" i="25"/>
  <c r="X49" i="25"/>
  <c r="Y52" i="25"/>
  <c r="U52" i="25"/>
  <c r="V52" i="25"/>
  <c r="Z52" i="25"/>
  <c r="V51" i="25"/>
  <c r="Y51" i="25"/>
  <c r="U51" i="25"/>
  <c r="W51" i="25"/>
  <c r="Z51" i="25"/>
  <c r="U53" i="25"/>
  <c r="T52" i="25"/>
  <c r="X51" i="25"/>
  <c r="AA52" i="25"/>
  <c r="X53" i="25"/>
  <c r="T53" i="25"/>
  <c r="AC52" i="25"/>
  <c r="S53" i="25"/>
  <c r="AC53" i="25"/>
  <c r="V53" i="25"/>
  <c r="AB52" i="25"/>
  <c r="W54" i="25"/>
  <c r="AA53" i="25"/>
  <c r="X52" i="25"/>
  <c r="W53" i="25"/>
  <c r="S52" i="25"/>
  <c r="W52" i="25"/>
  <c r="Z56" i="25"/>
  <c r="Y53" i="25"/>
  <c r="T54" i="25"/>
  <c r="Y54" i="25"/>
  <c r="X55" i="25"/>
  <c r="U54" i="25"/>
  <c r="V54" i="25"/>
  <c r="Z53" i="25"/>
  <c r="Z54" i="25"/>
  <c r="Y55" i="25"/>
  <c r="W55" i="25"/>
  <c r="AB54" i="25"/>
  <c r="AB53" i="25"/>
  <c r="X54" i="25"/>
  <c r="W56" i="25"/>
  <c r="AA57" i="25"/>
  <c r="AA56" i="25"/>
  <c r="T55" i="25"/>
  <c r="U56" i="25"/>
  <c r="AC56" i="25"/>
  <c r="T56" i="25"/>
  <c r="U55" i="25"/>
  <c r="AA54" i="25"/>
  <c r="Y56" i="25"/>
  <c r="AC54" i="25"/>
  <c r="S54" i="25"/>
  <c r="S56" i="25"/>
  <c r="Z55" i="25"/>
  <c r="AB56" i="25"/>
  <c r="V55" i="25"/>
  <c r="X56" i="25"/>
  <c r="V57" i="25"/>
  <c r="AC55" i="25"/>
  <c r="AB57" i="25"/>
  <c r="AB55" i="25"/>
  <c r="U57" i="25"/>
  <c r="W57" i="25"/>
  <c r="T57" i="25"/>
  <c r="AA55" i="25"/>
  <c r="S55" i="25"/>
  <c r="X57" i="25"/>
  <c r="S57" i="25"/>
  <c r="Y57" i="25"/>
  <c r="V56" i="25"/>
  <c r="Z57" i="25"/>
  <c r="AC57" i="25"/>
  <c r="J402" i="20"/>
  <c r="I402" i="20"/>
  <c r="H402" i="20"/>
  <c r="C403" i="20"/>
  <c r="G402" i="20"/>
  <c r="N402" i="20"/>
  <c r="F402" i="20"/>
  <c r="M402" i="20"/>
  <c r="E402" i="20"/>
  <c r="L402" i="20"/>
  <c r="D402" i="20"/>
  <c r="K402" i="20"/>
  <c r="N403" i="19"/>
  <c r="F403" i="19"/>
  <c r="M403" i="19"/>
  <c r="E403" i="19"/>
  <c r="L403" i="19"/>
  <c r="D403" i="19"/>
  <c r="K403" i="19"/>
  <c r="H403" i="19"/>
  <c r="J403" i="19"/>
  <c r="I403" i="19"/>
  <c r="G403" i="19"/>
  <c r="C404" i="19"/>
  <c r="J402" i="18"/>
  <c r="I402" i="18"/>
  <c r="H402" i="18"/>
  <c r="C403" i="18"/>
  <c r="G402" i="18"/>
  <c r="N402" i="18"/>
  <c r="F402" i="18"/>
  <c r="M402" i="18"/>
  <c r="E402" i="18"/>
  <c r="L402" i="18"/>
  <c r="D402" i="18"/>
  <c r="K402" i="18"/>
  <c r="W7" i="7" l="1"/>
  <c r="X11" i="7"/>
  <c r="S10" i="7"/>
  <c r="Y11" i="7"/>
  <c r="W6" i="7"/>
  <c r="S8" i="7"/>
  <c r="Z8" i="7"/>
  <c r="U6" i="7"/>
  <c r="AB10" i="7"/>
  <c r="X6" i="7"/>
  <c r="AA6" i="7"/>
  <c r="Z7" i="7"/>
  <c r="S12" i="7"/>
  <c r="V12" i="7"/>
  <c r="X15" i="7"/>
  <c r="Z6" i="7"/>
  <c r="S7" i="7"/>
  <c r="AB9" i="7"/>
  <c r="AC13" i="7"/>
  <c r="Y9" i="7"/>
  <c r="AA8" i="7"/>
  <c r="U8" i="7"/>
  <c r="Z13" i="7"/>
  <c r="AC6" i="7"/>
  <c r="V9" i="7"/>
  <c r="AA11" i="7"/>
  <c r="U14" i="7"/>
  <c r="Y6" i="7"/>
  <c r="AC10" i="7"/>
  <c r="Y10" i="7"/>
  <c r="T10" i="7"/>
  <c r="W13" i="7"/>
  <c r="U12" i="7"/>
  <c r="U10" i="7"/>
  <c r="X8" i="7"/>
  <c r="AA14" i="7"/>
  <c r="W11" i="7"/>
  <c r="X13" i="7"/>
  <c r="AC9" i="7"/>
  <c r="AB13" i="7"/>
  <c r="AA9" i="7"/>
  <c r="V8" i="7"/>
  <c r="S14" i="7"/>
  <c r="V15" i="7"/>
  <c r="V14" i="7"/>
  <c r="Z11" i="7"/>
  <c r="S6" i="7"/>
  <c r="W9" i="7"/>
  <c r="Y12" i="7"/>
  <c r="AA12" i="7"/>
  <c r="Y13" i="7"/>
  <c r="T11" i="7"/>
  <c r="AC8" i="7"/>
  <c r="U7" i="7"/>
  <c r="S9" i="7"/>
  <c r="T7" i="7"/>
  <c r="W10" i="7"/>
  <c r="AA13" i="7"/>
  <c r="X12" i="7"/>
  <c r="U11" i="7"/>
  <c r="U13" i="7"/>
  <c r="S11" i="7"/>
  <c r="AB11" i="7"/>
  <c r="X7" i="7"/>
  <c r="V7" i="7"/>
  <c r="Y8" i="7"/>
  <c r="T9" i="7"/>
  <c r="AC12" i="7"/>
  <c r="V13" i="7"/>
  <c r="S13" i="7"/>
  <c r="T12" i="7"/>
  <c r="AB6" i="7"/>
  <c r="AC14" i="7"/>
  <c r="AA7" i="7"/>
  <c r="W14" i="7"/>
  <c r="V6" i="7"/>
  <c r="Z9" i="7"/>
  <c r="Y7" i="7"/>
  <c r="W8" i="7"/>
  <c r="T13" i="7"/>
  <c r="X9" i="7"/>
  <c r="AC7" i="7"/>
  <c r="Y14" i="7"/>
  <c r="AA10" i="7"/>
  <c r="AB12" i="7"/>
  <c r="AB7" i="7"/>
  <c r="U9" i="7"/>
  <c r="Z10" i="7"/>
  <c r="Z14" i="7"/>
  <c r="T14" i="7"/>
  <c r="X14" i="7"/>
  <c r="X10" i="7"/>
  <c r="V10" i="7"/>
  <c r="T6" i="7"/>
  <c r="V11" i="7"/>
  <c r="AB14" i="7"/>
  <c r="W12" i="7"/>
  <c r="T8" i="7"/>
  <c r="AB8" i="7"/>
  <c r="AC11" i="7"/>
  <c r="Z12" i="7"/>
  <c r="AC78" i="22"/>
  <c r="D20" i="22" s="1"/>
  <c r="AM9" i="7"/>
  <c r="AC84" i="8"/>
  <c r="AC86" i="8" s="1"/>
  <c r="D16" i="8"/>
  <c r="D26" i="8" s="1"/>
  <c r="D28" i="8" s="1"/>
  <c r="X58" i="25"/>
  <c r="AC84" i="23"/>
  <c r="AC86" i="23" s="1"/>
  <c r="D16" i="23"/>
  <c r="D26" i="23" s="1"/>
  <c r="D28" i="23" s="1"/>
  <c r="D26" i="24"/>
  <c r="D28" i="24" s="1"/>
  <c r="AC84" i="24"/>
  <c r="AC86" i="24" s="1"/>
  <c r="U6" i="25"/>
  <c r="U7" i="25"/>
  <c r="U15" i="7" s="1"/>
  <c r="AJ17" i="25"/>
  <c r="W7" i="25"/>
  <c r="W15" i="7" s="1"/>
  <c r="AL17" i="25"/>
  <c r="Y6" i="25"/>
  <c r="Y7" i="25"/>
  <c r="Y15" i="7" s="1"/>
  <c r="AN17" i="25"/>
  <c r="V6" i="25"/>
  <c r="AK17" i="25"/>
  <c r="Z7" i="25"/>
  <c r="Z15" i="7" s="1"/>
  <c r="AO17" i="25"/>
  <c r="T7" i="25"/>
  <c r="T15" i="7" s="1"/>
  <c r="AI17" i="25"/>
  <c r="AA7" i="25"/>
  <c r="AA15" i="7" s="1"/>
  <c r="AP17" i="25"/>
  <c r="S6" i="25"/>
  <c r="S7" i="25"/>
  <c r="S15" i="7" s="1"/>
  <c r="AH17" i="25"/>
  <c r="AH9" i="7" s="1"/>
  <c r="AB7" i="25"/>
  <c r="AB15" i="7" s="1"/>
  <c r="AQ17" i="25"/>
  <c r="AC7" i="25"/>
  <c r="AC15" i="7" s="1"/>
  <c r="AR17" i="25"/>
  <c r="N403" i="20"/>
  <c r="F403" i="20"/>
  <c r="M403" i="20"/>
  <c r="E403" i="20"/>
  <c r="L403" i="20"/>
  <c r="D403" i="20"/>
  <c r="K403" i="20"/>
  <c r="J403" i="20"/>
  <c r="I403" i="20"/>
  <c r="H403" i="20"/>
  <c r="C404" i="20"/>
  <c r="G403" i="20"/>
  <c r="J404" i="19"/>
  <c r="I404" i="19"/>
  <c r="H404" i="19"/>
  <c r="C405" i="19"/>
  <c r="G404" i="19"/>
  <c r="L404" i="19"/>
  <c r="D404" i="19"/>
  <c r="N404" i="19"/>
  <c r="M404" i="19"/>
  <c r="K404" i="19"/>
  <c r="E404" i="19"/>
  <c r="F404" i="19"/>
  <c r="N403" i="18"/>
  <c r="F403" i="18"/>
  <c r="M403" i="18"/>
  <c r="E403" i="18"/>
  <c r="L403" i="18"/>
  <c r="D403" i="18"/>
  <c r="K403" i="18"/>
  <c r="J403" i="18"/>
  <c r="I403" i="18"/>
  <c r="H403" i="18"/>
  <c r="C404" i="18"/>
  <c r="G403" i="18"/>
  <c r="AC75" i="22" l="1"/>
  <c r="D17" i="22" s="1"/>
  <c r="AJ9" i="7"/>
  <c r="AC80" i="22"/>
  <c r="D22" i="22" s="1"/>
  <c r="AO9" i="7"/>
  <c r="AC82" i="22"/>
  <c r="D24" i="22" s="1"/>
  <c r="AQ9" i="7"/>
  <c r="AC76" i="22"/>
  <c r="D18" i="22" s="1"/>
  <c r="AK9" i="7"/>
  <c r="AC83" i="22"/>
  <c r="D25" i="22" s="1"/>
  <c r="AR9" i="7"/>
  <c r="AC77" i="22"/>
  <c r="D19" i="22" s="1"/>
  <c r="AL9" i="7"/>
  <c r="AC81" i="22"/>
  <c r="D23" i="22" s="1"/>
  <c r="AP9" i="7"/>
  <c r="AC74" i="22"/>
  <c r="AI9" i="7"/>
  <c r="AC79" i="22"/>
  <c r="D21" i="22" s="1"/>
  <c r="AN9" i="7"/>
  <c r="J404" i="20"/>
  <c r="I404" i="20"/>
  <c r="H404" i="20"/>
  <c r="C405" i="20"/>
  <c r="G404" i="20"/>
  <c r="N404" i="20"/>
  <c r="F404" i="20"/>
  <c r="M404" i="20"/>
  <c r="E404" i="20"/>
  <c r="L404" i="20"/>
  <c r="D404" i="20"/>
  <c r="K404" i="20"/>
  <c r="N405" i="19"/>
  <c r="AR17" i="19" s="1"/>
  <c r="F405" i="19"/>
  <c r="U58" i="19" s="1"/>
  <c r="M405" i="19"/>
  <c r="AB58" i="19" s="1"/>
  <c r="E405" i="19"/>
  <c r="T58" i="19" s="1"/>
  <c r="L405" i="19"/>
  <c r="AA58" i="19" s="1"/>
  <c r="D405" i="19"/>
  <c r="S58" i="19" s="1"/>
  <c r="K405" i="19"/>
  <c r="Z58" i="19" s="1"/>
  <c r="H405" i="19"/>
  <c r="W58" i="19" s="1"/>
  <c r="G405" i="19"/>
  <c r="V58" i="19" s="1"/>
  <c r="J405" i="19"/>
  <c r="Y58" i="19" s="1"/>
  <c r="I405" i="19"/>
  <c r="X58" i="19" s="1"/>
  <c r="AC7" i="19"/>
  <c r="U8" i="19"/>
  <c r="AC6" i="19"/>
  <c r="X6" i="19"/>
  <c r="AC8" i="19"/>
  <c r="V8" i="19"/>
  <c r="AA6" i="19"/>
  <c r="W8" i="19"/>
  <c r="Y6" i="19"/>
  <c r="V9" i="19"/>
  <c r="T9" i="19"/>
  <c r="T8" i="19"/>
  <c r="U6" i="19"/>
  <c r="Y9" i="19"/>
  <c r="V6" i="19"/>
  <c r="V10" i="19"/>
  <c r="AB6" i="19"/>
  <c r="Z9" i="19"/>
  <c r="W10" i="19"/>
  <c r="S9" i="19"/>
  <c r="S6" i="19"/>
  <c r="Z10" i="19"/>
  <c r="U9" i="19"/>
  <c r="T10" i="19"/>
  <c r="AC9" i="19"/>
  <c r="AA10" i="19"/>
  <c r="W6" i="19"/>
  <c r="AB10" i="19"/>
  <c r="T6" i="19"/>
  <c r="W9" i="19"/>
  <c r="Z6" i="19"/>
  <c r="X11" i="19"/>
  <c r="V12" i="19"/>
  <c r="AB11" i="19"/>
  <c r="Z12" i="19"/>
  <c r="U10" i="19"/>
  <c r="AB9" i="19"/>
  <c r="T12" i="19"/>
  <c r="V11" i="19"/>
  <c r="AA9" i="19"/>
  <c r="T11" i="19"/>
  <c r="Y10" i="19"/>
  <c r="X9" i="19"/>
  <c r="W12" i="19"/>
  <c r="X12" i="19"/>
  <c r="AB12" i="19"/>
  <c r="S10" i="19"/>
  <c r="X10" i="19"/>
  <c r="S11" i="19"/>
  <c r="S12" i="19"/>
  <c r="AA11" i="19"/>
  <c r="AC10" i="19"/>
  <c r="Y12" i="19"/>
  <c r="U11" i="19"/>
  <c r="AC12" i="19"/>
  <c r="AC13" i="19"/>
  <c r="U12" i="19"/>
  <c r="AC11" i="19"/>
  <c r="Z11" i="19"/>
  <c r="Y13" i="19"/>
  <c r="V13" i="19"/>
  <c r="AA12" i="19"/>
  <c r="AB13" i="19"/>
  <c r="X13" i="19"/>
  <c r="U13" i="19"/>
  <c r="Y11" i="19"/>
  <c r="W11" i="19"/>
  <c r="Y15" i="19"/>
  <c r="S14" i="19"/>
  <c r="T13" i="19"/>
  <c r="Z15" i="19"/>
  <c r="AA15" i="19"/>
  <c r="S13" i="19"/>
  <c r="Z13" i="19"/>
  <c r="W13" i="19"/>
  <c r="T14" i="19"/>
  <c r="AA13" i="19"/>
  <c r="AB15" i="19"/>
  <c r="Y14" i="19"/>
  <c r="Z16" i="19"/>
  <c r="V14" i="19"/>
  <c r="W15" i="19"/>
  <c r="S15" i="19"/>
  <c r="AC16" i="19"/>
  <c r="W16" i="19"/>
  <c r="AB16" i="19"/>
  <c r="AC15" i="19"/>
  <c r="X15" i="19"/>
  <c r="U14" i="19"/>
  <c r="Z17" i="19"/>
  <c r="Z14" i="19"/>
  <c r="AA16" i="19"/>
  <c r="AA17" i="19"/>
  <c r="V15" i="19"/>
  <c r="X14" i="19"/>
  <c r="T15" i="19"/>
  <c r="W14" i="19"/>
  <c r="AB14" i="19"/>
  <c r="U15" i="19"/>
  <c r="S16" i="19"/>
  <c r="AC14" i="19"/>
  <c r="AA14" i="19"/>
  <c r="V18" i="19"/>
  <c r="X17" i="19"/>
  <c r="S17" i="19"/>
  <c r="V17" i="19"/>
  <c r="X16" i="19"/>
  <c r="Y16" i="19"/>
  <c r="T16" i="19"/>
  <c r="U16" i="19"/>
  <c r="V16" i="19"/>
  <c r="U18" i="19"/>
  <c r="T17" i="19"/>
  <c r="AB17" i="19"/>
  <c r="AA18" i="19"/>
  <c r="U17" i="19"/>
  <c r="Y17" i="19"/>
  <c r="AC17" i="19"/>
  <c r="AC20" i="19"/>
  <c r="W17" i="19"/>
  <c r="AC18" i="19"/>
  <c r="S18" i="19"/>
  <c r="Z18" i="19"/>
  <c r="W18" i="19"/>
  <c r="T18" i="19"/>
  <c r="X18" i="19"/>
  <c r="AB18" i="19"/>
  <c r="Z20" i="19"/>
  <c r="Y18" i="19"/>
  <c r="S20" i="19"/>
  <c r="T19" i="19"/>
  <c r="X19" i="19"/>
  <c r="V19" i="19"/>
  <c r="Y19" i="19"/>
  <c r="W19" i="19"/>
  <c r="AA20" i="19"/>
  <c r="AA19" i="19"/>
  <c r="AC19" i="19"/>
  <c r="AB19" i="19"/>
  <c r="Z19" i="19"/>
  <c r="U19" i="19"/>
  <c r="S19" i="19"/>
  <c r="V25" i="19"/>
  <c r="T20" i="19"/>
  <c r="T21" i="19"/>
  <c r="U20" i="19"/>
  <c r="AB20" i="19"/>
  <c r="AC21" i="19"/>
  <c r="W21" i="19"/>
  <c r="W20" i="19"/>
  <c r="AB21" i="19"/>
  <c r="V24" i="19"/>
  <c r="U21" i="19"/>
  <c r="Y20" i="19"/>
  <c r="X20" i="19"/>
  <c r="V20" i="19"/>
  <c r="V21" i="19"/>
  <c r="Y23" i="19"/>
  <c r="AB23" i="19"/>
  <c r="U22" i="19"/>
  <c r="V23" i="19"/>
  <c r="AA21" i="19"/>
  <c r="S21" i="19"/>
  <c r="T25" i="19"/>
  <c r="X21" i="19"/>
  <c r="Z21" i="19"/>
  <c r="AC25" i="19"/>
  <c r="Y21" i="19"/>
  <c r="AB27" i="19"/>
  <c r="Y22" i="19"/>
  <c r="X22" i="19"/>
  <c r="V27" i="19"/>
  <c r="S23" i="19"/>
  <c r="AA22" i="19"/>
  <c r="S22" i="19"/>
  <c r="T24" i="19"/>
  <c r="W22" i="19"/>
  <c r="X25" i="19"/>
  <c r="T22" i="19"/>
  <c r="W23" i="19"/>
  <c r="V22" i="19"/>
  <c r="AC22" i="19"/>
  <c r="AB22" i="19"/>
  <c r="Z22" i="19"/>
  <c r="T23" i="19"/>
  <c r="AC26" i="19"/>
  <c r="S24" i="19"/>
  <c r="Z25" i="19"/>
  <c r="Z24" i="19"/>
  <c r="AB26" i="19"/>
  <c r="AA23" i="19"/>
  <c r="S25" i="19"/>
  <c r="W24" i="19"/>
  <c r="AA25" i="19"/>
  <c r="Y24" i="19"/>
  <c r="AB24" i="19"/>
  <c r="AB25" i="19"/>
  <c r="X26" i="19"/>
  <c r="X24" i="19"/>
  <c r="AA24" i="19"/>
  <c r="Z26" i="19"/>
  <c r="AC23" i="19"/>
  <c r="U24" i="19"/>
  <c r="X23" i="19"/>
  <c r="U23" i="19"/>
  <c r="Z23" i="19"/>
  <c r="AC24" i="19"/>
  <c r="Y25" i="19"/>
  <c r="T26" i="19"/>
  <c r="Z28" i="19"/>
  <c r="Y27" i="19"/>
  <c r="W29" i="19"/>
  <c r="AA28" i="19"/>
  <c r="W25" i="19"/>
  <c r="AA30" i="19"/>
  <c r="U25" i="19"/>
  <c r="T27" i="19"/>
  <c r="AB28" i="19"/>
  <c r="U28" i="19"/>
  <c r="AA26" i="19"/>
  <c r="Z27" i="19"/>
  <c r="S26" i="19"/>
  <c r="AC27" i="19"/>
  <c r="V26" i="19"/>
  <c r="AA27" i="19"/>
  <c r="W27" i="19"/>
  <c r="W26" i="19"/>
  <c r="X27" i="19"/>
  <c r="V30" i="19"/>
  <c r="U26" i="19"/>
  <c r="Y26" i="19"/>
  <c r="S28" i="19"/>
  <c r="Y28" i="19"/>
  <c r="S29" i="19"/>
  <c r="W30" i="19"/>
  <c r="AB29" i="19"/>
  <c r="T28" i="19"/>
  <c r="Y29" i="19"/>
  <c r="V29" i="19"/>
  <c r="T30" i="19"/>
  <c r="AC30" i="19"/>
  <c r="W28" i="19"/>
  <c r="U29" i="19"/>
  <c r="AC28" i="19"/>
  <c r="U27" i="19"/>
  <c r="X28" i="19"/>
  <c r="Z29" i="19"/>
  <c r="AC29" i="19"/>
  <c r="V28" i="19"/>
  <c r="S27" i="19"/>
  <c r="T29" i="19"/>
  <c r="AB31" i="19"/>
  <c r="S31" i="19"/>
  <c r="AA29" i="19"/>
  <c r="U30" i="19"/>
  <c r="W31" i="19"/>
  <c r="Y31" i="19"/>
  <c r="S30" i="19"/>
  <c r="V31" i="19"/>
  <c r="AA32" i="19"/>
  <c r="Z30" i="19"/>
  <c r="Y30" i="19"/>
  <c r="Z31" i="19"/>
  <c r="AB30" i="19"/>
  <c r="AA31" i="19"/>
  <c r="AC31" i="19"/>
  <c r="X30" i="19"/>
  <c r="X29" i="19"/>
  <c r="T31" i="19"/>
  <c r="U31" i="19"/>
  <c r="X31" i="19"/>
  <c r="AC32" i="19"/>
  <c r="X32" i="19"/>
  <c r="T32" i="19"/>
  <c r="W33" i="19"/>
  <c r="Y32" i="19"/>
  <c r="Z33" i="19"/>
  <c r="AB32" i="19"/>
  <c r="Y33" i="19"/>
  <c r="W32" i="19"/>
  <c r="V33" i="19"/>
  <c r="V35" i="19"/>
  <c r="S32" i="19"/>
  <c r="AC33" i="19"/>
  <c r="S33" i="19"/>
  <c r="AA36" i="19"/>
  <c r="V32" i="19"/>
  <c r="Z32" i="19"/>
  <c r="Z35" i="19"/>
  <c r="T33" i="19"/>
  <c r="AC35" i="19"/>
  <c r="AB35" i="19"/>
  <c r="U32" i="19"/>
  <c r="U33" i="19"/>
  <c r="T35" i="19"/>
  <c r="S35" i="19"/>
  <c r="X33" i="19"/>
  <c r="Y37" i="19"/>
  <c r="AA35" i="19"/>
  <c r="X35" i="19"/>
  <c r="Y35" i="19"/>
  <c r="W36" i="19"/>
  <c r="AB33" i="19"/>
  <c r="AA33" i="19"/>
  <c r="Z34" i="19"/>
  <c r="AB34" i="19"/>
  <c r="AA34" i="19"/>
  <c r="Y36" i="19"/>
  <c r="AC34" i="19"/>
  <c r="V34" i="19"/>
  <c r="U34" i="19"/>
  <c r="AC36" i="19"/>
  <c r="X34" i="19"/>
  <c r="X36" i="19"/>
  <c r="T34" i="19"/>
  <c r="Y34" i="19"/>
  <c r="S34" i="19"/>
  <c r="W34" i="19"/>
  <c r="W35" i="19"/>
  <c r="T36" i="19"/>
  <c r="AC39" i="19"/>
  <c r="U35" i="19"/>
  <c r="S38" i="19"/>
  <c r="V40" i="19"/>
  <c r="W38" i="19"/>
  <c r="Y38" i="19"/>
  <c r="U36" i="19"/>
  <c r="AA41" i="19"/>
  <c r="AC40" i="19"/>
  <c r="W40" i="19"/>
  <c r="S37" i="19"/>
  <c r="AB37" i="19"/>
  <c r="AB38" i="19"/>
  <c r="S39" i="19"/>
  <c r="AA39" i="19"/>
  <c r="V36" i="19"/>
  <c r="AB36" i="19"/>
  <c r="T37" i="19"/>
  <c r="U38" i="19"/>
  <c r="W37" i="19"/>
  <c r="Z36" i="19"/>
  <c r="U37" i="19"/>
  <c r="X38" i="19"/>
  <c r="X37" i="19"/>
  <c r="Y40" i="19"/>
  <c r="Z39" i="19"/>
  <c r="X39" i="19"/>
  <c r="V37" i="19"/>
  <c r="V39" i="19"/>
  <c r="Y39" i="19"/>
  <c r="AB39" i="19"/>
  <c r="AA37" i="19"/>
  <c r="Z37" i="19"/>
  <c r="T39" i="19"/>
  <c r="W39" i="19"/>
  <c r="AC38" i="19"/>
  <c r="S36" i="19"/>
  <c r="AC37" i="19"/>
  <c r="AA38" i="19"/>
  <c r="AB40" i="19"/>
  <c r="T38" i="19"/>
  <c r="S41" i="19"/>
  <c r="X40" i="19"/>
  <c r="S40" i="19"/>
  <c r="AC45" i="19"/>
  <c r="V38" i="19"/>
  <c r="AA40" i="19"/>
  <c r="Z38" i="19"/>
  <c r="U39" i="19"/>
  <c r="Y41" i="19"/>
  <c r="T40" i="19"/>
  <c r="T41" i="19"/>
  <c r="Z40" i="19"/>
  <c r="U41" i="19"/>
  <c r="W41" i="19"/>
  <c r="U40" i="19"/>
  <c r="AB41" i="19"/>
  <c r="AC41" i="19"/>
  <c r="Z41" i="19"/>
  <c r="V41" i="19"/>
  <c r="X41" i="19"/>
  <c r="W45" i="19"/>
  <c r="Z42" i="19"/>
  <c r="Y42" i="19"/>
  <c r="W42" i="19"/>
  <c r="U42" i="19"/>
  <c r="X42" i="19"/>
  <c r="AA42" i="19"/>
  <c r="AB42" i="19"/>
  <c r="T42" i="19"/>
  <c r="AC42" i="19"/>
  <c r="V42" i="19"/>
  <c r="V45" i="19"/>
  <c r="S42" i="19"/>
  <c r="Y43" i="19"/>
  <c r="AC43" i="19"/>
  <c r="W47" i="19"/>
  <c r="Z43" i="19"/>
  <c r="V43" i="19"/>
  <c r="S43" i="19"/>
  <c r="AB45" i="19"/>
  <c r="U43" i="19"/>
  <c r="U45" i="19"/>
  <c r="AB43" i="19"/>
  <c r="X43" i="19"/>
  <c r="AA43" i="19"/>
  <c r="W43" i="19"/>
  <c r="T43" i="19"/>
  <c r="AC44" i="19"/>
  <c r="S45" i="19"/>
  <c r="T44" i="19"/>
  <c r="W48" i="19"/>
  <c r="W44" i="19"/>
  <c r="AA44" i="19"/>
  <c r="Z44" i="19"/>
  <c r="V46" i="19"/>
  <c r="AA45" i="19"/>
  <c r="AB44" i="19"/>
  <c r="S44" i="19"/>
  <c r="Z46" i="19"/>
  <c r="Y44" i="19"/>
  <c r="U46" i="19"/>
  <c r="AC46" i="19"/>
  <c r="T45" i="19"/>
  <c r="U44" i="19"/>
  <c r="V44" i="19"/>
  <c r="X44" i="19"/>
  <c r="W46" i="19"/>
  <c r="X45" i="19"/>
  <c r="Y45" i="19"/>
  <c r="AA46" i="19"/>
  <c r="T46" i="19"/>
  <c r="Z45" i="19"/>
  <c r="S46" i="19"/>
  <c r="AB48" i="19"/>
  <c r="AB46" i="19"/>
  <c r="AC48" i="19"/>
  <c r="U47" i="19"/>
  <c r="Z48" i="19"/>
  <c r="U48" i="19"/>
  <c r="T47" i="19"/>
  <c r="Y46" i="19"/>
  <c r="AB47" i="19"/>
  <c r="Z47" i="19"/>
  <c r="X46" i="19"/>
  <c r="T48" i="19"/>
  <c r="S47" i="19"/>
  <c r="V47" i="19"/>
  <c r="X48" i="19"/>
  <c r="AA47" i="19"/>
  <c r="Y47" i="19"/>
  <c r="S48" i="19"/>
  <c r="AC47" i="19"/>
  <c r="V48" i="19"/>
  <c r="X47" i="19"/>
  <c r="Y48" i="19"/>
  <c r="AA51" i="19"/>
  <c r="AA48" i="19"/>
  <c r="Y49" i="19"/>
  <c r="W49" i="19"/>
  <c r="U49" i="19"/>
  <c r="T49" i="19"/>
  <c r="AB49" i="19"/>
  <c r="V49" i="19"/>
  <c r="Z49" i="19"/>
  <c r="AA49" i="19"/>
  <c r="S49" i="19"/>
  <c r="X49" i="19"/>
  <c r="AC49" i="19"/>
  <c r="AA50" i="19"/>
  <c r="AC50" i="19"/>
  <c r="Y50" i="19"/>
  <c r="S50" i="19"/>
  <c r="AB50" i="19"/>
  <c r="T51" i="19"/>
  <c r="U51" i="19"/>
  <c r="V50" i="19"/>
  <c r="W50" i="19"/>
  <c r="V51" i="19"/>
  <c r="Z50" i="19"/>
  <c r="T50" i="19"/>
  <c r="X50" i="19"/>
  <c r="AC51" i="19"/>
  <c r="U50" i="19"/>
  <c r="AB51" i="19"/>
  <c r="Y51" i="19"/>
  <c r="T52" i="19"/>
  <c r="S51" i="19"/>
  <c r="W51" i="19"/>
  <c r="Z51" i="19"/>
  <c r="V52" i="19"/>
  <c r="X51" i="19"/>
  <c r="W52" i="19"/>
  <c r="AC52" i="19"/>
  <c r="AA54" i="19"/>
  <c r="AA56" i="19"/>
  <c r="AB52" i="19"/>
  <c r="U52" i="19"/>
  <c r="X52" i="19"/>
  <c r="AA52" i="19"/>
  <c r="Z52" i="19"/>
  <c r="Y52" i="19"/>
  <c r="S52" i="19"/>
  <c r="AA53" i="19"/>
  <c r="AC53" i="19"/>
  <c r="X53" i="19"/>
  <c r="W53" i="19"/>
  <c r="T53" i="19"/>
  <c r="S53" i="19"/>
  <c r="V53" i="19"/>
  <c r="U54" i="19"/>
  <c r="V54" i="19"/>
  <c r="W54" i="19"/>
  <c r="AC54" i="19"/>
  <c r="Z53" i="19"/>
  <c r="AB54" i="19"/>
  <c r="T54" i="19"/>
  <c r="U53" i="19"/>
  <c r="AB53" i="19"/>
  <c r="Y53" i="19"/>
  <c r="Y54" i="19"/>
  <c r="X54" i="19"/>
  <c r="S54" i="19"/>
  <c r="Z54" i="19"/>
  <c r="T56" i="19"/>
  <c r="U56" i="19"/>
  <c r="Z55" i="19"/>
  <c r="W55" i="19"/>
  <c r="AC55" i="19"/>
  <c r="AB56" i="19"/>
  <c r="X55" i="19"/>
  <c r="AC56" i="19"/>
  <c r="W56" i="19"/>
  <c r="U55" i="19"/>
  <c r="V56" i="19"/>
  <c r="T55" i="19"/>
  <c r="AB55" i="19"/>
  <c r="S55" i="19"/>
  <c r="AA55" i="19"/>
  <c r="Y55" i="19"/>
  <c r="V55" i="19"/>
  <c r="AC57" i="19"/>
  <c r="U57" i="19"/>
  <c r="Z56" i="19"/>
  <c r="AB57" i="19"/>
  <c r="S56" i="19"/>
  <c r="X56" i="19"/>
  <c r="T57" i="19"/>
  <c r="V57" i="19"/>
  <c r="W57" i="19"/>
  <c r="Y56" i="19"/>
  <c r="X57" i="19"/>
  <c r="S57" i="19"/>
  <c r="Y57" i="19"/>
  <c r="AA57" i="19"/>
  <c r="Z57" i="19"/>
  <c r="J404" i="18"/>
  <c r="I404" i="18"/>
  <c r="H404" i="18"/>
  <c r="C405" i="18"/>
  <c r="S6" i="18" s="1"/>
  <c r="G404" i="18"/>
  <c r="N404" i="18"/>
  <c r="F404" i="18"/>
  <c r="M404" i="18"/>
  <c r="E404" i="18"/>
  <c r="L404" i="18"/>
  <c r="D404" i="18"/>
  <c r="K404" i="18"/>
  <c r="AC84" i="22" l="1"/>
  <c r="AC86" i="22" s="1"/>
  <c r="D16" i="22"/>
  <c r="D26" i="22" s="1"/>
  <c r="D28" i="22" s="1"/>
  <c r="AC58" i="19"/>
  <c r="AC83" i="12"/>
  <c r="D25" i="12" s="1"/>
  <c r="N405" i="20"/>
  <c r="AC58" i="20" s="1"/>
  <c r="F405" i="20"/>
  <c r="U58" i="20" s="1"/>
  <c r="M405" i="20"/>
  <c r="AB58" i="20" s="1"/>
  <c r="E405" i="20"/>
  <c r="T58" i="20" s="1"/>
  <c r="L405" i="20"/>
  <c r="AA58" i="20" s="1"/>
  <c r="D405" i="20"/>
  <c r="S58" i="20" s="1"/>
  <c r="K405" i="20"/>
  <c r="Z58" i="20" s="1"/>
  <c r="J405" i="20"/>
  <c r="Y58" i="20" s="1"/>
  <c r="I405" i="20"/>
  <c r="X58" i="20" s="1"/>
  <c r="H405" i="20"/>
  <c r="W58" i="20" s="1"/>
  <c r="G405" i="20"/>
  <c r="V58" i="20" s="1"/>
  <c r="Y6" i="20"/>
  <c r="AB6" i="20"/>
  <c r="S9" i="20"/>
  <c r="W8" i="20"/>
  <c r="V6" i="20"/>
  <c r="V10" i="20"/>
  <c r="S6" i="20"/>
  <c r="U6" i="20"/>
  <c r="W9" i="20"/>
  <c r="Z9" i="20"/>
  <c r="X9" i="20"/>
  <c r="X6" i="20"/>
  <c r="AC8" i="20"/>
  <c r="AC9" i="20"/>
  <c r="U9" i="20"/>
  <c r="AA8" i="20"/>
  <c r="V8" i="20"/>
  <c r="Y8" i="20"/>
  <c r="T8" i="20"/>
  <c r="T6" i="20"/>
  <c r="AA9" i="20"/>
  <c r="AB8" i="20"/>
  <c r="S8" i="20"/>
  <c r="X8" i="20"/>
  <c r="Z8" i="20"/>
  <c r="U8" i="20"/>
  <c r="T9" i="20"/>
  <c r="AC10" i="20"/>
  <c r="AB9" i="20"/>
  <c r="X10" i="20"/>
  <c r="T10" i="20"/>
  <c r="Z10" i="20"/>
  <c r="Y9" i="20"/>
  <c r="S10" i="20"/>
  <c r="V9" i="20"/>
  <c r="Y10" i="20"/>
  <c r="AB10" i="20"/>
  <c r="AA10" i="20"/>
  <c r="W10" i="20"/>
  <c r="U10" i="20"/>
  <c r="W11" i="20"/>
  <c r="Y11" i="20"/>
  <c r="Z11" i="20"/>
  <c r="X11" i="20"/>
  <c r="U11" i="20"/>
  <c r="AC11" i="20"/>
  <c r="AB11" i="20"/>
  <c r="AA11" i="20"/>
  <c r="S11" i="20"/>
  <c r="V11" i="20"/>
  <c r="T11" i="20"/>
  <c r="W13" i="20"/>
  <c r="Y12" i="20"/>
  <c r="V13" i="20"/>
  <c r="AC13" i="20"/>
  <c r="S13" i="20"/>
  <c r="Y13" i="20"/>
  <c r="U12" i="20"/>
  <c r="W12" i="20"/>
  <c r="X13" i="20"/>
  <c r="Z12" i="20"/>
  <c r="T13" i="20"/>
  <c r="V12" i="20"/>
  <c r="T14" i="20"/>
  <c r="X12" i="20"/>
  <c r="AC12" i="20"/>
  <c r="S12" i="20"/>
  <c r="AA12" i="20"/>
  <c r="AA13" i="20"/>
  <c r="U13" i="20"/>
  <c r="AB13" i="20"/>
  <c r="Z13" i="20"/>
  <c r="AB12" i="20"/>
  <c r="T12" i="20"/>
  <c r="AB14" i="20"/>
  <c r="Z17" i="20"/>
  <c r="Y14" i="20"/>
  <c r="W15" i="20"/>
  <c r="Y15" i="20"/>
  <c r="U15" i="20"/>
  <c r="V15" i="20"/>
  <c r="AC15" i="20"/>
  <c r="AC17" i="20"/>
  <c r="AA17" i="20"/>
  <c r="S15" i="20"/>
  <c r="X14" i="20"/>
  <c r="AA14" i="20"/>
  <c r="Z15" i="20"/>
  <c r="V14" i="20"/>
  <c r="AA15" i="20"/>
  <c r="T15" i="20"/>
  <c r="S14" i="20"/>
  <c r="W14" i="20"/>
  <c r="X15" i="20"/>
  <c r="U14" i="20"/>
  <c r="Z14" i="20"/>
  <c r="AB15" i="20"/>
  <c r="X17" i="20"/>
  <c r="T17" i="20"/>
  <c r="AC14" i="20"/>
  <c r="AB17" i="20"/>
  <c r="V16" i="20"/>
  <c r="AA19" i="20"/>
  <c r="Y19" i="20"/>
  <c r="W17" i="20"/>
  <c r="T16" i="20"/>
  <c r="Z16" i="20"/>
  <c r="Y17" i="20"/>
  <c r="AC16" i="20"/>
  <c r="Y16" i="20"/>
  <c r="U16" i="20"/>
  <c r="S17" i="20"/>
  <c r="S16" i="20"/>
  <c r="U17" i="20"/>
  <c r="AA16" i="20"/>
  <c r="AB16" i="20"/>
  <c r="T20" i="20"/>
  <c r="X16" i="20"/>
  <c r="W16" i="20"/>
  <c r="V17" i="20"/>
  <c r="U18" i="20"/>
  <c r="S20" i="20"/>
  <c r="AB19" i="20"/>
  <c r="X18" i="20"/>
  <c r="S18" i="20"/>
  <c r="T18" i="20"/>
  <c r="Z18" i="20"/>
  <c r="W18" i="20"/>
  <c r="V18" i="20"/>
  <c r="AC18" i="20"/>
  <c r="AB18" i="20"/>
  <c r="Y20" i="20"/>
  <c r="AA18" i="20"/>
  <c r="Y18" i="20"/>
  <c r="U19" i="20"/>
  <c r="S19" i="20"/>
  <c r="V20" i="20"/>
  <c r="V19" i="20"/>
  <c r="Z20" i="20"/>
  <c r="W20" i="20"/>
  <c r="Z19" i="20"/>
  <c r="W19" i="20"/>
  <c r="T19" i="20"/>
  <c r="W22" i="20"/>
  <c r="AA21" i="20"/>
  <c r="W21" i="20"/>
  <c r="X20" i="20"/>
  <c r="X19" i="20"/>
  <c r="AC19" i="20"/>
  <c r="AC20" i="20"/>
  <c r="U20" i="20"/>
  <c r="U23" i="20"/>
  <c r="AB20" i="20"/>
  <c r="AA20" i="20"/>
  <c r="V22" i="20"/>
  <c r="S22" i="20"/>
  <c r="AB22" i="20"/>
  <c r="T21" i="20"/>
  <c r="AC22" i="20"/>
  <c r="V26" i="20"/>
  <c r="V21" i="20"/>
  <c r="X21" i="20"/>
  <c r="S21" i="20"/>
  <c r="Z21" i="20"/>
  <c r="U25" i="20"/>
  <c r="U21" i="20"/>
  <c r="AA22" i="20"/>
  <c r="U22" i="20"/>
  <c r="Z22" i="20"/>
  <c r="Y21" i="20"/>
  <c r="AB21" i="20"/>
  <c r="AC21" i="20"/>
  <c r="X23" i="20"/>
  <c r="T22" i="20"/>
  <c r="Y22" i="20"/>
  <c r="Z26" i="20"/>
  <c r="Y23" i="20"/>
  <c r="X22" i="20"/>
  <c r="V23" i="20"/>
  <c r="AC23" i="20"/>
  <c r="W23" i="20"/>
  <c r="T23" i="20"/>
  <c r="Y25" i="20"/>
  <c r="T24" i="20"/>
  <c r="AB23" i="20"/>
  <c r="S23" i="20"/>
  <c r="V24" i="20"/>
  <c r="AB24" i="20"/>
  <c r="AC24" i="20"/>
  <c r="X24" i="20"/>
  <c r="W25" i="20"/>
  <c r="AA25" i="20"/>
  <c r="Z23" i="20"/>
  <c r="S26" i="20"/>
  <c r="AA23" i="20"/>
  <c r="AC26" i="20"/>
  <c r="Y24" i="20"/>
  <c r="AA27" i="20"/>
  <c r="AA26" i="20"/>
  <c r="Y27" i="20"/>
  <c r="U26" i="20"/>
  <c r="AC25" i="20"/>
  <c r="X26" i="20"/>
  <c r="S24" i="20"/>
  <c r="W26" i="20"/>
  <c r="Z24" i="20"/>
  <c r="W24" i="20"/>
  <c r="AA24" i="20"/>
  <c r="Z25" i="20"/>
  <c r="U24" i="20"/>
  <c r="U27" i="20"/>
  <c r="T25" i="20"/>
  <c r="U29" i="20"/>
  <c r="Z28" i="20"/>
  <c r="Z27" i="20"/>
  <c r="AB25" i="20"/>
  <c r="AB27" i="20"/>
  <c r="S25" i="20"/>
  <c r="X25" i="20"/>
  <c r="U30" i="20"/>
  <c r="T26" i="20"/>
  <c r="AB26" i="20"/>
  <c r="V25" i="20"/>
  <c r="T30" i="20"/>
  <c r="Z30" i="20"/>
  <c r="W27" i="20"/>
  <c r="V28" i="20"/>
  <c r="T27" i="20"/>
  <c r="AB29" i="20"/>
  <c r="AC28" i="20"/>
  <c r="U28" i="20"/>
  <c r="AB30" i="20"/>
  <c r="Y26" i="20"/>
  <c r="V27" i="20"/>
  <c r="AC27" i="20"/>
  <c r="V30" i="20"/>
  <c r="X30" i="20"/>
  <c r="AB28" i="20"/>
  <c r="W29" i="20"/>
  <c r="X29" i="20"/>
  <c r="W30" i="20"/>
  <c r="Y29" i="20"/>
  <c r="W28" i="20"/>
  <c r="X27" i="20"/>
  <c r="S27" i="20"/>
  <c r="AC29" i="20"/>
  <c r="V29" i="20"/>
  <c r="AA31" i="20"/>
  <c r="T28" i="20"/>
  <c r="AA28" i="20"/>
  <c r="U32" i="20"/>
  <c r="U31" i="20"/>
  <c r="Z29" i="20"/>
  <c r="AB31" i="20"/>
  <c r="S30" i="20"/>
  <c r="T29" i="20"/>
  <c r="X28" i="20"/>
  <c r="S28" i="20"/>
  <c r="U33" i="20"/>
  <c r="Y28" i="20"/>
  <c r="S31" i="20"/>
  <c r="AA29" i="20"/>
  <c r="AA30" i="20"/>
  <c r="S29" i="20"/>
  <c r="X31" i="20"/>
  <c r="Y30" i="20"/>
  <c r="Y31" i="20"/>
  <c r="AC30" i="20"/>
  <c r="W31" i="20"/>
  <c r="T33" i="20"/>
  <c r="V31" i="20"/>
  <c r="T31" i="20"/>
  <c r="Z31" i="20"/>
  <c r="AC31" i="20"/>
  <c r="S32" i="20"/>
  <c r="AA32" i="20"/>
  <c r="AC33" i="20"/>
  <c r="T32" i="20"/>
  <c r="W33" i="20"/>
  <c r="Y33" i="20"/>
  <c r="X33" i="20"/>
  <c r="Z32" i="20"/>
  <c r="AC32" i="20"/>
  <c r="Y32" i="20"/>
  <c r="AB32" i="20"/>
  <c r="X32" i="20"/>
  <c r="V32" i="20"/>
  <c r="W32" i="20"/>
  <c r="S33" i="20"/>
  <c r="AB33" i="20"/>
  <c r="W35" i="20"/>
  <c r="Z34" i="20"/>
  <c r="Z33" i="20"/>
  <c r="V33" i="20"/>
  <c r="T37" i="20"/>
  <c r="AA33" i="20"/>
  <c r="AC35" i="20"/>
  <c r="X34" i="20"/>
  <c r="AC34" i="20"/>
  <c r="T35" i="20"/>
  <c r="V34" i="20"/>
  <c r="Y40" i="20"/>
  <c r="AB35" i="20"/>
  <c r="AA38" i="20"/>
  <c r="Z35" i="20"/>
  <c r="AA34" i="20"/>
  <c r="AB34" i="20"/>
  <c r="T34" i="20"/>
  <c r="S34" i="20"/>
  <c r="Y34" i="20"/>
  <c r="X35" i="20"/>
  <c r="V35" i="20"/>
  <c r="U34" i="20"/>
  <c r="S38" i="20"/>
  <c r="U35" i="20"/>
  <c r="W34" i="20"/>
  <c r="X37" i="20"/>
  <c r="V36" i="20"/>
  <c r="U36" i="20"/>
  <c r="T39" i="20"/>
  <c r="W40" i="20"/>
  <c r="V37" i="20"/>
  <c r="U39" i="20"/>
  <c r="S35" i="20"/>
  <c r="X40" i="20"/>
  <c r="Z37" i="20"/>
  <c r="S39" i="20"/>
  <c r="Y35" i="20"/>
  <c r="AA35" i="20"/>
  <c r="T38" i="20"/>
  <c r="U38" i="20"/>
  <c r="T36" i="20"/>
  <c r="Y39" i="20"/>
  <c r="S40" i="20"/>
  <c r="U40" i="20"/>
  <c r="V39" i="20"/>
  <c r="AB40" i="20"/>
  <c r="AB36" i="20"/>
  <c r="AB39" i="20"/>
  <c r="X36" i="20"/>
  <c r="X39" i="20"/>
  <c r="S36" i="20"/>
  <c r="X38" i="20"/>
  <c r="AB38" i="20"/>
  <c r="Y38" i="20"/>
  <c r="AC37" i="20"/>
  <c r="V38" i="20"/>
  <c r="AA36" i="20"/>
  <c r="AA40" i="20"/>
  <c r="W36" i="20"/>
  <c r="Y36" i="20"/>
  <c r="W37" i="20"/>
  <c r="S37" i="20"/>
  <c r="W39" i="20"/>
  <c r="AB37" i="20"/>
  <c r="Z39" i="20"/>
  <c r="V40" i="20"/>
  <c r="AC36" i="20"/>
  <c r="AA37" i="20"/>
  <c r="Z40" i="20"/>
  <c r="Z38" i="20"/>
  <c r="Y41" i="20"/>
  <c r="Y37" i="20"/>
  <c r="U37" i="20"/>
  <c r="AC38" i="20"/>
  <c r="AC40" i="20"/>
  <c r="T40" i="20"/>
  <c r="Z36" i="20"/>
  <c r="W38" i="20"/>
  <c r="AC39" i="20"/>
  <c r="S41" i="20"/>
  <c r="AA39" i="20"/>
  <c r="AB41" i="20"/>
  <c r="T41" i="20"/>
  <c r="W41" i="20"/>
  <c r="AC41" i="20"/>
  <c r="U41" i="20"/>
  <c r="V41" i="20"/>
  <c r="AA41" i="20"/>
  <c r="X41" i="20"/>
  <c r="Z41" i="20"/>
  <c r="Z42" i="20"/>
  <c r="W42" i="20"/>
  <c r="S42" i="20"/>
  <c r="T42" i="20"/>
  <c r="Y42" i="20"/>
  <c r="AC42" i="20"/>
  <c r="AA42" i="20"/>
  <c r="X42" i="20"/>
  <c r="AB42" i="20"/>
  <c r="V42" i="20"/>
  <c r="AB45" i="20"/>
  <c r="U42" i="20"/>
  <c r="X43" i="20"/>
  <c r="Y43" i="20"/>
  <c r="AC43" i="20"/>
  <c r="S43" i="20"/>
  <c r="V43" i="20"/>
  <c r="W43" i="20"/>
  <c r="U43" i="20"/>
  <c r="Z43" i="20"/>
  <c r="AB43" i="20"/>
  <c r="T43" i="20"/>
  <c r="AA43" i="20"/>
  <c r="W45" i="20"/>
  <c r="U44" i="20"/>
  <c r="U45" i="20"/>
  <c r="Y44" i="20"/>
  <c r="W44" i="20"/>
  <c r="AA45" i="20"/>
  <c r="T44" i="20"/>
  <c r="X44" i="20"/>
  <c r="Z44" i="20"/>
  <c r="T45" i="20"/>
  <c r="AC45" i="20"/>
  <c r="S45" i="20"/>
  <c r="AA44" i="20"/>
  <c r="V45" i="20"/>
  <c r="AC44" i="20"/>
  <c r="AB44" i="20"/>
  <c r="V44" i="20"/>
  <c r="S44" i="20"/>
  <c r="T49" i="20"/>
  <c r="Y45" i="20"/>
  <c r="X45" i="20"/>
  <c r="Z45" i="20"/>
  <c r="AA46" i="20"/>
  <c r="Z47" i="20"/>
  <c r="T46" i="20"/>
  <c r="W47" i="20"/>
  <c r="AA47" i="20"/>
  <c r="Z46" i="20"/>
  <c r="AB46" i="20"/>
  <c r="Y47" i="20"/>
  <c r="AC47" i="20"/>
  <c r="S47" i="20"/>
  <c r="AB47" i="20"/>
  <c r="Y46" i="20"/>
  <c r="X46" i="20"/>
  <c r="T47" i="20"/>
  <c r="S46" i="20"/>
  <c r="AC46" i="20"/>
  <c r="U46" i="20"/>
  <c r="W46" i="20"/>
  <c r="V46" i="20"/>
  <c r="Y48" i="20"/>
  <c r="S48" i="20"/>
  <c r="Z48" i="20"/>
  <c r="V47" i="20"/>
  <c r="AB48" i="20"/>
  <c r="W48" i="20"/>
  <c r="AC48" i="20"/>
  <c r="U47" i="20"/>
  <c r="X47" i="20"/>
  <c r="Z49" i="20"/>
  <c r="T48" i="20"/>
  <c r="AA48" i="20"/>
  <c r="S49" i="20"/>
  <c r="U48" i="20"/>
  <c r="V48" i="20"/>
  <c r="AB49" i="20"/>
  <c r="X48" i="20"/>
  <c r="AA49" i="20"/>
  <c r="V49" i="20"/>
  <c r="Z50" i="20"/>
  <c r="X49" i="20"/>
  <c r="AB50" i="20"/>
  <c r="W49" i="20"/>
  <c r="U49" i="20"/>
  <c r="U50" i="20"/>
  <c r="AA50" i="20"/>
  <c r="Y53" i="20"/>
  <c r="V50" i="20"/>
  <c r="AC49" i="20"/>
  <c r="X53" i="20"/>
  <c r="Z54" i="20"/>
  <c r="V53" i="20"/>
  <c r="T50" i="20"/>
  <c r="Y49" i="20"/>
  <c r="X50" i="20"/>
  <c r="Y50" i="20"/>
  <c r="AC50" i="20"/>
  <c r="U54" i="20"/>
  <c r="T54" i="20"/>
  <c r="S50" i="20"/>
  <c r="W55" i="20"/>
  <c r="W50" i="20"/>
  <c r="S54" i="20"/>
  <c r="W51" i="20"/>
  <c r="AB51" i="20"/>
  <c r="T51" i="20"/>
  <c r="X51" i="20"/>
  <c r="AA51" i="20"/>
  <c r="AC54" i="20"/>
  <c r="U51" i="20"/>
  <c r="V51" i="20"/>
  <c r="S51" i="20"/>
  <c r="W54" i="20"/>
  <c r="AC51" i="20"/>
  <c r="Y51" i="20"/>
  <c r="Z51" i="20"/>
  <c r="AA54" i="20"/>
  <c r="Y54" i="20"/>
  <c r="X52" i="20"/>
  <c r="W52" i="20"/>
  <c r="AA53" i="20"/>
  <c r="AA52" i="20"/>
  <c r="V52" i="20"/>
  <c r="T52" i="20"/>
  <c r="S53" i="20"/>
  <c r="AB52" i="20"/>
  <c r="T53" i="20"/>
  <c r="Y52" i="20"/>
  <c r="U52" i="20"/>
  <c r="AC52" i="20"/>
  <c r="W53" i="20"/>
  <c r="AB53" i="20"/>
  <c r="Z52" i="20"/>
  <c r="S52" i="20"/>
  <c r="Z55" i="20"/>
  <c r="Z53" i="20"/>
  <c r="AB54" i="20"/>
  <c r="X54" i="20"/>
  <c r="T55" i="20"/>
  <c r="S55" i="20"/>
  <c r="AA55" i="20"/>
  <c r="V54" i="20"/>
  <c r="T57" i="20"/>
  <c r="AC53" i="20"/>
  <c r="AC55" i="20"/>
  <c r="U53" i="20"/>
  <c r="Y55" i="20"/>
  <c r="T56" i="20"/>
  <c r="AA56" i="20"/>
  <c r="AB56" i="20"/>
  <c r="AB55" i="20"/>
  <c r="X55" i="20"/>
  <c r="Y56" i="20"/>
  <c r="V55" i="20"/>
  <c r="S56" i="20"/>
  <c r="U55" i="20"/>
  <c r="S57" i="20"/>
  <c r="Y57" i="20"/>
  <c r="X56" i="20"/>
  <c r="AA57" i="20"/>
  <c r="AC57" i="20"/>
  <c r="X57" i="20"/>
  <c r="V57" i="20"/>
  <c r="Z57" i="20"/>
  <c r="W57" i="20"/>
  <c r="AC56" i="20"/>
  <c r="W56" i="20"/>
  <c r="Z56" i="20"/>
  <c r="U56" i="20"/>
  <c r="V56" i="20"/>
  <c r="AB57" i="20"/>
  <c r="U57" i="20"/>
  <c r="W7" i="19"/>
  <c r="AL17" i="19"/>
  <c r="Z7" i="19"/>
  <c r="Z8" i="19"/>
  <c r="AO17" i="19"/>
  <c r="S7" i="19"/>
  <c r="S8" i="19"/>
  <c r="AH17" i="19"/>
  <c r="AS9" i="7" s="1"/>
  <c r="AA7" i="19"/>
  <c r="AA8" i="19"/>
  <c r="AP17" i="19"/>
  <c r="T7" i="19"/>
  <c r="AI17" i="19"/>
  <c r="X7" i="19"/>
  <c r="X8" i="19"/>
  <c r="AM17" i="19"/>
  <c r="AB7" i="19"/>
  <c r="AB8" i="19"/>
  <c r="AQ17" i="19"/>
  <c r="Y7" i="19"/>
  <c r="Y8" i="19"/>
  <c r="AN17" i="19"/>
  <c r="U7" i="19"/>
  <c r="AJ17" i="19"/>
  <c r="V7" i="19"/>
  <c r="AK17" i="19"/>
  <c r="N405" i="18"/>
  <c r="AC58" i="18" s="1"/>
  <c r="F405" i="18"/>
  <c r="U58" i="18" s="1"/>
  <c r="M405" i="18"/>
  <c r="AB58" i="18" s="1"/>
  <c r="E405" i="18"/>
  <c r="T58" i="18" s="1"/>
  <c r="L405" i="18"/>
  <c r="AP17" i="18" s="1"/>
  <c r="D405" i="18"/>
  <c r="S58" i="18" s="1"/>
  <c r="K405" i="18"/>
  <c r="Z58" i="18" s="1"/>
  <c r="J405" i="18"/>
  <c r="Y58" i="18" s="1"/>
  <c r="I405" i="18"/>
  <c r="X58" i="18" s="1"/>
  <c r="H405" i="18"/>
  <c r="AL17" i="18" s="1"/>
  <c r="G405" i="18"/>
  <c r="V58" i="18" s="1"/>
  <c r="Z6" i="18"/>
  <c r="AA7" i="18"/>
  <c r="AA6" i="18"/>
  <c r="Z8" i="18"/>
  <c r="Y6" i="18"/>
  <c r="W6" i="18"/>
  <c r="W7" i="18"/>
  <c r="W8" i="18"/>
  <c r="X8" i="18"/>
  <c r="Y8" i="18"/>
  <c r="AC8" i="18"/>
  <c r="W9" i="18"/>
  <c r="AB8" i="18"/>
  <c r="U11" i="18"/>
  <c r="X9" i="18"/>
  <c r="U8" i="18"/>
  <c r="V8" i="18"/>
  <c r="S8" i="18"/>
  <c r="AA8" i="18"/>
  <c r="Y13" i="18"/>
  <c r="Z9" i="18"/>
  <c r="Y9" i="18"/>
  <c r="T8" i="18"/>
  <c r="AC9" i="18"/>
  <c r="T9" i="18"/>
  <c r="U10" i="18"/>
  <c r="AA9" i="18"/>
  <c r="V9" i="18"/>
  <c r="AB9" i="18"/>
  <c r="W14" i="18"/>
  <c r="S9" i="18"/>
  <c r="Z10" i="18"/>
  <c r="AA13" i="18"/>
  <c r="U9" i="18"/>
  <c r="U12" i="18"/>
  <c r="AB11" i="18"/>
  <c r="X11" i="18"/>
  <c r="AB10" i="18"/>
  <c r="T11" i="18"/>
  <c r="Z11" i="18"/>
  <c r="W10" i="18"/>
  <c r="X10" i="18"/>
  <c r="AC10" i="18"/>
  <c r="S11" i="18"/>
  <c r="W11" i="18"/>
  <c r="AC11" i="18"/>
  <c r="S10" i="18"/>
  <c r="AA11" i="18"/>
  <c r="T10" i="18"/>
  <c r="V11" i="18"/>
  <c r="V10" i="18"/>
  <c r="Y11" i="18"/>
  <c r="Y10" i="18"/>
  <c r="AA10" i="18"/>
  <c r="AA12" i="18"/>
  <c r="U13" i="18"/>
  <c r="X14" i="18"/>
  <c r="X12" i="18"/>
  <c r="AC13" i="18"/>
  <c r="AC12" i="18"/>
  <c r="Z14" i="18"/>
  <c r="V12" i="18"/>
  <c r="W12" i="18"/>
  <c r="V13" i="18"/>
  <c r="AB12" i="18"/>
  <c r="T13" i="18"/>
  <c r="Z13" i="18"/>
  <c r="W13" i="18"/>
  <c r="Y12" i="18"/>
  <c r="AB13" i="18"/>
  <c r="X13" i="18"/>
  <c r="T12" i="18"/>
  <c r="Z12" i="18"/>
  <c r="AA14" i="18"/>
  <c r="S12" i="18"/>
  <c r="T14" i="18"/>
  <c r="AC14" i="18"/>
  <c r="S14" i="18"/>
  <c r="Y14" i="18"/>
  <c r="S13" i="18"/>
  <c r="T15" i="18"/>
  <c r="Y15" i="18"/>
  <c r="U14" i="18"/>
  <c r="V15" i="18"/>
  <c r="Z15" i="18"/>
  <c r="X15" i="18"/>
  <c r="U15" i="18"/>
  <c r="AB15" i="18"/>
  <c r="S15" i="18"/>
  <c r="S18" i="18"/>
  <c r="V14" i="18"/>
  <c r="AC15" i="18"/>
  <c r="W15" i="18"/>
  <c r="AB14" i="18"/>
  <c r="AA15" i="18"/>
  <c r="W17" i="18"/>
  <c r="AA18" i="18"/>
  <c r="AA17" i="18"/>
  <c r="Z16" i="18"/>
  <c r="Y16" i="18"/>
  <c r="T16" i="18"/>
  <c r="Z17" i="18"/>
  <c r="AC16" i="18"/>
  <c r="V16" i="18"/>
  <c r="U17" i="18"/>
  <c r="U16" i="18"/>
  <c r="X16" i="18"/>
  <c r="AB16" i="18"/>
  <c r="V17" i="18"/>
  <c r="S17" i="18"/>
  <c r="Y17" i="18"/>
  <c r="T17" i="18"/>
  <c r="AA16" i="18"/>
  <c r="X17" i="18"/>
  <c r="AA20" i="18"/>
  <c r="AC17" i="18"/>
  <c r="Z18" i="18"/>
  <c r="S19" i="18"/>
  <c r="Z19" i="18"/>
  <c r="AC19" i="18"/>
  <c r="T19" i="18"/>
  <c r="T18" i="18"/>
  <c r="S16" i="18"/>
  <c r="AB17" i="18"/>
  <c r="W16" i="18"/>
  <c r="X22" i="18"/>
  <c r="Y20" i="18"/>
  <c r="X18" i="18"/>
  <c r="V18" i="18"/>
  <c r="W18" i="18"/>
  <c r="AC18" i="18"/>
  <c r="Y18" i="18"/>
  <c r="Y19" i="18"/>
  <c r="AA22" i="18"/>
  <c r="U18" i="18"/>
  <c r="AB18" i="18"/>
  <c r="V19" i="18"/>
  <c r="AB22" i="18"/>
  <c r="W21" i="18"/>
  <c r="X21" i="18"/>
  <c r="Z20" i="18"/>
  <c r="AB19" i="18"/>
  <c r="U19" i="18"/>
  <c r="U20" i="18"/>
  <c r="AB20" i="18"/>
  <c r="X20" i="18"/>
  <c r="T20" i="18"/>
  <c r="W19" i="18"/>
  <c r="X19" i="18"/>
  <c r="V20" i="18"/>
  <c r="AC20" i="18"/>
  <c r="AA19" i="18"/>
  <c r="S20" i="18"/>
  <c r="W20" i="18"/>
  <c r="Z22" i="18"/>
  <c r="W22" i="18"/>
  <c r="T21" i="18"/>
  <c r="AA21" i="18"/>
  <c r="AB23" i="18"/>
  <c r="Y21" i="18"/>
  <c r="AB21" i="18"/>
  <c r="U21" i="18"/>
  <c r="V21" i="18"/>
  <c r="S21" i="18"/>
  <c r="AC21" i="18"/>
  <c r="Z21" i="18"/>
  <c r="S23" i="18"/>
  <c r="X23" i="18"/>
  <c r="V22" i="18"/>
  <c r="AC22" i="18"/>
  <c r="S22" i="18"/>
  <c r="V23" i="18"/>
  <c r="U25" i="18"/>
  <c r="Y23" i="18"/>
  <c r="Z23" i="18"/>
  <c r="T22" i="18"/>
  <c r="W23" i="18"/>
  <c r="AB27" i="18"/>
  <c r="AC27" i="18"/>
  <c r="T23" i="18"/>
  <c r="AA23" i="18"/>
  <c r="Y22" i="18"/>
  <c r="U22" i="18"/>
  <c r="U23" i="18"/>
  <c r="AC23" i="18"/>
  <c r="U24" i="18"/>
  <c r="AC25" i="18"/>
  <c r="W24" i="18"/>
  <c r="AB25" i="18"/>
  <c r="AC24" i="18"/>
  <c r="W28" i="18"/>
  <c r="Y24" i="18"/>
  <c r="T24" i="18"/>
  <c r="S24" i="18"/>
  <c r="AB24" i="18"/>
  <c r="AA25" i="18"/>
  <c r="X24" i="18"/>
  <c r="Z25" i="18"/>
  <c r="AA27" i="18"/>
  <c r="U27" i="18"/>
  <c r="V25" i="18"/>
  <c r="Z27" i="18"/>
  <c r="S25" i="18"/>
  <c r="AA24" i="18"/>
  <c r="X25" i="18"/>
  <c r="Z24" i="18"/>
  <c r="AA26" i="18"/>
  <c r="AC28" i="18"/>
  <c r="Y25" i="18"/>
  <c r="T25" i="18"/>
  <c r="V24" i="18"/>
  <c r="X30" i="18"/>
  <c r="S27" i="18"/>
  <c r="AB26" i="18"/>
  <c r="Y28" i="18"/>
  <c r="T26" i="18"/>
  <c r="V27" i="18"/>
  <c r="V26" i="18"/>
  <c r="Z28" i="18"/>
  <c r="U26" i="18"/>
  <c r="V28" i="18"/>
  <c r="AA28" i="18"/>
  <c r="W26" i="18"/>
  <c r="T27" i="18"/>
  <c r="X28" i="18"/>
  <c r="Z26" i="18"/>
  <c r="S26" i="18"/>
  <c r="X26" i="18"/>
  <c r="Y26" i="18"/>
  <c r="W25" i="18"/>
  <c r="AB28" i="18"/>
  <c r="W27" i="18"/>
  <c r="X27" i="18"/>
  <c r="X29" i="18"/>
  <c r="Y27" i="18"/>
  <c r="AC26" i="18"/>
  <c r="AC29" i="18"/>
  <c r="T29" i="18"/>
  <c r="AA29" i="18"/>
  <c r="Z29" i="18"/>
  <c r="AA30" i="18"/>
  <c r="Y29" i="18"/>
  <c r="S28" i="18"/>
  <c r="U28" i="18"/>
  <c r="T28" i="18"/>
  <c r="AB29" i="18"/>
  <c r="U31" i="18"/>
  <c r="S29" i="18"/>
  <c r="W29" i="18"/>
  <c r="U29" i="18"/>
  <c r="AB31" i="18"/>
  <c r="S30" i="18"/>
  <c r="AC33" i="18"/>
  <c r="V29" i="18"/>
  <c r="T30" i="18"/>
  <c r="AB30" i="18"/>
  <c r="AC30" i="18"/>
  <c r="U30" i="18"/>
  <c r="Z30" i="18"/>
  <c r="T31" i="18"/>
  <c r="V30" i="18"/>
  <c r="X31" i="18"/>
  <c r="Y31" i="18"/>
  <c r="W31" i="18"/>
  <c r="W30" i="18"/>
  <c r="S31" i="18"/>
  <c r="V31" i="18"/>
  <c r="Y30" i="18"/>
  <c r="AA31" i="18"/>
  <c r="AC31" i="18"/>
  <c r="AC35" i="18"/>
  <c r="Z31" i="18"/>
  <c r="Y36" i="18"/>
  <c r="T32" i="18"/>
  <c r="S33" i="18"/>
  <c r="AB32" i="18"/>
  <c r="V32" i="18"/>
  <c r="T33" i="18"/>
  <c r="S32" i="18"/>
  <c r="AB33" i="18"/>
  <c r="X32" i="18"/>
  <c r="X33" i="18"/>
  <c r="AA32" i="18"/>
  <c r="V33" i="18"/>
  <c r="Y33" i="18"/>
  <c r="AA35" i="18"/>
  <c r="W32" i="18"/>
  <c r="W33" i="18"/>
  <c r="U32" i="18"/>
  <c r="AC32" i="18"/>
  <c r="Y32" i="18"/>
  <c r="Z32" i="18"/>
  <c r="Z33" i="18"/>
  <c r="X34" i="18"/>
  <c r="Y34" i="18"/>
  <c r="X35" i="18"/>
  <c r="S35" i="18"/>
  <c r="U34" i="18"/>
  <c r="Z36" i="18"/>
  <c r="W36" i="18"/>
  <c r="U33" i="18"/>
  <c r="T34" i="18"/>
  <c r="W35" i="18"/>
  <c r="AA36" i="18"/>
  <c r="T38" i="18"/>
  <c r="AB34" i="18"/>
  <c r="S34" i="18"/>
  <c r="T35" i="18"/>
  <c r="V34" i="18"/>
  <c r="V36" i="18"/>
  <c r="W34" i="18"/>
  <c r="T36" i="18"/>
  <c r="AA34" i="18"/>
  <c r="AC34" i="18"/>
  <c r="AA33" i="18"/>
  <c r="U36" i="18"/>
  <c r="AA40" i="18"/>
  <c r="AB38" i="18"/>
  <c r="X39" i="18"/>
  <c r="Z34" i="18"/>
  <c r="Y40" i="18"/>
  <c r="AC39" i="18"/>
  <c r="AB35" i="18"/>
  <c r="T39" i="18"/>
  <c r="AC40" i="18"/>
  <c r="W37" i="18"/>
  <c r="Y35" i="18"/>
  <c r="X36" i="18"/>
  <c r="X40" i="18"/>
  <c r="V40" i="18"/>
  <c r="S36" i="18"/>
  <c r="AB36" i="18"/>
  <c r="Y39" i="18"/>
  <c r="W40" i="18"/>
  <c r="U38" i="18"/>
  <c r="V38" i="18"/>
  <c r="Z38" i="18"/>
  <c r="Z35" i="18"/>
  <c r="V39" i="18"/>
  <c r="W38" i="18"/>
  <c r="S39" i="18"/>
  <c r="U40" i="18"/>
  <c r="V35" i="18"/>
  <c r="S37" i="18"/>
  <c r="AB37" i="18"/>
  <c r="AC36" i="18"/>
  <c r="U35" i="18"/>
  <c r="V37" i="18"/>
  <c r="X38" i="18"/>
  <c r="S38" i="18"/>
  <c r="T40" i="18"/>
  <c r="X37" i="18"/>
  <c r="U39" i="18"/>
  <c r="AB40" i="18"/>
  <c r="AC37" i="18"/>
  <c r="Z40" i="18"/>
  <c r="T42" i="18"/>
  <c r="U41" i="18"/>
  <c r="AA38" i="18"/>
  <c r="V42" i="18"/>
  <c r="X41" i="18"/>
  <c r="Y41" i="18"/>
  <c r="W39" i="18"/>
  <c r="V41" i="18"/>
  <c r="AC41" i="18"/>
  <c r="W41" i="18"/>
  <c r="T41" i="18"/>
  <c r="S40" i="18"/>
  <c r="AB39" i="18"/>
  <c r="Y38" i="18"/>
  <c r="AA37" i="18"/>
  <c r="T37" i="18"/>
  <c r="U37" i="18"/>
  <c r="Y37" i="18"/>
  <c r="AA39" i="18"/>
  <c r="AC38" i="18"/>
  <c r="AB41" i="18"/>
  <c r="Z37" i="18"/>
  <c r="Z42" i="18"/>
  <c r="Z39" i="18"/>
  <c r="AA41" i="18"/>
  <c r="U42" i="18"/>
  <c r="Z41" i="18"/>
  <c r="W42" i="18"/>
  <c r="S46" i="18"/>
  <c r="X42" i="18"/>
  <c r="Y43" i="18"/>
  <c r="Y42" i="18"/>
  <c r="AB42" i="18"/>
  <c r="AC42" i="18"/>
  <c r="W43" i="18"/>
  <c r="S42" i="18"/>
  <c r="S41" i="18"/>
  <c r="T43" i="18"/>
  <c r="AA46" i="18"/>
  <c r="AA44" i="18"/>
  <c r="X47" i="18"/>
  <c r="U43" i="18"/>
  <c r="S43" i="18"/>
  <c r="AA43" i="18"/>
  <c r="X43" i="18"/>
  <c r="AB43" i="18"/>
  <c r="X44" i="18"/>
  <c r="AA42" i="18"/>
  <c r="T46" i="18"/>
  <c r="AB44" i="18"/>
  <c r="U44" i="18"/>
  <c r="V43" i="18"/>
  <c r="Z43" i="18"/>
  <c r="T44" i="18"/>
  <c r="V44" i="18"/>
  <c r="W44" i="18"/>
  <c r="AC47" i="18"/>
  <c r="Z46" i="18"/>
  <c r="AB46" i="18"/>
  <c r="T45" i="18"/>
  <c r="Z45" i="18"/>
  <c r="Y46" i="18"/>
  <c r="AC43" i="18"/>
  <c r="X45" i="18"/>
  <c r="AC45" i="18"/>
  <c r="U46" i="18"/>
  <c r="U45" i="18"/>
  <c r="V47" i="18"/>
  <c r="Y45" i="18"/>
  <c r="Y44" i="18"/>
  <c r="AC46" i="18"/>
  <c r="S45" i="18"/>
  <c r="U47" i="18"/>
  <c r="Y47" i="18"/>
  <c r="V46" i="18"/>
  <c r="Z44" i="18"/>
  <c r="AC44" i="18"/>
  <c r="AB47" i="18"/>
  <c r="W46" i="18"/>
  <c r="V45" i="18"/>
  <c r="AA45" i="18"/>
  <c r="W45" i="18"/>
  <c r="AB45" i="18"/>
  <c r="S44" i="18"/>
  <c r="S47" i="18"/>
  <c r="Z47" i="18"/>
  <c r="X46" i="18"/>
  <c r="S48" i="18"/>
  <c r="W48" i="18"/>
  <c r="T48" i="18"/>
  <c r="AC48" i="18"/>
  <c r="AA47" i="18"/>
  <c r="Y48" i="18"/>
  <c r="W47" i="18"/>
  <c r="Z49" i="18"/>
  <c r="AB48" i="18"/>
  <c r="U48" i="18"/>
  <c r="AA48" i="18"/>
  <c r="X48" i="18"/>
  <c r="AC49" i="18"/>
  <c r="V49" i="18"/>
  <c r="Z48" i="18"/>
  <c r="T47" i="18"/>
  <c r="AB49" i="18"/>
  <c r="AA49" i="18"/>
  <c r="V48" i="18"/>
  <c r="AC50" i="18"/>
  <c r="S50" i="18"/>
  <c r="U49" i="18"/>
  <c r="S49" i="18"/>
  <c r="Y49" i="18"/>
  <c r="W50" i="18"/>
  <c r="X49" i="18"/>
  <c r="T49" i="18"/>
  <c r="T50" i="18"/>
  <c r="Y52" i="18"/>
  <c r="W49" i="18"/>
  <c r="AA50" i="18"/>
  <c r="Y50" i="18"/>
  <c r="AB50" i="18"/>
  <c r="X50" i="18"/>
  <c r="U50" i="18"/>
  <c r="Z50" i="18"/>
  <c r="V50" i="18"/>
  <c r="AB51" i="18"/>
  <c r="Y51" i="18"/>
  <c r="Z51" i="18"/>
  <c r="T51" i="18"/>
  <c r="AA51" i="18"/>
  <c r="S51" i="18"/>
  <c r="AC51" i="18"/>
  <c r="V51" i="18"/>
  <c r="X51" i="18"/>
  <c r="AB52" i="18"/>
  <c r="T52" i="18"/>
  <c r="U51" i="18"/>
  <c r="W51" i="18"/>
  <c r="U52" i="18"/>
  <c r="AA52" i="18"/>
  <c r="AA55" i="18"/>
  <c r="V52" i="18"/>
  <c r="S52" i="18"/>
  <c r="X52" i="18"/>
  <c r="AC52" i="18"/>
  <c r="Z52" i="18"/>
  <c r="W52" i="18"/>
  <c r="V53" i="18"/>
  <c r="AC53" i="18"/>
  <c r="T53" i="18"/>
  <c r="W53" i="18"/>
  <c r="Z53" i="18"/>
  <c r="AA53" i="18"/>
  <c r="S53" i="18"/>
  <c r="U53" i="18"/>
  <c r="AB53" i="18"/>
  <c r="X53" i="18"/>
  <c r="Y53" i="18"/>
  <c r="S55" i="18"/>
  <c r="V55" i="18"/>
  <c r="U55" i="18"/>
  <c r="W55" i="18"/>
  <c r="Z54" i="18"/>
  <c r="Y55" i="18"/>
  <c r="V56" i="18"/>
  <c r="AB54" i="18"/>
  <c r="T54" i="18"/>
  <c r="S54" i="18"/>
  <c r="AA54" i="18"/>
  <c r="X54" i="18"/>
  <c r="X55" i="18"/>
  <c r="U54" i="18"/>
  <c r="AC55" i="18"/>
  <c r="AB55" i="18"/>
  <c r="Y54" i="18"/>
  <c r="T55" i="18"/>
  <c r="W54" i="18"/>
  <c r="Z55" i="18"/>
  <c r="AC56" i="18"/>
  <c r="V54" i="18"/>
  <c r="T56" i="18"/>
  <c r="AC54" i="18"/>
  <c r="W56" i="18"/>
  <c r="W57" i="18"/>
  <c r="S57" i="18"/>
  <c r="V57" i="18"/>
  <c r="AC57" i="18"/>
  <c r="Y57" i="18"/>
  <c r="X56" i="18"/>
  <c r="U56" i="18"/>
  <c r="AB57" i="18"/>
  <c r="Y56" i="18"/>
  <c r="S56" i="18"/>
  <c r="AA56" i="18"/>
  <c r="Z56" i="18"/>
  <c r="T57" i="18"/>
  <c r="X57" i="18"/>
  <c r="AB56" i="18"/>
  <c r="U57" i="18"/>
  <c r="Z57" i="18"/>
  <c r="AA57" i="18"/>
  <c r="AA58" i="18" l="1"/>
  <c r="W58" i="18"/>
  <c r="AS7" i="7"/>
  <c r="AS8" i="7"/>
  <c r="AC82" i="12"/>
  <c r="D24" i="12" s="1"/>
  <c r="AC78" i="12"/>
  <c r="D20" i="12" s="1"/>
  <c r="AC81" i="12"/>
  <c r="D23" i="12" s="1"/>
  <c r="AC76" i="12"/>
  <c r="D18" i="12" s="1"/>
  <c r="AC75" i="12"/>
  <c r="D17" i="12" s="1"/>
  <c r="AC77" i="12"/>
  <c r="D19" i="12" s="1"/>
  <c r="AC74" i="12"/>
  <c r="D16" i="12" s="1"/>
  <c r="AC79" i="12"/>
  <c r="D21" i="12" s="1"/>
  <c r="AC80" i="12"/>
  <c r="D22" i="12" s="1"/>
  <c r="AC77" i="14"/>
  <c r="D19" i="14" s="1"/>
  <c r="AC81" i="14"/>
  <c r="D23" i="14" s="1"/>
  <c r="Z6" i="20"/>
  <c r="Z7" i="20"/>
  <c r="AO17" i="20"/>
  <c r="S7" i="20"/>
  <c r="AH17" i="20"/>
  <c r="Y7" i="20"/>
  <c r="AN17" i="20"/>
  <c r="AA6" i="20"/>
  <c r="AA7" i="20"/>
  <c r="AP17" i="20"/>
  <c r="T7" i="20"/>
  <c r="AI17" i="20"/>
  <c r="V7" i="20"/>
  <c r="AK17" i="20"/>
  <c r="AB7" i="20"/>
  <c r="AQ17" i="20"/>
  <c r="W6" i="20"/>
  <c r="W7" i="20"/>
  <c r="AL17" i="20"/>
  <c r="U7" i="20"/>
  <c r="AJ17" i="20"/>
  <c r="X7" i="20"/>
  <c r="AM17" i="20"/>
  <c r="AC6" i="20"/>
  <c r="AC7" i="20"/>
  <c r="AR17" i="20"/>
  <c r="Y7" i="18"/>
  <c r="AN17" i="18"/>
  <c r="Z7" i="18"/>
  <c r="AO17" i="18"/>
  <c r="S7" i="18"/>
  <c r="AH17" i="18"/>
  <c r="AS6" i="7" s="1"/>
  <c r="T6" i="18"/>
  <c r="T7" i="18"/>
  <c r="AI17" i="18"/>
  <c r="V6" i="18"/>
  <c r="V7" i="18"/>
  <c r="AK17" i="18"/>
  <c r="AB6" i="18"/>
  <c r="AB7" i="18"/>
  <c r="AQ17" i="18"/>
  <c r="U6" i="18"/>
  <c r="U7" i="18"/>
  <c r="AJ17" i="18"/>
  <c r="X6" i="18"/>
  <c r="X7" i="18"/>
  <c r="AM17" i="18"/>
  <c r="AC6" i="18"/>
  <c r="AC7" i="18"/>
  <c r="AR17" i="18"/>
  <c r="D26" i="12" l="1"/>
  <c r="D28" i="12" s="1"/>
  <c r="AC84" i="12"/>
  <c r="AC86" i="12" s="1"/>
  <c r="AC74" i="14"/>
  <c r="D16" i="14" s="1"/>
  <c r="AC83" i="14"/>
  <c r="D25" i="14" s="1"/>
  <c r="AC78" i="14"/>
  <c r="D20" i="14" s="1"/>
  <c r="AC76" i="14"/>
  <c r="D18" i="14" s="1"/>
  <c r="AC80" i="14"/>
  <c r="D22" i="14" s="1"/>
  <c r="AC82" i="14"/>
  <c r="D24" i="14" s="1"/>
  <c r="AC75" i="14"/>
  <c r="D17" i="14" s="1"/>
  <c r="AC79" i="14"/>
  <c r="D21" i="14" s="1"/>
  <c r="D26" i="14" l="1"/>
  <c r="D28" i="14" s="1"/>
  <c r="AC84" i="14"/>
  <c r="AC86" i="14" s="1"/>
</calcChain>
</file>

<file path=xl/sharedStrings.xml><?xml version="1.0" encoding="utf-8"?>
<sst xmlns="http://schemas.openxmlformats.org/spreadsheetml/2006/main" count="3534" uniqueCount="66">
  <si>
    <t>Lebensmittel</t>
  </si>
  <si>
    <t>Haushalt</t>
  </si>
  <si>
    <t>Sport</t>
  </si>
  <si>
    <t>Transport</t>
  </si>
  <si>
    <t>Tagesübersicht</t>
  </si>
  <si>
    <t>Januar</t>
  </si>
  <si>
    <t>Gesamt</t>
  </si>
  <si>
    <t>Datum</t>
  </si>
  <si>
    <t>Wochenübersicht</t>
  </si>
  <si>
    <t>Monatsübersicht</t>
  </si>
  <si>
    <t>Betrag</t>
  </si>
  <si>
    <t>Kategorie</t>
  </si>
  <si>
    <t>Detail</t>
  </si>
  <si>
    <t>Eingabe</t>
  </si>
  <si>
    <t>Einzelbeträge</t>
  </si>
  <si>
    <t>Ausgaben</t>
  </si>
  <si>
    <t>Einnahmen</t>
  </si>
  <si>
    <t>Bilanz</t>
  </si>
  <si>
    <t>Februar</t>
  </si>
  <si>
    <t>März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</si>
  <si>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</si>
  <si>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</si>
  <si>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</si>
  <si>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</si>
  <si>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</si>
  <si>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</si>
  <si>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</si>
  <si>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</si>
  <si>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</si>
  <si>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Gehalt</t>
  </si>
  <si>
    <t>Förderungen</t>
  </si>
  <si>
    <t>Weitere Einnahmen</t>
  </si>
  <si>
    <t>Miete</t>
  </si>
  <si>
    <t>Nebenkosten</t>
  </si>
  <si>
    <t>Versicherungen</t>
  </si>
  <si>
    <t>Nobember</t>
  </si>
  <si>
    <t>Monat</t>
  </si>
  <si>
    <t>30 Tage</t>
  </si>
  <si>
    <t>4 Monate</t>
  </si>
  <si>
    <t>20XX</t>
  </si>
  <si>
    <t>Tagespensum</t>
  </si>
  <si>
    <t>10 Wochen</t>
  </si>
  <si>
    <t>Freizeit</t>
  </si>
  <si>
    <t>Summen</t>
  </si>
  <si>
    <t>Betrag 1</t>
  </si>
  <si>
    <t>Betrag 2</t>
  </si>
  <si>
    <t>Betrag 3</t>
  </si>
  <si>
    <t>Betrag 4</t>
  </si>
  <si>
    <t>Übrig</t>
  </si>
  <si>
    <t>Dividende</t>
  </si>
  <si>
    <t>Währungsumrechnung</t>
  </si>
  <si>
    <t>Betrag in EUR</t>
  </si>
  <si>
    <t>Letzter Eintrag</t>
  </si>
  <si>
    <t>Rate EUR-&gt;Währung</t>
  </si>
  <si>
    <t>Betrag in Währung</t>
  </si>
  <si>
    <t>spaceholder</t>
  </si>
  <si>
    <t>Beschreibung C</t>
  </si>
  <si>
    <t>Beschreibung B</t>
  </si>
  <si>
    <t>Beschreibung A</t>
  </si>
  <si>
    <t>Sammelbeträge</t>
  </si>
  <si>
    <t>Notizen</t>
  </si>
  <si>
    <t>Ausgaben5</t>
  </si>
  <si>
    <t>Ausgaben4</t>
  </si>
  <si>
    <t>Ausgaben3</t>
  </si>
  <si>
    <t>Ausgaben2</t>
  </si>
  <si>
    <t>Ausgaben1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</si>
</sst>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  <numFmt numFmtId="165" formatCode="#,##0.00\ [$SEK]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93">
    <xf numFmtId="0" fontId="0" fillId="0" borderId="0" xfId="0"/>
    <xf numFmtId="0" fontId="2" fillId="0" borderId="1" xfId="0" applyFont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0" xfId="0" applyFill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1" xfId="0" applyBorder="1"/>
    <xf numFmtId="14" fontId="0" fillId="0" borderId="1" xfId="0" applyNumberFormat="1" applyBorder="1"/>
    <xf numFmtId="0" fontId="0" fillId="0" borderId="11" xfId="0" applyBorder="1"/>
    <xf numFmtId="0" fontId="2" fillId="2" borderId="0" xfId="0" applyFont="1" applyFill="1"/>
    <xf numFmtId="0" fontId="2" fillId="0" borderId="1" xfId="0" applyFont="1" applyBorder="1" applyAlignment="1">
      <alignment horizontal="left"/>
    </xf>
    <xf numFmtId="0" fontId="2" fillId="0" borderId="2" xfId="0" applyFont="1" applyBorder="1"/>
    <xf numFmtId="0" fontId="0" fillId="0" borderId="13" xfId="0" applyBorder="1"/>
    <xf numFmtId="0" fontId="2" fillId="0" borderId="15" xfId="0" applyFont="1" applyBorder="1"/>
    <xf numFmtId="0" fontId="2" fillId="0" borderId="17" xfId="0" applyFont="1" applyBorder="1"/>
    <xf numFmtId="14" fontId="0" fillId="0" borderId="0" xfId="0" applyNumberFormat="1"/>
    <xf numFmtId="44" fontId="0" fillId="0" borderId="0" xfId="1" applyFont="1" applyFill="1" applyBorder="1"/>
    <xf numFmtId="14" fontId="0" fillId="2" borderId="0" xfId="0" applyNumberFormat="1" applyFill="1"/>
    <xf numFmtId="44" fontId="0" fillId="2" borderId="0" xfId="1" applyFont="1" applyFill="1" applyBorder="1"/>
    <xf numFmtId="0" fontId="0" fillId="0" borderId="4" xfId="0" applyBorder="1"/>
    <xf numFmtId="0" fontId="2" fillId="0" borderId="11" xfId="0" applyFont="1" applyBorder="1"/>
    <xf numFmtId="0" fontId="2" fillId="0" borderId="12" xfId="0" applyFont="1" applyBorder="1"/>
    <xf numFmtId="0" fontId="2" fillId="0" borderId="22" xfId="0" applyFont="1" applyBorder="1"/>
    <xf numFmtId="0" fontId="3" fillId="2" borderId="0" xfId="0" applyFont="1" applyFill="1"/>
    <xf numFmtId="164" fontId="0" fillId="0" borderId="0" xfId="0" applyNumberFormat="1" applyAlignment="1">
      <alignment horizontal="left"/>
    </xf>
    <xf numFmtId="14" fontId="0" fillId="0" borderId="22" xfId="0" applyNumberFormat="1" applyBorder="1"/>
    <xf numFmtId="14" fontId="0" fillId="0" borderId="21" xfId="0" applyNumberFormat="1" applyBorder="1"/>
    <xf numFmtId="44" fontId="0" fillId="0" borderId="19" xfId="1" applyFont="1" applyFill="1" applyBorder="1"/>
    <xf numFmtId="44" fontId="0" fillId="0" borderId="14" xfId="1" applyFont="1" applyFill="1" applyBorder="1"/>
    <xf numFmtId="44" fontId="0" fillId="0" borderId="11" xfId="1" applyFont="1" applyFill="1" applyBorder="1"/>
    <xf numFmtId="44" fontId="0" fillId="0" borderId="12" xfId="1" applyFont="1" applyFill="1" applyBorder="1"/>
    <xf numFmtId="44" fontId="0" fillId="0" borderId="15" xfId="1" applyFont="1" applyFill="1" applyBorder="1"/>
    <xf numFmtId="44" fontId="0" fillId="0" borderId="20" xfId="1" applyFont="1" applyFill="1" applyBorder="1"/>
    <xf numFmtId="44" fontId="0" fillId="0" borderId="16" xfId="1" applyFont="1" applyFill="1" applyBorder="1"/>
    <xf numFmtId="44" fontId="2" fillId="0" borderId="13" xfId="1" applyFont="1" applyFill="1" applyBorder="1"/>
    <xf numFmtId="14" fontId="0" fillId="0" borderId="11" xfId="0" applyNumberFormat="1" applyBorder="1"/>
    <xf numFmtId="14" fontId="0" fillId="0" borderId="15" xfId="0" applyNumberFormat="1" applyBorder="1"/>
    <xf numFmtId="0" fontId="2" fillId="0" borderId="19" xfId="0" applyFont="1" applyBorder="1"/>
    <xf numFmtId="0" fontId="2" fillId="0" borderId="14" xfId="0" applyFont="1" applyBorder="1"/>
    <xf numFmtId="44" fontId="2" fillId="0" borderId="11" xfId="1" applyFont="1" applyFill="1" applyBorder="1"/>
    <xf numFmtId="44" fontId="2" fillId="0" borderId="2" xfId="1" applyFont="1" applyFill="1" applyBorder="1"/>
    <xf numFmtId="44" fontId="2" fillId="0" borderId="22" xfId="1" applyFont="1" applyFill="1" applyBorder="1"/>
    <xf numFmtId="44" fontId="2" fillId="0" borderId="21" xfId="1" applyFont="1" applyFill="1" applyBorder="1"/>
    <xf numFmtId="14" fontId="0" fillId="0" borderId="2" xfId="0" applyNumberFormat="1" applyBorder="1"/>
    <xf numFmtId="14" fontId="0" fillId="0" borderId="13" xfId="0" applyNumberFormat="1" applyBorder="1"/>
    <xf numFmtId="14" fontId="0" fillId="2" borderId="9" xfId="0" applyNumberFormat="1" applyFill="1" applyBorder="1"/>
    <xf numFmtId="44" fontId="1" fillId="0" borderId="13" xfId="1" applyFont="1" applyFill="1" applyBorder="1"/>
    <xf numFmtId="44" fontId="1" fillId="0" borderId="19" xfId="1" applyFont="1" applyFill="1" applyBorder="1"/>
    <xf numFmtId="44" fontId="1" fillId="0" borderId="14" xfId="1" applyFont="1" applyFill="1" applyBorder="1"/>
    <xf numFmtId="44" fontId="1" fillId="0" borderId="11" xfId="1" applyFont="1" applyFill="1" applyBorder="1"/>
    <xf numFmtId="44" fontId="1" fillId="0" borderId="0" xfId="1" applyFont="1" applyFill="1" applyBorder="1"/>
    <xf numFmtId="44" fontId="1" fillId="0" borderId="12" xfId="1" applyFont="1" applyFill="1" applyBorder="1"/>
    <xf numFmtId="0" fontId="0" fillId="0" borderId="15" xfId="0" applyBorder="1"/>
    <xf numFmtId="44" fontId="1" fillId="0" borderId="20" xfId="1" applyFont="1" applyFill="1" applyBorder="1"/>
    <xf numFmtId="44" fontId="1" fillId="0" borderId="16" xfId="1" applyFont="1" applyFill="1" applyBorder="1"/>
    <xf numFmtId="0" fontId="2" fillId="3" borderId="1" xfId="0" applyFont="1" applyFill="1" applyBorder="1" applyAlignment="1">
      <alignment horizontal="left"/>
    </xf>
    <xf numFmtId="44" fontId="0" fillId="0" borderId="1" xfId="1" applyFont="1" applyBorder="1"/>
    <xf numFmtId="0" fontId="6" fillId="0" borderId="0" xfId="0" applyFont="1"/>
    <xf numFmtId="44" fontId="0" fillId="0" borderId="0" xfId="1" applyFont="1"/>
    <xf numFmtId="44" fontId="0" fillId="2" borderId="4" xfId="1" applyFont="1" applyFill="1" applyBorder="1"/>
    <xf numFmtId="44" fontId="0" fillId="2" borderId="0" xfId="1" applyFont="1" applyFill="1"/>
    <xf numFmtId="44" fontId="0" fillId="0" borderId="14" xfId="1" applyFont="1" applyBorder="1"/>
    <xf numFmtId="44" fontId="0" fillId="0" borderId="12" xfId="1" applyFont="1" applyBorder="1"/>
    <xf numFmtId="44" fontId="2" fillId="0" borderId="16" xfId="1" applyFont="1" applyBorder="1"/>
    <xf numFmtId="44" fontId="2" fillId="2" borderId="0" xfId="1" applyFont="1" applyFill="1"/>
    <xf numFmtId="44" fontId="2" fillId="0" borderId="18" xfId="1" applyFont="1" applyBorder="1"/>
    <xf numFmtId="44" fontId="0" fillId="2" borderId="9" xfId="1" applyFont="1" applyFill="1" applyBorder="1"/>
    <xf numFmtId="44" fontId="0" fillId="0" borderId="0" xfId="0" applyNumberFormat="1"/>
    <xf numFmtId="44" fontId="2" fillId="0" borderId="15" xfId="1" applyFont="1" applyFill="1" applyBorder="1"/>
    <xf numFmtId="44" fontId="0" fillId="0" borderId="2" xfId="1" applyFont="1" applyFill="1" applyBorder="1"/>
    <xf numFmtId="44" fontId="0" fillId="0" borderId="22" xfId="1" applyFont="1" applyBorder="1"/>
    <xf numFmtId="44" fontId="0" fillId="0" borderId="21" xfId="1" applyFont="1" applyBorder="1"/>
    <xf numFmtId="165" fontId="0" fillId="0" borderId="1" xfId="1" applyNumberFormat="1" applyFont="1" applyBorder="1"/>
    <xf numFmtId="164" fontId="0" fillId="0" borderId="1" xfId="1" applyNumberFormat="1" applyFont="1" applyBorder="1"/>
    <xf numFmtId="0" fontId="0" fillId="0" borderId="1" xfId="1" applyNumberFormat="1" applyFont="1" applyBorder="1"/>
    <xf numFmtId="14" fontId="0" fillId="0" borderId="1" xfId="1" applyNumberFormat="1" applyFont="1" applyBorder="1"/>
    <xf numFmtId="44" fontId="0" fillId="2" borderId="7" xfId="1" applyFont="1" applyFill="1" applyBorder="1"/>
    <xf numFmtId="164" fontId="0" fillId="0" borderId="2" xfId="1" applyNumberFormat="1" applyFont="1" applyFill="1" applyBorder="1"/>
    <xf numFmtId="164" fontId="0" fillId="0" borderId="22" xfId="1" applyNumberFormat="1" applyFont="1" applyBorder="1"/>
    <xf numFmtId="164" fontId="0" fillId="0" borderId="21" xfId="1" applyNumberFormat="1" applyFont="1" applyBorder="1"/>
    <xf numFmtId="44" fontId="0" fillId="0" borderId="2" xfId="1" applyFont="1" applyBorder="1"/>
    <xf numFmtId="0" fontId="8" fillId="0" borderId="1" xfId="2" applyFont="1" applyBorder="1"/>
    <xf numFmtId="0" fontId="8" fillId="0" borderId="1" xfId="2" applyFont="1" applyFill="1" applyBorder="1"/>
    <xf numFmtId="44" fontId="0" fillId="0" borderId="13" xfId="1" applyFont="1" applyFill="1" applyBorder="1"/>
    <xf numFmtId="44" fontId="2" fillId="0" borderId="14" xfId="1" applyFont="1" applyFill="1" applyBorder="1"/>
    <xf numFmtId="44" fontId="2" fillId="0" borderId="12" xfId="1" applyFont="1" applyFill="1" applyBorder="1"/>
    <xf numFmtId="44" fontId="2" fillId="0" borderId="16" xfId="1" applyFont="1" applyFill="1" applyBorder="1"/>
    <xf numFmtId="14" fontId="9" fillId="2" borderId="0" xfId="0" applyNumberFormat="1" applyFont="1" applyFill="1"/>
  </cellXfs>
  <cellStyles count="3">
    <cellStyle name="Currency" xfId="1" builtinId="4"/>
    <cellStyle name="Hyperlink" xfId="2" builtinId="8"/>
    <cellStyle name="Normal" xfId="0" builtinId="0"/>
  </cellStyles>
  <dxfs count="17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.00\ [$€-407]_-;\-* #,##0.00\ [$€-407]_-;_-* &quot;-&quot;??\ [$€-407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F800]dddd\,\ mmmm\ dd\,\ yyyy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2"/>
      </font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6</xdr:row>
          <xdr:rowOff>177800</xdr:rowOff>
        </xdr:from>
        <xdr:to>
          <xdr:col>2</xdr:col>
          <xdr:colOff>787400</xdr:colOff>
          <xdr:row>8</xdr:row>
          <xdr:rowOff>6350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452F60-931C-4CF9-A07C-514DA3B7BA52}" name="Table1" displayName="Table1" ref="C5:F8" totalsRowShown="0" headerRowDxfId="71" tableBorderDxfId="70">
  <autoFilter ref="C5:F8" xr:uid="{E1452F60-931C-4CF9-A07C-514DA3B7BA52}"/>
  <tableColumns count="4">
    <tableColumn id="1" xr3:uid="{A035B3B8-8D30-4045-B77E-1A26889FC0A2}" name="Datum" dataDxfId="69"/>
    <tableColumn id="2" xr3:uid="{0564650B-11A2-4E76-9D4F-5E2AA80E511E}" name="Betrag" dataDxfId="68"/>
    <tableColumn id="3" xr3:uid="{BA9CD124-F20F-468E-82AB-CE6E5BA700AB}" name="Kategorie" dataDxfId="67"/>
    <tableColumn id="4" xr3:uid="{B14E13BE-67CF-410F-A728-921725E06951}" name="Detail" dataDxfId="6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3498A-7BFE-4CB2-BF54-ADE79B989D51}">
  <sheetPr codeName="Sheet1"/>
  <dimension ref="B1:AP65"/>
  <sheetViews>
    <sheetView tabSelected="1" zoomScale="77" zoomScaleNormal="55" workbookViewId="0">
      <selection activeCell="G6" sqref="G6"/>
    </sheetView>
  </sheetViews>
  <sheetFormatPr defaultRowHeight="14.5" x14ac:dyDescent="0.35"/>
  <cols>
    <col min="1" max="2" width="2.81640625" customWidth="1"/>
    <col min="3" max="3" width="15.08984375" customWidth="1"/>
    <col min="4" max="4" width="2.81640625" customWidth="1"/>
    <col min="5" max="5" width="10" bestFit="1" customWidth="1"/>
    <col min="6" max="6" width="2.81640625" customWidth="1"/>
    <col min="7" max="7" width="13.6328125" bestFit="1" customWidth="1"/>
    <col min="8" max="8" width="2.81640625" customWidth="1"/>
    <col min="10" max="12" width="2.81640625" customWidth="1"/>
    <col min="13" max="13" width="12.26953125" bestFit="1" customWidth="1"/>
    <col min="14" max="16" width="2.81640625" customWidth="1"/>
    <col min="17" max="17" width="9.90625" bestFit="1" customWidth="1"/>
    <col min="18" max="18" width="2.81640625" customWidth="1"/>
    <col min="19" max="19" width="10.54296875" bestFit="1" customWidth="1"/>
    <col min="20" max="20" width="2.81640625" customWidth="1"/>
    <col min="21" max="21" width="9.36328125" bestFit="1" customWidth="1"/>
    <col min="22" max="22" width="2.81640625" customWidth="1"/>
    <col min="24" max="26" width="2.81640625" customWidth="1"/>
    <col min="27" max="27" width="21.1796875" bestFit="1" customWidth="1"/>
    <col min="28" max="30" width="2.81640625" customWidth="1"/>
    <col min="31" max="31" width="13.90625" bestFit="1" customWidth="1"/>
    <col min="32" max="32" width="13.90625" customWidth="1"/>
    <col min="33" max="33" width="2.81640625" customWidth="1"/>
    <col min="34" max="35" width="11.90625" bestFit="1" customWidth="1"/>
    <col min="36" max="36" width="2.81640625" customWidth="1"/>
    <col min="37" max="37" width="11.90625" bestFit="1" customWidth="1"/>
    <col min="38" max="38" width="10.81640625" bestFit="1" customWidth="1"/>
    <col min="39" max="39" width="2.81640625" customWidth="1"/>
    <col min="40" max="40" width="10.1796875" bestFit="1" customWidth="1"/>
    <col min="42" max="42" width="2.81640625" customWidth="1"/>
  </cols>
  <sheetData>
    <row r="1" spans="2:42" ht="15" thickBot="1" x14ac:dyDescent="0.4"/>
    <row r="2" spans="2:42" x14ac:dyDescent="0.35">
      <c r="B2" s="2"/>
      <c r="C2" s="3"/>
      <c r="D2" s="3"/>
      <c r="E2" s="3"/>
      <c r="F2" s="3"/>
      <c r="G2" s="3"/>
      <c r="H2" s="3"/>
      <c r="I2" s="3"/>
      <c r="J2" s="4"/>
      <c r="L2" s="2"/>
      <c r="M2" s="3"/>
      <c r="N2" s="4"/>
      <c r="P2" s="2"/>
      <c r="Q2" s="3"/>
      <c r="R2" s="3"/>
      <c r="S2" s="3"/>
      <c r="T2" s="3"/>
      <c r="U2" s="3"/>
      <c r="V2" s="3"/>
      <c r="W2" s="3"/>
      <c r="X2" s="4"/>
      <c r="Z2" s="2"/>
      <c r="AA2" s="3"/>
      <c r="AB2" s="4"/>
      <c r="AD2" s="2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4"/>
    </row>
    <row r="3" spans="2:42" x14ac:dyDescent="0.35">
      <c r="B3" s="5"/>
      <c r="C3" s="1" t="s">
        <v>13</v>
      </c>
      <c r="D3" s="7"/>
      <c r="E3" s="7"/>
      <c r="F3" s="7"/>
      <c r="G3" s="7"/>
      <c r="H3" s="7"/>
      <c r="I3" s="7"/>
      <c r="J3" s="6"/>
      <c r="L3" s="5"/>
      <c r="M3" s="1" t="s">
        <v>40</v>
      </c>
      <c r="N3" s="6"/>
      <c r="P3" s="5"/>
      <c r="Q3" s="1" t="s">
        <v>43</v>
      </c>
      <c r="R3" s="7"/>
      <c r="S3" s="7"/>
      <c r="T3" s="7"/>
      <c r="U3" s="7"/>
      <c r="V3" s="7"/>
      <c r="W3" s="7"/>
      <c r="X3" s="6"/>
      <c r="Z3" s="5"/>
      <c r="AA3" s="1" t="s">
        <v>50</v>
      </c>
      <c r="AB3" s="6"/>
      <c r="AD3" s="5"/>
      <c r="AE3" s="1" t="s">
        <v>59</v>
      </c>
      <c r="AF3" s="14"/>
      <c r="AG3" s="7"/>
      <c r="AH3" s="7"/>
      <c r="AI3" s="7"/>
      <c r="AJ3" s="7"/>
      <c r="AK3" s="7"/>
      <c r="AL3" s="7"/>
      <c r="AM3" s="7"/>
      <c r="AN3" s="7"/>
      <c r="AO3" s="7"/>
      <c r="AP3" s="6"/>
    </row>
    <row r="4" spans="2:42" x14ac:dyDescent="0.35">
      <c r="B4" s="5"/>
      <c r="C4" s="7"/>
      <c r="D4" s="7"/>
      <c r="E4" s="7"/>
      <c r="F4" s="7"/>
      <c r="G4" s="7"/>
      <c r="H4" s="7"/>
      <c r="I4" s="7"/>
      <c r="J4" s="6"/>
      <c r="L4" s="5"/>
      <c r="M4" s="7"/>
      <c r="N4" s="6"/>
      <c r="P4" s="5"/>
      <c r="Q4" s="7"/>
      <c r="R4" s="7"/>
      <c r="S4" s="7"/>
      <c r="T4" s="7"/>
      <c r="U4" s="7"/>
      <c r="V4" s="7"/>
      <c r="W4" s="7"/>
      <c r="X4" s="6"/>
      <c r="Z4" s="5"/>
      <c r="AA4" s="7"/>
      <c r="AB4" s="6"/>
      <c r="AD4" s="5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6"/>
    </row>
    <row r="5" spans="2:42" x14ac:dyDescent="0.35">
      <c r="B5" s="5"/>
      <c r="C5" s="11" t="s">
        <v>7</v>
      </c>
      <c r="D5" s="7"/>
      <c r="E5" s="11" t="s">
        <v>10</v>
      </c>
      <c r="F5" s="7"/>
      <c r="G5" s="11" t="s">
        <v>11</v>
      </c>
      <c r="H5" s="7"/>
      <c r="I5" s="11" t="s">
        <v>12</v>
      </c>
      <c r="J5" s="6"/>
      <c r="L5" s="5"/>
      <c r="M5" s="61">
        <v>20</v>
      </c>
      <c r="N5" s="6"/>
      <c r="P5" s="5"/>
      <c r="Q5" s="11" t="s">
        <v>44</v>
      </c>
      <c r="R5" s="7"/>
      <c r="S5" s="11" t="s">
        <v>45</v>
      </c>
      <c r="T5" s="7"/>
      <c r="U5" s="11" t="s">
        <v>46</v>
      </c>
      <c r="V5" s="7"/>
      <c r="W5" s="11" t="s">
        <v>47</v>
      </c>
      <c r="X5" s="6"/>
      <c r="Z5" s="5"/>
      <c r="AA5" s="61" t="s">
        <v>53</v>
      </c>
      <c r="AB5" s="6"/>
      <c r="AD5" s="5"/>
      <c r="AE5" s="11"/>
      <c r="AF5" s="7"/>
      <c r="AG5" s="7"/>
      <c r="AH5" s="11"/>
      <c r="AI5" s="7"/>
      <c r="AJ5" s="7"/>
      <c r="AK5" s="11"/>
      <c r="AL5" s="7"/>
      <c r="AM5" s="7"/>
      <c r="AN5" s="11"/>
      <c r="AO5" s="7"/>
      <c r="AP5" s="6"/>
    </row>
    <row r="6" spans="2:42" ht="15" thickBot="1" x14ac:dyDescent="0.4">
      <c r="B6" s="5"/>
      <c r="C6" s="12"/>
      <c r="D6" s="7"/>
      <c r="E6" s="78"/>
      <c r="F6" s="7"/>
      <c r="G6" s="11"/>
      <c r="H6" s="7"/>
      <c r="I6" s="11"/>
      <c r="J6" s="6"/>
      <c r="L6" s="8"/>
      <c r="M6" s="9"/>
      <c r="N6" s="10"/>
      <c r="P6" s="5"/>
      <c r="Q6" s="61">
        <f>SUM(Q8:Q19)</f>
        <v>0</v>
      </c>
      <c r="R6" s="65"/>
      <c r="S6" s="61">
        <f>SUM(S8:S19)</f>
        <v>0</v>
      </c>
      <c r="T6" s="65"/>
      <c r="U6" s="61">
        <f>SUM(U8:U19)</f>
        <v>0</v>
      </c>
      <c r="V6" s="65"/>
      <c r="W6" s="61">
        <f>SUM(W8:W19)</f>
        <v>0</v>
      </c>
      <c r="X6" s="6"/>
      <c r="Z6" s="5"/>
      <c r="AA6" s="79"/>
      <c r="AB6" s="6"/>
      <c r="AD6" s="5"/>
      <c r="AE6" s="61">
        <f>SUM(AF8:AF20)</f>
        <v>0</v>
      </c>
      <c r="AF6" s="23"/>
      <c r="AG6" s="23"/>
      <c r="AH6" s="61">
        <f>SUM(AI8:AI20)</f>
        <v>0</v>
      </c>
      <c r="AI6" s="23"/>
      <c r="AJ6" s="23"/>
      <c r="AK6" s="61">
        <f>SUM(AL8:AL20)</f>
        <v>0</v>
      </c>
      <c r="AL6" s="23"/>
      <c r="AM6" s="23"/>
      <c r="AN6" s="61">
        <f>SUM(AO8:AO20)</f>
        <v>0</v>
      </c>
      <c r="AO6" s="23"/>
      <c r="AP6" s="81"/>
    </row>
    <row r="7" spans="2:42" x14ac:dyDescent="0.35">
      <c r="B7" s="5"/>
      <c r="C7" s="22"/>
      <c r="D7" s="7"/>
      <c r="E7" s="23"/>
      <c r="F7" s="7"/>
      <c r="G7" s="7"/>
      <c r="H7" s="7"/>
      <c r="I7" s="7"/>
      <c r="J7" s="6"/>
      <c r="P7" s="5"/>
      <c r="Q7" s="22"/>
      <c r="R7" s="7"/>
      <c r="S7" s="23"/>
      <c r="T7" s="7"/>
      <c r="U7" s="7"/>
      <c r="V7" s="7"/>
      <c r="W7" s="7"/>
      <c r="X7" s="6"/>
      <c r="Z7" s="5"/>
      <c r="AA7" s="7"/>
      <c r="AB7" s="6"/>
      <c r="AD7" s="5"/>
      <c r="AE7" s="22"/>
      <c r="AF7" s="22"/>
      <c r="AG7" s="7"/>
      <c r="AH7" s="22"/>
      <c r="AI7" s="22"/>
      <c r="AJ7" s="7"/>
      <c r="AK7" s="22"/>
      <c r="AL7" s="22"/>
      <c r="AM7" s="7"/>
      <c r="AN7" s="22"/>
      <c r="AO7" s="22"/>
      <c r="AP7" s="6"/>
    </row>
    <row r="8" spans="2:42" x14ac:dyDescent="0.35">
      <c r="B8" s="5"/>
      <c r="C8" s="22"/>
      <c r="D8" s="7"/>
      <c r="E8" s="28"/>
      <c r="F8" s="7"/>
      <c r="G8" s="7"/>
      <c r="H8" s="7"/>
      <c r="I8" s="7"/>
      <c r="J8" s="6"/>
      <c r="P8" s="5"/>
      <c r="Q8" s="74"/>
      <c r="R8" s="65"/>
      <c r="S8" s="74"/>
      <c r="T8" s="65"/>
      <c r="U8" s="74"/>
      <c r="V8" s="65"/>
      <c r="W8" s="74"/>
      <c r="X8" s="6"/>
      <c r="Z8" s="5"/>
      <c r="AA8" s="11" t="s">
        <v>54</v>
      </c>
      <c r="AB8" s="6"/>
      <c r="AD8" s="5"/>
      <c r="AE8" s="74"/>
      <c r="AF8" s="74"/>
      <c r="AG8" s="23"/>
      <c r="AH8" s="85"/>
      <c r="AI8" s="85"/>
      <c r="AJ8" s="23"/>
      <c r="AK8" s="74"/>
      <c r="AL8" s="82"/>
      <c r="AM8" s="23"/>
      <c r="AN8" s="74"/>
      <c r="AO8" s="74"/>
      <c r="AP8" s="81"/>
    </row>
    <row r="9" spans="2:42" ht="15" thickBot="1" x14ac:dyDescent="0.4">
      <c r="B9" s="8"/>
      <c r="C9" s="9"/>
      <c r="D9" s="9"/>
      <c r="E9" s="9"/>
      <c r="F9" s="9"/>
      <c r="G9" s="9"/>
      <c r="H9" s="9"/>
      <c r="I9" s="9"/>
      <c r="J9" s="10"/>
      <c r="P9" s="5"/>
      <c r="Q9" s="75"/>
      <c r="R9" s="65"/>
      <c r="S9" s="75"/>
      <c r="T9" s="65"/>
      <c r="U9" s="75"/>
      <c r="V9" s="65"/>
      <c r="W9" s="75"/>
      <c r="X9" s="6"/>
      <c r="Z9" s="5"/>
      <c r="AA9" s="77"/>
      <c r="AB9" s="6"/>
      <c r="AD9" s="5"/>
      <c r="AE9" s="75"/>
      <c r="AF9" s="75"/>
      <c r="AG9" s="23"/>
      <c r="AH9" s="75"/>
      <c r="AI9" s="75"/>
      <c r="AJ9" s="23"/>
      <c r="AK9" s="75"/>
      <c r="AL9" s="83"/>
      <c r="AM9" s="23"/>
      <c r="AN9" s="75"/>
      <c r="AO9" s="75"/>
      <c r="AP9" s="81"/>
    </row>
    <row r="10" spans="2:42" ht="15" thickBot="1" x14ac:dyDescent="0.4">
      <c r="P10" s="5"/>
      <c r="Q10" s="75"/>
      <c r="R10" s="65"/>
      <c r="S10" s="75"/>
      <c r="T10" s="65"/>
      <c r="U10" s="75"/>
      <c r="V10" s="65"/>
      <c r="W10" s="75"/>
      <c r="X10" s="6"/>
      <c r="Z10" s="5"/>
      <c r="AA10" s="7"/>
      <c r="AB10" s="6"/>
      <c r="AD10" s="5"/>
      <c r="AE10" s="75"/>
      <c r="AF10" s="75"/>
      <c r="AG10" s="23"/>
      <c r="AH10" s="75"/>
      <c r="AI10" s="75"/>
      <c r="AJ10" s="23"/>
      <c r="AK10" s="75"/>
      <c r="AL10" s="83"/>
      <c r="AM10" s="23"/>
      <c r="AN10" s="75"/>
      <c r="AO10" s="75"/>
      <c r="AP10" s="81"/>
    </row>
    <row r="11" spans="2:42" x14ac:dyDescent="0.35">
      <c r="B11" s="2"/>
      <c r="C11" s="3"/>
      <c r="D11" s="4"/>
      <c r="F11" s="2"/>
      <c r="G11" s="3"/>
      <c r="H11" s="4"/>
      <c r="P11" s="5"/>
      <c r="Q11" s="75"/>
      <c r="R11" s="65"/>
      <c r="S11" s="75"/>
      <c r="T11" s="65"/>
      <c r="U11" s="75"/>
      <c r="V11" s="65"/>
      <c r="W11" s="75"/>
      <c r="X11" s="6"/>
      <c r="Z11" s="5"/>
      <c r="AA11" s="11" t="s">
        <v>51</v>
      </c>
      <c r="AB11" s="6"/>
      <c r="AD11" s="5"/>
      <c r="AE11" s="75"/>
      <c r="AF11" s="75"/>
      <c r="AG11" s="23"/>
      <c r="AH11" s="75"/>
      <c r="AI11" s="75"/>
      <c r="AJ11" s="23"/>
      <c r="AK11" s="75"/>
      <c r="AL11" s="83"/>
      <c r="AM11" s="23"/>
      <c r="AN11" s="75"/>
      <c r="AO11" s="75"/>
      <c r="AP11" s="81"/>
    </row>
    <row r="12" spans="2:42" x14ac:dyDescent="0.35">
      <c r="B12" s="5"/>
      <c r="C12" s="1" t="s">
        <v>52</v>
      </c>
      <c r="D12" s="6"/>
      <c r="F12" s="5"/>
      <c r="G12" s="87" t="s">
        <v>14</v>
      </c>
      <c r="H12" s="6"/>
      <c r="P12" s="5"/>
      <c r="Q12" s="75"/>
      <c r="R12" s="65"/>
      <c r="S12" s="75"/>
      <c r="T12" s="65"/>
      <c r="U12" s="75"/>
      <c r="V12" s="65"/>
      <c r="W12" s="75"/>
      <c r="X12" s="6"/>
      <c r="Z12" s="5"/>
      <c r="AA12" s="78" t="e">
        <f>AA9/AA6</f>
        <v>#DIV/0!</v>
      </c>
      <c r="AB12" s="6"/>
      <c r="AD12" s="5"/>
      <c r="AE12" s="75"/>
      <c r="AF12" s="75"/>
      <c r="AG12" s="23"/>
      <c r="AH12" s="75"/>
      <c r="AI12" s="75"/>
      <c r="AJ12" s="23"/>
      <c r="AK12" s="75"/>
      <c r="AL12" s="83"/>
      <c r="AM12" s="23"/>
      <c r="AN12" s="75"/>
      <c r="AO12" s="75"/>
      <c r="AP12" s="81"/>
    </row>
    <row r="13" spans="2:42" ht="15" thickBot="1" x14ac:dyDescent="0.4">
      <c r="B13" s="5"/>
      <c r="C13" s="7"/>
      <c r="D13" s="6"/>
      <c r="F13" s="8"/>
      <c r="G13" s="9"/>
      <c r="H13" s="10"/>
      <c r="P13" s="5"/>
      <c r="Q13" s="75"/>
      <c r="R13" s="65"/>
      <c r="S13" s="75"/>
      <c r="T13" s="65"/>
      <c r="U13" s="75"/>
      <c r="V13" s="65"/>
      <c r="W13" s="75"/>
      <c r="X13" s="6"/>
      <c r="Z13" s="8"/>
      <c r="AA13" s="9"/>
      <c r="AB13" s="10"/>
      <c r="AD13" s="5"/>
      <c r="AE13" s="75"/>
      <c r="AF13" s="75"/>
      <c r="AG13" s="23"/>
      <c r="AH13" s="75"/>
      <c r="AI13" s="75"/>
      <c r="AJ13" s="23"/>
      <c r="AK13" s="75"/>
      <c r="AL13" s="83"/>
      <c r="AM13" s="23"/>
      <c r="AN13" s="75"/>
      <c r="AO13" s="75"/>
      <c r="AP13" s="81"/>
    </row>
    <row r="14" spans="2:42" x14ac:dyDescent="0.35">
      <c r="B14" s="5"/>
      <c r="C14" s="80">
        <v>46127</v>
      </c>
      <c r="D14" s="6"/>
      <c r="P14" s="5"/>
      <c r="Q14" s="75"/>
      <c r="R14" s="65"/>
      <c r="S14" s="75"/>
      <c r="T14" s="65"/>
      <c r="U14" s="75"/>
      <c r="V14" s="65"/>
      <c r="W14" s="75"/>
      <c r="X14" s="6"/>
      <c r="AD14" s="5"/>
      <c r="AE14" s="75"/>
      <c r="AF14" s="75"/>
      <c r="AG14" s="23"/>
      <c r="AH14" s="75"/>
      <c r="AI14" s="75"/>
      <c r="AJ14" s="23"/>
      <c r="AK14" s="75"/>
      <c r="AL14" s="75"/>
      <c r="AM14" s="23"/>
      <c r="AN14" s="75"/>
      <c r="AO14" s="75"/>
      <c r="AP14" s="81"/>
    </row>
    <row r="15" spans="2:42" ht="15" thickBot="1" x14ac:dyDescent="0.4">
      <c r="B15" s="8"/>
      <c r="C15" s="9"/>
      <c r="D15" s="10"/>
      <c r="P15" s="5"/>
      <c r="Q15" s="75"/>
      <c r="R15" s="65"/>
      <c r="S15" s="75"/>
      <c r="T15" s="65"/>
      <c r="U15" s="75"/>
      <c r="V15" s="65"/>
      <c r="W15" s="75"/>
      <c r="X15" s="6"/>
      <c r="AD15" s="5"/>
      <c r="AE15" s="75"/>
      <c r="AF15" s="75"/>
      <c r="AG15" s="23"/>
      <c r="AH15" s="75"/>
      <c r="AI15" s="75"/>
      <c r="AJ15" s="23"/>
      <c r="AK15" s="75"/>
      <c r="AL15" s="75"/>
      <c r="AM15" s="23"/>
      <c r="AN15" s="75"/>
      <c r="AO15" s="75"/>
      <c r="AP15" s="81"/>
    </row>
    <row r="16" spans="2:42" ht="15" thickBot="1" x14ac:dyDescent="0.4">
      <c r="P16" s="5"/>
      <c r="Q16" s="75"/>
      <c r="R16" s="65"/>
      <c r="S16" s="75"/>
      <c r="T16" s="65"/>
      <c r="U16" s="75"/>
      <c r="V16" s="65"/>
      <c r="W16" s="75"/>
      <c r="X16" s="6"/>
      <c r="AD16" s="5"/>
      <c r="AE16" s="75"/>
      <c r="AF16" s="75"/>
      <c r="AG16" s="23"/>
      <c r="AH16" s="75"/>
      <c r="AI16" s="75"/>
      <c r="AJ16" s="23"/>
      <c r="AK16" s="75"/>
      <c r="AL16" s="75"/>
      <c r="AM16" s="23"/>
      <c r="AN16" s="75"/>
      <c r="AO16" s="75"/>
      <c r="AP16" s="81"/>
    </row>
    <row r="17" spans="2:42" x14ac:dyDescent="0.35">
      <c r="B17" s="2"/>
      <c r="C17" s="3"/>
      <c r="D17" s="3"/>
      <c r="E17" s="3"/>
      <c r="F17" s="3"/>
      <c r="G17" s="3"/>
      <c r="H17" s="3"/>
      <c r="I17" s="3"/>
      <c r="J17" s="4"/>
      <c r="P17" s="5"/>
      <c r="Q17" s="75"/>
      <c r="R17" s="65"/>
      <c r="S17" s="75"/>
      <c r="T17" s="65"/>
      <c r="U17" s="75"/>
      <c r="V17" s="65"/>
      <c r="W17" s="75"/>
      <c r="X17" s="6"/>
      <c r="AD17" s="5"/>
      <c r="AE17" s="75"/>
      <c r="AF17" s="75"/>
      <c r="AG17" s="23"/>
      <c r="AH17" s="75"/>
      <c r="AI17" s="75"/>
      <c r="AJ17" s="23"/>
      <c r="AK17" s="75"/>
      <c r="AL17" s="75"/>
      <c r="AM17" s="23"/>
      <c r="AN17" s="75"/>
      <c r="AO17" s="75"/>
      <c r="AP17" s="81"/>
    </row>
    <row r="18" spans="2:42" x14ac:dyDescent="0.35">
      <c r="B18" s="5"/>
      <c r="C18" s="1" t="s">
        <v>60</v>
      </c>
      <c r="D18" s="7"/>
      <c r="E18" s="7"/>
      <c r="F18" s="7"/>
      <c r="G18" s="7"/>
      <c r="H18" s="7"/>
      <c r="I18" s="7"/>
      <c r="J18" s="6"/>
      <c r="P18" s="5"/>
      <c r="Q18" s="75"/>
      <c r="R18" s="65"/>
      <c r="S18" s="75"/>
      <c r="T18" s="65"/>
      <c r="U18" s="75"/>
      <c r="V18" s="65"/>
      <c r="W18" s="75"/>
      <c r="X18" s="6"/>
      <c r="AD18" s="5"/>
      <c r="AE18" s="75"/>
      <c r="AF18" s="75"/>
      <c r="AG18" s="23"/>
      <c r="AH18" s="75"/>
      <c r="AI18" s="75"/>
      <c r="AJ18" s="23"/>
      <c r="AK18" s="75"/>
      <c r="AL18" s="75"/>
      <c r="AM18" s="23"/>
      <c r="AN18" s="75"/>
      <c r="AO18" s="75"/>
      <c r="AP18" s="81"/>
    </row>
    <row r="19" spans="2:42" x14ac:dyDescent="0.35">
      <c r="B19" s="5"/>
      <c r="C19" s="7"/>
      <c r="D19" s="7"/>
      <c r="E19" s="7"/>
      <c r="F19" s="7"/>
      <c r="G19" s="7"/>
      <c r="H19" s="7"/>
      <c r="I19" s="7"/>
      <c r="J19" s="6"/>
      <c r="P19" s="5"/>
      <c r="Q19" s="76"/>
      <c r="R19" s="65"/>
      <c r="S19" s="76"/>
      <c r="T19" s="65"/>
      <c r="U19" s="76"/>
      <c r="V19" s="65"/>
      <c r="W19" s="76"/>
      <c r="X19" s="6"/>
      <c r="AD19" s="5"/>
      <c r="AE19" s="75"/>
      <c r="AF19" s="75"/>
      <c r="AG19" s="23"/>
      <c r="AH19" s="75"/>
      <c r="AI19" s="75"/>
      <c r="AJ19" s="23"/>
      <c r="AK19" s="75"/>
      <c r="AL19" s="83"/>
      <c r="AM19" s="23"/>
      <c r="AN19" s="75"/>
      <c r="AO19" s="75"/>
      <c r="AP19" s="81"/>
    </row>
    <row r="20" spans="2:42" ht="15" thickBot="1" x14ac:dyDescent="0.4">
      <c r="B20" s="5"/>
      <c r="C20" s="11" t="s">
        <v>7</v>
      </c>
      <c r="D20" s="7"/>
      <c r="E20" s="11" t="s">
        <v>10</v>
      </c>
      <c r="F20" s="7"/>
      <c r="G20" s="11" t="s">
        <v>11</v>
      </c>
      <c r="H20" s="7"/>
      <c r="I20" s="11" t="s">
        <v>12</v>
      </c>
      <c r="J20" s="6"/>
      <c r="P20" s="8"/>
      <c r="Q20" s="9"/>
      <c r="R20" s="9"/>
      <c r="S20" s="9"/>
      <c r="T20" s="9"/>
      <c r="U20" s="9"/>
      <c r="V20" s="9"/>
      <c r="W20" s="9"/>
      <c r="X20" s="10"/>
      <c r="AD20" s="5"/>
      <c r="AE20" s="76"/>
      <c r="AF20" s="76"/>
      <c r="AG20" s="23"/>
      <c r="AH20" s="76"/>
      <c r="AI20" s="76"/>
      <c r="AJ20" s="23"/>
      <c r="AK20" s="76"/>
      <c r="AL20" s="84"/>
      <c r="AM20" s="23"/>
      <c r="AN20" s="76"/>
      <c r="AO20" s="76"/>
      <c r="AP20" s="81"/>
    </row>
    <row r="21" spans="2:42" ht="15" thickBot="1" x14ac:dyDescent="0.4">
      <c r="B21" s="5"/>
      <c r="C21" s="12"/>
      <c r="D21" s="7"/>
      <c r="E21" s="78"/>
      <c r="F21" s="7"/>
      <c r="G21" s="11"/>
      <c r="H21" s="7"/>
      <c r="I21" s="11"/>
      <c r="J21" s="6"/>
      <c r="AD21" s="8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10"/>
    </row>
    <row r="22" spans="2:42" x14ac:dyDescent="0.35">
      <c r="B22" s="5"/>
      <c r="C22" s="12"/>
      <c r="D22" s="7"/>
      <c r="E22" s="78"/>
      <c r="F22" s="7"/>
      <c r="G22" s="11"/>
      <c r="H22" s="7"/>
      <c r="I22" s="11"/>
      <c r="J22" s="6"/>
    </row>
    <row r="23" spans="2:42" x14ac:dyDescent="0.35">
      <c r="B23" s="5"/>
      <c r="C23" s="12"/>
      <c r="D23" s="7"/>
      <c r="E23" s="78"/>
      <c r="F23" s="7"/>
      <c r="G23" s="11"/>
      <c r="H23" s="7"/>
      <c r="I23" s="11"/>
      <c r="J23" s="6"/>
    </row>
    <row r="24" spans="2:42" x14ac:dyDescent="0.35">
      <c r="B24" s="5"/>
      <c r="C24" s="12"/>
      <c r="D24" s="7"/>
      <c r="E24" s="78"/>
      <c r="F24" s="7"/>
      <c r="G24" s="11"/>
      <c r="H24" s="7"/>
      <c r="I24" s="11"/>
      <c r="J24" s="6"/>
    </row>
    <row r="25" spans="2:42" x14ac:dyDescent="0.35">
      <c r="B25" s="5"/>
      <c r="C25" s="12"/>
      <c r="D25" s="7"/>
      <c r="E25" s="78"/>
      <c r="F25" s="7"/>
      <c r="G25" s="11"/>
      <c r="H25" s="7"/>
      <c r="I25" s="11"/>
      <c r="J25" s="6"/>
    </row>
    <row r="26" spans="2:42" x14ac:dyDescent="0.35">
      <c r="B26" s="5"/>
      <c r="C26" s="12"/>
      <c r="D26" s="7"/>
      <c r="E26" s="78"/>
      <c r="F26" s="7"/>
      <c r="G26" s="11"/>
      <c r="H26" s="7"/>
      <c r="I26" s="11"/>
      <c r="J26" s="6"/>
    </row>
    <row r="27" spans="2:42" x14ac:dyDescent="0.35">
      <c r="B27" s="5"/>
      <c r="C27" s="12"/>
      <c r="D27" s="7"/>
      <c r="E27" s="78"/>
      <c r="F27" s="7"/>
      <c r="G27" s="11"/>
      <c r="H27" s="7"/>
      <c r="I27" s="11"/>
      <c r="J27" s="6"/>
    </row>
    <row r="28" spans="2:42" x14ac:dyDescent="0.35">
      <c r="B28" s="5"/>
      <c r="C28" s="12"/>
      <c r="D28" s="7"/>
      <c r="E28" s="78"/>
      <c r="F28" s="7"/>
      <c r="G28" s="11"/>
      <c r="H28" s="7"/>
      <c r="I28" s="11"/>
      <c r="J28" s="6"/>
    </row>
    <row r="29" spans="2:42" x14ac:dyDescent="0.35">
      <c r="B29" s="5"/>
      <c r="C29" s="12"/>
      <c r="D29" s="7"/>
      <c r="E29" s="78"/>
      <c r="F29" s="7"/>
      <c r="G29" s="11"/>
      <c r="H29" s="7"/>
      <c r="I29" s="11"/>
      <c r="J29" s="6"/>
    </row>
    <row r="30" spans="2:42" x14ac:dyDescent="0.35">
      <c r="B30" s="5"/>
      <c r="C30" s="12"/>
      <c r="D30" s="7"/>
      <c r="E30" s="78"/>
      <c r="F30" s="7"/>
      <c r="G30" s="11"/>
      <c r="H30" s="7"/>
      <c r="I30" s="11"/>
      <c r="J30" s="6"/>
    </row>
    <row r="31" spans="2:42" x14ac:dyDescent="0.35">
      <c r="B31" s="5"/>
      <c r="C31" s="12"/>
      <c r="D31" s="7"/>
      <c r="E31" s="78"/>
      <c r="F31" s="7"/>
      <c r="G31" s="11"/>
      <c r="H31" s="7"/>
      <c r="I31" s="11"/>
      <c r="J31" s="6"/>
    </row>
    <row r="32" spans="2:42" x14ac:dyDescent="0.35">
      <c r="B32" s="5"/>
      <c r="C32" s="12"/>
      <c r="D32" s="7"/>
      <c r="E32" s="78"/>
      <c r="F32" s="7"/>
      <c r="G32" s="11"/>
      <c r="H32" s="7"/>
      <c r="I32" s="11"/>
      <c r="J32" s="6"/>
    </row>
    <row r="33" spans="2:10" x14ac:dyDescent="0.35">
      <c r="B33" s="5"/>
      <c r="C33" s="12"/>
      <c r="D33" s="7"/>
      <c r="E33" s="78"/>
      <c r="F33" s="7"/>
      <c r="G33" s="11"/>
      <c r="H33" s="7"/>
      <c r="I33" s="11"/>
      <c r="J33" s="6"/>
    </row>
    <row r="34" spans="2:10" x14ac:dyDescent="0.35">
      <c r="B34" s="5"/>
      <c r="C34" s="12"/>
      <c r="D34" s="7"/>
      <c r="E34" s="78"/>
      <c r="F34" s="7"/>
      <c r="G34" s="11"/>
      <c r="H34" s="7"/>
      <c r="I34" s="11"/>
      <c r="J34" s="6"/>
    </row>
    <row r="35" spans="2:10" x14ac:dyDescent="0.35">
      <c r="B35" s="5"/>
      <c r="C35" s="12"/>
      <c r="D35" s="7"/>
      <c r="E35" s="78"/>
      <c r="F35" s="7"/>
      <c r="G35" s="11"/>
      <c r="H35" s="7"/>
      <c r="I35" s="11"/>
      <c r="J35" s="6"/>
    </row>
    <row r="36" spans="2:10" x14ac:dyDescent="0.35">
      <c r="B36" s="5"/>
      <c r="C36" s="12"/>
      <c r="D36" s="7"/>
      <c r="E36" s="78"/>
      <c r="F36" s="7"/>
      <c r="G36" s="11"/>
      <c r="H36" s="7"/>
      <c r="I36" s="11"/>
      <c r="J36" s="6"/>
    </row>
    <row r="37" spans="2:10" x14ac:dyDescent="0.35">
      <c r="B37" s="5"/>
      <c r="C37" s="12"/>
      <c r="D37" s="7"/>
      <c r="E37" s="78"/>
      <c r="F37" s="7"/>
      <c r="G37" s="11"/>
      <c r="H37" s="7"/>
      <c r="I37" s="11"/>
      <c r="J37" s="6"/>
    </row>
    <row r="38" spans="2:10" x14ac:dyDescent="0.35">
      <c r="B38" s="5"/>
      <c r="C38" s="12"/>
      <c r="D38" s="7"/>
      <c r="E38" s="78"/>
      <c r="F38" s="7"/>
      <c r="G38" s="11"/>
      <c r="H38" s="7"/>
      <c r="I38" s="11"/>
      <c r="J38" s="6"/>
    </row>
    <row r="39" spans="2:10" x14ac:dyDescent="0.35">
      <c r="B39" s="5"/>
      <c r="C39" s="12"/>
      <c r="D39" s="7"/>
      <c r="E39" s="78"/>
      <c r="F39" s="7"/>
      <c r="G39" s="11"/>
      <c r="H39" s="7"/>
      <c r="I39" s="11"/>
      <c r="J39" s="6"/>
    </row>
    <row r="40" spans="2:10" x14ac:dyDescent="0.35">
      <c r="B40" s="5"/>
      <c r="C40" s="12"/>
      <c r="D40" s="7"/>
      <c r="E40" s="78"/>
      <c r="F40" s="7"/>
      <c r="G40" s="11"/>
      <c r="H40" s="7"/>
      <c r="I40" s="11"/>
      <c r="J40" s="6"/>
    </row>
    <row r="41" spans="2:10" x14ac:dyDescent="0.35">
      <c r="B41" s="5"/>
      <c r="C41" s="12"/>
      <c r="D41" s="7"/>
      <c r="E41" s="78"/>
      <c r="F41" s="7"/>
      <c r="G41" s="11"/>
      <c r="H41" s="7"/>
      <c r="I41" s="11"/>
      <c r="J41" s="6"/>
    </row>
    <row r="42" spans="2:10" x14ac:dyDescent="0.35">
      <c r="B42" s="5"/>
      <c r="C42" s="12"/>
      <c r="D42" s="7"/>
      <c r="E42" s="78"/>
      <c r="F42" s="7"/>
      <c r="G42" s="11"/>
      <c r="H42" s="7"/>
      <c r="I42" s="11"/>
      <c r="J42" s="6"/>
    </row>
    <row r="43" spans="2:10" x14ac:dyDescent="0.35">
      <c r="B43" s="5"/>
      <c r="C43" s="12"/>
      <c r="D43" s="7"/>
      <c r="E43" s="78"/>
      <c r="F43" s="7"/>
      <c r="G43" s="11"/>
      <c r="H43" s="7"/>
      <c r="I43" s="11"/>
      <c r="J43" s="6"/>
    </row>
    <row r="44" spans="2:10" x14ac:dyDescent="0.35">
      <c r="B44" s="5"/>
      <c r="C44" s="12"/>
      <c r="D44" s="7"/>
      <c r="E44" s="78"/>
      <c r="F44" s="7"/>
      <c r="G44" s="11"/>
      <c r="H44" s="7"/>
      <c r="I44" s="11"/>
      <c r="J44" s="6"/>
    </row>
    <row r="45" spans="2:10" x14ac:dyDescent="0.35">
      <c r="B45" s="5"/>
      <c r="C45" s="12"/>
      <c r="D45" s="7"/>
      <c r="E45" s="78"/>
      <c r="F45" s="7"/>
      <c r="G45" s="11"/>
      <c r="H45" s="7"/>
      <c r="I45" s="11"/>
      <c r="J45" s="6"/>
    </row>
    <row r="46" spans="2:10" x14ac:dyDescent="0.35">
      <c r="B46" s="5"/>
      <c r="C46" s="12"/>
      <c r="D46" s="7"/>
      <c r="E46" s="78"/>
      <c r="F46" s="7"/>
      <c r="G46" s="11"/>
      <c r="H46" s="7"/>
      <c r="I46" s="11"/>
      <c r="J46" s="6"/>
    </row>
    <row r="47" spans="2:10" x14ac:dyDescent="0.35">
      <c r="B47" s="5"/>
      <c r="C47" s="12"/>
      <c r="D47" s="7"/>
      <c r="E47" s="78"/>
      <c r="F47" s="7"/>
      <c r="G47" s="11"/>
      <c r="H47" s="7"/>
      <c r="I47" s="11"/>
      <c r="J47" s="6"/>
    </row>
    <row r="48" spans="2:10" x14ac:dyDescent="0.35">
      <c r="B48" s="5"/>
      <c r="C48" s="12"/>
      <c r="D48" s="7"/>
      <c r="E48" s="78"/>
      <c r="F48" s="7"/>
      <c r="G48" s="11"/>
      <c r="H48" s="7"/>
      <c r="I48" s="11"/>
      <c r="J48" s="6"/>
    </row>
    <row r="49" spans="2:10" x14ac:dyDescent="0.35">
      <c r="B49" s="5"/>
      <c r="C49" s="12"/>
      <c r="D49" s="7"/>
      <c r="E49" s="78"/>
      <c r="F49" s="7"/>
      <c r="G49" s="11"/>
      <c r="H49" s="7"/>
      <c r="I49" s="11"/>
      <c r="J49" s="6"/>
    </row>
    <row r="50" spans="2:10" x14ac:dyDescent="0.35">
      <c r="B50" s="5"/>
      <c r="C50" s="12"/>
      <c r="D50" s="7"/>
      <c r="E50" s="78"/>
      <c r="F50" s="7"/>
      <c r="G50" s="11"/>
      <c r="H50" s="7"/>
      <c r="I50" s="11"/>
      <c r="J50" s="6"/>
    </row>
    <row r="51" spans="2:10" x14ac:dyDescent="0.35">
      <c r="B51" s="5"/>
      <c r="C51" s="12"/>
      <c r="D51" s="7"/>
      <c r="E51" s="78"/>
      <c r="F51" s="7"/>
      <c r="G51" s="11"/>
      <c r="H51" s="7"/>
      <c r="I51" s="11"/>
      <c r="J51" s="6"/>
    </row>
    <row r="52" spans="2:10" x14ac:dyDescent="0.35">
      <c r="B52" s="5"/>
      <c r="C52" s="12"/>
      <c r="D52" s="7"/>
      <c r="E52" s="78"/>
      <c r="F52" s="7"/>
      <c r="G52" s="11"/>
      <c r="H52" s="7"/>
      <c r="I52" s="11"/>
      <c r="J52" s="6"/>
    </row>
    <row r="53" spans="2:10" x14ac:dyDescent="0.35">
      <c r="B53" s="5"/>
      <c r="C53" s="12"/>
      <c r="D53" s="7"/>
      <c r="E53" s="78"/>
      <c r="F53" s="7"/>
      <c r="G53" s="11"/>
      <c r="H53" s="7"/>
      <c r="I53" s="11"/>
      <c r="J53" s="6"/>
    </row>
    <row r="54" spans="2:10" x14ac:dyDescent="0.35">
      <c r="B54" s="5"/>
      <c r="C54" s="12"/>
      <c r="D54" s="7"/>
      <c r="E54" s="78"/>
      <c r="F54" s="7"/>
      <c r="G54" s="11"/>
      <c r="H54" s="7"/>
      <c r="I54" s="11"/>
      <c r="J54" s="6"/>
    </row>
    <row r="55" spans="2:10" x14ac:dyDescent="0.35">
      <c r="B55" s="5"/>
      <c r="C55" s="12"/>
      <c r="D55" s="7"/>
      <c r="E55" s="78"/>
      <c r="F55" s="7"/>
      <c r="G55" s="11"/>
      <c r="H55" s="7"/>
      <c r="I55" s="11"/>
      <c r="J55" s="6"/>
    </row>
    <row r="56" spans="2:10" x14ac:dyDescent="0.35">
      <c r="B56" s="5"/>
      <c r="C56" s="12"/>
      <c r="D56" s="7"/>
      <c r="E56" s="78"/>
      <c r="F56" s="7"/>
      <c r="G56" s="11"/>
      <c r="H56" s="7"/>
      <c r="I56" s="11"/>
      <c r="J56" s="6"/>
    </row>
    <row r="57" spans="2:10" x14ac:dyDescent="0.35">
      <c r="B57" s="5"/>
      <c r="C57" s="12"/>
      <c r="D57" s="7"/>
      <c r="E57" s="78"/>
      <c r="F57" s="7"/>
      <c r="G57" s="11"/>
      <c r="H57" s="7"/>
      <c r="I57" s="11"/>
      <c r="J57" s="6"/>
    </row>
    <row r="58" spans="2:10" x14ac:dyDescent="0.35">
      <c r="B58" s="5"/>
      <c r="C58" s="12"/>
      <c r="D58" s="7"/>
      <c r="E58" s="78"/>
      <c r="F58" s="7"/>
      <c r="G58" s="11"/>
      <c r="H58" s="7"/>
      <c r="I58" s="11"/>
      <c r="J58" s="6"/>
    </row>
    <row r="59" spans="2:10" x14ac:dyDescent="0.35">
      <c r="B59" s="5"/>
      <c r="C59" s="12"/>
      <c r="D59" s="7"/>
      <c r="E59" s="78"/>
      <c r="F59" s="7"/>
      <c r="G59" s="11"/>
      <c r="H59" s="7"/>
      <c r="I59" s="11"/>
      <c r="J59" s="6"/>
    </row>
    <row r="60" spans="2:10" x14ac:dyDescent="0.35">
      <c r="B60" s="5"/>
      <c r="C60" s="12"/>
      <c r="D60" s="7"/>
      <c r="E60" s="78"/>
      <c r="F60" s="7"/>
      <c r="G60" s="11"/>
      <c r="H60" s="7"/>
      <c r="I60" s="11"/>
      <c r="J60" s="6"/>
    </row>
    <row r="61" spans="2:10" x14ac:dyDescent="0.35">
      <c r="B61" s="5"/>
      <c r="C61" s="12"/>
      <c r="D61" s="7"/>
      <c r="E61" s="78"/>
      <c r="F61" s="7"/>
      <c r="G61" s="11"/>
      <c r="H61" s="7"/>
      <c r="I61" s="11"/>
      <c r="J61" s="6"/>
    </row>
    <row r="62" spans="2:10" x14ac:dyDescent="0.35">
      <c r="B62" s="5"/>
      <c r="C62" s="12"/>
      <c r="D62" s="7"/>
      <c r="E62" s="78"/>
      <c r="F62" s="7"/>
      <c r="G62" s="11"/>
      <c r="H62" s="7"/>
      <c r="I62" s="11"/>
      <c r="J62" s="6"/>
    </row>
    <row r="63" spans="2:10" x14ac:dyDescent="0.35">
      <c r="B63" s="5"/>
      <c r="C63" s="12"/>
      <c r="D63" s="7"/>
      <c r="E63" s="78"/>
      <c r="F63" s="7"/>
      <c r="G63" s="11"/>
      <c r="H63" s="7"/>
      <c r="I63" s="11"/>
      <c r="J63" s="6"/>
    </row>
    <row r="64" spans="2:10" x14ac:dyDescent="0.35">
      <c r="B64" s="5"/>
      <c r="C64" s="12"/>
      <c r="D64" s="7"/>
      <c r="E64" s="78"/>
      <c r="F64" s="7"/>
      <c r="G64" s="11"/>
      <c r="H64" s="7"/>
      <c r="I64" s="11"/>
      <c r="J64" s="6"/>
    </row>
    <row r="65" spans="2:10" ht="15" thickBot="1" x14ac:dyDescent="0.4">
      <c r="B65" s="8"/>
      <c r="C65" s="9"/>
      <c r="D65" s="9"/>
      <c r="E65" s="9"/>
      <c r="F65" s="9"/>
      <c r="G65" s="9"/>
      <c r="H65" s="9"/>
      <c r="I65" s="9"/>
      <c r="J65" s="10"/>
    </row>
  </sheetData>
  <dataValidations count="1">
    <dataValidation type="list" allowBlank="1" showInputMessage="1" showErrorMessage="1" sqref="G6 U31 G21:G64" xr:uid="{6EC78FC0-6390-456E-AA2C-1B28FF759A93}">
      <formula1>"Lebensmittel, Haushalt, Transport, Sport, Freizeit, Ausgabe1, Ausgabe2, Ausgabe3, Ausgabe4, Ausgabe5"</formula1>
    </dataValidation>
  </dataValidations>
  <hyperlinks>
    <hyperlink ref="G12" location="Einzelbeträge!A1" display="Einzelbeträge" xr:uid="{EADD8B6B-81FC-4105-AAB3-CFBBA8109632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nzufügen">
                <anchor moveWithCells="1">
                  <from>
                    <xdr:col>2</xdr:col>
                    <xdr:colOff>12700</xdr:colOff>
                    <xdr:row>6</xdr:row>
                    <xdr:rowOff>177800</xdr:rowOff>
                  </from>
                  <to>
                    <xdr:col>2</xdr:col>
                    <xdr:colOff>787400</xdr:colOff>
                    <xdr:row>8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8E6D-670D-441C-8759-A51992B2293F}">
  <sheetPr codeName="Sheet2"/>
  <dimension ref="B1:AT37"/>
  <sheetViews>
    <sheetView zoomScale="62" zoomScaleNormal="70" workbookViewId="0">
      <selection activeCell="D1" sqref="D1:N1048576"/>
    </sheetView>
  </sheetViews>
  <sheetFormatPr defaultRowHeight="14.5" x14ac:dyDescent="0.35"/>
  <cols>
    <col min="1" max="2" width="2.81640625" customWidth="1"/>
    <col min="3" max="3" width="11.26953125" bestFit="1" customWidth="1"/>
    <col min="4" max="4" width="8.26953125" bestFit="1" customWidth="1"/>
    <col min="5" max="5" width="12.08984375" bestFit="1" customWidth="1"/>
    <col min="6" max="6" width="8.7265625" bestFit="1" customWidth="1"/>
    <col min="7" max="7" width="9.6328125" bestFit="1" customWidth="1"/>
    <col min="8" max="8" width="6.26953125" bestFit="1" customWidth="1"/>
    <col min="9" max="9" width="7.08984375" bestFit="1" customWidth="1"/>
    <col min="10" max="14" width="10.6328125" bestFit="1" customWidth="1"/>
    <col min="15" max="17" width="2.81640625" customWidth="1"/>
    <col min="18" max="18" width="22.36328125" bestFit="1" customWidth="1"/>
    <col min="19" max="19" width="8.26953125" bestFit="1" customWidth="1"/>
    <col min="20" max="20" width="12.08984375" bestFit="1" customWidth="1"/>
    <col min="21" max="21" width="8.7265625" bestFit="1" customWidth="1"/>
    <col min="22" max="22" width="9.6328125" bestFit="1" customWidth="1"/>
    <col min="23" max="23" width="6.26953125" bestFit="1" customWidth="1"/>
    <col min="24" max="24" width="7.08984375" bestFit="1" customWidth="1"/>
    <col min="25" max="29" width="10.6328125" bestFit="1" customWidth="1"/>
    <col min="30" max="32" width="2.81640625" customWidth="1"/>
    <col min="33" max="33" width="12.1796875" bestFit="1" customWidth="1"/>
    <col min="34" max="34" width="8.26953125" bestFit="1" customWidth="1"/>
    <col min="35" max="35" width="12.08984375" bestFit="1" customWidth="1"/>
    <col min="36" max="36" width="8.7265625" bestFit="1" customWidth="1"/>
    <col min="37" max="37" width="9.6328125" bestFit="1" customWidth="1"/>
    <col min="38" max="38" width="6.26953125" bestFit="1" customWidth="1"/>
    <col min="39" max="39" width="7.08984375" bestFit="1" customWidth="1"/>
    <col min="40" max="41" width="10.6328125" bestFit="1" customWidth="1"/>
    <col min="42" max="42" width="10.6328125" customWidth="1"/>
    <col min="43" max="44" width="10.6328125" bestFit="1" customWidth="1"/>
    <col min="45" max="45" width="9.26953125" bestFit="1" customWidth="1"/>
    <col min="46" max="46" width="2.81640625" customWidth="1"/>
    <col min="48" max="48" width="9.36328125" bestFit="1" customWidth="1"/>
    <col min="50" max="50" width="10.36328125" bestFit="1" customWidth="1"/>
  </cols>
  <sheetData>
    <row r="1" spans="2:46" ht="15" thickBot="1" x14ac:dyDescent="0.4"/>
    <row r="2" spans="2:46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4"/>
    </row>
    <row r="3" spans="2:46" x14ac:dyDescent="0.35">
      <c r="B3" s="5"/>
      <c r="C3" s="1" t="s">
        <v>37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41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38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6"/>
    </row>
    <row r="4" spans="2:46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6"/>
    </row>
    <row r="5" spans="2:46" x14ac:dyDescent="0.35">
      <c r="B5" s="5"/>
      <c r="C5" s="1" t="s">
        <v>7</v>
      </c>
      <c r="D5" s="16" t="s">
        <v>6</v>
      </c>
      <c r="E5" s="42" t="s">
        <v>0</v>
      </c>
      <c r="F5" s="42" t="s">
        <v>1</v>
      </c>
      <c r="G5" s="42" t="s">
        <v>3</v>
      </c>
      <c r="H5" s="42" t="s">
        <v>2</v>
      </c>
      <c r="I5" s="42" t="s">
        <v>42</v>
      </c>
      <c r="J5" s="42" t="s">
        <v>65</v>
      </c>
      <c r="K5" s="42" t="s">
        <v>64</v>
      </c>
      <c r="L5" s="42" t="s">
        <v>63</v>
      </c>
      <c r="M5" s="42" t="s">
        <v>62</v>
      </c>
      <c r="N5" s="43" t="s">
        <v>61</v>
      </c>
      <c r="O5" s="6"/>
      <c r="Q5" s="5"/>
      <c r="R5" s="16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6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1" t="s">
        <v>48</v>
      </c>
      <c r="AT5" s="6"/>
    </row>
    <row r="6" spans="2:46" x14ac:dyDescent="0.35">
      <c r="B6" s="5"/>
      <c r="C6" s="48">
        <f ca="1">TODAY()</f>
        <v>46130</v>
      </c>
      <c r="D6" s="45">
        <f ca="1">SUMIFS(Einzelbeträge!$D:$D,Einzelbeträge!$C:$C,$C6)</f>
        <v>0</v>
      </c>
      <c r="E6" s="32">
        <f ca="1">SUMIFS(Einzelbeträge!$D:$D,Einzelbeträge!$C:$C,$C6,Einzelbeträge!$E:$E,E$5)</f>
        <v>0</v>
      </c>
      <c r="F6" s="32">
        <f ca="1">SUMIFS(Einzelbeträge!$D:$D,Einzelbeträge!$C:$C,$C6,Einzelbeträge!$E:$E,F$5)</f>
        <v>0</v>
      </c>
      <c r="G6" s="32">
        <f ca="1">SUMIFS(Einzelbeträge!$D:$D,Einzelbeträge!$C:$C,$C6,Einzelbeträge!$E:$E,G$5)</f>
        <v>0</v>
      </c>
      <c r="H6" s="32">
        <f ca="1">SUMIFS(Einzelbeträge!$D:$D,Einzelbeträge!$C:$C,$C6,Einzelbeträge!$E:$E,H$5)</f>
        <v>0</v>
      </c>
      <c r="I6" s="32">
        <f ca="1">SUMIFS(Einzelbeträge!$D:$D,Einzelbeträge!$C:$C,$C6,Einzelbeträge!$E:$E,I$5)</f>
        <v>0</v>
      </c>
      <c r="J6" s="32">
        <f ca="1">SUMIFS(Einzelbeträge!$D:$D,Einzelbeträge!$C:$C,$C6,Einzelbeträge!$E:$E,J$5)</f>
        <v>0</v>
      </c>
      <c r="K6" s="32">
        <f ca="1">SUMIFS(Einzelbeträge!$D:$D,Einzelbeträge!$C:$C,$C6,Einzelbeträge!$E:$E,K$5)</f>
        <v>0</v>
      </c>
      <c r="L6" s="32">
        <f ca="1">SUMIFS(Einzelbeträge!$D:$D,Einzelbeträge!$C:$C,$C6,Einzelbeträge!$E:$E,L$5)</f>
        <v>0</v>
      </c>
      <c r="M6" s="32">
        <f ca="1">SUMIFS(Einzelbeträge!$D:$D,Einzelbeträge!$C:$C,$C6,Einzelbeträge!$E:$E,M$5)</f>
        <v>0</v>
      </c>
      <c r="N6" s="33">
        <f ca="1">SUMIFS(Einzelbeträge!$D:$D,Einzelbeträge!$C:$C,$C6,Einzelbeträge!$E:$E,N$5)</f>
        <v>0</v>
      </c>
      <c r="O6" s="6"/>
      <c r="Q6" s="5"/>
      <c r="R6" s="49" t="str">
        <f ca="1">TEXT(($C$6)-WEEKDAY($C$6,3),"TT.MM.JJJJ")&amp;" - "&amp;TEXT($C$6-WEEKDAY($C$6,3)+6,"TT.MM.JJJJ")</f>
        <v>13.04.2026 - 19.04.2026</v>
      </c>
      <c r="S6" s="45">
        <f ca="1">IF(YEAR(TODAY())=2026,_xlfn.XLOOKUP(Übersicht!$R6,'Ausgaben 2026'!$R$6:$R$59,'Ausgaben 2026'!S$6:S$59),IF(YEAR(TODAY())=2027,_xlfn.XLOOKUP(Übersicht!$R6,'Ausgaben 2027'!$R$6:$R$59,'Ausgaben 2027'!S$6:S$59),IF(YEAR(TODAY())=2028,_xlfn.XLOOKUP(Übersicht!$R6,'Ausgaben 2028'!$R$6:$R$59,'Ausgaben 2028'!S$6:S$59),"Bitte Rechner um aktuelles Jahr erweitern.")))</f>
        <v>60</v>
      </c>
      <c r="T6" s="52">
        <f ca="1">IF(YEAR(TODAY())=2026,_xlfn.XLOOKUP(Übersicht!$R6,'Ausgaben 2026'!$R$6:$R$59,'Ausgaben 2026'!T$6:T$59),IF(YEAR(TODAY())=2027,_xlfn.XLOOKUP(Übersicht!$R6,'Ausgaben 2027'!$R$6:$R$59,'Ausgaben 2027'!T$6:T$59),IF(YEAR(TODAY())=2028,_xlfn.XLOOKUP(Übersicht!$R6,'Ausgaben 2028'!$R$6:$R$59,'Ausgaben 2028'!T$6:T$59),"Bitte Rechner um aktuelles Jahr erweitern.")))</f>
        <v>0</v>
      </c>
      <c r="U6" s="52">
        <f ca="1">IF(YEAR(TODAY())=2026,_xlfn.XLOOKUP(Übersicht!$R6,'Ausgaben 2026'!$R$6:$R$59,'Ausgaben 2026'!U$6:U$59),IF(YEAR(TODAY())=2027,_xlfn.XLOOKUP(Übersicht!$R6,'Ausgaben 2027'!$R$6:$R$59,'Ausgaben 2027'!U$6:U$59),IF(YEAR(TODAY())=2028,_xlfn.XLOOKUP(Übersicht!$R6,'Ausgaben 2028'!$R$6:$R$59,'Ausgaben 2028'!U$6:U$59),"Bitte Rechner um aktuelles Jahr erweitern.")))</f>
        <v>30</v>
      </c>
      <c r="V6" s="52">
        <f ca="1">IF(YEAR(TODAY())=2026,_xlfn.XLOOKUP(Übersicht!$R6,'Ausgaben 2026'!$R$6:$R$59,'Ausgaben 2026'!V$6:V$59),IF(YEAR(TODAY())=2027,_xlfn.XLOOKUP(Übersicht!$R6,'Ausgaben 2027'!$R$6:$R$59,'Ausgaben 2027'!V$6:V$59),IF(YEAR(TODAY())=2028,_xlfn.XLOOKUP(Übersicht!$R6,'Ausgaben 2028'!$R$6:$R$59,'Ausgaben 2028'!V$6:V$59),"Bitte Rechner um aktuelles Jahr erweitern.")))</f>
        <v>0</v>
      </c>
      <c r="W6" s="52">
        <f ca="1">IF(YEAR(TODAY())=2026,_xlfn.XLOOKUP(Übersicht!$R6,'Ausgaben 2026'!$R$6:$R$59,'Ausgaben 2026'!W$6:W$59),IF(YEAR(TODAY())=2027,_xlfn.XLOOKUP(Übersicht!$R6,'Ausgaben 2027'!$R$6:$R$59,'Ausgaben 2027'!W$6:W$59),IF(YEAR(TODAY())=2028,_xlfn.XLOOKUP(Übersicht!$R6,'Ausgaben 2028'!$R$6:$R$59,'Ausgaben 2028'!W$6:W$59),"Bitte Rechner um aktuelles Jahr erweitern.")))</f>
        <v>0</v>
      </c>
      <c r="X6" s="52">
        <f ca="1">IF(YEAR(TODAY())=2026,_xlfn.XLOOKUP(Übersicht!$R6,'Ausgaben 2026'!$R$6:$R$59,'Ausgaben 2026'!X$6:X$59),IF(YEAR(TODAY())=2027,_xlfn.XLOOKUP(Übersicht!$R6,'Ausgaben 2027'!$R$6:$R$59,'Ausgaben 2027'!X$6:X$59),IF(YEAR(TODAY())=2028,_xlfn.XLOOKUP(Übersicht!$R6,'Ausgaben 2028'!$R$6:$R$59,'Ausgaben 2028'!X$6:X$59),"Bitte Rechner um aktuelles Jahr erweitern.")))</f>
        <v>0</v>
      </c>
      <c r="Y6" s="52">
        <f ca="1">IF(YEAR(TODAY())=2026,_xlfn.XLOOKUP(Übersicht!$R6,'Ausgaben 2026'!$R$6:$R$59,'Ausgaben 2026'!Y$6:Y$59),IF(YEAR(TODAY())=2027,_xlfn.XLOOKUP(Übersicht!$R6,'Ausgaben 2027'!$R$6:$R$59,'Ausgaben 2027'!Y$6:Y$59),IF(YEAR(TODAY())=2028,_xlfn.XLOOKUP(Übersicht!$R6,'Ausgaben 2028'!$R$6:$R$59,'Ausgaben 2028'!Y$6:Y$59),"Bitte Rechner um aktuelles Jahr erweitern.")))</f>
        <v>10</v>
      </c>
      <c r="Z6" s="52">
        <f ca="1">IF(YEAR(TODAY())=2026,_xlfn.XLOOKUP(Übersicht!$R6,'Ausgaben 2026'!$R$6:$R$59,'Ausgaben 2026'!Z$6:Z$59),IF(YEAR(TODAY())=2027,_xlfn.XLOOKUP(Übersicht!$R6,'Ausgaben 2027'!$R$6:$R$59,'Ausgaben 2027'!Z$6:Z$59),IF(YEAR(TODAY())=2028,_xlfn.XLOOKUP(Übersicht!$R6,'Ausgaben 2028'!$R$6:$R$59,'Ausgaben 2028'!Z$6:Z$59),"Bitte Rechner um aktuelles Jahr erweitern.")))</f>
        <v>20</v>
      </c>
      <c r="AA6" s="52">
        <f ca="1">IF(YEAR(TODAY())=2026,_xlfn.XLOOKUP(Übersicht!$R6,'Ausgaben 2026'!$R$6:$R$59,'Ausgaben 2026'!AA$6:AA$59),IF(YEAR(TODAY())=2027,_xlfn.XLOOKUP(Übersicht!$R6,'Ausgaben 2027'!$R$6:$R$59,'Ausgaben 2027'!AA$6:AA$59),IF(YEAR(TODAY())=2028,_xlfn.XLOOKUP(Übersicht!$R6,'Ausgaben 2028'!$R$6:$R$59,'Ausgaben 2028'!AA$6:AA$59),"Bitte Rechner um aktuelles Jahr erweitern.")))</f>
        <v>0</v>
      </c>
      <c r="AB6" s="52">
        <f ca="1">IF(YEAR(TODAY())=2026,_xlfn.XLOOKUP(Übersicht!$R6,'Ausgaben 2026'!$R$6:$R$59,'Ausgaben 2026'!AB$6:AB$59),IF(YEAR(TODAY())=2027,_xlfn.XLOOKUP(Übersicht!$R6,'Ausgaben 2027'!$R$6:$R$59,'Ausgaben 2027'!AB$6:AB$59),IF(YEAR(TODAY())=2028,_xlfn.XLOOKUP(Übersicht!$R6,'Ausgaben 2028'!$R$6:$R$59,'Ausgaben 2028'!AB$6:AB$59),"Bitte Rechner um aktuelles Jahr erweitern.")))</f>
        <v>0</v>
      </c>
      <c r="AC6" s="53">
        <f ca="1">IF(YEAR(TODAY())=2026,_xlfn.XLOOKUP(Übersicht!$R6,'Ausgaben 2026'!$R$6:$R$59,'Ausgaben 2026'!AC$6:AC$59),IF(YEAR(TODAY())=2027,_xlfn.XLOOKUP(Übersicht!$R6,'Ausgaben 2027'!$R$6:$R$59,'Ausgaben 2027'!AC$6:AC$59),IF(YEAR(TODAY())=2028,_xlfn.XLOOKUP(Übersicht!$R6,'Ausgaben 2028'!$R$6:$R$59,'Ausgaben 2028'!AC$6:AC$59),"Bitte Rechner um aktuelles Jahr erweitern.")))</f>
        <v>0</v>
      </c>
      <c r="AD6" s="6"/>
      <c r="AF6" s="5"/>
      <c r="AG6" s="17" t="str">
        <f ca="1">TEXT($C$6,"MMMM")</f>
        <v>April</v>
      </c>
      <c r="AH6" s="45">
        <f ca="1">IF(YEAR(TODAY())=2026,_xlfn.XLOOKUP(Übersicht!$AG6,'Ausgaben 2026'!$AG$6:$AG$17,'Ausgaben 2026'!AH$6:AH$17),IF(YEAR(TODAY())=2027,_xlfn.XLOOKUP(Übersicht!$AG6,'Ausgaben 2027'!$AG$6:$AG$17,'Ausgaben 2027'!AH$6:AH$17),IF(YEAR(TODAY())=2028,_xlfn.XLOOKUP(Übersicht!$AG6,'Ausgaben 2028'!$AG$6:$AG$17,'Ausgaben 2028'!AH$6:AH$17),"Bitte Rechner um aktuelles Jahr erweitern.")))</f>
        <v>60</v>
      </c>
      <c r="AI6" s="52">
        <f ca="1">IF(YEAR(TODAY())=2026,_xlfn.XLOOKUP(Übersicht!$AG6,'Ausgaben 2026'!$AG$6:$AG$17,'Ausgaben 2026'!AI$6:AI$17),IF(YEAR(TODAY())=2027,_xlfn.XLOOKUP(Übersicht!$AG6,'Ausgaben 2027'!$AG$6:$AG$17,'Ausgaben 2027'!AI$6:AI$17),IF(YEAR(TODAY())=2028,_xlfn.XLOOKUP(Übersicht!$AG6,'Ausgaben 2028'!$AG$6:$AG$17,'Ausgaben 2028'!AI$6:AI$17),"Bitte Rechner um aktuelles Jahr erweitern.")))</f>
        <v>0</v>
      </c>
      <c r="AJ6" s="52">
        <f ca="1">IF(YEAR(TODAY())=2026,_xlfn.XLOOKUP(Übersicht!$AG6,'Ausgaben 2026'!$AG$6:$AG$17,'Ausgaben 2026'!AJ$6:AJ$17),IF(YEAR(TODAY())=2027,_xlfn.XLOOKUP(Übersicht!$AG6,'Ausgaben 2027'!$AG$6:$AG$17,'Ausgaben 2027'!AJ$6:AJ$17),IF(YEAR(TODAY())=2028,_xlfn.XLOOKUP(Übersicht!$AG6,'Ausgaben 2028'!$AG$6:$AG$17,'Ausgaben 2028'!AJ$6:AJ$17),"Bitte Rechner um aktuelles Jahr erweitern.")))</f>
        <v>30</v>
      </c>
      <c r="AK6" s="52">
        <f ca="1">IF(YEAR(TODAY())=2026,_xlfn.XLOOKUP(Übersicht!$AG6,'Ausgaben 2026'!$AG$6:$AG$17,'Ausgaben 2026'!AK$6:AK$17),IF(YEAR(TODAY())=2027,_xlfn.XLOOKUP(Übersicht!$AG6,'Ausgaben 2027'!$AG$6:$AG$17,'Ausgaben 2027'!AK$6:AK$17),IF(YEAR(TODAY())=2028,_xlfn.XLOOKUP(Übersicht!$AG6,'Ausgaben 2028'!$AG$6:$AG$17,'Ausgaben 2028'!AK$6:AK$17),"Bitte Rechner um aktuelles Jahr erweitern.")))</f>
        <v>0</v>
      </c>
      <c r="AL6" s="52">
        <f ca="1">IF(YEAR(TODAY())=2026,_xlfn.XLOOKUP(Übersicht!$AG6,'Ausgaben 2026'!$AG$6:$AG$17,'Ausgaben 2026'!AL$6:AL$17),IF(YEAR(TODAY())=2027,_xlfn.XLOOKUP(Übersicht!$AG6,'Ausgaben 2027'!$AG$6:$AG$17,'Ausgaben 2027'!AL$6:AL$17),IF(YEAR(TODAY())=2028,_xlfn.XLOOKUP(Übersicht!$AG6,'Ausgaben 2028'!$AG$6:$AG$17,'Ausgaben 2028'!AL$6:AL$17),"Bitte Rechner um aktuelles Jahr erweitern.")))</f>
        <v>0</v>
      </c>
      <c r="AM6" s="52">
        <f ca="1">IF(YEAR(TODAY())=2026,_xlfn.XLOOKUP(Übersicht!$AG6,'Ausgaben 2026'!$AG$6:$AG$17,'Ausgaben 2026'!AM$6:AM$17),IF(YEAR(TODAY())=2027,_xlfn.XLOOKUP(Übersicht!$AG6,'Ausgaben 2027'!$AG$6:$AG$17,'Ausgaben 2027'!AM$6:AM$17),IF(YEAR(TODAY())=2028,_xlfn.XLOOKUP(Übersicht!$AG6,'Ausgaben 2028'!$AG$6:$AG$17,'Ausgaben 2028'!AM$6:AM$17),"Bitte Rechner um aktuelles Jahr erweitern.")))</f>
        <v>0</v>
      </c>
      <c r="AN6" s="52">
        <f ca="1">IF(YEAR(TODAY())=2026,_xlfn.XLOOKUP(Übersicht!$AG6,'Ausgaben 2026'!$AG$6:$AG$17,'Ausgaben 2026'!AN$6:AN$17),IF(YEAR(TODAY())=2027,_xlfn.XLOOKUP(Übersicht!$AG6,'Ausgaben 2027'!$AG$6:$AG$17,'Ausgaben 2027'!AN$6:AN$17),IF(YEAR(TODAY())=2028,_xlfn.XLOOKUP(Übersicht!$AG6,'Ausgaben 2028'!$AG$6:$AG$17,'Ausgaben 2028'!AN$6:AN$17),"Bitte Rechner um aktuelles Jahr erweitern.")))</f>
        <v>10</v>
      </c>
      <c r="AO6" s="52">
        <f ca="1">IF(YEAR(TODAY())=2026,_xlfn.XLOOKUP(Übersicht!$AG6,'Ausgaben 2026'!$AG$6:$AG$17,'Ausgaben 2026'!AO$6:AO$17),IF(YEAR(TODAY())=2027,_xlfn.XLOOKUP(Übersicht!$AG6,'Ausgaben 2027'!$AG$6:$AG$17,'Ausgaben 2027'!AO$6:AO$17),IF(YEAR(TODAY())=2028,_xlfn.XLOOKUP(Übersicht!$AG6,'Ausgaben 2028'!$AG$6:$AG$17,'Ausgaben 2028'!AO$6:AO$17),"Bitte Rechner um aktuelles Jahr erweitern.")))</f>
        <v>20</v>
      </c>
      <c r="AP6" s="52">
        <f ca="1">IF(YEAR(TODAY())=2026,_xlfn.XLOOKUP(Übersicht!$AG6,'Ausgaben 2026'!$AG$6:$AG$17,'Ausgaben 2026'!AP$6:AP$17),IF(YEAR(TODAY())=2027,_xlfn.XLOOKUP(Übersicht!$AG6,'Ausgaben 2027'!$AG$6:$AG$17,'Ausgaben 2027'!AP$6:AP$17),IF(YEAR(TODAY())=2028,_xlfn.XLOOKUP(Übersicht!$AG6,'Ausgaben 2028'!$AG$6:$AG$17,'Ausgaben 2028'!AP$6:AP$17),"Bitte Rechner um aktuelles Jahr erweitern.")))</f>
        <v>0</v>
      </c>
      <c r="AQ6" s="52">
        <f ca="1">IF(YEAR(TODAY())=2026,_xlfn.XLOOKUP(Übersicht!$AG6,'Ausgaben 2026'!$AG$6:$AG$17,'Ausgaben 2026'!AQ$6:AQ$17),IF(YEAR(TODAY())=2027,_xlfn.XLOOKUP(Übersicht!$AG6,'Ausgaben 2027'!$AG$6:$AG$17,'Ausgaben 2027'!AQ$6:AQ$17),IF(YEAR(TODAY())=2028,_xlfn.XLOOKUP(Übersicht!$AG6,'Ausgaben 2028'!$AG$6:$AG$17,'Ausgaben 2028'!AQ$6:AQ$17),"Bitte Rechner um aktuelles Jahr erweitern.")))</f>
        <v>0</v>
      </c>
      <c r="AR6" s="53">
        <f ca="1">IF(YEAR(TODAY())=2026,_xlfn.XLOOKUP(Übersicht!$AG6,'Ausgaben 2026'!$AG$6:$AG$17,'Ausgaben 2026'!AR$6:AR$17),IF(YEAR(TODAY())=2027,_xlfn.XLOOKUP(Übersicht!$AG6,'Ausgaben 2027'!$AG$6:$AG$17,'Ausgaben 2027'!AR$6:AR$17),IF(YEAR(TODAY())=2028,_xlfn.XLOOKUP(Übersicht!$AG6,'Ausgaben 2028'!$AG$6:$AG$17,'Ausgaben 2028'!AR$6:AR$17),"Bitte Rechner um aktuelles Jahr erweitern.")))</f>
        <v>0</v>
      </c>
      <c r="AS6" s="46">
        <f ca="1">Eingabe!$M$5*DAY(DATE(YEAR($C$6),MONTH($C$6)+1,1)-1)-AH6</f>
        <v>540</v>
      </c>
      <c r="AT6" s="6"/>
    </row>
    <row r="7" spans="2:46" x14ac:dyDescent="0.35">
      <c r="B7" s="5"/>
      <c r="C7" s="30">
        <f ca="1">TODAY()-1</f>
        <v>46129</v>
      </c>
      <c r="D7" s="46">
        <f ca="1">SUMIFS(Einzelbeträge!$D:$D,Einzelbeträge!$C:$C,$C7)</f>
        <v>0</v>
      </c>
      <c r="E7" s="21">
        <f ca="1">SUMIFS(Einzelbeträge!$D:$D,Einzelbeträge!$C:$C,$C7,Einzelbeträge!$E:$E,E$5)</f>
        <v>0</v>
      </c>
      <c r="F7" s="21">
        <f ca="1">SUMIFS(Einzelbeträge!$D:$D,Einzelbeträge!$C:$C,$C7,Einzelbeträge!$E:$E,F$5)</f>
        <v>0</v>
      </c>
      <c r="G7" s="21">
        <f ca="1">SUMIFS(Einzelbeträge!$D:$D,Einzelbeträge!$C:$C,$C7,Einzelbeträge!$E:$E,G$5)</f>
        <v>0</v>
      </c>
      <c r="H7" s="21">
        <f ca="1">SUMIFS(Einzelbeträge!$D:$D,Einzelbeträge!$C:$C,$C7,Einzelbeträge!$E:$E,H$5)</f>
        <v>0</v>
      </c>
      <c r="I7" s="21">
        <f ca="1">SUMIFS(Einzelbeträge!$D:$D,Einzelbeträge!$C:$C,$C7,Einzelbeträge!$E:$E,I$5)</f>
        <v>0</v>
      </c>
      <c r="J7" s="21">
        <f ca="1">SUMIFS(Einzelbeträge!$D:$D,Einzelbeträge!$C:$C,$C7,Einzelbeträge!$E:$E,J$5)</f>
        <v>0</v>
      </c>
      <c r="K7" s="21">
        <f ca="1">SUMIFS(Einzelbeträge!$D:$D,Einzelbeträge!$C:$C,$C7,Einzelbeträge!$E:$E,K$5)</f>
        <v>0</v>
      </c>
      <c r="L7" s="21">
        <f ca="1">SUMIFS(Einzelbeträge!$D:$D,Einzelbeträge!$C:$C,$C7,Einzelbeträge!$E:$E,L$5)</f>
        <v>0</v>
      </c>
      <c r="M7" s="21">
        <f ca="1">SUMIFS(Einzelbeträge!$D:$D,Einzelbeträge!$C:$C,$C7,Einzelbeträge!$E:$E,M$5)</f>
        <v>0</v>
      </c>
      <c r="N7" s="35">
        <f ca="1">SUMIFS(Einzelbeträge!$D:$D,Einzelbeträge!$C:$C,$C7,Einzelbeträge!$E:$E,N$5)</f>
        <v>0</v>
      </c>
      <c r="O7" s="6"/>
      <c r="Q7" s="5"/>
      <c r="R7" s="13" t="str">
        <f ca="1">TEXT(($C$6-7)-WEEKDAY(($C$6-7),3),"TT.MM.JJJJ")&amp;" - "&amp;TEXT(($C$6-7)-WEEKDAY(($C$6-7),3)+6,"TT.MM.JJJJ")</f>
        <v>06.04.2026 - 12.04.2026</v>
      </c>
      <c r="S7" s="46">
        <f ca="1">IF(YEAR(TODAY())=2026,_xlfn.XLOOKUP(Übersicht!$R7,'Ausgaben 2026'!$R$6:$R$59,'Ausgaben 2026'!S$6:S$59),IF(YEAR(TODAY())=2027,_xlfn.XLOOKUP(Übersicht!$R7,'Ausgaben 2027'!$R$6:$R$59,'Ausgaben 2027'!S$6:S$59),IF(YEAR(TODAY())=2028,_xlfn.XLOOKUP(Übersicht!$R7,'Ausgaben 2028'!$R$6:$R$59,'Ausgaben 2028'!S$6:S$59),"Bitte Rechner um aktuelles Jahr erweitern.")))</f>
        <v>0</v>
      </c>
      <c r="T7" s="55">
        <f ca="1">IF(YEAR(TODAY())=2026,_xlfn.XLOOKUP(Übersicht!$R7,'Ausgaben 2026'!$R$6:$R$59,'Ausgaben 2026'!T$6:T$59),IF(YEAR(TODAY())=2027,_xlfn.XLOOKUP(Übersicht!$R7,'Ausgaben 2027'!$R$6:$R$59,'Ausgaben 2027'!T$6:T$59),IF(YEAR(TODAY())=2028,_xlfn.XLOOKUP(Übersicht!$R7,'Ausgaben 2028'!$R$6:$R$59,'Ausgaben 2028'!T$6:T$59),"Bitte Rechner um aktuelles Jahr erweitern.")))</f>
        <v>0</v>
      </c>
      <c r="U7" s="55">
        <f ca="1">IF(YEAR(TODAY())=2026,_xlfn.XLOOKUP(Übersicht!$R7,'Ausgaben 2026'!$R$6:$R$59,'Ausgaben 2026'!U$6:U$59),IF(YEAR(TODAY())=2027,_xlfn.XLOOKUP(Übersicht!$R7,'Ausgaben 2027'!$R$6:$R$59,'Ausgaben 2027'!U$6:U$59),IF(YEAR(TODAY())=2028,_xlfn.XLOOKUP(Übersicht!$R7,'Ausgaben 2028'!$R$6:$R$59,'Ausgaben 2028'!U$6:U$59),"Bitte Rechner um aktuelles Jahr erweitern.")))</f>
        <v>0</v>
      </c>
      <c r="V7" s="55">
        <f ca="1">IF(YEAR(TODAY())=2026,_xlfn.XLOOKUP(Übersicht!$R7,'Ausgaben 2026'!$R$6:$R$59,'Ausgaben 2026'!V$6:V$59),IF(YEAR(TODAY())=2027,_xlfn.XLOOKUP(Übersicht!$R7,'Ausgaben 2027'!$R$6:$R$59,'Ausgaben 2027'!V$6:V$59),IF(YEAR(TODAY())=2028,_xlfn.XLOOKUP(Übersicht!$R7,'Ausgaben 2028'!$R$6:$R$59,'Ausgaben 2028'!V$6:V$59),"Bitte Rechner um aktuelles Jahr erweitern.")))</f>
        <v>0</v>
      </c>
      <c r="W7" s="55">
        <f ca="1">IF(YEAR(TODAY())=2026,_xlfn.XLOOKUP(Übersicht!$R7,'Ausgaben 2026'!$R$6:$R$59,'Ausgaben 2026'!W$6:W$59),IF(YEAR(TODAY())=2027,_xlfn.XLOOKUP(Übersicht!$R7,'Ausgaben 2027'!$R$6:$R$59,'Ausgaben 2027'!W$6:W$59),IF(YEAR(TODAY())=2028,_xlfn.XLOOKUP(Übersicht!$R7,'Ausgaben 2028'!$R$6:$R$59,'Ausgaben 2028'!W$6:W$59),"Bitte Rechner um aktuelles Jahr erweitern.")))</f>
        <v>0</v>
      </c>
      <c r="X7" s="55">
        <f ca="1">IF(YEAR(TODAY())=2026,_xlfn.XLOOKUP(Übersicht!$R7,'Ausgaben 2026'!$R$6:$R$59,'Ausgaben 2026'!X$6:X$59),IF(YEAR(TODAY())=2027,_xlfn.XLOOKUP(Übersicht!$R7,'Ausgaben 2027'!$R$6:$R$59,'Ausgaben 2027'!X$6:X$59),IF(YEAR(TODAY())=2028,_xlfn.XLOOKUP(Übersicht!$R7,'Ausgaben 2028'!$R$6:$R$59,'Ausgaben 2028'!X$6:X$59),"Bitte Rechner um aktuelles Jahr erweitern.")))</f>
        <v>0</v>
      </c>
      <c r="Y7" s="55">
        <f ca="1">IF(YEAR(TODAY())=2026,_xlfn.XLOOKUP(Übersicht!$R7,'Ausgaben 2026'!$R$6:$R$59,'Ausgaben 2026'!Y$6:Y$59),IF(YEAR(TODAY())=2027,_xlfn.XLOOKUP(Übersicht!$R7,'Ausgaben 2027'!$R$6:$R$59,'Ausgaben 2027'!Y$6:Y$59),IF(YEAR(TODAY())=2028,_xlfn.XLOOKUP(Übersicht!$R7,'Ausgaben 2028'!$R$6:$R$59,'Ausgaben 2028'!Y$6:Y$59),"Bitte Rechner um aktuelles Jahr erweitern.")))</f>
        <v>0</v>
      </c>
      <c r="Z7" s="55">
        <f ca="1">IF(YEAR(TODAY())=2026,_xlfn.XLOOKUP(Übersicht!$R7,'Ausgaben 2026'!$R$6:$R$59,'Ausgaben 2026'!Z$6:Z$59),IF(YEAR(TODAY())=2027,_xlfn.XLOOKUP(Übersicht!$R7,'Ausgaben 2027'!$R$6:$R$59,'Ausgaben 2027'!Z$6:Z$59),IF(YEAR(TODAY())=2028,_xlfn.XLOOKUP(Übersicht!$R7,'Ausgaben 2028'!$R$6:$R$59,'Ausgaben 2028'!Z$6:Z$59),"Bitte Rechner um aktuelles Jahr erweitern.")))</f>
        <v>0</v>
      </c>
      <c r="AA7" s="55">
        <f ca="1">IF(YEAR(TODAY())=2026,_xlfn.XLOOKUP(Übersicht!$R7,'Ausgaben 2026'!$R$6:$R$59,'Ausgaben 2026'!AA$6:AA$59),IF(YEAR(TODAY())=2027,_xlfn.XLOOKUP(Übersicht!$R7,'Ausgaben 2027'!$R$6:$R$59,'Ausgaben 2027'!AA$6:AA$59),IF(YEAR(TODAY())=2028,_xlfn.XLOOKUP(Übersicht!$R7,'Ausgaben 2028'!$R$6:$R$59,'Ausgaben 2028'!AA$6:AA$59),"Bitte Rechner um aktuelles Jahr erweitern.")))</f>
        <v>0</v>
      </c>
      <c r="AB7" s="55">
        <f ca="1">IF(YEAR(TODAY())=2026,_xlfn.XLOOKUP(Übersicht!$R7,'Ausgaben 2026'!$R$6:$R$59,'Ausgaben 2026'!AB$6:AB$59),IF(YEAR(TODAY())=2027,_xlfn.XLOOKUP(Übersicht!$R7,'Ausgaben 2027'!$R$6:$R$59,'Ausgaben 2027'!AB$6:AB$59),IF(YEAR(TODAY())=2028,_xlfn.XLOOKUP(Übersicht!$R7,'Ausgaben 2028'!$R$6:$R$59,'Ausgaben 2028'!AB$6:AB$59),"Bitte Rechner um aktuelles Jahr erweitern.")))</f>
        <v>0</v>
      </c>
      <c r="AC7" s="56">
        <f ca="1">IF(YEAR(TODAY())=2026,_xlfn.XLOOKUP(Übersicht!$R7,'Ausgaben 2026'!$R$6:$R$59,'Ausgaben 2026'!AC$6:AC$59),IF(YEAR(TODAY())=2027,_xlfn.XLOOKUP(Übersicht!$R7,'Ausgaben 2027'!$R$6:$R$59,'Ausgaben 2027'!AC$6:AC$59),IF(YEAR(TODAY())=2028,_xlfn.XLOOKUP(Übersicht!$R7,'Ausgaben 2028'!$R$6:$R$59,'Ausgaben 2028'!AC$6:AC$59),"Bitte Rechner um aktuelles Jahr erweitern.")))</f>
        <v>0</v>
      </c>
      <c r="AD7" s="6"/>
      <c r="AF7" s="5"/>
      <c r="AG7" s="13" t="str">
        <f ca="1">TEXT(EDATE($C$6,-1),"MMMM")</f>
        <v>März</v>
      </c>
      <c r="AH7" s="46">
        <f ca="1">IF(YEAR(TODAY())=2026,_xlfn.XLOOKUP(Übersicht!$AG7,'Ausgaben 2026'!$AG$6:$AG$17,'Ausgaben 2026'!AH$6:AH$17),IF(YEAR(TODAY())=2027,_xlfn.XLOOKUP(Übersicht!$AG7,'Ausgaben 2027'!$AG$6:$AG$17,'Ausgaben 2027'!AH$6:AH$17),IF(YEAR(TODAY())=2028,_xlfn.XLOOKUP(Übersicht!$AG7,'Ausgaben 2028'!$AG$6:$AG$17,'Ausgaben 2028'!AH$6:AH$17),"Bitte Rechner um aktuelles Jahr erweitern.")))</f>
        <v>0</v>
      </c>
      <c r="AI7" s="55">
        <f ca="1">IF(YEAR(TODAY())=2026,_xlfn.XLOOKUP(Übersicht!$AG7,'Ausgaben 2026'!$AG$6:$AG$17,'Ausgaben 2026'!AI$6:AI$17),IF(YEAR(TODAY())=2027,_xlfn.XLOOKUP(Übersicht!$AG7,'Ausgaben 2027'!$AG$6:$AG$17,'Ausgaben 2027'!AI$6:AI$17),IF(YEAR(TODAY())=2028,_xlfn.XLOOKUP(Übersicht!$AG7,'Ausgaben 2028'!$AG$6:$AG$17,'Ausgaben 2028'!AI$6:AI$17),"Bitte Rechner um aktuelles Jahr erweitern.")))</f>
        <v>0</v>
      </c>
      <c r="AJ7" s="55">
        <f ca="1">IF(YEAR(TODAY())=2026,_xlfn.XLOOKUP(Übersicht!$AG7,'Ausgaben 2026'!$AG$6:$AG$17,'Ausgaben 2026'!AJ$6:AJ$17),IF(YEAR(TODAY())=2027,_xlfn.XLOOKUP(Übersicht!$AG7,'Ausgaben 2027'!$AG$6:$AG$17,'Ausgaben 2027'!AJ$6:AJ$17),IF(YEAR(TODAY())=2028,_xlfn.XLOOKUP(Übersicht!$AG7,'Ausgaben 2028'!$AG$6:$AG$17,'Ausgaben 2028'!AJ$6:AJ$17),"Bitte Rechner um aktuelles Jahr erweitern.")))</f>
        <v>0</v>
      </c>
      <c r="AK7" s="55">
        <f ca="1">IF(YEAR(TODAY())=2026,_xlfn.XLOOKUP(Übersicht!$AG7,'Ausgaben 2026'!$AG$6:$AG$17,'Ausgaben 2026'!AK$6:AK$17),IF(YEAR(TODAY())=2027,_xlfn.XLOOKUP(Übersicht!$AG7,'Ausgaben 2027'!$AG$6:$AG$17,'Ausgaben 2027'!AK$6:AK$17),IF(YEAR(TODAY())=2028,_xlfn.XLOOKUP(Übersicht!$AG7,'Ausgaben 2028'!$AG$6:$AG$17,'Ausgaben 2028'!AK$6:AK$17),"Bitte Rechner um aktuelles Jahr erweitern.")))</f>
        <v>0</v>
      </c>
      <c r="AL7" s="55">
        <f ca="1">IF(YEAR(TODAY())=2026,_xlfn.XLOOKUP(Übersicht!$AG7,'Ausgaben 2026'!$AG$6:$AG$17,'Ausgaben 2026'!AL$6:AL$17),IF(YEAR(TODAY())=2027,_xlfn.XLOOKUP(Übersicht!$AG7,'Ausgaben 2027'!$AG$6:$AG$17,'Ausgaben 2027'!AL$6:AL$17),IF(YEAR(TODAY())=2028,_xlfn.XLOOKUP(Übersicht!$AG7,'Ausgaben 2028'!$AG$6:$AG$17,'Ausgaben 2028'!AL$6:AL$17),"Bitte Rechner um aktuelles Jahr erweitern.")))</f>
        <v>0</v>
      </c>
      <c r="AM7" s="55">
        <f ca="1">IF(YEAR(TODAY())=2026,_xlfn.XLOOKUP(Übersicht!$AG7,'Ausgaben 2026'!$AG$6:$AG$17,'Ausgaben 2026'!AM$6:AM$17),IF(YEAR(TODAY())=2027,_xlfn.XLOOKUP(Übersicht!$AG7,'Ausgaben 2027'!$AG$6:$AG$17,'Ausgaben 2027'!AM$6:AM$17),IF(YEAR(TODAY())=2028,_xlfn.XLOOKUP(Übersicht!$AG7,'Ausgaben 2028'!$AG$6:$AG$17,'Ausgaben 2028'!AM$6:AM$17),"Bitte Rechner um aktuelles Jahr erweitern.")))</f>
        <v>0</v>
      </c>
      <c r="AN7" s="55">
        <f ca="1">IF(YEAR(TODAY())=2026,_xlfn.XLOOKUP(Übersicht!$AG7,'Ausgaben 2026'!$AG$6:$AG$17,'Ausgaben 2026'!AN$6:AN$17),IF(YEAR(TODAY())=2027,_xlfn.XLOOKUP(Übersicht!$AG7,'Ausgaben 2027'!$AG$6:$AG$17,'Ausgaben 2027'!AN$6:AN$17),IF(YEAR(TODAY())=2028,_xlfn.XLOOKUP(Übersicht!$AG7,'Ausgaben 2028'!$AG$6:$AG$17,'Ausgaben 2028'!AN$6:AN$17),"Bitte Rechner um aktuelles Jahr erweitern.")))</f>
        <v>0</v>
      </c>
      <c r="AO7" s="55">
        <f ca="1">IF(YEAR(TODAY())=2026,_xlfn.XLOOKUP(Übersicht!$AG7,'Ausgaben 2026'!$AG$6:$AG$17,'Ausgaben 2026'!AO$6:AO$17),IF(YEAR(TODAY())=2027,_xlfn.XLOOKUP(Übersicht!$AG7,'Ausgaben 2027'!$AG$6:$AG$17,'Ausgaben 2027'!AO$6:AO$17),IF(YEAR(TODAY())=2028,_xlfn.XLOOKUP(Übersicht!$AG7,'Ausgaben 2028'!$AG$6:$AG$17,'Ausgaben 2028'!AO$6:AO$17),"Bitte Rechner um aktuelles Jahr erweitern.")))</f>
        <v>0</v>
      </c>
      <c r="AP7" s="55">
        <f ca="1">IF(YEAR(TODAY())=2026,_xlfn.XLOOKUP(Übersicht!$AG7,'Ausgaben 2026'!$AG$6:$AG$17,'Ausgaben 2026'!AP$6:AP$17),IF(YEAR(TODAY())=2027,_xlfn.XLOOKUP(Übersicht!$AG7,'Ausgaben 2027'!$AG$6:$AG$17,'Ausgaben 2027'!AP$6:AP$17),IF(YEAR(TODAY())=2028,_xlfn.XLOOKUP(Übersicht!$AG7,'Ausgaben 2028'!$AG$6:$AG$17,'Ausgaben 2028'!AP$6:AP$17),"Bitte Rechner um aktuelles Jahr erweitern.")))</f>
        <v>0</v>
      </c>
      <c r="AQ7" s="55">
        <f ca="1">IF(YEAR(TODAY())=2026,_xlfn.XLOOKUP(Übersicht!$AG7,'Ausgaben 2026'!$AG$6:$AG$17,'Ausgaben 2026'!AQ$6:AQ$17),IF(YEAR(TODAY())=2027,_xlfn.XLOOKUP(Übersicht!$AG7,'Ausgaben 2027'!$AG$6:$AG$17,'Ausgaben 2027'!AQ$6:AQ$17),IF(YEAR(TODAY())=2028,_xlfn.XLOOKUP(Übersicht!$AG7,'Ausgaben 2028'!$AG$6:$AG$17,'Ausgaben 2028'!AQ$6:AQ$17),"Bitte Rechner um aktuelles Jahr erweitern.")))</f>
        <v>0</v>
      </c>
      <c r="AR7" s="56">
        <f ca="1">IF(YEAR(TODAY())=2026,_xlfn.XLOOKUP(Übersicht!$AG7,'Ausgaben 2026'!$AG$6:$AG$17,'Ausgaben 2026'!AR$6:AR$17),IF(YEAR(TODAY())=2027,_xlfn.XLOOKUP(Übersicht!$AG7,'Ausgaben 2027'!$AG$6:$AG$17,'Ausgaben 2027'!AR$6:AR$17),IF(YEAR(TODAY())=2028,_xlfn.XLOOKUP(Übersicht!$AG7,'Ausgaben 2028'!$AG$6:$AG$17,'Ausgaben 2028'!AR$6:AR$17),"Bitte Rechner um aktuelles Jahr erweitern.")))</f>
        <v>0</v>
      </c>
      <c r="AS7" s="46">
        <f ca="1">Eingabe!$M$5*DAY(DATE(YEAR($C$6),MONTH($C$6),1)-1)-AH7</f>
        <v>620</v>
      </c>
      <c r="AT7" s="6"/>
    </row>
    <row r="8" spans="2:46" x14ac:dyDescent="0.35">
      <c r="B8" s="5"/>
      <c r="C8" s="30">
        <f ca="1">TODAY()-2</f>
        <v>46128</v>
      </c>
      <c r="D8" s="46">
        <f ca="1">SUMIFS(Einzelbeträge!$D:$D,Einzelbeträge!$C:$C,$C8)</f>
        <v>0</v>
      </c>
      <c r="E8" s="21">
        <f ca="1">SUMIFS(Einzelbeträge!$D:$D,Einzelbeträge!$C:$C,$C8,Einzelbeträge!$E:$E,E$5)</f>
        <v>0</v>
      </c>
      <c r="F8" s="21">
        <f ca="1">SUMIFS(Einzelbeträge!$D:$D,Einzelbeträge!$C:$C,$C8,Einzelbeträge!$E:$E,F$5)</f>
        <v>0</v>
      </c>
      <c r="G8" s="21">
        <f ca="1">SUMIFS(Einzelbeträge!$D:$D,Einzelbeträge!$C:$C,$C8,Einzelbeträge!$E:$E,G$5)</f>
        <v>0</v>
      </c>
      <c r="H8" s="21">
        <f ca="1">SUMIFS(Einzelbeträge!$D:$D,Einzelbeträge!$C:$C,$C8,Einzelbeträge!$E:$E,H$5)</f>
        <v>0</v>
      </c>
      <c r="I8" s="21">
        <f ca="1">SUMIFS(Einzelbeträge!$D:$D,Einzelbeträge!$C:$C,$C8,Einzelbeträge!$E:$E,I$5)</f>
        <v>0</v>
      </c>
      <c r="J8" s="21">
        <f ca="1">SUMIFS(Einzelbeträge!$D:$D,Einzelbeträge!$C:$C,$C8,Einzelbeträge!$E:$E,J$5)</f>
        <v>0</v>
      </c>
      <c r="K8" s="21">
        <f ca="1">SUMIFS(Einzelbeträge!$D:$D,Einzelbeträge!$C:$C,$C8,Einzelbeträge!$E:$E,K$5)</f>
        <v>0</v>
      </c>
      <c r="L8" s="21">
        <f ca="1">SUMIFS(Einzelbeträge!$D:$D,Einzelbeträge!$C:$C,$C8,Einzelbeträge!$E:$E,L$5)</f>
        <v>0</v>
      </c>
      <c r="M8" s="21">
        <f ca="1">SUMIFS(Einzelbeträge!$D:$D,Einzelbeträge!$C:$C,$C8,Einzelbeträge!$E:$E,M$5)</f>
        <v>0</v>
      </c>
      <c r="N8" s="35">
        <f ca="1">SUMIFS(Einzelbeträge!$D:$D,Einzelbeträge!$C:$C,$C8,Einzelbeträge!$E:$E,N$5)</f>
        <v>0</v>
      </c>
      <c r="O8" s="6"/>
      <c r="Q8" s="5"/>
      <c r="R8" s="13" t="str">
        <f ca="1">TEXT(($C$6-14)-WEEKDAY(($C$6-14),3),"TT.MM.JJJJ")&amp;" - "&amp;TEXT(($C$6-14)-WEEKDAY(($C$6-14),3)+6,"TT.MM.JJJJ")</f>
        <v>30.03.2026 - 05.04.2026</v>
      </c>
      <c r="S8" s="46">
        <f ca="1">IF(YEAR(TODAY())=2026,_xlfn.XLOOKUP(Übersicht!$R8,'Ausgaben 2026'!$R$6:$R$59,'Ausgaben 2026'!S$6:S$59),IF(YEAR(TODAY())=2027,_xlfn.XLOOKUP(Übersicht!$R8,'Ausgaben 2027'!$R$6:$R$59,'Ausgaben 2027'!S$6:S$59),IF(YEAR(TODAY())=2028,_xlfn.XLOOKUP(Übersicht!$R8,'Ausgaben 2028'!$R$6:$R$59,'Ausgaben 2028'!S$6:S$59),"Bitte Rechner um aktuelles Jahr erweitern.")))</f>
        <v>0</v>
      </c>
      <c r="T8" s="55">
        <f ca="1">IF(YEAR(TODAY())=2026,_xlfn.XLOOKUP(Übersicht!$R8,'Ausgaben 2026'!$R$6:$R$59,'Ausgaben 2026'!T$6:T$59),IF(YEAR(TODAY())=2027,_xlfn.XLOOKUP(Übersicht!$R8,'Ausgaben 2027'!$R$6:$R$59,'Ausgaben 2027'!T$6:T$59),IF(YEAR(TODAY())=2028,_xlfn.XLOOKUP(Übersicht!$R8,'Ausgaben 2028'!$R$6:$R$59,'Ausgaben 2028'!T$6:T$59),"Bitte Rechner um aktuelles Jahr erweitern.")))</f>
        <v>0</v>
      </c>
      <c r="U8" s="55">
        <f ca="1">IF(YEAR(TODAY())=2026,_xlfn.XLOOKUP(Übersicht!$R8,'Ausgaben 2026'!$R$6:$R$59,'Ausgaben 2026'!U$6:U$59),IF(YEAR(TODAY())=2027,_xlfn.XLOOKUP(Übersicht!$R8,'Ausgaben 2027'!$R$6:$R$59,'Ausgaben 2027'!U$6:U$59),IF(YEAR(TODAY())=2028,_xlfn.XLOOKUP(Übersicht!$R8,'Ausgaben 2028'!$R$6:$R$59,'Ausgaben 2028'!U$6:U$59),"Bitte Rechner um aktuelles Jahr erweitern.")))</f>
        <v>0</v>
      </c>
      <c r="V8" s="55">
        <f ca="1">IF(YEAR(TODAY())=2026,_xlfn.XLOOKUP(Übersicht!$R8,'Ausgaben 2026'!$R$6:$R$59,'Ausgaben 2026'!V$6:V$59),IF(YEAR(TODAY())=2027,_xlfn.XLOOKUP(Übersicht!$R8,'Ausgaben 2027'!$R$6:$R$59,'Ausgaben 2027'!V$6:V$59),IF(YEAR(TODAY())=2028,_xlfn.XLOOKUP(Übersicht!$R8,'Ausgaben 2028'!$R$6:$R$59,'Ausgaben 2028'!V$6:V$59),"Bitte Rechner um aktuelles Jahr erweitern.")))</f>
        <v>0</v>
      </c>
      <c r="W8" s="55">
        <f ca="1">IF(YEAR(TODAY())=2026,_xlfn.XLOOKUP(Übersicht!$R8,'Ausgaben 2026'!$R$6:$R$59,'Ausgaben 2026'!W$6:W$59),IF(YEAR(TODAY())=2027,_xlfn.XLOOKUP(Übersicht!$R8,'Ausgaben 2027'!$R$6:$R$59,'Ausgaben 2027'!W$6:W$59),IF(YEAR(TODAY())=2028,_xlfn.XLOOKUP(Übersicht!$R8,'Ausgaben 2028'!$R$6:$R$59,'Ausgaben 2028'!W$6:W$59),"Bitte Rechner um aktuelles Jahr erweitern.")))</f>
        <v>0</v>
      </c>
      <c r="X8" s="55">
        <f ca="1">IF(YEAR(TODAY())=2026,_xlfn.XLOOKUP(Übersicht!$R8,'Ausgaben 2026'!$R$6:$R$59,'Ausgaben 2026'!X$6:X$59),IF(YEAR(TODAY())=2027,_xlfn.XLOOKUP(Übersicht!$R8,'Ausgaben 2027'!$R$6:$R$59,'Ausgaben 2027'!X$6:X$59),IF(YEAR(TODAY())=2028,_xlfn.XLOOKUP(Übersicht!$R8,'Ausgaben 2028'!$R$6:$R$59,'Ausgaben 2028'!X$6:X$59),"Bitte Rechner um aktuelles Jahr erweitern.")))</f>
        <v>0</v>
      </c>
      <c r="Y8" s="55">
        <f ca="1">IF(YEAR(TODAY())=2026,_xlfn.XLOOKUP(Übersicht!$R8,'Ausgaben 2026'!$R$6:$R$59,'Ausgaben 2026'!Y$6:Y$59),IF(YEAR(TODAY())=2027,_xlfn.XLOOKUP(Übersicht!$R8,'Ausgaben 2027'!$R$6:$R$59,'Ausgaben 2027'!Y$6:Y$59),IF(YEAR(TODAY())=2028,_xlfn.XLOOKUP(Übersicht!$R8,'Ausgaben 2028'!$R$6:$R$59,'Ausgaben 2028'!Y$6:Y$59),"Bitte Rechner um aktuelles Jahr erweitern.")))</f>
        <v>0</v>
      </c>
      <c r="Z8" s="55">
        <f ca="1">IF(YEAR(TODAY())=2026,_xlfn.XLOOKUP(Übersicht!$R8,'Ausgaben 2026'!$R$6:$R$59,'Ausgaben 2026'!Z$6:Z$59),IF(YEAR(TODAY())=2027,_xlfn.XLOOKUP(Übersicht!$R8,'Ausgaben 2027'!$R$6:$R$59,'Ausgaben 2027'!Z$6:Z$59),IF(YEAR(TODAY())=2028,_xlfn.XLOOKUP(Übersicht!$R8,'Ausgaben 2028'!$R$6:$R$59,'Ausgaben 2028'!Z$6:Z$59),"Bitte Rechner um aktuelles Jahr erweitern.")))</f>
        <v>0</v>
      </c>
      <c r="AA8" s="55">
        <f ca="1">IF(YEAR(TODAY())=2026,_xlfn.XLOOKUP(Übersicht!$R8,'Ausgaben 2026'!$R$6:$R$59,'Ausgaben 2026'!AA$6:AA$59),IF(YEAR(TODAY())=2027,_xlfn.XLOOKUP(Übersicht!$R8,'Ausgaben 2027'!$R$6:$R$59,'Ausgaben 2027'!AA$6:AA$59),IF(YEAR(TODAY())=2028,_xlfn.XLOOKUP(Übersicht!$R8,'Ausgaben 2028'!$R$6:$R$59,'Ausgaben 2028'!AA$6:AA$59),"Bitte Rechner um aktuelles Jahr erweitern.")))</f>
        <v>0</v>
      </c>
      <c r="AB8" s="55">
        <f ca="1">IF(YEAR(TODAY())=2026,_xlfn.XLOOKUP(Übersicht!$R8,'Ausgaben 2026'!$R$6:$R$59,'Ausgaben 2026'!AB$6:AB$59),IF(YEAR(TODAY())=2027,_xlfn.XLOOKUP(Übersicht!$R8,'Ausgaben 2027'!$R$6:$R$59,'Ausgaben 2027'!AB$6:AB$59),IF(YEAR(TODAY())=2028,_xlfn.XLOOKUP(Übersicht!$R8,'Ausgaben 2028'!$R$6:$R$59,'Ausgaben 2028'!AB$6:AB$59),"Bitte Rechner um aktuelles Jahr erweitern.")))</f>
        <v>0</v>
      </c>
      <c r="AC8" s="56">
        <f ca="1">IF(YEAR(TODAY())=2026,_xlfn.XLOOKUP(Übersicht!$R8,'Ausgaben 2026'!$R$6:$R$59,'Ausgaben 2026'!AC$6:AC$59),IF(YEAR(TODAY())=2027,_xlfn.XLOOKUP(Übersicht!$R8,'Ausgaben 2027'!$R$6:$R$59,'Ausgaben 2027'!AC$6:AC$59),IF(YEAR(TODAY())=2028,_xlfn.XLOOKUP(Übersicht!$R8,'Ausgaben 2028'!$R$6:$R$59,'Ausgaben 2028'!AC$6:AC$59),"Bitte Rechner um aktuelles Jahr erweitern.")))</f>
        <v>0</v>
      </c>
      <c r="AD8" s="6"/>
      <c r="AF8" s="5"/>
      <c r="AG8" s="13" t="str">
        <f ca="1">TEXT(EDATE($C$6,-2),"MMMM")</f>
        <v>Februar</v>
      </c>
      <c r="AH8" s="46">
        <f ca="1">IF(YEAR(TODAY())=2026,_xlfn.XLOOKUP(Übersicht!$AG8,'Ausgaben 2026'!$AG$6:$AG$17,'Ausgaben 2026'!AH$6:AH$17),IF(YEAR(TODAY())=2027,_xlfn.XLOOKUP(Übersicht!$AG8,'Ausgaben 2027'!$AG$6:$AG$17,'Ausgaben 2027'!AH$6:AH$17),IF(YEAR(TODAY())=2028,_xlfn.XLOOKUP(Übersicht!$AG8,'Ausgaben 2028'!$AG$6:$AG$17,'Ausgaben 2028'!AH$6:AH$17),"Bitte Rechner um aktuelles Jahr erweitern.")))</f>
        <v>0</v>
      </c>
      <c r="AI8" s="55">
        <f ca="1">IF(YEAR(TODAY())=2026,_xlfn.XLOOKUP(Übersicht!$AG8,'Ausgaben 2026'!$AG$6:$AG$17,'Ausgaben 2026'!AI$6:AI$17),IF(YEAR(TODAY())=2027,_xlfn.XLOOKUP(Übersicht!$AG8,'Ausgaben 2027'!$AG$6:$AG$17,'Ausgaben 2027'!AI$6:AI$17),IF(YEAR(TODAY())=2028,_xlfn.XLOOKUP(Übersicht!$AG8,'Ausgaben 2028'!$AG$6:$AG$17,'Ausgaben 2028'!AI$6:AI$17),"Bitte Rechner um aktuelles Jahr erweitern.")))</f>
        <v>0</v>
      </c>
      <c r="AJ8" s="55">
        <f ca="1">IF(YEAR(TODAY())=2026,_xlfn.XLOOKUP(Übersicht!$AG8,'Ausgaben 2026'!$AG$6:$AG$17,'Ausgaben 2026'!AJ$6:AJ$17),IF(YEAR(TODAY())=2027,_xlfn.XLOOKUP(Übersicht!$AG8,'Ausgaben 2027'!$AG$6:$AG$17,'Ausgaben 2027'!AJ$6:AJ$17),IF(YEAR(TODAY())=2028,_xlfn.XLOOKUP(Übersicht!$AG8,'Ausgaben 2028'!$AG$6:$AG$17,'Ausgaben 2028'!AJ$6:AJ$17),"Bitte Rechner um aktuelles Jahr erweitern.")))</f>
        <v>0</v>
      </c>
      <c r="AK8" s="55">
        <f ca="1">IF(YEAR(TODAY())=2026,_xlfn.XLOOKUP(Übersicht!$AG8,'Ausgaben 2026'!$AG$6:$AG$17,'Ausgaben 2026'!AK$6:AK$17),IF(YEAR(TODAY())=2027,_xlfn.XLOOKUP(Übersicht!$AG8,'Ausgaben 2027'!$AG$6:$AG$17,'Ausgaben 2027'!AK$6:AK$17),IF(YEAR(TODAY())=2028,_xlfn.XLOOKUP(Übersicht!$AG8,'Ausgaben 2028'!$AG$6:$AG$17,'Ausgaben 2028'!AK$6:AK$17),"Bitte Rechner um aktuelles Jahr erweitern.")))</f>
        <v>0</v>
      </c>
      <c r="AL8" s="55">
        <f ca="1">IF(YEAR(TODAY())=2026,_xlfn.XLOOKUP(Übersicht!$AG8,'Ausgaben 2026'!$AG$6:$AG$17,'Ausgaben 2026'!AL$6:AL$17),IF(YEAR(TODAY())=2027,_xlfn.XLOOKUP(Übersicht!$AG8,'Ausgaben 2027'!$AG$6:$AG$17,'Ausgaben 2027'!AL$6:AL$17),IF(YEAR(TODAY())=2028,_xlfn.XLOOKUP(Übersicht!$AG8,'Ausgaben 2028'!$AG$6:$AG$17,'Ausgaben 2028'!AL$6:AL$17),"Bitte Rechner um aktuelles Jahr erweitern.")))</f>
        <v>0</v>
      </c>
      <c r="AM8" s="55">
        <f ca="1">IF(YEAR(TODAY())=2026,_xlfn.XLOOKUP(Übersicht!$AG8,'Ausgaben 2026'!$AG$6:$AG$17,'Ausgaben 2026'!AM$6:AM$17),IF(YEAR(TODAY())=2027,_xlfn.XLOOKUP(Übersicht!$AG8,'Ausgaben 2027'!$AG$6:$AG$17,'Ausgaben 2027'!AM$6:AM$17),IF(YEAR(TODAY())=2028,_xlfn.XLOOKUP(Übersicht!$AG8,'Ausgaben 2028'!$AG$6:$AG$17,'Ausgaben 2028'!AM$6:AM$17),"Bitte Rechner um aktuelles Jahr erweitern.")))</f>
        <v>0</v>
      </c>
      <c r="AN8" s="55">
        <f ca="1">IF(YEAR(TODAY())=2026,_xlfn.XLOOKUP(Übersicht!$AG8,'Ausgaben 2026'!$AG$6:$AG$17,'Ausgaben 2026'!AN$6:AN$17),IF(YEAR(TODAY())=2027,_xlfn.XLOOKUP(Übersicht!$AG8,'Ausgaben 2027'!$AG$6:$AG$17,'Ausgaben 2027'!AN$6:AN$17),IF(YEAR(TODAY())=2028,_xlfn.XLOOKUP(Übersicht!$AG8,'Ausgaben 2028'!$AG$6:$AG$17,'Ausgaben 2028'!AN$6:AN$17),"Bitte Rechner um aktuelles Jahr erweitern.")))</f>
        <v>0</v>
      </c>
      <c r="AO8" s="55">
        <f ca="1">IF(YEAR(TODAY())=2026,_xlfn.XLOOKUP(Übersicht!$AG8,'Ausgaben 2026'!$AG$6:$AG$17,'Ausgaben 2026'!AO$6:AO$17),IF(YEAR(TODAY())=2027,_xlfn.XLOOKUP(Übersicht!$AG8,'Ausgaben 2027'!$AG$6:$AG$17,'Ausgaben 2027'!AO$6:AO$17),IF(YEAR(TODAY())=2028,_xlfn.XLOOKUP(Übersicht!$AG8,'Ausgaben 2028'!$AG$6:$AG$17,'Ausgaben 2028'!AO$6:AO$17),"Bitte Rechner um aktuelles Jahr erweitern.")))</f>
        <v>0</v>
      </c>
      <c r="AP8" s="55">
        <f ca="1">IF(YEAR(TODAY())=2026,_xlfn.XLOOKUP(Übersicht!$AG8,'Ausgaben 2026'!$AG$6:$AG$17,'Ausgaben 2026'!AP$6:AP$17),IF(YEAR(TODAY())=2027,_xlfn.XLOOKUP(Übersicht!$AG8,'Ausgaben 2027'!$AG$6:$AG$17,'Ausgaben 2027'!AP$6:AP$17),IF(YEAR(TODAY())=2028,_xlfn.XLOOKUP(Übersicht!$AG8,'Ausgaben 2028'!$AG$6:$AG$17,'Ausgaben 2028'!AP$6:AP$17),"Bitte Rechner um aktuelles Jahr erweitern.")))</f>
        <v>0</v>
      </c>
      <c r="AQ8" s="55">
        <f ca="1">IF(YEAR(TODAY())=2026,_xlfn.XLOOKUP(Übersicht!$AG8,'Ausgaben 2026'!$AG$6:$AG$17,'Ausgaben 2026'!AQ$6:AQ$17),IF(YEAR(TODAY())=2027,_xlfn.XLOOKUP(Übersicht!$AG8,'Ausgaben 2027'!$AG$6:$AG$17,'Ausgaben 2027'!AQ$6:AQ$17),IF(YEAR(TODAY())=2028,_xlfn.XLOOKUP(Übersicht!$AG8,'Ausgaben 2028'!$AG$6:$AG$17,'Ausgaben 2028'!AQ$6:AQ$17),"Bitte Rechner um aktuelles Jahr erweitern.")))</f>
        <v>0</v>
      </c>
      <c r="AR8" s="56">
        <f ca="1">IF(YEAR(TODAY())=2026,_xlfn.XLOOKUP(Übersicht!$AG8,'Ausgaben 2026'!$AG$6:$AG$17,'Ausgaben 2026'!AR$6:AR$17),IF(YEAR(TODAY())=2027,_xlfn.XLOOKUP(Übersicht!$AG8,'Ausgaben 2027'!$AG$6:$AG$17,'Ausgaben 2027'!AR$6:AR$17),IF(YEAR(TODAY())=2028,_xlfn.XLOOKUP(Übersicht!$AG8,'Ausgaben 2028'!$AG$6:$AG$17,'Ausgaben 2028'!AR$6:AR$17),"Bitte Rechner um aktuelles Jahr erweitern.")))</f>
        <v>0</v>
      </c>
      <c r="AS8" s="46">
        <f ca="1">Eingabe!$M$5*DAY(DATE(YEAR($C$6),MONTH($C$6)-1,1)-1)-AH8</f>
        <v>560</v>
      </c>
      <c r="AT8" s="6"/>
    </row>
    <row r="9" spans="2:46" x14ac:dyDescent="0.35">
      <c r="B9" s="5"/>
      <c r="C9" s="30">
        <f ca="1">TODAY()-3</f>
        <v>46127</v>
      </c>
      <c r="D9" s="46">
        <f ca="1">SUMIFS(Einzelbeträge!$D:$D,Einzelbeträge!$C:$C,$C9)</f>
        <v>30</v>
      </c>
      <c r="E9" s="21">
        <f ca="1">SUMIFS(Einzelbeträge!$D:$D,Einzelbeträge!$C:$C,$C9,Einzelbeträge!$E:$E,E$5)</f>
        <v>0</v>
      </c>
      <c r="F9" s="21">
        <f ca="1">SUMIFS(Einzelbeträge!$D:$D,Einzelbeträge!$C:$C,$C9,Einzelbeträge!$E:$E,F$5)</f>
        <v>30</v>
      </c>
      <c r="G9" s="21">
        <f ca="1">SUMIFS(Einzelbeträge!$D:$D,Einzelbeträge!$C:$C,$C9,Einzelbeträge!$E:$E,G$5)</f>
        <v>0</v>
      </c>
      <c r="H9" s="21">
        <f ca="1">SUMIFS(Einzelbeträge!$D:$D,Einzelbeträge!$C:$C,$C9,Einzelbeträge!$E:$E,H$5)</f>
        <v>0</v>
      </c>
      <c r="I9" s="21">
        <f ca="1">SUMIFS(Einzelbeträge!$D:$D,Einzelbeträge!$C:$C,$C9,Einzelbeträge!$E:$E,I$5)</f>
        <v>0</v>
      </c>
      <c r="J9" s="21">
        <f ca="1">SUMIFS(Einzelbeträge!$D:$D,Einzelbeträge!$C:$C,$C9,Einzelbeträge!$E:$E,J$5)</f>
        <v>0</v>
      </c>
      <c r="K9" s="21">
        <f ca="1">SUMIFS(Einzelbeträge!$D:$D,Einzelbeträge!$C:$C,$C9,Einzelbeträge!$E:$E,K$5)</f>
        <v>0</v>
      </c>
      <c r="L9" s="21">
        <f ca="1">SUMIFS(Einzelbeträge!$D:$D,Einzelbeträge!$C:$C,$C9,Einzelbeträge!$E:$E,L$5)</f>
        <v>0</v>
      </c>
      <c r="M9" s="21">
        <f ca="1">SUMIFS(Einzelbeträge!$D:$D,Einzelbeträge!$C:$C,$C9,Einzelbeträge!$E:$E,M$5)</f>
        <v>0</v>
      </c>
      <c r="N9" s="35">
        <f ca="1">SUMIFS(Einzelbeträge!$D:$D,Einzelbeträge!$C:$C,$C9,Einzelbeträge!$E:$E,N$5)</f>
        <v>0</v>
      </c>
      <c r="O9" s="6"/>
      <c r="Q9" s="5"/>
      <c r="R9" s="13" t="str">
        <f ca="1">TEXT(($C$6-21)-WEEKDAY(($C$6-21),3),"TT.MM.JJJJ")&amp;" - "&amp;TEXT(($C$6-21)-WEEKDAY(($C$6-21),3)+6,"TT.MM.JJJJ")</f>
        <v>23.03.2026 - 29.03.2026</v>
      </c>
      <c r="S9" s="46">
        <f ca="1">IF(YEAR(TODAY())=2026,_xlfn.XLOOKUP(Übersicht!$R9,'Ausgaben 2026'!$R$6:$R$59,'Ausgaben 2026'!S$6:S$59),IF(YEAR(TODAY())=2027,_xlfn.XLOOKUP(Übersicht!$R9,'Ausgaben 2027'!$R$6:$R$59,'Ausgaben 2027'!S$6:S$59),IF(YEAR(TODAY())=2028,_xlfn.XLOOKUP(Übersicht!$R9,'Ausgaben 2028'!$R$6:$R$59,'Ausgaben 2028'!S$6:S$59),"Bitte Rechner um aktuelles Jahr erweitern.")))</f>
        <v>0</v>
      </c>
      <c r="T9" s="55">
        <f ca="1">IF(YEAR(TODAY())=2026,_xlfn.XLOOKUP(Übersicht!$R9,'Ausgaben 2026'!$R$6:$R$59,'Ausgaben 2026'!T$6:T$59),IF(YEAR(TODAY())=2027,_xlfn.XLOOKUP(Übersicht!$R9,'Ausgaben 2027'!$R$6:$R$59,'Ausgaben 2027'!T$6:T$59),IF(YEAR(TODAY())=2028,_xlfn.XLOOKUP(Übersicht!$R9,'Ausgaben 2028'!$R$6:$R$59,'Ausgaben 2028'!T$6:T$59),"Bitte Rechner um aktuelles Jahr erweitern.")))</f>
        <v>0</v>
      </c>
      <c r="U9" s="55">
        <f ca="1">IF(YEAR(TODAY())=2026,_xlfn.XLOOKUP(Übersicht!$R9,'Ausgaben 2026'!$R$6:$R$59,'Ausgaben 2026'!U$6:U$59),IF(YEAR(TODAY())=2027,_xlfn.XLOOKUP(Übersicht!$R9,'Ausgaben 2027'!$R$6:$R$59,'Ausgaben 2027'!U$6:U$59),IF(YEAR(TODAY())=2028,_xlfn.XLOOKUP(Übersicht!$R9,'Ausgaben 2028'!$R$6:$R$59,'Ausgaben 2028'!U$6:U$59),"Bitte Rechner um aktuelles Jahr erweitern.")))</f>
        <v>0</v>
      </c>
      <c r="V9" s="55">
        <f ca="1">IF(YEAR(TODAY())=2026,_xlfn.XLOOKUP(Übersicht!$R9,'Ausgaben 2026'!$R$6:$R$59,'Ausgaben 2026'!V$6:V$59),IF(YEAR(TODAY())=2027,_xlfn.XLOOKUP(Übersicht!$R9,'Ausgaben 2027'!$R$6:$R$59,'Ausgaben 2027'!V$6:V$59),IF(YEAR(TODAY())=2028,_xlfn.XLOOKUP(Übersicht!$R9,'Ausgaben 2028'!$R$6:$R$59,'Ausgaben 2028'!V$6:V$59),"Bitte Rechner um aktuelles Jahr erweitern.")))</f>
        <v>0</v>
      </c>
      <c r="W9" s="55">
        <f ca="1">IF(YEAR(TODAY())=2026,_xlfn.XLOOKUP(Übersicht!$R9,'Ausgaben 2026'!$R$6:$R$59,'Ausgaben 2026'!W$6:W$59),IF(YEAR(TODAY())=2027,_xlfn.XLOOKUP(Übersicht!$R9,'Ausgaben 2027'!$R$6:$R$59,'Ausgaben 2027'!W$6:W$59),IF(YEAR(TODAY())=2028,_xlfn.XLOOKUP(Übersicht!$R9,'Ausgaben 2028'!$R$6:$R$59,'Ausgaben 2028'!W$6:W$59),"Bitte Rechner um aktuelles Jahr erweitern.")))</f>
        <v>0</v>
      </c>
      <c r="X9" s="55">
        <f ca="1">IF(YEAR(TODAY())=2026,_xlfn.XLOOKUP(Übersicht!$R9,'Ausgaben 2026'!$R$6:$R$59,'Ausgaben 2026'!X$6:X$59),IF(YEAR(TODAY())=2027,_xlfn.XLOOKUP(Übersicht!$R9,'Ausgaben 2027'!$R$6:$R$59,'Ausgaben 2027'!X$6:X$59),IF(YEAR(TODAY())=2028,_xlfn.XLOOKUP(Übersicht!$R9,'Ausgaben 2028'!$R$6:$R$59,'Ausgaben 2028'!X$6:X$59),"Bitte Rechner um aktuelles Jahr erweitern.")))</f>
        <v>0</v>
      </c>
      <c r="Y9" s="55">
        <f ca="1">IF(YEAR(TODAY())=2026,_xlfn.XLOOKUP(Übersicht!$R9,'Ausgaben 2026'!$R$6:$R$59,'Ausgaben 2026'!Y$6:Y$59),IF(YEAR(TODAY())=2027,_xlfn.XLOOKUP(Übersicht!$R9,'Ausgaben 2027'!$R$6:$R$59,'Ausgaben 2027'!Y$6:Y$59),IF(YEAR(TODAY())=2028,_xlfn.XLOOKUP(Übersicht!$R9,'Ausgaben 2028'!$R$6:$R$59,'Ausgaben 2028'!Y$6:Y$59),"Bitte Rechner um aktuelles Jahr erweitern.")))</f>
        <v>0</v>
      </c>
      <c r="Z9" s="55">
        <f ca="1">IF(YEAR(TODAY())=2026,_xlfn.XLOOKUP(Übersicht!$R9,'Ausgaben 2026'!$R$6:$R$59,'Ausgaben 2026'!Z$6:Z$59),IF(YEAR(TODAY())=2027,_xlfn.XLOOKUP(Übersicht!$R9,'Ausgaben 2027'!$R$6:$R$59,'Ausgaben 2027'!Z$6:Z$59),IF(YEAR(TODAY())=2028,_xlfn.XLOOKUP(Übersicht!$R9,'Ausgaben 2028'!$R$6:$R$59,'Ausgaben 2028'!Z$6:Z$59),"Bitte Rechner um aktuelles Jahr erweitern.")))</f>
        <v>0</v>
      </c>
      <c r="AA9" s="55">
        <f ca="1">IF(YEAR(TODAY())=2026,_xlfn.XLOOKUP(Übersicht!$R9,'Ausgaben 2026'!$R$6:$R$59,'Ausgaben 2026'!AA$6:AA$59),IF(YEAR(TODAY())=2027,_xlfn.XLOOKUP(Übersicht!$R9,'Ausgaben 2027'!$R$6:$R$59,'Ausgaben 2027'!AA$6:AA$59),IF(YEAR(TODAY())=2028,_xlfn.XLOOKUP(Übersicht!$R9,'Ausgaben 2028'!$R$6:$R$59,'Ausgaben 2028'!AA$6:AA$59),"Bitte Rechner um aktuelles Jahr erweitern.")))</f>
        <v>0</v>
      </c>
      <c r="AB9" s="55">
        <f ca="1">IF(YEAR(TODAY())=2026,_xlfn.XLOOKUP(Übersicht!$R9,'Ausgaben 2026'!$R$6:$R$59,'Ausgaben 2026'!AB$6:AB$59),IF(YEAR(TODAY())=2027,_xlfn.XLOOKUP(Übersicht!$R9,'Ausgaben 2027'!$R$6:$R$59,'Ausgaben 2027'!AB$6:AB$59),IF(YEAR(TODAY())=2028,_xlfn.XLOOKUP(Übersicht!$R9,'Ausgaben 2028'!$R$6:$R$59,'Ausgaben 2028'!AB$6:AB$59),"Bitte Rechner um aktuelles Jahr erweitern.")))</f>
        <v>0</v>
      </c>
      <c r="AC9" s="56">
        <f ca="1">IF(YEAR(TODAY())=2026,_xlfn.XLOOKUP(Übersicht!$R9,'Ausgaben 2026'!$R$6:$R$59,'Ausgaben 2026'!AC$6:AC$59),IF(YEAR(TODAY())=2027,_xlfn.XLOOKUP(Übersicht!$R9,'Ausgaben 2027'!$R$6:$R$59,'Ausgaben 2027'!AC$6:AC$59),IF(YEAR(TODAY())=2028,_xlfn.XLOOKUP(Übersicht!$R9,'Ausgaben 2028'!$R$6:$R$59,'Ausgaben 2028'!AC$6:AC$59),"Bitte Rechner um aktuelles Jahr erweitern.")))</f>
        <v>0</v>
      </c>
      <c r="AD9" s="6"/>
      <c r="AF9" s="5"/>
      <c r="AG9" s="57" t="str">
        <f ca="1">TEXT(EDATE($C$6,-3),"MMMM")</f>
        <v>Januar</v>
      </c>
      <c r="AH9" s="47">
        <f ca="1">IF(YEAR(TODAY())=2026,_xlfn.XLOOKUP(Übersicht!$AG9,'Ausgaben 2026'!$AG$6:$AG$17,'Ausgaben 2026'!AH$6:AH$17),IF(YEAR(TODAY())=2027,_xlfn.XLOOKUP(Übersicht!$AG9,'Ausgaben 2027'!$AG$6:$AG$17,'Ausgaben 2027'!AH$6:AH$17),IF(YEAR(TODAY())=2028,_xlfn.XLOOKUP(Übersicht!$AG9,'Ausgaben 2028'!$AG$6:$AG$17,'Ausgaben 2028'!AH$6:AH$17),"Bitte Rechner um aktuelles Jahr erweitern.")))</f>
        <v>0</v>
      </c>
      <c r="AI9" s="58">
        <f ca="1">IF(YEAR(TODAY())=2026,_xlfn.XLOOKUP(Übersicht!$AG9,'Ausgaben 2026'!$AG$6:$AG$17,'Ausgaben 2026'!AI$6:AI$17),IF(YEAR(TODAY())=2027,_xlfn.XLOOKUP(Übersicht!$AG9,'Ausgaben 2027'!$AG$6:$AG$17,'Ausgaben 2027'!AI$6:AI$17),IF(YEAR(TODAY())=2028,_xlfn.XLOOKUP(Übersicht!$AG9,'Ausgaben 2028'!$AG$6:$AG$17,'Ausgaben 2028'!AI$6:AI$17),"Bitte Rechner um aktuelles Jahr erweitern.")))</f>
        <v>0</v>
      </c>
      <c r="AJ9" s="58">
        <f ca="1">IF(YEAR(TODAY())=2026,_xlfn.XLOOKUP(Übersicht!$AG9,'Ausgaben 2026'!$AG$6:$AG$17,'Ausgaben 2026'!AJ$6:AJ$17),IF(YEAR(TODAY())=2027,_xlfn.XLOOKUP(Übersicht!$AG9,'Ausgaben 2027'!$AG$6:$AG$17,'Ausgaben 2027'!AJ$6:AJ$17),IF(YEAR(TODAY())=2028,_xlfn.XLOOKUP(Übersicht!$AG9,'Ausgaben 2028'!$AG$6:$AG$17,'Ausgaben 2028'!AJ$6:AJ$17),"Bitte Rechner um aktuelles Jahr erweitern.")))</f>
        <v>0</v>
      </c>
      <c r="AK9" s="58">
        <f ca="1">IF(YEAR(TODAY())=2026,_xlfn.XLOOKUP(Übersicht!$AG9,'Ausgaben 2026'!$AG$6:$AG$17,'Ausgaben 2026'!AK$6:AK$17),IF(YEAR(TODAY())=2027,_xlfn.XLOOKUP(Übersicht!$AG9,'Ausgaben 2027'!$AG$6:$AG$17,'Ausgaben 2027'!AK$6:AK$17),IF(YEAR(TODAY())=2028,_xlfn.XLOOKUP(Übersicht!$AG9,'Ausgaben 2028'!$AG$6:$AG$17,'Ausgaben 2028'!AK$6:AK$17),"Bitte Rechner um aktuelles Jahr erweitern.")))</f>
        <v>0</v>
      </c>
      <c r="AL9" s="58">
        <f ca="1">IF(YEAR(TODAY())=2026,_xlfn.XLOOKUP(Übersicht!$AG9,'Ausgaben 2026'!$AG$6:$AG$17,'Ausgaben 2026'!AL$6:AL$17),IF(YEAR(TODAY())=2027,_xlfn.XLOOKUP(Übersicht!$AG9,'Ausgaben 2027'!$AG$6:$AG$17,'Ausgaben 2027'!AL$6:AL$17),IF(YEAR(TODAY())=2028,_xlfn.XLOOKUP(Übersicht!$AG9,'Ausgaben 2028'!$AG$6:$AG$17,'Ausgaben 2028'!AL$6:AL$17),"Bitte Rechner um aktuelles Jahr erweitern.")))</f>
        <v>0</v>
      </c>
      <c r="AM9" s="58">
        <f ca="1">IF(YEAR(TODAY())=2026,_xlfn.XLOOKUP(Übersicht!$AG9,'Ausgaben 2026'!$AG$6:$AG$17,'Ausgaben 2026'!AM$6:AM$17),IF(YEAR(TODAY())=2027,_xlfn.XLOOKUP(Übersicht!$AG9,'Ausgaben 2027'!$AG$6:$AG$17,'Ausgaben 2027'!AM$6:AM$17),IF(YEAR(TODAY())=2028,_xlfn.XLOOKUP(Übersicht!$AG9,'Ausgaben 2028'!$AG$6:$AG$17,'Ausgaben 2028'!AM$6:AM$17),"Bitte Rechner um aktuelles Jahr erweitern.")))</f>
        <v>0</v>
      </c>
      <c r="AN9" s="58">
        <f ca="1">IF(YEAR(TODAY())=2026,_xlfn.XLOOKUP(Übersicht!$AG9,'Ausgaben 2026'!$AG$6:$AG$17,'Ausgaben 2026'!AN$6:AN$17),IF(YEAR(TODAY())=2027,_xlfn.XLOOKUP(Übersicht!$AG9,'Ausgaben 2027'!$AG$6:$AG$17,'Ausgaben 2027'!AN$6:AN$17),IF(YEAR(TODAY())=2028,_xlfn.XLOOKUP(Übersicht!$AG9,'Ausgaben 2028'!$AG$6:$AG$17,'Ausgaben 2028'!AN$6:AN$17),"Bitte Rechner um aktuelles Jahr erweitern.")))</f>
        <v>0</v>
      </c>
      <c r="AO9" s="58">
        <f ca="1">IF(YEAR(TODAY())=2026,_xlfn.XLOOKUP(Übersicht!$AG9,'Ausgaben 2026'!$AG$6:$AG$17,'Ausgaben 2026'!AO$6:AO$17),IF(YEAR(TODAY())=2027,_xlfn.XLOOKUP(Übersicht!$AG9,'Ausgaben 2027'!$AG$6:$AG$17,'Ausgaben 2027'!AO$6:AO$17),IF(YEAR(TODAY())=2028,_xlfn.XLOOKUP(Übersicht!$AG9,'Ausgaben 2028'!$AG$6:$AG$17,'Ausgaben 2028'!AO$6:AO$17),"Bitte Rechner um aktuelles Jahr erweitern.")))</f>
        <v>0</v>
      </c>
      <c r="AP9" s="58">
        <f ca="1">IF(YEAR(TODAY())=2026,_xlfn.XLOOKUP(Übersicht!$AG9,'Ausgaben 2026'!$AG$6:$AG$17,'Ausgaben 2026'!AP$6:AP$17),IF(YEAR(TODAY())=2027,_xlfn.XLOOKUP(Übersicht!$AG9,'Ausgaben 2027'!$AG$6:$AG$17,'Ausgaben 2027'!AP$6:AP$17),IF(YEAR(TODAY())=2028,_xlfn.XLOOKUP(Übersicht!$AG9,'Ausgaben 2028'!$AG$6:$AG$17,'Ausgaben 2028'!AP$6:AP$17),"Bitte Rechner um aktuelles Jahr erweitern.")))</f>
        <v>0</v>
      </c>
      <c r="AQ9" s="58">
        <f ca="1">IF(YEAR(TODAY())=2026,_xlfn.XLOOKUP(Übersicht!$AG9,'Ausgaben 2026'!$AG$6:$AG$17,'Ausgaben 2026'!AQ$6:AQ$17),IF(YEAR(TODAY())=2027,_xlfn.XLOOKUP(Übersicht!$AG9,'Ausgaben 2027'!$AG$6:$AG$17,'Ausgaben 2027'!AQ$6:AQ$17),IF(YEAR(TODAY())=2028,_xlfn.XLOOKUP(Übersicht!$AG9,'Ausgaben 2028'!$AG$6:$AG$17,'Ausgaben 2028'!AQ$6:AQ$17),"Bitte Rechner um aktuelles Jahr erweitern.")))</f>
        <v>0</v>
      </c>
      <c r="AR9" s="59">
        <f ca="1">IF(YEAR(TODAY())=2026,_xlfn.XLOOKUP(Übersicht!$AG9,'Ausgaben 2026'!$AG$6:$AG$17,'Ausgaben 2026'!AR$6:AR$17),IF(YEAR(TODAY())=2027,_xlfn.XLOOKUP(Übersicht!$AG9,'Ausgaben 2027'!$AG$6:$AG$17,'Ausgaben 2027'!AR$6:AR$17),IF(YEAR(TODAY())=2028,_xlfn.XLOOKUP(Übersicht!$AG9,'Ausgaben 2028'!$AG$6:$AG$17,'Ausgaben 2028'!AR$6:AR$17),"Bitte Rechner um aktuelles Jahr erweitern.")))</f>
        <v>0</v>
      </c>
      <c r="AS9" s="47">
        <f ca="1">Eingabe!$M$5*DAY(DATE(YEAR($C$6),MONTH($C$6)-2,1)-1)-AH9</f>
        <v>620</v>
      </c>
      <c r="AT9" s="6"/>
    </row>
    <row r="10" spans="2:46" ht="15" thickBot="1" x14ac:dyDescent="0.4">
      <c r="B10" s="5"/>
      <c r="C10" s="30">
        <f ca="1">TODAY()-4</f>
        <v>46126</v>
      </c>
      <c r="D10" s="46">
        <f ca="1">SUMIFS(Einzelbeträge!$D:$D,Einzelbeträge!$C:$C,$C10)</f>
        <v>20</v>
      </c>
      <c r="E10" s="21">
        <f ca="1">SUMIFS(Einzelbeträge!$D:$D,Einzelbeträge!$C:$C,$C10,Einzelbeträge!$E:$E,E$5)</f>
        <v>0</v>
      </c>
      <c r="F10" s="21">
        <f ca="1">SUMIFS(Einzelbeträge!$D:$D,Einzelbeträge!$C:$C,$C10,Einzelbeträge!$E:$E,F$5)</f>
        <v>0</v>
      </c>
      <c r="G10" s="21">
        <f ca="1">SUMIFS(Einzelbeträge!$D:$D,Einzelbeträge!$C:$C,$C10,Einzelbeträge!$E:$E,G$5)</f>
        <v>0</v>
      </c>
      <c r="H10" s="21">
        <f ca="1">SUMIFS(Einzelbeträge!$D:$D,Einzelbeträge!$C:$C,$C10,Einzelbeträge!$E:$E,H$5)</f>
        <v>0</v>
      </c>
      <c r="I10" s="21">
        <f ca="1">SUMIFS(Einzelbeträge!$D:$D,Einzelbeträge!$C:$C,$C10,Einzelbeträge!$E:$E,I$5)</f>
        <v>0</v>
      </c>
      <c r="J10" s="21">
        <f ca="1">SUMIFS(Einzelbeträge!$D:$D,Einzelbeträge!$C:$C,$C10,Einzelbeträge!$E:$E,J$5)</f>
        <v>0</v>
      </c>
      <c r="K10" s="21">
        <f ca="1">SUMIFS(Einzelbeträge!$D:$D,Einzelbeträge!$C:$C,$C10,Einzelbeträge!$E:$E,K$5)</f>
        <v>20</v>
      </c>
      <c r="L10" s="21">
        <f ca="1">SUMIFS(Einzelbeträge!$D:$D,Einzelbeträge!$C:$C,$C10,Einzelbeträge!$E:$E,L$5)</f>
        <v>0</v>
      </c>
      <c r="M10" s="21">
        <f ca="1">SUMIFS(Einzelbeträge!$D:$D,Einzelbeträge!$C:$C,$C10,Einzelbeträge!$E:$E,M$5)</f>
        <v>0</v>
      </c>
      <c r="N10" s="35">
        <f ca="1">SUMIFS(Einzelbeträge!$D:$D,Einzelbeträge!$C:$C,$C10,Einzelbeträge!$E:$E,N$5)</f>
        <v>0</v>
      </c>
      <c r="O10" s="6"/>
      <c r="Q10" s="5"/>
      <c r="R10" s="13" t="str">
        <f ca="1">TEXT(($C$6-28)-WEEKDAY(($C$6-28),3),"TT.MM.JJJJ")&amp;" - "&amp;TEXT(($C$6-28)-WEEKDAY(($C$6-28),3)+6,"TT.MM.JJJJ")</f>
        <v>16.03.2026 - 22.03.2026</v>
      </c>
      <c r="S10" s="46">
        <f ca="1">IF(YEAR(TODAY())=2026,_xlfn.XLOOKUP(Übersicht!$R10,'Ausgaben 2026'!$R$6:$R$59,'Ausgaben 2026'!S$6:S$59),IF(YEAR(TODAY())=2027,_xlfn.XLOOKUP(Übersicht!$R10,'Ausgaben 2027'!$R$6:$R$59,'Ausgaben 2027'!S$6:S$59),IF(YEAR(TODAY())=2028,_xlfn.XLOOKUP(Übersicht!$R10,'Ausgaben 2028'!$R$6:$R$59,'Ausgaben 2028'!S$6:S$59),"Bitte Rechner um aktuelles Jahr erweitern.")))</f>
        <v>0</v>
      </c>
      <c r="T10" s="55">
        <f ca="1">IF(YEAR(TODAY())=2026,_xlfn.XLOOKUP(Übersicht!$R10,'Ausgaben 2026'!$R$6:$R$59,'Ausgaben 2026'!T$6:T$59),IF(YEAR(TODAY())=2027,_xlfn.XLOOKUP(Übersicht!$R10,'Ausgaben 2027'!$R$6:$R$59,'Ausgaben 2027'!T$6:T$59),IF(YEAR(TODAY())=2028,_xlfn.XLOOKUP(Übersicht!$R10,'Ausgaben 2028'!$R$6:$R$59,'Ausgaben 2028'!T$6:T$59),"Bitte Rechner um aktuelles Jahr erweitern.")))</f>
        <v>0</v>
      </c>
      <c r="U10" s="55">
        <f ca="1">IF(YEAR(TODAY())=2026,_xlfn.XLOOKUP(Übersicht!$R10,'Ausgaben 2026'!$R$6:$R$59,'Ausgaben 2026'!U$6:U$59),IF(YEAR(TODAY())=2027,_xlfn.XLOOKUP(Übersicht!$R10,'Ausgaben 2027'!$R$6:$R$59,'Ausgaben 2027'!U$6:U$59),IF(YEAR(TODAY())=2028,_xlfn.XLOOKUP(Übersicht!$R10,'Ausgaben 2028'!$R$6:$R$59,'Ausgaben 2028'!U$6:U$59),"Bitte Rechner um aktuelles Jahr erweitern.")))</f>
        <v>0</v>
      </c>
      <c r="V10" s="55">
        <f ca="1">IF(YEAR(TODAY())=2026,_xlfn.XLOOKUP(Übersicht!$R10,'Ausgaben 2026'!$R$6:$R$59,'Ausgaben 2026'!V$6:V$59),IF(YEAR(TODAY())=2027,_xlfn.XLOOKUP(Übersicht!$R10,'Ausgaben 2027'!$R$6:$R$59,'Ausgaben 2027'!V$6:V$59),IF(YEAR(TODAY())=2028,_xlfn.XLOOKUP(Übersicht!$R10,'Ausgaben 2028'!$R$6:$R$59,'Ausgaben 2028'!V$6:V$59),"Bitte Rechner um aktuelles Jahr erweitern.")))</f>
        <v>0</v>
      </c>
      <c r="W10" s="55">
        <f ca="1">IF(YEAR(TODAY())=2026,_xlfn.XLOOKUP(Übersicht!$R10,'Ausgaben 2026'!$R$6:$R$59,'Ausgaben 2026'!W$6:W$59),IF(YEAR(TODAY())=2027,_xlfn.XLOOKUP(Übersicht!$R10,'Ausgaben 2027'!$R$6:$R$59,'Ausgaben 2027'!W$6:W$59),IF(YEAR(TODAY())=2028,_xlfn.XLOOKUP(Übersicht!$R10,'Ausgaben 2028'!$R$6:$R$59,'Ausgaben 2028'!W$6:W$59),"Bitte Rechner um aktuelles Jahr erweitern.")))</f>
        <v>0</v>
      </c>
      <c r="X10" s="55">
        <f ca="1">IF(YEAR(TODAY())=2026,_xlfn.XLOOKUP(Übersicht!$R10,'Ausgaben 2026'!$R$6:$R$59,'Ausgaben 2026'!X$6:X$59),IF(YEAR(TODAY())=2027,_xlfn.XLOOKUP(Übersicht!$R10,'Ausgaben 2027'!$R$6:$R$59,'Ausgaben 2027'!X$6:X$59),IF(YEAR(TODAY())=2028,_xlfn.XLOOKUP(Übersicht!$R10,'Ausgaben 2028'!$R$6:$R$59,'Ausgaben 2028'!X$6:X$59),"Bitte Rechner um aktuelles Jahr erweitern.")))</f>
        <v>0</v>
      </c>
      <c r="Y10" s="55">
        <f ca="1">IF(YEAR(TODAY())=2026,_xlfn.XLOOKUP(Übersicht!$R10,'Ausgaben 2026'!$R$6:$R$59,'Ausgaben 2026'!Y$6:Y$59),IF(YEAR(TODAY())=2027,_xlfn.XLOOKUP(Übersicht!$R10,'Ausgaben 2027'!$R$6:$R$59,'Ausgaben 2027'!Y$6:Y$59),IF(YEAR(TODAY())=2028,_xlfn.XLOOKUP(Übersicht!$R10,'Ausgaben 2028'!$R$6:$R$59,'Ausgaben 2028'!Y$6:Y$59),"Bitte Rechner um aktuelles Jahr erweitern.")))</f>
        <v>0</v>
      </c>
      <c r="Z10" s="55">
        <f ca="1">IF(YEAR(TODAY())=2026,_xlfn.XLOOKUP(Übersicht!$R10,'Ausgaben 2026'!$R$6:$R$59,'Ausgaben 2026'!Z$6:Z$59),IF(YEAR(TODAY())=2027,_xlfn.XLOOKUP(Übersicht!$R10,'Ausgaben 2027'!$R$6:$R$59,'Ausgaben 2027'!Z$6:Z$59),IF(YEAR(TODAY())=2028,_xlfn.XLOOKUP(Übersicht!$R10,'Ausgaben 2028'!$R$6:$R$59,'Ausgaben 2028'!Z$6:Z$59),"Bitte Rechner um aktuelles Jahr erweitern.")))</f>
        <v>0</v>
      </c>
      <c r="AA10" s="55">
        <f ca="1">IF(YEAR(TODAY())=2026,_xlfn.XLOOKUP(Übersicht!$R10,'Ausgaben 2026'!$R$6:$R$59,'Ausgaben 2026'!AA$6:AA$59),IF(YEAR(TODAY())=2027,_xlfn.XLOOKUP(Übersicht!$R10,'Ausgaben 2027'!$R$6:$R$59,'Ausgaben 2027'!AA$6:AA$59),IF(YEAR(TODAY())=2028,_xlfn.XLOOKUP(Übersicht!$R10,'Ausgaben 2028'!$R$6:$R$59,'Ausgaben 2028'!AA$6:AA$59),"Bitte Rechner um aktuelles Jahr erweitern.")))</f>
        <v>0</v>
      </c>
      <c r="AB10" s="55">
        <f ca="1">IF(YEAR(TODAY())=2026,_xlfn.XLOOKUP(Übersicht!$R10,'Ausgaben 2026'!$R$6:$R$59,'Ausgaben 2026'!AB$6:AB$59),IF(YEAR(TODAY())=2027,_xlfn.XLOOKUP(Übersicht!$R10,'Ausgaben 2027'!$R$6:$R$59,'Ausgaben 2027'!AB$6:AB$59),IF(YEAR(TODAY())=2028,_xlfn.XLOOKUP(Übersicht!$R10,'Ausgaben 2028'!$R$6:$R$59,'Ausgaben 2028'!AB$6:AB$59),"Bitte Rechner um aktuelles Jahr erweitern.")))</f>
        <v>0</v>
      </c>
      <c r="AC10" s="56">
        <f ca="1">IF(YEAR(TODAY())=2026,_xlfn.XLOOKUP(Übersicht!$R10,'Ausgaben 2026'!$R$6:$R$59,'Ausgaben 2026'!AC$6:AC$59),IF(YEAR(TODAY())=2027,_xlfn.XLOOKUP(Übersicht!$R10,'Ausgaben 2027'!$R$6:$R$59,'Ausgaben 2027'!AC$6:AC$59),IF(YEAR(TODAY())=2028,_xlfn.XLOOKUP(Übersicht!$R10,'Ausgaben 2028'!$R$6:$R$59,'Ausgaben 2028'!AC$6:AC$59),"Bitte Rechner um aktuelles Jahr erweitern.")))</f>
        <v>0</v>
      </c>
      <c r="AD10" s="6"/>
      <c r="AF10" s="8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10"/>
    </row>
    <row r="11" spans="2:46" x14ac:dyDescent="0.35">
      <c r="B11" s="5"/>
      <c r="C11" s="30">
        <f ca="1">TODAY()-5</f>
        <v>46125</v>
      </c>
      <c r="D11" s="46">
        <f ca="1">SUMIFS(Einzelbeträge!$D:$D,Einzelbeträge!$C:$C,$C11)</f>
        <v>10</v>
      </c>
      <c r="E11" s="21">
        <f ca="1">SUMIFS(Einzelbeträge!$D:$D,Einzelbeträge!$C:$C,$C11,Einzelbeträge!$E:$E,E$5)</f>
        <v>0</v>
      </c>
      <c r="F11" s="21">
        <f ca="1">SUMIFS(Einzelbeträge!$D:$D,Einzelbeträge!$C:$C,$C11,Einzelbeträge!$E:$E,F$5)</f>
        <v>0</v>
      </c>
      <c r="G11" s="21">
        <f ca="1">SUMIFS(Einzelbeträge!$D:$D,Einzelbeträge!$C:$C,$C11,Einzelbeträge!$E:$E,G$5)</f>
        <v>0</v>
      </c>
      <c r="H11" s="21">
        <f ca="1">SUMIFS(Einzelbeträge!$D:$D,Einzelbeträge!$C:$C,$C11,Einzelbeträge!$E:$E,H$5)</f>
        <v>0</v>
      </c>
      <c r="I11" s="21">
        <f ca="1">SUMIFS(Einzelbeträge!$D:$D,Einzelbeträge!$C:$C,$C11,Einzelbeträge!$E:$E,I$5)</f>
        <v>0</v>
      </c>
      <c r="J11" s="21">
        <f ca="1">SUMIFS(Einzelbeträge!$D:$D,Einzelbeträge!$C:$C,$C11,Einzelbeträge!$E:$E,J$5)</f>
        <v>10</v>
      </c>
      <c r="K11" s="21">
        <f ca="1">SUMIFS(Einzelbeträge!$D:$D,Einzelbeträge!$C:$C,$C11,Einzelbeträge!$E:$E,K$5)</f>
        <v>0</v>
      </c>
      <c r="L11" s="21">
        <f ca="1">SUMIFS(Einzelbeträge!$D:$D,Einzelbeträge!$C:$C,$C11,Einzelbeträge!$E:$E,L$5)</f>
        <v>0</v>
      </c>
      <c r="M11" s="21">
        <f ca="1">SUMIFS(Einzelbeträge!$D:$D,Einzelbeträge!$C:$C,$C11,Einzelbeträge!$E:$E,M$5)</f>
        <v>0</v>
      </c>
      <c r="N11" s="35">
        <f ca="1">SUMIFS(Einzelbeträge!$D:$D,Einzelbeträge!$C:$C,$C11,Einzelbeträge!$E:$E,N$5)</f>
        <v>0</v>
      </c>
      <c r="O11" s="6"/>
      <c r="Q11" s="5"/>
      <c r="R11" s="13" t="str">
        <f ca="1">TEXT(($C$6-35)-WEEKDAY(($C$6-35),3),"TT.MM.JJJJ")&amp;" - "&amp;TEXT(($C$6-35)-WEEKDAY(($C$6-35),3)+6,"TT.MM.JJJJ")</f>
        <v>09.03.2026 - 15.03.2026</v>
      </c>
      <c r="S11" s="46">
        <f ca="1">IF(YEAR(TODAY())=2026,_xlfn.XLOOKUP(Übersicht!$R11,'Ausgaben 2026'!$R$6:$R$59,'Ausgaben 2026'!S$6:S$59),IF(YEAR(TODAY())=2027,_xlfn.XLOOKUP(Übersicht!$R11,'Ausgaben 2027'!$R$6:$R$59,'Ausgaben 2027'!S$6:S$59),IF(YEAR(TODAY())=2028,_xlfn.XLOOKUP(Übersicht!$R11,'Ausgaben 2028'!$R$6:$R$59,'Ausgaben 2028'!S$6:S$59),"Bitte Rechner um aktuelles Jahr erweitern.")))</f>
        <v>0</v>
      </c>
      <c r="T11" s="55">
        <f ca="1">IF(YEAR(TODAY())=2026,_xlfn.XLOOKUP(Übersicht!$R11,'Ausgaben 2026'!$R$6:$R$59,'Ausgaben 2026'!T$6:T$59),IF(YEAR(TODAY())=2027,_xlfn.XLOOKUP(Übersicht!$R11,'Ausgaben 2027'!$R$6:$R$59,'Ausgaben 2027'!T$6:T$59),IF(YEAR(TODAY())=2028,_xlfn.XLOOKUP(Übersicht!$R11,'Ausgaben 2028'!$R$6:$R$59,'Ausgaben 2028'!T$6:T$59),"Bitte Rechner um aktuelles Jahr erweitern.")))</f>
        <v>0</v>
      </c>
      <c r="U11" s="55">
        <f ca="1">IF(YEAR(TODAY())=2026,_xlfn.XLOOKUP(Übersicht!$R11,'Ausgaben 2026'!$R$6:$R$59,'Ausgaben 2026'!U$6:U$59),IF(YEAR(TODAY())=2027,_xlfn.XLOOKUP(Übersicht!$R11,'Ausgaben 2027'!$R$6:$R$59,'Ausgaben 2027'!U$6:U$59),IF(YEAR(TODAY())=2028,_xlfn.XLOOKUP(Übersicht!$R11,'Ausgaben 2028'!$R$6:$R$59,'Ausgaben 2028'!U$6:U$59),"Bitte Rechner um aktuelles Jahr erweitern.")))</f>
        <v>0</v>
      </c>
      <c r="V11" s="55">
        <f ca="1">IF(YEAR(TODAY())=2026,_xlfn.XLOOKUP(Übersicht!$R11,'Ausgaben 2026'!$R$6:$R$59,'Ausgaben 2026'!V$6:V$59),IF(YEAR(TODAY())=2027,_xlfn.XLOOKUP(Übersicht!$R11,'Ausgaben 2027'!$R$6:$R$59,'Ausgaben 2027'!V$6:V$59),IF(YEAR(TODAY())=2028,_xlfn.XLOOKUP(Übersicht!$R11,'Ausgaben 2028'!$R$6:$R$59,'Ausgaben 2028'!V$6:V$59),"Bitte Rechner um aktuelles Jahr erweitern.")))</f>
        <v>0</v>
      </c>
      <c r="W11" s="55">
        <f ca="1">IF(YEAR(TODAY())=2026,_xlfn.XLOOKUP(Übersicht!$R11,'Ausgaben 2026'!$R$6:$R$59,'Ausgaben 2026'!W$6:W$59),IF(YEAR(TODAY())=2027,_xlfn.XLOOKUP(Übersicht!$R11,'Ausgaben 2027'!$R$6:$R$59,'Ausgaben 2027'!W$6:W$59),IF(YEAR(TODAY())=2028,_xlfn.XLOOKUP(Übersicht!$R11,'Ausgaben 2028'!$R$6:$R$59,'Ausgaben 2028'!W$6:W$59),"Bitte Rechner um aktuelles Jahr erweitern.")))</f>
        <v>0</v>
      </c>
      <c r="X11" s="55">
        <f ca="1">IF(YEAR(TODAY())=2026,_xlfn.XLOOKUP(Übersicht!$R11,'Ausgaben 2026'!$R$6:$R$59,'Ausgaben 2026'!X$6:X$59),IF(YEAR(TODAY())=2027,_xlfn.XLOOKUP(Übersicht!$R11,'Ausgaben 2027'!$R$6:$R$59,'Ausgaben 2027'!X$6:X$59),IF(YEAR(TODAY())=2028,_xlfn.XLOOKUP(Übersicht!$R11,'Ausgaben 2028'!$R$6:$R$59,'Ausgaben 2028'!X$6:X$59),"Bitte Rechner um aktuelles Jahr erweitern.")))</f>
        <v>0</v>
      </c>
      <c r="Y11" s="55">
        <f ca="1">IF(YEAR(TODAY())=2026,_xlfn.XLOOKUP(Übersicht!$R11,'Ausgaben 2026'!$R$6:$R$59,'Ausgaben 2026'!Y$6:Y$59),IF(YEAR(TODAY())=2027,_xlfn.XLOOKUP(Übersicht!$R11,'Ausgaben 2027'!$R$6:$R$59,'Ausgaben 2027'!Y$6:Y$59),IF(YEAR(TODAY())=2028,_xlfn.XLOOKUP(Übersicht!$R11,'Ausgaben 2028'!$R$6:$R$59,'Ausgaben 2028'!Y$6:Y$59),"Bitte Rechner um aktuelles Jahr erweitern.")))</f>
        <v>0</v>
      </c>
      <c r="Z11" s="55">
        <f ca="1">IF(YEAR(TODAY())=2026,_xlfn.XLOOKUP(Übersicht!$R11,'Ausgaben 2026'!$R$6:$R$59,'Ausgaben 2026'!Z$6:Z$59),IF(YEAR(TODAY())=2027,_xlfn.XLOOKUP(Übersicht!$R11,'Ausgaben 2027'!$R$6:$R$59,'Ausgaben 2027'!Z$6:Z$59),IF(YEAR(TODAY())=2028,_xlfn.XLOOKUP(Übersicht!$R11,'Ausgaben 2028'!$R$6:$R$59,'Ausgaben 2028'!Z$6:Z$59),"Bitte Rechner um aktuelles Jahr erweitern.")))</f>
        <v>0</v>
      </c>
      <c r="AA11" s="55">
        <f ca="1">IF(YEAR(TODAY())=2026,_xlfn.XLOOKUP(Übersicht!$R11,'Ausgaben 2026'!$R$6:$R$59,'Ausgaben 2026'!AA$6:AA$59),IF(YEAR(TODAY())=2027,_xlfn.XLOOKUP(Übersicht!$R11,'Ausgaben 2027'!$R$6:$R$59,'Ausgaben 2027'!AA$6:AA$59),IF(YEAR(TODAY())=2028,_xlfn.XLOOKUP(Übersicht!$R11,'Ausgaben 2028'!$R$6:$R$59,'Ausgaben 2028'!AA$6:AA$59),"Bitte Rechner um aktuelles Jahr erweitern.")))</f>
        <v>0</v>
      </c>
      <c r="AB11" s="55">
        <f ca="1">IF(YEAR(TODAY())=2026,_xlfn.XLOOKUP(Übersicht!$R11,'Ausgaben 2026'!$R$6:$R$59,'Ausgaben 2026'!AB$6:AB$59),IF(YEAR(TODAY())=2027,_xlfn.XLOOKUP(Übersicht!$R11,'Ausgaben 2027'!$R$6:$R$59,'Ausgaben 2027'!AB$6:AB$59),IF(YEAR(TODAY())=2028,_xlfn.XLOOKUP(Übersicht!$R11,'Ausgaben 2028'!$R$6:$R$59,'Ausgaben 2028'!AB$6:AB$59),"Bitte Rechner um aktuelles Jahr erweitern.")))</f>
        <v>0</v>
      </c>
      <c r="AC11" s="56">
        <f ca="1">IF(YEAR(TODAY())=2026,_xlfn.XLOOKUP(Übersicht!$R11,'Ausgaben 2026'!$R$6:$R$59,'Ausgaben 2026'!AC$6:AC$59),IF(YEAR(TODAY())=2027,_xlfn.XLOOKUP(Übersicht!$R11,'Ausgaben 2027'!$R$6:$R$59,'Ausgaben 2027'!AC$6:AC$59),IF(YEAR(TODAY())=2028,_xlfn.XLOOKUP(Übersicht!$R11,'Ausgaben 2028'!$R$6:$R$59,'Ausgaben 2028'!AC$6:AC$59),"Bitte Rechner um aktuelles Jahr erweitern.")))</f>
        <v>0</v>
      </c>
      <c r="AD11" s="6"/>
    </row>
    <row r="12" spans="2:46" x14ac:dyDescent="0.35">
      <c r="B12" s="5"/>
      <c r="C12" s="30">
        <f ca="1">TODAY()-6</f>
        <v>46124</v>
      </c>
      <c r="D12" s="46">
        <f ca="1">SUMIFS(Einzelbeträge!$D:$D,Einzelbeträge!$C:$C,$C12)</f>
        <v>0</v>
      </c>
      <c r="E12" s="21">
        <f ca="1">SUMIFS(Einzelbeträge!$D:$D,Einzelbeträge!$C:$C,$C12,Einzelbeträge!$E:$E,E$5)</f>
        <v>0</v>
      </c>
      <c r="F12" s="21">
        <f ca="1">SUMIFS(Einzelbeträge!$D:$D,Einzelbeträge!$C:$C,$C12,Einzelbeträge!$E:$E,F$5)</f>
        <v>0</v>
      </c>
      <c r="G12" s="21">
        <f ca="1">SUMIFS(Einzelbeträge!$D:$D,Einzelbeträge!$C:$C,$C12,Einzelbeträge!$E:$E,G$5)</f>
        <v>0</v>
      </c>
      <c r="H12" s="21">
        <f ca="1">SUMIFS(Einzelbeträge!$D:$D,Einzelbeträge!$C:$C,$C12,Einzelbeträge!$E:$E,H$5)</f>
        <v>0</v>
      </c>
      <c r="I12" s="21">
        <f ca="1">SUMIFS(Einzelbeträge!$D:$D,Einzelbeträge!$C:$C,$C12,Einzelbeträge!$E:$E,I$5)</f>
        <v>0</v>
      </c>
      <c r="J12" s="21">
        <f ca="1">SUMIFS(Einzelbeträge!$D:$D,Einzelbeträge!$C:$C,$C12,Einzelbeträge!$E:$E,J$5)</f>
        <v>0</v>
      </c>
      <c r="K12" s="21">
        <f ca="1">SUMIFS(Einzelbeträge!$D:$D,Einzelbeträge!$C:$C,$C12,Einzelbeträge!$E:$E,K$5)</f>
        <v>0</v>
      </c>
      <c r="L12" s="21">
        <f ca="1">SUMIFS(Einzelbeträge!$D:$D,Einzelbeträge!$C:$C,$C12,Einzelbeträge!$E:$E,L$5)</f>
        <v>0</v>
      </c>
      <c r="M12" s="21">
        <f ca="1">SUMIFS(Einzelbeträge!$D:$D,Einzelbeträge!$C:$C,$C12,Einzelbeträge!$E:$E,M$5)</f>
        <v>0</v>
      </c>
      <c r="N12" s="35">
        <f ca="1">SUMIFS(Einzelbeträge!$D:$D,Einzelbeträge!$C:$C,$C12,Einzelbeträge!$E:$E,N$5)</f>
        <v>0</v>
      </c>
      <c r="O12" s="6"/>
      <c r="Q12" s="5"/>
      <c r="R12" s="13" t="str">
        <f ca="1">TEXT(($C$6-42)-WEEKDAY(($C$6-42),3),"TT.MM.JJJJ")&amp;" - "&amp;TEXT(($C$6-42)-WEEKDAY(($C$6-42),3)+6,"TT.MM.JJJJ")</f>
        <v>02.03.2026 - 08.03.2026</v>
      </c>
      <c r="S12" s="46">
        <f ca="1">IF(YEAR(TODAY())=2026,_xlfn.XLOOKUP(Übersicht!$R12,'Ausgaben 2026'!$R$6:$R$59,'Ausgaben 2026'!S$6:S$59),IF(YEAR(TODAY())=2027,_xlfn.XLOOKUP(Übersicht!$R12,'Ausgaben 2027'!$R$6:$R$59,'Ausgaben 2027'!S$6:S$59),IF(YEAR(TODAY())=2028,_xlfn.XLOOKUP(Übersicht!$R12,'Ausgaben 2028'!$R$6:$R$59,'Ausgaben 2028'!S$6:S$59),"Bitte Rechner um aktuelles Jahr erweitern.")))</f>
        <v>0</v>
      </c>
      <c r="T12" s="55">
        <f ca="1">IF(YEAR(TODAY())=2026,_xlfn.XLOOKUP(Übersicht!$R12,'Ausgaben 2026'!$R$6:$R$59,'Ausgaben 2026'!T$6:T$59),IF(YEAR(TODAY())=2027,_xlfn.XLOOKUP(Übersicht!$R12,'Ausgaben 2027'!$R$6:$R$59,'Ausgaben 2027'!T$6:T$59),IF(YEAR(TODAY())=2028,_xlfn.XLOOKUP(Übersicht!$R12,'Ausgaben 2028'!$R$6:$R$59,'Ausgaben 2028'!T$6:T$59),"Bitte Rechner um aktuelles Jahr erweitern.")))</f>
        <v>0</v>
      </c>
      <c r="U12" s="55">
        <f ca="1">IF(YEAR(TODAY())=2026,_xlfn.XLOOKUP(Übersicht!$R12,'Ausgaben 2026'!$R$6:$R$59,'Ausgaben 2026'!U$6:U$59),IF(YEAR(TODAY())=2027,_xlfn.XLOOKUP(Übersicht!$R12,'Ausgaben 2027'!$R$6:$R$59,'Ausgaben 2027'!U$6:U$59),IF(YEAR(TODAY())=2028,_xlfn.XLOOKUP(Übersicht!$R12,'Ausgaben 2028'!$R$6:$R$59,'Ausgaben 2028'!U$6:U$59),"Bitte Rechner um aktuelles Jahr erweitern.")))</f>
        <v>0</v>
      </c>
      <c r="V12" s="55">
        <f ca="1">IF(YEAR(TODAY())=2026,_xlfn.XLOOKUP(Übersicht!$R12,'Ausgaben 2026'!$R$6:$R$59,'Ausgaben 2026'!V$6:V$59),IF(YEAR(TODAY())=2027,_xlfn.XLOOKUP(Übersicht!$R12,'Ausgaben 2027'!$R$6:$R$59,'Ausgaben 2027'!V$6:V$59),IF(YEAR(TODAY())=2028,_xlfn.XLOOKUP(Übersicht!$R12,'Ausgaben 2028'!$R$6:$R$59,'Ausgaben 2028'!V$6:V$59),"Bitte Rechner um aktuelles Jahr erweitern.")))</f>
        <v>0</v>
      </c>
      <c r="W12" s="55">
        <f ca="1">IF(YEAR(TODAY())=2026,_xlfn.XLOOKUP(Übersicht!$R12,'Ausgaben 2026'!$R$6:$R$59,'Ausgaben 2026'!W$6:W$59),IF(YEAR(TODAY())=2027,_xlfn.XLOOKUP(Übersicht!$R12,'Ausgaben 2027'!$R$6:$R$59,'Ausgaben 2027'!W$6:W$59),IF(YEAR(TODAY())=2028,_xlfn.XLOOKUP(Übersicht!$R12,'Ausgaben 2028'!$R$6:$R$59,'Ausgaben 2028'!W$6:W$59),"Bitte Rechner um aktuelles Jahr erweitern.")))</f>
        <v>0</v>
      </c>
      <c r="X12" s="55">
        <f ca="1">IF(YEAR(TODAY())=2026,_xlfn.XLOOKUP(Übersicht!$R12,'Ausgaben 2026'!$R$6:$R$59,'Ausgaben 2026'!X$6:X$59),IF(YEAR(TODAY())=2027,_xlfn.XLOOKUP(Übersicht!$R12,'Ausgaben 2027'!$R$6:$R$59,'Ausgaben 2027'!X$6:X$59),IF(YEAR(TODAY())=2028,_xlfn.XLOOKUP(Übersicht!$R12,'Ausgaben 2028'!$R$6:$R$59,'Ausgaben 2028'!X$6:X$59),"Bitte Rechner um aktuelles Jahr erweitern.")))</f>
        <v>0</v>
      </c>
      <c r="Y12" s="55">
        <f ca="1">IF(YEAR(TODAY())=2026,_xlfn.XLOOKUP(Übersicht!$R12,'Ausgaben 2026'!$R$6:$R$59,'Ausgaben 2026'!Y$6:Y$59),IF(YEAR(TODAY())=2027,_xlfn.XLOOKUP(Übersicht!$R12,'Ausgaben 2027'!$R$6:$R$59,'Ausgaben 2027'!Y$6:Y$59),IF(YEAR(TODAY())=2028,_xlfn.XLOOKUP(Übersicht!$R12,'Ausgaben 2028'!$R$6:$R$59,'Ausgaben 2028'!Y$6:Y$59),"Bitte Rechner um aktuelles Jahr erweitern.")))</f>
        <v>0</v>
      </c>
      <c r="Z12" s="55">
        <f ca="1">IF(YEAR(TODAY())=2026,_xlfn.XLOOKUP(Übersicht!$R12,'Ausgaben 2026'!$R$6:$R$59,'Ausgaben 2026'!Z$6:Z$59),IF(YEAR(TODAY())=2027,_xlfn.XLOOKUP(Übersicht!$R12,'Ausgaben 2027'!$R$6:$R$59,'Ausgaben 2027'!Z$6:Z$59),IF(YEAR(TODAY())=2028,_xlfn.XLOOKUP(Übersicht!$R12,'Ausgaben 2028'!$R$6:$R$59,'Ausgaben 2028'!Z$6:Z$59),"Bitte Rechner um aktuelles Jahr erweitern.")))</f>
        <v>0</v>
      </c>
      <c r="AA12" s="55">
        <f ca="1">IF(YEAR(TODAY())=2026,_xlfn.XLOOKUP(Übersicht!$R12,'Ausgaben 2026'!$R$6:$R$59,'Ausgaben 2026'!AA$6:AA$59),IF(YEAR(TODAY())=2027,_xlfn.XLOOKUP(Übersicht!$R12,'Ausgaben 2027'!$R$6:$R$59,'Ausgaben 2027'!AA$6:AA$59),IF(YEAR(TODAY())=2028,_xlfn.XLOOKUP(Übersicht!$R12,'Ausgaben 2028'!$R$6:$R$59,'Ausgaben 2028'!AA$6:AA$59),"Bitte Rechner um aktuelles Jahr erweitern.")))</f>
        <v>0</v>
      </c>
      <c r="AB12" s="55">
        <f ca="1">IF(YEAR(TODAY())=2026,_xlfn.XLOOKUP(Übersicht!$R12,'Ausgaben 2026'!$R$6:$R$59,'Ausgaben 2026'!AB$6:AB$59),IF(YEAR(TODAY())=2027,_xlfn.XLOOKUP(Übersicht!$R12,'Ausgaben 2027'!$R$6:$R$59,'Ausgaben 2027'!AB$6:AB$59),IF(YEAR(TODAY())=2028,_xlfn.XLOOKUP(Übersicht!$R12,'Ausgaben 2028'!$R$6:$R$59,'Ausgaben 2028'!AB$6:AB$59),"Bitte Rechner um aktuelles Jahr erweitern.")))</f>
        <v>0</v>
      </c>
      <c r="AC12" s="56">
        <f ca="1">IF(YEAR(TODAY())=2026,_xlfn.XLOOKUP(Übersicht!$R12,'Ausgaben 2026'!$R$6:$R$59,'Ausgaben 2026'!AC$6:AC$59),IF(YEAR(TODAY())=2027,_xlfn.XLOOKUP(Übersicht!$R12,'Ausgaben 2027'!$R$6:$R$59,'Ausgaben 2027'!AC$6:AC$59),IF(YEAR(TODAY())=2028,_xlfn.XLOOKUP(Übersicht!$R12,'Ausgaben 2028'!$R$6:$R$59,'Ausgaben 2028'!AC$6:AC$59),"Bitte Rechner um aktuelles Jahr erweitern.")))</f>
        <v>0</v>
      </c>
      <c r="AD12" s="6"/>
    </row>
    <row r="13" spans="2:46" x14ac:dyDescent="0.35">
      <c r="B13" s="5"/>
      <c r="C13" s="30">
        <f ca="1">TODAY()-7</f>
        <v>46123</v>
      </c>
      <c r="D13" s="46">
        <f ca="1">SUMIFS(Einzelbeträge!$D:$D,Einzelbeträge!$C:$C,$C13)</f>
        <v>0</v>
      </c>
      <c r="E13" s="21">
        <f ca="1">SUMIFS(Einzelbeträge!$D:$D,Einzelbeträge!$C:$C,$C13,Einzelbeträge!$E:$E,E$5)</f>
        <v>0</v>
      </c>
      <c r="F13" s="21">
        <f ca="1">SUMIFS(Einzelbeträge!$D:$D,Einzelbeträge!$C:$C,$C13,Einzelbeträge!$E:$E,F$5)</f>
        <v>0</v>
      </c>
      <c r="G13" s="21">
        <f ca="1">SUMIFS(Einzelbeträge!$D:$D,Einzelbeträge!$C:$C,$C13,Einzelbeträge!$E:$E,G$5)</f>
        <v>0</v>
      </c>
      <c r="H13" s="21">
        <f ca="1">SUMIFS(Einzelbeträge!$D:$D,Einzelbeträge!$C:$C,$C13,Einzelbeträge!$E:$E,H$5)</f>
        <v>0</v>
      </c>
      <c r="I13" s="21">
        <f ca="1">SUMIFS(Einzelbeträge!$D:$D,Einzelbeträge!$C:$C,$C13,Einzelbeträge!$E:$E,I$5)</f>
        <v>0</v>
      </c>
      <c r="J13" s="21">
        <f ca="1">SUMIFS(Einzelbeträge!$D:$D,Einzelbeträge!$C:$C,$C13,Einzelbeträge!$E:$E,J$5)</f>
        <v>0</v>
      </c>
      <c r="K13" s="21">
        <f ca="1">SUMIFS(Einzelbeträge!$D:$D,Einzelbeträge!$C:$C,$C13,Einzelbeträge!$E:$E,K$5)</f>
        <v>0</v>
      </c>
      <c r="L13" s="21">
        <f ca="1">SUMIFS(Einzelbeträge!$D:$D,Einzelbeträge!$C:$C,$C13,Einzelbeträge!$E:$E,L$5)</f>
        <v>0</v>
      </c>
      <c r="M13" s="21">
        <f ca="1">SUMIFS(Einzelbeträge!$D:$D,Einzelbeträge!$C:$C,$C13,Einzelbeträge!$E:$E,M$5)</f>
        <v>0</v>
      </c>
      <c r="N13" s="35">
        <f ca="1">SUMIFS(Einzelbeträge!$D:$D,Einzelbeträge!$C:$C,$C13,Einzelbeträge!$E:$E,N$5)</f>
        <v>0</v>
      </c>
      <c r="O13" s="6"/>
      <c r="Q13" s="5"/>
      <c r="R13" s="13" t="str">
        <f ca="1">TEXT(($C$6-49)-WEEKDAY(($C$6-49),3),"TT.MM.JJJJ")&amp;" - "&amp;TEXT(($C$6-49)-WEEKDAY(($C$6-49),3)+6,"TT.MM.JJJJ")</f>
        <v>23.02.2026 - 01.03.2026</v>
      </c>
      <c r="S13" s="46">
        <f ca="1">IF(YEAR(TODAY())=2026,_xlfn.XLOOKUP(Übersicht!$R13,'Ausgaben 2026'!$R$6:$R$59,'Ausgaben 2026'!S$6:S$59),IF(YEAR(TODAY())=2027,_xlfn.XLOOKUP(Übersicht!$R13,'Ausgaben 2027'!$R$6:$R$59,'Ausgaben 2027'!S$6:S$59),IF(YEAR(TODAY())=2028,_xlfn.XLOOKUP(Übersicht!$R13,'Ausgaben 2028'!$R$6:$R$59,'Ausgaben 2028'!S$6:S$59),"Bitte Rechner um aktuelles Jahr erweitern.")))</f>
        <v>0</v>
      </c>
      <c r="T13" s="55">
        <f ca="1">IF(YEAR(TODAY())=2026,_xlfn.XLOOKUP(Übersicht!$R13,'Ausgaben 2026'!$R$6:$R$59,'Ausgaben 2026'!T$6:T$59),IF(YEAR(TODAY())=2027,_xlfn.XLOOKUP(Übersicht!$R13,'Ausgaben 2027'!$R$6:$R$59,'Ausgaben 2027'!T$6:T$59),IF(YEAR(TODAY())=2028,_xlfn.XLOOKUP(Übersicht!$R13,'Ausgaben 2028'!$R$6:$R$59,'Ausgaben 2028'!T$6:T$59),"Bitte Rechner um aktuelles Jahr erweitern.")))</f>
        <v>0</v>
      </c>
      <c r="U13" s="55">
        <f ca="1">IF(YEAR(TODAY())=2026,_xlfn.XLOOKUP(Übersicht!$R13,'Ausgaben 2026'!$R$6:$R$59,'Ausgaben 2026'!U$6:U$59),IF(YEAR(TODAY())=2027,_xlfn.XLOOKUP(Übersicht!$R13,'Ausgaben 2027'!$R$6:$R$59,'Ausgaben 2027'!U$6:U$59),IF(YEAR(TODAY())=2028,_xlfn.XLOOKUP(Übersicht!$R13,'Ausgaben 2028'!$R$6:$R$59,'Ausgaben 2028'!U$6:U$59),"Bitte Rechner um aktuelles Jahr erweitern.")))</f>
        <v>0</v>
      </c>
      <c r="V13" s="55">
        <f ca="1">IF(YEAR(TODAY())=2026,_xlfn.XLOOKUP(Übersicht!$R13,'Ausgaben 2026'!$R$6:$R$59,'Ausgaben 2026'!V$6:V$59),IF(YEAR(TODAY())=2027,_xlfn.XLOOKUP(Übersicht!$R13,'Ausgaben 2027'!$R$6:$R$59,'Ausgaben 2027'!V$6:V$59),IF(YEAR(TODAY())=2028,_xlfn.XLOOKUP(Übersicht!$R13,'Ausgaben 2028'!$R$6:$R$59,'Ausgaben 2028'!V$6:V$59),"Bitte Rechner um aktuelles Jahr erweitern.")))</f>
        <v>0</v>
      </c>
      <c r="W13" s="55">
        <f ca="1">IF(YEAR(TODAY())=2026,_xlfn.XLOOKUP(Übersicht!$R13,'Ausgaben 2026'!$R$6:$R$59,'Ausgaben 2026'!W$6:W$59),IF(YEAR(TODAY())=2027,_xlfn.XLOOKUP(Übersicht!$R13,'Ausgaben 2027'!$R$6:$R$59,'Ausgaben 2027'!W$6:W$59),IF(YEAR(TODAY())=2028,_xlfn.XLOOKUP(Übersicht!$R13,'Ausgaben 2028'!$R$6:$R$59,'Ausgaben 2028'!W$6:W$59),"Bitte Rechner um aktuelles Jahr erweitern.")))</f>
        <v>0</v>
      </c>
      <c r="X13" s="55">
        <f ca="1">IF(YEAR(TODAY())=2026,_xlfn.XLOOKUP(Übersicht!$R13,'Ausgaben 2026'!$R$6:$R$59,'Ausgaben 2026'!X$6:X$59),IF(YEAR(TODAY())=2027,_xlfn.XLOOKUP(Übersicht!$R13,'Ausgaben 2027'!$R$6:$R$59,'Ausgaben 2027'!X$6:X$59),IF(YEAR(TODAY())=2028,_xlfn.XLOOKUP(Übersicht!$R13,'Ausgaben 2028'!$R$6:$R$59,'Ausgaben 2028'!X$6:X$59),"Bitte Rechner um aktuelles Jahr erweitern.")))</f>
        <v>0</v>
      </c>
      <c r="Y13" s="55">
        <f ca="1">IF(YEAR(TODAY())=2026,_xlfn.XLOOKUP(Übersicht!$R13,'Ausgaben 2026'!$R$6:$R$59,'Ausgaben 2026'!Y$6:Y$59),IF(YEAR(TODAY())=2027,_xlfn.XLOOKUP(Übersicht!$R13,'Ausgaben 2027'!$R$6:$R$59,'Ausgaben 2027'!Y$6:Y$59),IF(YEAR(TODAY())=2028,_xlfn.XLOOKUP(Übersicht!$R13,'Ausgaben 2028'!$R$6:$R$59,'Ausgaben 2028'!Y$6:Y$59),"Bitte Rechner um aktuelles Jahr erweitern.")))</f>
        <v>0</v>
      </c>
      <c r="Z13" s="55">
        <f ca="1">IF(YEAR(TODAY())=2026,_xlfn.XLOOKUP(Übersicht!$R13,'Ausgaben 2026'!$R$6:$R$59,'Ausgaben 2026'!Z$6:Z$59),IF(YEAR(TODAY())=2027,_xlfn.XLOOKUP(Übersicht!$R13,'Ausgaben 2027'!$R$6:$R$59,'Ausgaben 2027'!Z$6:Z$59),IF(YEAR(TODAY())=2028,_xlfn.XLOOKUP(Übersicht!$R13,'Ausgaben 2028'!$R$6:$R$59,'Ausgaben 2028'!Z$6:Z$59),"Bitte Rechner um aktuelles Jahr erweitern.")))</f>
        <v>0</v>
      </c>
      <c r="AA13" s="55">
        <f ca="1">IF(YEAR(TODAY())=2026,_xlfn.XLOOKUP(Übersicht!$R13,'Ausgaben 2026'!$R$6:$R$59,'Ausgaben 2026'!AA$6:AA$59),IF(YEAR(TODAY())=2027,_xlfn.XLOOKUP(Übersicht!$R13,'Ausgaben 2027'!$R$6:$R$59,'Ausgaben 2027'!AA$6:AA$59),IF(YEAR(TODAY())=2028,_xlfn.XLOOKUP(Übersicht!$R13,'Ausgaben 2028'!$R$6:$R$59,'Ausgaben 2028'!AA$6:AA$59),"Bitte Rechner um aktuelles Jahr erweitern.")))</f>
        <v>0</v>
      </c>
      <c r="AB13" s="55">
        <f ca="1">IF(YEAR(TODAY())=2026,_xlfn.XLOOKUP(Übersicht!$R13,'Ausgaben 2026'!$R$6:$R$59,'Ausgaben 2026'!AB$6:AB$59),IF(YEAR(TODAY())=2027,_xlfn.XLOOKUP(Übersicht!$R13,'Ausgaben 2027'!$R$6:$R$59,'Ausgaben 2027'!AB$6:AB$59),IF(YEAR(TODAY())=2028,_xlfn.XLOOKUP(Übersicht!$R13,'Ausgaben 2028'!$R$6:$R$59,'Ausgaben 2028'!AB$6:AB$59),"Bitte Rechner um aktuelles Jahr erweitern.")))</f>
        <v>0</v>
      </c>
      <c r="AC13" s="56">
        <f ca="1">IF(YEAR(TODAY())=2026,_xlfn.XLOOKUP(Übersicht!$R13,'Ausgaben 2026'!$R$6:$R$59,'Ausgaben 2026'!AC$6:AC$59),IF(YEAR(TODAY())=2027,_xlfn.XLOOKUP(Übersicht!$R13,'Ausgaben 2027'!$R$6:$R$59,'Ausgaben 2027'!AC$6:AC$59),IF(YEAR(TODAY())=2028,_xlfn.XLOOKUP(Übersicht!$R13,'Ausgaben 2028'!$R$6:$R$59,'Ausgaben 2028'!AC$6:AC$59),"Bitte Rechner um aktuelles Jahr erweitern.")))</f>
        <v>0</v>
      </c>
      <c r="AD13" s="6"/>
    </row>
    <row r="14" spans="2:46" x14ac:dyDescent="0.35">
      <c r="B14" s="5"/>
      <c r="C14" s="30">
        <f ca="1">TODAY()-8</f>
        <v>46122</v>
      </c>
      <c r="D14" s="46">
        <f ca="1">SUMIFS(Einzelbeträge!$D:$D,Einzelbeträge!$C:$C,$C14)</f>
        <v>0</v>
      </c>
      <c r="E14" s="21">
        <f ca="1">SUMIFS(Einzelbeträge!$D:$D,Einzelbeträge!$C:$C,$C14,Einzelbeträge!$E:$E,E$5)</f>
        <v>0</v>
      </c>
      <c r="F14" s="21">
        <f ca="1">SUMIFS(Einzelbeträge!$D:$D,Einzelbeträge!$C:$C,$C14,Einzelbeträge!$E:$E,F$5)</f>
        <v>0</v>
      </c>
      <c r="G14" s="21">
        <f ca="1">SUMIFS(Einzelbeträge!$D:$D,Einzelbeträge!$C:$C,$C14,Einzelbeträge!$E:$E,G$5)</f>
        <v>0</v>
      </c>
      <c r="H14" s="21">
        <f ca="1">SUMIFS(Einzelbeträge!$D:$D,Einzelbeträge!$C:$C,$C14,Einzelbeträge!$E:$E,H$5)</f>
        <v>0</v>
      </c>
      <c r="I14" s="21">
        <f ca="1">SUMIFS(Einzelbeträge!$D:$D,Einzelbeträge!$C:$C,$C14,Einzelbeträge!$E:$E,I$5)</f>
        <v>0</v>
      </c>
      <c r="J14" s="21">
        <f ca="1">SUMIFS(Einzelbeträge!$D:$D,Einzelbeträge!$C:$C,$C14,Einzelbeträge!$E:$E,J$5)</f>
        <v>0</v>
      </c>
      <c r="K14" s="21">
        <f ca="1">SUMIFS(Einzelbeträge!$D:$D,Einzelbeträge!$C:$C,$C14,Einzelbeträge!$E:$E,K$5)</f>
        <v>0</v>
      </c>
      <c r="L14" s="21">
        <f ca="1">SUMIFS(Einzelbeträge!$D:$D,Einzelbeträge!$C:$C,$C14,Einzelbeträge!$E:$E,L$5)</f>
        <v>0</v>
      </c>
      <c r="M14" s="21">
        <f ca="1">SUMIFS(Einzelbeträge!$D:$D,Einzelbeträge!$C:$C,$C14,Einzelbeträge!$E:$E,M$5)</f>
        <v>0</v>
      </c>
      <c r="N14" s="35">
        <f ca="1">SUMIFS(Einzelbeträge!$D:$D,Einzelbeträge!$C:$C,$C14,Einzelbeträge!$E:$E,N$5)</f>
        <v>0</v>
      </c>
      <c r="O14" s="6"/>
      <c r="Q14" s="5"/>
      <c r="R14" s="13" t="str">
        <f ca="1">TEXT(($C$6-56)-WEEKDAY(($C$6-56),3),"TT.MM.JJJJ")&amp;" - "&amp;TEXT(($C$6-56)-WEEKDAY(($C$6-56),3)+6,"TT.MM.JJJJ")</f>
        <v>16.02.2026 - 22.02.2026</v>
      </c>
      <c r="S14" s="46">
        <f ca="1">IF(YEAR(TODAY())=2026,_xlfn.XLOOKUP(Übersicht!$R14,'Ausgaben 2026'!$R$6:$R$59,'Ausgaben 2026'!S$6:S$59),IF(YEAR(TODAY())=2027,_xlfn.XLOOKUP(Übersicht!$R14,'Ausgaben 2027'!$R$6:$R$59,'Ausgaben 2027'!S$6:S$59),IF(YEAR(TODAY())=2028,_xlfn.XLOOKUP(Übersicht!$R14,'Ausgaben 2028'!$R$6:$R$59,'Ausgaben 2028'!S$6:S$59),"Bitte Rechner um aktuelles Jahr erweitern.")))</f>
        <v>0</v>
      </c>
      <c r="T14" s="55">
        <f ca="1">IF(YEAR(TODAY())=2026,_xlfn.XLOOKUP(Übersicht!$R14,'Ausgaben 2026'!$R$6:$R$59,'Ausgaben 2026'!T$6:T$59),IF(YEAR(TODAY())=2027,_xlfn.XLOOKUP(Übersicht!$R14,'Ausgaben 2027'!$R$6:$R$59,'Ausgaben 2027'!T$6:T$59),IF(YEAR(TODAY())=2028,_xlfn.XLOOKUP(Übersicht!$R14,'Ausgaben 2028'!$R$6:$R$59,'Ausgaben 2028'!T$6:T$59),"Bitte Rechner um aktuelles Jahr erweitern.")))</f>
        <v>0</v>
      </c>
      <c r="U14" s="55">
        <f ca="1">IF(YEAR(TODAY())=2026,_xlfn.XLOOKUP(Übersicht!$R14,'Ausgaben 2026'!$R$6:$R$59,'Ausgaben 2026'!U$6:U$59),IF(YEAR(TODAY())=2027,_xlfn.XLOOKUP(Übersicht!$R14,'Ausgaben 2027'!$R$6:$R$59,'Ausgaben 2027'!U$6:U$59),IF(YEAR(TODAY())=2028,_xlfn.XLOOKUP(Übersicht!$R14,'Ausgaben 2028'!$R$6:$R$59,'Ausgaben 2028'!U$6:U$59),"Bitte Rechner um aktuelles Jahr erweitern.")))</f>
        <v>0</v>
      </c>
      <c r="V14" s="55">
        <f ca="1">IF(YEAR(TODAY())=2026,_xlfn.XLOOKUP(Übersicht!$R14,'Ausgaben 2026'!$R$6:$R$59,'Ausgaben 2026'!V$6:V$59),IF(YEAR(TODAY())=2027,_xlfn.XLOOKUP(Übersicht!$R14,'Ausgaben 2027'!$R$6:$R$59,'Ausgaben 2027'!V$6:V$59),IF(YEAR(TODAY())=2028,_xlfn.XLOOKUP(Übersicht!$R14,'Ausgaben 2028'!$R$6:$R$59,'Ausgaben 2028'!V$6:V$59),"Bitte Rechner um aktuelles Jahr erweitern.")))</f>
        <v>0</v>
      </c>
      <c r="W14" s="55">
        <f ca="1">IF(YEAR(TODAY())=2026,_xlfn.XLOOKUP(Übersicht!$R14,'Ausgaben 2026'!$R$6:$R$59,'Ausgaben 2026'!W$6:W$59),IF(YEAR(TODAY())=2027,_xlfn.XLOOKUP(Übersicht!$R14,'Ausgaben 2027'!$R$6:$R$59,'Ausgaben 2027'!W$6:W$59),IF(YEAR(TODAY())=2028,_xlfn.XLOOKUP(Übersicht!$R14,'Ausgaben 2028'!$R$6:$R$59,'Ausgaben 2028'!W$6:W$59),"Bitte Rechner um aktuelles Jahr erweitern.")))</f>
        <v>0</v>
      </c>
      <c r="X14" s="55">
        <f ca="1">IF(YEAR(TODAY())=2026,_xlfn.XLOOKUP(Übersicht!$R14,'Ausgaben 2026'!$R$6:$R$59,'Ausgaben 2026'!X$6:X$59),IF(YEAR(TODAY())=2027,_xlfn.XLOOKUP(Übersicht!$R14,'Ausgaben 2027'!$R$6:$R$59,'Ausgaben 2027'!X$6:X$59),IF(YEAR(TODAY())=2028,_xlfn.XLOOKUP(Übersicht!$R14,'Ausgaben 2028'!$R$6:$R$59,'Ausgaben 2028'!X$6:X$59),"Bitte Rechner um aktuelles Jahr erweitern.")))</f>
        <v>0</v>
      </c>
      <c r="Y14" s="55">
        <f ca="1">IF(YEAR(TODAY())=2026,_xlfn.XLOOKUP(Übersicht!$R14,'Ausgaben 2026'!$R$6:$R$59,'Ausgaben 2026'!Y$6:Y$59),IF(YEAR(TODAY())=2027,_xlfn.XLOOKUP(Übersicht!$R14,'Ausgaben 2027'!$R$6:$R$59,'Ausgaben 2027'!Y$6:Y$59),IF(YEAR(TODAY())=2028,_xlfn.XLOOKUP(Übersicht!$R14,'Ausgaben 2028'!$R$6:$R$59,'Ausgaben 2028'!Y$6:Y$59),"Bitte Rechner um aktuelles Jahr erweitern.")))</f>
        <v>0</v>
      </c>
      <c r="Z14" s="55">
        <f ca="1">IF(YEAR(TODAY())=2026,_xlfn.XLOOKUP(Übersicht!$R14,'Ausgaben 2026'!$R$6:$R$59,'Ausgaben 2026'!Z$6:Z$59),IF(YEAR(TODAY())=2027,_xlfn.XLOOKUP(Übersicht!$R14,'Ausgaben 2027'!$R$6:$R$59,'Ausgaben 2027'!Z$6:Z$59),IF(YEAR(TODAY())=2028,_xlfn.XLOOKUP(Übersicht!$R14,'Ausgaben 2028'!$R$6:$R$59,'Ausgaben 2028'!Z$6:Z$59),"Bitte Rechner um aktuelles Jahr erweitern.")))</f>
        <v>0</v>
      </c>
      <c r="AA14" s="55">
        <f ca="1">IF(YEAR(TODAY())=2026,_xlfn.XLOOKUP(Übersicht!$R14,'Ausgaben 2026'!$R$6:$R$59,'Ausgaben 2026'!AA$6:AA$59),IF(YEAR(TODAY())=2027,_xlfn.XLOOKUP(Übersicht!$R14,'Ausgaben 2027'!$R$6:$R$59,'Ausgaben 2027'!AA$6:AA$59),IF(YEAR(TODAY())=2028,_xlfn.XLOOKUP(Übersicht!$R14,'Ausgaben 2028'!$R$6:$R$59,'Ausgaben 2028'!AA$6:AA$59),"Bitte Rechner um aktuelles Jahr erweitern.")))</f>
        <v>0</v>
      </c>
      <c r="AB14" s="55">
        <f ca="1">IF(YEAR(TODAY())=2026,_xlfn.XLOOKUP(Übersicht!$R14,'Ausgaben 2026'!$R$6:$R$59,'Ausgaben 2026'!AB$6:AB$59),IF(YEAR(TODAY())=2027,_xlfn.XLOOKUP(Übersicht!$R14,'Ausgaben 2027'!$R$6:$R$59,'Ausgaben 2027'!AB$6:AB$59),IF(YEAR(TODAY())=2028,_xlfn.XLOOKUP(Übersicht!$R14,'Ausgaben 2028'!$R$6:$R$59,'Ausgaben 2028'!AB$6:AB$59),"Bitte Rechner um aktuelles Jahr erweitern.")))</f>
        <v>0</v>
      </c>
      <c r="AC14" s="56">
        <f ca="1">IF(YEAR(TODAY())=2026,_xlfn.XLOOKUP(Übersicht!$R14,'Ausgaben 2026'!$R$6:$R$59,'Ausgaben 2026'!AC$6:AC$59),IF(YEAR(TODAY())=2027,_xlfn.XLOOKUP(Übersicht!$R14,'Ausgaben 2027'!$R$6:$R$59,'Ausgaben 2027'!AC$6:AC$59),IF(YEAR(TODAY())=2028,_xlfn.XLOOKUP(Übersicht!$R14,'Ausgaben 2028'!$R$6:$R$59,'Ausgaben 2028'!AC$6:AC$59),"Bitte Rechner um aktuelles Jahr erweitern.")))</f>
        <v>0</v>
      </c>
      <c r="AD14" s="6"/>
    </row>
    <row r="15" spans="2:46" x14ac:dyDescent="0.35">
      <c r="B15" s="5"/>
      <c r="C15" s="30">
        <f ca="1">TODAY()-9</f>
        <v>46121</v>
      </c>
      <c r="D15" s="46">
        <f ca="1">SUMIFS(Einzelbeträge!$D:$D,Einzelbeträge!$C:$C,$C15)</f>
        <v>0</v>
      </c>
      <c r="E15" s="21">
        <f ca="1">SUMIFS(Einzelbeträge!$D:$D,Einzelbeträge!$C:$C,$C15,Einzelbeträge!$E:$E,E$5)</f>
        <v>0</v>
      </c>
      <c r="F15" s="21">
        <f ca="1">SUMIFS(Einzelbeträge!$D:$D,Einzelbeträge!$C:$C,$C15,Einzelbeträge!$E:$E,F$5)</f>
        <v>0</v>
      </c>
      <c r="G15" s="21">
        <f ca="1">SUMIFS(Einzelbeträge!$D:$D,Einzelbeträge!$C:$C,$C15,Einzelbeträge!$E:$E,G$5)</f>
        <v>0</v>
      </c>
      <c r="H15" s="21">
        <f ca="1">SUMIFS(Einzelbeträge!$D:$D,Einzelbeträge!$C:$C,$C15,Einzelbeträge!$E:$E,H$5)</f>
        <v>0</v>
      </c>
      <c r="I15" s="21">
        <f ca="1">SUMIFS(Einzelbeträge!$D:$D,Einzelbeträge!$C:$C,$C15,Einzelbeträge!$E:$E,I$5)</f>
        <v>0</v>
      </c>
      <c r="J15" s="21">
        <f ca="1">SUMIFS(Einzelbeträge!$D:$D,Einzelbeträge!$C:$C,$C15,Einzelbeträge!$E:$E,J$5)</f>
        <v>0</v>
      </c>
      <c r="K15" s="21">
        <f ca="1">SUMIFS(Einzelbeträge!$D:$D,Einzelbeträge!$C:$C,$C15,Einzelbeträge!$E:$E,K$5)</f>
        <v>0</v>
      </c>
      <c r="L15" s="21">
        <f ca="1">SUMIFS(Einzelbeträge!$D:$D,Einzelbeträge!$C:$C,$C15,Einzelbeträge!$E:$E,L$5)</f>
        <v>0</v>
      </c>
      <c r="M15" s="21">
        <f ca="1">SUMIFS(Einzelbeträge!$D:$D,Einzelbeträge!$C:$C,$C15,Einzelbeträge!$E:$E,M$5)</f>
        <v>0</v>
      </c>
      <c r="N15" s="35">
        <f ca="1">SUMIFS(Einzelbeträge!$D:$D,Einzelbeträge!$C:$C,$C15,Einzelbeträge!$E:$E,N$5)</f>
        <v>0</v>
      </c>
      <c r="O15" s="6"/>
      <c r="Q15" s="5"/>
      <c r="R15" s="57" t="str">
        <f ca="1">TEXT(($C$6-63)-WEEKDAY(($C$6-63),3),"TT.MM.JJJJ")&amp;" - "&amp;TEXT(($C$6-63)-WEEKDAY(($C$6-63),3)+6,"TT.MM.JJJJ")</f>
        <v>09.02.2026 - 15.02.2026</v>
      </c>
      <c r="S15" s="47">
        <f ca="1">IF(YEAR(TODAY())=2026,_xlfn.XLOOKUP(Übersicht!$R15,'Ausgaben 2026'!$R$6:$R$59,'Ausgaben 2026'!S$6:S$59),IF(YEAR(TODAY())=2027,_xlfn.XLOOKUP(Übersicht!$R15,'Ausgaben 2027'!$R$6:$R$59,'Ausgaben 2027'!S$6:S$59),IF(YEAR(TODAY())=2028,_xlfn.XLOOKUP(Übersicht!$R15,'Ausgaben 2028'!$R$6:$R$59,'Ausgaben 2028'!S$6:S$59),"Bitte Rechner um aktuelles Jahr erweitern.")))</f>
        <v>0</v>
      </c>
      <c r="T15" s="58">
        <f ca="1">IF(YEAR(TODAY())=2026,_xlfn.XLOOKUP(Übersicht!$R15,'Ausgaben 2026'!$R$6:$R$59,'Ausgaben 2026'!T$6:T$59),IF(YEAR(TODAY())=2027,_xlfn.XLOOKUP(Übersicht!$R15,'Ausgaben 2027'!$R$6:$R$59,'Ausgaben 2027'!T$6:T$59),IF(YEAR(TODAY())=2028,_xlfn.XLOOKUP(Übersicht!$R15,'Ausgaben 2028'!$R$6:$R$59,'Ausgaben 2028'!T$6:T$59),"Bitte Rechner um aktuelles Jahr erweitern.")))</f>
        <v>0</v>
      </c>
      <c r="U15" s="58">
        <f ca="1">IF(YEAR(TODAY())=2026,_xlfn.XLOOKUP(Übersicht!$R15,'Ausgaben 2026'!$R$6:$R$59,'Ausgaben 2026'!U$6:U$59),IF(YEAR(TODAY())=2027,_xlfn.XLOOKUP(Übersicht!$R15,'Ausgaben 2027'!$R$6:$R$59,'Ausgaben 2027'!U$6:U$59),IF(YEAR(TODAY())=2028,_xlfn.XLOOKUP(Übersicht!$R15,'Ausgaben 2028'!$R$6:$R$59,'Ausgaben 2028'!U$6:U$59),"Bitte Rechner um aktuelles Jahr erweitern.")))</f>
        <v>0</v>
      </c>
      <c r="V15" s="58">
        <f ca="1">IF(YEAR(TODAY())=2026,_xlfn.XLOOKUP(Übersicht!$R15,'Ausgaben 2026'!$R$6:$R$59,'Ausgaben 2026'!V$6:V$59),IF(YEAR(TODAY())=2027,_xlfn.XLOOKUP(Übersicht!$R15,'Ausgaben 2027'!$R$6:$R$59,'Ausgaben 2027'!V$6:V$59),IF(YEAR(TODAY())=2028,_xlfn.XLOOKUP(Übersicht!$R15,'Ausgaben 2028'!$R$6:$R$59,'Ausgaben 2028'!V$6:V$59),"Bitte Rechner um aktuelles Jahr erweitern.")))</f>
        <v>0</v>
      </c>
      <c r="W15" s="58">
        <f ca="1">IF(YEAR(TODAY())=2026,_xlfn.XLOOKUP(Übersicht!$R15,'Ausgaben 2026'!$R$6:$R$59,'Ausgaben 2026'!W$6:W$59),IF(YEAR(TODAY())=2027,_xlfn.XLOOKUP(Übersicht!$R15,'Ausgaben 2027'!$R$6:$R$59,'Ausgaben 2027'!W$6:W$59),IF(YEAR(TODAY())=2028,_xlfn.XLOOKUP(Übersicht!$R15,'Ausgaben 2028'!$R$6:$R$59,'Ausgaben 2028'!W$6:W$59),"Bitte Rechner um aktuelles Jahr erweitern.")))</f>
        <v>0</v>
      </c>
      <c r="X15" s="58">
        <f ca="1">IF(YEAR(TODAY())=2026,_xlfn.XLOOKUP(Übersicht!$R15,'Ausgaben 2026'!$R$6:$R$59,'Ausgaben 2026'!X$6:X$59),IF(YEAR(TODAY())=2027,_xlfn.XLOOKUP(Übersicht!$R15,'Ausgaben 2027'!$R$6:$R$59,'Ausgaben 2027'!X$6:X$59),IF(YEAR(TODAY())=2028,_xlfn.XLOOKUP(Übersicht!$R15,'Ausgaben 2028'!$R$6:$R$59,'Ausgaben 2028'!X$6:X$59),"Bitte Rechner um aktuelles Jahr erweitern.")))</f>
        <v>0</v>
      </c>
      <c r="Y15" s="58">
        <f ca="1">IF(YEAR(TODAY())=2026,_xlfn.XLOOKUP(Übersicht!$R15,'Ausgaben 2026'!$R$6:$R$59,'Ausgaben 2026'!Y$6:Y$59),IF(YEAR(TODAY())=2027,_xlfn.XLOOKUP(Übersicht!$R15,'Ausgaben 2027'!$R$6:$R$59,'Ausgaben 2027'!Y$6:Y$59),IF(YEAR(TODAY())=2028,_xlfn.XLOOKUP(Übersicht!$R15,'Ausgaben 2028'!$R$6:$R$59,'Ausgaben 2028'!Y$6:Y$59),"Bitte Rechner um aktuelles Jahr erweitern.")))</f>
        <v>0</v>
      </c>
      <c r="Z15" s="58">
        <f ca="1">IF(YEAR(TODAY())=2026,_xlfn.XLOOKUP(Übersicht!$R15,'Ausgaben 2026'!$R$6:$R$59,'Ausgaben 2026'!Z$6:Z$59),IF(YEAR(TODAY())=2027,_xlfn.XLOOKUP(Übersicht!$R15,'Ausgaben 2027'!$R$6:$R$59,'Ausgaben 2027'!Z$6:Z$59),IF(YEAR(TODAY())=2028,_xlfn.XLOOKUP(Übersicht!$R15,'Ausgaben 2028'!$R$6:$R$59,'Ausgaben 2028'!Z$6:Z$59),"Bitte Rechner um aktuelles Jahr erweitern.")))</f>
        <v>0</v>
      </c>
      <c r="AA15" s="58">
        <f ca="1">IF(YEAR(TODAY())=2026,_xlfn.XLOOKUP(Übersicht!$R15,'Ausgaben 2026'!$R$6:$R$59,'Ausgaben 2026'!AA$6:AA$59),IF(YEAR(TODAY())=2027,_xlfn.XLOOKUP(Übersicht!$R15,'Ausgaben 2027'!$R$6:$R$59,'Ausgaben 2027'!AA$6:AA$59),IF(YEAR(TODAY())=2028,_xlfn.XLOOKUP(Übersicht!$R15,'Ausgaben 2028'!$R$6:$R$59,'Ausgaben 2028'!AA$6:AA$59),"Bitte Rechner um aktuelles Jahr erweitern.")))</f>
        <v>0</v>
      </c>
      <c r="AB15" s="58">
        <f ca="1">IF(YEAR(TODAY())=2026,_xlfn.XLOOKUP(Übersicht!$R15,'Ausgaben 2026'!$R$6:$R$59,'Ausgaben 2026'!AB$6:AB$59),IF(YEAR(TODAY())=2027,_xlfn.XLOOKUP(Übersicht!$R15,'Ausgaben 2027'!$R$6:$R$59,'Ausgaben 2027'!AB$6:AB$59),IF(YEAR(TODAY())=2028,_xlfn.XLOOKUP(Übersicht!$R15,'Ausgaben 2028'!$R$6:$R$59,'Ausgaben 2028'!AB$6:AB$59),"Bitte Rechner um aktuelles Jahr erweitern.")))</f>
        <v>0</v>
      </c>
      <c r="AC15" s="59">
        <f ca="1">IF(YEAR(TODAY())=2026,_xlfn.XLOOKUP(Übersicht!$R15,'Ausgaben 2026'!$R$6:$R$59,'Ausgaben 2026'!AC$6:AC$59),IF(YEAR(TODAY())=2027,_xlfn.XLOOKUP(Übersicht!$R15,'Ausgaben 2027'!$R$6:$R$59,'Ausgaben 2027'!AC$6:AC$59),IF(YEAR(TODAY())=2028,_xlfn.XLOOKUP(Übersicht!$R15,'Ausgaben 2028'!$R$6:$R$59,'Ausgaben 2028'!AC$6:AC$59),"Bitte Rechner um aktuelles Jahr erweitern.")))</f>
        <v>0</v>
      </c>
      <c r="AD15" s="6"/>
    </row>
    <row r="16" spans="2:46" ht="15" thickBot="1" x14ac:dyDescent="0.4">
      <c r="B16" s="5"/>
      <c r="C16" s="30">
        <f ca="1">TODAY()-10</f>
        <v>46120</v>
      </c>
      <c r="D16" s="46">
        <f ca="1">SUMIFS(Einzelbeträge!$D:$D,Einzelbeträge!$C:$C,$C16)</f>
        <v>0</v>
      </c>
      <c r="E16" s="21">
        <f ca="1">SUMIFS(Einzelbeträge!$D:$D,Einzelbeträge!$C:$C,$C16,Einzelbeträge!$E:$E,E$5)</f>
        <v>0</v>
      </c>
      <c r="F16" s="21">
        <f ca="1">SUMIFS(Einzelbeträge!$D:$D,Einzelbeträge!$C:$C,$C16,Einzelbeträge!$E:$E,F$5)</f>
        <v>0</v>
      </c>
      <c r="G16" s="21">
        <f ca="1">SUMIFS(Einzelbeträge!$D:$D,Einzelbeträge!$C:$C,$C16,Einzelbeträge!$E:$E,G$5)</f>
        <v>0</v>
      </c>
      <c r="H16" s="21">
        <f ca="1">SUMIFS(Einzelbeträge!$D:$D,Einzelbeträge!$C:$C,$C16,Einzelbeträge!$E:$E,H$5)</f>
        <v>0</v>
      </c>
      <c r="I16" s="21">
        <f ca="1">SUMIFS(Einzelbeträge!$D:$D,Einzelbeträge!$C:$C,$C16,Einzelbeträge!$E:$E,I$5)</f>
        <v>0</v>
      </c>
      <c r="J16" s="21">
        <f ca="1">SUMIFS(Einzelbeträge!$D:$D,Einzelbeträge!$C:$C,$C16,Einzelbeträge!$E:$E,J$5)</f>
        <v>0</v>
      </c>
      <c r="K16" s="21">
        <f ca="1">SUMIFS(Einzelbeträge!$D:$D,Einzelbeträge!$C:$C,$C16,Einzelbeträge!$E:$E,K$5)</f>
        <v>0</v>
      </c>
      <c r="L16" s="21">
        <f ca="1">SUMIFS(Einzelbeträge!$D:$D,Einzelbeträge!$C:$C,$C16,Einzelbeträge!$E:$E,L$5)</f>
        <v>0</v>
      </c>
      <c r="M16" s="21">
        <f ca="1">SUMIFS(Einzelbeträge!$D:$D,Einzelbeträge!$C:$C,$C16,Einzelbeträge!$E:$E,M$5)</f>
        <v>0</v>
      </c>
      <c r="N16" s="35">
        <f ca="1">SUMIFS(Einzelbeträge!$D:$D,Einzelbeträge!$C:$C,$C16,Einzelbeträge!$E:$E,N$5)</f>
        <v>0</v>
      </c>
      <c r="O16" s="6"/>
      <c r="Q16" s="8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10"/>
      <c r="AH16" s="62"/>
    </row>
    <row r="17" spans="2:38" x14ac:dyDescent="0.35">
      <c r="B17" s="5"/>
      <c r="C17" s="30">
        <f ca="1">TODAY()-11</f>
        <v>46119</v>
      </c>
      <c r="D17" s="46">
        <f ca="1">SUMIFS(Einzelbeträge!$D:$D,Einzelbeträge!$C:$C,$C17)</f>
        <v>0</v>
      </c>
      <c r="E17" s="21">
        <f ca="1">SUMIFS(Einzelbeträge!$D:$D,Einzelbeträge!$C:$C,$C17,Einzelbeträge!$E:$E,E$5)</f>
        <v>0</v>
      </c>
      <c r="F17" s="21">
        <f ca="1">SUMIFS(Einzelbeträge!$D:$D,Einzelbeträge!$C:$C,$C17,Einzelbeträge!$E:$E,F$5)</f>
        <v>0</v>
      </c>
      <c r="G17" s="21">
        <f ca="1">SUMIFS(Einzelbeträge!$D:$D,Einzelbeträge!$C:$C,$C17,Einzelbeträge!$E:$E,G$5)</f>
        <v>0</v>
      </c>
      <c r="H17" s="21">
        <f ca="1">SUMIFS(Einzelbeträge!$D:$D,Einzelbeträge!$C:$C,$C17,Einzelbeträge!$E:$E,H$5)</f>
        <v>0</v>
      </c>
      <c r="I17" s="21">
        <f ca="1">SUMIFS(Einzelbeträge!$D:$D,Einzelbeträge!$C:$C,$C17,Einzelbeträge!$E:$E,I$5)</f>
        <v>0</v>
      </c>
      <c r="J17" s="21">
        <f ca="1">SUMIFS(Einzelbeträge!$D:$D,Einzelbeträge!$C:$C,$C17,Einzelbeträge!$E:$E,J$5)</f>
        <v>0</v>
      </c>
      <c r="K17" s="21">
        <f ca="1">SUMIFS(Einzelbeträge!$D:$D,Einzelbeträge!$C:$C,$C17,Einzelbeträge!$E:$E,K$5)</f>
        <v>0</v>
      </c>
      <c r="L17" s="21">
        <f ca="1">SUMIFS(Einzelbeträge!$D:$D,Einzelbeträge!$C:$C,$C17,Einzelbeträge!$E:$E,L$5)</f>
        <v>0</v>
      </c>
      <c r="M17" s="21">
        <f ca="1">SUMIFS(Einzelbeträge!$D:$D,Einzelbeträge!$C:$C,$C17,Einzelbeträge!$E:$E,M$5)</f>
        <v>0</v>
      </c>
      <c r="N17" s="35">
        <f ca="1">SUMIFS(Einzelbeträge!$D:$D,Einzelbeträge!$C:$C,$C17,Einzelbeträge!$E:$E,N$5)</f>
        <v>0</v>
      </c>
      <c r="O17" s="6"/>
      <c r="R17" s="20"/>
    </row>
    <row r="18" spans="2:38" x14ac:dyDescent="0.35">
      <c r="B18" s="5"/>
      <c r="C18" s="30">
        <f ca="1">TODAY()-12</f>
        <v>46118</v>
      </c>
      <c r="D18" s="46">
        <f ca="1">SUMIFS(Einzelbeträge!$D:$D,Einzelbeträge!$C:$C,$C18)</f>
        <v>0</v>
      </c>
      <c r="E18" s="21">
        <f ca="1">SUMIFS(Einzelbeträge!$D:$D,Einzelbeträge!$C:$C,$C18,Einzelbeträge!$E:$E,E$5)</f>
        <v>0</v>
      </c>
      <c r="F18" s="21">
        <f ca="1">SUMIFS(Einzelbeträge!$D:$D,Einzelbeträge!$C:$C,$C18,Einzelbeträge!$E:$E,F$5)</f>
        <v>0</v>
      </c>
      <c r="G18" s="21">
        <f ca="1">SUMIFS(Einzelbeträge!$D:$D,Einzelbeträge!$C:$C,$C18,Einzelbeträge!$E:$E,G$5)</f>
        <v>0</v>
      </c>
      <c r="H18" s="21">
        <f ca="1">SUMIFS(Einzelbeträge!$D:$D,Einzelbeträge!$C:$C,$C18,Einzelbeträge!$E:$E,H$5)</f>
        <v>0</v>
      </c>
      <c r="I18" s="21">
        <f ca="1">SUMIFS(Einzelbeträge!$D:$D,Einzelbeträge!$C:$C,$C18,Einzelbeträge!$E:$E,I$5)</f>
        <v>0</v>
      </c>
      <c r="J18" s="21">
        <f ca="1">SUMIFS(Einzelbeträge!$D:$D,Einzelbeträge!$C:$C,$C18,Einzelbeträge!$E:$E,J$5)</f>
        <v>0</v>
      </c>
      <c r="K18" s="21">
        <f ca="1">SUMIFS(Einzelbeträge!$D:$D,Einzelbeträge!$C:$C,$C18,Einzelbeträge!$E:$E,K$5)</f>
        <v>0</v>
      </c>
      <c r="L18" s="21">
        <f ca="1">SUMIFS(Einzelbeträge!$D:$D,Einzelbeträge!$C:$C,$C18,Einzelbeträge!$E:$E,L$5)</f>
        <v>0</v>
      </c>
      <c r="M18" s="21">
        <f ca="1">SUMIFS(Einzelbeträge!$D:$D,Einzelbeträge!$C:$C,$C18,Einzelbeträge!$E:$E,M$5)</f>
        <v>0</v>
      </c>
      <c r="N18" s="35">
        <f ca="1">SUMIFS(Einzelbeträge!$D:$D,Einzelbeträge!$C:$C,$C18,Einzelbeträge!$E:$E,N$5)</f>
        <v>0</v>
      </c>
      <c r="O18" s="6"/>
      <c r="R18" s="20"/>
      <c r="AL18" s="72"/>
    </row>
    <row r="19" spans="2:38" x14ac:dyDescent="0.35">
      <c r="B19" s="5"/>
      <c r="C19" s="30">
        <f ca="1">TODAY()-13</f>
        <v>46117</v>
      </c>
      <c r="D19" s="46">
        <f ca="1">SUMIFS(Einzelbeträge!$D:$D,Einzelbeträge!$C:$C,$C19)</f>
        <v>0</v>
      </c>
      <c r="E19" s="21">
        <f ca="1">SUMIFS(Einzelbeträge!$D:$D,Einzelbeträge!$C:$C,$C19,Einzelbeträge!$E:$E,E$5)</f>
        <v>0</v>
      </c>
      <c r="F19" s="21">
        <f ca="1">SUMIFS(Einzelbeträge!$D:$D,Einzelbeträge!$C:$C,$C19,Einzelbeträge!$E:$E,F$5)</f>
        <v>0</v>
      </c>
      <c r="G19" s="21">
        <f ca="1">SUMIFS(Einzelbeträge!$D:$D,Einzelbeträge!$C:$C,$C19,Einzelbeträge!$E:$E,G$5)</f>
        <v>0</v>
      </c>
      <c r="H19" s="21">
        <f ca="1">SUMIFS(Einzelbeträge!$D:$D,Einzelbeträge!$C:$C,$C19,Einzelbeträge!$E:$E,H$5)</f>
        <v>0</v>
      </c>
      <c r="I19" s="21">
        <f ca="1">SUMIFS(Einzelbeträge!$D:$D,Einzelbeträge!$C:$C,$C19,Einzelbeträge!$E:$E,I$5)</f>
        <v>0</v>
      </c>
      <c r="J19" s="21">
        <f ca="1">SUMIFS(Einzelbeträge!$D:$D,Einzelbeträge!$C:$C,$C19,Einzelbeträge!$E:$E,J$5)</f>
        <v>0</v>
      </c>
      <c r="K19" s="21">
        <f ca="1">SUMIFS(Einzelbeträge!$D:$D,Einzelbeträge!$C:$C,$C19,Einzelbeträge!$E:$E,K$5)</f>
        <v>0</v>
      </c>
      <c r="L19" s="21">
        <f ca="1">SUMIFS(Einzelbeträge!$D:$D,Einzelbeträge!$C:$C,$C19,Einzelbeträge!$E:$E,L$5)</f>
        <v>0</v>
      </c>
      <c r="M19" s="21">
        <f ca="1">SUMIFS(Einzelbeträge!$D:$D,Einzelbeträge!$C:$C,$C19,Einzelbeträge!$E:$E,M$5)</f>
        <v>0</v>
      </c>
      <c r="N19" s="35">
        <f ca="1">SUMIFS(Einzelbeträge!$D:$D,Einzelbeträge!$C:$C,$C19,Einzelbeträge!$E:$E,N$5)</f>
        <v>0</v>
      </c>
      <c r="O19" s="6"/>
      <c r="R19" s="20"/>
    </row>
    <row r="20" spans="2:38" x14ac:dyDescent="0.35">
      <c r="B20" s="5"/>
      <c r="C20" s="30">
        <f ca="1">TODAY()-14</f>
        <v>46116</v>
      </c>
      <c r="D20" s="46">
        <f ca="1">SUMIFS(Einzelbeträge!$D:$D,Einzelbeträge!$C:$C,$C20)</f>
        <v>0</v>
      </c>
      <c r="E20" s="21">
        <f ca="1">SUMIFS(Einzelbeträge!$D:$D,Einzelbeträge!$C:$C,$C20,Einzelbeträge!$E:$E,E$5)</f>
        <v>0</v>
      </c>
      <c r="F20" s="21">
        <f ca="1">SUMIFS(Einzelbeträge!$D:$D,Einzelbeträge!$C:$C,$C20,Einzelbeträge!$E:$E,F$5)</f>
        <v>0</v>
      </c>
      <c r="G20" s="21">
        <f ca="1">SUMIFS(Einzelbeträge!$D:$D,Einzelbeträge!$C:$C,$C20,Einzelbeträge!$E:$E,G$5)</f>
        <v>0</v>
      </c>
      <c r="H20" s="21">
        <f ca="1">SUMIFS(Einzelbeträge!$D:$D,Einzelbeträge!$C:$C,$C20,Einzelbeträge!$E:$E,H$5)</f>
        <v>0</v>
      </c>
      <c r="I20" s="21">
        <f ca="1">SUMIFS(Einzelbeträge!$D:$D,Einzelbeträge!$C:$C,$C20,Einzelbeträge!$E:$E,I$5)</f>
        <v>0</v>
      </c>
      <c r="J20" s="21">
        <f ca="1">SUMIFS(Einzelbeträge!$D:$D,Einzelbeträge!$C:$C,$C20,Einzelbeträge!$E:$E,J$5)</f>
        <v>0</v>
      </c>
      <c r="K20" s="21">
        <f ca="1">SUMIFS(Einzelbeträge!$D:$D,Einzelbeträge!$C:$C,$C20,Einzelbeträge!$E:$E,K$5)</f>
        <v>0</v>
      </c>
      <c r="L20" s="21">
        <f ca="1">SUMIFS(Einzelbeträge!$D:$D,Einzelbeträge!$C:$C,$C20,Einzelbeträge!$E:$E,L$5)</f>
        <v>0</v>
      </c>
      <c r="M20" s="21">
        <f ca="1">SUMIFS(Einzelbeträge!$D:$D,Einzelbeträge!$C:$C,$C20,Einzelbeträge!$E:$E,M$5)</f>
        <v>0</v>
      </c>
      <c r="N20" s="35">
        <f ca="1">SUMIFS(Einzelbeträge!$D:$D,Einzelbeträge!$C:$C,$C20,Einzelbeträge!$E:$E,N$5)</f>
        <v>0</v>
      </c>
      <c r="O20" s="6"/>
      <c r="R20" s="20"/>
    </row>
    <row r="21" spans="2:38" x14ac:dyDescent="0.35">
      <c r="B21" s="5"/>
      <c r="C21" s="30">
        <f ca="1">TODAY()-15</f>
        <v>46115</v>
      </c>
      <c r="D21" s="46">
        <f ca="1">SUMIFS(Einzelbeträge!$D:$D,Einzelbeträge!$C:$C,$C21)</f>
        <v>0</v>
      </c>
      <c r="E21" s="21">
        <f ca="1">SUMIFS(Einzelbeträge!$D:$D,Einzelbeträge!$C:$C,$C21,Einzelbeträge!$E:$E,E$5)</f>
        <v>0</v>
      </c>
      <c r="F21" s="21">
        <f ca="1">SUMIFS(Einzelbeträge!$D:$D,Einzelbeträge!$C:$C,$C21,Einzelbeträge!$E:$E,F$5)</f>
        <v>0</v>
      </c>
      <c r="G21" s="21">
        <f ca="1">SUMIFS(Einzelbeträge!$D:$D,Einzelbeträge!$C:$C,$C21,Einzelbeträge!$E:$E,G$5)</f>
        <v>0</v>
      </c>
      <c r="H21" s="21">
        <f ca="1">SUMIFS(Einzelbeträge!$D:$D,Einzelbeträge!$C:$C,$C21,Einzelbeträge!$E:$E,H$5)</f>
        <v>0</v>
      </c>
      <c r="I21" s="21">
        <f ca="1">SUMIFS(Einzelbeträge!$D:$D,Einzelbeträge!$C:$C,$C21,Einzelbeträge!$E:$E,I$5)</f>
        <v>0</v>
      </c>
      <c r="J21" s="21">
        <f ca="1">SUMIFS(Einzelbeträge!$D:$D,Einzelbeträge!$C:$C,$C21,Einzelbeträge!$E:$E,J$5)</f>
        <v>0</v>
      </c>
      <c r="K21" s="21">
        <f ca="1">SUMIFS(Einzelbeträge!$D:$D,Einzelbeträge!$C:$C,$C21,Einzelbeträge!$E:$E,K$5)</f>
        <v>0</v>
      </c>
      <c r="L21" s="21">
        <f ca="1">SUMIFS(Einzelbeträge!$D:$D,Einzelbeträge!$C:$C,$C21,Einzelbeträge!$E:$E,L$5)</f>
        <v>0</v>
      </c>
      <c r="M21" s="21">
        <f ca="1">SUMIFS(Einzelbeträge!$D:$D,Einzelbeträge!$C:$C,$C21,Einzelbeträge!$E:$E,M$5)</f>
        <v>0</v>
      </c>
      <c r="N21" s="35">
        <f ca="1">SUMIFS(Einzelbeträge!$D:$D,Einzelbeträge!$C:$C,$C21,Einzelbeträge!$E:$E,N$5)</f>
        <v>0</v>
      </c>
      <c r="O21" s="6"/>
      <c r="R21" s="20"/>
    </row>
    <row r="22" spans="2:38" x14ac:dyDescent="0.35">
      <c r="B22" s="5"/>
      <c r="C22" s="30">
        <f ca="1">TODAY()-16</f>
        <v>46114</v>
      </c>
      <c r="D22" s="46">
        <f ca="1">SUMIFS(Einzelbeträge!$D:$D,Einzelbeträge!$C:$C,$C22)</f>
        <v>0</v>
      </c>
      <c r="E22" s="21">
        <f ca="1">SUMIFS(Einzelbeträge!$D:$D,Einzelbeträge!$C:$C,$C22,Einzelbeträge!$E:$E,E$5)</f>
        <v>0</v>
      </c>
      <c r="F22" s="21">
        <f ca="1">SUMIFS(Einzelbeträge!$D:$D,Einzelbeträge!$C:$C,$C22,Einzelbeträge!$E:$E,F$5)</f>
        <v>0</v>
      </c>
      <c r="G22" s="21">
        <f ca="1">SUMIFS(Einzelbeträge!$D:$D,Einzelbeträge!$C:$C,$C22,Einzelbeträge!$E:$E,G$5)</f>
        <v>0</v>
      </c>
      <c r="H22" s="21">
        <f ca="1">SUMIFS(Einzelbeträge!$D:$D,Einzelbeträge!$C:$C,$C22,Einzelbeträge!$E:$E,H$5)</f>
        <v>0</v>
      </c>
      <c r="I22" s="21">
        <f ca="1">SUMIFS(Einzelbeträge!$D:$D,Einzelbeträge!$C:$C,$C22,Einzelbeträge!$E:$E,I$5)</f>
        <v>0</v>
      </c>
      <c r="J22" s="21">
        <f ca="1">SUMIFS(Einzelbeträge!$D:$D,Einzelbeträge!$C:$C,$C22,Einzelbeträge!$E:$E,J$5)</f>
        <v>0</v>
      </c>
      <c r="K22" s="21">
        <f ca="1">SUMIFS(Einzelbeträge!$D:$D,Einzelbeträge!$C:$C,$C22,Einzelbeträge!$E:$E,K$5)</f>
        <v>0</v>
      </c>
      <c r="L22" s="21">
        <f ca="1">SUMIFS(Einzelbeträge!$D:$D,Einzelbeträge!$C:$C,$C22,Einzelbeträge!$E:$E,L$5)</f>
        <v>0</v>
      </c>
      <c r="M22" s="21">
        <f ca="1">SUMIFS(Einzelbeträge!$D:$D,Einzelbeträge!$C:$C,$C22,Einzelbeträge!$E:$E,M$5)</f>
        <v>0</v>
      </c>
      <c r="N22" s="35">
        <f ca="1">SUMIFS(Einzelbeträge!$D:$D,Einzelbeträge!$C:$C,$C22,Einzelbeträge!$E:$E,N$5)</f>
        <v>0</v>
      </c>
      <c r="O22" s="6"/>
    </row>
    <row r="23" spans="2:38" x14ac:dyDescent="0.35">
      <c r="B23" s="5"/>
      <c r="C23" s="30">
        <f ca="1">TODAY()-17</f>
        <v>46113</v>
      </c>
      <c r="D23" s="46">
        <f ca="1">SUMIFS(Einzelbeträge!$D:$D,Einzelbeträge!$C:$C,$C23)</f>
        <v>0</v>
      </c>
      <c r="E23" s="21">
        <f ca="1">SUMIFS(Einzelbeträge!$D:$D,Einzelbeträge!$C:$C,$C23,Einzelbeträge!$E:$E,E$5)</f>
        <v>0</v>
      </c>
      <c r="F23" s="21">
        <f ca="1">SUMIFS(Einzelbeträge!$D:$D,Einzelbeträge!$C:$C,$C23,Einzelbeträge!$E:$E,F$5)</f>
        <v>0</v>
      </c>
      <c r="G23" s="21">
        <f ca="1">SUMIFS(Einzelbeträge!$D:$D,Einzelbeträge!$C:$C,$C23,Einzelbeträge!$E:$E,G$5)</f>
        <v>0</v>
      </c>
      <c r="H23" s="21">
        <f ca="1">SUMIFS(Einzelbeträge!$D:$D,Einzelbeträge!$C:$C,$C23,Einzelbeträge!$E:$E,H$5)</f>
        <v>0</v>
      </c>
      <c r="I23" s="21">
        <f ca="1">SUMIFS(Einzelbeträge!$D:$D,Einzelbeträge!$C:$C,$C23,Einzelbeträge!$E:$E,I$5)</f>
        <v>0</v>
      </c>
      <c r="J23" s="21">
        <f ca="1">SUMIFS(Einzelbeträge!$D:$D,Einzelbeträge!$C:$C,$C23,Einzelbeträge!$E:$E,J$5)</f>
        <v>0</v>
      </c>
      <c r="K23" s="21">
        <f ca="1">SUMIFS(Einzelbeträge!$D:$D,Einzelbeträge!$C:$C,$C23,Einzelbeträge!$E:$E,K$5)</f>
        <v>0</v>
      </c>
      <c r="L23" s="21">
        <f ca="1">SUMIFS(Einzelbeträge!$D:$D,Einzelbeträge!$C:$C,$C23,Einzelbeträge!$E:$E,L$5)</f>
        <v>0</v>
      </c>
      <c r="M23" s="21">
        <f ca="1">SUMIFS(Einzelbeträge!$D:$D,Einzelbeträge!$C:$C,$C23,Einzelbeträge!$E:$E,M$5)</f>
        <v>0</v>
      </c>
      <c r="N23" s="35">
        <f ca="1">SUMIFS(Einzelbeträge!$D:$D,Einzelbeträge!$C:$C,$C23,Einzelbeträge!$E:$E,N$5)</f>
        <v>0</v>
      </c>
      <c r="O23" s="6"/>
    </row>
    <row r="24" spans="2:38" x14ac:dyDescent="0.35">
      <c r="B24" s="5"/>
      <c r="C24" s="30">
        <f ca="1">TODAY()-18</f>
        <v>46112</v>
      </c>
      <c r="D24" s="46">
        <f ca="1">SUMIFS(Einzelbeträge!$D:$D,Einzelbeträge!$C:$C,$C24)</f>
        <v>0</v>
      </c>
      <c r="E24" s="21">
        <f ca="1">SUMIFS(Einzelbeträge!$D:$D,Einzelbeträge!$C:$C,$C24,Einzelbeträge!$E:$E,E$5)</f>
        <v>0</v>
      </c>
      <c r="F24" s="21">
        <f ca="1">SUMIFS(Einzelbeträge!$D:$D,Einzelbeträge!$C:$C,$C24,Einzelbeträge!$E:$E,F$5)</f>
        <v>0</v>
      </c>
      <c r="G24" s="21">
        <f ca="1">SUMIFS(Einzelbeträge!$D:$D,Einzelbeträge!$C:$C,$C24,Einzelbeträge!$E:$E,G$5)</f>
        <v>0</v>
      </c>
      <c r="H24" s="21">
        <f ca="1">SUMIFS(Einzelbeträge!$D:$D,Einzelbeträge!$C:$C,$C24,Einzelbeträge!$E:$E,H$5)</f>
        <v>0</v>
      </c>
      <c r="I24" s="21">
        <f ca="1">SUMIFS(Einzelbeträge!$D:$D,Einzelbeträge!$C:$C,$C24,Einzelbeträge!$E:$E,I$5)</f>
        <v>0</v>
      </c>
      <c r="J24" s="21">
        <f ca="1">SUMIFS(Einzelbeträge!$D:$D,Einzelbeträge!$C:$C,$C24,Einzelbeträge!$E:$E,J$5)</f>
        <v>0</v>
      </c>
      <c r="K24" s="21">
        <f ca="1">SUMIFS(Einzelbeträge!$D:$D,Einzelbeträge!$C:$C,$C24,Einzelbeträge!$E:$E,K$5)</f>
        <v>0</v>
      </c>
      <c r="L24" s="21">
        <f ca="1">SUMIFS(Einzelbeträge!$D:$D,Einzelbeträge!$C:$C,$C24,Einzelbeträge!$E:$E,L$5)</f>
        <v>0</v>
      </c>
      <c r="M24" s="21">
        <f ca="1">SUMIFS(Einzelbeträge!$D:$D,Einzelbeträge!$C:$C,$C24,Einzelbeträge!$E:$E,M$5)</f>
        <v>0</v>
      </c>
      <c r="N24" s="35">
        <f ca="1">SUMIFS(Einzelbeträge!$D:$D,Einzelbeträge!$C:$C,$C24,Einzelbeträge!$E:$E,N$5)</f>
        <v>0</v>
      </c>
      <c r="O24" s="6"/>
    </row>
    <row r="25" spans="2:38" x14ac:dyDescent="0.35">
      <c r="B25" s="5"/>
      <c r="C25" s="30">
        <f ca="1">TODAY()-19</f>
        <v>46111</v>
      </c>
      <c r="D25" s="46">
        <f ca="1">SUMIFS(Einzelbeträge!$D:$D,Einzelbeträge!$C:$C,$C25)</f>
        <v>0</v>
      </c>
      <c r="E25" s="21">
        <f ca="1">SUMIFS(Einzelbeträge!$D:$D,Einzelbeträge!$C:$C,$C25,Einzelbeträge!$E:$E,E$5)</f>
        <v>0</v>
      </c>
      <c r="F25" s="21">
        <f ca="1">SUMIFS(Einzelbeträge!$D:$D,Einzelbeträge!$C:$C,$C25,Einzelbeträge!$E:$E,F$5)</f>
        <v>0</v>
      </c>
      <c r="G25" s="21">
        <f ca="1">SUMIFS(Einzelbeträge!$D:$D,Einzelbeträge!$C:$C,$C25,Einzelbeträge!$E:$E,G$5)</f>
        <v>0</v>
      </c>
      <c r="H25" s="21">
        <f ca="1">SUMIFS(Einzelbeträge!$D:$D,Einzelbeträge!$C:$C,$C25,Einzelbeträge!$E:$E,H$5)</f>
        <v>0</v>
      </c>
      <c r="I25" s="21">
        <f ca="1">SUMIFS(Einzelbeträge!$D:$D,Einzelbeträge!$C:$C,$C25,Einzelbeträge!$E:$E,I$5)</f>
        <v>0</v>
      </c>
      <c r="J25" s="21">
        <f ca="1">SUMIFS(Einzelbeträge!$D:$D,Einzelbeträge!$C:$C,$C25,Einzelbeträge!$E:$E,J$5)</f>
        <v>0</v>
      </c>
      <c r="K25" s="21">
        <f ca="1">SUMIFS(Einzelbeträge!$D:$D,Einzelbeträge!$C:$C,$C25,Einzelbeträge!$E:$E,K$5)</f>
        <v>0</v>
      </c>
      <c r="L25" s="21">
        <f ca="1">SUMIFS(Einzelbeträge!$D:$D,Einzelbeträge!$C:$C,$C25,Einzelbeträge!$E:$E,L$5)</f>
        <v>0</v>
      </c>
      <c r="M25" s="21">
        <f ca="1">SUMIFS(Einzelbeträge!$D:$D,Einzelbeträge!$C:$C,$C25,Einzelbeträge!$E:$E,M$5)</f>
        <v>0</v>
      </c>
      <c r="N25" s="35">
        <f ca="1">SUMIFS(Einzelbeträge!$D:$D,Einzelbeträge!$C:$C,$C25,Einzelbeträge!$E:$E,N$5)</f>
        <v>0</v>
      </c>
      <c r="O25" s="6"/>
      <c r="S25" s="20"/>
    </row>
    <row r="26" spans="2:38" x14ac:dyDescent="0.35">
      <c r="B26" s="5"/>
      <c r="C26" s="30">
        <f ca="1">TODAY()-20</f>
        <v>46110</v>
      </c>
      <c r="D26" s="46">
        <f ca="1">SUMIFS(Einzelbeträge!$D:$D,Einzelbeträge!$C:$C,$C26)</f>
        <v>0</v>
      </c>
      <c r="E26" s="21">
        <f ca="1">SUMIFS(Einzelbeträge!$D:$D,Einzelbeträge!$C:$C,$C26,Einzelbeträge!$E:$E,E$5)</f>
        <v>0</v>
      </c>
      <c r="F26" s="21">
        <f ca="1">SUMIFS(Einzelbeträge!$D:$D,Einzelbeträge!$C:$C,$C26,Einzelbeträge!$E:$E,F$5)</f>
        <v>0</v>
      </c>
      <c r="G26" s="21">
        <f ca="1">SUMIFS(Einzelbeträge!$D:$D,Einzelbeträge!$C:$C,$C26,Einzelbeträge!$E:$E,G$5)</f>
        <v>0</v>
      </c>
      <c r="H26" s="21">
        <f ca="1">SUMIFS(Einzelbeträge!$D:$D,Einzelbeträge!$C:$C,$C26,Einzelbeträge!$E:$E,H$5)</f>
        <v>0</v>
      </c>
      <c r="I26" s="21">
        <f ca="1">SUMIFS(Einzelbeträge!$D:$D,Einzelbeträge!$C:$C,$C26,Einzelbeträge!$E:$E,I$5)</f>
        <v>0</v>
      </c>
      <c r="J26" s="21">
        <f ca="1">SUMIFS(Einzelbeträge!$D:$D,Einzelbeträge!$C:$C,$C26,Einzelbeträge!$E:$E,J$5)</f>
        <v>0</v>
      </c>
      <c r="K26" s="21">
        <f ca="1">SUMIFS(Einzelbeträge!$D:$D,Einzelbeträge!$C:$C,$C26,Einzelbeträge!$E:$E,K$5)</f>
        <v>0</v>
      </c>
      <c r="L26" s="21">
        <f ca="1">SUMIFS(Einzelbeträge!$D:$D,Einzelbeträge!$C:$C,$C26,Einzelbeträge!$E:$E,L$5)</f>
        <v>0</v>
      </c>
      <c r="M26" s="21">
        <f ca="1">SUMIFS(Einzelbeträge!$D:$D,Einzelbeträge!$C:$C,$C26,Einzelbeträge!$E:$E,M$5)</f>
        <v>0</v>
      </c>
      <c r="N26" s="35">
        <f ca="1">SUMIFS(Einzelbeträge!$D:$D,Einzelbeträge!$C:$C,$C26,Einzelbeträge!$E:$E,N$5)</f>
        <v>0</v>
      </c>
      <c r="O26" s="6"/>
      <c r="R26" s="72"/>
    </row>
    <row r="27" spans="2:38" x14ac:dyDescent="0.35">
      <c r="B27" s="5"/>
      <c r="C27" s="30">
        <f ca="1">TODAY()-21</f>
        <v>46109</v>
      </c>
      <c r="D27" s="46">
        <f ca="1">SUMIFS(Einzelbeträge!$D:$D,Einzelbeträge!$C:$C,$C27)</f>
        <v>0</v>
      </c>
      <c r="E27" s="21">
        <f ca="1">SUMIFS(Einzelbeträge!$D:$D,Einzelbeträge!$C:$C,$C27,Einzelbeträge!$E:$E,E$5)</f>
        <v>0</v>
      </c>
      <c r="F27" s="21">
        <f ca="1">SUMIFS(Einzelbeträge!$D:$D,Einzelbeträge!$C:$C,$C27,Einzelbeträge!$E:$E,F$5)</f>
        <v>0</v>
      </c>
      <c r="G27" s="21">
        <f ca="1">SUMIFS(Einzelbeträge!$D:$D,Einzelbeträge!$C:$C,$C27,Einzelbeträge!$E:$E,G$5)</f>
        <v>0</v>
      </c>
      <c r="H27" s="21">
        <f ca="1">SUMIFS(Einzelbeträge!$D:$D,Einzelbeträge!$C:$C,$C27,Einzelbeträge!$E:$E,H$5)</f>
        <v>0</v>
      </c>
      <c r="I27" s="21">
        <f ca="1">SUMIFS(Einzelbeträge!$D:$D,Einzelbeträge!$C:$C,$C27,Einzelbeträge!$E:$E,I$5)</f>
        <v>0</v>
      </c>
      <c r="J27" s="21">
        <f ca="1">SUMIFS(Einzelbeträge!$D:$D,Einzelbeträge!$C:$C,$C27,Einzelbeträge!$E:$E,J$5)</f>
        <v>0</v>
      </c>
      <c r="K27" s="21">
        <f ca="1">SUMIFS(Einzelbeträge!$D:$D,Einzelbeträge!$C:$C,$C27,Einzelbeträge!$E:$E,K$5)</f>
        <v>0</v>
      </c>
      <c r="L27" s="21">
        <f ca="1">SUMIFS(Einzelbeträge!$D:$D,Einzelbeträge!$C:$C,$C27,Einzelbeträge!$E:$E,L$5)</f>
        <v>0</v>
      </c>
      <c r="M27" s="21">
        <f ca="1">SUMIFS(Einzelbeträge!$D:$D,Einzelbeträge!$C:$C,$C27,Einzelbeträge!$E:$E,M$5)</f>
        <v>0</v>
      </c>
      <c r="N27" s="35">
        <f ca="1">SUMIFS(Einzelbeträge!$D:$D,Einzelbeträge!$C:$C,$C27,Einzelbeträge!$E:$E,N$5)</f>
        <v>0</v>
      </c>
      <c r="O27" s="6"/>
    </row>
    <row r="28" spans="2:38" x14ac:dyDescent="0.35">
      <c r="B28" s="5"/>
      <c r="C28" s="30">
        <f ca="1">TODAY()-22</f>
        <v>46108</v>
      </c>
      <c r="D28" s="46">
        <f ca="1">SUMIFS(Einzelbeträge!$D:$D,Einzelbeträge!$C:$C,$C28)</f>
        <v>0</v>
      </c>
      <c r="E28" s="21">
        <f ca="1">SUMIFS(Einzelbeträge!$D:$D,Einzelbeträge!$C:$C,$C28,Einzelbeträge!$E:$E,E$5)</f>
        <v>0</v>
      </c>
      <c r="F28" s="21">
        <f ca="1">SUMIFS(Einzelbeträge!$D:$D,Einzelbeträge!$C:$C,$C28,Einzelbeträge!$E:$E,F$5)</f>
        <v>0</v>
      </c>
      <c r="G28" s="21">
        <f ca="1">SUMIFS(Einzelbeträge!$D:$D,Einzelbeträge!$C:$C,$C28,Einzelbeträge!$E:$E,G$5)</f>
        <v>0</v>
      </c>
      <c r="H28" s="21">
        <f ca="1">SUMIFS(Einzelbeträge!$D:$D,Einzelbeträge!$C:$C,$C28,Einzelbeträge!$E:$E,H$5)</f>
        <v>0</v>
      </c>
      <c r="I28" s="21">
        <f ca="1">SUMIFS(Einzelbeträge!$D:$D,Einzelbeträge!$C:$C,$C28,Einzelbeträge!$E:$E,I$5)</f>
        <v>0</v>
      </c>
      <c r="J28" s="21">
        <f ca="1">SUMIFS(Einzelbeträge!$D:$D,Einzelbeträge!$C:$C,$C28,Einzelbeträge!$E:$E,J$5)</f>
        <v>0</v>
      </c>
      <c r="K28" s="21">
        <f ca="1">SUMIFS(Einzelbeträge!$D:$D,Einzelbeträge!$C:$C,$C28,Einzelbeträge!$E:$E,K$5)</f>
        <v>0</v>
      </c>
      <c r="L28" s="21">
        <f ca="1">SUMIFS(Einzelbeträge!$D:$D,Einzelbeträge!$C:$C,$C28,Einzelbeträge!$E:$E,L$5)</f>
        <v>0</v>
      </c>
      <c r="M28" s="21">
        <f ca="1">SUMIFS(Einzelbeträge!$D:$D,Einzelbeträge!$C:$C,$C28,Einzelbeträge!$E:$E,M$5)</f>
        <v>0</v>
      </c>
      <c r="N28" s="35">
        <f ca="1">SUMIFS(Einzelbeträge!$D:$D,Einzelbeträge!$C:$C,$C28,Einzelbeträge!$E:$E,N$5)</f>
        <v>0</v>
      </c>
      <c r="O28" s="6"/>
    </row>
    <row r="29" spans="2:38" x14ac:dyDescent="0.35">
      <c r="B29" s="5"/>
      <c r="C29" s="30">
        <f ca="1">TODAY()-23</f>
        <v>46107</v>
      </c>
      <c r="D29" s="46">
        <f ca="1">SUMIFS(Einzelbeträge!$D:$D,Einzelbeträge!$C:$C,$C29)</f>
        <v>0</v>
      </c>
      <c r="E29" s="21">
        <f ca="1">SUMIFS(Einzelbeträge!$D:$D,Einzelbeträge!$C:$C,$C29,Einzelbeträge!$E:$E,E$5)</f>
        <v>0</v>
      </c>
      <c r="F29" s="21">
        <f ca="1">SUMIFS(Einzelbeträge!$D:$D,Einzelbeträge!$C:$C,$C29,Einzelbeträge!$E:$E,F$5)</f>
        <v>0</v>
      </c>
      <c r="G29" s="21">
        <f ca="1">SUMIFS(Einzelbeträge!$D:$D,Einzelbeträge!$C:$C,$C29,Einzelbeträge!$E:$E,G$5)</f>
        <v>0</v>
      </c>
      <c r="H29" s="21">
        <f ca="1">SUMIFS(Einzelbeträge!$D:$D,Einzelbeträge!$C:$C,$C29,Einzelbeträge!$E:$E,H$5)</f>
        <v>0</v>
      </c>
      <c r="I29" s="21">
        <f ca="1">SUMIFS(Einzelbeträge!$D:$D,Einzelbeträge!$C:$C,$C29,Einzelbeträge!$E:$E,I$5)</f>
        <v>0</v>
      </c>
      <c r="J29" s="21">
        <f ca="1">SUMIFS(Einzelbeträge!$D:$D,Einzelbeträge!$C:$C,$C29,Einzelbeträge!$E:$E,J$5)</f>
        <v>0</v>
      </c>
      <c r="K29" s="21">
        <f ca="1">SUMIFS(Einzelbeträge!$D:$D,Einzelbeträge!$C:$C,$C29,Einzelbeträge!$E:$E,K$5)</f>
        <v>0</v>
      </c>
      <c r="L29" s="21">
        <f ca="1">SUMIFS(Einzelbeträge!$D:$D,Einzelbeträge!$C:$C,$C29,Einzelbeträge!$E:$E,L$5)</f>
        <v>0</v>
      </c>
      <c r="M29" s="21">
        <f ca="1">SUMIFS(Einzelbeträge!$D:$D,Einzelbeträge!$C:$C,$C29,Einzelbeträge!$E:$E,M$5)</f>
        <v>0</v>
      </c>
      <c r="N29" s="35">
        <f ca="1">SUMIFS(Einzelbeträge!$D:$D,Einzelbeträge!$C:$C,$C29,Einzelbeträge!$E:$E,N$5)</f>
        <v>0</v>
      </c>
      <c r="O29" s="6"/>
    </row>
    <row r="30" spans="2:38" x14ac:dyDescent="0.35">
      <c r="B30" s="5"/>
      <c r="C30" s="30">
        <f ca="1">TODAY()-24</f>
        <v>46106</v>
      </c>
      <c r="D30" s="46">
        <f ca="1">SUMIFS(Einzelbeträge!$D:$D,Einzelbeträge!$C:$C,$C30)</f>
        <v>0</v>
      </c>
      <c r="E30" s="21">
        <f ca="1">SUMIFS(Einzelbeträge!$D:$D,Einzelbeträge!$C:$C,$C30,Einzelbeträge!$E:$E,E$5)</f>
        <v>0</v>
      </c>
      <c r="F30" s="21">
        <f ca="1">SUMIFS(Einzelbeträge!$D:$D,Einzelbeträge!$C:$C,$C30,Einzelbeträge!$E:$E,F$5)</f>
        <v>0</v>
      </c>
      <c r="G30" s="21">
        <f ca="1">SUMIFS(Einzelbeträge!$D:$D,Einzelbeträge!$C:$C,$C30,Einzelbeträge!$E:$E,G$5)</f>
        <v>0</v>
      </c>
      <c r="H30" s="21">
        <f ca="1">SUMIFS(Einzelbeträge!$D:$D,Einzelbeträge!$C:$C,$C30,Einzelbeträge!$E:$E,H$5)</f>
        <v>0</v>
      </c>
      <c r="I30" s="21">
        <f ca="1">SUMIFS(Einzelbeträge!$D:$D,Einzelbeträge!$C:$C,$C30,Einzelbeträge!$E:$E,I$5)</f>
        <v>0</v>
      </c>
      <c r="J30" s="21">
        <f ca="1">SUMIFS(Einzelbeträge!$D:$D,Einzelbeträge!$C:$C,$C30,Einzelbeträge!$E:$E,J$5)</f>
        <v>0</v>
      </c>
      <c r="K30" s="21">
        <f ca="1">SUMIFS(Einzelbeträge!$D:$D,Einzelbeträge!$C:$C,$C30,Einzelbeträge!$E:$E,K$5)</f>
        <v>0</v>
      </c>
      <c r="L30" s="21">
        <f ca="1">SUMIFS(Einzelbeträge!$D:$D,Einzelbeträge!$C:$C,$C30,Einzelbeträge!$E:$E,L$5)</f>
        <v>0</v>
      </c>
      <c r="M30" s="21">
        <f ca="1">SUMIFS(Einzelbeträge!$D:$D,Einzelbeträge!$C:$C,$C30,Einzelbeträge!$E:$E,M$5)</f>
        <v>0</v>
      </c>
      <c r="N30" s="35">
        <f ca="1">SUMIFS(Einzelbeträge!$D:$D,Einzelbeträge!$C:$C,$C30,Einzelbeträge!$E:$E,N$5)</f>
        <v>0</v>
      </c>
      <c r="O30" s="6"/>
    </row>
    <row r="31" spans="2:38" x14ac:dyDescent="0.35">
      <c r="B31" s="5"/>
      <c r="C31" s="30">
        <f ca="1">TODAY()-25</f>
        <v>46105</v>
      </c>
      <c r="D31" s="46">
        <f ca="1">SUMIFS(Einzelbeträge!$D:$D,Einzelbeträge!$C:$C,$C31)</f>
        <v>0</v>
      </c>
      <c r="E31" s="21">
        <f ca="1">SUMIFS(Einzelbeträge!$D:$D,Einzelbeträge!$C:$C,$C31,Einzelbeträge!$E:$E,E$5)</f>
        <v>0</v>
      </c>
      <c r="F31" s="21">
        <f ca="1">SUMIFS(Einzelbeträge!$D:$D,Einzelbeträge!$C:$C,$C31,Einzelbeträge!$E:$E,F$5)</f>
        <v>0</v>
      </c>
      <c r="G31" s="21">
        <f ca="1">SUMIFS(Einzelbeträge!$D:$D,Einzelbeträge!$C:$C,$C31,Einzelbeträge!$E:$E,G$5)</f>
        <v>0</v>
      </c>
      <c r="H31" s="21">
        <f ca="1">SUMIFS(Einzelbeträge!$D:$D,Einzelbeträge!$C:$C,$C31,Einzelbeträge!$E:$E,H$5)</f>
        <v>0</v>
      </c>
      <c r="I31" s="21">
        <f ca="1">SUMIFS(Einzelbeträge!$D:$D,Einzelbeträge!$C:$C,$C31,Einzelbeträge!$E:$E,I$5)</f>
        <v>0</v>
      </c>
      <c r="J31" s="21">
        <f ca="1">SUMIFS(Einzelbeträge!$D:$D,Einzelbeträge!$C:$C,$C31,Einzelbeträge!$E:$E,J$5)</f>
        <v>0</v>
      </c>
      <c r="K31" s="21">
        <f ca="1">SUMIFS(Einzelbeträge!$D:$D,Einzelbeträge!$C:$C,$C31,Einzelbeträge!$E:$E,K$5)</f>
        <v>0</v>
      </c>
      <c r="L31" s="21">
        <f ca="1">SUMIFS(Einzelbeträge!$D:$D,Einzelbeträge!$C:$C,$C31,Einzelbeträge!$E:$E,L$5)</f>
        <v>0</v>
      </c>
      <c r="M31" s="21">
        <f ca="1">SUMIFS(Einzelbeträge!$D:$D,Einzelbeträge!$C:$C,$C31,Einzelbeträge!$E:$E,M$5)</f>
        <v>0</v>
      </c>
      <c r="N31" s="35">
        <f ca="1">SUMIFS(Einzelbeträge!$D:$D,Einzelbeträge!$C:$C,$C31,Einzelbeträge!$E:$E,N$5)</f>
        <v>0</v>
      </c>
      <c r="O31" s="6"/>
    </row>
    <row r="32" spans="2:38" x14ac:dyDescent="0.35">
      <c r="B32" s="5"/>
      <c r="C32" s="30">
        <f ca="1">TODAY()-26</f>
        <v>46104</v>
      </c>
      <c r="D32" s="46">
        <f ca="1">SUMIFS(Einzelbeträge!$D:$D,Einzelbeträge!$C:$C,$C32)</f>
        <v>0</v>
      </c>
      <c r="E32" s="21">
        <f ca="1">SUMIFS(Einzelbeträge!$D:$D,Einzelbeträge!$C:$C,$C32,Einzelbeträge!$E:$E,E$5)</f>
        <v>0</v>
      </c>
      <c r="F32" s="21">
        <f ca="1">SUMIFS(Einzelbeträge!$D:$D,Einzelbeträge!$C:$C,$C32,Einzelbeträge!$E:$E,F$5)</f>
        <v>0</v>
      </c>
      <c r="G32" s="21">
        <f ca="1">SUMIFS(Einzelbeträge!$D:$D,Einzelbeträge!$C:$C,$C32,Einzelbeträge!$E:$E,G$5)</f>
        <v>0</v>
      </c>
      <c r="H32" s="21">
        <f ca="1">SUMIFS(Einzelbeträge!$D:$D,Einzelbeträge!$C:$C,$C32,Einzelbeträge!$E:$E,H$5)</f>
        <v>0</v>
      </c>
      <c r="I32" s="21">
        <f ca="1">SUMIFS(Einzelbeträge!$D:$D,Einzelbeträge!$C:$C,$C32,Einzelbeträge!$E:$E,I$5)</f>
        <v>0</v>
      </c>
      <c r="J32" s="21">
        <f ca="1">SUMIFS(Einzelbeträge!$D:$D,Einzelbeträge!$C:$C,$C32,Einzelbeträge!$E:$E,J$5)</f>
        <v>0</v>
      </c>
      <c r="K32" s="21">
        <f ca="1">SUMIFS(Einzelbeträge!$D:$D,Einzelbeträge!$C:$C,$C32,Einzelbeträge!$E:$E,K$5)</f>
        <v>0</v>
      </c>
      <c r="L32" s="21">
        <f ca="1">SUMIFS(Einzelbeträge!$D:$D,Einzelbeträge!$C:$C,$C32,Einzelbeträge!$E:$E,L$5)</f>
        <v>0</v>
      </c>
      <c r="M32" s="21">
        <f ca="1">SUMIFS(Einzelbeträge!$D:$D,Einzelbeträge!$C:$C,$C32,Einzelbeträge!$E:$E,M$5)</f>
        <v>0</v>
      </c>
      <c r="N32" s="35">
        <f ca="1">SUMIFS(Einzelbeträge!$D:$D,Einzelbeträge!$C:$C,$C32,Einzelbeträge!$E:$E,N$5)</f>
        <v>0</v>
      </c>
      <c r="O32" s="6"/>
    </row>
    <row r="33" spans="2:15" x14ac:dyDescent="0.35">
      <c r="B33" s="5"/>
      <c r="C33" s="30">
        <f ca="1">TODAY()-27</f>
        <v>46103</v>
      </c>
      <c r="D33" s="46">
        <f ca="1">SUMIFS(Einzelbeträge!$D:$D,Einzelbeträge!$C:$C,$C33)</f>
        <v>0</v>
      </c>
      <c r="E33" s="21">
        <f ca="1">SUMIFS(Einzelbeträge!$D:$D,Einzelbeträge!$C:$C,$C33,Einzelbeträge!$E:$E,E$5)</f>
        <v>0</v>
      </c>
      <c r="F33" s="21">
        <f ca="1">SUMIFS(Einzelbeträge!$D:$D,Einzelbeträge!$C:$C,$C33,Einzelbeträge!$E:$E,F$5)</f>
        <v>0</v>
      </c>
      <c r="G33" s="21">
        <f ca="1">SUMIFS(Einzelbeträge!$D:$D,Einzelbeträge!$C:$C,$C33,Einzelbeträge!$E:$E,G$5)</f>
        <v>0</v>
      </c>
      <c r="H33" s="21">
        <f ca="1">SUMIFS(Einzelbeträge!$D:$D,Einzelbeträge!$C:$C,$C33,Einzelbeträge!$E:$E,H$5)</f>
        <v>0</v>
      </c>
      <c r="I33" s="21">
        <f ca="1">SUMIFS(Einzelbeträge!$D:$D,Einzelbeträge!$C:$C,$C33,Einzelbeträge!$E:$E,I$5)</f>
        <v>0</v>
      </c>
      <c r="J33" s="21">
        <f ca="1">SUMIFS(Einzelbeträge!$D:$D,Einzelbeträge!$C:$C,$C33,Einzelbeträge!$E:$E,J$5)</f>
        <v>0</v>
      </c>
      <c r="K33" s="21">
        <f ca="1">SUMIFS(Einzelbeträge!$D:$D,Einzelbeträge!$C:$C,$C33,Einzelbeträge!$E:$E,K$5)</f>
        <v>0</v>
      </c>
      <c r="L33" s="21">
        <f ca="1">SUMIFS(Einzelbeträge!$D:$D,Einzelbeträge!$C:$C,$C33,Einzelbeträge!$E:$E,L$5)</f>
        <v>0</v>
      </c>
      <c r="M33" s="21">
        <f ca="1">SUMIFS(Einzelbeträge!$D:$D,Einzelbeträge!$C:$C,$C33,Einzelbeträge!$E:$E,M$5)</f>
        <v>0</v>
      </c>
      <c r="N33" s="35">
        <f ca="1">SUMIFS(Einzelbeträge!$D:$D,Einzelbeträge!$C:$C,$C33,Einzelbeträge!$E:$E,N$5)</f>
        <v>0</v>
      </c>
      <c r="O33" s="6"/>
    </row>
    <row r="34" spans="2:15" x14ac:dyDescent="0.35">
      <c r="B34" s="5"/>
      <c r="C34" s="30">
        <f ca="1">TODAY()-28</f>
        <v>46102</v>
      </c>
      <c r="D34" s="46">
        <f ca="1">SUMIFS(Einzelbeträge!$D:$D,Einzelbeträge!$C:$C,$C34)</f>
        <v>0</v>
      </c>
      <c r="E34" s="21">
        <f ca="1">SUMIFS(Einzelbeträge!$D:$D,Einzelbeträge!$C:$C,$C34,Einzelbeträge!$E:$E,E$5)</f>
        <v>0</v>
      </c>
      <c r="F34" s="21">
        <f ca="1">SUMIFS(Einzelbeträge!$D:$D,Einzelbeträge!$C:$C,$C34,Einzelbeträge!$E:$E,F$5)</f>
        <v>0</v>
      </c>
      <c r="G34" s="21">
        <f ca="1">SUMIFS(Einzelbeträge!$D:$D,Einzelbeträge!$C:$C,$C34,Einzelbeträge!$E:$E,G$5)</f>
        <v>0</v>
      </c>
      <c r="H34" s="21">
        <f ca="1">SUMIFS(Einzelbeträge!$D:$D,Einzelbeträge!$C:$C,$C34,Einzelbeträge!$E:$E,H$5)</f>
        <v>0</v>
      </c>
      <c r="I34" s="21">
        <f ca="1">SUMIFS(Einzelbeträge!$D:$D,Einzelbeträge!$C:$C,$C34,Einzelbeträge!$E:$E,I$5)</f>
        <v>0</v>
      </c>
      <c r="J34" s="21">
        <f ca="1">SUMIFS(Einzelbeträge!$D:$D,Einzelbeträge!$C:$C,$C34,Einzelbeträge!$E:$E,J$5)</f>
        <v>0</v>
      </c>
      <c r="K34" s="21">
        <f ca="1">SUMIFS(Einzelbeträge!$D:$D,Einzelbeträge!$C:$C,$C34,Einzelbeträge!$E:$E,K$5)</f>
        <v>0</v>
      </c>
      <c r="L34" s="21">
        <f ca="1">SUMIFS(Einzelbeträge!$D:$D,Einzelbeträge!$C:$C,$C34,Einzelbeträge!$E:$E,L$5)</f>
        <v>0</v>
      </c>
      <c r="M34" s="21">
        <f ca="1">SUMIFS(Einzelbeträge!$D:$D,Einzelbeträge!$C:$C,$C34,Einzelbeträge!$E:$E,M$5)</f>
        <v>0</v>
      </c>
      <c r="N34" s="35">
        <f ca="1">SUMIFS(Einzelbeträge!$D:$D,Einzelbeträge!$C:$C,$C34,Einzelbeträge!$E:$E,N$5)</f>
        <v>0</v>
      </c>
      <c r="O34" s="6"/>
    </row>
    <row r="35" spans="2:15" x14ac:dyDescent="0.35">
      <c r="B35" s="5"/>
      <c r="C35" s="31">
        <f ca="1">TODAY()-29</f>
        <v>46101</v>
      </c>
      <c r="D35" s="47">
        <f ca="1">SUMIFS(Einzelbeträge!$D:$D,Einzelbeträge!$C:$C,$C35)</f>
        <v>0</v>
      </c>
      <c r="E35" s="37">
        <f ca="1">SUMIFS(Einzelbeträge!$D:$D,Einzelbeträge!$C:$C,$C35,Einzelbeträge!$E:$E,E$5)</f>
        <v>0</v>
      </c>
      <c r="F35" s="37">
        <f ca="1">SUMIFS(Einzelbeträge!$D:$D,Einzelbeträge!$C:$C,$C35,Einzelbeträge!$E:$E,F$5)</f>
        <v>0</v>
      </c>
      <c r="G35" s="37">
        <f ca="1">SUMIFS(Einzelbeträge!$D:$D,Einzelbeträge!$C:$C,$C35,Einzelbeträge!$E:$E,G$5)</f>
        <v>0</v>
      </c>
      <c r="H35" s="37">
        <f ca="1">SUMIFS(Einzelbeträge!$D:$D,Einzelbeträge!$C:$C,$C35,Einzelbeträge!$E:$E,H$5)</f>
        <v>0</v>
      </c>
      <c r="I35" s="37">
        <f ca="1">SUMIFS(Einzelbeträge!$D:$D,Einzelbeträge!$C:$C,$C35,Einzelbeträge!$E:$E,I$5)</f>
        <v>0</v>
      </c>
      <c r="J35" s="37">
        <f ca="1">SUMIFS(Einzelbeträge!$D:$D,Einzelbeträge!$C:$C,$C35,Einzelbeträge!$E:$E,J$5)</f>
        <v>0</v>
      </c>
      <c r="K35" s="37">
        <f ca="1">SUMIFS(Einzelbeträge!$D:$D,Einzelbeträge!$C:$C,$C35,Einzelbeträge!$E:$E,K$5)</f>
        <v>0</v>
      </c>
      <c r="L35" s="37">
        <f ca="1">SUMIFS(Einzelbeträge!$D:$D,Einzelbeträge!$C:$C,$C35,Einzelbeträge!$E:$E,L$5)</f>
        <v>0</v>
      </c>
      <c r="M35" s="37">
        <f ca="1">SUMIFS(Einzelbeträge!$D:$D,Einzelbeträge!$C:$C,$C35,Einzelbeträge!$E:$E,M$5)</f>
        <v>0</v>
      </c>
      <c r="N35" s="38">
        <f ca="1">SUMIFS(Einzelbeträge!$D:$D,Einzelbeträge!$C:$C,$C35,Einzelbeträge!$E:$E,N$5)</f>
        <v>0</v>
      </c>
      <c r="O35" s="6"/>
    </row>
    <row r="36" spans="2:15" ht="15" thickBot="1" x14ac:dyDescent="0.4">
      <c r="B36" s="8"/>
      <c r="C36" s="50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10"/>
    </row>
    <row r="37" spans="2:15" x14ac:dyDescent="0.35">
      <c r="C37" s="20"/>
    </row>
  </sheetData>
  <phoneticPr fontId="4" type="noConversion"/>
  <conditionalFormatting sqref="AS6:AS9">
    <cfRule type="cellIs" dxfId="178" priority="16" operator="equal">
      <formula>0</formula>
    </cfRule>
    <cfRule type="cellIs" dxfId="177" priority="17" operator="lessThan">
      <formula>0</formula>
    </cfRule>
    <cfRule type="cellIs" dxfId="176" priority="18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8" operator="equal" id="{A59CCB28-6268-48D5-BDB0-ED5A0E92977D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9" operator="lessThan" id="{D2609047-9BFD-43DA-860A-E579BAEB6A9B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0" operator="greaterThan" id="{11E8D15E-5A7A-4FDA-8D3C-F26810C07C35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D6:N35</xm:sqref>
        </x14:conditionalFormatting>
        <x14:conditionalFormatting xmlns:xm="http://schemas.microsoft.com/office/excel/2006/main">
          <x14:cfRule type="cellIs" priority="19" operator="equal" id="{D10D848E-50AF-4253-98D9-F9093396F44B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0" operator="lessThan" id="{E53CF098-796A-4D3F-8E0C-911029CDB883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1" operator="greaterThan" id="{C8F95BB8-1002-408D-B43E-DB828B146211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S6:AC15</xm:sqref>
        </x14:conditionalFormatting>
        <x14:conditionalFormatting xmlns:xm="http://schemas.microsoft.com/office/excel/2006/main">
          <x14:cfRule type="cellIs" priority="35" operator="equal" id="{B0A2D336-4E08-4357-8EF7-E2FF93CCED82}">
            <xm:f>Eingabe!$M$5*DAY(DATE(YEAR($C$6),MONTH($C$6)+1,1)-1)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6" operator="lessThan" id="{3793CCD9-B05A-44E4-8E62-4B57325004DF}">
            <xm:f>Eingabe!$M$5*DAY(DATE(YEAR($C$6),MONTH($C$6)+1,1)-1)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7" operator="greaterThan" id="{1E388E05-82FC-4354-9256-008D5BC5F55B}">
            <xm:f>Eingabe!$M$5*DAY(DATE(YEAR($C$6),MONTH($C$6)+1,1)-1)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</xm:sqref>
        </x14:conditionalFormatting>
        <x14:conditionalFormatting xmlns:xm="http://schemas.microsoft.com/office/excel/2006/main">
          <x14:cfRule type="cellIs" priority="7" operator="equal" id="{E91947BD-F32C-4D64-ADA5-2E27A0E75192}">
            <xm:f>Eingabe!$M$5*DAY(DATE(YEAR($C$6),MONTH($C$6),1)-1)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8" operator="lessThan" id="{263440F5-FD63-42BA-961A-FE84E6484AD7}">
            <xm:f>Eingabe!$M$5*DAY(DATE(YEAR($C$6),MONTH($C$6),1)-1)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9" operator="greaterThan" id="{42A617CA-F95E-41E9-B5B4-8E1E08BE9C20}">
            <xm:f>Eingabe!$M$5*DAY(DATE(YEAR($C$6),MONTH($C$6),1)-1)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4" operator="equal" id="{F15999FC-D4B9-4E4E-8C91-71248AFBA694}">
            <xm:f>Eingabe!$M$5*DAY(DATE(YEAR($C$6),MONTH($C$6)-1,1)-1)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5" operator="lessThan" id="{AAA57F4A-B6C7-4B1A-8791-067DA539DD4C}">
            <xm:f>Eingabe!$M$5*DAY(DATE(YEAR($C$6),MONTH($C$6)-1,1)-1)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6" operator="greaterThan" id="{07513AD9-B1A9-434E-972C-DB9856758E90}">
            <xm:f>Eingabe!$M$5*DAY(DATE(YEAR($C$6),MONTH($C$6)-1,1)-1)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AH8:AR8</xm:sqref>
        </x14:conditionalFormatting>
        <x14:conditionalFormatting xmlns:xm="http://schemas.microsoft.com/office/excel/2006/main">
          <x14:cfRule type="cellIs" priority="1" operator="equal" id="{927BBED8-050D-4931-8EA9-B86E38A4F9B5}">
            <xm:f>Eingabe!$M$5*DAY(DATE(YEAR($C$6),MONTH($C$6)-2,1)-1)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" operator="lessThan" id="{43444F64-C77A-4D92-8BB6-E4AE5A15FAC9}">
            <xm:f>Eingabe!$M$5*DAY(DATE(YEAR($C$6),MONTH($C$6)-2,1)-1)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" operator="greaterThan" id="{65AB678F-71BE-4AAC-B664-7D7E4A956325}">
            <xm:f>Eingabe!$M$5*DAY(DATE(YEAR($C$6),MONTH($C$6)-2,1)-1)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96606-B28C-4BA4-8843-20E0DB3DA97F}">
  <sheetPr codeName="Sheet13"/>
  <dimension ref="B1:AD87"/>
  <sheetViews>
    <sheetView topLeftCell="A29" zoomScale="74" workbookViewId="0">
      <selection activeCell="D39" sqref="D39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9" style="63" bestFit="1" customWidth="1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2026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30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65</v>
      </c>
      <c r="D21" s="67">
        <f t="shared" si="1"/>
        <v>10</v>
      </c>
      <c r="E21" s="6"/>
    </row>
    <row r="22" spans="2:30" x14ac:dyDescent="0.35">
      <c r="B22" s="5"/>
      <c r="C22" s="13" t="s">
        <v>64</v>
      </c>
      <c r="D22" s="67">
        <f t="shared" si="1"/>
        <v>20</v>
      </c>
      <c r="E22" s="6"/>
    </row>
    <row r="23" spans="2:30" x14ac:dyDescent="0.35">
      <c r="B23" s="5"/>
      <c r="C23" s="13" t="s">
        <v>63</v>
      </c>
      <c r="D23" s="67">
        <f t="shared" si="1"/>
        <v>0</v>
      </c>
      <c r="E23" s="6"/>
    </row>
    <row r="24" spans="2:30" x14ac:dyDescent="0.35">
      <c r="B24" s="5"/>
      <c r="C24" s="13" t="s">
        <v>62</v>
      </c>
      <c r="D24" s="67">
        <f t="shared" si="1"/>
        <v>0</v>
      </c>
      <c r="E24" s="6"/>
    </row>
    <row r="25" spans="2:30" x14ac:dyDescent="0.35">
      <c r="B25" s="5"/>
      <c r="C25" s="13" t="s">
        <v>61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60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-60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2026'!$AI$5:$AR$5,'Ausgaben 2026'!$AI$6:$AR$6)</f>
        <v>0</v>
      </c>
      <c r="E45" s="6"/>
      <c r="G45" s="5"/>
      <c r="H45" s="13" t="s">
        <v>0</v>
      </c>
      <c r="I45" s="67">
        <f>_xlfn.XLOOKUP(H45,'Ausgaben 2026'!$AI$5:$AR$5,'Ausgaben 2026'!$AI$7:$AR$7)</f>
        <v>0</v>
      </c>
      <c r="J45" s="6"/>
      <c r="L45" s="5"/>
      <c r="M45" s="13" t="s">
        <v>0</v>
      </c>
      <c r="N45" s="67">
        <f>_xlfn.XLOOKUP(M45,'Ausgaben 2026'!$AI$5:$AR$5,'Ausgaben 2026'!$AI$8:$AR$8)</f>
        <v>0</v>
      </c>
      <c r="O45" s="6"/>
      <c r="Q45" s="5"/>
      <c r="R45" s="13" t="s">
        <v>0</v>
      </c>
      <c r="S45" s="67">
        <f>_xlfn.XLOOKUP(R45,'Ausgaben 2026'!$AI$5:$AR$5,'Ausgaben 2026'!$AI$9:$AR$9)</f>
        <v>0</v>
      </c>
      <c r="T45" s="6"/>
      <c r="V45" s="5"/>
      <c r="W45" s="13" t="s">
        <v>0</v>
      </c>
      <c r="X45" s="67">
        <f>_xlfn.XLOOKUP(W45,'Ausgaben 2026'!$AI$5:$AR$5,'Ausgaben 2026'!$AI$10:$AR$10)</f>
        <v>0</v>
      </c>
      <c r="Y45" s="6"/>
      <c r="AA45" s="5"/>
      <c r="AB45" s="13" t="s">
        <v>0</v>
      </c>
      <c r="AC45" s="67">
        <f>_xlfn.XLOOKUP(AB45,'Ausgaben 2026'!$AI$5:$AR$5,'Ausgaben 2026'!$AI$11:$AR$11)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2026'!$AI$5:$AR$5,'Ausgaben 2026'!$AI$6:$AR$6)</f>
        <v>0</v>
      </c>
      <c r="E46" s="6"/>
      <c r="G46" s="5"/>
      <c r="H46" s="13" t="s">
        <v>1</v>
      </c>
      <c r="I46" s="67">
        <f>_xlfn.XLOOKUP(H46,'Ausgaben 2026'!$AI$5:$AR$5,'Ausgaben 2026'!$AI$7:$AR$7)</f>
        <v>0</v>
      </c>
      <c r="J46" s="6"/>
      <c r="L46" s="5"/>
      <c r="M46" s="13" t="s">
        <v>1</v>
      </c>
      <c r="N46" s="67">
        <f>_xlfn.XLOOKUP(M46,'Ausgaben 2026'!$AI$5:$AR$5,'Ausgaben 2026'!$AI$8:$AR$8)</f>
        <v>0</v>
      </c>
      <c r="O46" s="6"/>
      <c r="Q46" s="5"/>
      <c r="R46" s="13" t="s">
        <v>1</v>
      </c>
      <c r="S46" s="67">
        <f>_xlfn.XLOOKUP(R46,'Ausgaben 2026'!$AI$5:$AR$5,'Ausgaben 2026'!$AI$9:$AR$9)</f>
        <v>30</v>
      </c>
      <c r="T46" s="6"/>
      <c r="V46" s="5"/>
      <c r="W46" s="13" t="s">
        <v>1</v>
      </c>
      <c r="X46" s="67">
        <f>_xlfn.XLOOKUP(W46,'Ausgaben 2026'!$AI$5:$AR$5,'Ausgaben 2026'!$AI$10:$AR$10)</f>
        <v>0</v>
      </c>
      <c r="Y46" s="6"/>
      <c r="AA46" s="5"/>
      <c r="AB46" s="13" t="s">
        <v>1</v>
      </c>
      <c r="AC46" s="67">
        <f>_xlfn.XLOOKUP(AB46,'Ausgaben 2026'!$AI$5:$AR$5,'Ausgaben 2026'!$AI$11:$AR$11)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2026'!$AI$5:$AR$5,'Ausgaben 2026'!$AI$6:$AR$6)</f>
        <v>0</v>
      </c>
      <c r="E47" s="6"/>
      <c r="G47" s="5"/>
      <c r="H47" s="13" t="s">
        <v>3</v>
      </c>
      <c r="I47" s="67">
        <f>_xlfn.XLOOKUP(H47,'Ausgaben 2026'!$AI$5:$AR$5,'Ausgaben 2026'!$AI$7:$AR$7)</f>
        <v>0</v>
      </c>
      <c r="J47" s="6"/>
      <c r="L47" s="5"/>
      <c r="M47" s="13" t="s">
        <v>3</v>
      </c>
      <c r="N47" s="67">
        <f>_xlfn.XLOOKUP(M47,'Ausgaben 2026'!$AI$5:$AR$5,'Ausgaben 2026'!$AI$8:$AR$8)</f>
        <v>0</v>
      </c>
      <c r="O47" s="6"/>
      <c r="Q47" s="5"/>
      <c r="R47" s="13" t="s">
        <v>3</v>
      </c>
      <c r="S47" s="67">
        <f>_xlfn.XLOOKUP(R47,'Ausgaben 2026'!$AI$5:$AR$5,'Ausgaben 2026'!$AI$9:$AR$9)</f>
        <v>0</v>
      </c>
      <c r="T47" s="6"/>
      <c r="V47" s="5"/>
      <c r="W47" s="13" t="s">
        <v>3</v>
      </c>
      <c r="X47" s="67">
        <f>_xlfn.XLOOKUP(W47,'Ausgaben 2026'!$AI$5:$AR$5,'Ausgaben 2026'!$AI$10:$AR$10)</f>
        <v>0</v>
      </c>
      <c r="Y47" s="6"/>
      <c r="AA47" s="5"/>
      <c r="AB47" s="13" t="s">
        <v>3</v>
      </c>
      <c r="AC47" s="67">
        <f>_xlfn.XLOOKUP(AB47,'Ausgaben 2026'!$AI$5:$AR$5,'Ausgaben 2026'!$AI$11:$AR$11)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2026'!$AI$5:$AR$5,'Ausgaben 2026'!$AI$6:$AR$6)</f>
        <v>0</v>
      </c>
      <c r="E48" s="6"/>
      <c r="G48" s="5"/>
      <c r="H48" s="13" t="s">
        <v>2</v>
      </c>
      <c r="I48" s="67">
        <f>_xlfn.XLOOKUP(H48,'Ausgaben 2026'!$AI$5:$AR$5,'Ausgaben 2026'!$AI$7:$AR$7)</f>
        <v>0</v>
      </c>
      <c r="J48" s="6"/>
      <c r="L48" s="5"/>
      <c r="M48" s="13" t="s">
        <v>2</v>
      </c>
      <c r="N48" s="67">
        <f>_xlfn.XLOOKUP(M48,'Ausgaben 2026'!$AI$5:$AR$5,'Ausgaben 2026'!$AI$8:$AR$8)</f>
        <v>0</v>
      </c>
      <c r="O48" s="6"/>
      <c r="Q48" s="5"/>
      <c r="R48" s="13" t="s">
        <v>2</v>
      </c>
      <c r="S48" s="67">
        <f>_xlfn.XLOOKUP(R48,'Ausgaben 2026'!$AI$5:$AR$5,'Ausgaben 2026'!$AI$9:$AR$9)</f>
        <v>0</v>
      </c>
      <c r="T48" s="6"/>
      <c r="V48" s="5"/>
      <c r="W48" s="13" t="s">
        <v>2</v>
      </c>
      <c r="X48" s="67">
        <f>_xlfn.XLOOKUP(W48,'Ausgaben 2026'!$AI$5:$AR$5,'Ausgaben 2026'!$AI$10:$AR$10)</f>
        <v>0</v>
      </c>
      <c r="Y48" s="6"/>
      <c r="AA48" s="5"/>
      <c r="AB48" s="13" t="s">
        <v>2</v>
      </c>
      <c r="AC48" s="67">
        <f>_xlfn.XLOOKUP(AB48,'Ausgaben 2026'!$AI$5:$AR$5,'Ausgaben 2026'!$AI$11:$AR$11)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2026'!$AI$5:$AR$5,'Ausgaben 2026'!$AI$6:$AR$6)</f>
        <v>0</v>
      </c>
      <c r="E49" s="6"/>
      <c r="G49" s="5"/>
      <c r="H49" s="13" t="s">
        <v>42</v>
      </c>
      <c r="I49" s="67">
        <f>_xlfn.XLOOKUP(H49,'Ausgaben 2026'!$AI$5:$AR$5,'Ausgaben 2026'!$AI$7:$AR$7)</f>
        <v>0</v>
      </c>
      <c r="J49" s="6"/>
      <c r="L49" s="5"/>
      <c r="M49" s="13" t="s">
        <v>42</v>
      </c>
      <c r="N49" s="67">
        <f>_xlfn.XLOOKUP(M49,'Ausgaben 2026'!$AI$5:$AR$5,'Ausgaben 2026'!$AI$8:$AR$8)</f>
        <v>0</v>
      </c>
      <c r="O49" s="6"/>
      <c r="Q49" s="5"/>
      <c r="R49" s="13" t="s">
        <v>42</v>
      </c>
      <c r="S49" s="67">
        <f>_xlfn.XLOOKUP(R49,'Ausgaben 2026'!$AI$5:$AR$5,'Ausgaben 2026'!$AI$9:$AR$9)</f>
        <v>0</v>
      </c>
      <c r="T49" s="6"/>
      <c r="V49" s="5"/>
      <c r="W49" s="13" t="s">
        <v>42</v>
      </c>
      <c r="X49" s="67">
        <f>_xlfn.XLOOKUP(W49,'Ausgaben 2026'!$AI$5:$AR$5,'Ausgaben 2026'!$AI$10:$AR$10)</f>
        <v>0</v>
      </c>
      <c r="Y49" s="6"/>
      <c r="AA49" s="5"/>
      <c r="AB49" s="13" t="s">
        <v>42</v>
      </c>
      <c r="AC49" s="67">
        <f>_xlfn.XLOOKUP(AB49,'Ausgaben 2026'!$AI$5:$AR$5,'Ausgaben 2026'!$AI$11:$AR$11)</f>
        <v>0</v>
      </c>
      <c r="AD49" s="6"/>
    </row>
    <row r="50" spans="2:30" x14ac:dyDescent="0.35">
      <c r="B50" s="5"/>
      <c r="C50" s="13" t="s">
        <v>65</v>
      </c>
      <c r="D50" s="67">
        <f>_xlfn.XLOOKUP(C50,'Ausgaben 2026'!$AI$5:$AR$5,'Ausgaben 2026'!$AI$6:$AR$6)</f>
        <v>0</v>
      </c>
      <c r="E50" s="6"/>
      <c r="G50" s="5"/>
      <c r="H50" s="13" t="s">
        <v>65</v>
      </c>
      <c r="I50" s="67">
        <f>_xlfn.XLOOKUP(H50,'Ausgaben 2026'!$AI$5:$AR$5,'Ausgaben 2026'!$AI$7:$AR$7)</f>
        <v>0</v>
      </c>
      <c r="J50" s="6"/>
      <c r="L50" s="5"/>
      <c r="M50" s="13" t="s">
        <v>65</v>
      </c>
      <c r="N50" s="67">
        <f>_xlfn.XLOOKUP(M50,'Ausgaben 2026'!$AI$5:$AR$5,'Ausgaben 2026'!$AI$8:$AR$8)</f>
        <v>0</v>
      </c>
      <c r="O50" s="6"/>
      <c r="Q50" s="5"/>
      <c r="R50" s="13" t="s">
        <v>65</v>
      </c>
      <c r="S50" s="67">
        <f>_xlfn.XLOOKUP(R50,'Ausgaben 2026'!$AI$5:$AR$5,'Ausgaben 2026'!$AI$9:$AR$9)</f>
        <v>10</v>
      </c>
      <c r="T50" s="6"/>
      <c r="V50" s="5"/>
      <c r="W50" s="13" t="s">
        <v>65</v>
      </c>
      <c r="X50" s="67">
        <f>_xlfn.XLOOKUP(W50,'Ausgaben 2026'!$AI$5:$AR$5,'Ausgaben 2026'!$AI$10:$AR$10)</f>
        <v>0</v>
      </c>
      <c r="Y50" s="6"/>
      <c r="AA50" s="5"/>
      <c r="AB50" s="13" t="s">
        <v>65</v>
      </c>
      <c r="AC50" s="67">
        <f>_xlfn.XLOOKUP(AB50,'Ausgaben 2026'!$AI$5:$AR$5,'Ausgaben 2026'!$AI$11:$AR$11)</f>
        <v>0</v>
      </c>
      <c r="AD50" s="6"/>
    </row>
    <row r="51" spans="2:30" x14ac:dyDescent="0.35">
      <c r="B51" s="5"/>
      <c r="C51" s="13" t="s">
        <v>64</v>
      </c>
      <c r="D51" s="67">
        <f>_xlfn.XLOOKUP(C51,'Ausgaben 2026'!$AI$5:$AR$5,'Ausgaben 2026'!$AI$6:$AR$6)</f>
        <v>0</v>
      </c>
      <c r="E51" s="6"/>
      <c r="G51" s="5"/>
      <c r="H51" s="13" t="s">
        <v>64</v>
      </c>
      <c r="I51" s="67">
        <f>_xlfn.XLOOKUP(H51,'Ausgaben 2026'!$AI$5:$AR$5,'Ausgaben 2026'!$AI$7:$AR$7)</f>
        <v>0</v>
      </c>
      <c r="J51" s="6"/>
      <c r="L51" s="5"/>
      <c r="M51" s="13" t="s">
        <v>64</v>
      </c>
      <c r="N51" s="67">
        <f>_xlfn.XLOOKUP(M51,'Ausgaben 2026'!$AI$5:$AR$5,'Ausgaben 2026'!$AI$8:$AR$8)</f>
        <v>0</v>
      </c>
      <c r="O51" s="6"/>
      <c r="Q51" s="5"/>
      <c r="R51" s="13" t="s">
        <v>64</v>
      </c>
      <c r="S51" s="67">
        <f>_xlfn.XLOOKUP(R51,'Ausgaben 2026'!$AI$5:$AR$5,'Ausgaben 2026'!$AI$9:$AR$9)</f>
        <v>20</v>
      </c>
      <c r="T51" s="6"/>
      <c r="V51" s="5"/>
      <c r="W51" s="13" t="s">
        <v>64</v>
      </c>
      <c r="X51" s="67">
        <f>_xlfn.XLOOKUP(W51,'Ausgaben 2026'!$AI$5:$AR$5,'Ausgaben 2026'!$AI$10:$AR$10)</f>
        <v>0</v>
      </c>
      <c r="Y51" s="6"/>
      <c r="AA51" s="5"/>
      <c r="AB51" s="13" t="s">
        <v>64</v>
      </c>
      <c r="AC51" s="67">
        <f>_xlfn.XLOOKUP(AB51,'Ausgaben 2026'!$AI$5:$AR$5,'Ausgaben 2026'!$AI$11:$AR$11)</f>
        <v>0</v>
      </c>
      <c r="AD51" s="6"/>
    </row>
    <row r="52" spans="2:30" x14ac:dyDescent="0.35">
      <c r="B52" s="5"/>
      <c r="C52" s="13" t="s">
        <v>63</v>
      </c>
      <c r="D52" s="67">
        <f>_xlfn.XLOOKUP(C52,'Ausgaben 2026'!$AI$5:$AR$5,'Ausgaben 2026'!$AI$6:$AR$6)</f>
        <v>0</v>
      </c>
      <c r="E52" s="6"/>
      <c r="G52" s="5"/>
      <c r="H52" s="13" t="s">
        <v>63</v>
      </c>
      <c r="I52" s="67">
        <f>_xlfn.XLOOKUP(H52,'Ausgaben 2026'!$AI$5:$AR$5,'Ausgaben 2026'!$AI$7:$AR$7)</f>
        <v>0</v>
      </c>
      <c r="J52" s="6"/>
      <c r="L52" s="5"/>
      <c r="M52" s="13" t="s">
        <v>63</v>
      </c>
      <c r="N52" s="67">
        <f>_xlfn.XLOOKUP(M52,'Ausgaben 2026'!$AI$5:$AR$5,'Ausgaben 2026'!$AI$8:$AR$8)</f>
        <v>0</v>
      </c>
      <c r="O52" s="6"/>
      <c r="Q52" s="5"/>
      <c r="R52" s="13" t="s">
        <v>63</v>
      </c>
      <c r="S52" s="67">
        <f>_xlfn.XLOOKUP(R52,'Ausgaben 2026'!$AI$5:$AR$5,'Ausgaben 2026'!$AI$9:$AR$9)</f>
        <v>0</v>
      </c>
      <c r="T52" s="6"/>
      <c r="V52" s="5"/>
      <c r="W52" s="13" t="s">
        <v>63</v>
      </c>
      <c r="X52" s="67">
        <f>_xlfn.XLOOKUP(W52,'Ausgaben 2026'!$AI$5:$AR$5,'Ausgaben 2026'!$AI$10:$AR$10)</f>
        <v>0</v>
      </c>
      <c r="Y52" s="6"/>
      <c r="AA52" s="5"/>
      <c r="AB52" s="13" t="s">
        <v>63</v>
      </c>
      <c r="AC52" s="67">
        <f>_xlfn.XLOOKUP(AB52,'Ausgaben 2026'!$AI$5:$AR$5,'Ausgaben 2026'!$AI$11:$AR$11)</f>
        <v>0</v>
      </c>
      <c r="AD52" s="6"/>
    </row>
    <row r="53" spans="2:30" x14ac:dyDescent="0.35">
      <c r="B53" s="5"/>
      <c r="C53" s="13" t="s">
        <v>62</v>
      </c>
      <c r="D53" s="67">
        <f>_xlfn.XLOOKUP(C53,'Ausgaben 2026'!$AI$5:$AR$5,'Ausgaben 2026'!$AI$6:$AR$6)</f>
        <v>0</v>
      </c>
      <c r="E53" s="6"/>
      <c r="G53" s="5"/>
      <c r="H53" s="13" t="s">
        <v>62</v>
      </c>
      <c r="I53" s="67">
        <f>_xlfn.XLOOKUP(H53,'Ausgaben 2026'!$AI$5:$AR$5,'Ausgaben 2026'!$AI$7:$AR$7)</f>
        <v>0</v>
      </c>
      <c r="J53" s="6"/>
      <c r="L53" s="5"/>
      <c r="M53" s="13" t="s">
        <v>62</v>
      </c>
      <c r="N53" s="67">
        <f>_xlfn.XLOOKUP(M53,'Ausgaben 2026'!$AI$5:$AR$5,'Ausgaben 2026'!$AI$8:$AR$8)</f>
        <v>0</v>
      </c>
      <c r="O53" s="6"/>
      <c r="Q53" s="5"/>
      <c r="R53" s="13" t="s">
        <v>62</v>
      </c>
      <c r="S53" s="67">
        <f>_xlfn.XLOOKUP(R53,'Ausgaben 2026'!$AI$5:$AR$5,'Ausgaben 2026'!$AI$9:$AR$9)</f>
        <v>0</v>
      </c>
      <c r="T53" s="6"/>
      <c r="V53" s="5"/>
      <c r="W53" s="13" t="s">
        <v>62</v>
      </c>
      <c r="X53" s="67">
        <f>_xlfn.XLOOKUP(W53,'Ausgaben 2026'!$AI$5:$AR$5,'Ausgaben 2026'!$AI$10:$AR$10)</f>
        <v>0</v>
      </c>
      <c r="Y53" s="6"/>
      <c r="AA53" s="5"/>
      <c r="AB53" s="13" t="s">
        <v>62</v>
      </c>
      <c r="AC53" s="67">
        <f>_xlfn.XLOOKUP(AB53,'Ausgaben 2026'!$AI$5:$AR$5,'Ausgaben 2026'!$AI$11:$AR$11)</f>
        <v>0</v>
      </c>
      <c r="AD53" s="6"/>
    </row>
    <row r="54" spans="2:30" x14ac:dyDescent="0.35">
      <c r="B54" s="5"/>
      <c r="C54" s="13" t="s">
        <v>61</v>
      </c>
      <c r="D54" s="67">
        <f>_xlfn.XLOOKUP(C54,'Ausgaben 2026'!$AI$5:$AR$5,'Ausgaben 2026'!$AI$6:$AR$6)</f>
        <v>0</v>
      </c>
      <c r="E54" s="6"/>
      <c r="G54" s="5"/>
      <c r="H54" s="13" t="s">
        <v>61</v>
      </c>
      <c r="I54" s="67">
        <f>_xlfn.XLOOKUP(H54,'Ausgaben 2026'!$AI$5:$AR$5,'Ausgaben 2026'!$AI$7:$AR$7)</f>
        <v>0</v>
      </c>
      <c r="J54" s="6"/>
      <c r="L54" s="5"/>
      <c r="M54" s="13" t="s">
        <v>61</v>
      </c>
      <c r="N54" s="67">
        <f>_xlfn.XLOOKUP(M54,'Ausgaben 2026'!$AI$5:$AR$5,'Ausgaben 2026'!$AI$8:$AR$8)</f>
        <v>0</v>
      </c>
      <c r="O54" s="6"/>
      <c r="Q54" s="5"/>
      <c r="R54" s="13" t="s">
        <v>61</v>
      </c>
      <c r="S54" s="67">
        <f>_xlfn.XLOOKUP(R54,'Ausgaben 2026'!$AI$5:$AR$5,'Ausgaben 2026'!$AI$9:$AR$9)</f>
        <v>0</v>
      </c>
      <c r="T54" s="6"/>
      <c r="V54" s="5"/>
      <c r="W54" s="13" t="s">
        <v>61</v>
      </c>
      <c r="X54" s="67">
        <f>_xlfn.XLOOKUP(W54,'Ausgaben 2026'!$AI$5:$AR$5,'Ausgaben 2026'!$AI$10:$AR$10)</f>
        <v>0</v>
      </c>
      <c r="Y54" s="6"/>
      <c r="AA54" s="5"/>
      <c r="AB54" s="13" t="s">
        <v>61</v>
      </c>
      <c r="AC54" s="67">
        <f>_xlfn.XLOOKUP(AB54,'Ausgaben 2026'!$AI$5:$AR$5,'Ausgaben 2026'!$AI$11:$AR$11)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60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-60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2026'!$AI$5:$AR$5,'Ausgaben 2026'!$AI$12:$AR$12)</f>
        <v>0</v>
      </c>
      <c r="E74" s="6"/>
      <c r="G74" s="5"/>
      <c r="H74" s="13" t="s">
        <v>0</v>
      </c>
      <c r="I74" s="67">
        <f>_xlfn.XLOOKUP(H74,'Ausgaben 2026'!$AI$5:$AR$5,'Ausgaben 2026'!$AI$13:$AR$13)</f>
        <v>0</v>
      </c>
      <c r="J74" s="6"/>
      <c r="L74" s="5"/>
      <c r="M74" s="13" t="s">
        <v>0</v>
      </c>
      <c r="N74" s="67">
        <f>_xlfn.XLOOKUP(M74,'Ausgaben 2026'!$AI$5:$AR$5,'Ausgaben 2026'!$AI$14:$AR$14)</f>
        <v>0</v>
      </c>
      <c r="O74" s="6"/>
      <c r="Q74" s="5"/>
      <c r="R74" s="13" t="s">
        <v>0</v>
      </c>
      <c r="S74" s="67">
        <f>_xlfn.XLOOKUP(R74,'Ausgaben 2026'!$AI$5:$AR$5,'Ausgaben 2026'!$AI$15:$AR$15)</f>
        <v>0</v>
      </c>
      <c r="T74" s="6"/>
      <c r="V74" s="5"/>
      <c r="W74" s="13" t="s">
        <v>0</v>
      </c>
      <c r="X74" s="67">
        <f>_xlfn.XLOOKUP(W74,'Ausgaben 2026'!$AI$5:$AR$5,'Ausgaben 2026'!$AI$16:$AR$16)</f>
        <v>0</v>
      </c>
      <c r="Y74" s="6"/>
      <c r="AA74" s="5"/>
      <c r="AB74" s="13" t="s">
        <v>0</v>
      </c>
      <c r="AC74" s="67">
        <f>_xlfn.XLOOKUP(AB74,'Ausgaben 2026'!$AI$5:$AR$5,'Ausgaben 2026'!$AI$17:$AR$17)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2026'!$AI$5:$AR$5,'Ausgaben 2026'!$AI$12:$AR$12)</f>
        <v>0</v>
      </c>
      <c r="E75" s="6"/>
      <c r="G75" s="5"/>
      <c r="H75" s="13" t="s">
        <v>1</v>
      </c>
      <c r="I75" s="67">
        <f>_xlfn.XLOOKUP(H75,'Ausgaben 2026'!$AI$5:$AR$5,'Ausgaben 2026'!$AI$13:$AR$13)</f>
        <v>0</v>
      </c>
      <c r="J75" s="6"/>
      <c r="L75" s="5"/>
      <c r="M75" s="13" t="s">
        <v>1</v>
      </c>
      <c r="N75" s="67">
        <f>_xlfn.XLOOKUP(M75,'Ausgaben 2026'!$AI$5:$AR$5,'Ausgaben 2026'!$AI$14:$AR$14)</f>
        <v>0</v>
      </c>
      <c r="O75" s="6"/>
      <c r="Q75" s="5"/>
      <c r="R75" s="13" t="s">
        <v>1</v>
      </c>
      <c r="S75" s="67">
        <f>_xlfn.XLOOKUP(R75,'Ausgaben 2026'!$AI$5:$AR$5,'Ausgaben 2026'!$AI$15:$AR$15)</f>
        <v>0</v>
      </c>
      <c r="T75" s="6"/>
      <c r="V75" s="5"/>
      <c r="W75" s="13" t="s">
        <v>1</v>
      </c>
      <c r="X75" s="67">
        <f>_xlfn.XLOOKUP(W75,'Ausgaben 2026'!$AI$5:$AR$5,'Ausgaben 2026'!$AI$16:$AR$16)</f>
        <v>0</v>
      </c>
      <c r="Y75" s="6"/>
      <c r="AA75" s="5"/>
      <c r="AB75" s="13" t="s">
        <v>1</v>
      </c>
      <c r="AC75" s="67">
        <f>_xlfn.XLOOKUP(AB75,'Ausgaben 2026'!$AI$5:$AR$5,'Ausgaben 2026'!$AI$17:$AR$17)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2026'!$AI$5:$AR$5,'Ausgaben 2026'!$AI$12:$AR$12)</f>
        <v>0</v>
      </c>
      <c r="E76" s="6"/>
      <c r="G76" s="5"/>
      <c r="H76" s="13" t="s">
        <v>3</v>
      </c>
      <c r="I76" s="67">
        <f>_xlfn.XLOOKUP(H76,'Ausgaben 2026'!$AI$5:$AR$5,'Ausgaben 2026'!$AI$13:$AR$13)</f>
        <v>0</v>
      </c>
      <c r="J76" s="6"/>
      <c r="L76" s="5"/>
      <c r="M76" s="13" t="s">
        <v>3</v>
      </c>
      <c r="N76" s="67">
        <f>_xlfn.XLOOKUP(M76,'Ausgaben 2026'!$AI$5:$AR$5,'Ausgaben 2026'!$AI$14:$AR$14)</f>
        <v>0</v>
      </c>
      <c r="O76" s="6"/>
      <c r="Q76" s="5"/>
      <c r="R76" s="13" t="s">
        <v>3</v>
      </c>
      <c r="S76" s="67">
        <f>_xlfn.XLOOKUP(R76,'Ausgaben 2026'!$AI$5:$AR$5,'Ausgaben 2026'!$AI$15:$AR$15)</f>
        <v>0</v>
      </c>
      <c r="T76" s="6"/>
      <c r="V76" s="5"/>
      <c r="W76" s="13" t="s">
        <v>3</v>
      </c>
      <c r="X76" s="67">
        <f>_xlfn.XLOOKUP(W76,'Ausgaben 2026'!$AI$5:$AR$5,'Ausgaben 2026'!$AI$16:$AR$16)</f>
        <v>0</v>
      </c>
      <c r="Y76" s="6"/>
      <c r="AA76" s="5"/>
      <c r="AB76" s="13" t="s">
        <v>3</v>
      </c>
      <c r="AC76" s="67">
        <f>_xlfn.XLOOKUP(AB76,'Ausgaben 2026'!$AI$5:$AR$5,'Ausgaben 2026'!$AI$17:$AR$17)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2026'!$AI$5:$AR$5,'Ausgaben 2026'!$AI$12:$AR$12)</f>
        <v>0</v>
      </c>
      <c r="E77" s="6"/>
      <c r="G77" s="5"/>
      <c r="H77" s="13" t="s">
        <v>2</v>
      </c>
      <c r="I77" s="67">
        <f>_xlfn.XLOOKUP(H77,'Ausgaben 2026'!$AI$5:$AR$5,'Ausgaben 2026'!$AI$13:$AR$13)</f>
        <v>0</v>
      </c>
      <c r="J77" s="6"/>
      <c r="L77" s="5"/>
      <c r="M77" s="13" t="s">
        <v>2</v>
      </c>
      <c r="N77" s="67">
        <f>_xlfn.XLOOKUP(M77,'Ausgaben 2026'!$AI$5:$AR$5,'Ausgaben 2026'!$AI$14:$AR$14)</f>
        <v>0</v>
      </c>
      <c r="O77" s="6"/>
      <c r="Q77" s="5"/>
      <c r="R77" s="13" t="s">
        <v>2</v>
      </c>
      <c r="S77" s="67">
        <f>_xlfn.XLOOKUP(R77,'Ausgaben 2026'!$AI$5:$AR$5,'Ausgaben 2026'!$AI$15:$AR$15)</f>
        <v>0</v>
      </c>
      <c r="T77" s="6"/>
      <c r="V77" s="5"/>
      <c r="W77" s="13" t="s">
        <v>2</v>
      </c>
      <c r="X77" s="67">
        <f>_xlfn.XLOOKUP(W77,'Ausgaben 2026'!$AI$5:$AR$5,'Ausgaben 2026'!$AI$16:$AR$16)</f>
        <v>0</v>
      </c>
      <c r="Y77" s="6"/>
      <c r="AA77" s="5"/>
      <c r="AB77" s="13" t="s">
        <v>2</v>
      </c>
      <c r="AC77" s="67">
        <f>_xlfn.XLOOKUP(AB77,'Ausgaben 2026'!$AI$5:$AR$5,'Ausgaben 2026'!$AI$17:$AR$17)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2026'!$AI$5:$AR$5,'Ausgaben 2026'!$AI$12:$AR$12)</f>
        <v>0</v>
      </c>
      <c r="E78" s="6"/>
      <c r="G78" s="5"/>
      <c r="H78" s="13" t="s">
        <v>42</v>
      </c>
      <c r="I78" s="67">
        <f>_xlfn.XLOOKUP(H78,'Ausgaben 2026'!$AI$5:$AR$5,'Ausgaben 2026'!$AI$13:$AR$13)</f>
        <v>0</v>
      </c>
      <c r="J78" s="6"/>
      <c r="L78" s="5"/>
      <c r="M78" s="13" t="s">
        <v>42</v>
      </c>
      <c r="N78" s="67">
        <f>_xlfn.XLOOKUP(M78,'Ausgaben 2026'!$AI$5:$AR$5,'Ausgaben 2026'!$AI$14:$AR$14)</f>
        <v>0</v>
      </c>
      <c r="O78" s="6"/>
      <c r="Q78" s="5"/>
      <c r="R78" s="13" t="s">
        <v>42</v>
      </c>
      <c r="S78" s="67">
        <f>_xlfn.XLOOKUP(R78,'Ausgaben 2026'!$AI$5:$AR$5,'Ausgaben 2026'!$AI$15:$AR$15)</f>
        <v>0</v>
      </c>
      <c r="T78" s="6"/>
      <c r="V78" s="5"/>
      <c r="W78" s="13" t="s">
        <v>42</v>
      </c>
      <c r="X78" s="67">
        <f>_xlfn.XLOOKUP(W78,'Ausgaben 2026'!$AI$5:$AR$5,'Ausgaben 2026'!$AI$16:$AR$16)</f>
        <v>0</v>
      </c>
      <c r="Y78" s="6"/>
      <c r="AA78" s="5"/>
      <c r="AB78" s="13" t="s">
        <v>42</v>
      </c>
      <c r="AC78" s="67">
        <f>_xlfn.XLOOKUP(AB78,'Ausgaben 2026'!$AI$5:$AR$5,'Ausgaben 2026'!$AI$17:$AR$17)</f>
        <v>0</v>
      </c>
      <c r="AD78" s="6"/>
    </row>
    <row r="79" spans="2:30" x14ac:dyDescent="0.35">
      <c r="B79" s="5"/>
      <c r="C79" s="13" t="s">
        <v>65</v>
      </c>
      <c r="D79" s="67">
        <f>_xlfn.XLOOKUP(C79,'Ausgaben 2026'!$AI$5:$AR$5,'Ausgaben 2026'!$AI$12:$AR$12)</f>
        <v>0</v>
      </c>
      <c r="E79" s="6"/>
      <c r="G79" s="5"/>
      <c r="H79" s="13" t="s">
        <v>65</v>
      </c>
      <c r="I79" s="67">
        <f>_xlfn.XLOOKUP(H79,'Ausgaben 2026'!$AI$5:$AR$5,'Ausgaben 2026'!$AI$13:$AR$13)</f>
        <v>0</v>
      </c>
      <c r="J79" s="6"/>
      <c r="L79" s="5"/>
      <c r="M79" s="13" t="s">
        <v>65</v>
      </c>
      <c r="N79" s="67">
        <f>_xlfn.XLOOKUP(M79,'Ausgaben 2026'!$AI$5:$AR$5,'Ausgaben 2026'!$AI$14:$AR$14)</f>
        <v>0</v>
      </c>
      <c r="O79" s="6"/>
      <c r="Q79" s="5"/>
      <c r="R79" s="13" t="s">
        <v>65</v>
      </c>
      <c r="S79" s="67">
        <f>_xlfn.XLOOKUP(R79,'Ausgaben 2026'!$AI$5:$AR$5,'Ausgaben 2026'!$AI$15:$AR$15)</f>
        <v>0</v>
      </c>
      <c r="T79" s="6"/>
      <c r="V79" s="5"/>
      <c r="W79" s="13" t="s">
        <v>65</v>
      </c>
      <c r="X79" s="67">
        <f>_xlfn.XLOOKUP(W79,'Ausgaben 2026'!$AI$5:$AR$5,'Ausgaben 2026'!$AI$16:$AR$16)</f>
        <v>0</v>
      </c>
      <c r="Y79" s="6"/>
      <c r="AA79" s="5"/>
      <c r="AB79" s="13" t="s">
        <v>65</v>
      </c>
      <c r="AC79" s="67">
        <f>_xlfn.XLOOKUP(AB79,'Ausgaben 2026'!$AI$5:$AR$5,'Ausgaben 2026'!$AI$17:$AR$17)</f>
        <v>0</v>
      </c>
      <c r="AD79" s="6"/>
    </row>
    <row r="80" spans="2:30" x14ac:dyDescent="0.35">
      <c r="B80" s="5"/>
      <c r="C80" s="13" t="s">
        <v>64</v>
      </c>
      <c r="D80" s="67">
        <f>_xlfn.XLOOKUP(C80,'Ausgaben 2026'!$AI$5:$AR$5,'Ausgaben 2026'!$AI$12:$AR$12)</f>
        <v>0</v>
      </c>
      <c r="E80" s="6"/>
      <c r="G80" s="5"/>
      <c r="H80" s="13" t="s">
        <v>64</v>
      </c>
      <c r="I80" s="67">
        <f>_xlfn.XLOOKUP(H80,'Ausgaben 2026'!$AI$5:$AR$5,'Ausgaben 2026'!$AI$13:$AR$13)</f>
        <v>0</v>
      </c>
      <c r="J80" s="6"/>
      <c r="L80" s="5"/>
      <c r="M80" s="13" t="s">
        <v>64</v>
      </c>
      <c r="N80" s="67">
        <f>_xlfn.XLOOKUP(M80,'Ausgaben 2026'!$AI$5:$AR$5,'Ausgaben 2026'!$AI$14:$AR$14)</f>
        <v>0</v>
      </c>
      <c r="O80" s="6"/>
      <c r="Q80" s="5"/>
      <c r="R80" s="13" t="s">
        <v>64</v>
      </c>
      <c r="S80" s="67">
        <f>_xlfn.XLOOKUP(R80,'Ausgaben 2026'!$AI$5:$AR$5,'Ausgaben 2026'!$AI$15:$AR$15)</f>
        <v>0</v>
      </c>
      <c r="T80" s="6"/>
      <c r="V80" s="5"/>
      <c r="W80" s="13" t="s">
        <v>64</v>
      </c>
      <c r="X80" s="67">
        <f>_xlfn.XLOOKUP(W80,'Ausgaben 2026'!$AI$5:$AR$5,'Ausgaben 2026'!$AI$16:$AR$16)</f>
        <v>0</v>
      </c>
      <c r="Y80" s="6"/>
      <c r="AA80" s="5"/>
      <c r="AB80" s="13" t="s">
        <v>64</v>
      </c>
      <c r="AC80" s="67">
        <f>_xlfn.XLOOKUP(AB80,'Ausgaben 2026'!$AI$5:$AR$5,'Ausgaben 2026'!$AI$17:$AR$17)</f>
        <v>0</v>
      </c>
      <c r="AD80" s="6"/>
    </row>
    <row r="81" spans="2:30" x14ac:dyDescent="0.35">
      <c r="B81" s="5"/>
      <c r="C81" s="13" t="s">
        <v>63</v>
      </c>
      <c r="D81" s="67">
        <f>_xlfn.XLOOKUP(C81,'Ausgaben 2026'!$AI$5:$AR$5,'Ausgaben 2026'!$AI$12:$AR$12)</f>
        <v>0</v>
      </c>
      <c r="E81" s="6"/>
      <c r="G81" s="5"/>
      <c r="H81" s="13" t="s">
        <v>63</v>
      </c>
      <c r="I81" s="67">
        <f>_xlfn.XLOOKUP(H81,'Ausgaben 2026'!$AI$5:$AR$5,'Ausgaben 2026'!$AI$13:$AR$13)</f>
        <v>0</v>
      </c>
      <c r="J81" s="6"/>
      <c r="L81" s="5"/>
      <c r="M81" s="13" t="s">
        <v>63</v>
      </c>
      <c r="N81" s="67">
        <f>_xlfn.XLOOKUP(M81,'Ausgaben 2026'!$AI$5:$AR$5,'Ausgaben 2026'!$AI$14:$AR$14)</f>
        <v>0</v>
      </c>
      <c r="O81" s="6"/>
      <c r="Q81" s="5"/>
      <c r="R81" s="13" t="s">
        <v>63</v>
      </c>
      <c r="S81" s="67">
        <f>_xlfn.XLOOKUP(R81,'Ausgaben 2026'!$AI$5:$AR$5,'Ausgaben 2026'!$AI$15:$AR$15)</f>
        <v>0</v>
      </c>
      <c r="T81" s="6"/>
      <c r="V81" s="5"/>
      <c r="W81" s="13" t="s">
        <v>63</v>
      </c>
      <c r="X81" s="67">
        <f>_xlfn.XLOOKUP(W81,'Ausgaben 2026'!$AI$5:$AR$5,'Ausgaben 2026'!$AI$16:$AR$16)</f>
        <v>0</v>
      </c>
      <c r="Y81" s="6"/>
      <c r="AA81" s="5"/>
      <c r="AB81" s="13" t="s">
        <v>63</v>
      </c>
      <c r="AC81" s="67">
        <f>_xlfn.XLOOKUP(AB81,'Ausgaben 2026'!$AI$5:$AR$5,'Ausgaben 2026'!$AI$17:$AR$17)</f>
        <v>0</v>
      </c>
      <c r="AD81" s="6"/>
    </row>
    <row r="82" spans="2:30" x14ac:dyDescent="0.35">
      <c r="B82" s="5"/>
      <c r="C82" s="13" t="s">
        <v>62</v>
      </c>
      <c r="D82" s="67">
        <f>_xlfn.XLOOKUP(C82,'Ausgaben 2026'!$AI$5:$AR$5,'Ausgaben 2026'!$AI$12:$AR$12)</f>
        <v>0</v>
      </c>
      <c r="E82" s="6"/>
      <c r="G82" s="5"/>
      <c r="H82" s="13" t="s">
        <v>62</v>
      </c>
      <c r="I82" s="67">
        <f>_xlfn.XLOOKUP(H82,'Ausgaben 2026'!$AI$5:$AR$5,'Ausgaben 2026'!$AI$13:$AR$13)</f>
        <v>0</v>
      </c>
      <c r="J82" s="6"/>
      <c r="L82" s="5"/>
      <c r="M82" s="13" t="s">
        <v>62</v>
      </c>
      <c r="N82" s="67">
        <f>_xlfn.XLOOKUP(M82,'Ausgaben 2026'!$AI$5:$AR$5,'Ausgaben 2026'!$AI$14:$AR$14)</f>
        <v>0</v>
      </c>
      <c r="O82" s="6"/>
      <c r="Q82" s="5"/>
      <c r="R82" s="13" t="s">
        <v>62</v>
      </c>
      <c r="S82" s="67">
        <f>_xlfn.XLOOKUP(R82,'Ausgaben 2026'!$AI$5:$AR$5,'Ausgaben 2026'!$AI$15:$AR$15)</f>
        <v>0</v>
      </c>
      <c r="T82" s="6"/>
      <c r="V82" s="5"/>
      <c r="W82" s="13" t="s">
        <v>62</v>
      </c>
      <c r="X82" s="67">
        <f>_xlfn.XLOOKUP(W82,'Ausgaben 2026'!$AI$5:$AR$5,'Ausgaben 2026'!$AI$16:$AR$16)</f>
        <v>0</v>
      </c>
      <c r="Y82" s="6"/>
      <c r="AA82" s="5"/>
      <c r="AB82" s="13" t="s">
        <v>62</v>
      </c>
      <c r="AC82" s="67">
        <f>_xlfn.XLOOKUP(AB82,'Ausgaben 2026'!$AI$5:$AR$5,'Ausgaben 2026'!$AI$17:$AR$17)</f>
        <v>0</v>
      </c>
      <c r="AD82" s="6"/>
    </row>
    <row r="83" spans="2:30" x14ac:dyDescent="0.35">
      <c r="B83" s="5"/>
      <c r="C83" s="13" t="s">
        <v>61</v>
      </c>
      <c r="D83" s="67">
        <f>_xlfn.XLOOKUP(C83,'Ausgaben 2026'!$AI$5:$AR$5,'Ausgaben 2026'!$AI$12:$AR$12)</f>
        <v>0</v>
      </c>
      <c r="E83" s="6"/>
      <c r="G83" s="5"/>
      <c r="H83" s="13" t="s">
        <v>61</v>
      </c>
      <c r="I83" s="67">
        <f>_xlfn.XLOOKUP(H83,'Ausgaben 2026'!$AI$5:$AR$5,'Ausgaben 2026'!$AI$13:$AR$13)</f>
        <v>0</v>
      </c>
      <c r="J83" s="6"/>
      <c r="L83" s="5"/>
      <c r="M83" s="13" t="s">
        <v>61</v>
      </c>
      <c r="N83" s="67">
        <f>_xlfn.XLOOKUP(M83,'Ausgaben 2026'!$AI$5:$AR$5,'Ausgaben 2026'!$AI$14:$AR$14)</f>
        <v>0</v>
      </c>
      <c r="O83" s="6"/>
      <c r="Q83" s="5"/>
      <c r="R83" s="13" t="s">
        <v>61</v>
      </c>
      <c r="S83" s="67">
        <f>_xlfn.XLOOKUP(R83,'Ausgaben 2026'!$AI$5:$AR$5,'Ausgaben 2026'!$AI$15:$AR$15)</f>
        <v>0</v>
      </c>
      <c r="T83" s="6"/>
      <c r="V83" s="5"/>
      <c r="W83" s="13" t="s">
        <v>61</v>
      </c>
      <c r="X83" s="67">
        <f>_xlfn.XLOOKUP(W83,'Ausgaben 2026'!$AI$5:$AR$5,'Ausgaben 2026'!$AI$16:$AR$16)</f>
        <v>0</v>
      </c>
      <c r="Y83" s="6"/>
      <c r="AA83" s="5"/>
      <c r="AB83" s="13" t="s">
        <v>61</v>
      </c>
      <c r="AC83" s="67">
        <f>_xlfn.XLOOKUP(AB83,'Ausgaben 2026'!$AI$5:$AR$5,'Ausgaben 2026'!$AI$17:$AR$17)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90633-5E61-4F0B-9C5F-0A2D04347DB4}">
  <sheetPr codeName="Sheet16"/>
  <dimension ref="B1:AS406"/>
  <sheetViews>
    <sheetView topLeftCell="V1" zoomScale="74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4" bestFit="1" customWidth="1"/>
    <col min="4" max="4" width="8.08984375" bestFit="1" customWidth="1"/>
    <col min="5" max="5" width="11.6328125" bestFit="1" customWidth="1"/>
    <col min="6" max="6" width="8.26953125" bestFit="1" customWidth="1"/>
    <col min="7" max="7" width="9.08984375" bestFit="1" customWidth="1"/>
    <col min="8" max="8" width="6.1796875" bestFit="1" customWidth="1"/>
    <col min="9" max="9" width="6.90625" bestFit="1" customWidth="1"/>
    <col min="10" max="14" width="10" bestFit="1" customWidth="1"/>
    <col min="15" max="17" width="2.81640625" customWidth="1"/>
    <col min="18" max="18" width="22.1796875" bestFit="1" customWidth="1"/>
    <col min="19" max="19" width="8.08984375" bestFit="1" customWidth="1"/>
    <col min="20" max="20" width="11.6328125" bestFit="1" customWidth="1"/>
    <col min="21" max="21" width="8.26953125" bestFit="1" customWidth="1"/>
    <col min="22" max="22" width="9.08984375" bestFit="1" customWidth="1"/>
    <col min="23" max="23" width="6.1796875" bestFit="1" customWidth="1"/>
    <col min="24" max="24" width="6.90625" bestFit="1" customWidth="1"/>
    <col min="25" max="29" width="10" bestFit="1" customWidth="1"/>
    <col min="30" max="32" width="2.81640625" customWidth="1"/>
    <col min="33" max="33" width="15.6328125" bestFit="1" customWidth="1"/>
    <col min="34" max="34" width="8.08984375" bestFit="1" customWidth="1"/>
    <col min="35" max="35" width="11.6328125" bestFit="1" customWidth="1"/>
    <col min="36" max="36" width="8.26953125" bestFit="1" customWidth="1"/>
    <col min="37" max="37" width="9.08984375" bestFit="1" customWidth="1"/>
    <col min="38" max="38" width="6.1796875" bestFit="1" customWidth="1"/>
    <col min="39" max="39" width="6.9062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29.12.2025 - 04.01.2026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46023</v>
      </c>
      <c r="D7" s="45">
        <f>SUMIFS(Einzelbeträge!$D:$D,Einzelbeträge!$C:$C,'Ausgaben 2026'!$C7)</f>
        <v>0</v>
      </c>
      <c r="E7" s="32">
        <f>SUMIFS(Einzelbeträge!$D:$D,Einzelbeträge!$C:$C,'Ausgaben 2026'!$C7,Einzelbeträge!$E:$E,'Ausgaben 2026'!E$6)</f>
        <v>0</v>
      </c>
      <c r="F7" s="32">
        <f>SUMIFS(Einzelbeträge!$D:$D,Einzelbeträge!$C:$C,'Ausgaben 2026'!$C7,Einzelbeträge!$E:$E,'Ausgaben 2026'!F$6)</f>
        <v>0</v>
      </c>
      <c r="G7" s="32">
        <f>SUMIFS(Einzelbeträge!$D:$D,Einzelbeträge!$C:$C,'Ausgaben 2026'!$C7,Einzelbeträge!$E:$E,'Ausgaben 2026'!G$6)</f>
        <v>0</v>
      </c>
      <c r="H7" s="32">
        <f>SUMIFS(Einzelbeträge!$D:$D,Einzelbeträge!$C:$C,'Ausgaben 2026'!$C7,Einzelbeträge!$E:$E,'Ausgaben 2026'!H$6)</f>
        <v>0</v>
      </c>
      <c r="I7" s="32">
        <f>SUMIFS(Einzelbeträge!$D:$D,Einzelbeträge!$C:$C,'Ausgaben 2026'!$C7,Einzelbeträge!$E:$E,'Ausgaben 2026'!I$6)</f>
        <v>0</v>
      </c>
      <c r="J7" s="32">
        <f>SUMIFS(Einzelbeträge!$D:$D,Einzelbeträge!$C:$C,'Ausgaben 2026'!$C7,Einzelbeträge!$E:$E,'Ausgaben 2026'!J$6)</f>
        <v>0</v>
      </c>
      <c r="K7" s="32">
        <f>SUMIFS(Einzelbeträge!$D:$D,Einzelbeträge!$C:$C,'Ausgaben 2026'!$C7,Einzelbeträge!$E:$E,'Ausgaben 2026'!K$6)</f>
        <v>0</v>
      </c>
      <c r="L7" s="32">
        <f>SUMIFS(Einzelbeträge!$D:$D,Einzelbeträge!$C:$C,'Ausgaben 2026'!$C7,Einzelbeträge!$E:$E,'Ausgaben 2026'!L$6)</f>
        <v>0</v>
      </c>
      <c r="M7" s="32">
        <f>SUMIFS(Einzelbeträge!$D:$D,Einzelbeträge!$C:$C,'Ausgaben 2026'!$C7,Einzelbeträge!$E:$E,'Ausgaben 2026'!M$6)</f>
        <v>0</v>
      </c>
      <c r="N7" s="33">
        <f>SUMIFS(Einzelbeträge!$D:$D,Einzelbeträge!$C:$C,'Ausgaben 2026'!$C7,Einzelbeträge!$E:$E,'Ausgaben 2026'!N$6)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05.01.2026 - 11.01.2026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46024</v>
      </c>
      <c r="D8" s="46">
        <f>SUMIFS(Einzelbeträge!$D:$D,Einzelbeträge!$C:$C,'Ausgaben 2026'!$C8)</f>
        <v>0</v>
      </c>
      <c r="E8" s="21">
        <f>SUMIFS(Einzelbeträge!$D:$D,Einzelbeträge!$C:$C,'Ausgaben 2026'!$C8,Einzelbeträge!$E:$E,'Ausgaben 2026'!E$6)</f>
        <v>0</v>
      </c>
      <c r="F8" s="21">
        <f>SUMIFS(Einzelbeträge!$D:$D,Einzelbeträge!$C:$C,'Ausgaben 2026'!$C8,Einzelbeträge!$E:$E,'Ausgaben 2026'!F$6)</f>
        <v>0</v>
      </c>
      <c r="G8" s="21">
        <f>SUMIFS(Einzelbeträge!$D:$D,Einzelbeträge!$C:$C,'Ausgaben 2026'!$C8,Einzelbeträge!$E:$E,'Ausgaben 2026'!G$6)</f>
        <v>0</v>
      </c>
      <c r="H8" s="21">
        <f>SUMIFS(Einzelbeträge!$D:$D,Einzelbeträge!$C:$C,'Ausgaben 2026'!$C8,Einzelbeträge!$E:$E,'Ausgaben 2026'!H$6)</f>
        <v>0</v>
      </c>
      <c r="I8" s="21">
        <f>SUMIFS(Einzelbeträge!$D:$D,Einzelbeträge!$C:$C,'Ausgaben 2026'!$C8,Einzelbeträge!$E:$E,'Ausgaben 2026'!I$6)</f>
        <v>0</v>
      </c>
      <c r="J8" s="21">
        <f>SUMIFS(Einzelbeträge!$D:$D,Einzelbeträge!$C:$C,'Ausgaben 2026'!$C8,Einzelbeträge!$E:$E,'Ausgaben 2026'!J$6)</f>
        <v>0</v>
      </c>
      <c r="K8" s="21">
        <f>SUMIFS(Einzelbeträge!$D:$D,Einzelbeträge!$C:$C,'Ausgaben 2026'!$C8,Einzelbeträge!$E:$E,'Ausgaben 2026'!K$6)</f>
        <v>0</v>
      </c>
      <c r="L8" s="21">
        <f>SUMIFS(Einzelbeträge!$D:$D,Einzelbeträge!$C:$C,'Ausgaben 2026'!$C8,Einzelbeträge!$E:$E,'Ausgaben 2026'!L$6)</f>
        <v>0</v>
      </c>
      <c r="M8" s="21">
        <f>SUMIFS(Einzelbeträge!$D:$D,Einzelbeträge!$C:$C,'Ausgaben 2026'!$C8,Einzelbeträge!$E:$E,'Ausgaben 2026'!M$6)</f>
        <v>0</v>
      </c>
      <c r="N8" s="35">
        <f>SUMIFS(Einzelbeträge!$D:$D,Einzelbeträge!$C:$C,'Ausgaben 2026'!$C8,Einzelbeträge!$E:$E,'Ausgaben 2026'!N$6)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12.01.2026 - 18.01.2026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46025</v>
      </c>
      <c r="D9" s="46">
        <f>SUMIFS(Einzelbeträge!$D:$D,Einzelbeträge!$C:$C,'Ausgaben 2026'!$C9)</f>
        <v>0</v>
      </c>
      <c r="E9" s="21">
        <f>SUMIFS(Einzelbeträge!$D:$D,Einzelbeträge!$C:$C,'Ausgaben 2026'!$C9,Einzelbeträge!$E:$E,'Ausgaben 2026'!E$6)</f>
        <v>0</v>
      </c>
      <c r="F9" s="21">
        <f>SUMIFS(Einzelbeträge!$D:$D,Einzelbeträge!$C:$C,'Ausgaben 2026'!$C9,Einzelbeträge!$E:$E,'Ausgaben 2026'!F$6)</f>
        <v>0</v>
      </c>
      <c r="G9" s="21">
        <f>SUMIFS(Einzelbeträge!$D:$D,Einzelbeträge!$C:$C,'Ausgaben 2026'!$C9,Einzelbeträge!$E:$E,'Ausgaben 2026'!G$6)</f>
        <v>0</v>
      </c>
      <c r="H9" s="21">
        <f>SUMIFS(Einzelbeträge!$D:$D,Einzelbeträge!$C:$C,'Ausgaben 2026'!$C9,Einzelbeträge!$E:$E,'Ausgaben 2026'!H$6)</f>
        <v>0</v>
      </c>
      <c r="I9" s="21">
        <f>SUMIFS(Einzelbeträge!$D:$D,Einzelbeträge!$C:$C,'Ausgaben 2026'!$C9,Einzelbeträge!$E:$E,'Ausgaben 2026'!I$6)</f>
        <v>0</v>
      </c>
      <c r="J9" s="21">
        <f>SUMIFS(Einzelbeträge!$D:$D,Einzelbeträge!$C:$C,'Ausgaben 2026'!$C9,Einzelbeträge!$E:$E,'Ausgaben 2026'!J$6)</f>
        <v>0</v>
      </c>
      <c r="K9" s="21">
        <f>SUMIFS(Einzelbeträge!$D:$D,Einzelbeträge!$C:$C,'Ausgaben 2026'!$C9,Einzelbeträge!$E:$E,'Ausgaben 2026'!K$6)</f>
        <v>0</v>
      </c>
      <c r="L9" s="21">
        <f>SUMIFS(Einzelbeträge!$D:$D,Einzelbeträge!$C:$C,'Ausgaben 2026'!$C9,Einzelbeträge!$E:$E,'Ausgaben 2026'!L$6)</f>
        <v>0</v>
      </c>
      <c r="M9" s="21">
        <f>SUMIFS(Einzelbeträge!$D:$D,Einzelbeträge!$C:$C,'Ausgaben 2026'!$C9,Einzelbeträge!$E:$E,'Ausgaben 2026'!M$6)</f>
        <v>0</v>
      </c>
      <c r="N9" s="35">
        <f>SUMIFS(Einzelbeträge!$D:$D,Einzelbeträge!$C:$C,'Ausgaben 2026'!$C9,Einzelbeträge!$E:$E,'Ausgaben 2026'!N$6)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19.01.2026 - 25.01.2026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60</v>
      </c>
      <c r="AI9" s="54">
        <f t="shared" ref="AI9:AR9" si="6">SUM(E107:E136)</f>
        <v>0</v>
      </c>
      <c r="AJ9" s="55">
        <f t="shared" si="6"/>
        <v>30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10</v>
      </c>
      <c r="AO9" s="55">
        <f t="shared" si="6"/>
        <v>20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46026</v>
      </c>
      <c r="D10" s="46">
        <f>SUMIFS(Einzelbeträge!$D:$D,Einzelbeträge!$C:$C,'Ausgaben 2026'!$C10)</f>
        <v>0</v>
      </c>
      <c r="E10" s="21">
        <f>SUMIFS(Einzelbeträge!$D:$D,Einzelbeträge!$C:$C,'Ausgaben 2026'!$C10,Einzelbeträge!$E:$E,'Ausgaben 2026'!E$6)</f>
        <v>0</v>
      </c>
      <c r="F10" s="21">
        <f>SUMIFS(Einzelbeträge!$D:$D,Einzelbeträge!$C:$C,'Ausgaben 2026'!$C10,Einzelbeträge!$E:$E,'Ausgaben 2026'!F$6)</f>
        <v>0</v>
      </c>
      <c r="G10" s="21">
        <f>SUMIFS(Einzelbeträge!$D:$D,Einzelbeträge!$C:$C,'Ausgaben 2026'!$C10,Einzelbeträge!$E:$E,'Ausgaben 2026'!G$6)</f>
        <v>0</v>
      </c>
      <c r="H10" s="21">
        <f>SUMIFS(Einzelbeträge!$D:$D,Einzelbeträge!$C:$C,'Ausgaben 2026'!$C10,Einzelbeträge!$E:$E,'Ausgaben 2026'!H$6)</f>
        <v>0</v>
      </c>
      <c r="I10" s="21">
        <f>SUMIFS(Einzelbeträge!$D:$D,Einzelbeträge!$C:$C,'Ausgaben 2026'!$C10,Einzelbeträge!$E:$E,'Ausgaben 2026'!I$6)</f>
        <v>0</v>
      </c>
      <c r="J10" s="21">
        <f>SUMIFS(Einzelbeträge!$D:$D,Einzelbeträge!$C:$C,'Ausgaben 2026'!$C10,Einzelbeträge!$E:$E,'Ausgaben 2026'!J$6)</f>
        <v>0</v>
      </c>
      <c r="K10" s="21">
        <f>SUMIFS(Einzelbeträge!$D:$D,Einzelbeträge!$C:$C,'Ausgaben 2026'!$C10,Einzelbeträge!$E:$E,'Ausgaben 2026'!K$6)</f>
        <v>0</v>
      </c>
      <c r="L10" s="21">
        <f>SUMIFS(Einzelbeträge!$D:$D,Einzelbeträge!$C:$C,'Ausgaben 2026'!$C10,Einzelbeträge!$E:$E,'Ausgaben 2026'!L$6)</f>
        <v>0</v>
      </c>
      <c r="M10" s="21">
        <f>SUMIFS(Einzelbeträge!$D:$D,Einzelbeträge!$C:$C,'Ausgaben 2026'!$C10,Einzelbeträge!$E:$E,'Ausgaben 2026'!M$6)</f>
        <v>0</v>
      </c>
      <c r="N10" s="35">
        <f>SUMIFS(Einzelbeträge!$D:$D,Einzelbeträge!$C:$C,'Ausgaben 2026'!$C10,Einzelbeträge!$E:$E,'Ausgaben 2026'!N$6)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26.01.2026 - 01.02.2026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46027</v>
      </c>
      <c r="D11" s="46">
        <f>SUMIFS(Einzelbeträge!$D:$D,Einzelbeträge!$C:$C,'Ausgaben 2026'!$C11)</f>
        <v>0</v>
      </c>
      <c r="E11" s="21">
        <f>SUMIFS(Einzelbeträge!$D:$D,Einzelbeträge!$C:$C,'Ausgaben 2026'!$C11,Einzelbeträge!$E:$E,'Ausgaben 2026'!E$6)</f>
        <v>0</v>
      </c>
      <c r="F11" s="21">
        <f>SUMIFS(Einzelbeträge!$D:$D,Einzelbeträge!$C:$C,'Ausgaben 2026'!$C11,Einzelbeträge!$E:$E,'Ausgaben 2026'!F$6)</f>
        <v>0</v>
      </c>
      <c r="G11" s="21">
        <f>SUMIFS(Einzelbeträge!$D:$D,Einzelbeträge!$C:$C,'Ausgaben 2026'!$C11,Einzelbeträge!$E:$E,'Ausgaben 2026'!G$6)</f>
        <v>0</v>
      </c>
      <c r="H11" s="21">
        <f>SUMIFS(Einzelbeträge!$D:$D,Einzelbeträge!$C:$C,'Ausgaben 2026'!$C11,Einzelbeträge!$E:$E,'Ausgaben 2026'!H$6)</f>
        <v>0</v>
      </c>
      <c r="I11" s="21">
        <f>SUMIFS(Einzelbeträge!$D:$D,Einzelbeträge!$C:$C,'Ausgaben 2026'!$C11,Einzelbeträge!$E:$E,'Ausgaben 2026'!I$6)</f>
        <v>0</v>
      </c>
      <c r="J11" s="21">
        <f>SUMIFS(Einzelbeträge!$D:$D,Einzelbeträge!$C:$C,'Ausgaben 2026'!$C11,Einzelbeträge!$E:$E,'Ausgaben 2026'!J$6)</f>
        <v>0</v>
      </c>
      <c r="K11" s="21">
        <f>SUMIFS(Einzelbeträge!$D:$D,Einzelbeträge!$C:$C,'Ausgaben 2026'!$C11,Einzelbeträge!$E:$E,'Ausgaben 2026'!K$6)</f>
        <v>0</v>
      </c>
      <c r="L11" s="21">
        <f>SUMIFS(Einzelbeträge!$D:$D,Einzelbeträge!$C:$C,'Ausgaben 2026'!$C11,Einzelbeträge!$E:$E,'Ausgaben 2026'!L$6)</f>
        <v>0</v>
      </c>
      <c r="M11" s="21">
        <f>SUMIFS(Einzelbeträge!$D:$D,Einzelbeträge!$C:$C,'Ausgaben 2026'!$C11,Einzelbeträge!$E:$E,'Ausgaben 2026'!M$6)</f>
        <v>0</v>
      </c>
      <c r="N11" s="35">
        <f>SUMIFS(Einzelbeträge!$D:$D,Einzelbeträge!$C:$C,'Ausgaben 2026'!$C11,Einzelbeträge!$E:$E,'Ausgaben 2026'!N$6)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02.02.2026 - 08.02.2026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46028</v>
      </c>
      <c r="D12" s="46">
        <f>SUMIFS(Einzelbeträge!$D:$D,Einzelbeträge!$C:$C,'Ausgaben 2026'!$C12)</f>
        <v>0</v>
      </c>
      <c r="E12" s="21">
        <f>SUMIFS(Einzelbeträge!$D:$D,Einzelbeträge!$C:$C,'Ausgaben 2026'!$C12,Einzelbeträge!$E:$E,'Ausgaben 2026'!E$6)</f>
        <v>0</v>
      </c>
      <c r="F12" s="21">
        <f>SUMIFS(Einzelbeträge!$D:$D,Einzelbeträge!$C:$C,'Ausgaben 2026'!$C12,Einzelbeträge!$E:$E,'Ausgaben 2026'!F$6)</f>
        <v>0</v>
      </c>
      <c r="G12" s="21">
        <f>SUMIFS(Einzelbeträge!$D:$D,Einzelbeträge!$C:$C,'Ausgaben 2026'!$C12,Einzelbeträge!$E:$E,'Ausgaben 2026'!G$6)</f>
        <v>0</v>
      </c>
      <c r="H12" s="21">
        <f>SUMIFS(Einzelbeträge!$D:$D,Einzelbeträge!$C:$C,'Ausgaben 2026'!$C12,Einzelbeträge!$E:$E,'Ausgaben 2026'!H$6)</f>
        <v>0</v>
      </c>
      <c r="I12" s="21">
        <f>SUMIFS(Einzelbeträge!$D:$D,Einzelbeträge!$C:$C,'Ausgaben 2026'!$C12,Einzelbeträge!$E:$E,'Ausgaben 2026'!I$6)</f>
        <v>0</v>
      </c>
      <c r="J12" s="21">
        <f>SUMIFS(Einzelbeträge!$D:$D,Einzelbeträge!$C:$C,'Ausgaben 2026'!$C12,Einzelbeträge!$E:$E,'Ausgaben 2026'!J$6)</f>
        <v>0</v>
      </c>
      <c r="K12" s="21">
        <f>SUMIFS(Einzelbeträge!$D:$D,Einzelbeträge!$C:$C,'Ausgaben 2026'!$C12,Einzelbeträge!$E:$E,'Ausgaben 2026'!K$6)</f>
        <v>0</v>
      </c>
      <c r="L12" s="21">
        <f>SUMIFS(Einzelbeträge!$D:$D,Einzelbeträge!$C:$C,'Ausgaben 2026'!$C12,Einzelbeträge!$E:$E,'Ausgaben 2026'!L$6)</f>
        <v>0</v>
      </c>
      <c r="M12" s="21">
        <f>SUMIFS(Einzelbeträge!$D:$D,Einzelbeträge!$C:$C,'Ausgaben 2026'!$C12,Einzelbeträge!$E:$E,'Ausgaben 2026'!M$6)</f>
        <v>0</v>
      </c>
      <c r="N12" s="35">
        <f>SUMIFS(Einzelbeträge!$D:$D,Einzelbeträge!$C:$C,'Ausgaben 2026'!$C12,Einzelbeträge!$E:$E,'Ausgaben 2026'!N$6)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09.02.2026 - 15.02.2026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46029</v>
      </c>
      <c r="D13" s="46">
        <f>SUMIFS(Einzelbeträge!$D:$D,Einzelbeträge!$C:$C,'Ausgaben 2026'!$C13)</f>
        <v>0</v>
      </c>
      <c r="E13" s="21">
        <f>SUMIFS(Einzelbeträge!$D:$D,Einzelbeträge!$C:$C,'Ausgaben 2026'!$C13,Einzelbeträge!$E:$E,'Ausgaben 2026'!E$6)</f>
        <v>0</v>
      </c>
      <c r="F13" s="21">
        <f>SUMIFS(Einzelbeträge!$D:$D,Einzelbeträge!$C:$C,'Ausgaben 2026'!$C13,Einzelbeträge!$E:$E,'Ausgaben 2026'!F$6)</f>
        <v>0</v>
      </c>
      <c r="G13" s="21">
        <f>SUMIFS(Einzelbeträge!$D:$D,Einzelbeträge!$C:$C,'Ausgaben 2026'!$C13,Einzelbeträge!$E:$E,'Ausgaben 2026'!G$6)</f>
        <v>0</v>
      </c>
      <c r="H13" s="21">
        <f>SUMIFS(Einzelbeträge!$D:$D,Einzelbeträge!$C:$C,'Ausgaben 2026'!$C13,Einzelbeträge!$E:$E,'Ausgaben 2026'!H$6)</f>
        <v>0</v>
      </c>
      <c r="I13" s="21">
        <f>SUMIFS(Einzelbeträge!$D:$D,Einzelbeträge!$C:$C,'Ausgaben 2026'!$C13,Einzelbeträge!$E:$E,'Ausgaben 2026'!I$6)</f>
        <v>0</v>
      </c>
      <c r="J13" s="21">
        <f>SUMIFS(Einzelbeträge!$D:$D,Einzelbeträge!$C:$C,'Ausgaben 2026'!$C13,Einzelbeträge!$E:$E,'Ausgaben 2026'!J$6)</f>
        <v>0</v>
      </c>
      <c r="K13" s="21">
        <f>SUMIFS(Einzelbeträge!$D:$D,Einzelbeträge!$C:$C,'Ausgaben 2026'!$C13,Einzelbeträge!$E:$E,'Ausgaben 2026'!K$6)</f>
        <v>0</v>
      </c>
      <c r="L13" s="21">
        <f>SUMIFS(Einzelbeträge!$D:$D,Einzelbeträge!$C:$C,'Ausgaben 2026'!$C13,Einzelbeträge!$E:$E,'Ausgaben 2026'!L$6)</f>
        <v>0</v>
      </c>
      <c r="M13" s="21">
        <f>SUMIFS(Einzelbeträge!$D:$D,Einzelbeträge!$C:$C,'Ausgaben 2026'!$C13,Einzelbeträge!$E:$E,'Ausgaben 2026'!M$6)</f>
        <v>0</v>
      </c>
      <c r="N13" s="35">
        <f>SUMIFS(Einzelbeträge!$D:$D,Einzelbeträge!$C:$C,'Ausgaben 2026'!$C13,Einzelbeträge!$E:$E,'Ausgaben 2026'!N$6)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16.02.2026 - 22.02.2026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46030</v>
      </c>
      <c r="D14" s="46">
        <f>SUMIFS(Einzelbeträge!$D:$D,Einzelbeträge!$C:$C,'Ausgaben 2026'!$C14)</f>
        <v>0</v>
      </c>
      <c r="E14" s="21">
        <f>SUMIFS(Einzelbeträge!$D:$D,Einzelbeträge!$C:$C,'Ausgaben 2026'!$C14,Einzelbeträge!$E:$E,'Ausgaben 2026'!E$6)</f>
        <v>0</v>
      </c>
      <c r="F14" s="21">
        <f>SUMIFS(Einzelbeträge!$D:$D,Einzelbeträge!$C:$C,'Ausgaben 2026'!$C14,Einzelbeträge!$E:$E,'Ausgaben 2026'!F$6)</f>
        <v>0</v>
      </c>
      <c r="G14" s="21">
        <f>SUMIFS(Einzelbeträge!$D:$D,Einzelbeträge!$C:$C,'Ausgaben 2026'!$C14,Einzelbeträge!$E:$E,'Ausgaben 2026'!G$6)</f>
        <v>0</v>
      </c>
      <c r="H14" s="21">
        <f>SUMIFS(Einzelbeträge!$D:$D,Einzelbeträge!$C:$C,'Ausgaben 2026'!$C14,Einzelbeträge!$E:$E,'Ausgaben 2026'!H$6)</f>
        <v>0</v>
      </c>
      <c r="I14" s="21">
        <f>SUMIFS(Einzelbeträge!$D:$D,Einzelbeträge!$C:$C,'Ausgaben 2026'!$C14,Einzelbeträge!$E:$E,'Ausgaben 2026'!I$6)</f>
        <v>0</v>
      </c>
      <c r="J14" s="21">
        <f>SUMIFS(Einzelbeträge!$D:$D,Einzelbeträge!$C:$C,'Ausgaben 2026'!$C14,Einzelbeträge!$E:$E,'Ausgaben 2026'!J$6)</f>
        <v>0</v>
      </c>
      <c r="K14" s="21">
        <f>SUMIFS(Einzelbeträge!$D:$D,Einzelbeträge!$C:$C,'Ausgaben 2026'!$C14,Einzelbeträge!$E:$E,'Ausgaben 2026'!K$6)</f>
        <v>0</v>
      </c>
      <c r="L14" s="21">
        <f>SUMIFS(Einzelbeträge!$D:$D,Einzelbeträge!$C:$C,'Ausgaben 2026'!$C14,Einzelbeträge!$E:$E,'Ausgaben 2026'!L$6)</f>
        <v>0</v>
      </c>
      <c r="M14" s="21">
        <f>SUMIFS(Einzelbeträge!$D:$D,Einzelbeträge!$C:$C,'Ausgaben 2026'!$C14,Einzelbeträge!$E:$E,'Ausgaben 2026'!M$6)</f>
        <v>0</v>
      </c>
      <c r="N14" s="35">
        <f>SUMIFS(Einzelbeträge!$D:$D,Einzelbeträge!$C:$C,'Ausgaben 2026'!$C14,Einzelbeträge!$E:$E,'Ausgaben 2026'!N$6)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23.02.2026 - 01.03.2026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46031</v>
      </c>
      <c r="D15" s="46">
        <f>SUMIFS(Einzelbeträge!$D:$D,Einzelbeträge!$C:$C,'Ausgaben 2026'!$C15)</f>
        <v>0</v>
      </c>
      <c r="E15" s="21">
        <f>SUMIFS(Einzelbeträge!$D:$D,Einzelbeträge!$C:$C,'Ausgaben 2026'!$C15,Einzelbeträge!$E:$E,'Ausgaben 2026'!E$6)</f>
        <v>0</v>
      </c>
      <c r="F15" s="21">
        <f>SUMIFS(Einzelbeträge!$D:$D,Einzelbeträge!$C:$C,'Ausgaben 2026'!$C15,Einzelbeträge!$E:$E,'Ausgaben 2026'!F$6)</f>
        <v>0</v>
      </c>
      <c r="G15" s="21">
        <f>SUMIFS(Einzelbeträge!$D:$D,Einzelbeträge!$C:$C,'Ausgaben 2026'!$C15,Einzelbeträge!$E:$E,'Ausgaben 2026'!G$6)</f>
        <v>0</v>
      </c>
      <c r="H15" s="21">
        <f>SUMIFS(Einzelbeträge!$D:$D,Einzelbeträge!$C:$C,'Ausgaben 2026'!$C15,Einzelbeträge!$E:$E,'Ausgaben 2026'!H$6)</f>
        <v>0</v>
      </c>
      <c r="I15" s="21">
        <f>SUMIFS(Einzelbeträge!$D:$D,Einzelbeträge!$C:$C,'Ausgaben 2026'!$C15,Einzelbeträge!$E:$E,'Ausgaben 2026'!I$6)</f>
        <v>0</v>
      </c>
      <c r="J15" s="21">
        <f>SUMIFS(Einzelbeträge!$D:$D,Einzelbeträge!$C:$C,'Ausgaben 2026'!$C15,Einzelbeträge!$E:$E,'Ausgaben 2026'!J$6)</f>
        <v>0</v>
      </c>
      <c r="K15" s="21">
        <f>SUMIFS(Einzelbeträge!$D:$D,Einzelbeträge!$C:$C,'Ausgaben 2026'!$C15,Einzelbeträge!$E:$E,'Ausgaben 2026'!K$6)</f>
        <v>0</v>
      </c>
      <c r="L15" s="21">
        <f>SUMIFS(Einzelbeträge!$D:$D,Einzelbeträge!$C:$C,'Ausgaben 2026'!$C15,Einzelbeträge!$E:$E,'Ausgaben 2026'!L$6)</f>
        <v>0</v>
      </c>
      <c r="M15" s="21">
        <f>SUMIFS(Einzelbeträge!$D:$D,Einzelbeträge!$C:$C,'Ausgaben 2026'!$C15,Einzelbeträge!$E:$E,'Ausgaben 2026'!M$6)</f>
        <v>0</v>
      </c>
      <c r="N15" s="35">
        <f>SUMIFS(Einzelbeträge!$D:$D,Einzelbeträge!$C:$C,'Ausgaben 2026'!$C15,Einzelbeträge!$E:$E,'Ausgaben 2026'!N$6)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02.03.2026 - 08.03.2026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46032</v>
      </c>
      <c r="D16" s="46">
        <f>SUMIFS(Einzelbeträge!$D:$D,Einzelbeträge!$C:$C,'Ausgaben 2026'!$C16)</f>
        <v>0</v>
      </c>
      <c r="E16" s="21">
        <f>SUMIFS(Einzelbeträge!$D:$D,Einzelbeträge!$C:$C,'Ausgaben 2026'!$C16,Einzelbeträge!$E:$E,'Ausgaben 2026'!E$6)</f>
        <v>0</v>
      </c>
      <c r="F16" s="21">
        <f>SUMIFS(Einzelbeträge!$D:$D,Einzelbeträge!$C:$C,'Ausgaben 2026'!$C16,Einzelbeträge!$E:$E,'Ausgaben 2026'!F$6)</f>
        <v>0</v>
      </c>
      <c r="G16" s="21">
        <f>SUMIFS(Einzelbeträge!$D:$D,Einzelbeträge!$C:$C,'Ausgaben 2026'!$C16,Einzelbeträge!$E:$E,'Ausgaben 2026'!G$6)</f>
        <v>0</v>
      </c>
      <c r="H16" s="21">
        <f>SUMIFS(Einzelbeträge!$D:$D,Einzelbeträge!$C:$C,'Ausgaben 2026'!$C16,Einzelbeträge!$E:$E,'Ausgaben 2026'!H$6)</f>
        <v>0</v>
      </c>
      <c r="I16" s="21">
        <f>SUMIFS(Einzelbeträge!$D:$D,Einzelbeträge!$C:$C,'Ausgaben 2026'!$C16,Einzelbeträge!$E:$E,'Ausgaben 2026'!I$6)</f>
        <v>0</v>
      </c>
      <c r="J16" s="21">
        <f>SUMIFS(Einzelbeträge!$D:$D,Einzelbeträge!$C:$C,'Ausgaben 2026'!$C16,Einzelbeträge!$E:$E,'Ausgaben 2026'!J$6)</f>
        <v>0</v>
      </c>
      <c r="K16" s="21">
        <f>SUMIFS(Einzelbeträge!$D:$D,Einzelbeträge!$C:$C,'Ausgaben 2026'!$C16,Einzelbeträge!$E:$E,'Ausgaben 2026'!K$6)</f>
        <v>0</v>
      </c>
      <c r="L16" s="21">
        <f>SUMIFS(Einzelbeträge!$D:$D,Einzelbeträge!$C:$C,'Ausgaben 2026'!$C16,Einzelbeträge!$E:$E,'Ausgaben 2026'!L$6)</f>
        <v>0</v>
      </c>
      <c r="M16" s="21">
        <f>SUMIFS(Einzelbeträge!$D:$D,Einzelbeträge!$C:$C,'Ausgaben 2026'!$C16,Einzelbeträge!$E:$E,'Ausgaben 2026'!M$6)</f>
        <v>0</v>
      </c>
      <c r="N16" s="35">
        <f>SUMIFS(Einzelbeträge!$D:$D,Einzelbeträge!$C:$C,'Ausgaben 2026'!$C16,Einzelbeträge!$E:$E,'Ausgaben 2026'!N$6)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09.03.2026 - 15.03.2026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46033</v>
      </c>
      <c r="D17" s="46">
        <f>SUMIFS(Einzelbeträge!$D:$D,Einzelbeträge!$C:$C,'Ausgaben 2026'!$C17)</f>
        <v>0</v>
      </c>
      <c r="E17" s="21">
        <f>SUMIFS(Einzelbeträge!$D:$D,Einzelbeträge!$C:$C,'Ausgaben 2026'!$C17,Einzelbeträge!$E:$E,'Ausgaben 2026'!E$6)</f>
        <v>0</v>
      </c>
      <c r="F17" s="21">
        <f>SUMIFS(Einzelbeträge!$D:$D,Einzelbeträge!$C:$C,'Ausgaben 2026'!$C17,Einzelbeträge!$E:$E,'Ausgaben 2026'!F$6)</f>
        <v>0</v>
      </c>
      <c r="G17" s="21">
        <f>SUMIFS(Einzelbeträge!$D:$D,Einzelbeträge!$C:$C,'Ausgaben 2026'!$C17,Einzelbeträge!$E:$E,'Ausgaben 2026'!G$6)</f>
        <v>0</v>
      </c>
      <c r="H17" s="21">
        <f>SUMIFS(Einzelbeträge!$D:$D,Einzelbeträge!$C:$C,'Ausgaben 2026'!$C17,Einzelbeträge!$E:$E,'Ausgaben 2026'!H$6)</f>
        <v>0</v>
      </c>
      <c r="I17" s="21">
        <f>SUMIFS(Einzelbeträge!$D:$D,Einzelbeträge!$C:$C,'Ausgaben 2026'!$C17,Einzelbeträge!$E:$E,'Ausgaben 2026'!I$6)</f>
        <v>0</v>
      </c>
      <c r="J17" s="21">
        <f>SUMIFS(Einzelbeträge!$D:$D,Einzelbeträge!$C:$C,'Ausgaben 2026'!$C17,Einzelbeträge!$E:$E,'Ausgaben 2026'!J$6)</f>
        <v>0</v>
      </c>
      <c r="K17" s="21">
        <f>SUMIFS(Einzelbeträge!$D:$D,Einzelbeträge!$C:$C,'Ausgaben 2026'!$C17,Einzelbeträge!$E:$E,'Ausgaben 2026'!K$6)</f>
        <v>0</v>
      </c>
      <c r="L17" s="21">
        <f>SUMIFS(Einzelbeträge!$D:$D,Einzelbeträge!$C:$C,'Ausgaben 2026'!$C17,Einzelbeträge!$E:$E,'Ausgaben 2026'!L$6)</f>
        <v>0</v>
      </c>
      <c r="M17" s="21">
        <f>SUMIFS(Einzelbeträge!$D:$D,Einzelbeträge!$C:$C,'Ausgaben 2026'!$C17,Einzelbeträge!$E:$E,'Ausgaben 2026'!M$6)</f>
        <v>0</v>
      </c>
      <c r="N17" s="35">
        <f>SUMIFS(Einzelbeträge!$D:$D,Einzelbeträge!$C:$C,'Ausgaben 2026'!$C17,Einzelbeträge!$E:$E,'Ausgaben 2026'!N$6)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16.03.2026 - 22.03.2026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46034</v>
      </c>
      <c r="D18" s="46">
        <f>SUMIFS(Einzelbeträge!$D:$D,Einzelbeträge!$C:$C,'Ausgaben 2026'!$C18)</f>
        <v>0</v>
      </c>
      <c r="E18" s="21">
        <f>SUMIFS(Einzelbeträge!$D:$D,Einzelbeträge!$C:$C,'Ausgaben 2026'!$C18,Einzelbeträge!$E:$E,'Ausgaben 2026'!E$6)</f>
        <v>0</v>
      </c>
      <c r="F18" s="21">
        <f>SUMIFS(Einzelbeträge!$D:$D,Einzelbeträge!$C:$C,'Ausgaben 2026'!$C18,Einzelbeträge!$E:$E,'Ausgaben 2026'!F$6)</f>
        <v>0</v>
      </c>
      <c r="G18" s="21">
        <f>SUMIFS(Einzelbeträge!$D:$D,Einzelbeträge!$C:$C,'Ausgaben 2026'!$C18,Einzelbeträge!$E:$E,'Ausgaben 2026'!G$6)</f>
        <v>0</v>
      </c>
      <c r="H18" s="21">
        <f>SUMIFS(Einzelbeträge!$D:$D,Einzelbeträge!$C:$C,'Ausgaben 2026'!$C18,Einzelbeträge!$E:$E,'Ausgaben 2026'!H$6)</f>
        <v>0</v>
      </c>
      <c r="I18" s="21">
        <f>SUMIFS(Einzelbeträge!$D:$D,Einzelbeträge!$C:$C,'Ausgaben 2026'!$C18,Einzelbeträge!$E:$E,'Ausgaben 2026'!I$6)</f>
        <v>0</v>
      </c>
      <c r="J18" s="21">
        <f>SUMIFS(Einzelbeträge!$D:$D,Einzelbeträge!$C:$C,'Ausgaben 2026'!$C18,Einzelbeträge!$E:$E,'Ausgaben 2026'!J$6)</f>
        <v>0</v>
      </c>
      <c r="K18" s="21">
        <f>SUMIFS(Einzelbeträge!$D:$D,Einzelbeträge!$C:$C,'Ausgaben 2026'!$C18,Einzelbeträge!$E:$E,'Ausgaben 2026'!K$6)</f>
        <v>0</v>
      </c>
      <c r="L18" s="21">
        <f>SUMIFS(Einzelbeträge!$D:$D,Einzelbeträge!$C:$C,'Ausgaben 2026'!$C18,Einzelbeträge!$E:$E,'Ausgaben 2026'!L$6)</f>
        <v>0</v>
      </c>
      <c r="M18" s="21">
        <f>SUMIFS(Einzelbeträge!$D:$D,Einzelbeträge!$C:$C,'Ausgaben 2026'!$C18,Einzelbeträge!$E:$E,'Ausgaben 2026'!M$6)</f>
        <v>0</v>
      </c>
      <c r="N18" s="35">
        <f>SUMIFS(Einzelbeträge!$D:$D,Einzelbeträge!$C:$C,'Ausgaben 2026'!$C18,Einzelbeträge!$E:$E,'Ausgaben 2026'!N$6)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23.03.2026 - 29.03.2026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46035</v>
      </c>
      <c r="D19" s="46">
        <f>SUMIFS(Einzelbeträge!$D:$D,Einzelbeträge!$C:$C,'Ausgaben 2026'!$C19)</f>
        <v>0</v>
      </c>
      <c r="E19" s="21">
        <f>SUMIFS(Einzelbeträge!$D:$D,Einzelbeträge!$C:$C,'Ausgaben 2026'!$C19,Einzelbeträge!$E:$E,'Ausgaben 2026'!E$6)</f>
        <v>0</v>
      </c>
      <c r="F19" s="21">
        <f>SUMIFS(Einzelbeträge!$D:$D,Einzelbeträge!$C:$C,'Ausgaben 2026'!$C19,Einzelbeträge!$E:$E,'Ausgaben 2026'!F$6)</f>
        <v>0</v>
      </c>
      <c r="G19" s="21">
        <f>SUMIFS(Einzelbeträge!$D:$D,Einzelbeträge!$C:$C,'Ausgaben 2026'!$C19,Einzelbeträge!$E:$E,'Ausgaben 2026'!G$6)</f>
        <v>0</v>
      </c>
      <c r="H19" s="21">
        <f>SUMIFS(Einzelbeträge!$D:$D,Einzelbeträge!$C:$C,'Ausgaben 2026'!$C19,Einzelbeträge!$E:$E,'Ausgaben 2026'!H$6)</f>
        <v>0</v>
      </c>
      <c r="I19" s="21">
        <f>SUMIFS(Einzelbeträge!$D:$D,Einzelbeträge!$C:$C,'Ausgaben 2026'!$C19,Einzelbeträge!$E:$E,'Ausgaben 2026'!I$6)</f>
        <v>0</v>
      </c>
      <c r="J19" s="21">
        <f>SUMIFS(Einzelbeträge!$D:$D,Einzelbeträge!$C:$C,'Ausgaben 2026'!$C19,Einzelbeträge!$E:$E,'Ausgaben 2026'!J$6)</f>
        <v>0</v>
      </c>
      <c r="K19" s="21">
        <f>SUMIFS(Einzelbeträge!$D:$D,Einzelbeträge!$C:$C,'Ausgaben 2026'!$C19,Einzelbeträge!$E:$E,'Ausgaben 2026'!K$6)</f>
        <v>0</v>
      </c>
      <c r="L19" s="21">
        <f>SUMIFS(Einzelbeträge!$D:$D,Einzelbeträge!$C:$C,'Ausgaben 2026'!$C19,Einzelbeträge!$E:$E,'Ausgaben 2026'!L$6)</f>
        <v>0</v>
      </c>
      <c r="M19" s="21">
        <f>SUMIFS(Einzelbeträge!$D:$D,Einzelbeträge!$C:$C,'Ausgaben 2026'!$C19,Einzelbeträge!$E:$E,'Ausgaben 2026'!M$6)</f>
        <v>0</v>
      </c>
      <c r="N19" s="35">
        <f>SUMIFS(Einzelbeträge!$D:$D,Einzelbeträge!$C:$C,'Ausgaben 2026'!$C19,Einzelbeträge!$E:$E,'Ausgaben 2026'!N$6)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30.03.2026 - 05.04.2026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46036</v>
      </c>
      <c r="D20" s="46">
        <f>SUMIFS(Einzelbeträge!$D:$D,Einzelbeträge!$C:$C,'Ausgaben 2026'!$C20)</f>
        <v>0</v>
      </c>
      <c r="E20" s="21">
        <f>SUMIFS(Einzelbeträge!$D:$D,Einzelbeträge!$C:$C,'Ausgaben 2026'!$C20,Einzelbeträge!$E:$E,'Ausgaben 2026'!E$6)</f>
        <v>0</v>
      </c>
      <c r="F20" s="21">
        <f>SUMIFS(Einzelbeträge!$D:$D,Einzelbeträge!$C:$C,'Ausgaben 2026'!$C20,Einzelbeträge!$E:$E,'Ausgaben 2026'!F$6)</f>
        <v>0</v>
      </c>
      <c r="G20" s="21">
        <f>SUMIFS(Einzelbeträge!$D:$D,Einzelbeträge!$C:$C,'Ausgaben 2026'!$C20,Einzelbeträge!$E:$E,'Ausgaben 2026'!G$6)</f>
        <v>0</v>
      </c>
      <c r="H20" s="21">
        <f>SUMIFS(Einzelbeträge!$D:$D,Einzelbeträge!$C:$C,'Ausgaben 2026'!$C20,Einzelbeträge!$E:$E,'Ausgaben 2026'!H$6)</f>
        <v>0</v>
      </c>
      <c r="I20" s="21">
        <f>SUMIFS(Einzelbeträge!$D:$D,Einzelbeträge!$C:$C,'Ausgaben 2026'!$C20,Einzelbeträge!$E:$E,'Ausgaben 2026'!I$6)</f>
        <v>0</v>
      </c>
      <c r="J20" s="21">
        <f>SUMIFS(Einzelbeträge!$D:$D,Einzelbeträge!$C:$C,'Ausgaben 2026'!$C20,Einzelbeträge!$E:$E,'Ausgaben 2026'!J$6)</f>
        <v>0</v>
      </c>
      <c r="K20" s="21">
        <f>SUMIFS(Einzelbeträge!$D:$D,Einzelbeträge!$C:$C,'Ausgaben 2026'!$C20,Einzelbeträge!$E:$E,'Ausgaben 2026'!K$6)</f>
        <v>0</v>
      </c>
      <c r="L20" s="21">
        <f>SUMIFS(Einzelbeträge!$D:$D,Einzelbeträge!$C:$C,'Ausgaben 2026'!$C20,Einzelbeträge!$E:$E,'Ausgaben 2026'!L$6)</f>
        <v>0</v>
      </c>
      <c r="M20" s="21">
        <f>SUMIFS(Einzelbeträge!$D:$D,Einzelbeträge!$C:$C,'Ausgaben 2026'!$C20,Einzelbeträge!$E:$E,'Ausgaben 2026'!M$6)</f>
        <v>0</v>
      </c>
      <c r="N20" s="35">
        <f>SUMIFS(Einzelbeträge!$D:$D,Einzelbeträge!$C:$C,'Ausgaben 2026'!$C20,Einzelbeträge!$E:$E,'Ausgaben 2026'!N$6)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06.04.2026 - 12.04.2026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46037</v>
      </c>
      <c r="D21" s="46">
        <f>SUMIFS(Einzelbeträge!$D:$D,Einzelbeträge!$C:$C,'Ausgaben 2026'!$C21)</f>
        <v>0</v>
      </c>
      <c r="E21" s="21">
        <f>SUMIFS(Einzelbeträge!$D:$D,Einzelbeträge!$C:$C,'Ausgaben 2026'!$C21,Einzelbeträge!$E:$E,'Ausgaben 2026'!E$6)</f>
        <v>0</v>
      </c>
      <c r="F21" s="21">
        <f>SUMIFS(Einzelbeträge!$D:$D,Einzelbeträge!$C:$C,'Ausgaben 2026'!$C21,Einzelbeträge!$E:$E,'Ausgaben 2026'!F$6)</f>
        <v>0</v>
      </c>
      <c r="G21" s="21">
        <f>SUMIFS(Einzelbeträge!$D:$D,Einzelbeträge!$C:$C,'Ausgaben 2026'!$C21,Einzelbeträge!$E:$E,'Ausgaben 2026'!G$6)</f>
        <v>0</v>
      </c>
      <c r="H21" s="21">
        <f>SUMIFS(Einzelbeträge!$D:$D,Einzelbeträge!$C:$C,'Ausgaben 2026'!$C21,Einzelbeträge!$E:$E,'Ausgaben 2026'!H$6)</f>
        <v>0</v>
      </c>
      <c r="I21" s="21">
        <f>SUMIFS(Einzelbeträge!$D:$D,Einzelbeträge!$C:$C,'Ausgaben 2026'!$C21,Einzelbeträge!$E:$E,'Ausgaben 2026'!I$6)</f>
        <v>0</v>
      </c>
      <c r="J21" s="21">
        <f>SUMIFS(Einzelbeträge!$D:$D,Einzelbeträge!$C:$C,'Ausgaben 2026'!$C21,Einzelbeträge!$E:$E,'Ausgaben 2026'!J$6)</f>
        <v>0</v>
      </c>
      <c r="K21" s="21">
        <f>SUMIFS(Einzelbeträge!$D:$D,Einzelbeträge!$C:$C,'Ausgaben 2026'!$C21,Einzelbeträge!$E:$E,'Ausgaben 2026'!K$6)</f>
        <v>0</v>
      </c>
      <c r="L21" s="21">
        <f>SUMIFS(Einzelbeträge!$D:$D,Einzelbeträge!$C:$C,'Ausgaben 2026'!$C21,Einzelbeträge!$E:$E,'Ausgaben 2026'!L$6)</f>
        <v>0</v>
      </c>
      <c r="M21" s="21">
        <f>SUMIFS(Einzelbeträge!$D:$D,Einzelbeträge!$C:$C,'Ausgaben 2026'!$C21,Einzelbeträge!$E:$E,'Ausgaben 2026'!M$6)</f>
        <v>0</v>
      </c>
      <c r="N21" s="35">
        <f>SUMIFS(Einzelbeträge!$D:$D,Einzelbeträge!$C:$C,'Ausgaben 2026'!$C21,Einzelbeträge!$E:$E,'Ausgaben 2026'!N$6)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13.04.2026 - 19.04.2026</v>
      </c>
      <c r="S21" s="46">
        <f t="shared" si="2"/>
        <v>60</v>
      </c>
      <c r="T21" s="55">
        <f t="shared" si="0"/>
        <v>0</v>
      </c>
      <c r="U21" s="55">
        <f t="shared" si="0"/>
        <v>30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10</v>
      </c>
      <c r="Z21" s="55">
        <f t="shared" si="0"/>
        <v>20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46038</v>
      </c>
      <c r="D22" s="46">
        <f>SUMIFS(Einzelbeträge!$D:$D,Einzelbeträge!$C:$C,'Ausgaben 2026'!$C22)</f>
        <v>0</v>
      </c>
      <c r="E22" s="21">
        <f>SUMIFS(Einzelbeträge!$D:$D,Einzelbeträge!$C:$C,'Ausgaben 2026'!$C22,Einzelbeträge!$E:$E,'Ausgaben 2026'!E$6)</f>
        <v>0</v>
      </c>
      <c r="F22" s="21">
        <f>SUMIFS(Einzelbeträge!$D:$D,Einzelbeträge!$C:$C,'Ausgaben 2026'!$C22,Einzelbeträge!$E:$E,'Ausgaben 2026'!F$6)</f>
        <v>0</v>
      </c>
      <c r="G22" s="21">
        <f>SUMIFS(Einzelbeträge!$D:$D,Einzelbeträge!$C:$C,'Ausgaben 2026'!$C22,Einzelbeträge!$E:$E,'Ausgaben 2026'!G$6)</f>
        <v>0</v>
      </c>
      <c r="H22" s="21">
        <f>SUMIFS(Einzelbeträge!$D:$D,Einzelbeträge!$C:$C,'Ausgaben 2026'!$C22,Einzelbeträge!$E:$E,'Ausgaben 2026'!H$6)</f>
        <v>0</v>
      </c>
      <c r="I22" s="21">
        <f>SUMIFS(Einzelbeträge!$D:$D,Einzelbeträge!$C:$C,'Ausgaben 2026'!$C22,Einzelbeträge!$E:$E,'Ausgaben 2026'!I$6)</f>
        <v>0</v>
      </c>
      <c r="J22" s="21">
        <f>SUMIFS(Einzelbeträge!$D:$D,Einzelbeträge!$C:$C,'Ausgaben 2026'!$C22,Einzelbeträge!$E:$E,'Ausgaben 2026'!J$6)</f>
        <v>0</v>
      </c>
      <c r="K22" s="21">
        <f>SUMIFS(Einzelbeträge!$D:$D,Einzelbeträge!$C:$C,'Ausgaben 2026'!$C22,Einzelbeträge!$E:$E,'Ausgaben 2026'!K$6)</f>
        <v>0</v>
      </c>
      <c r="L22" s="21">
        <f>SUMIFS(Einzelbeträge!$D:$D,Einzelbeträge!$C:$C,'Ausgaben 2026'!$C22,Einzelbeträge!$E:$E,'Ausgaben 2026'!L$6)</f>
        <v>0</v>
      </c>
      <c r="M22" s="21">
        <f>SUMIFS(Einzelbeträge!$D:$D,Einzelbeträge!$C:$C,'Ausgaben 2026'!$C22,Einzelbeträge!$E:$E,'Ausgaben 2026'!M$6)</f>
        <v>0</v>
      </c>
      <c r="N22" s="35">
        <f>SUMIFS(Einzelbeträge!$D:$D,Einzelbeträge!$C:$C,'Ausgaben 2026'!$C22,Einzelbeträge!$E:$E,'Ausgaben 2026'!N$6)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20.04.2026 - 26.04.2026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46039</v>
      </c>
      <c r="D23" s="46">
        <f>SUMIFS(Einzelbeträge!$D:$D,Einzelbeträge!$C:$C,'Ausgaben 2026'!$C23)</f>
        <v>0</v>
      </c>
      <c r="E23" s="21">
        <f>SUMIFS(Einzelbeträge!$D:$D,Einzelbeträge!$C:$C,'Ausgaben 2026'!$C23,Einzelbeträge!$E:$E,'Ausgaben 2026'!E$6)</f>
        <v>0</v>
      </c>
      <c r="F23" s="21">
        <f>SUMIFS(Einzelbeträge!$D:$D,Einzelbeträge!$C:$C,'Ausgaben 2026'!$C23,Einzelbeträge!$E:$E,'Ausgaben 2026'!F$6)</f>
        <v>0</v>
      </c>
      <c r="G23" s="21">
        <f>SUMIFS(Einzelbeträge!$D:$D,Einzelbeträge!$C:$C,'Ausgaben 2026'!$C23,Einzelbeträge!$E:$E,'Ausgaben 2026'!G$6)</f>
        <v>0</v>
      </c>
      <c r="H23" s="21">
        <f>SUMIFS(Einzelbeträge!$D:$D,Einzelbeträge!$C:$C,'Ausgaben 2026'!$C23,Einzelbeträge!$E:$E,'Ausgaben 2026'!H$6)</f>
        <v>0</v>
      </c>
      <c r="I23" s="21">
        <f>SUMIFS(Einzelbeträge!$D:$D,Einzelbeträge!$C:$C,'Ausgaben 2026'!$C23,Einzelbeträge!$E:$E,'Ausgaben 2026'!I$6)</f>
        <v>0</v>
      </c>
      <c r="J23" s="21">
        <f>SUMIFS(Einzelbeträge!$D:$D,Einzelbeträge!$C:$C,'Ausgaben 2026'!$C23,Einzelbeträge!$E:$E,'Ausgaben 2026'!J$6)</f>
        <v>0</v>
      </c>
      <c r="K23" s="21">
        <f>SUMIFS(Einzelbeträge!$D:$D,Einzelbeträge!$C:$C,'Ausgaben 2026'!$C23,Einzelbeträge!$E:$E,'Ausgaben 2026'!K$6)</f>
        <v>0</v>
      </c>
      <c r="L23" s="21">
        <f>SUMIFS(Einzelbeträge!$D:$D,Einzelbeträge!$C:$C,'Ausgaben 2026'!$C23,Einzelbeträge!$E:$E,'Ausgaben 2026'!L$6)</f>
        <v>0</v>
      </c>
      <c r="M23" s="21">
        <f>SUMIFS(Einzelbeträge!$D:$D,Einzelbeträge!$C:$C,'Ausgaben 2026'!$C23,Einzelbeträge!$E:$E,'Ausgaben 2026'!M$6)</f>
        <v>0</v>
      </c>
      <c r="N23" s="35">
        <f>SUMIFS(Einzelbeträge!$D:$D,Einzelbeträge!$C:$C,'Ausgaben 2026'!$C23,Einzelbeträge!$E:$E,'Ausgaben 2026'!N$6)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27.04.2026 - 03.05.2026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46040</v>
      </c>
      <c r="D24" s="46">
        <f>SUMIFS(Einzelbeträge!$D:$D,Einzelbeträge!$C:$C,'Ausgaben 2026'!$C24)</f>
        <v>0</v>
      </c>
      <c r="E24" s="21">
        <f>SUMIFS(Einzelbeträge!$D:$D,Einzelbeträge!$C:$C,'Ausgaben 2026'!$C24,Einzelbeträge!$E:$E,'Ausgaben 2026'!E$6)</f>
        <v>0</v>
      </c>
      <c r="F24" s="21">
        <f>SUMIFS(Einzelbeträge!$D:$D,Einzelbeträge!$C:$C,'Ausgaben 2026'!$C24,Einzelbeträge!$E:$E,'Ausgaben 2026'!F$6)</f>
        <v>0</v>
      </c>
      <c r="G24" s="21">
        <f>SUMIFS(Einzelbeträge!$D:$D,Einzelbeträge!$C:$C,'Ausgaben 2026'!$C24,Einzelbeträge!$E:$E,'Ausgaben 2026'!G$6)</f>
        <v>0</v>
      </c>
      <c r="H24" s="21">
        <f>SUMIFS(Einzelbeträge!$D:$D,Einzelbeträge!$C:$C,'Ausgaben 2026'!$C24,Einzelbeträge!$E:$E,'Ausgaben 2026'!H$6)</f>
        <v>0</v>
      </c>
      <c r="I24" s="21">
        <f>SUMIFS(Einzelbeträge!$D:$D,Einzelbeträge!$C:$C,'Ausgaben 2026'!$C24,Einzelbeträge!$E:$E,'Ausgaben 2026'!I$6)</f>
        <v>0</v>
      </c>
      <c r="J24" s="21">
        <f>SUMIFS(Einzelbeträge!$D:$D,Einzelbeträge!$C:$C,'Ausgaben 2026'!$C24,Einzelbeträge!$E:$E,'Ausgaben 2026'!J$6)</f>
        <v>0</v>
      </c>
      <c r="K24" s="21">
        <f>SUMIFS(Einzelbeträge!$D:$D,Einzelbeträge!$C:$C,'Ausgaben 2026'!$C24,Einzelbeträge!$E:$E,'Ausgaben 2026'!K$6)</f>
        <v>0</v>
      </c>
      <c r="L24" s="21">
        <f>SUMIFS(Einzelbeträge!$D:$D,Einzelbeträge!$C:$C,'Ausgaben 2026'!$C24,Einzelbeträge!$E:$E,'Ausgaben 2026'!L$6)</f>
        <v>0</v>
      </c>
      <c r="M24" s="21">
        <f>SUMIFS(Einzelbeträge!$D:$D,Einzelbeträge!$C:$C,'Ausgaben 2026'!$C24,Einzelbeträge!$E:$E,'Ausgaben 2026'!M$6)</f>
        <v>0</v>
      </c>
      <c r="N24" s="35">
        <f>SUMIFS(Einzelbeträge!$D:$D,Einzelbeträge!$C:$C,'Ausgaben 2026'!$C24,Einzelbeträge!$E:$E,'Ausgaben 2026'!N$6)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04.05.2026 - 10.05.2026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46041</v>
      </c>
      <c r="D25" s="46">
        <f>SUMIFS(Einzelbeträge!$D:$D,Einzelbeträge!$C:$C,'Ausgaben 2026'!$C25)</f>
        <v>0</v>
      </c>
      <c r="E25" s="21">
        <f>SUMIFS(Einzelbeträge!$D:$D,Einzelbeträge!$C:$C,'Ausgaben 2026'!$C25,Einzelbeträge!$E:$E,'Ausgaben 2026'!E$6)</f>
        <v>0</v>
      </c>
      <c r="F25" s="21">
        <f>SUMIFS(Einzelbeträge!$D:$D,Einzelbeträge!$C:$C,'Ausgaben 2026'!$C25,Einzelbeträge!$E:$E,'Ausgaben 2026'!F$6)</f>
        <v>0</v>
      </c>
      <c r="G25" s="21">
        <f>SUMIFS(Einzelbeträge!$D:$D,Einzelbeträge!$C:$C,'Ausgaben 2026'!$C25,Einzelbeträge!$E:$E,'Ausgaben 2026'!G$6)</f>
        <v>0</v>
      </c>
      <c r="H25" s="21">
        <f>SUMIFS(Einzelbeträge!$D:$D,Einzelbeträge!$C:$C,'Ausgaben 2026'!$C25,Einzelbeträge!$E:$E,'Ausgaben 2026'!H$6)</f>
        <v>0</v>
      </c>
      <c r="I25" s="21">
        <f>SUMIFS(Einzelbeträge!$D:$D,Einzelbeträge!$C:$C,'Ausgaben 2026'!$C25,Einzelbeträge!$E:$E,'Ausgaben 2026'!I$6)</f>
        <v>0</v>
      </c>
      <c r="J25" s="21">
        <f>SUMIFS(Einzelbeträge!$D:$D,Einzelbeträge!$C:$C,'Ausgaben 2026'!$C25,Einzelbeträge!$E:$E,'Ausgaben 2026'!J$6)</f>
        <v>0</v>
      </c>
      <c r="K25" s="21">
        <f>SUMIFS(Einzelbeträge!$D:$D,Einzelbeträge!$C:$C,'Ausgaben 2026'!$C25,Einzelbeträge!$E:$E,'Ausgaben 2026'!K$6)</f>
        <v>0</v>
      </c>
      <c r="L25" s="21">
        <f>SUMIFS(Einzelbeträge!$D:$D,Einzelbeträge!$C:$C,'Ausgaben 2026'!$C25,Einzelbeträge!$E:$E,'Ausgaben 2026'!L$6)</f>
        <v>0</v>
      </c>
      <c r="M25" s="21">
        <f>SUMIFS(Einzelbeträge!$D:$D,Einzelbeträge!$C:$C,'Ausgaben 2026'!$C25,Einzelbeträge!$E:$E,'Ausgaben 2026'!M$6)</f>
        <v>0</v>
      </c>
      <c r="N25" s="35">
        <f>SUMIFS(Einzelbeträge!$D:$D,Einzelbeträge!$C:$C,'Ausgaben 2026'!$C25,Einzelbeträge!$E:$E,'Ausgaben 2026'!N$6)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11.05.2026 - 17.05.2026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46042</v>
      </c>
      <c r="D26" s="46">
        <f>SUMIFS(Einzelbeträge!$D:$D,Einzelbeträge!$C:$C,'Ausgaben 2026'!$C26)</f>
        <v>0</v>
      </c>
      <c r="E26" s="21">
        <f>SUMIFS(Einzelbeträge!$D:$D,Einzelbeträge!$C:$C,'Ausgaben 2026'!$C26,Einzelbeträge!$E:$E,'Ausgaben 2026'!E$6)</f>
        <v>0</v>
      </c>
      <c r="F26" s="21">
        <f>SUMIFS(Einzelbeträge!$D:$D,Einzelbeträge!$C:$C,'Ausgaben 2026'!$C26,Einzelbeträge!$E:$E,'Ausgaben 2026'!F$6)</f>
        <v>0</v>
      </c>
      <c r="G26" s="21">
        <f>SUMIFS(Einzelbeträge!$D:$D,Einzelbeträge!$C:$C,'Ausgaben 2026'!$C26,Einzelbeträge!$E:$E,'Ausgaben 2026'!G$6)</f>
        <v>0</v>
      </c>
      <c r="H26" s="21">
        <f>SUMIFS(Einzelbeträge!$D:$D,Einzelbeträge!$C:$C,'Ausgaben 2026'!$C26,Einzelbeträge!$E:$E,'Ausgaben 2026'!H$6)</f>
        <v>0</v>
      </c>
      <c r="I26" s="21">
        <f>SUMIFS(Einzelbeträge!$D:$D,Einzelbeträge!$C:$C,'Ausgaben 2026'!$C26,Einzelbeträge!$E:$E,'Ausgaben 2026'!I$6)</f>
        <v>0</v>
      </c>
      <c r="J26" s="21">
        <f>SUMIFS(Einzelbeträge!$D:$D,Einzelbeträge!$C:$C,'Ausgaben 2026'!$C26,Einzelbeträge!$E:$E,'Ausgaben 2026'!J$6)</f>
        <v>0</v>
      </c>
      <c r="K26" s="21">
        <f>SUMIFS(Einzelbeträge!$D:$D,Einzelbeträge!$C:$C,'Ausgaben 2026'!$C26,Einzelbeträge!$E:$E,'Ausgaben 2026'!K$6)</f>
        <v>0</v>
      </c>
      <c r="L26" s="21">
        <f>SUMIFS(Einzelbeträge!$D:$D,Einzelbeträge!$C:$C,'Ausgaben 2026'!$C26,Einzelbeträge!$E:$E,'Ausgaben 2026'!L$6)</f>
        <v>0</v>
      </c>
      <c r="M26" s="21">
        <f>SUMIFS(Einzelbeträge!$D:$D,Einzelbeträge!$C:$C,'Ausgaben 2026'!$C26,Einzelbeträge!$E:$E,'Ausgaben 2026'!M$6)</f>
        <v>0</v>
      </c>
      <c r="N26" s="35">
        <f>SUMIFS(Einzelbeträge!$D:$D,Einzelbeträge!$C:$C,'Ausgaben 2026'!$C26,Einzelbeträge!$E:$E,'Ausgaben 2026'!N$6)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18.05.2026 - 24.05.2026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46043</v>
      </c>
      <c r="D27" s="46">
        <f>SUMIFS(Einzelbeträge!$D:$D,Einzelbeträge!$C:$C,'Ausgaben 2026'!$C27)</f>
        <v>0</v>
      </c>
      <c r="E27" s="21">
        <f>SUMIFS(Einzelbeträge!$D:$D,Einzelbeträge!$C:$C,'Ausgaben 2026'!$C27,Einzelbeträge!$E:$E,'Ausgaben 2026'!E$6)</f>
        <v>0</v>
      </c>
      <c r="F27" s="21">
        <f>SUMIFS(Einzelbeträge!$D:$D,Einzelbeträge!$C:$C,'Ausgaben 2026'!$C27,Einzelbeträge!$E:$E,'Ausgaben 2026'!F$6)</f>
        <v>0</v>
      </c>
      <c r="G27" s="21">
        <f>SUMIFS(Einzelbeträge!$D:$D,Einzelbeträge!$C:$C,'Ausgaben 2026'!$C27,Einzelbeträge!$E:$E,'Ausgaben 2026'!G$6)</f>
        <v>0</v>
      </c>
      <c r="H27" s="21">
        <f>SUMIFS(Einzelbeträge!$D:$D,Einzelbeträge!$C:$C,'Ausgaben 2026'!$C27,Einzelbeträge!$E:$E,'Ausgaben 2026'!H$6)</f>
        <v>0</v>
      </c>
      <c r="I27" s="21">
        <f>SUMIFS(Einzelbeträge!$D:$D,Einzelbeträge!$C:$C,'Ausgaben 2026'!$C27,Einzelbeträge!$E:$E,'Ausgaben 2026'!I$6)</f>
        <v>0</v>
      </c>
      <c r="J27" s="21">
        <f>SUMIFS(Einzelbeträge!$D:$D,Einzelbeträge!$C:$C,'Ausgaben 2026'!$C27,Einzelbeträge!$E:$E,'Ausgaben 2026'!J$6)</f>
        <v>0</v>
      </c>
      <c r="K27" s="21">
        <f>SUMIFS(Einzelbeträge!$D:$D,Einzelbeträge!$C:$C,'Ausgaben 2026'!$C27,Einzelbeträge!$E:$E,'Ausgaben 2026'!K$6)</f>
        <v>0</v>
      </c>
      <c r="L27" s="21">
        <f>SUMIFS(Einzelbeträge!$D:$D,Einzelbeträge!$C:$C,'Ausgaben 2026'!$C27,Einzelbeträge!$E:$E,'Ausgaben 2026'!L$6)</f>
        <v>0</v>
      </c>
      <c r="M27" s="21">
        <f>SUMIFS(Einzelbeträge!$D:$D,Einzelbeträge!$C:$C,'Ausgaben 2026'!$C27,Einzelbeträge!$E:$E,'Ausgaben 2026'!M$6)</f>
        <v>0</v>
      </c>
      <c r="N27" s="35">
        <f>SUMIFS(Einzelbeträge!$D:$D,Einzelbeträge!$C:$C,'Ausgaben 2026'!$C27,Einzelbeträge!$E:$E,'Ausgaben 2026'!N$6)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25.05.2026 - 31.05.2026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46044</v>
      </c>
      <c r="D28" s="46">
        <f>SUMIFS(Einzelbeträge!$D:$D,Einzelbeträge!$C:$C,'Ausgaben 2026'!$C28)</f>
        <v>0</v>
      </c>
      <c r="E28" s="21">
        <f>SUMIFS(Einzelbeträge!$D:$D,Einzelbeträge!$C:$C,'Ausgaben 2026'!$C28,Einzelbeträge!$E:$E,'Ausgaben 2026'!E$6)</f>
        <v>0</v>
      </c>
      <c r="F28" s="21">
        <f>SUMIFS(Einzelbeträge!$D:$D,Einzelbeträge!$C:$C,'Ausgaben 2026'!$C28,Einzelbeträge!$E:$E,'Ausgaben 2026'!F$6)</f>
        <v>0</v>
      </c>
      <c r="G28" s="21">
        <f>SUMIFS(Einzelbeträge!$D:$D,Einzelbeträge!$C:$C,'Ausgaben 2026'!$C28,Einzelbeträge!$E:$E,'Ausgaben 2026'!G$6)</f>
        <v>0</v>
      </c>
      <c r="H28" s="21">
        <f>SUMIFS(Einzelbeträge!$D:$D,Einzelbeträge!$C:$C,'Ausgaben 2026'!$C28,Einzelbeträge!$E:$E,'Ausgaben 2026'!H$6)</f>
        <v>0</v>
      </c>
      <c r="I28" s="21">
        <f>SUMIFS(Einzelbeträge!$D:$D,Einzelbeträge!$C:$C,'Ausgaben 2026'!$C28,Einzelbeträge!$E:$E,'Ausgaben 2026'!I$6)</f>
        <v>0</v>
      </c>
      <c r="J28" s="21">
        <f>SUMIFS(Einzelbeträge!$D:$D,Einzelbeträge!$C:$C,'Ausgaben 2026'!$C28,Einzelbeträge!$E:$E,'Ausgaben 2026'!J$6)</f>
        <v>0</v>
      </c>
      <c r="K28" s="21">
        <f>SUMIFS(Einzelbeträge!$D:$D,Einzelbeträge!$C:$C,'Ausgaben 2026'!$C28,Einzelbeträge!$E:$E,'Ausgaben 2026'!K$6)</f>
        <v>0</v>
      </c>
      <c r="L28" s="21">
        <f>SUMIFS(Einzelbeträge!$D:$D,Einzelbeträge!$C:$C,'Ausgaben 2026'!$C28,Einzelbeträge!$E:$E,'Ausgaben 2026'!L$6)</f>
        <v>0</v>
      </c>
      <c r="M28" s="21">
        <f>SUMIFS(Einzelbeträge!$D:$D,Einzelbeträge!$C:$C,'Ausgaben 2026'!$C28,Einzelbeträge!$E:$E,'Ausgaben 2026'!M$6)</f>
        <v>0</v>
      </c>
      <c r="N28" s="35">
        <f>SUMIFS(Einzelbeträge!$D:$D,Einzelbeträge!$C:$C,'Ausgaben 2026'!$C28,Einzelbeträge!$E:$E,'Ausgaben 2026'!N$6)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01.06.2026 - 07.06.2026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46045</v>
      </c>
      <c r="D29" s="46">
        <f>SUMIFS(Einzelbeträge!$D:$D,Einzelbeträge!$C:$C,'Ausgaben 2026'!$C29)</f>
        <v>0</v>
      </c>
      <c r="E29" s="21">
        <f>SUMIFS(Einzelbeträge!$D:$D,Einzelbeträge!$C:$C,'Ausgaben 2026'!$C29,Einzelbeträge!$E:$E,'Ausgaben 2026'!E$6)</f>
        <v>0</v>
      </c>
      <c r="F29" s="21">
        <f>SUMIFS(Einzelbeträge!$D:$D,Einzelbeträge!$C:$C,'Ausgaben 2026'!$C29,Einzelbeträge!$E:$E,'Ausgaben 2026'!F$6)</f>
        <v>0</v>
      </c>
      <c r="G29" s="21">
        <f>SUMIFS(Einzelbeträge!$D:$D,Einzelbeträge!$C:$C,'Ausgaben 2026'!$C29,Einzelbeträge!$E:$E,'Ausgaben 2026'!G$6)</f>
        <v>0</v>
      </c>
      <c r="H29" s="21">
        <f>SUMIFS(Einzelbeträge!$D:$D,Einzelbeträge!$C:$C,'Ausgaben 2026'!$C29,Einzelbeträge!$E:$E,'Ausgaben 2026'!H$6)</f>
        <v>0</v>
      </c>
      <c r="I29" s="21">
        <f>SUMIFS(Einzelbeträge!$D:$D,Einzelbeträge!$C:$C,'Ausgaben 2026'!$C29,Einzelbeträge!$E:$E,'Ausgaben 2026'!I$6)</f>
        <v>0</v>
      </c>
      <c r="J29" s="21">
        <f>SUMIFS(Einzelbeträge!$D:$D,Einzelbeträge!$C:$C,'Ausgaben 2026'!$C29,Einzelbeträge!$E:$E,'Ausgaben 2026'!J$6)</f>
        <v>0</v>
      </c>
      <c r="K29" s="21">
        <f>SUMIFS(Einzelbeträge!$D:$D,Einzelbeträge!$C:$C,'Ausgaben 2026'!$C29,Einzelbeträge!$E:$E,'Ausgaben 2026'!K$6)</f>
        <v>0</v>
      </c>
      <c r="L29" s="21">
        <f>SUMIFS(Einzelbeträge!$D:$D,Einzelbeträge!$C:$C,'Ausgaben 2026'!$C29,Einzelbeträge!$E:$E,'Ausgaben 2026'!L$6)</f>
        <v>0</v>
      </c>
      <c r="M29" s="21">
        <f>SUMIFS(Einzelbeträge!$D:$D,Einzelbeträge!$C:$C,'Ausgaben 2026'!$C29,Einzelbeträge!$E:$E,'Ausgaben 2026'!M$6)</f>
        <v>0</v>
      </c>
      <c r="N29" s="35">
        <f>SUMIFS(Einzelbeträge!$D:$D,Einzelbeträge!$C:$C,'Ausgaben 2026'!$C29,Einzelbeträge!$E:$E,'Ausgaben 2026'!N$6)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08.06.2026 - 14.06.2026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46046</v>
      </c>
      <c r="D30" s="46">
        <f>SUMIFS(Einzelbeträge!$D:$D,Einzelbeträge!$C:$C,'Ausgaben 2026'!$C30)</f>
        <v>0</v>
      </c>
      <c r="E30" s="21">
        <f>SUMIFS(Einzelbeträge!$D:$D,Einzelbeträge!$C:$C,'Ausgaben 2026'!$C30,Einzelbeträge!$E:$E,'Ausgaben 2026'!E$6)</f>
        <v>0</v>
      </c>
      <c r="F30" s="21">
        <f>SUMIFS(Einzelbeträge!$D:$D,Einzelbeträge!$C:$C,'Ausgaben 2026'!$C30,Einzelbeträge!$E:$E,'Ausgaben 2026'!F$6)</f>
        <v>0</v>
      </c>
      <c r="G30" s="21">
        <f>SUMIFS(Einzelbeträge!$D:$D,Einzelbeträge!$C:$C,'Ausgaben 2026'!$C30,Einzelbeträge!$E:$E,'Ausgaben 2026'!G$6)</f>
        <v>0</v>
      </c>
      <c r="H30" s="21">
        <f>SUMIFS(Einzelbeträge!$D:$D,Einzelbeträge!$C:$C,'Ausgaben 2026'!$C30,Einzelbeträge!$E:$E,'Ausgaben 2026'!H$6)</f>
        <v>0</v>
      </c>
      <c r="I30" s="21">
        <f>SUMIFS(Einzelbeträge!$D:$D,Einzelbeträge!$C:$C,'Ausgaben 2026'!$C30,Einzelbeträge!$E:$E,'Ausgaben 2026'!I$6)</f>
        <v>0</v>
      </c>
      <c r="J30" s="21">
        <f>SUMIFS(Einzelbeträge!$D:$D,Einzelbeträge!$C:$C,'Ausgaben 2026'!$C30,Einzelbeträge!$E:$E,'Ausgaben 2026'!J$6)</f>
        <v>0</v>
      </c>
      <c r="K30" s="21">
        <f>SUMIFS(Einzelbeträge!$D:$D,Einzelbeträge!$C:$C,'Ausgaben 2026'!$C30,Einzelbeträge!$E:$E,'Ausgaben 2026'!K$6)</f>
        <v>0</v>
      </c>
      <c r="L30" s="21">
        <f>SUMIFS(Einzelbeträge!$D:$D,Einzelbeträge!$C:$C,'Ausgaben 2026'!$C30,Einzelbeträge!$E:$E,'Ausgaben 2026'!L$6)</f>
        <v>0</v>
      </c>
      <c r="M30" s="21">
        <f>SUMIFS(Einzelbeträge!$D:$D,Einzelbeträge!$C:$C,'Ausgaben 2026'!$C30,Einzelbeträge!$E:$E,'Ausgaben 2026'!M$6)</f>
        <v>0</v>
      </c>
      <c r="N30" s="35">
        <f>SUMIFS(Einzelbeträge!$D:$D,Einzelbeträge!$C:$C,'Ausgaben 2026'!$C30,Einzelbeträge!$E:$E,'Ausgaben 2026'!N$6)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15.06.2026 - 21.06.2026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46047</v>
      </c>
      <c r="D31" s="46">
        <f>SUMIFS(Einzelbeträge!$D:$D,Einzelbeträge!$C:$C,'Ausgaben 2026'!$C31)</f>
        <v>0</v>
      </c>
      <c r="E31" s="21">
        <f>SUMIFS(Einzelbeträge!$D:$D,Einzelbeträge!$C:$C,'Ausgaben 2026'!$C31,Einzelbeträge!$E:$E,'Ausgaben 2026'!E$6)</f>
        <v>0</v>
      </c>
      <c r="F31" s="21">
        <f>SUMIFS(Einzelbeträge!$D:$D,Einzelbeträge!$C:$C,'Ausgaben 2026'!$C31,Einzelbeträge!$E:$E,'Ausgaben 2026'!F$6)</f>
        <v>0</v>
      </c>
      <c r="G31" s="21">
        <f>SUMIFS(Einzelbeträge!$D:$D,Einzelbeträge!$C:$C,'Ausgaben 2026'!$C31,Einzelbeträge!$E:$E,'Ausgaben 2026'!G$6)</f>
        <v>0</v>
      </c>
      <c r="H31" s="21">
        <f>SUMIFS(Einzelbeträge!$D:$D,Einzelbeträge!$C:$C,'Ausgaben 2026'!$C31,Einzelbeträge!$E:$E,'Ausgaben 2026'!H$6)</f>
        <v>0</v>
      </c>
      <c r="I31" s="21">
        <f>SUMIFS(Einzelbeträge!$D:$D,Einzelbeträge!$C:$C,'Ausgaben 2026'!$C31,Einzelbeträge!$E:$E,'Ausgaben 2026'!I$6)</f>
        <v>0</v>
      </c>
      <c r="J31" s="21">
        <f>SUMIFS(Einzelbeträge!$D:$D,Einzelbeträge!$C:$C,'Ausgaben 2026'!$C31,Einzelbeträge!$E:$E,'Ausgaben 2026'!J$6)</f>
        <v>0</v>
      </c>
      <c r="K31" s="21">
        <f>SUMIFS(Einzelbeträge!$D:$D,Einzelbeträge!$C:$C,'Ausgaben 2026'!$C31,Einzelbeträge!$E:$E,'Ausgaben 2026'!K$6)</f>
        <v>0</v>
      </c>
      <c r="L31" s="21">
        <f>SUMIFS(Einzelbeträge!$D:$D,Einzelbeträge!$C:$C,'Ausgaben 2026'!$C31,Einzelbeträge!$E:$E,'Ausgaben 2026'!L$6)</f>
        <v>0</v>
      </c>
      <c r="M31" s="21">
        <f>SUMIFS(Einzelbeträge!$D:$D,Einzelbeträge!$C:$C,'Ausgaben 2026'!$C31,Einzelbeträge!$E:$E,'Ausgaben 2026'!M$6)</f>
        <v>0</v>
      </c>
      <c r="N31" s="35">
        <f>SUMIFS(Einzelbeträge!$D:$D,Einzelbeträge!$C:$C,'Ausgaben 2026'!$C31,Einzelbeträge!$E:$E,'Ausgaben 2026'!N$6)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22.06.2026 - 28.06.2026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46048</v>
      </c>
      <c r="D32" s="46">
        <f>SUMIFS(Einzelbeträge!$D:$D,Einzelbeträge!$C:$C,'Ausgaben 2026'!$C32)</f>
        <v>0</v>
      </c>
      <c r="E32" s="21">
        <f>SUMIFS(Einzelbeträge!$D:$D,Einzelbeträge!$C:$C,'Ausgaben 2026'!$C32,Einzelbeträge!$E:$E,'Ausgaben 2026'!E$6)</f>
        <v>0</v>
      </c>
      <c r="F32" s="21">
        <f>SUMIFS(Einzelbeträge!$D:$D,Einzelbeträge!$C:$C,'Ausgaben 2026'!$C32,Einzelbeträge!$E:$E,'Ausgaben 2026'!F$6)</f>
        <v>0</v>
      </c>
      <c r="G32" s="21">
        <f>SUMIFS(Einzelbeträge!$D:$D,Einzelbeträge!$C:$C,'Ausgaben 2026'!$C32,Einzelbeträge!$E:$E,'Ausgaben 2026'!G$6)</f>
        <v>0</v>
      </c>
      <c r="H32" s="21">
        <f>SUMIFS(Einzelbeträge!$D:$D,Einzelbeträge!$C:$C,'Ausgaben 2026'!$C32,Einzelbeträge!$E:$E,'Ausgaben 2026'!H$6)</f>
        <v>0</v>
      </c>
      <c r="I32" s="21">
        <f>SUMIFS(Einzelbeträge!$D:$D,Einzelbeträge!$C:$C,'Ausgaben 2026'!$C32,Einzelbeträge!$E:$E,'Ausgaben 2026'!I$6)</f>
        <v>0</v>
      </c>
      <c r="J32" s="21">
        <f>SUMIFS(Einzelbeträge!$D:$D,Einzelbeträge!$C:$C,'Ausgaben 2026'!$C32,Einzelbeträge!$E:$E,'Ausgaben 2026'!J$6)</f>
        <v>0</v>
      </c>
      <c r="K32" s="21">
        <f>SUMIFS(Einzelbeträge!$D:$D,Einzelbeträge!$C:$C,'Ausgaben 2026'!$C32,Einzelbeträge!$E:$E,'Ausgaben 2026'!K$6)</f>
        <v>0</v>
      </c>
      <c r="L32" s="21">
        <f>SUMIFS(Einzelbeträge!$D:$D,Einzelbeträge!$C:$C,'Ausgaben 2026'!$C32,Einzelbeträge!$E:$E,'Ausgaben 2026'!L$6)</f>
        <v>0</v>
      </c>
      <c r="M32" s="21">
        <f>SUMIFS(Einzelbeträge!$D:$D,Einzelbeträge!$C:$C,'Ausgaben 2026'!$C32,Einzelbeträge!$E:$E,'Ausgaben 2026'!M$6)</f>
        <v>0</v>
      </c>
      <c r="N32" s="35">
        <f>SUMIFS(Einzelbeträge!$D:$D,Einzelbeträge!$C:$C,'Ausgaben 2026'!$C32,Einzelbeträge!$E:$E,'Ausgaben 2026'!N$6)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29.06.2026 - 05.07.2026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46049</v>
      </c>
      <c r="D33" s="46">
        <f>SUMIFS(Einzelbeträge!$D:$D,Einzelbeträge!$C:$C,'Ausgaben 2026'!$C33)</f>
        <v>0</v>
      </c>
      <c r="E33" s="21">
        <f>SUMIFS(Einzelbeträge!$D:$D,Einzelbeträge!$C:$C,'Ausgaben 2026'!$C33,Einzelbeträge!$E:$E,'Ausgaben 2026'!E$6)</f>
        <v>0</v>
      </c>
      <c r="F33" s="21">
        <f>SUMIFS(Einzelbeträge!$D:$D,Einzelbeträge!$C:$C,'Ausgaben 2026'!$C33,Einzelbeträge!$E:$E,'Ausgaben 2026'!F$6)</f>
        <v>0</v>
      </c>
      <c r="G33" s="21">
        <f>SUMIFS(Einzelbeträge!$D:$D,Einzelbeträge!$C:$C,'Ausgaben 2026'!$C33,Einzelbeträge!$E:$E,'Ausgaben 2026'!G$6)</f>
        <v>0</v>
      </c>
      <c r="H33" s="21">
        <f>SUMIFS(Einzelbeträge!$D:$D,Einzelbeträge!$C:$C,'Ausgaben 2026'!$C33,Einzelbeträge!$E:$E,'Ausgaben 2026'!H$6)</f>
        <v>0</v>
      </c>
      <c r="I33" s="21">
        <f>SUMIFS(Einzelbeträge!$D:$D,Einzelbeträge!$C:$C,'Ausgaben 2026'!$C33,Einzelbeträge!$E:$E,'Ausgaben 2026'!I$6)</f>
        <v>0</v>
      </c>
      <c r="J33" s="21">
        <f>SUMIFS(Einzelbeträge!$D:$D,Einzelbeträge!$C:$C,'Ausgaben 2026'!$C33,Einzelbeträge!$E:$E,'Ausgaben 2026'!J$6)</f>
        <v>0</v>
      </c>
      <c r="K33" s="21">
        <f>SUMIFS(Einzelbeträge!$D:$D,Einzelbeträge!$C:$C,'Ausgaben 2026'!$C33,Einzelbeträge!$E:$E,'Ausgaben 2026'!K$6)</f>
        <v>0</v>
      </c>
      <c r="L33" s="21">
        <f>SUMIFS(Einzelbeträge!$D:$D,Einzelbeträge!$C:$C,'Ausgaben 2026'!$C33,Einzelbeträge!$E:$E,'Ausgaben 2026'!L$6)</f>
        <v>0</v>
      </c>
      <c r="M33" s="21">
        <f>SUMIFS(Einzelbeträge!$D:$D,Einzelbeträge!$C:$C,'Ausgaben 2026'!$C33,Einzelbeträge!$E:$E,'Ausgaben 2026'!M$6)</f>
        <v>0</v>
      </c>
      <c r="N33" s="35">
        <f>SUMIFS(Einzelbeträge!$D:$D,Einzelbeträge!$C:$C,'Ausgaben 2026'!$C33,Einzelbeträge!$E:$E,'Ausgaben 2026'!N$6)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06.07.2026 - 12.07.2026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46050</v>
      </c>
      <c r="D34" s="46">
        <f>SUMIFS(Einzelbeträge!$D:$D,Einzelbeträge!$C:$C,'Ausgaben 2026'!$C34)</f>
        <v>0</v>
      </c>
      <c r="E34" s="21">
        <f>SUMIFS(Einzelbeträge!$D:$D,Einzelbeträge!$C:$C,'Ausgaben 2026'!$C34,Einzelbeträge!$E:$E,'Ausgaben 2026'!E$6)</f>
        <v>0</v>
      </c>
      <c r="F34" s="21">
        <f>SUMIFS(Einzelbeträge!$D:$D,Einzelbeträge!$C:$C,'Ausgaben 2026'!$C34,Einzelbeträge!$E:$E,'Ausgaben 2026'!F$6)</f>
        <v>0</v>
      </c>
      <c r="G34" s="21">
        <f>SUMIFS(Einzelbeträge!$D:$D,Einzelbeträge!$C:$C,'Ausgaben 2026'!$C34,Einzelbeträge!$E:$E,'Ausgaben 2026'!G$6)</f>
        <v>0</v>
      </c>
      <c r="H34" s="21">
        <f>SUMIFS(Einzelbeträge!$D:$D,Einzelbeträge!$C:$C,'Ausgaben 2026'!$C34,Einzelbeträge!$E:$E,'Ausgaben 2026'!H$6)</f>
        <v>0</v>
      </c>
      <c r="I34" s="21">
        <f>SUMIFS(Einzelbeträge!$D:$D,Einzelbeträge!$C:$C,'Ausgaben 2026'!$C34,Einzelbeträge!$E:$E,'Ausgaben 2026'!I$6)</f>
        <v>0</v>
      </c>
      <c r="J34" s="21">
        <f>SUMIFS(Einzelbeträge!$D:$D,Einzelbeträge!$C:$C,'Ausgaben 2026'!$C34,Einzelbeträge!$E:$E,'Ausgaben 2026'!J$6)</f>
        <v>0</v>
      </c>
      <c r="K34" s="21">
        <f>SUMIFS(Einzelbeträge!$D:$D,Einzelbeträge!$C:$C,'Ausgaben 2026'!$C34,Einzelbeträge!$E:$E,'Ausgaben 2026'!K$6)</f>
        <v>0</v>
      </c>
      <c r="L34" s="21">
        <f>SUMIFS(Einzelbeträge!$D:$D,Einzelbeträge!$C:$C,'Ausgaben 2026'!$C34,Einzelbeträge!$E:$E,'Ausgaben 2026'!L$6)</f>
        <v>0</v>
      </c>
      <c r="M34" s="21">
        <f>SUMIFS(Einzelbeträge!$D:$D,Einzelbeträge!$C:$C,'Ausgaben 2026'!$C34,Einzelbeträge!$E:$E,'Ausgaben 2026'!M$6)</f>
        <v>0</v>
      </c>
      <c r="N34" s="35">
        <f>SUMIFS(Einzelbeträge!$D:$D,Einzelbeträge!$C:$C,'Ausgaben 2026'!$C34,Einzelbeträge!$E:$E,'Ausgaben 2026'!N$6)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13.07.2026 - 19.07.2026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46051</v>
      </c>
      <c r="D35" s="46">
        <f>SUMIFS(Einzelbeträge!$D:$D,Einzelbeträge!$C:$C,'Ausgaben 2026'!$C35)</f>
        <v>0</v>
      </c>
      <c r="E35" s="21">
        <f>SUMIFS(Einzelbeträge!$D:$D,Einzelbeträge!$C:$C,'Ausgaben 2026'!$C35,Einzelbeträge!$E:$E,'Ausgaben 2026'!E$6)</f>
        <v>0</v>
      </c>
      <c r="F35" s="21">
        <f>SUMIFS(Einzelbeträge!$D:$D,Einzelbeträge!$C:$C,'Ausgaben 2026'!$C35,Einzelbeträge!$E:$E,'Ausgaben 2026'!F$6)</f>
        <v>0</v>
      </c>
      <c r="G35" s="21">
        <f>SUMIFS(Einzelbeträge!$D:$D,Einzelbeträge!$C:$C,'Ausgaben 2026'!$C35,Einzelbeträge!$E:$E,'Ausgaben 2026'!G$6)</f>
        <v>0</v>
      </c>
      <c r="H35" s="21">
        <f>SUMIFS(Einzelbeträge!$D:$D,Einzelbeträge!$C:$C,'Ausgaben 2026'!$C35,Einzelbeträge!$E:$E,'Ausgaben 2026'!H$6)</f>
        <v>0</v>
      </c>
      <c r="I35" s="21">
        <f>SUMIFS(Einzelbeträge!$D:$D,Einzelbeträge!$C:$C,'Ausgaben 2026'!$C35,Einzelbeträge!$E:$E,'Ausgaben 2026'!I$6)</f>
        <v>0</v>
      </c>
      <c r="J35" s="21">
        <f>SUMIFS(Einzelbeträge!$D:$D,Einzelbeträge!$C:$C,'Ausgaben 2026'!$C35,Einzelbeträge!$E:$E,'Ausgaben 2026'!J$6)</f>
        <v>0</v>
      </c>
      <c r="K35" s="21">
        <f>SUMIFS(Einzelbeträge!$D:$D,Einzelbeträge!$C:$C,'Ausgaben 2026'!$C35,Einzelbeträge!$E:$E,'Ausgaben 2026'!K$6)</f>
        <v>0</v>
      </c>
      <c r="L35" s="21">
        <f>SUMIFS(Einzelbeträge!$D:$D,Einzelbeträge!$C:$C,'Ausgaben 2026'!$C35,Einzelbeträge!$E:$E,'Ausgaben 2026'!L$6)</f>
        <v>0</v>
      </c>
      <c r="M35" s="21">
        <f>SUMIFS(Einzelbeträge!$D:$D,Einzelbeträge!$C:$C,'Ausgaben 2026'!$C35,Einzelbeträge!$E:$E,'Ausgaben 2026'!M$6)</f>
        <v>0</v>
      </c>
      <c r="N35" s="35">
        <f>SUMIFS(Einzelbeträge!$D:$D,Einzelbeträge!$C:$C,'Ausgaben 2026'!$C35,Einzelbeträge!$E:$E,'Ausgaben 2026'!N$6)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20.07.2026 - 26.07.2026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46052</v>
      </c>
      <c r="D36" s="46">
        <f>SUMIFS(Einzelbeträge!$D:$D,Einzelbeträge!$C:$C,'Ausgaben 2026'!$C36)</f>
        <v>0</v>
      </c>
      <c r="E36" s="21">
        <f>SUMIFS(Einzelbeträge!$D:$D,Einzelbeträge!$C:$C,'Ausgaben 2026'!$C36,Einzelbeträge!$E:$E,'Ausgaben 2026'!E$6)</f>
        <v>0</v>
      </c>
      <c r="F36" s="21">
        <f>SUMIFS(Einzelbeträge!$D:$D,Einzelbeträge!$C:$C,'Ausgaben 2026'!$C36,Einzelbeträge!$E:$E,'Ausgaben 2026'!F$6)</f>
        <v>0</v>
      </c>
      <c r="G36" s="21">
        <f>SUMIFS(Einzelbeträge!$D:$D,Einzelbeträge!$C:$C,'Ausgaben 2026'!$C36,Einzelbeträge!$E:$E,'Ausgaben 2026'!G$6)</f>
        <v>0</v>
      </c>
      <c r="H36" s="21">
        <f>SUMIFS(Einzelbeträge!$D:$D,Einzelbeträge!$C:$C,'Ausgaben 2026'!$C36,Einzelbeträge!$E:$E,'Ausgaben 2026'!H$6)</f>
        <v>0</v>
      </c>
      <c r="I36" s="21">
        <f>SUMIFS(Einzelbeträge!$D:$D,Einzelbeträge!$C:$C,'Ausgaben 2026'!$C36,Einzelbeträge!$E:$E,'Ausgaben 2026'!I$6)</f>
        <v>0</v>
      </c>
      <c r="J36" s="21">
        <f>SUMIFS(Einzelbeträge!$D:$D,Einzelbeträge!$C:$C,'Ausgaben 2026'!$C36,Einzelbeträge!$E:$E,'Ausgaben 2026'!J$6)</f>
        <v>0</v>
      </c>
      <c r="K36" s="21">
        <f>SUMIFS(Einzelbeträge!$D:$D,Einzelbeträge!$C:$C,'Ausgaben 2026'!$C36,Einzelbeträge!$E:$E,'Ausgaben 2026'!K$6)</f>
        <v>0</v>
      </c>
      <c r="L36" s="21">
        <f>SUMIFS(Einzelbeträge!$D:$D,Einzelbeträge!$C:$C,'Ausgaben 2026'!$C36,Einzelbeträge!$E:$E,'Ausgaben 2026'!L$6)</f>
        <v>0</v>
      </c>
      <c r="M36" s="21">
        <f>SUMIFS(Einzelbeträge!$D:$D,Einzelbeträge!$C:$C,'Ausgaben 2026'!$C36,Einzelbeträge!$E:$E,'Ausgaben 2026'!M$6)</f>
        <v>0</v>
      </c>
      <c r="N36" s="35">
        <f>SUMIFS(Einzelbeträge!$D:$D,Einzelbeträge!$C:$C,'Ausgaben 2026'!$C36,Einzelbeträge!$E:$E,'Ausgaben 2026'!N$6)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27.07.2026 - 02.08.2026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46053</v>
      </c>
      <c r="D37" s="47">
        <f>SUMIFS(Einzelbeträge!$D:$D,Einzelbeträge!$C:$C,'Ausgaben 2026'!$C37)</f>
        <v>0</v>
      </c>
      <c r="E37" s="37">
        <f>SUMIFS(Einzelbeträge!$D:$D,Einzelbeträge!$C:$C,'Ausgaben 2026'!$C37,Einzelbeträge!$E:$E,'Ausgaben 2026'!E$6)</f>
        <v>0</v>
      </c>
      <c r="F37" s="37">
        <f>SUMIFS(Einzelbeträge!$D:$D,Einzelbeträge!$C:$C,'Ausgaben 2026'!$C37,Einzelbeträge!$E:$E,'Ausgaben 2026'!F$6)</f>
        <v>0</v>
      </c>
      <c r="G37" s="37">
        <f>SUMIFS(Einzelbeträge!$D:$D,Einzelbeträge!$C:$C,'Ausgaben 2026'!$C37,Einzelbeträge!$E:$E,'Ausgaben 2026'!G$6)</f>
        <v>0</v>
      </c>
      <c r="H37" s="37">
        <f>SUMIFS(Einzelbeträge!$D:$D,Einzelbeträge!$C:$C,'Ausgaben 2026'!$C37,Einzelbeträge!$E:$E,'Ausgaben 2026'!H$6)</f>
        <v>0</v>
      </c>
      <c r="I37" s="37">
        <f>SUMIFS(Einzelbeträge!$D:$D,Einzelbeträge!$C:$C,'Ausgaben 2026'!$C37,Einzelbeträge!$E:$E,'Ausgaben 2026'!I$6)</f>
        <v>0</v>
      </c>
      <c r="J37" s="37">
        <f>SUMIFS(Einzelbeträge!$D:$D,Einzelbeträge!$C:$C,'Ausgaben 2026'!$C37,Einzelbeträge!$E:$E,'Ausgaben 2026'!J$6)</f>
        <v>0</v>
      </c>
      <c r="K37" s="37">
        <f>SUMIFS(Einzelbeträge!$D:$D,Einzelbeträge!$C:$C,'Ausgaben 2026'!$C37,Einzelbeträge!$E:$E,'Ausgaben 2026'!K$6)</f>
        <v>0</v>
      </c>
      <c r="L37" s="37">
        <f>SUMIFS(Einzelbeträge!$D:$D,Einzelbeträge!$C:$C,'Ausgaben 2026'!$C37,Einzelbeträge!$E:$E,'Ausgaben 2026'!L$6)</f>
        <v>0</v>
      </c>
      <c r="M37" s="37">
        <f>SUMIFS(Einzelbeträge!$D:$D,Einzelbeträge!$C:$C,'Ausgaben 2026'!$C37,Einzelbeträge!$E:$E,'Ausgaben 2026'!M$6)</f>
        <v>0</v>
      </c>
      <c r="N37" s="38">
        <f>SUMIFS(Einzelbeträge!$D:$D,Einzelbeträge!$C:$C,'Ausgaben 2026'!$C37,Einzelbeträge!$E:$E,'Ausgaben 2026'!N$6)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03.08.2026 - 09.08.2026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10.08.2026 - 16.08.2026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17.08.2026 - 23.08.2026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24.08.2026 - 30.08.2026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46054</v>
      </c>
      <c r="D41" s="45">
        <f>SUMIFS(Einzelbeträge!$D:$D,Einzelbeträge!$C:$C,'Ausgaben 2026'!$C41)</f>
        <v>0</v>
      </c>
      <c r="E41" s="32">
        <f>SUMIFS(Einzelbeträge!$D:$D,Einzelbeträge!$C:$C,'Ausgaben 2026'!$C41,Einzelbeträge!$E:$E,'Ausgaben 2026'!E$6)</f>
        <v>0</v>
      </c>
      <c r="F41" s="32">
        <f>SUMIFS(Einzelbeträge!$D:$D,Einzelbeträge!$C:$C,'Ausgaben 2026'!$C41,Einzelbeträge!$E:$E,'Ausgaben 2026'!F$6)</f>
        <v>0</v>
      </c>
      <c r="G41" s="32">
        <f>SUMIFS(Einzelbeträge!$D:$D,Einzelbeträge!$C:$C,'Ausgaben 2026'!$C41,Einzelbeträge!$E:$E,'Ausgaben 2026'!G$6)</f>
        <v>0</v>
      </c>
      <c r="H41" s="32">
        <f>SUMIFS(Einzelbeträge!$D:$D,Einzelbeträge!$C:$C,'Ausgaben 2026'!$C41,Einzelbeträge!$E:$E,'Ausgaben 2026'!H$6)</f>
        <v>0</v>
      </c>
      <c r="I41" s="32">
        <f>SUMIFS(Einzelbeträge!$D:$D,Einzelbeträge!$C:$C,'Ausgaben 2026'!$C41,Einzelbeträge!$E:$E,'Ausgaben 2026'!I$6)</f>
        <v>0</v>
      </c>
      <c r="J41" s="32">
        <f>SUMIFS(Einzelbeträge!$D:$D,Einzelbeträge!$C:$C,'Ausgaben 2026'!$C41,Einzelbeträge!$E:$E,'Ausgaben 2026'!J$6)</f>
        <v>0</v>
      </c>
      <c r="K41" s="32">
        <f>SUMIFS(Einzelbeträge!$D:$D,Einzelbeträge!$C:$C,'Ausgaben 2026'!$C41,Einzelbeträge!$E:$E,'Ausgaben 2026'!K$6)</f>
        <v>0</v>
      </c>
      <c r="L41" s="32">
        <f>SUMIFS(Einzelbeträge!$D:$D,Einzelbeträge!$C:$C,'Ausgaben 2026'!$C41,Einzelbeträge!$E:$E,'Ausgaben 2026'!L$6)</f>
        <v>0</v>
      </c>
      <c r="M41" s="32">
        <f>SUMIFS(Einzelbeträge!$D:$D,Einzelbeträge!$C:$C,'Ausgaben 2026'!$C41,Einzelbeträge!$E:$E,'Ausgaben 2026'!M$6)</f>
        <v>0</v>
      </c>
      <c r="N41" s="33">
        <f>SUMIFS(Einzelbeträge!$D:$D,Einzelbeträge!$C:$C,'Ausgaben 2026'!$C41,Einzelbeträge!$E:$E,'Ausgaben 2026'!N$6)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31.08.2026 - 06.09.2026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46055</v>
      </c>
      <c r="D42" s="46">
        <f>SUMIFS(Einzelbeträge!$D:$D,Einzelbeträge!$C:$C,'Ausgaben 2026'!$C42)</f>
        <v>0</v>
      </c>
      <c r="E42" s="21">
        <f>SUMIFS(Einzelbeträge!$D:$D,Einzelbeträge!$C:$C,'Ausgaben 2026'!$C42,Einzelbeträge!$E:$E,'Ausgaben 2026'!E$6)</f>
        <v>0</v>
      </c>
      <c r="F42" s="21">
        <f>SUMIFS(Einzelbeträge!$D:$D,Einzelbeträge!$C:$C,'Ausgaben 2026'!$C42,Einzelbeträge!$E:$E,'Ausgaben 2026'!F$6)</f>
        <v>0</v>
      </c>
      <c r="G42" s="21">
        <f>SUMIFS(Einzelbeträge!$D:$D,Einzelbeträge!$C:$C,'Ausgaben 2026'!$C42,Einzelbeträge!$E:$E,'Ausgaben 2026'!G$6)</f>
        <v>0</v>
      </c>
      <c r="H42" s="21">
        <f>SUMIFS(Einzelbeträge!$D:$D,Einzelbeträge!$C:$C,'Ausgaben 2026'!$C42,Einzelbeträge!$E:$E,'Ausgaben 2026'!H$6)</f>
        <v>0</v>
      </c>
      <c r="I42" s="21">
        <f>SUMIFS(Einzelbeträge!$D:$D,Einzelbeträge!$C:$C,'Ausgaben 2026'!$C42,Einzelbeträge!$E:$E,'Ausgaben 2026'!I$6)</f>
        <v>0</v>
      </c>
      <c r="J42" s="21">
        <f>SUMIFS(Einzelbeträge!$D:$D,Einzelbeträge!$C:$C,'Ausgaben 2026'!$C42,Einzelbeträge!$E:$E,'Ausgaben 2026'!J$6)</f>
        <v>0</v>
      </c>
      <c r="K42" s="21">
        <f>SUMIFS(Einzelbeträge!$D:$D,Einzelbeträge!$C:$C,'Ausgaben 2026'!$C42,Einzelbeträge!$E:$E,'Ausgaben 2026'!K$6)</f>
        <v>0</v>
      </c>
      <c r="L42" s="21">
        <f>SUMIFS(Einzelbeträge!$D:$D,Einzelbeträge!$C:$C,'Ausgaben 2026'!$C42,Einzelbeträge!$E:$E,'Ausgaben 2026'!L$6)</f>
        <v>0</v>
      </c>
      <c r="M42" s="21">
        <f>SUMIFS(Einzelbeträge!$D:$D,Einzelbeträge!$C:$C,'Ausgaben 2026'!$C42,Einzelbeträge!$E:$E,'Ausgaben 2026'!M$6)</f>
        <v>0</v>
      </c>
      <c r="N42" s="35">
        <f>SUMIFS(Einzelbeträge!$D:$D,Einzelbeträge!$C:$C,'Ausgaben 2026'!$C42,Einzelbeträge!$E:$E,'Ausgaben 2026'!N$6)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07.09.2026 - 13.09.2026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46056</v>
      </c>
      <c r="D43" s="46">
        <f>SUMIFS(Einzelbeträge!$D:$D,Einzelbeträge!$C:$C,'Ausgaben 2026'!$C43)</f>
        <v>0</v>
      </c>
      <c r="E43" s="21">
        <f>SUMIFS(Einzelbeträge!$D:$D,Einzelbeträge!$C:$C,'Ausgaben 2026'!$C43,Einzelbeträge!$E:$E,'Ausgaben 2026'!E$6)</f>
        <v>0</v>
      </c>
      <c r="F43" s="21">
        <f>SUMIFS(Einzelbeträge!$D:$D,Einzelbeträge!$C:$C,'Ausgaben 2026'!$C43,Einzelbeträge!$E:$E,'Ausgaben 2026'!F$6)</f>
        <v>0</v>
      </c>
      <c r="G43" s="21">
        <f>SUMIFS(Einzelbeträge!$D:$D,Einzelbeträge!$C:$C,'Ausgaben 2026'!$C43,Einzelbeträge!$E:$E,'Ausgaben 2026'!G$6)</f>
        <v>0</v>
      </c>
      <c r="H43" s="21">
        <f>SUMIFS(Einzelbeträge!$D:$D,Einzelbeträge!$C:$C,'Ausgaben 2026'!$C43,Einzelbeträge!$E:$E,'Ausgaben 2026'!H$6)</f>
        <v>0</v>
      </c>
      <c r="I43" s="21">
        <f>SUMIFS(Einzelbeträge!$D:$D,Einzelbeträge!$C:$C,'Ausgaben 2026'!$C43,Einzelbeträge!$E:$E,'Ausgaben 2026'!I$6)</f>
        <v>0</v>
      </c>
      <c r="J43" s="21">
        <f>SUMIFS(Einzelbeträge!$D:$D,Einzelbeträge!$C:$C,'Ausgaben 2026'!$C43,Einzelbeträge!$E:$E,'Ausgaben 2026'!J$6)</f>
        <v>0</v>
      </c>
      <c r="K43" s="21">
        <f>SUMIFS(Einzelbeträge!$D:$D,Einzelbeträge!$C:$C,'Ausgaben 2026'!$C43,Einzelbeträge!$E:$E,'Ausgaben 2026'!K$6)</f>
        <v>0</v>
      </c>
      <c r="L43" s="21">
        <f>SUMIFS(Einzelbeträge!$D:$D,Einzelbeträge!$C:$C,'Ausgaben 2026'!$C43,Einzelbeträge!$E:$E,'Ausgaben 2026'!L$6)</f>
        <v>0</v>
      </c>
      <c r="M43" s="21">
        <f>SUMIFS(Einzelbeträge!$D:$D,Einzelbeträge!$C:$C,'Ausgaben 2026'!$C43,Einzelbeträge!$E:$E,'Ausgaben 2026'!M$6)</f>
        <v>0</v>
      </c>
      <c r="N43" s="35">
        <f>SUMIFS(Einzelbeträge!$D:$D,Einzelbeträge!$C:$C,'Ausgaben 2026'!$C43,Einzelbeträge!$E:$E,'Ausgaben 2026'!N$6)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14.09.2026 - 20.09.2026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46057</v>
      </c>
      <c r="D44" s="46">
        <f>SUMIFS(Einzelbeträge!$D:$D,Einzelbeträge!$C:$C,'Ausgaben 2026'!$C44)</f>
        <v>0</v>
      </c>
      <c r="E44" s="21">
        <f>SUMIFS(Einzelbeträge!$D:$D,Einzelbeträge!$C:$C,'Ausgaben 2026'!$C44,Einzelbeträge!$E:$E,'Ausgaben 2026'!E$6)</f>
        <v>0</v>
      </c>
      <c r="F44" s="21">
        <f>SUMIFS(Einzelbeträge!$D:$D,Einzelbeträge!$C:$C,'Ausgaben 2026'!$C44,Einzelbeträge!$E:$E,'Ausgaben 2026'!F$6)</f>
        <v>0</v>
      </c>
      <c r="G44" s="21">
        <f>SUMIFS(Einzelbeträge!$D:$D,Einzelbeträge!$C:$C,'Ausgaben 2026'!$C44,Einzelbeträge!$E:$E,'Ausgaben 2026'!G$6)</f>
        <v>0</v>
      </c>
      <c r="H44" s="21">
        <f>SUMIFS(Einzelbeträge!$D:$D,Einzelbeträge!$C:$C,'Ausgaben 2026'!$C44,Einzelbeträge!$E:$E,'Ausgaben 2026'!H$6)</f>
        <v>0</v>
      </c>
      <c r="I44" s="21">
        <f>SUMIFS(Einzelbeträge!$D:$D,Einzelbeträge!$C:$C,'Ausgaben 2026'!$C44,Einzelbeträge!$E:$E,'Ausgaben 2026'!I$6)</f>
        <v>0</v>
      </c>
      <c r="J44" s="21">
        <f>SUMIFS(Einzelbeträge!$D:$D,Einzelbeträge!$C:$C,'Ausgaben 2026'!$C44,Einzelbeträge!$E:$E,'Ausgaben 2026'!J$6)</f>
        <v>0</v>
      </c>
      <c r="K44" s="21">
        <f>SUMIFS(Einzelbeträge!$D:$D,Einzelbeträge!$C:$C,'Ausgaben 2026'!$C44,Einzelbeträge!$E:$E,'Ausgaben 2026'!K$6)</f>
        <v>0</v>
      </c>
      <c r="L44" s="21">
        <f>SUMIFS(Einzelbeträge!$D:$D,Einzelbeträge!$C:$C,'Ausgaben 2026'!$C44,Einzelbeträge!$E:$E,'Ausgaben 2026'!L$6)</f>
        <v>0</v>
      </c>
      <c r="M44" s="21">
        <f>SUMIFS(Einzelbeträge!$D:$D,Einzelbeträge!$C:$C,'Ausgaben 2026'!$C44,Einzelbeträge!$E:$E,'Ausgaben 2026'!M$6)</f>
        <v>0</v>
      </c>
      <c r="N44" s="35">
        <f>SUMIFS(Einzelbeträge!$D:$D,Einzelbeträge!$C:$C,'Ausgaben 2026'!$C44,Einzelbeträge!$E:$E,'Ausgaben 2026'!N$6)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21.09.2026 - 27.09.2026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46058</v>
      </c>
      <c r="D45" s="46">
        <f>SUMIFS(Einzelbeträge!$D:$D,Einzelbeträge!$C:$C,'Ausgaben 2026'!$C45)</f>
        <v>0</v>
      </c>
      <c r="E45" s="21">
        <f>SUMIFS(Einzelbeträge!$D:$D,Einzelbeträge!$C:$C,'Ausgaben 2026'!$C45,Einzelbeträge!$E:$E,'Ausgaben 2026'!E$6)</f>
        <v>0</v>
      </c>
      <c r="F45" s="21">
        <f>SUMIFS(Einzelbeträge!$D:$D,Einzelbeträge!$C:$C,'Ausgaben 2026'!$C45,Einzelbeträge!$E:$E,'Ausgaben 2026'!F$6)</f>
        <v>0</v>
      </c>
      <c r="G45" s="21">
        <f>SUMIFS(Einzelbeträge!$D:$D,Einzelbeträge!$C:$C,'Ausgaben 2026'!$C45,Einzelbeträge!$E:$E,'Ausgaben 2026'!G$6)</f>
        <v>0</v>
      </c>
      <c r="H45" s="21">
        <f>SUMIFS(Einzelbeträge!$D:$D,Einzelbeträge!$C:$C,'Ausgaben 2026'!$C45,Einzelbeträge!$E:$E,'Ausgaben 2026'!H$6)</f>
        <v>0</v>
      </c>
      <c r="I45" s="21">
        <f>SUMIFS(Einzelbeträge!$D:$D,Einzelbeträge!$C:$C,'Ausgaben 2026'!$C45,Einzelbeträge!$E:$E,'Ausgaben 2026'!I$6)</f>
        <v>0</v>
      </c>
      <c r="J45" s="21">
        <f>SUMIFS(Einzelbeträge!$D:$D,Einzelbeträge!$C:$C,'Ausgaben 2026'!$C45,Einzelbeträge!$E:$E,'Ausgaben 2026'!J$6)</f>
        <v>0</v>
      </c>
      <c r="K45" s="21">
        <f>SUMIFS(Einzelbeträge!$D:$D,Einzelbeträge!$C:$C,'Ausgaben 2026'!$C45,Einzelbeträge!$E:$E,'Ausgaben 2026'!K$6)</f>
        <v>0</v>
      </c>
      <c r="L45" s="21">
        <f>SUMIFS(Einzelbeträge!$D:$D,Einzelbeträge!$C:$C,'Ausgaben 2026'!$C45,Einzelbeträge!$E:$E,'Ausgaben 2026'!L$6)</f>
        <v>0</v>
      </c>
      <c r="M45" s="21">
        <f>SUMIFS(Einzelbeträge!$D:$D,Einzelbeträge!$C:$C,'Ausgaben 2026'!$C45,Einzelbeträge!$E:$E,'Ausgaben 2026'!M$6)</f>
        <v>0</v>
      </c>
      <c r="N45" s="35">
        <f>SUMIFS(Einzelbeträge!$D:$D,Einzelbeträge!$C:$C,'Ausgaben 2026'!$C45,Einzelbeträge!$E:$E,'Ausgaben 2026'!N$6)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28.09.2026 - 04.10.2026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46059</v>
      </c>
      <c r="D46" s="46">
        <f>SUMIFS(Einzelbeträge!$D:$D,Einzelbeträge!$C:$C,'Ausgaben 2026'!$C46)</f>
        <v>0</v>
      </c>
      <c r="E46" s="21">
        <f>SUMIFS(Einzelbeträge!$D:$D,Einzelbeträge!$C:$C,'Ausgaben 2026'!$C46,Einzelbeträge!$E:$E,'Ausgaben 2026'!E$6)</f>
        <v>0</v>
      </c>
      <c r="F46" s="21">
        <f>SUMIFS(Einzelbeträge!$D:$D,Einzelbeträge!$C:$C,'Ausgaben 2026'!$C46,Einzelbeträge!$E:$E,'Ausgaben 2026'!F$6)</f>
        <v>0</v>
      </c>
      <c r="G46" s="21">
        <f>SUMIFS(Einzelbeträge!$D:$D,Einzelbeträge!$C:$C,'Ausgaben 2026'!$C46,Einzelbeträge!$E:$E,'Ausgaben 2026'!G$6)</f>
        <v>0</v>
      </c>
      <c r="H46" s="21">
        <f>SUMIFS(Einzelbeträge!$D:$D,Einzelbeträge!$C:$C,'Ausgaben 2026'!$C46,Einzelbeträge!$E:$E,'Ausgaben 2026'!H$6)</f>
        <v>0</v>
      </c>
      <c r="I46" s="21">
        <f>SUMIFS(Einzelbeträge!$D:$D,Einzelbeträge!$C:$C,'Ausgaben 2026'!$C46,Einzelbeträge!$E:$E,'Ausgaben 2026'!I$6)</f>
        <v>0</v>
      </c>
      <c r="J46" s="21">
        <f>SUMIFS(Einzelbeträge!$D:$D,Einzelbeträge!$C:$C,'Ausgaben 2026'!$C46,Einzelbeträge!$E:$E,'Ausgaben 2026'!J$6)</f>
        <v>0</v>
      </c>
      <c r="K46" s="21">
        <f>SUMIFS(Einzelbeträge!$D:$D,Einzelbeträge!$C:$C,'Ausgaben 2026'!$C46,Einzelbeträge!$E:$E,'Ausgaben 2026'!K$6)</f>
        <v>0</v>
      </c>
      <c r="L46" s="21">
        <f>SUMIFS(Einzelbeträge!$D:$D,Einzelbeträge!$C:$C,'Ausgaben 2026'!$C46,Einzelbeträge!$E:$E,'Ausgaben 2026'!L$6)</f>
        <v>0</v>
      </c>
      <c r="M46" s="21">
        <f>SUMIFS(Einzelbeträge!$D:$D,Einzelbeträge!$C:$C,'Ausgaben 2026'!$C46,Einzelbeträge!$E:$E,'Ausgaben 2026'!M$6)</f>
        <v>0</v>
      </c>
      <c r="N46" s="35">
        <f>SUMIFS(Einzelbeträge!$D:$D,Einzelbeträge!$C:$C,'Ausgaben 2026'!$C46,Einzelbeträge!$E:$E,'Ausgaben 2026'!N$6)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05.10.2026 - 11.10.2026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46060</v>
      </c>
      <c r="D47" s="46">
        <f>SUMIFS(Einzelbeträge!$D:$D,Einzelbeträge!$C:$C,'Ausgaben 2026'!$C47)</f>
        <v>0</v>
      </c>
      <c r="E47" s="21">
        <f>SUMIFS(Einzelbeträge!$D:$D,Einzelbeträge!$C:$C,'Ausgaben 2026'!$C47,Einzelbeträge!$E:$E,'Ausgaben 2026'!E$6)</f>
        <v>0</v>
      </c>
      <c r="F47" s="21">
        <f>SUMIFS(Einzelbeträge!$D:$D,Einzelbeträge!$C:$C,'Ausgaben 2026'!$C47,Einzelbeträge!$E:$E,'Ausgaben 2026'!F$6)</f>
        <v>0</v>
      </c>
      <c r="G47" s="21">
        <f>SUMIFS(Einzelbeträge!$D:$D,Einzelbeträge!$C:$C,'Ausgaben 2026'!$C47,Einzelbeträge!$E:$E,'Ausgaben 2026'!G$6)</f>
        <v>0</v>
      </c>
      <c r="H47" s="21">
        <f>SUMIFS(Einzelbeträge!$D:$D,Einzelbeträge!$C:$C,'Ausgaben 2026'!$C47,Einzelbeträge!$E:$E,'Ausgaben 2026'!H$6)</f>
        <v>0</v>
      </c>
      <c r="I47" s="21">
        <f>SUMIFS(Einzelbeträge!$D:$D,Einzelbeträge!$C:$C,'Ausgaben 2026'!$C47,Einzelbeträge!$E:$E,'Ausgaben 2026'!I$6)</f>
        <v>0</v>
      </c>
      <c r="J47" s="21">
        <f>SUMIFS(Einzelbeträge!$D:$D,Einzelbeträge!$C:$C,'Ausgaben 2026'!$C47,Einzelbeträge!$E:$E,'Ausgaben 2026'!J$6)</f>
        <v>0</v>
      </c>
      <c r="K47" s="21">
        <f>SUMIFS(Einzelbeträge!$D:$D,Einzelbeträge!$C:$C,'Ausgaben 2026'!$C47,Einzelbeträge!$E:$E,'Ausgaben 2026'!K$6)</f>
        <v>0</v>
      </c>
      <c r="L47" s="21">
        <f>SUMIFS(Einzelbeträge!$D:$D,Einzelbeträge!$C:$C,'Ausgaben 2026'!$C47,Einzelbeträge!$E:$E,'Ausgaben 2026'!L$6)</f>
        <v>0</v>
      </c>
      <c r="M47" s="21">
        <f>SUMIFS(Einzelbeträge!$D:$D,Einzelbeträge!$C:$C,'Ausgaben 2026'!$C47,Einzelbeträge!$E:$E,'Ausgaben 2026'!M$6)</f>
        <v>0</v>
      </c>
      <c r="N47" s="35">
        <f>SUMIFS(Einzelbeträge!$D:$D,Einzelbeträge!$C:$C,'Ausgaben 2026'!$C47,Einzelbeträge!$E:$E,'Ausgaben 2026'!N$6)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12.10.2026 - 18.10.2026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46061</v>
      </c>
      <c r="D48" s="46">
        <f>SUMIFS(Einzelbeträge!$D:$D,Einzelbeträge!$C:$C,'Ausgaben 2026'!$C48)</f>
        <v>0</v>
      </c>
      <c r="E48" s="21">
        <f>SUMIFS(Einzelbeträge!$D:$D,Einzelbeträge!$C:$C,'Ausgaben 2026'!$C48,Einzelbeträge!$E:$E,'Ausgaben 2026'!E$6)</f>
        <v>0</v>
      </c>
      <c r="F48" s="21">
        <f>SUMIFS(Einzelbeträge!$D:$D,Einzelbeträge!$C:$C,'Ausgaben 2026'!$C48,Einzelbeträge!$E:$E,'Ausgaben 2026'!F$6)</f>
        <v>0</v>
      </c>
      <c r="G48" s="21">
        <f>SUMIFS(Einzelbeträge!$D:$D,Einzelbeträge!$C:$C,'Ausgaben 2026'!$C48,Einzelbeträge!$E:$E,'Ausgaben 2026'!G$6)</f>
        <v>0</v>
      </c>
      <c r="H48" s="21">
        <f>SUMIFS(Einzelbeträge!$D:$D,Einzelbeträge!$C:$C,'Ausgaben 2026'!$C48,Einzelbeträge!$E:$E,'Ausgaben 2026'!H$6)</f>
        <v>0</v>
      </c>
      <c r="I48" s="21">
        <f>SUMIFS(Einzelbeträge!$D:$D,Einzelbeträge!$C:$C,'Ausgaben 2026'!$C48,Einzelbeträge!$E:$E,'Ausgaben 2026'!I$6)</f>
        <v>0</v>
      </c>
      <c r="J48" s="21">
        <f>SUMIFS(Einzelbeträge!$D:$D,Einzelbeträge!$C:$C,'Ausgaben 2026'!$C48,Einzelbeträge!$E:$E,'Ausgaben 2026'!J$6)</f>
        <v>0</v>
      </c>
      <c r="K48" s="21">
        <f>SUMIFS(Einzelbeträge!$D:$D,Einzelbeträge!$C:$C,'Ausgaben 2026'!$C48,Einzelbeträge!$E:$E,'Ausgaben 2026'!K$6)</f>
        <v>0</v>
      </c>
      <c r="L48" s="21">
        <f>SUMIFS(Einzelbeträge!$D:$D,Einzelbeträge!$C:$C,'Ausgaben 2026'!$C48,Einzelbeträge!$E:$E,'Ausgaben 2026'!L$6)</f>
        <v>0</v>
      </c>
      <c r="M48" s="21">
        <f>SUMIFS(Einzelbeträge!$D:$D,Einzelbeträge!$C:$C,'Ausgaben 2026'!$C48,Einzelbeträge!$E:$E,'Ausgaben 2026'!M$6)</f>
        <v>0</v>
      </c>
      <c r="N48" s="35">
        <f>SUMIFS(Einzelbeträge!$D:$D,Einzelbeträge!$C:$C,'Ausgaben 2026'!$C48,Einzelbeträge!$E:$E,'Ausgaben 2026'!N$6)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19.10.2026 - 25.10.2026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46062</v>
      </c>
      <c r="D49" s="46">
        <f>SUMIFS(Einzelbeträge!$D:$D,Einzelbeträge!$C:$C,'Ausgaben 2026'!$C49)</f>
        <v>0</v>
      </c>
      <c r="E49" s="21">
        <f>SUMIFS(Einzelbeträge!$D:$D,Einzelbeträge!$C:$C,'Ausgaben 2026'!$C49,Einzelbeträge!$E:$E,'Ausgaben 2026'!E$6)</f>
        <v>0</v>
      </c>
      <c r="F49" s="21">
        <f>SUMIFS(Einzelbeträge!$D:$D,Einzelbeträge!$C:$C,'Ausgaben 2026'!$C49,Einzelbeträge!$E:$E,'Ausgaben 2026'!F$6)</f>
        <v>0</v>
      </c>
      <c r="G49" s="21">
        <f>SUMIFS(Einzelbeträge!$D:$D,Einzelbeträge!$C:$C,'Ausgaben 2026'!$C49,Einzelbeträge!$E:$E,'Ausgaben 2026'!G$6)</f>
        <v>0</v>
      </c>
      <c r="H49" s="21">
        <f>SUMIFS(Einzelbeträge!$D:$D,Einzelbeträge!$C:$C,'Ausgaben 2026'!$C49,Einzelbeträge!$E:$E,'Ausgaben 2026'!H$6)</f>
        <v>0</v>
      </c>
      <c r="I49" s="21">
        <f>SUMIFS(Einzelbeträge!$D:$D,Einzelbeträge!$C:$C,'Ausgaben 2026'!$C49,Einzelbeträge!$E:$E,'Ausgaben 2026'!I$6)</f>
        <v>0</v>
      </c>
      <c r="J49" s="21">
        <f>SUMIFS(Einzelbeträge!$D:$D,Einzelbeträge!$C:$C,'Ausgaben 2026'!$C49,Einzelbeträge!$E:$E,'Ausgaben 2026'!J$6)</f>
        <v>0</v>
      </c>
      <c r="K49" s="21">
        <f>SUMIFS(Einzelbeträge!$D:$D,Einzelbeträge!$C:$C,'Ausgaben 2026'!$C49,Einzelbeträge!$E:$E,'Ausgaben 2026'!K$6)</f>
        <v>0</v>
      </c>
      <c r="L49" s="21">
        <f>SUMIFS(Einzelbeträge!$D:$D,Einzelbeträge!$C:$C,'Ausgaben 2026'!$C49,Einzelbeträge!$E:$E,'Ausgaben 2026'!L$6)</f>
        <v>0</v>
      </c>
      <c r="M49" s="21">
        <f>SUMIFS(Einzelbeträge!$D:$D,Einzelbeträge!$C:$C,'Ausgaben 2026'!$C49,Einzelbeträge!$E:$E,'Ausgaben 2026'!M$6)</f>
        <v>0</v>
      </c>
      <c r="N49" s="35">
        <f>SUMIFS(Einzelbeträge!$D:$D,Einzelbeträge!$C:$C,'Ausgaben 2026'!$C49,Einzelbeträge!$E:$E,'Ausgaben 2026'!N$6)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26.10.2026 - 01.11.2026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46063</v>
      </c>
      <c r="D50" s="46">
        <f>SUMIFS(Einzelbeträge!$D:$D,Einzelbeträge!$C:$C,'Ausgaben 2026'!$C50)</f>
        <v>0</v>
      </c>
      <c r="E50" s="21">
        <f>SUMIFS(Einzelbeträge!$D:$D,Einzelbeträge!$C:$C,'Ausgaben 2026'!$C50,Einzelbeträge!$E:$E,'Ausgaben 2026'!E$6)</f>
        <v>0</v>
      </c>
      <c r="F50" s="21">
        <f>SUMIFS(Einzelbeträge!$D:$D,Einzelbeträge!$C:$C,'Ausgaben 2026'!$C50,Einzelbeträge!$E:$E,'Ausgaben 2026'!F$6)</f>
        <v>0</v>
      </c>
      <c r="G50" s="21">
        <f>SUMIFS(Einzelbeträge!$D:$D,Einzelbeträge!$C:$C,'Ausgaben 2026'!$C50,Einzelbeträge!$E:$E,'Ausgaben 2026'!G$6)</f>
        <v>0</v>
      </c>
      <c r="H50" s="21">
        <f>SUMIFS(Einzelbeträge!$D:$D,Einzelbeträge!$C:$C,'Ausgaben 2026'!$C50,Einzelbeträge!$E:$E,'Ausgaben 2026'!H$6)</f>
        <v>0</v>
      </c>
      <c r="I50" s="21">
        <f>SUMIFS(Einzelbeträge!$D:$D,Einzelbeträge!$C:$C,'Ausgaben 2026'!$C50,Einzelbeträge!$E:$E,'Ausgaben 2026'!I$6)</f>
        <v>0</v>
      </c>
      <c r="J50" s="21">
        <f>SUMIFS(Einzelbeträge!$D:$D,Einzelbeträge!$C:$C,'Ausgaben 2026'!$C50,Einzelbeträge!$E:$E,'Ausgaben 2026'!J$6)</f>
        <v>0</v>
      </c>
      <c r="K50" s="21">
        <f>SUMIFS(Einzelbeträge!$D:$D,Einzelbeträge!$C:$C,'Ausgaben 2026'!$C50,Einzelbeträge!$E:$E,'Ausgaben 2026'!K$6)</f>
        <v>0</v>
      </c>
      <c r="L50" s="21">
        <f>SUMIFS(Einzelbeträge!$D:$D,Einzelbeträge!$C:$C,'Ausgaben 2026'!$C50,Einzelbeträge!$E:$E,'Ausgaben 2026'!L$6)</f>
        <v>0</v>
      </c>
      <c r="M50" s="21">
        <f>SUMIFS(Einzelbeträge!$D:$D,Einzelbeträge!$C:$C,'Ausgaben 2026'!$C50,Einzelbeträge!$E:$E,'Ausgaben 2026'!M$6)</f>
        <v>0</v>
      </c>
      <c r="N50" s="35">
        <f>SUMIFS(Einzelbeträge!$D:$D,Einzelbeträge!$C:$C,'Ausgaben 2026'!$C50,Einzelbeträge!$E:$E,'Ausgaben 2026'!N$6)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02.11.2026 - 08.11.2026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46064</v>
      </c>
      <c r="D51" s="46">
        <f>SUMIFS(Einzelbeträge!$D:$D,Einzelbeträge!$C:$C,'Ausgaben 2026'!$C51)</f>
        <v>0</v>
      </c>
      <c r="E51" s="21">
        <f>SUMIFS(Einzelbeträge!$D:$D,Einzelbeträge!$C:$C,'Ausgaben 2026'!$C51,Einzelbeträge!$E:$E,'Ausgaben 2026'!E$6)</f>
        <v>0</v>
      </c>
      <c r="F51" s="21">
        <f>SUMIFS(Einzelbeträge!$D:$D,Einzelbeträge!$C:$C,'Ausgaben 2026'!$C51,Einzelbeträge!$E:$E,'Ausgaben 2026'!F$6)</f>
        <v>0</v>
      </c>
      <c r="G51" s="21">
        <f>SUMIFS(Einzelbeträge!$D:$D,Einzelbeträge!$C:$C,'Ausgaben 2026'!$C51,Einzelbeträge!$E:$E,'Ausgaben 2026'!G$6)</f>
        <v>0</v>
      </c>
      <c r="H51" s="21">
        <f>SUMIFS(Einzelbeträge!$D:$D,Einzelbeträge!$C:$C,'Ausgaben 2026'!$C51,Einzelbeträge!$E:$E,'Ausgaben 2026'!H$6)</f>
        <v>0</v>
      </c>
      <c r="I51" s="21">
        <f>SUMIFS(Einzelbeträge!$D:$D,Einzelbeträge!$C:$C,'Ausgaben 2026'!$C51,Einzelbeträge!$E:$E,'Ausgaben 2026'!I$6)</f>
        <v>0</v>
      </c>
      <c r="J51" s="21">
        <f>SUMIFS(Einzelbeträge!$D:$D,Einzelbeträge!$C:$C,'Ausgaben 2026'!$C51,Einzelbeträge!$E:$E,'Ausgaben 2026'!J$6)</f>
        <v>0</v>
      </c>
      <c r="K51" s="21">
        <f>SUMIFS(Einzelbeträge!$D:$D,Einzelbeträge!$C:$C,'Ausgaben 2026'!$C51,Einzelbeträge!$E:$E,'Ausgaben 2026'!K$6)</f>
        <v>0</v>
      </c>
      <c r="L51" s="21">
        <f>SUMIFS(Einzelbeträge!$D:$D,Einzelbeträge!$C:$C,'Ausgaben 2026'!$C51,Einzelbeträge!$E:$E,'Ausgaben 2026'!L$6)</f>
        <v>0</v>
      </c>
      <c r="M51" s="21">
        <f>SUMIFS(Einzelbeträge!$D:$D,Einzelbeträge!$C:$C,'Ausgaben 2026'!$C51,Einzelbeträge!$E:$E,'Ausgaben 2026'!M$6)</f>
        <v>0</v>
      </c>
      <c r="N51" s="35">
        <f>SUMIFS(Einzelbeträge!$D:$D,Einzelbeträge!$C:$C,'Ausgaben 2026'!$C51,Einzelbeträge!$E:$E,'Ausgaben 2026'!N$6)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09.11.2026 - 15.11.2026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46065</v>
      </c>
      <c r="D52" s="46">
        <f>SUMIFS(Einzelbeträge!$D:$D,Einzelbeträge!$C:$C,'Ausgaben 2026'!$C52)</f>
        <v>0</v>
      </c>
      <c r="E52" s="21">
        <f>SUMIFS(Einzelbeträge!$D:$D,Einzelbeträge!$C:$C,'Ausgaben 2026'!$C52,Einzelbeträge!$E:$E,'Ausgaben 2026'!E$6)</f>
        <v>0</v>
      </c>
      <c r="F52" s="21">
        <f>SUMIFS(Einzelbeträge!$D:$D,Einzelbeträge!$C:$C,'Ausgaben 2026'!$C52,Einzelbeträge!$E:$E,'Ausgaben 2026'!F$6)</f>
        <v>0</v>
      </c>
      <c r="G52" s="21">
        <f>SUMIFS(Einzelbeträge!$D:$D,Einzelbeträge!$C:$C,'Ausgaben 2026'!$C52,Einzelbeträge!$E:$E,'Ausgaben 2026'!G$6)</f>
        <v>0</v>
      </c>
      <c r="H52" s="21">
        <f>SUMIFS(Einzelbeträge!$D:$D,Einzelbeträge!$C:$C,'Ausgaben 2026'!$C52,Einzelbeträge!$E:$E,'Ausgaben 2026'!H$6)</f>
        <v>0</v>
      </c>
      <c r="I52" s="21">
        <f>SUMIFS(Einzelbeträge!$D:$D,Einzelbeträge!$C:$C,'Ausgaben 2026'!$C52,Einzelbeträge!$E:$E,'Ausgaben 2026'!I$6)</f>
        <v>0</v>
      </c>
      <c r="J52" s="21">
        <f>SUMIFS(Einzelbeträge!$D:$D,Einzelbeträge!$C:$C,'Ausgaben 2026'!$C52,Einzelbeträge!$E:$E,'Ausgaben 2026'!J$6)</f>
        <v>0</v>
      </c>
      <c r="K52" s="21">
        <f>SUMIFS(Einzelbeträge!$D:$D,Einzelbeträge!$C:$C,'Ausgaben 2026'!$C52,Einzelbeträge!$E:$E,'Ausgaben 2026'!K$6)</f>
        <v>0</v>
      </c>
      <c r="L52" s="21">
        <f>SUMIFS(Einzelbeträge!$D:$D,Einzelbeträge!$C:$C,'Ausgaben 2026'!$C52,Einzelbeträge!$E:$E,'Ausgaben 2026'!L$6)</f>
        <v>0</v>
      </c>
      <c r="M52" s="21">
        <f>SUMIFS(Einzelbeträge!$D:$D,Einzelbeträge!$C:$C,'Ausgaben 2026'!$C52,Einzelbeträge!$E:$E,'Ausgaben 2026'!M$6)</f>
        <v>0</v>
      </c>
      <c r="N52" s="35">
        <f>SUMIFS(Einzelbeträge!$D:$D,Einzelbeträge!$C:$C,'Ausgaben 2026'!$C52,Einzelbeträge!$E:$E,'Ausgaben 2026'!N$6)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16.11.2026 - 22.11.2026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46066</v>
      </c>
      <c r="D53" s="46">
        <f>SUMIFS(Einzelbeträge!$D:$D,Einzelbeträge!$C:$C,'Ausgaben 2026'!$C53)</f>
        <v>0</v>
      </c>
      <c r="E53" s="21">
        <f>SUMIFS(Einzelbeträge!$D:$D,Einzelbeträge!$C:$C,'Ausgaben 2026'!$C53,Einzelbeträge!$E:$E,'Ausgaben 2026'!E$6)</f>
        <v>0</v>
      </c>
      <c r="F53" s="21">
        <f>SUMIFS(Einzelbeträge!$D:$D,Einzelbeträge!$C:$C,'Ausgaben 2026'!$C53,Einzelbeträge!$E:$E,'Ausgaben 2026'!F$6)</f>
        <v>0</v>
      </c>
      <c r="G53" s="21">
        <f>SUMIFS(Einzelbeträge!$D:$D,Einzelbeträge!$C:$C,'Ausgaben 2026'!$C53,Einzelbeträge!$E:$E,'Ausgaben 2026'!G$6)</f>
        <v>0</v>
      </c>
      <c r="H53" s="21">
        <f>SUMIFS(Einzelbeträge!$D:$D,Einzelbeträge!$C:$C,'Ausgaben 2026'!$C53,Einzelbeträge!$E:$E,'Ausgaben 2026'!H$6)</f>
        <v>0</v>
      </c>
      <c r="I53" s="21">
        <f>SUMIFS(Einzelbeträge!$D:$D,Einzelbeträge!$C:$C,'Ausgaben 2026'!$C53,Einzelbeträge!$E:$E,'Ausgaben 2026'!I$6)</f>
        <v>0</v>
      </c>
      <c r="J53" s="21">
        <f>SUMIFS(Einzelbeträge!$D:$D,Einzelbeträge!$C:$C,'Ausgaben 2026'!$C53,Einzelbeträge!$E:$E,'Ausgaben 2026'!J$6)</f>
        <v>0</v>
      </c>
      <c r="K53" s="21">
        <f>SUMIFS(Einzelbeträge!$D:$D,Einzelbeträge!$C:$C,'Ausgaben 2026'!$C53,Einzelbeträge!$E:$E,'Ausgaben 2026'!K$6)</f>
        <v>0</v>
      </c>
      <c r="L53" s="21">
        <f>SUMIFS(Einzelbeträge!$D:$D,Einzelbeträge!$C:$C,'Ausgaben 2026'!$C53,Einzelbeträge!$E:$E,'Ausgaben 2026'!L$6)</f>
        <v>0</v>
      </c>
      <c r="M53" s="21">
        <f>SUMIFS(Einzelbeträge!$D:$D,Einzelbeträge!$C:$C,'Ausgaben 2026'!$C53,Einzelbeträge!$E:$E,'Ausgaben 2026'!M$6)</f>
        <v>0</v>
      </c>
      <c r="N53" s="35">
        <f>SUMIFS(Einzelbeträge!$D:$D,Einzelbeträge!$C:$C,'Ausgaben 2026'!$C53,Einzelbeträge!$E:$E,'Ausgaben 2026'!N$6)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23.11.2026 - 29.11.2026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46067</v>
      </c>
      <c r="D54" s="46">
        <f>SUMIFS(Einzelbeträge!$D:$D,Einzelbeträge!$C:$C,'Ausgaben 2026'!$C54)</f>
        <v>0</v>
      </c>
      <c r="E54" s="21">
        <f>SUMIFS(Einzelbeträge!$D:$D,Einzelbeträge!$C:$C,'Ausgaben 2026'!$C54,Einzelbeträge!$E:$E,'Ausgaben 2026'!E$6)</f>
        <v>0</v>
      </c>
      <c r="F54" s="21">
        <f>SUMIFS(Einzelbeträge!$D:$D,Einzelbeträge!$C:$C,'Ausgaben 2026'!$C54,Einzelbeträge!$E:$E,'Ausgaben 2026'!F$6)</f>
        <v>0</v>
      </c>
      <c r="G54" s="21">
        <f>SUMIFS(Einzelbeträge!$D:$D,Einzelbeträge!$C:$C,'Ausgaben 2026'!$C54,Einzelbeträge!$E:$E,'Ausgaben 2026'!G$6)</f>
        <v>0</v>
      </c>
      <c r="H54" s="21">
        <f>SUMIFS(Einzelbeträge!$D:$D,Einzelbeträge!$C:$C,'Ausgaben 2026'!$C54,Einzelbeträge!$E:$E,'Ausgaben 2026'!H$6)</f>
        <v>0</v>
      </c>
      <c r="I54" s="21">
        <f>SUMIFS(Einzelbeträge!$D:$D,Einzelbeträge!$C:$C,'Ausgaben 2026'!$C54,Einzelbeträge!$E:$E,'Ausgaben 2026'!I$6)</f>
        <v>0</v>
      </c>
      <c r="J54" s="21">
        <f>SUMIFS(Einzelbeträge!$D:$D,Einzelbeträge!$C:$C,'Ausgaben 2026'!$C54,Einzelbeträge!$E:$E,'Ausgaben 2026'!J$6)</f>
        <v>0</v>
      </c>
      <c r="K54" s="21">
        <f>SUMIFS(Einzelbeträge!$D:$D,Einzelbeträge!$C:$C,'Ausgaben 2026'!$C54,Einzelbeträge!$E:$E,'Ausgaben 2026'!K$6)</f>
        <v>0</v>
      </c>
      <c r="L54" s="21">
        <f>SUMIFS(Einzelbeträge!$D:$D,Einzelbeträge!$C:$C,'Ausgaben 2026'!$C54,Einzelbeträge!$E:$E,'Ausgaben 2026'!L$6)</f>
        <v>0</v>
      </c>
      <c r="M54" s="21">
        <f>SUMIFS(Einzelbeträge!$D:$D,Einzelbeträge!$C:$C,'Ausgaben 2026'!$C54,Einzelbeträge!$E:$E,'Ausgaben 2026'!M$6)</f>
        <v>0</v>
      </c>
      <c r="N54" s="35">
        <f>SUMIFS(Einzelbeträge!$D:$D,Einzelbeträge!$C:$C,'Ausgaben 2026'!$C54,Einzelbeträge!$E:$E,'Ausgaben 2026'!N$6)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30.11.2026 - 06.12.2026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46068</v>
      </c>
      <c r="D55" s="46">
        <f>SUMIFS(Einzelbeträge!$D:$D,Einzelbeträge!$C:$C,'Ausgaben 2026'!$C55)</f>
        <v>0</v>
      </c>
      <c r="E55" s="21">
        <f>SUMIFS(Einzelbeträge!$D:$D,Einzelbeträge!$C:$C,'Ausgaben 2026'!$C55,Einzelbeträge!$E:$E,'Ausgaben 2026'!E$6)</f>
        <v>0</v>
      </c>
      <c r="F55" s="21">
        <f>SUMIFS(Einzelbeträge!$D:$D,Einzelbeträge!$C:$C,'Ausgaben 2026'!$C55,Einzelbeträge!$E:$E,'Ausgaben 2026'!F$6)</f>
        <v>0</v>
      </c>
      <c r="G55" s="21">
        <f>SUMIFS(Einzelbeträge!$D:$D,Einzelbeträge!$C:$C,'Ausgaben 2026'!$C55,Einzelbeträge!$E:$E,'Ausgaben 2026'!G$6)</f>
        <v>0</v>
      </c>
      <c r="H55" s="21">
        <f>SUMIFS(Einzelbeträge!$D:$D,Einzelbeträge!$C:$C,'Ausgaben 2026'!$C55,Einzelbeträge!$E:$E,'Ausgaben 2026'!H$6)</f>
        <v>0</v>
      </c>
      <c r="I55" s="21">
        <f>SUMIFS(Einzelbeträge!$D:$D,Einzelbeträge!$C:$C,'Ausgaben 2026'!$C55,Einzelbeträge!$E:$E,'Ausgaben 2026'!I$6)</f>
        <v>0</v>
      </c>
      <c r="J55" s="21">
        <f>SUMIFS(Einzelbeträge!$D:$D,Einzelbeträge!$C:$C,'Ausgaben 2026'!$C55,Einzelbeträge!$E:$E,'Ausgaben 2026'!J$6)</f>
        <v>0</v>
      </c>
      <c r="K55" s="21">
        <f>SUMIFS(Einzelbeträge!$D:$D,Einzelbeträge!$C:$C,'Ausgaben 2026'!$C55,Einzelbeträge!$E:$E,'Ausgaben 2026'!K$6)</f>
        <v>0</v>
      </c>
      <c r="L55" s="21">
        <f>SUMIFS(Einzelbeträge!$D:$D,Einzelbeträge!$C:$C,'Ausgaben 2026'!$C55,Einzelbeträge!$E:$E,'Ausgaben 2026'!L$6)</f>
        <v>0</v>
      </c>
      <c r="M55" s="21">
        <f>SUMIFS(Einzelbeträge!$D:$D,Einzelbeträge!$C:$C,'Ausgaben 2026'!$C55,Einzelbeträge!$E:$E,'Ausgaben 2026'!M$6)</f>
        <v>0</v>
      </c>
      <c r="N55" s="35">
        <f>SUMIFS(Einzelbeträge!$D:$D,Einzelbeträge!$C:$C,'Ausgaben 2026'!$C55,Einzelbeträge!$E:$E,'Ausgaben 2026'!N$6)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07.12.2026 - 13.12.2026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46069</v>
      </c>
      <c r="D56" s="46">
        <f>SUMIFS(Einzelbeträge!$D:$D,Einzelbeträge!$C:$C,'Ausgaben 2026'!$C56)</f>
        <v>0</v>
      </c>
      <c r="E56" s="21">
        <f>SUMIFS(Einzelbeträge!$D:$D,Einzelbeträge!$C:$C,'Ausgaben 2026'!$C56,Einzelbeträge!$E:$E,'Ausgaben 2026'!E$6)</f>
        <v>0</v>
      </c>
      <c r="F56" s="21">
        <f>SUMIFS(Einzelbeträge!$D:$D,Einzelbeträge!$C:$C,'Ausgaben 2026'!$C56,Einzelbeträge!$E:$E,'Ausgaben 2026'!F$6)</f>
        <v>0</v>
      </c>
      <c r="G56" s="21">
        <f>SUMIFS(Einzelbeträge!$D:$D,Einzelbeträge!$C:$C,'Ausgaben 2026'!$C56,Einzelbeträge!$E:$E,'Ausgaben 2026'!G$6)</f>
        <v>0</v>
      </c>
      <c r="H56" s="21">
        <f>SUMIFS(Einzelbeträge!$D:$D,Einzelbeträge!$C:$C,'Ausgaben 2026'!$C56,Einzelbeträge!$E:$E,'Ausgaben 2026'!H$6)</f>
        <v>0</v>
      </c>
      <c r="I56" s="21">
        <f>SUMIFS(Einzelbeträge!$D:$D,Einzelbeträge!$C:$C,'Ausgaben 2026'!$C56,Einzelbeträge!$E:$E,'Ausgaben 2026'!I$6)</f>
        <v>0</v>
      </c>
      <c r="J56" s="21">
        <f>SUMIFS(Einzelbeträge!$D:$D,Einzelbeträge!$C:$C,'Ausgaben 2026'!$C56,Einzelbeträge!$E:$E,'Ausgaben 2026'!J$6)</f>
        <v>0</v>
      </c>
      <c r="K56" s="21">
        <f>SUMIFS(Einzelbeträge!$D:$D,Einzelbeträge!$C:$C,'Ausgaben 2026'!$C56,Einzelbeträge!$E:$E,'Ausgaben 2026'!K$6)</f>
        <v>0</v>
      </c>
      <c r="L56" s="21">
        <f>SUMIFS(Einzelbeträge!$D:$D,Einzelbeträge!$C:$C,'Ausgaben 2026'!$C56,Einzelbeträge!$E:$E,'Ausgaben 2026'!L$6)</f>
        <v>0</v>
      </c>
      <c r="M56" s="21">
        <f>SUMIFS(Einzelbeträge!$D:$D,Einzelbeträge!$C:$C,'Ausgaben 2026'!$C56,Einzelbeträge!$E:$E,'Ausgaben 2026'!M$6)</f>
        <v>0</v>
      </c>
      <c r="N56" s="35">
        <f>SUMIFS(Einzelbeträge!$D:$D,Einzelbeträge!$C:$C,'Ausgaben 2026'!$C56,Einzelbeträge!$E:$E,'Ausgaben 2026'!N$6)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14.12.2026 - 20.12.2026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46070</v>
      </c>
      <c r="D57" s="46">
        <f>SUMIFS(Einzelbeträge!$D:$D,Einzelbeträge!$C:$C,'Ausgaben 2026'!$C57)</f>
        <v>0</v>
      </c>
      <c r="E57" s="21">
        <f>SUMIFS(Einzelbeträge!$D:$D,Einzelbeträge!$C:$C,'Ausgaben 2026'!$C57,Einzelbeträge!$E:$E,'Ausgaben 2026'!E$6)</f>
        <v>0</v>
      </c>
      <c r="F57" s="21">
        <f>SUMIFS(Einzelbeträge!$D:$D,Einzelbeträge!$C:$C,'Ausgaben 2026'!$C57,Einzelbeträge!$E:$E,'Ausgaben 2026'!F$6)</f>
        <v>0</v>
      </c>
      <c r="G57" s="21">
        <f>SUMIFS(Einzelbeträge!$D:$D,Einzelbeträge!$C:$C,'Ausgaben 2026'!$C57,Einzelbeträge!$E:$E,'Ausgaben 2026'!G$6)</f>
        <v>0</v>
      </c>
      <c r="H57" s="21">
        <f>SUMIFS(Einzelbeträge!$D:$D,Einzelbeträge!$C:$C,'Ausgaben 2026'!$C57,Einzelbeträge!$E:$E,'Ausgaben 2026'!H$6)</f>
        <v>0</v>
      </c>
      <c r="I57" s="21">
        <f>SUMIFS(Einzelbeträge!$D:$D,Einzelbeträge!$C:$C,'Ausgaben 2026'!$C57,Einzelbeträge!$E:$E,'Ausgaben 2026'!I$6)</f>
        <v>0</v>
      </c>
      <c r="J57" s="21">
        <f>SUMIFS(Einzelbeträge!$D:$D,Einzelbeträge!$C:$C,'Ausgaben 2026'!$C57,Einzelbeträge!$E:$E,'Ausgaben 2026'!J$6)</f>
        <v>0</v>
      </c>
      <c r="K57" s="21">
        <f>SUMIFS(Einzelbeträge!$D:$D,Einzelbeträge!$C:$C,'Ausgaben 2026'!$C57,Einzelbeträge!$E:$E,'Ausgaben 2026'!K$6)</f>
        <v>0</v>
      </c>
      <c r="L57" s="21">
        <f>SUMIFS(Einzelbeträge!$D:$D,Einzelbeträge!$C:$C,'Ausgaben 2026'!$C57,Einzelbeträge!$E:$E,'Ausgaben 2026'!L$6)</f>
        <v>0</v>
      </c>
      <c r="M57" s="21">
        <f>SUMIFS(Einzelbeträge!$D:$D,Einzelbeträge!$C:$C,'Ausgaben 2026'!$C57,Einzelbeträge!$E:$E,'Ausgaben 2026'!M$6)</f>
        <v>0</v>
      </c>
      <c r="N57" s="35">
        <f>SUMIFS(Einzelbeträge!$D:$D,Einzelbeträge!$C:$C,'Ausgaben 2026'!$C57,Einzelbeträge!$E:$E,'Ausgaben 2026'!N$6)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21.12.2026 - 27.12.2026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46071</v>
      </c>
      <c r="D58" s="46">
        <f>SUMIFS(Einzelbeträge!$D:$D,Einzelbeträge!$C:$C,'Ausgaben 2026'!$C58)</f>
        <v>0</v>
      </c>
      <c r="E58" s="21">
        <f>SUMIFS(Einzelbeträge!$D:$D,Einzelbeträge!$C:$C,'Ausgaben 2026'!$C58,Einzelbeträge!$E:$E,'Ausgaben 2026'!E$6)</f>
        <v>0</v>
      </c>
      <c r="F58" s="21">
        <f>SUMIFS(Einzelbeträge!$D:$D,Einzelbeträge!$C:$C,'Ausgaben 2026'!$C58,Einzelbeträge!$E:$E,'Ausgaben 2026'!F$6)</f>
        <v>0</v>
      </c>
      <c r="G58" s="21">
        <f>SUMIFS(Einzelbeträge!$D:$D,Einzelbeträge!$C:$C,'Ausgaben 2026'!$C58,Einzelbeträge!$E:$E,'Ausgaben 2026'!G$6)</f>
        <v>0</v>
      </c>
      <c r="H58" s="21">
        <f>SUMIFS(Einzelbeträge!$D:$D,Einzelbeträge!$C:$C,'Ausgaben 2026'!$C58,Einzelbeträge!$E:$E,'Ausgaben 2026'!H$6)</f>
        <v>0</v>
      </c>
      <c r="I58" s="21">
        <f>SUMIFS(Einzelbeträge!$D:$D,Einzelbeträge!$C:$C,'Ausgaben 2026'!$C58,Einzelbeträge!$E:$E,'Ausgaben 2026'!I$6)</f>
        <v>0</v>
      </c>
      <c r="J58" s="21">
        <f>SUMIFS(Einzelbeträge!$D:$D,Einzelbeträge!$C:$C,'Ausgaben 2026'!$C58,Einzelbeträge!$E:$E,'Ausgaben 2026'!J$6)</f>
        <v>0</v>
      </c>
      <c r="K58" s="21">
        <f>SUMIFS(Einzelbeträge!$D:$D,Einzelbeträge!$C:$C,'Ausgaben 2026'!$C58,Einzelbeträge!$E:$E,'Ausgaben 2026'!K$6)</f>
        <v>0</v>
      </c>
      <c r="L58" s="21">
        <f>SUMIFS(Einzelbeträge!$D:$D,Einzelbeträge!$C:$C,'Ausgaben 2026'!$C58,Einzelbeträge!$E:$E,'Ausgaben 2026'!L$6)</f>
        <v>0</v>
      </c>
      <c r="M58" s="21">
        <f>SUMIFS(Einzelbeträge!$D:$D,Einzelbeträge!$C:$C,'Ausgaben 2026'!$C58,Einzelbeträge!$E:$E,'Ausgaben 2026'!M$6)</f>
        <v>0</v>
      </c>
      <c r="N58" s="35">
        <f>SUMIFS(Einzelbeträge!$D:$D,Einzelbeträge!$C:$C,'Ausgaben 2026'!$C58,Einzelbeträge!$E:$E,'Ausgaben 2026'!N$6)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28.12.2026 - 03.01.2027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46072</v>
      </c>
      <c r="D59" s="46">
        <f>SUMIFS(Einzelbeträge!$D:$D,Einzelbeträge!$C:$C,'Ausgaben 2026'!$C59)</f>
        <v>0</v>
      </c>
      <c r="E59" s="21">
        <f>SUMIFS(Einzelbeträge!$D:$D,Einzelbeträge!$C:$C,'Ausgaben 2026'!$C59,Einzelbeträge!$E:$E,'Ausgaben 2026'!E$6)</f>
        <v>0</v>
      </c>
      <c r="F59" s="21">
        <f>SUMIFS(Einzelbeträge!$D:$D,Einzelbeträge!$C:$C,'Ausgaben 2026'!$C59,Einzelbeträge!$E:$E,'Ausgaben 2026'!F$6)</f>
        <v>0</v>
      </c>
      <c r="G59" s="21">
        <f>SUMIFS(Einzelbeträge!$D:$D,Einzelbeträge!$C:$C,'Ausgaben 2026'!$C59,Einzelbeträge!$E:$E,'Ausgaben 2026'!G$6)</f>
        <v>0</v>
      </c>
      <c r="H59" s="21">
        <f>SUMIFS(Einzelbeträge!$D:$D,Einzelbeträge!$C:$C,'Ausgaben 2026'!$C59,Einzelbeträge!$E:$E,'Ausgaben 2026'!H$6)</f>
        <v>0</v>
      </c>
      <c r="I59" s="21">
        <f>SUMIFS(Einzelbeträge!$D:$D,Einzelbeträge!$C:$C,'Ausgaben 2026'!$C59,Einzelbeträge!$E:$E,'Ausgaben 2026'!I$6)</f>
        <v>0</v>
      </c>
      <c r="J59" s="21">
        <f>SUMIFS(Einzelbeträge!$D:$D,Einzelbeträge!$C:$C,'Ausgaben 2026'!$C59,Einzelbeträge!$E:$E,'Ausgaben 2026'!J$6)</f>
        <v>0</v>
      </c>
      <c r="K59" s="21">
        <f>SUMIFS(Einzelbeträge!$D:$D,Einzelbeträge!$C:$C,'Ausgaben 2026'!$C59,Einzelbeträge!$E:$E,'Ausgaben 2026'!K$6)</f>
        <v>0</v>
      </c>
      <c r="L59" s="21">
        <f>SUMIFS(Einzelbeträge!$D:$D,Einzelbeträge!$C:$C,'Ausgaben 2026'!$C59,Einzelbeträge!$E:$E,'Ausgaben 2026'!L$6)</f>
        <v>0</v>
      </c>
      <c r="M59" s="21">
        <f>SUMIFS(Einzelbeträge!$D:$D,Einzelbeträge!$C:$C,'Ausgaben 2026'!$C59,Einzelbeträge!$E:$E,'Ausgaben 2026'!M$6)</f>
        <v>0</v>
      </c>
      <c r="N59" s="35">
        <f>SUMIFS(Einzelbeträge!$D:$D,Einzelbeträge!$C:$C,'Ausgaben 2026'!$C59,Einzelbeträge!$E:$E,'Ausgaben 2026'!N$6)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46073</v>
      </c>
      <c r="D60" s="46">
        <f>SUMIFS(Einzelbeträge!$D:$D,Einzelbeträge!$C:$C,'Ausgaben 2026'!$C60)</f>
        <v>0</v>
      </c>
      <c r="E60" s="21">
        <f>SUMIFS(Einzelbeträge!$D:$D,Einzelbeträge!$C:$C,'Ausgaben 2026'!$C60,Einzelbeträge!$E:$E,'Ausgaben 2026'!E$6)</f>
        <v>0</v>
      </c>
      <c r="F60" s="21">
        <f>SUMIFS(Einzelbeträge!$D:$D,Einzelbeträge!$C:$C,'Ausgaben 2026'!$C60,Einzelbeträge!$E:$E,'Ausgaben 2026'!F$6)</f>
        <v>0</v>
      </c>
      <c r="G60" s="21">
        <f>SUMIFS(Einzelbeträge!$D:$D,Einzelbeträge!$C:$C,'Ausgaben 2026'!$C60,Einzelbeträge!$E:$E,'Ausgaben 2026'!G$6)</f>
        <v>0</v>
      </c>
      <c r="H60" s="21">
        <f>SUMIFS(Einzelbeträge!$D:$D,Einzelbeträge!$C:$C,'Ausgaben 2026'!$C60,Einzelbeträge!$E:$E,'Ausgaben 2026'!H$6)</f>
        <v>0</v>
      </c>
      <c r="I60" s="21">
        <f>SUMIFS(Einzelbeträge!$D:$D,Einzelbeträge!$C:$C,'Ausgaben 2026'!$C60,Einzelbeträge!$E:$E,'Ausgaben 2026'!I$6)</f>
        <v>0</v>
      </c>
      <c r="J60" s="21">
        <f>SUMIFS(Einzelbeträge!$D:$D,Einzelbeträge!$C:$C,'Ausgaben 2026'!$C60,Einzelbeträge!$E:$E,'Ausgaben 2026'!J$6)</f>
        <v>0</v>
      </c>
      <c r="K60" s="21">
        <f>SUMIFS(Einzelbeträge!$D:$D,Einzelbeträge!$C:$C,'Ausgaben 2026'!$C60,Einzelbeträge!$E:$E,'Ausgaben 2026'!K$6)</f>
        <v>0</v>
      </c>
      <c r="L60" s="21">
        <f>SUMIFS(Einzelbeträge!$D:$D,Einzelbeträge!$C:$C,'Ausgaben 2026'!$C60,Einzelbeträge!$E:$E,'Ausgaben 2026'!L$6)</f>
        <v>0</v>
      </c>
      <c r="M60" s="21">
        <f>SUMIFS(Einzelbeträge!$D:$D,Einzelbeträge!$C:$C,'Ausgaben 2026'!$C60,Einzelbeträge!$E:$E,'Ausgaben 2026'!M$6)</f>
        <v>0</v>
      </c>
      <c r="N60" s="35">
        <f>SUMIFS(Einzelbeträge!$D:$D,Einzelbeträge!$C:$C,'Ausgaben 2026'!$C60,Einzelbeträge!$E:$E,'Ausgaben 2026'!N$6)</f>
        <v>0</v>
      </c>
      <c r="O60" s="6"/>
    </row>
    <row r="61" spans="2:30" x14ac:dyDescent="0.35">
      <c r="B61" s="5"/>
      <c r="C61" s="40">
        <f t="shared" si="15"/>
        <v>46074</v>
      </c>
      <c r="D61" s="46">
        <f>SUMIFS(Einzelbeträge!$D:$D,Einzelbeträge!$C:$C,'Ausgaben 2026'!$C61)</f>
        <v>0</v>
      </c>
      <c r="E61" s="21">
        <f>SUMIFS(Einzelbeträge!$D:$D,Einzelbeträge!$C:$C,'Ausgaben 2026'!$C61,Einzelbeträge!$E:$E,'Ausgaben 2026'!E$6)</f>
        <v>0</v>
      </c>
      <c r="F61" s="21">
        <f>SUMIFS(Einzelbeträge!$D:$D,Einzelbeträge!$C:$C,'Ausgaben 2026'!$C61,Einzelbeträge!$E:$E,'Ausgaben 2026'!F$6)</f>
        <v>0</v>
      </c>
      <c r="G61" s="21">
        <f>SUMIFS(Einzelbeträge!$D:$D,Einzelbeträge!$C:$C,'Ausgaben 2026'!$C61,Einzelbeträge!$E:$E,'Ausgaben 2026'!G$6)</f>
        <v>0</v>
      </c>
      <c r="H61" s="21">
        <f>SUMIFS(Einzelbeträge!$D:$D,Einzelbeträge!$C:$C,'Ausgaben 2026'!$C61,Einzelbeträge!$E:$E,'Ausgaben 2026'!H$6)</f>
        <v>0</v>
      </c>
      <c r="I61" s="21">
        <f>SUMIFS(Einzelbeträge!$D:$D,Einzelbeträge!$C:$C,'Ausgaben 2026'!$C61,Einzelbeträge!$E:$E,'Ausgaben 2026'!I$6)</f>
        <v>0</v>
      </c>
      <c r="J61" s="21">
        <f>SUMIFS(Einzelbeträge!$D:$D,Einzelbeträge!$C:$C,'Ausgaben 2026'!$C61,Einzelbeträge!$E:$E,'Ausgaben 2026'!J$6)</f>
        <v>0</v>
      </c>
      <c r="K61" s="21">
        <f>SUMIFS(Einzelbeträge!$D:$D,Einzelbeträge!$C:$C,'Ausgaben 2026'!$C61,Einzelbeträge!$E:$E,'Ausgaben 2026'!K$6)</f>
        <v>0</v>
      </c>
      <c r="L61" s="21">
        <f>SUMIFS(Einzelbeträge!$D:$D,Einzelbeträge!$C:$C,'Ausgaben 2026'!$C61,Einzelbeträge!$E:$E,'Ausgaben 2026'!L$6)</f>
        <v>0</v>
      </c>
      <c r="M61" s="21">
        <f>SUMIFS(Einzelbeträge!$D:$D,Einzelbeträge!$C:$C,'Ausgaben 2026'!$C61,Einzelbeträge!$E:$E,'Ausgaben 2026'!M$6)</f>
        <v>0</v>
      </c>
      <c r="N61" s="35">
        <f>SUMIFS(Einzelbeträge!$D:$D,Einzelbeträge!$C:$C,'Ausgaben 2026'!$C61,Einzelbeträge!$E:$E,'Ausgaben 2026'!N$6)</f>
        <v>0</v>
      </c>
      <c r="O61" s="6"/>
    </row>
    <row r="62" spans="2:30" x14ac:dyDescent="0.35">
      <c r="B62" s="5"/>
      <c r="C62" s="40">
        <f t="shared" si="15"/>
        <v>46075</v>
      </c>
      <c r="D62" s="46">
        <f>SUMIFS(Einzelbeträge!$D:$D,Einzelbeträge!$C:$C,'Ausgaben 2026'!$C62)</f>
        <v>0</v>
      </c>
      <c r="E62" s="21">
        <f>SUMIFS(Einzelbeträge!$D:$D,Einzelbeträge!$C:$C,'Ausgaben 2026'!$C62,Einzelbeträge!$E:$E,'Ausgaben 2026'!E$6)</f>
        <v>0</v>
      </c>
      <c r="F62" s="21">
        <f>SUMIFS(Einzelbeträge!$D:$D,Einzelbeträge!$C:$C,'Ausgaben 2026'!$C62,Einzelbeträge!$E:$E,'Ausgaben 2026'!F$6)</f>
        <v>0</v>
      </c>
      <c r="G62" s="21">
        <f>SUMIFS(Einzelbeträge!$D:$D,Einzelbeträge!$C:$C,'Ausgaben 2026'!$C62,Einzelbeträge!$E:$E,'Ausgaben 2026'!G$6)</f>
        <v>0</v>
      </c>
      <c r="H62" s="21">
        <f>SUMIFS(Einzelbeträge!$D:$D,Einzelbeträge!$C:$C,'Ausgaben 2026'!$C62,Einzelbeträge!$E:$E,'Ausgaben 2026'!H$6)</f>
        <v>0</v>
      </c>
      <c r="I62" s="21">
        <f>SUMIFS(Einzelbeträge!$D:$D,Einzelbeträge!$C:$C,'Ausgaben 2026'!$C62,Einzelbeträge!$E:$E,'Ausgaben 2026'!I$6)</f>
        <v>0</v>
      </c>
      <c r="J62" s="21">
        <f>SUMIFS(Einzelbeträge!$D:$D,Einzelbeträge!$C:$C,'Ausgaben 2026'!$C62,Einzelbeträge!$E:$E,'Ausgaben 2026'!J$6)</f>
        <v>0</v>
      </c>
      <c r="K62" s="21">
        <f>SUMIFS(Einzelbeträge!$D:$D,Einzelbeträge!$C:$C,'Ausgaben 2026'!$C62,Einzelbeträge!$E:$E,'Ausgaben 2026'!K$6)</f>
        <v>0</v>
      </c>
      <c r="L62" s="21">
        <f>SUMIFS(Einzelbeträge!$D:$D,Einzelbeträge!$C:$C,'Ausgaben 2026'!$C62,Einzelbeträge!$E:$E,'Ausgaben 2026'!L$6)</f>
        <v>0</v>
      </c>
      <c r="M62" s="21">
        <f>SUMIFS(Einzelbeträge!$D:$D,Einzelbeträge!$C:$C,'Ausgaben 2026'!$C62,Einzelbeträge!$E:$E,'Ausgaben 2026'!M$6)</f>
        <v>0</v>
      </c>
      <c r="N62" s="35">
        <f>SUMIFS(Einzelbeträge!$D:$D,Einzelbeträge!$C:$C,'Ausgaben 2026'!$C62,Einzelbeträge!$E:$E,'Ausgaben 2026'!N$6)</f>
        <v>0</v>
      </c>
      <c r="O62" s="6"/>
    </row>
    <row r="63" spans="2:30" x14ac:dyDescent="0.35">
      <c r="B63" s="5"/>
      <c r="C63" s="40">
        <f t="shared" si="15"/>
        <v>46076</v>
      </c>
      <c r="D63" s="46">
        <f>SUMIFS(Einzelbeträge!$D:$D,Einzelbeträge!$C:$C,'Ausgaben 2026'!$C63)</f>
        <v>0</v>
      </c>
      <c r="E63" s="21">
        <f>SUMIFS(Einzelbeträge!$D:$D,Einzelbeträge!$C:$C,'Ausgaben 2026'!$C63,Einzelbeträge!$E:$E,'Ausgaben 2026'!E$6)</f>
        <v>0</v>
      </c>
      <c r="F63" s="21">
        <f>SUMIFS(Einzelbeträge!$D:$D,Einzelbeträge!$C:$C,'Ausgaben 2026'!$C63,Einzelbeträge!$E:$E,'Ausgaben 2026'!F$6)</f>
        <v>0</v>
      </c>
      <c r="G63" s="21">
        <f>SUMIFS(Einzelbeträge!$D:$D,Einzelbeträge!$C:$C,'Ausgaben 2026'!$C63,Einzelbeträge!$E:$E,'Ausgaben 2026'!G$6)</f>
        <v>0</v>
      </c>
      <c r="H63" s="21">
        <f>SUMIFS(Einzelbeträge!$D:$D,Einzelbeträge!$C:$C,'Ausgaben 2026'!$C63,Einzelbeträge!$E:$E,'Ausgaben 2026'!H$6)</f>
        <v>0</v>
      </c>
      <c r="I63" s="21">
        <f>SUMIFS(Einzelbeträge!$D:$D,Einzelbeträge!$C:$C,'Ausgaben 2026'!$C63,Einzelbeträge!$E:$E,'Ausgaben 2026'!I$6)</f>
        <v>0</v>
      </c>
      <c r="J63" s="21">
        <f>SUMIFS(Einzelbeträge!$D:$D,Einzelbeträge!$C:$C,'Ausgaben 2026'!$C63,Einzelbeträge!$E:$E,'Ausgaben 2026'!J$6)</f>
        <v>0</v>
      </c>
      <c r="K63" s="21">
        <f>SUMIFS(Einzelbeträge!$D:$D,Einzelbeträge!$C:$C,'Ausgaben 2026'!$C63,Einzelbeträge!$E:$E,'Ausgaben 2026'!K$6)</f>
        <v>0</v>
      </c>
      <c r="L63" s="21">
        <f>SUMIFS(Einzelbeträge!$D:$D,Einzelbeträge!$C:$C,'Ausgaben 2026'!$C63,Einzelbeträge!$E:$E,'Ausgaben 2026'!L$6)</f>
        <v>0</v>
      </c>
      <c r="M63" s="21">
        <f>SUMIFS(Einzelbeträge!$D:$D,Einzelbeträge!$C:$C,'Ausgaben 2026'!$C63,Einzelbeträge!$E:$E,'Ausgaben 2026'!M$6)</f>
        <v>0</v>
      </c>
      <c r="N63" s="35">
        <f>SUMIFS(Einzelbeträge!$D:$D,Einzelbeträge!$C:$C,'Ausgaben 2026'!$C63,Einzelbeträge!$E:$E,'Ausgaben 2026'!N$6)</f>
        <v>0</v>
      </c>
      <c r="O63" s="6"/>
    </row>
    <row r="64" spans="2:30" x14ac:dyDescent="0.35">
      <c r="B64" s="5"/>
      <c r="C64" s="40">
        <f t="shared" si="15"/>
        <v>46077</v>
      </c>
      <c r="D64" s="46">
        <f>SUMIFS(Einzelbeträge!$D:$D,Einzelbeträge!$C:$C,'Ausgaben 2026'!$C64)</f>
        <v>0</v>
      </c>
      <c r="E64" s="21">
        <f>SUMIFS(Einzelbeträge!$D:$D,Einzelbeträge!$C:$C,'Ausgaben 2026'!$C64,Einzelbeträge!$E:$E,'Ausgaben 2026'!E$6)</f>
        <v>0</v>
      </c>
      <c r="F64" s="21">
        <f>SUMIFS(Einzelbeträge!$D:$D,Einzelbeträge!$C:$C,'Ausgaben 2026'!$C64,Einzelbeträge!$E:$E,'Ausgaben 2026'!F$6)</f>
        <v>0</v>
      </c>
      <c r="G64" s="21">
        <f>SUMIFS(Einzelbeträge!$D:$D,Einzelbeträge!$C:$C,'Ausgaben 2026'!$C64,Einzelbeträge!$E:$E,'Ausgaben 2026'!G$6)</f>
        <v>0</v>
      </c>
      <c r="H64" s="21">
        <f>SUMIFS(Einzelbeträge!$D:$D,Einzelbeträge!$C:$C,'Ausgaben 2026'!$C64,Einzelbeträge!$E:$E,'Ausgaben 2026'!H$6)</f>
        <v>0</v>
      </c>
      <c r="I64" s="21">
        <f>SUMIFS(Einzelbeträge!$D:$D,Einzelbeträge!$C:$C,'Ausgaben 2026'!$C64,Einzelbeträge!$E:$E,'Ausgaben 2026'!I$6)</f>
        <v>0</v>
      </c>
      <c r="J64" s="21">
        <f>SUMIFS(Einzelbeträge!$D:$D,Einzelbeträge!$C:$C,'Ausgaben 2026'!$C64,Einzelbeträge!$E:$E,'Ausgaben 2026'!J$6)</f>
        <v>0</v>
      </c>
      <c r="K64" s="21">
        <f>SUMIFS(Einzelbeträge!$D:$D,Einzelbeträge!$C:$C,'Ausgaben 2026'!$C64,Einzelbeträge!$E:$E,'Ausgaben 2026'!K$6)</f>
        <v>0</v>
      </c>
      <c r="L64" s="21">
        <f>SUMIFS(Einzelbeträge!$D:$D,Einzelbeträge!$C:$C,'Ausgaben 2026'!$C64,Einzelbeträge!$E:$E,'Ausgaben 2026'!L$6)</f>
        <v>0</v>
      </c>
      <c r="M64" s="21">
        <f>SUMIFS(Einzelbeträge!$D:$D,Einzelbeträge!$C:$C,'Ausgaben 2026'!$C64,Einzelbeträge!$E:$E,'Ausgaben 2026'!M$6)</f>
        <v>0</v>
      </c>
      <c r="N64" s="35">
        <f>SUMIFS(Einzelbeträge!$D:$D,Einzelbeträge!$C:$C,'Ausgaben 2026'!$C64,Einzelbeträge!$E:$E,'Ausgaben 2026'!N$6)</f>
        <v>0</v>
      </c>
      <c r="O64" s="6"/>
    </row>
    <row r="65" spans="2:15" x14ac:dyDescent="0.35">
      <c r="B65" s="5"/>
      <c r="C65" s="40">
        <f t="shared" si="15"/>
        <v>46078</v>
      </c>
      <c r="D65" s="46">
        <f>SUMIFS(Einzelbeträge!$D:$D,Einzelbeträge!$C:$C,'Ausgaben 2026'!$C65)</f>
        <v>0</v>
      </c>
      <c r="E65" s="21">
        <f>SUMIFS(Einzelbeträge!$D:$D,Einzelbeträge!$C:$C,'Ausgaben 2026'!$C65,Einzelbeträge!$E:$E,'Ausgaben 2026'!E$6)</f>
        <v>0</v>
      </c>
      <c r="F65" s="21">
        <f>SUMIFS(Einzelbeträge!$D:$D,Einzelbeträge!$C:$C,'Ausgaben 2026'!$C65,Einzelbeträge!$E:$E,'Ausgaben 2026'!F$6)</f>
        <v>0</v>
      </c>
      <c r="G65" s="21">
        <f>SUMIFS(Einzelbeträge!$D:$D,Einzelbeträge!$C:$C,'Ausgaben 2026'!$C65,Einzelbeträge!$E:$E,'Ausgaben 2026'!G$6)</f>
        <v>0</v>
      </c>
      <c r="H65" s="21">
        <f>SUMIFS(Einzelbeträge!$D:$D,Einzelbeträge!$C:$C,'Ausgaben 2026'!$C65,Einzelbeträge!$E:$E,'Ausgaben 2026'!H$6)</f>
        <v>0</v>
      </c>
      <c r="I65" s="21">
        <f>SUMIFS(Einzelbeträge!$D:$D,Einzelbeträge!$C:$C,'Ausgaben 2026'!$C65,Einzelbeträge!$E:$E,'Ausgaben 2026'!I$6)</f>
        <v>0</v>
      </c>
      <c r="J65" s="21">
        <f>SUMIFS(Einzelbeträge!$D:$D,Einzelbeträge!$C:$C,'Ausgaben 2026'!$C65,Einzelbeträge!$E:$E,'Ausgaben 2026'!J$6)</f>
        <v>0</v>
      </c>
      <c r="K65" s="21">
        <f>SUMIFS(Einzelbeträge!$D:$D,Einzelbeträge!$C:$C,'Ausgaben 2026'!$C65,Einzelbeträge!$E:$E,'Ausgaben 2026'!K$6)</f>
        <v>0</v>
      </c>
      <c r="L65" s="21">
        <f>SUMIFS(Einzelbeträge!$D:$D,Einzelbeträge!$C:$C,'Ausgaben 2026'!$C65,Einzelbeträge!$E:$E,'Ausgaben 2026'!L$6)</f>
        <v>0</v>
      </c>
      <c r="M65" s="21">
        <f>SUMIFS(Einzelbeträge!$D:$D,Einzelbeträge!$C:$C,'Ausgaben 2026'!$C65,Einzelbeträge!$E:$E,'Ausgaben 2026'!M$6)</f>
        <v>0</v>
      </c>
      <c r="N65" s="35">
        <f>SUMIFS(Einzelbeträge!$D:$D,Einzelbeträge!$C:$C,'Ausgaben 2026'!$C65,Einzelbeträge!$E:$E,'Ausgaben 2026'!N$6)</f>
        <v>0</v>
      </c>
      <c r="O65" s="6"/>
    </row>
    <row r="66" spans="2:15" x14ac:dyDescent="0.35">
      <c r="B66" s="5"/>
      <c r="C66" s="40">
        <f t="shared" si="15"/>
        <v>46079</v>
      </c>
      <c r="D66" s="46">
        <f>SUMIFS(Einzelbeträge!$D:$D,Einzelbeträge!$C:$C,'Ausgaben 2026'!$C66)</f>
        <v>0</v>
      </c>
      <c r="E66" s="21">
        <f>SUMIFS(Einzelbeträge!$D:$D,Einzelbeträge!$C:$C,'Ausgaben 2026'!$C66,Einzelbeträge!$E:$E,'Ausgaben 2026'!E$6)</f>
        <v>0</v>
      </c>
      <c r="F66" s="21">
        <f>SUMIFS(Einzelbeträge!$D:$D,Einzelbeträge!$C:$C,'Ausgaben 2026'!$C66,Einzelbeträge!$E:$E,'Ausgaben 2026'!F$6)</f>
        <v>0</v>
      </c>
      <c r="G66" s="21">
        <f>SUMIFS(Einzelbeträge!$D:$D,Einzelbeträge!$C:$C,'Ausgaben 2026'!$C66,Einzelbeträge!$E:$E,'Ausgaben 2026'!G$6)</f>
        <v>0</v>
      </c>
      <c r="H66" s="21">
        <f>SUMIFS(Einzelbeträge!$D:$D,Einzelbeträge!$C:$C,'Ausgaben 2026'!$C66,Einzelbeträge!$E:$E,'Ausgaben 2026'!H$6)</f>
        <v>0</v>
      </c>
      <c r="I66" s="21">
        <f>SUMIFS(Einzelbeträge!$D:$D,Einzelbeträge!$C:$C,'Ausgaben 2026'!$C66,Einzelbeträge!$E:$E,'Ausgaben 2026'!I$6)</f>
        <v>0</v>
      </c>
      <c r="J66" s="21">
        <f>SUMIFS(Einzelbeträge!$D:$D,Einzelbeträge!$C:$C,'Ausgaben 2026'!$C66,Einzelbeträge!$E:$E,'Ausgaben 2026'!J$6)</f>
        <v>0</v>
      </c>
      <c r="K66" s="21">
        <f>SUMIFS(Einzelbeträge!$D:$D,Einzelbeträge!$C:$C,'Ausgaben 2026'!$C66,Einzelbeträge!$E:$E,'Ausgaben 2026'!K$6)</f>
        <v>0</v>
      </c>
      <c r="L66" s="21">
        <f>SUMIFS(Einzelbeträge!$D:$D,Einzelbeträge!$C:$C,'Ausgaben 2026'!$C66,Einzelbeträge!$E:$E,'Ausgaben 2026'!L$6)</f>
        <v>0</v>
      </c>
      <c r="M66" s="21">
        <f>SUMIFS(Einzelbeträge!$D:$D,Einzelbeträge!$C:$C,'Ausgaben 2026'!$C66,Einzelbeträge!$E:$E,'Ausgaben 2026'!M$6)</f>
        <v>0</v>
      </c>
      <c r="N66" s="35">
        <f>SUMIFS(Einzelbeträge!$D:$D,Einzelbeträge!$C:$C,'Ausgaben 2026'!$C66,Einzelbeträge!$E:$E,'Ausgaben 2026'!N$6)</f>
        <v>0</v>
      </c>
      <c r="O66" s="6"/>
    </row>
    <row r="67" spans="2:15" x14ac:dyDescent="0.35">
      <c r="B67" s="5"/>
      <c r="C67" s="40">
        <f t="shared" si="15"/>
        <v>46080</v>
      </c>
      <c r="D67" s="46">
        <f>SUMIFS(Einzelbeträge!$D:$D,Einzelbeträge!$C:$C,'Ausgaben 2026'!$C67)</f>
        <v>0</v>
      </c>
      <c r="E67" s="21">
        <f>SUMIFS(Einzelbeträge!$D:$D,Einzelbeträge!$C:$C,'Ausgaben 2026'!$C67,Einzelbeträge!$E:$E,'Ausgaben 2026'!E$6)</f>
        <v>0</v>
      </c>
      <c r="F67" s="21">
        <f>SUMIFS(Einzelbeträge!$D:$D,Einzelbeträge!$C:$C,'Ausgaben 2026'!$C67,Einzelbeträge!$E:$E,'Ausgaben 2026'!F$6)</f>
        <v>0</v>
      </c>
      <c r="G67" s="21">
        <f>SUMIFS(Einzelbeträge!$D:$D,Einzelbeträge!$C:$C,'Ausgaben 2026'!$C67,Einzelbeträge!$E:$E,'Ausgaben 2026'!G$6)</f>
        <v>0</v>
      </c>
      <c r="H67" s="21">
        <f>SUMIFS(Einzelbeträge!$D:$D,Einzelbeträge!$C:$C,'Ausgaben 2026'!$C67,Einzelbeträge!$E:$E,'Ausgaben 2026'!H$6)</f>
        <v>0</v>
      </c>
      <c r="I67" s="21">
        <f>SUMIFS(Einzelbeträge!$D:$D,Einzelbeträge!$C:$C,'Ausgaben 2026'!$C67,Einzelbeträge!$E:$E,'Ausgaben 2026'!I$6)</f>
        <v>0</v>
      </c>
      <c r="J67" s="21">
        <f>SUMIFS(Einzelbeträge!$D:$D,Einzelbeträge!$C:$C,'Ausgaben 2026'!$C67,Einzelbeträge!$E:$E,'Ausgaben 2026'!J$6)</f>
        <v>0</v>
      </c>
      <c r="K67" s="21">
        <f>SUMIFS(Einzelbeträge!$D:$D,Einzelbeträge!$C:$C,'Ausgaben 2026'!$C67,Einzelbeträge!$E:$E,'Ausgaben 2026'!K$6)</f>
        <v>0</v>
      </c>
      <c r="L67" s="21">
        <f>SUMIFS(Einzelbeträge!$D:$D,Einzelbeträge!$C:$C,'Ausgaben 2026'!$C67,Einzelbeträge!$E:$E,'Ausgaben 2026'!L$6)</f>
        <v>0</v>
      </c>
      <c r="M67" s="21">
        <f>SUMIFS(Einzelbeträge!$D:$D,Einzelbeträge!$C:$C,'Ausgaben 2026'!$C67,Einzelbeträge!$E:$E,'Ausgaben 2026'!M$6)</f>
        <v>0</v>
      </c>
      <c r="N67" s="35">
        <f>SUMIFS(Einzelbeträge!$D:$D,Einzelbeträge!$C:$C,'Ausgaben 2026'!$C67,Einzelbeträge!$E:$E,'Ausgaben 2026'!N$6)</f>
        <v>0</v>
      </c>
      <c r="O67" s="6"/>
    </row>
    <row r="68" spans="2:15" x14ac:dyDescent="0.35">
      <c r="B68" s="5"/>
      <c r="C68" s="40">
        <f t="shared" si="15"/>
        <v>46081</v>
      </c>
      <c r="D68" s="46">
        <f>SUMIFS(Einzelbeträge!$D:$D,Einzelbeträge!$C:$C,'Ausgaben 2026'!$C68)</f>
        <v>0</v>
      </c>
      <c r="E68" s="21">
        <f>SUMIFS(Einzelbeträge!$D:$D,Einzelbeträge!$C:$C,'Ausgaben 2026'!$C68,Einzelbeträge!$E:$E,'Ausgaben 2026'!E$6)</f>
        <v>0</v>
      </c>
      <c r="F68" s="21">
        <f>SUMIFS(Einzelbeträge!$D:$D,Einzelbeträge!$C:$C,'Ausgaben 2026'!$C68,Einzelbeträge!$E:$E,'Ausgaben 2026'!F$6)</f>
        <v>0</v>
      </c>
      <c r="G68" s="21">
        <f>SUMIFS(Einzelbeträge!$D:$D,Einzelbeträge!$C:$C,'Ausgaben 2026'!$C68,Einzelbeträge!$E:$E,'Ausgaben 2026'!G$6)</f>
        <v>0</v>
      </c>
      <c r="H68" s="21">
        <f>SUMIFS(Einzelbeträge!$D:$D,Einzelbeträge!$C:$C,'Ausgaben 2026'!$C68,Einzelbeträge!$E:$E,'Ausgaben 2026'!H$6)</f>
        <v>0</v>
      </c>
      <c r="I68" s="21">
        <f>SUMIFS(Einzelbeträge!$D:$D,Einzelbeträge!$C:$C,'Ausgaben 2026'!$C68,Einzelbeträge!$E:$E,'Ausgaben 2026'!I$6)</f>
        <v>0</v>
      </c>
      <c r="J68" s="21">
        <f>SUMIFS(Einzelbeträge!$D:$D,Einzelbeträge!$C:$C,'Ausgaben 2026'!$C68,Einzelbeträge!$E:$E,'Ausgaben 2026'!J$6)</f>
        <v>0</v>
      </c>
      <c r="K68" s="21">
        <f>SUMIFS(Einzelbeträge!$D:$D,Einzelbeträge!$C:$C,'Ausgaben 2026'!$C68,Einzelbeträge!$E:$E,'Ausgaben 2026'!K$6)</f>
        <v>0</v>
      </c>
      <c r="L68" s="21">
        <f>SUMIFS(Einzelbeträge!$D:$D,Einzelbeträge!$C:$C,'Ausgaben 2026'!$C68,Einzelbeträge!$E:$E,'Ausgaben 2026'!L$6)</f>
        <v>0</v>
      </c>
      <c r="M68" s="21">
        <f>SUMIFS(Einzelbeträge!$D:$D,Einzelbeträge!$C:$C,'Ausgaben 2026'!$C68,Einzelbeträge!$E:$E,'Ausgaben 2026'!M$6)</f>
        <v>0</v>
      </c>
      <c r="N68" s="35">
        <f>SUMIFS(Einzelbeträge!$D:$D,Einzelbeträge!$C:$C,'Ausgaben 2026'!$C68,Einzelbeträge!$E:$E,'Ausgaben 2026'!N$6)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2026'!$C69)</f>
        <v>0</v>
      </c>
      <c r="E69" s="37">
        <f>SUMIFS(Einzelbeträge!$D:$D,Einzelbeträge!$C:$C,'Ausgaben 2026'!$C69,Einzelbeträge!$E:$E,'Ausgaben 2026'!E$6)</f>
        <v>0</v>
      </c>
      <c r="F69" s="37">
        <f>SUMIFS(Einzelbeträge!$D:$D,Einzelbeträge!$C:$C,'Ausgaben 2026'!$C69,Einzelbeträge!$E:$E,'Ausgaben 2026'!F$6)</f>
        <v>0</v>
      </c>
      <c r="G69" s="37">
        <f>SUMIFS(Einzelbeträge!$D:$D,Einzelbeträge!$C:$C,'Ausgaben 2026'!$C69,Einzelbeträge!$E:$E,'Ausgaben 2026'!G$6)</f>
        <v>0</v>
      </c>
      <c r="H69" s="37">
        <f>SUMIFS(Einzelbeträge!$D:$D,Einzelbeträge!$C:$C,'Ausgaben 2026'!$C69,Einzelbeträge!$E:$E,'Ausgaben 2026'!H$6)</f>
        <v>0</v>
      </c>
      <c r="I69" s="37">
        <f>SUMIFS(Einzelbeträge!$D:$D,Einzelbeträge!$C:$C,'Ausgaben 2026'!$C69,Einzelbeträge!$E:$E,'Ausgaben 2026'!I$6)</f>
        <v>0</v>
      </c>
      <c r="J69" s="37">
        <f>SUMIFS(Einzelbeträge!$D:$D,Einzelbeträge!$C:$C,'Ausgaben 2026'!$C69,Einzelbeträge!$E:$E,'Ausgaben 2026'!J$6)</f>
        <v>0</v>
      </c>
      <c r="K69" s="37">
        <f>SUMIFS(Einzelbeträge!$D:$D,Einzelbeträge!$C:$C,'Ausgaben 2026'!$C69,Einzelbeträge!$E:$E,'Ausgaben 2026'!K$6)</f>
        <v>0</v>
      </c>
      <c r="L69" s="37">
        <f>SUMIFS(Einzelbeträge!$D:$D,Einzelbeträge!$C:$C,'Ausgaben 2026'!$C69,Einzelbeträge!$E:$E,'Ausgaben 2026'!L$6)</f>
        <v>0</v>
      </c>
      <c r="M69" s="37">
        <f>SUMIFS(Einzelbeträge!$D:$D,Einzelbeträge!$C:$C,'Ausgaben 2026'!$C69,Einzelbeträge!$E:$E,'Ausgaben 2026'!M$6)</f>
        <v>0</v>
      </c>
      <c r="N69" s="38">
        <f>SUMIFS(Einzelbeträge!$D:$D,Einzelbeträge!$C:$C,'Ausgaben 2026'!$C69,Einzelbeträge!$E:$E,'Ausgaben 2026'!N$6)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46082</v>
      </c>
      <c r="D73" s="45">
        <f>SUMIFS(Einzelbeträge!$D:$D,Einzelbeträge!$C:$C,'Ausgaben 2026'!$C73)</f>
        <v>0</v>
      </c>
      <c r="E73" s="32">
        <f>SUMIFS(Einzelbeträge!$D:$D,Einzelbeträge!$C:$C,'Ausgaben 2026'!$C73,Einzelbeträge!$E:$E,'Ausgaben 2026'!E$6)</f>
        <v>0</v>
      </c>
      <c r="F73" s="32">
        <f>SUMIFS(Einzelbeträge!$D:$D,Einzelbeträge!$C:$C,'Ausgaben 2026'!$C73,Einzelbeträge!$E:$E,'Ausgaben 2026'!F$6)</f>
        <v>0</v>
      </c>
      <c r="G73" s="32">
        <f>SUMIFS(Einzelbeträge!$D:$D,Einzelbeträge!$C:$C,'Ausgaben 2026'!$C73,Einzelbeträge!$E:$E,'Ausgaben 2026'!G$6)</f>
        <v>0</v>
      </c>
      <c r="H73" s="32">
        <f>SUMIFS(Einzelbeträge!$D:$D,Einzelbeträge!$C:$C,'Ausgaben 2026'!$C73,Einzelbeträge!$E:$E,'Ausgaben 2026'!H$6)</f>
        <v>0</v>
      </c>
      <c r="I73" s="32">
        <f>SUMIFS(Einzelbeträge!$D:$D,Einzelbeträge!$C:$C,'Ausgaben 2026'!$C73,Einzelbeträge!$E:$E,'Ausgaben 2026'!I$6)</f>
        <v>0</v>
      </c>
      <c r="J73" s="32">
        <f>SUMIFS(Einzelbeträge!$D:$D,Einzelbeträge!$C:$C,'Ausgaben 2026'!$C73,Einzelbeträge!$E:$E,'Ausgaben 2026'!J$6)</f>
        <v>0</v>
      </c>
      <c r="K73" s="32">
        <f>SUMIFS(Einzelbeträge!$D:$D,Einzelbeträge!$C:$C,'Ausgaben 2026'!$C73,Einzelbeträge!$E:$E,'Ausgaben 2026'!K$6)</f>
        <v>0</v>
      </c>
      <c r="L73" s="32">
        <f>SUMIFS(Einzelbeträge!$D:$D,Einzelbeträge!$C:$C,'Ausgaben 2026'!$C73,Einzelbeträge!$E:$E,'Ausgaben 2026'!L$6)</f>
        <v>0</v>
      </c>
      <c r="M73" s="32">
        <f>SUMIFS(Einzelbeträge!$D:$D,Einzelbeträge!$C:$C,'Ausgaben 2026'!$C73,Einzelbeträge!$E:$E,'Ausgaben 2026'!M$6)</f>
        <v>0</v>
      </c>
      <c r="N73" s="33">
        <f>SUMIFS(Einzelbeträge!$D:$D,Einzelbeträge!$C:$C,'Ausgaben 2026'!$C73,Einzelbeträge!$E:$E,'Ausgaben 2026'!N$6)</f>
        <v>0</v>
      </c>
      <c r="O73" s="6"/>
    </row>
    <row r="74" spans="2:15" x14ac:dyDescent="0.35">
      <c r="B74" s="5"/>
      <c r="C74" s="40">
        <f>C73+1</f>
        <v>46083</v>
      </c>
      <c r="D74" s="46">
        <f>SUMIFS(Einzelbeträge!$D:$D,Einzelbeträge!$C:$C,'Ausgaben 2026'!$C74)</f>
        <v>0</v>
      </c>
      <c r="E74" s="21">
        <f>SUMIFS(Einzelbeträge!$D:$D,Einzelbeträge!$C:$C,'Ausgaben 2026'!$C74,Einzelbeträge!$E:$E,'Ausgaben 2026'!E$6)</f>
        <v>0</v>
      </c>
      <c r="F74" s="21">
        <f>SUMIFS(Einzelbeträge!$D:$D,Einzelbeträge!$C:$C,'Ausgaben 2026'!$C74,Einzelbeträge!$E:$E,'Ausgaben 2026'!F$6)</f>
        <v>0</v>
      </c>
      <c r="G74" s="21">
        <f>SUMIFS(Einzelbeträge!$D:$D,Einzelbeträge!$C:$C,'Ausgaben 2026'!$C74,Einzelbeträge!$E:$E,'Ausgaben 2026'!G$6)</f>
        <v>0</v>
      </c>
      <c r="H74" s="21">
        <f>SUMIFS(Einzelbeträge!$D:$D,Einzelbeträge!$C:$C,'Ausgaben 2026'!$C74,Einzelbeträge!$E:$E,'Ausgaben 2026'!H$6)</f>
        <v>0</v>
      </c>
      <c r="I74" s="21">
        <f>SUMIFS(Einzelbeträge!$D:$D,Einzelbeträge!$C:$C,'Ausgaben 2026'!$C74,Einzelbeträge!$E:$E,'Ausgaben 2026'!I$6)</f>
        <v>0</v>
      </c>
      <c r="J74" s="21">
        <f>SUMIFS(Einzelbeträge!$D:$D,Einzelbeträge!$C:$C,'Ausgaben 2026'!$C74,Einzelbeträge!$E:$E,'Ausgaben 2026'!J$6)</f>
        <v>0</v>
      </c>
      <c r="K74" s="21">
        <f>SUMIFS(Einzelbeträge!$D:$D,Einzelbeträge!$C:$C,'Ausgaben 2026'!$C74,Einzelbeträge!$E:$E,'Ausgaben 2026'!K$6)</f>
        <v>0</v>
      </c>
      <c r="L74" s="21">
        <f>SUMIFS(Einzelbeträge!$D:$D,Einzelbeträge!$C:$C,'Ausgaben 2026'!$C74,Einzelbeträge!$E:$E,'Ausgaben 2026'!L$6)</f>
        <v>0</v>
      </c>
      <c r="M74" s="21">
        <f>SUMIFS(Einzelbeträge!$D:$D,Einzelbeträge!$C:$C,'Ausgaben 2026'!$C74,Einzelbeträge!$E:$E,'Ausgaben 2026'!M$6)</f>
        <v>0</v>
      </c>
      <c r="N74" s="35">
        <f>SUMIFS(Einzelbeträge!$D:$D,Einzelbeträge!$C:$C,'Ausgaben 2026'!$C74,Einzelbeträge!$E:$E,'Ausgaben 2026'!N$6)</f>
        <v>0</v>
      </c>
      <c r="O74" s="6"/>
    </row>
    <row r="75" spans="2:15" x14ac:dyDescent="0.35">
      <c r="B75" s="5"/>
      <c r="C75" s="40">
        <f t="shared" ref="C75:C103" si="18">C74+1</f>
        <v>46084</v>
      </c>
      <c r="D75" s="46">
        <f>SUMIFS(Einzelbeträge!$D:$D,Einzelbeträge!$C:$C,'Ausgaben 2026'!$C75)</f>
        <v>0</v>
      </c>
      <c r="E75" s="21">
        <f>SUMIFS(Einzelbeträge!$D:$D,Einzelbeträge!$C:$C,'Ausgaben 2026'!$C75,Einzelbeträge!$E:$E,'Ausgaben 2026'!E$6)</f>
        <v>0</v>
      </c>
      <c r="F75" s="21">
        <f>SUMIFS(Einzelbeträge!$D:$D,Einzelbeträge!$C:$C,'Ausgaben 2026'!$C75,Einzelbeträge!$E:$E,'Ausgaben 2026'!F$6)</f>
        <v>0</v>
      </c>
      <c r="G75" s="21">
        <f>SUMIFS(Einzelbeträge!$D:$D,Einzelbeträge!$C:$C,'Ausgaben 2026'!$C75,Einzelbeträge!$E:$E,'Ausgaben 2026'!G$6)</f>
        <v>0</v>
      </c>
      <c r="H75" s="21">
        <f>SUMIFS(Einzelbeträge!$D:$D,Einzelbeträge!$C:$C,'Ausgaben 2026'!$C75,Einzelbeträge!$E:$E,'Ausgaben 2026'!H$6)</f>
        <v>0</v>
      </c>
      <c r="I75" s="21">
        <f>SUMIFS(Einzelbeträge!$D:$D,Einzelbeträge!$C:$C,'Ausgaben 2026'!$C75,Einzelbeträge!$E:$E,'Ausgaben 2026'!I$6)</f>
        <v>0</v>
      </c>
      <c r="J75" s="21">
        <f>SUMIFS(Einzelbeträge!$D:$D,Einzelbeträge!$C:$C,'Ausgaben 2026'!$C75,Einzelbeträge!$E:$E,'Ausgaben 2026'!J$6)</f>
        <v>0</v>
      </c>
      <c r="K75" s="21">
        <f>SUMIFS(Einzelbeträge!$D:$D,Einzelbeträge!$C:$C,'Ausgaben 2026'!$C75,Einzelbeträge!$E:$E,'Ausgaben 2026'!K$6)</f>
        <v>0</v>
      </c>
      <c r="L75" s="21">
        <f>SUMIFS(Einzelbeträge!$D:$D,Einzelbeträge!$C:$C,'Ausgaben 2026'!$C75,Einzelbeträge!$E:$E,'Ausgaben 2026'!L$6)</f>
        <v>0</v>
      </c>
      <c r="M75" s="21">
        <f>SUMIFS(Einzelbeträge!$D:$D,Einzelbeträge!$C:$C,'Ausgaben 2026'!$C75,Einzelbeträge!$E:$E,'Ausgaben 2026'!M$6)</f>
        <v>0</v>
      </c>
      <c r="N75" s="35">
        <f>SUMIFS(Einzelbeträge!$D:$D,Einzelbeträge!$C:$C,'Ausgaben 2026'!$C75,Einzelbeträge!$E:$E,'Ausgaben 2026'!N$6)</f>
        <v>0</v>
      </c>
      <c r="O75" s="6"/>
    </row>
    <row r="76" spans="2:15" x14ac:dyDescent="0.35">
      <c r="B76" s="5"/>
      <c r="C76" s="40">
        <f t="shared" si="18"/>
        <v>46085</v>
      </c>
      <c r="D76" s="46">
        <f>SUMIFS(Einzelbeträge!$D:$D,Einzelbeträge!$C:$C,'Ausgaben 2026'!$C76)</f>
        <v>0</v>
      </c>
      <c r="E76" s="21">
        <f>SUMIFS(Einzelbeträge!$D:$D,Einzelbeträge!$C:$C,'Ausgaben 2026'!$C76,Einzelbeträge!$E:$E,'Ausgaben 2026'!E$6)</f>
        <v>0</v>
      </c>
      <c r="F76" s="21">
        <f>SUMIFS(Einzelbeträge!$D:$D,Einzelbeträge!$C:$C,'Ausgaben 2026'!$C76,Einzelbeträge!$E:$E,'Ausgaben 2026'!F$6)</f>
        <v>0</v>
      </c>
      <c r="G76" s="21">
        <f>SUMIFS(Einzelbeträge!$D:$D,Einzelbeträge!$C:$C,'Ausgaben 2026'!$C76,Einzelbeträge!$E:$E,'Ausgaben 2026'!G$6)</f>
        <v>0</v>
      </c>
      <c r="H76" s="21">
        <f>SUMIFS(Einzelbeträge!$D:$D,Einzelbeträge!$C:$C,'Ausgaben 2026'!$C76,Einzelbeträge!$E:$E,'Ausgaben 2026'!H$6)</f>
        <v>0</v>
      </c>
      <c r="I76" s="21">
        <f>SUMIFS(Einzelbeträge!$D:$D,Einzelbeträge!$C:$C,'Ausgaben 2026'!$C76,Einzelbeträge!$E:$E,'Ausgaben 2026'!I$6)</f>
        <v>0</v>
      </c>
      <c r="J76" s="21">
        <f>SUMIFS(Einzelbeträge!$D:$D,Einzelbeträge!$C:$C,'Ausgaben 2026'!$C76,Einzelbeträge!$E:$E,'Ausgaben 2026'!J$6)</f>
        <v>0</v>
      </c>
      <c r="K76" s="21">
        <f>SUMIFS(Einzelbeträge!$D:$D,Einzelbeträge!$C:$C,'Ausgaben 2026'!$C76,Einzelbeträge!$E:$E,'Ausgaben 2026'!K$6)</f>
        <v>0</v>
      </c>
      <c r="L76" s="21">
        <f>SUMIFS(Einzelbeträge!$D:$D,Einzelbeträge!$C:$C,'Ausgaben 2026'!$C76,Einzelbeträge!$E:$E,'Ausgaben 2026'!L$6)</f>
        <v>0</v>
      </c>
      <c r="M76" s="21">
        <f>SUMIFS(Einzelbeträge!$D:$D,Einzelbeträge!$C:$C,'Ausgaben 2026'!$C76,Einzelbeträge!$E:$E,'Ausgaben 2026'!M$6)</f>
        <v>0</v>
      </c>
      <c r="N76" s="35">
        <f>SUMIFS(Einzelbeträge!$D:$D,Einzelbeträge!$C:$C,'Ausgaben 2026'!$C76,Einzelbeträge!$E:$E,'Ausgaben 2026'!N$6)</f>
        <v>0</v>
      </c>
      <c r="O76" s="6"/>
    </row>
    <row r="77" spans="2:15" x14ac:dyDescent="0.35">
      <c r="B77" s="5"/>
      <c r="C77" s="40">
        <f t="shared" si="18"/>
        <v>46086</v>
      </c>
      <c r="D77" s="46">
        <f>SUMIFS(Einzelbeträge!$D:$D,Einzelbeträge!$C:$C,'Ausgaben 2026'!$C77)</f>
        <v>0</v>
      </c>
      <c r="E77" s="21">
        <f>SUMIFS(Einzelbeträge!$D:$D,Einzelbeträge!$C:$C,'Ausgaben 2026'!$C77,Einzelbeträge!$E:$E,'Ausgaben 2026'!E$6)</f>
        <v>0</v>
      </c>
      <c r="F77" s="21">
        <f>SUMIFS(Einzelbeträge!$D:$D,Einzelbeträge!$C:$C,'Ausgaben 2026'!$C77,Einzelbeträge!$E:$E,'Ausgaben 2026'!F$6)</f>
        <v>0</v>
      </c>
      <c r="G77" s="21">
        <f>SUMIFS(Einzelbeträge!$D:$D,Einzelbeträge!$C:$C,'Ausgaben 2026'!$C77,Einzelbeträge!$E:$E,'Ausgaben 2026'!G$6)</f>
        <v>0</v>
      </c>
      <c r="H77" s="21">
        <f>SUMIFS(Einzelbeträge!$D:$D,Einzelbeträge!$C:$C,'Ausgaben 2026'!$C77,Einzelbeträge!$E:$E,'Ausgaben 2026'!H$6)</f>
        <v>0</v>
      </c>
      <c r="I77" s="21">
        <f>SUMIFS(Einzelbeträge!$D:$D,Einzelbeträge!$C:$C,'Ausgaben 2026'!$C77,Einzelbeträge!$E:$E,'Ausgaben 2026'!I$6)</f>
        <v>0</v>
      </c>
      <c r="J77" s="21">
        <f>SUMIFS(Einzelbeträge!$D:$D,Einzelbeträge!$C:$C,'Ausgaben 2026'!$C77,Einzelbeträge!$E:$E,'Ausgaben 2026'!J$6)</f>
        <v>0</v>
      </c>
      <c r="K77" s="21">
        <f>SUMIFS(Einzelbeträge!$D:$D,Einzelbeträge!$C:$C,'Ausgaben 2026'!$C77,Einzelbeträge!$E:$E,'Ausgaben 2026'!K$6)</f>
        <v>0</v>
      </c>
      <c r="L77" s="21">
        <f>SUMIFS(Einzelbeträge!$D:$D,Einzelbeträge!$C:$C,'Ausgaben 2026'!$C77,Einzelbeträge!$E:$E,'Ausgaben 2026'!L$6)</f>
        <v>0</v>
      </c>
      <c r="M77" s="21">
        <f>SUMIFS(Einzelbeträge!$D:$D,Einzelbeträge!$C:$C,'Ausgaben 2026'!$C77,Einzelbeträge!$E:$E,'Ausgaben 2026'!M$6)</f>
        <v>0</v>
      </c>
      <c r="N77" s="35">
        <f>SUMIFS(Einzelbeträge!$D:$D,Einzelbeträge!$C:$C,'Ausgaben 2026'!$C77,Einzelbeträge!$E:$E,'Ausgaben 2026'!N$6)</f>
        <v>0</v>
      </c>
      <c r="O77" s="6"/>
    </row>
    <row r="78" spans="2:15" x14ac:dyDescent="0.35">
      <c r="B78" s="5"/>
      <c r="C78" s="40">
        <f t="shared" si="18"/>
        <v>46087</v>
      </c>
      <c r="D78" s="46">
        <f>SUMIFS(Einzelbeträge!$D:$D,Einzelbeträge!$C:$C,'Ausgaben 2026'!$C78)</f>
        <v>0</v>
      </c>
      <c r="E78" s="21">
        <f>SUMIFS(Einzelbeträge!$D:$D,Einzelbeträge!$C:$C,'Ausgaben 2026'!$C78,Einzelbeträge!$E:$E,'Ausgaben 2026'!E$6)</f>
        <v>0</v>
      </c>
      <c r="F78" s="21">
        <f>SUMIFS(Einzelbeträge!$D:$D,Einzelbeträge!$C:$C,'Ausgaben 2026'!$C78,Einzelbeträge!$E:$E,'Ausgaben 2026'!F$6)</f>
        <v>0</v>
      </c>
      <c r="G78" s="21">
        <f>SUMIFS(Einzelbeträge!$D:$D,Einzelbeträge!$C:$C,'Ausgaben 2026'!$C78,Einzelbeträge!$E:$E,'Ausgaben 2026'!G$6)</f>
        <v>0</v>
      </c>
      <c r="H78" s="21">
        <f>SUMIFS(Einzelbeträge!$D:$D,Einzelbeträge!$C:$C,'Ausgaben 2026'!$C78,Einzelbeträge!$E:$E,'Ausgaben 2026'!H$6)</f>
        <v>0</v>
      </c>
      <c r="I78" s="21">
        <f>SUMIFS(Einzelbeträge!$D:$D,Einzelbeträge!$C:$C,'Ausgaben 2026'!$C78,Einzelbeträge!$E:$E,'Ausgaben 2026'!I$6)</f>
        <v>0</v>
      </c>
      <c r="J78" s="21">
        <f>SUMIFS(Einzelbeträge!$D:$D,Einzelbeträge!$C:$C,'Ausgaben 2026'!$C78,Einzelbeträge!$E:$E,'Ausgaben 2026'!J$6)</f>
        <v>0</v>
      </c>
      <c r="K78" s="21">
        <f>SUMIFS(Einzelbeträge!$D:$D,Einzelbeträge!$C:$C,'Ausgaben 2026'!$C78,Einzelbeträge!$E:$E,'Ausgaben 2026'!K$6)</f>
        <v>0</v>
      </c>
      <c r="L78" s="21">
        <f>SUMIFS(Einzelbeträge!$D:$D,Einzelbeträge!$C:$C,'Ausgaben 2026'!$C78,Einzelbeträge!$E:$E,'Ausgaben 2026'!L$6)</f>
        <v>0</v>
      </c>
      <c r="M78" s="21">
        <f>SUMIFS(Einzelbeträge!$D:$D,Einzelbeträge!$C:$C,'Ausgaben 2026'!$C78,Einzelbeträge!$E:$E,'Ausgaben 2026'!M$6)</f>
        <v>0</v>
      </c>
      <c r="N78" s="35">
        <f>SUMIFS(Einzelbeträge!$D:$D,Einzelbeträge!$C:$C,'Ausgaben 2026'!$C78,Einzelbeträge!$E:$E,'Ausgaben 2026'!N$6)</f>
        <v>0</v>
      </c>
      <c r="O78" s="6"/>
    </row>
    <row r="79" spans="2:15" x14ac:dyDescent="0.35">
      <c r="B79" s="5"/>
      <c r="C79" s="40">
        <f t="shared" si="18"/>
        <v>46088</v>
      </c>
      <c r="D79" s="46">
        <f>SUMIFS(Einzelbeträge!$D:$D,Einzelbeträge!$C:$C,'Ausgaben 2026'!$C79)</f>
        <v>0</v>
      </c>
      <c r="E79" s="21">
        <f>SUMIFS(Einzelbeträge!$D:$D,Einzelbeträge!$C:$C,'Ausgaben 2026'!$C79,Einzelbeträge!$E:$E,'Ausgaben 2026'!E$6)</f>
        <v>0</v>
      </c>
      <c r="F79" s="21">
        <f>SUMIFS(Einzelbeträge!$D:$D,Einzelbeträge!$C:$C,'Ausgaben 2026'!$C79,Einzelbeträge!$E:$E,'Ausgaben 2026'!F$6)</f>
        <v>0</v>
      </c>
      <c r="G79" s="21">
        <f>SUMIFS(Einzelbeträge!$D:$D,Einzelbeträge!$C:$C,'Ausgaben 2026'!$C79,Einzelbeträge!$E:$E,'Ausgaben 2026'!G$6)</f>
        <v>0</v>
      </c>
      <c r="H79" s="21">
        <f>SUMIFS(Einzelbeträge!$D:$D,Einzelbeträge!$C:$C,'Ausgaben 2026'!$C79,Einzelbeträge!$E:$E,'Ausgaben 2026'!H$6)</f>
        <v>0</v>
      </c>
      <c r="I79" s="21">
        <f>SUMIFS(Einzelbeträge!$D:$D,Einzelbeträge!$C:$C,'Ausgaben 2026'!$C79,Einzelbeträge!$E:$E,'Ausgaben 2026'!I$6)</f>
        <v>0</v>
      </c>
      <c r="J79" s="21">
        <f>SUMIFS(Einzelbeträge!$D:$D,Einzelbeträge!$C:$C,'Ausgaben 2026'!$C79,Einzelbeträge!$E:$E,'Ausgaben 2026'!J$6)</f>
        <v>0</v>
      </c>
      <c r="K79" s="21">
        <f>SUMIFS(Einzelbeträge!$D:$D,Einzelbeträge!$C:$C,'Ausgaben 2026'!$C79,Einzelbeträge!$E:$E,'Ausgaben 2026'!K$6)</f>
        <v>0</v>
      </c>
      <c r="L79" s="21">
        <f>SUMIFS(Einzelbeträge!$D:$D,Einzelbeträge!$C:$C,'Ausgaben 2026'!$C79,Einzelbeträge!$E:$E,'Ausgaben 2026'!L$6)</f>
        <v>0</v>
      </c>
      <c r="M79" s="21">
        <f>SUMIFS(Einzelbeträge!$D:$D,Einzelbeträge!$C:$C,'Ausgaben 2026'!$C79,Einzelbeträge!$E:$E,'Ausgaben 2026'!M$6)</f>
        <v>0</v>
      </c>
      <c r="N79" s="35">
        <f>SUMIFS(Einzelbeträge!$D:$D,Einzelbeträge!$C:$C,'Ausgaben 2026'!$C79,Einzelbeträge!$E:$E,'Ausgaben 2026'!N$6)</f>
        <v>0</v>
      </c>
      <c r="O79" s="6"/>
    </row>
    <row r="80" spans="2:15" x14ac:dyDescent="0.35">
      <c r="B80" s="5"/>
      <c r="C80" s="40">
        <f t="shared" si="18"/>
        <v>46089</v>
      </c>
      <c r="D80" s="46">
        <f>SUMIFS(Einzelbeträge!$D:$D,Einzelbeträge!$C:$C,'Ausgaben 2026'!$C80)</f>
        <v>0</v>
      </c>
      <c r="E80" s="21">
        <f>SUMIFS(Einzelbeträge!$D:$D,Einzelbeträge!$C:$C,'Ausgaben 2026'!$C80,Einzelbeträge!$E:$E,'Ausgaben 2026'!E$6)</f>
        <v>0</v>
      </c>
      <c r="F80" s="21">
        <f>SUMIFS(Einzelbeträge!$D:$D,Einzelbeträge!$C:$C,'Ausgaben 2026'!$C80,Einzelbeträge!$E:$E,'Ausgaben 2026'!F$6)</f>
        <v>0</v>
      </c>
      <c r="G80" s="21">
        <f>SUMIFS(Einzelbeträge!$D:$D,Einzelbeträge!$C:$C,'Ausgaben 2026'!$C80,Einzelbeträge!$E:$E,'Ausgaben 2026'!G$6)</f>
        <v>0</v>
      </c>
      <c r="H80" s="21">
        <f>SUMIFS(Einzelbeträge!$D:$D,Einzelbeträge!$C:$C,'Ausgaben 2026'!$C80,Einzelbeträge!$E:$E,'Ausgaben 2026'!H$6)</f>
        <v>0</v>
      </c>
      <c r="I80" s="21">
        <f>SUMIFS(Einzelbeträge!$D:$D,Einzelbeträge!$C:$C,'Ausgaben 2026'!$C80,Einzelbeträge!$E:$E,'Ausgaben 2026'!I$6)</f>
        <v>0</v>
      </c>
      <c r="J80" s="21">
        <f>SUMIFS(Einzelbeträge!$D:$D,Einzelbeträge!$C:$C,'Ausgaben 2026'!$C80,Einzelbeträge!$E:$E,'Ausgaben 2026'!J$6)</f>
        <v>0</v>
      </c>
      <c r="K80" s="21">
        <f>SUMIFS(Einzelbeträge!$D:$D,Einzelbeträge!$C:$C,'Ausgaben 2026'!$C80,Einzelbeträge!$E:$E,'Ausgaben 2026'!K$6)</f>
        <v>0</v>
      </c>
      <c r="L80" s="21">
        <f>SUMIFS(Einzelbeträge!$D:$D,Einzelbeträge!$C:$C,'Ausgaben 2026'!$C80,Einzelbeträge!$E:$E,'Ausgaben 2026'!L$6)</f>
        <v>0</v>
      </c>
      <c r="M80" s="21">
        <f>SUMIFS(Einzelbeträge!$D:$D,Einzelbeträge!$C:$C,'Ausgaben 2026'!$C80,Einzelbeträge!$E:$E,'Ausgaben 2026'!M$6)</f>
        <v>0</v>
      </c>
      <c r="N80" s="35">
        <f>SUMIFS(Einzelbeträge!$D:$D,Einzelbeträge!$C:$C,'Ausgaben 2026'!$C80,Einzelbeträge!$E:$E,'Ausgaben 2026'!N$6)</f>
        <v>0</v>
      </c>
      <c r="O80" s="6"/>
    </row>
    <row r="81" spans="2:15" x14ac:dyDescent="0.35">
      <c r="B81" s="5"/>
      <c r="C81" s="40">
        <f t="shared" si="18"/>
        <v>46090</v>
      </c>
      <c r="D81" s="46">
        <f>SUMIFS(Einzelbeträge!$D:$D,Einzelbeträge!$C:$C,'Ausgaben 2026'!$C81)</f>
        <v>0</v>
      </c>
      <c r="E81" s="21">
        <f>SUMIFS(Einzelbeträge!$D:$D,Einzelbeträge!$C:$C,'Ausgaben 2026'!$C81,Einzelbeträge!$E:$E,'Ausgaben 2026'!E$6)</f>
        <v>0</v>
      </c>
      <c r="F81" s="21">
        <f>SUMIFS(Einzelbeträge!$D:$D,Einzelbeträge!$C:$C,'Ausgaben 2026'!$C81,Einzelbeträge!$E:$E,'Ausgaben 2026'!F$6)</f>
        <v>0</v>
      </c>
      <c r="G81" s="21">
        <f>SUMIFS(Einzelbeträge!$D:$D,Einzelbeträge!$C:$C,'Ausgaben 2026'!$C81,Einzelbeträge!$E:$E,'Ausgaben 2026'!G$6)</f>
        <v>0</v>
      </c>
      <c r="H81" s="21">
        <f>SUMIFS(Einzelbeträge!$D:$D,Einzelbeträge!$C:$C,'Ausgaben 2026'!$C81,Einzelbeträge!$E:$E,'Ausgaben 2026'!H$6)</f>
        <v>0</v>
      </c>
      <c r="I81" s="21">
        <f>SUMIFS(Einzelbeträge!$D:$D,Einzelbeträge!$C:$C,'Ausgaben 2026'!$C81,Einzelbeträge!$E:$E,'Ausgaben 2026'!I$6)</f>
        <v>0</v>
      </c>
      <c r="J81" s="21">
        <f>SUMIFS(Einzelbeträge!$D:$D,Einzelbeträge!$C:$C,'Ausgaben 2026'!$C81,Einzelbeträge!$E:$E,'Ausgaben 2026'!J$6)</f>
        <v>0</v>
      </c>
      <c r="K81" s="21">
        <f>SUMIFS(Einzelbeträge!$D:$D,Einzelbeträge!$C:$C,'Ausgaben 2026'!$C81,Einzelbeträge!$E:$E,'Ausgaben 2026'!K$6)</f>
        <v>0</v>
      </c>
      <c r="L81" s="21">
        <f>SUMIFS(Einzelbeträge!$D:$D,Einzelbeträge!$C:$C,'Ausgaben 2026'!$C81,Einzelbeträge!$E:$E,'Ausgaben 2026'!L$6)</f>
        <v>0</v>
      </c>
      <c r="M81" s="21">
        <f>SUMIFS(Einzelbeträge!$D:$D,Einzelbeträge!$C:$C,'Ausgaben 2026'!$C81,Einzelbeträge!$E:$E,'Ausgaben 2026'!M$6)</f>
        <v>0</v>
      </c>
      <c r="N81" s="35">
        <f>SUMIFS(Einzelbeträge!$D:$D,Einzelbeträge!$C:$C,'Ausgaben 2026'!$C81,Einzelbeträge!$E:$E,'Ausgaben 2026'!N$6)</f>
        <v>0</v>
      </c>
      <c r="O81" s="6"/>
    </row>
    <row r="82" spans="2:15" x14ac:dyDescent="0.35">
      <c r="B82" s="5"/>
      <c r="C82" s="40">
        <f t="shared" si="18"/>
        <v>46091</v>
      </c>
      <c r="D82" s="46">
        <f>SUMIFS(Einzelbeträge!$D:$D,Einzelbeträge!$C:$C,'Ausgaben 2026'!$C82)</f>
        <v>0</v>
      </c>
      <c r="E82" s="21">
        <f>SUMIFS(Einzelbeträge!$D:$D,Einzelbeträge!$C:$C,'Ausgaben 2026'!$C82,Einzelbeträge!$E:$E,'Ausgaben 2026'!E$6)</f>
        <v>0</v>
      </c>
      <c r="F82" s="21">
        <f>SUMIFS(Einzelbeträge!$D:$D,Einzelbeträge!$C:$C,'Ausgaben 2026'!$C82,Einzelbeträge!$E:$E,'Ausgaben 2026'!F$6)</f>
        <v>0</v>
      </c>
      <c r="G82" s="21">
        <f>SUMIFS(Einzelbeträge!$D:$D,Einzelbeträge!$C:$C,'Ausgaben 2026'!$C82,Einzelbeträge!$E:$E,'Ausgaben 2026'!G$6)</f>
        <v>0</v>
      </c>
      <c r="H82" s="21">
        <f>SUMIFS(Einzelbeträge!$D:$D,Einzelbeträge!$C:$C,'Ausgaben 2026'!$C82,Einzelbeträge!$E:$E,'Ausgaben 2026'!H$6)</f>
        <v>0</v>
      </c>
      <c r="I82" s="21">
        <f>SUMIFS(Einzelbeträge!$D:$D,Einzelbeträge!$C:$C,'Ausgaben 2026'!$C82,Einzelbeträge!$E:$E,'Ausgaben 2026'!I$6)</f>
        <v>0</v>
      </c>
      <c r="J82" s="21">
        <f>SUMIFS(Einzelbeträge!$D:$D,Einzelbeträge!$C:$C,'Ausgaben 2026'!$C82,Einzelbeträge!$E:$E,'Ausgaben 2026'!J$6)</f>
        <v>0</v>
      </c>
      <c r="K82" s="21">
        <f>SUMIFS(Einzelbeträge!$D:$D,Einzelbeträge!$C:$C,'Ausgaben 2026'!$C82,Einzelbeträge!$E:$E,'Ausgaben 2026'!K$6)</f>
        <v>0</v>
      </c>
      <c r="L82" s="21">
        <f>SUMIFS(Einzelbeträge!$D:$D,Einzelbeträge!$C:$C,'Ausgaben 2026'!$C82,Einzelbeträge!$E:$E,'Ausgaben 2026'!L$6)</f>
        <v>0</v>
      </c>
      <c r="M82" s="21">
        <f>SUMIFS(Einzelbeträge!$D:$D,Einzelbeträge!$C:$C,'Ausgaben 2026'!$C82,Einzelbeträge!$E:$E,'Ausgaben 2026'!M$6)</f>
        <v>0</v>
      </c>
      <c r="N82" s="35">
        <f>SUMIFS(Einzelbeträge!$D:$D,Einzelbeträge!$C:$C,'Ausgaben 2026'!$C82,Einzelbeträge!$E:$E,'Ausgaben 2026'!N$6)</f>
        <v>0</v>
      </c>
      <c r="O82" s="6"/>
    </row>
    <row r="83" spans="2:15" x14ac:dyDescent="0.35">
      <c r="B83" s="5"/>
      <c r="C83" s="40">
        <f t="shared" si="18"/>
        <v>46092</v>
      </c>
      <c r="D83" s="46">
        <f>SUMIFS(Einzelbeträge!$D:$D,Einzelbeträge!$C:$C,'Ausgaben 2026'!$C83)</f>
        <v>0</v>
      </c>
      <c r="E83" s="21">
        <f>SUMIFS(Einzelbeträge!$D:$D,Einzelbeträge!$C:$C,'Ausgaben 2026'!$C83,Einzelbeträge!$E:$E,'Ausgaben 2026'!E$6)</f>
        <v>0</v>
      </c>
      <c r="F83" s="21">
        <f>SUMIFS(Einzelbeträge!$D:$D,Einzelbeträge!$C:$C,'Ausgaben 2026'!$C83,Einzelbeträge!$E:$E,'Ausgaben 2026'!F$6)</f>
        <v>0</v>
      </c>
      <c r="G83" s="21">
        <f>SUMIFS(Einzelbeträge!$D:$D,Einzelbeträge!$C:$C,'Ausgaben 2026'!$C83,Einzelbeträge!$E:$E,'Ausgaben 2026'!G$6)</f>
        <v>0</v>
      </c>
      <c r="H83" s="21">
        <f>SUMIFS(Einzelbeträge!$D:$D,Einzelbeträge!$C:$C,'Ausgaben 2026'!$C83,Einzelbeträge!$E:$E,'Ausgaben 2026'!H$6)</f>
        <v>0</v>
      </c>
      <c r="I83" s="21">
        <f>SUMIFS(Einzelbeträge!$D:$D,Einzelbeträge!$C:$C,'Ausgaben 2026'!$C83,Einzelbeträge!$E:$E,'Ausgaben 2026'!I$6)</f>
        <v>0</v>
      </c>
      <c r="J83" s="21">
        <f>SUMIFS(Einzelbeträge!$D:$D,Einzelbeträge!$C:$C,'Ausgaben 2026'!$C83,Einzelbeträge!$E:$E,'Ausgaben 2026'!J$6)</f>
        <v>0</v>
      </c>
      <c r="K83" s="21">
        <f>SUMIFS(Einzelbeträge!$D:$D,Einzelbeträge!$C:$C,'Ausgaben 2026'!$C83,Einzelbeträge!$E:$E,'Ausgaben 2026'!K$6)</f>
        <v>0</v>
      </c>
      <c r="L83" s="21">
        <f>SUMIFS(Einzelbeträge!$D:$D,Einzelbeträge!$C:$C,'Ausgaben 2026'!$C83,Einzelbeträge!$E:$E,'Ausgaben 2026'!L$6)</f>
        <v>0</v>
      </c>
      <c r="M83" s="21">
        <f>SUMIFS(Einzelbeträge!$D:$D,Einzelbeträge!$C:$C,'Ausgaben 2026'!$C83,Einzelbeträge!$E:$E,'Ausgaben 2026'!M$6)</f>
        <v>0</v>
      </c>
      <c r="N83" s="35">
        <f>SUMIFS(Einzelbeträge!$D:$D,Einzelbeträge!$C:$C,'Ausgaben 2026'!$C83,Einzelbeträge!$E:$E,'Ausgaben 2026'!N$6)</f>
        <v>0</v>
      </c>
      <c r="O83" s="6"/>
    </row>
    <row r="84" spans="2:15" x14ac:dyDescent="0.35">
      <c r="B84" s="5"/>
      <c r="C84" s="40">
        <f t="shared" si="18"/>
        <v>46093</v>
      </c>
      <c r="D84" s="46">
        <f>SUMIFS(Einzelbeträge!$D:$D,Einzelbeträge!$C:$C,'Ausgaben 2026'!$C84)</f>
        <v>0</v>
      </c>
      <c r="E84" s="21">
        <f>SUMIFS(Einzelbeträge!$D:$D,Einzelbeträge!$C:$C,'Ausgaben 2026'!$C84,Einzelbeträge!$E:$E,'Ausgaben 2026'!E$6)</f>
        <v>0</v>
      </c>
      <c r="F84" s="21">
        <f>SUMIFS(Einzelbeträge!$D:$D,Einzelbeträge!$C:$C,'Ausgaben 2026'!$C84,Einzelbeträge!$E:$E,'Ausgaben 2026'!F$6)</f>
        <v>0</v>
      </c>
      <c r="G84" s="21">
        <f>SUMIFS(Einzelbeträge!$D:$D,Einzelbeträge!$C:$C,'Ausgaben 2026'!$C84,Einzelbeträge!$E:$E,'Ausgaben 2026'!G$6)</f>
        <v>0</v>
      </c>
      <c r="H84" s="21">
        <f>SUMIFS(Einzelbeträge!$D:$D,Einzelbeträge!$C:$C,'Ausgaben 2026'!$C84,Einzelbeträge!$E:$E,'Ausgaben 2026'!H$6)</f>
        <v>0</v>
      </c>
      <c r="I84" s="21">
        <f>SUMIFS(Einzelbeträge!$D:$D,Einzelbeträge!$C:$C,'Ausgaben 2026'!$C84,Einzelbeträge!$E:$E,'Ausgaben 2026'!I$6)</f>
        <v>0</v>
      </c>
      <c r="J84" s="21">
        <f>SUMIFS(Einzelbeträge!$D:$D,Einzelbeträge!$C:$C,'Ausgaben 2026'!$C84,Einzelbeträge!$E:$E,'Ausgaben 2026'!J$6)</f>
        <v>0</v>
      </c>
      <c r="K84" s="21">
        <f>SUMIFS(Einzelbeträge!$D:$D,Einzelbeträge!$C:$C,'Ausgaben 2026'!$C84,Einzelbeträge!$E:$E,'Ausgaben 2026'!K$6)</f>
        <v>0</v>
      </c>
      <c r="L84" s="21">
        <f>SUMIFS(Einzelbeträge!$D:$D,Einzelbeträge!$C:$C,'Ausgaben 2026'!$C84,Einzelbeträge!$E:$E,'Ausgaben 2026'!L$6)</f>
        <v>0</v>
      </c>
      <c r="M84" s="21">
        <f>SUMIFS(Einzelbeträge!$D:$D,Einzelbeträge!$C:$C,'Ausgaben 2026'!$C84,Einzelbeträge!$E:$E,'Ausgaben 2026'!M$6)</f>
        <v>0</v>
      </c>
      <c r="N84" s="35">
        <f>SUMIFS(Einzelbeträge!$D:$D,Einzelbeträge!$C:$C,'Ausgaben 2026'!$C84,Einzelbeträge!$E:$E,'Ausgaben 2026'!N$6)</f>
        <v>0</v>
      </c>
      <c r="O84" s="6"/>
    </row>
    <row r="85" spans="2:15" x14ac:dyDescent="0.35">
      <c r="B85" s="5"/>
      <c r="C85" s="40">
        <f t="shared" si="18"/>
        <v>46094</v>
      </c>
      <c r="D85" s="46">
        <f>SUMIFS(Einzelbeträge!$D:$D,Einzelbeträge!$C:$C,'Ausgaben 2026'!$C85)</f>
        <v>0</v>
      </c>
      <c r="E85" s="21">
        <f>SUMIFS(Einzelbeträge!$D:$D,Einzelbeträge!$C:$C,'Ausgaben 2026'!$C85,Einzelbeträge!$E:$E,'Ausgaben 2026'!E$6)</f>
        <v>0</v>
      </c>
      <c r="F85" s="21">
        <f>SUMIFS(Einzelbeträge!$D:$D,Einzelbeträge!$C:$C,'Ausgaben 2026'!$C85,Einzelbeträge!$E:$E,'Ausgaben 2026'!F$6)</f>
        <v>0</v>
      </c>
      <c r="G85" s="21">
        <f>SUMIFS(Einzelbeträge!$D:$D,Einzelbeträge!$C:$C,'Ausgaben 2026'!$C85,Einzelbeträge!$E:$E,'Ausgaben 2026'!G$6)</f>
        <v>0</v>
      </c>
      <c r="H85" s="21">
        <f>SUMIFS(Einzelbeträge!$D:$D,Einzelbeträge!$C:$C,'Ausgaben 2026'!$C85,Einzelbeträge!$E:$E,'Ausgaben 2026'!H$6)</f>
        <v>0</v>
      </c>
      <c r="I85" s="21">
        <f>SUMIFS(Einzelbeträge!$D:$D,Einzelbeträge!$C:$C,'Ausgaben 2026'!$C85,Einzelbeträge!$E:$E,'Ausgaben 2026'!I$6)</f>
        <v>0</v>
      </c>
      <c r="J85" s="21">
        <f>SUMIFS(Einzelbeträge!$D:$D,Einzelbeträge!$C:$C,'Ausgaben 2026'!$C85,Einzelbeträge!$E:$E,'Ausgaben 2026'!J$6)</f>
        <v>0</v>
      </c>
      <c r="K85" s="21">
        <f>SUMIFS(Einzelbeträge!$D:$D,Einzelbeträge!$C:$C,'Ausgaben 2026'!$C85,Einzelbeträge!$E:$E,'Ausgaben 2026'!K$6)</f>
        <v>0</v>
      </c>
      <c r="L85" s="21">
        <f>SUMIFS(Einzelbeträge!$D:$D,Einzelbeträge!$C:$C,'Ausgaben 2026'!$C85,Einzelbeträge!$E:$E,'Ausgaben 2026'!L$6)</f>
        <v>0</v>
      </c>
      <c r="M85" s="21">
        <f>SUMIFS(Einzelbeträge!$D:$D,Einzelbeträge!$C:$C,'Ausgaben 2026'!$C85,Einzelbeträge!$E:$E,'Ausgaben 2026'!M$6)</f>
        <v>0</v>
      </c>
      <c r="N85" s="35">
        <f>SUMIFS(Einzelbeträge!$D:$D,Einzelbeträge!$C:$C,'Ausgaben 2026'!$C85,Einzelbeträge!$E:$E,'Ausgaben 2026'!N$6)</f>
        <v>0</v>
      </c>
      <c r="O85" s="6"/>
    </row>
    <row r="86" spans="2:15" x14ac:dyDescent="0.35">
      <c r="B86" s="5"/>
      <c r="C86" s="40">
        <f t="shared" si="18"/>
        <v>46095</v>
      </c>
      <c r="D86" s="46">
        <f>SUMIFS(Einzelbeträge!$D:$D,Einzelbeträge!$C:$C,'Ausgaben 2026'!$C86)</f>
        <v>0</v>
      </c>
      <c r="E86" s="21">
        <f>SUMIFS(Einzelbeträge!$D:$D,Einzelbeträge!$C:$C,'Ausgaben 2026'!$C86,Einzelbeträge!$E:$E,'Ausgaben 2026'!E$6)</f>
        <v>0</v>
      </c>
      <c r="F86" s="21">
        <f>SUMIFS(Einzelbeträge!$D:$D,Einzelbeträge!$C:$C,'Ausgaben 2026'!$C86,Einzelbeträge!$E:$E,'Ausgaben 2026'!F$6)</f>
        <v>0</v>
      </c>
      <c r="G86" s="21">
        <f>SUMIFS(Einzelbeträge!$D:$D,Einzelbeträge!$C:$C,'Ausgaben 2026'!$C86,Einzelbeträge!$E:$E,'Ausgaben 2026'!G$6)</f>
        <v>0</v>
      </c>
      <c r="H86" s="21">
        <f>SUMIFS(Einzelbeträge!$D:$D,Einzelbeträge!$C:$C,'Ausgaben 2026'!$C86,Einzelbeträge!$E:$E,'Ausgaben 2026'!H$6)</f>
        <v>0</v>
      </c>
      <c r="I86" s="21">
        <f>SUMIFS(Einzelbeträge!$D:$D,Einzelbeträge!$C:$C,'Ausgaben 2026'!$C86,Einzelbeträge!$E:$E,'Ausgaben 2026'!I$6)</f>
        <v>0</v>
      </c>
      <c r="J86" s="21">
        <f>SUMIFS(Einzelbeträge!$D:$D,Einzelbeträge!$C:$C,'Ausgaben 2026'!$C86,Einzelbeträge!$E:$E,'Ausgaben 2026'!J$6)</f>
        <v>0</v>
      </c>
      <c r="K86" s="21">
        <f>SUMIFS(Einzelbeträge!$D:$D,Einzelbeträge!$C:$C,'Ausgaben 2026'!$C86,Einzelbeträge!$E:$E,'Ausgaben 2026'!K$6)</f>
        <v>0</v>
      </c>
      <c r="L86" s="21">
        <f>SUMIFS(Einzelbeträge!$D:$D,Einzelbeträge!$C:$C,'Ausgaben 2026'!$C86,Einzelbeträge!$E:$E,'Ausgaben 2026'!L$6)</f>
        <v>0</v>
      </c>
      <c r="M86" s="21">
        <f>SUMIFS(Einzelbeträge!$D:$D,Einzelbeträge!$C:$C,'Ausgaben 2026'!$C86,Einzelbeträge!$E:$E,'Ausgaben 2026'!M$6)</f>
        <v>0</v>
      </c>
      <c r="N86" s="35">
        <f>SUMIFS(Einzelbeträge!$D:$D,Einzelbeträge!$C:$C,'Ausgaben 2026'!$C86,Einzelbeträge!$E:$E,'Ausgaben 2026'!N$6)</f>
        <v>0</v>
      </c>
      <c r="O86" s="6"/>
    </row>
    <row r="87" spans="2:15" x14ac:dyDescent="0.35">
      <c r="B87" s="5"/>
      <c r="C87" s="40">
        <f t="shared" si="18"/>
        <v>46096</v>
      </c>
      <c r="D87" s="46">
        <f>SUMIFS(Einzelbeträge!$D:$D,Einzelbeträge!$C:$C,'Ausgaben 2026'!$C87)</f>
        <v>0</v>
      </c>
      <c r="E87" s="21">
        <f>SUMIFS(Einzelbeträge!$D:$D,Einzelbeträge!$C:$C,'Ausgaben 2026'!$C87,Einzelbeträge!$E:$E,'Ausgaben 2026'!E$6)</f>
        <v>0</v>
      </c>
      <c r="F87" s="21">
        <f>SUMIFS(Einzelbeträge!$D:$D,Einzelbeträge!$C:$C,'Ausgaben 2026'!$C87,Einzelbeträge!$E:$E,'Ausgaben 2026'!F$6)</f>
        <v>0</v>
      </c>
      <c r="G87" s="21">
        <f>SUMIFS(Einzelbeträge!$D:$D,Einzelbeträge!$C:$C,'Ausgaben 2026'!$C87,Einzelbeträge!$E:$E,'Ausgaben 2026'!G$6)</f>
        <v>0</v>
      </c>
      <c r="H87" s="21">
        <f>SUMIFS(Einzelbeträge!$D:$D,Einzelbeträge!$C:$C,'Ausgaben 2026'!$C87,Einzelbeträge!$E:$E,'Ausgaben 2026'!H$6)</f>
        <v>0</v>
      </c>
      <c r="I87" s="21">
        <f>SUMIFS(Einzelbeträge!$D:$D,Einzelbeträge!$C:$C,'Ausgaben 2026'!$C87,Einzelbeträge!$E:$E,'Ausgaben 2026'!I$6)</f>
        <v>0</v>
      </c>
      <c r="J87" s="21">
        <f>SUMIFS(Einzelbeträge!$D:$D,Einzelbeträge!$C:$C,'Ausgaben 2026'!$C87,Einzelbeträge!$E:$E,'Ausgaben 2026'!J$6)</f>
        <v>0</v>
      </c>
      <c r="K87" s="21">
        <f>SUMIFS(Einzelbeträge!$D:$D,Einzelbeträge!$C:$C,'Ausgaben 2026'!$C87,Einzelbeträge!$E:$E,'Ausgaben 2026'!K$6)</f>
        <v>0</v>
      </c>
      <c r="L87" s="21">
        <f>SUMIFS(Einzelbeträge!$D:$D,Einzelbeträge!$C:$C,'Ausgaben 2026'!$C87,Einzelbeträge!$E:$E,'Ausgaben 2026'!L$6)</f>
        <v>0</v>
      </c>
      <c r="M87" s="21">
        <f>SUMIFS(Einzelbeträge!$D:$D,Einzelbeträge!$C:$C,'Ausgaben 2026'!$C87,Einzelbeträge!$E:$E,'Ausgaben 2026'!M$6)</f>
        <v>0</v>
      </c>
      <c r="N87" s="35">
        <f>SUMIFS(Einzelbeträge!$D:$D,Einzelbeträge!$C:$C,'Ausgaben 2026'!$C87,Einzelbeträge!$E:$E,'Ausgaben 2026'!N$6)</f>
        <v>0</v>
      </c>
      <c r="O87" s="6"/>
    </row>
    <row r="88" spans="2:15" x14ac:dyDescent="0.35">
      <c r="B88" s="5"/>
      <c r="C88" s="40">
        <f t="shared" si="18"/>
        <v>46097</v>
      </c>
      <c r="D88" s="46">
        <f>SUMIFS(Einzelbeträge!$D:$D,Einzelbeträge!$C:$C,'Ausgaben 2026'!$C88)</f>
        <v>0</v>
      </c>
      <c r="E88" s="21">
        <f>SUMIFS(Einzelbeträge!$D:$D,Einzelbeträge!$C:$C,'Ausgaben 2026'!$C88,Einzelbeträge!$E:$E,'Ausgaben 2026'!E$6)</f>
        <v>0</v>
      </c>
      <c r="F88" s="21">
        <f>SUMIFS(Einzelbeträge!$D:$D,Einzelbeträge!$C:$C,'Ausgaben 2026'!$C88,Einzelbeträge!$E:$E,'Ausgaben 2026'!F$6)</f>
        <v>0</v>
      </c>
      <c r="G88" s="21">
        <f>SUMIFS(Einzelbeträge!$D:$D,Einzelbeträge!$C:$C,'Ausgaben 2026'!$C88,Einzelbeträge!$E:$E,'Ausgaben 2026'!G$6)</f>
        <v>0</v>
      </c>
      <c r="H88" s="21">
        <f>SUMIFS(Einzelbeträge!$D:$D,Einzelbeträge!$C:$C,'Ausgaben 2026'!$C88,Einzelbeträge!$E:$E,'Ausgaben 2026'!H$6)</f>
        <v>0</v>
      </c>
      <c r="I88" s="21">
        <f>SUMIFS(Einzelbeträge!$D:$D,Einzelbeträge!$C:$C,'Ausgaben 2026'!$C88,Einzelbeträge!$E:$E,'Ausgaben 2026'!I$6)</f>
        <v>0</v>
      </c>
      <c r="J88" s="21">
        <f>SUMIFS(Einzelbeträge!$D:$D,Einzelbeträge!$C:$C,'Ausgaben 2026'!$C88,Einzelbeträge!$E:$E,'Ausgaben 2026'!J$6)</f>
        <v>0</v>
      </c>
      <c r="K88" s="21">
        <f>SUMIFS(Einzelbeträge!$D:$D,Einzelbeträge!$C:$C,'Ausgaben 2026'!$C88,Einzelbeträge!$E:$E,'Ausgaben 2026'!K$6)</f>
        <v>0</v>
      </c>
      <c r="L88" s="21">
        <f>SUMIFS(Einzelbeträge!$D:$D,Einzelbeträge!$C:$C,'Ausgaben 2026'!$C88,Einzelbeträge!$E:$E,'Ausgaben 2026'!L$6)</f>
        <v>0</v>
      </c>
      <c r="M88" s="21">
        <f>SUMIFS(Einzelbeträge!$D:$D,Einzelbeträge!$C:$C,'Ausgaben 2026'!$C88,Einzelbeträge!$E:$E,'Ausgaben 2026'!M$6)</f>
        <v>0</v>
      </c>
      <c r="N88" s="35">
        <f>SUMIFS(Einzelbeträge!$D:$D,Einzelbeträge!$C:$C,'Ausgaben 2026'!$C88,Einzelbeträge!$E:$E,'Ausgaben 2026'!N$6)</f>
        <v>0</v>
      </c>
      <c r="O88" s="6"/>
    </row>
    <row r="89" spans="2:15" x14ac:dyDescent="0.35">
      <c r="B89" s="5"/>
      <c r="C89" s="40">
        <f t="shared" si="18"/>
        <v>46098</v>
      </c>
      <c r="D89" s="46">
        <f>SUMIFS(Einzelbeträge!$D:$D,Einzelbeträge!$C:$C,'Ausgaben 2026'!$C89)</f>
        <v>0</v>
      </c>
      <c r="E89" s="21">
        <f>SUMIFS(Einzelbeträge!$D:$D,Einzelbeträge!$C:$C,'Ausgaben 2026'!$C89,Einzelbeträge!$E:$E,'Ausgaben 2026'!E$6)</f>
        <v>0</v>
      </c>
      <c r="F89" s="21">
        <f>SUMIFS(Einzelbeträge!$D:$D,Einzelbeträge!$C:$C,'Ausgaben 2026'!$C89,Einzelbeträge!$E:$E,'Ausgaben 2026'!F$6)</f>
        <v>0</v>
      </c>
      <c r="G89" s="21">
        <f>SUMIFS(Einzelbeträge!$D:$D,Einzelbeträge!$C:$C,'Ausgaben 2026'!$C89,Einzelbeträge!$E:$E,'Ausgaben 2026'!G$6)</f>
        <v>0</v>
      </c>
      <c r="H89" s="21">
        <f>SUMIFS(Einzelbeträge!$D:$D,Einzelbeträge!$C:$C,'Ausgaben 2026'!$C89,Einzelbeträge!$E:$E,'Ausgaben 2026'!H$6)</f>
        <v>0</v>
      </c>
      <c r="I89" s="21">
        <f>SUMIFS(Einzelbeträge!$D:$D,Einzelbeträge!$C:$C,'Ausgaben 2026'!$C89,Einzelbeträge!$E:$E,'Ausgaben 2026'!I$6)</f>
        <v>0</v>
      </c>
      <c r="J89" s="21">
        <f>SUMIFS(Einzelbeträge!$D:$D,Einzelbeträge!$C:$C,'Ausgaben 2026'!$C89,Einzelbeträge!$E:$E,'Ausgaben 2026'!J$6)</f>
        <v>0</v>
      </c>
      <c r="K89" s="21">
        <f>SUMIFS(Einzelbeträge!$D:$D,Einzelbeträge!$C:$C,'Ausgaben 2026'!$C89,Einzelbeträge!$E:$E,'Ausgaben 2026'!K$6)</f>
        <v>0</v>
      </c>
      <c r="L89" s="21">
        <f>SUMIFS(Einzelbeträge!$D:$D,Einzelbeträge!$C:$C,'Ausgaben 2026'!$C89,Einzelbeträge!$E:$E,'Ausgaben 2026'!L$6)</f>
        <v>0</v>
      </c>
      <c r="M89" s="21">
        <f>SUMIFS(Einzelbeträge!$D:$D,Einzelbeträge!$C:$C,'Ausgaben 2026'!$C89,Einzelbeträge!$E:$E,'Ausgaben 2026'!M$6)</f>
        <v>0</v>
      </c>
      <c r="N89" s="35">
        <f>SUMIFS(Einzelbeträge!$D:$D,Einzelbeträge!$C:$C,'Ausgaben 2026'!$C89,Einzelbeträge!$E:$E,'Ausgaben 2026'!N$6)</f>
        <v>0</v>
      </c>
      <c r="O89" s="6"/>
    </row>
    <row r="90" spans="2:15" x14ac:dyDescent="0.35">
      <c r="B90" s="5"/>
      <c r="C90" s="40">
        <f t="shared" si="18"/>
        <v>46099</v>
      </c>
      <c r="D90" s="46">
        <f>SUMIFS(Einzelbeträge!$D:$D,Einzelbeträge!$C:$C,'Ausgaben 2026'!$C90)</f>
        <v>0</v>
      </c>
      <c r="E90" s="21">
        <f>SUMIFS(Einzelbeträge!$D:$D,Einzelbeträge!$C:$C,'Ausgaben 2026'!$C90,Einzelbeträge!$E:$E,'Ausgaben 2026'!E$6)</f>
        <v>0</v>
      </c>
      <c r="F90" s="21">
        <f>SUMIFS(Einzelbeträge!$D:$D,Einzelbeträge!$C:$C,'Ausgaben 2026'!$C90,Einzelbeträge!$E:$E,'Ausgaben 2026'!F$6)</f>
        <v>0</v>
      </c>
      <c r="G90" s="21">
        <f>SUMIFS(Einzelbeträge!$D:$D,Einzelbeträge!$C:$C,'Ausgaben 2026'!$C90,Einzelbeträge!$E:$E,'Ausgaben 2026'!G$6)</f>
        <v>0</v>
      </c>
      <c r="H90" s="21">
        <f>SUMIFS(Einzelbeträge!$D:$D,Einzelbeträge!$C:$C,'Ausgaben 2026'!$C90,Einzelbeträge!$E:$E,'Ausgaben 2026'!H$6)</f>
        <v>0</v>
      </c>
      <c r="I90" s="21">
        <f>SUMIFS(Einzelbeträge!$D:$D,Einzelbeträge!$C:$C,'Ausgaben 2026'!$C90,Einzelbeträge!$E:$E,'Ausgaben 2026'!I$6)</f>
        <v>0</v>
      </c>
      <c r="J90" s="21">
        <f>SUMIFS(Einzelbeträge!$D:$D,Einzelbeträge!$C:$C,'Ausgaben 2026'!$C90,Einzelbeträge!$E:$E,'Ausgaben 2026'!J$6)</f>
        <v>0</v>
      </c>
      <c r="K90" s="21">
        <f>SUMIFS(Einzelbeträge!$D:$D,Einzelbeträge!$C:$C,'Ausgaben 2026'!$C90,Einzelbeträge!$E:$E,'Ausgaben 2026'!K$6)</f>
        <v>0</v>
      </c>
      <c r="L90" s="21">
        <f>SUMIFS(Einzelbeträge!$D:$D,Einzelbeträge!$C:$C,'Ausgaben 2026'!$C90,Einzelbeträge!$E:$E,'Ausgaben 2026'!L$6)</f>
        <v>0</v>
      </c>
      <c r="M90" s="21">
        <f>SUMIFS(Einzelbeträge!$D:$D,Einzelbeträge!$C:$C,'Ausgaben 2026'!$C90,Einzelbeträge!$E:$E,'Ausgaben 2026'!M$6)</f>
        <v>0</v>
      </c>
      <c r="N90" s="35">
        <f>SUMIFS(Einzelbeträge!$D:$D,Einzelbeträge!$C:$C,'Ausgaben 2026'!$C90,Einzelbeträge!$E:$E,'Ausgaben 2026'!N$6)</f>
        <v>0</v>
      </c>
      <c r="O90" s="6"/>
    </row>
    <row r="91" spans="2:15" x14ac:dyDescent="0.35">
      <c r="B91" s="5"/>
      <c r="C91" s="40">
        <f t="shared" si="18"/>
        <v>46100</v>
      </c>
      <c r="D91" s="46">
        <f>SUMIFS(Einzelbeträge!$D:$D,Einzelbeträge!$C:$C,'Ausgaben 2026'!$C91)</f>
        <v>0</v>
      </c>
      <c r="E91" s="21">
        <f>SUMIFS(Einzelbeträge!$D:$D,Einzelbeträge!$C:$C,'Ausgaben 2026'!$C91,Einzelbeträge!$E:$E,'Ausgaben 2026'!E$6)</f>
        <v>0</v>
      </c>
      <c r="F91" s="21">
        <f>SUMIFS(Einzelbeträge!$D:$D,Einzelbeträge!$C:$C,'Ausgaben 2026'!$C91,Einzelbeträge!$E:$E,'Ausgaben 2026'!F$6)</f>
        <v>0</v>
      </c>
      <c r="G91" s="21">
        <f>SUMIFS(Einzelbeträge!$D:$D,Einzelbeträge!$C:$C,'Ausgaben 2026'!$C91,Einzelbeträge!$E:$E,'Ausgaben 2026'!G$6)</f>
        <v>0</v>
      </c>
      <c r="H91" s="21">
        <f>SUMIFS(Einzelbeträge!$D:$D,Einzelbeträge!$C:$C,'Ausgaben 2026'!$C91,Einzelbeträge!$E:$E,'Ausgaben 2026'!H$6)</f>
        <v>0</v>
      </c>
      <c r="I91" s="21">
        <f>SUMIFS(Einzelbeträge!$D:$D,Einzelbeträge!$C:$C,'Ausgaben 2026'!$C91,Einzelbeträge!$E:$E,'Ausgaben 2026'!I$6)</f>
        <v>0</v>
      </c>
      <c r="J91" s="21">
        <f>SUMIFS(Einzelbeträge!$D:$D,Einzelbeträge!$C:$C,'Ausgaben 2026'!$C91,Einzelbeträge!$E:$E,'Ausgaben 2026'!J$6)</f>
        <v>0</v>
      </c>
      <c r="K91" s="21">
        <f>SUMIFS(Einzelbeträge!$D:$D,Einzelbeträge!$C:$C,'Ausgaben 2026'!$C91,Einzelbeträge!$E:$E,'Ausgaben 2026'!K$6)</f>
        <v>0</v>
      </c>
      <c r="L91" s="21">
        <f>SUMIFS(Einzelbeträge!$D:$D,Einzelbeträge!$C:$C,'Ausgaben 2026'!$C91,Einzelbeträge!$E:$E,'Ausgaben 2026'!L$6)</f>
        <v>0</v>
      </c>
      <c r="M91" s="21">
        <f>SUMIFS(Einzelbeträge!$D:$D,Einzelbeträge!$C:$C,'Ausgaben 2026'!$C91,Einzelbeträge!$E:$E,'Ausgaben 2026'!M$6)</f>
        <v>0</v>
      </c>
      <c r="N91" s="35">
        <f>SUMIFS(Einzelbeträge!$D:$D,Einzelbeträge!$C:$C,'Ausgaben 2026'!$C91,Einzelbeträge!$E:$E,'Ausgaben 2026'!N$6)</f>
        <v>0</v>
      </c>
      <c r="O91" s="6"/>
    </row>
    <row r="92" spans="2:15" x14ac:dyDescent="0.35">
      <c r="B92" s="5"/>
      <c r="C92" s="40">
        <f t="shared" si="18"/>
        <v>46101</v>
      </c>
      <c r="D92" s="46">
        <f>SUMIFS(Einzelbeträge!$D:$D,Einzelbeträge!$C:$C,'Ausgaben 2026'!$C92)</f>
        <v>0</v>
      </c>
      <c r="E92" s="21">
        <f>SUMIFS(Einzelbeträge!$D:$D,Einzelbeträge!$C:$C,'Ausgaben 2026'!$C92,Einzelbeträge!$E:$E,'Ausgaben 2026'!E$6)</f>
        <v>0</v>
      </c>
      <c r="F92" s="21">
        <f>SUMIFS(Einzelbeträge!$D:$D,Einzelbeträge!$C:$C,'Ausgaben 2026'!$C92,Einzelbeträge!$E:$E,'Ausgaben 2026'!F$6)</f>
        <v>0</v>
      </c>
      <c r="G92" s="21">
        <f>SUMIFS(Einzelbeträge!$D:$D,Einzelbeträge!$C:$C,'Ausgaben 2026'!$C92,Einzelbeträge!$E:$E,'Ausgaben 2026'!G$6)</f>
        <v>0</v>
      </c>
      <c r="H92" s="21">
        <f>SUMIFS(Einzelbeträge!$D:$D,Einzelbeträge!$C:$C,'Ausgaben 2026'!$C92,Einzelbeträge!$E:$E,'Ausgaben 2026'!H$6)</f>
        <v>0</v>
      </c>
      <c r="I92" s="21">
        <f>SUMIFS(Einzelbeträge!$D:$D,Einzelbeträge!$C:$C,'Ausgaben 2026'!$C92,Einzelbeträge!$E:$E,'Ausgaben 2026'!I$6)</f>
        <v>0</v>
      </c>
      <c r="J92" s="21">
        <f>SUMIFS(Einzelbeträge!$D:$D,Einzelbeträge!$C:$C,'Ausgaben 2026'!$C92,Einzelbeträge!$E:$E,'Ausgaben 2026'!J$6)</f>
        <v>0</v>
      </c>
      <c r="K92" s="21">
        <f>SUMIFS(Einzelbeträge!$D:$D,Einzelbeträge!$C:$C,'Ausgaben 2026'!$C92,Einzelbeträge!$E:$E,'Ausgaben 2026'!K$6)</f>
        <v>0</v>
      </c>
      <c r="L92" s="21">
        <f>SUMIFS(Einzelbeträge!$D:$D,Einzelbeträge!$C:$C,'Ausgaben 2026'!$C92,Einzelbeträge!$E:$E,'Ausgaben 2026'!L$6)</f>
        <v>0</v>
      </c>
      <c r="M92" s="21">
        <f>SUMIFS(Einzelbeträge!$D:$D,Einzelbeträge!$C:$C,'Ausgaben 2026'!$C92,Einzelbeträge!$E:$E,'Ausgaben 2026'!M$6)</f>
        <v>0</v>
      </c>
      <c r="N92" s="35">
        <f>SUMIFS(Einzelbeträge!$D:$D,Einzelbeträge!$C:$C,'Ausgaben 2026'!$C92,Einzelbeträge!$E:$E,'Ausgaben 2026'!N$6)</f>
        <v>0</v>
      </c>
      <c r="O92" s="6"/>
    </row>
    <row r="93" spans="2:15" x14ac:dyDescent="0.35">
      <c r="B93" s="5"/>
      <c r="C93" s="40">
        <f t="shared" si="18"/>
        <v>46102</v>
      </c>
      <c r="D93" s="46">
        <f>SUMIFS(Einzelbeträge!$D:$D,Einzelbeträge!$C:$C,'Ausgaben 2026'!$C93)</f>
        <v>0</v>
      </c>
      <c r="E93" s="21">
        <f>SUMIFS(Einzelbeträge!$D:$D,Einzelbeträge!$C:$C,'Ausgaben 2026'!$C93,Einzelbeträge!$E:$E,'Ausgaben 2026'!E$6)</f>
        <v>0</v>
      </c>
      <c r="F93" s="21">
        <f>SUMIFS(Einzelbeträge!$D:$D,Einzelbeträge!$C:$C,'Ausgaben 2026'!$C93,Einzelbeträge!$E:$E,'Ausgaben 2026'!F$6)</f>
        <v>0</v>
      </c>
      <c r="G93" s="21">
        <f>SUMIFS(Einzelbeträge!$D:$D,Einzelbeträge!$C:$C,'Ausgaben 2026'!$C93,Einzelbeträge!$E:$E,'Ausgaben 2026'!G$6)</f>
        <v>0</v>
      </c>
      <c r="H93" s="21">
        <f>SUMIFS(Einzelbeträge!$D:$D,Einzelbeträge!$C:$C,'Ausgaben 2026'!$C93,Einzelbeträge!$E:$E,'Ausgaben 2026'!H$6)</f>
        <v>0</v>
      </c>
      <c r="I93" s="21">
        <f>SUMIFS(Einzelbeträge!$D:$D,Einzelbeträge!$C:$C,'Ausgaben 2026'!$C93,Einzelbeträge!$E:$E,'Ausgaben 2026'!I$6)</f>
        <v>0</v>
      </c>
      <c r="J93" s="21">
        <f>SUMIFS(Einzelbeträge!$D:$D,Einzelbeträge!$C:$C,'Ausgaben 2026'!$C93,Einzelbeträge!$E:$E,'Ausgaben 2026'!J$6)</f>
        <v>0</v>
      </c>
      <c r="K93" s="21">
        <f>SUMIFS(Einzelbeträge!$D:$D,Einzelbeträge!$C:$C,'Ausgaben 2026'!$C93,Einzelbeträge!$E:$E,'Ausgaben 2026'!K$6)</f>
        <v>0</v>
      </c>
      <c r="L93" s="21">
        <f>SUMIFS(Einzelbeträge!$D:$D,Einzelbeträge!$C:$C,'Ausgaben 2026'!$C93,Einzelbeträge!$E:$E,'Ausgaben 2026'!L$6)</f>
        <v>0</v>
      </c>
      <c r="M93" s="21">
        <f>SUMIFS(Einzelbeträge!$D:$D,Einzelbeträge!$C:$C,'Ausgaben 2026'!$C93,Einzelbeträge!$E:$E,'Ausgaben 2026'!M$6)</f>
        <v>0</v>
      </c>
      <c r="N93" s="35">
        <f>SUMIFS(Einzelbeträge!$D:$D,Einzelbeträge!$C:$C,'Ausgaben 2026'!$C93,Einzelbeträge!$E:$E,'Ausgaben 2026'!N$6)</f>
        <v>0</v>
      </c>
      <c r="O93" s="6"/>
    </row>
    <row r="94" spans="2:15" x14ac:dyDescent="0.35">
      <c r="B94" s="5"/>
      <c r="C94" s="40">
        <f t="shared" si="18"/>
        <v>46103</v>
      </c>
      <c r="D94" s="46">
        <f>SUMIFS(Einzelbeträge!$D:$D,Einzelbeträge!$C:$C,'Ausgaben 2026'!$C94)</f>
        <v>0</v>
      </c>
      <c r="E94" s="21">
        <f>SUMIFS(Einzelbeträge!$D:$D,Einzelbeträge!$C:$C,'Ausgaben 2026'!$C94,Einzelbeträge!$E:$E,'Ausgaben 2026'!E$6)</f>
        <v>0</v>
      </c>
      <c r="F94" s="21">
        <f>SUMIFS(Einzelbeträge!$D:$D,Einzelbeträge!$C:$C,'Ausgaben 2026'!$C94,Einzelbeträge!$E:$E,'Ausgaben 2026'!F$6)</f>
        <v>0</v>
      </c>
      <c r="G94" s="21">
        <f>SUMIFS(Einzelbeträge!$D:$D,Einzelbeträge!$C:$C,'Ausgaben 2026'!$C94,Einzelbeträge!$E:$E,'Ausgaben 2026'!G$6)</f>
        <v>0</v>
      </c>
      <c r="H94" s="21">
        <f>SUMIFS(Einzelbeträge!$D:$D,Einzelbeträge!$C:$C,'Ausgaben 2026'!$C94,Einzelbeträge!$E:$E,'Ausgaben 2026'!H$6)</f>
        <v>0</v>
      </c>
      <c r="I94" s="21">
        <f>SUMIFS(Einzelbeträge!$D:$D,Einzelbeträge!$C:$C,'Ausgaben 2026'!$C94,Einzelbeträge!$E:$E,'Ausgaben 2026'!I$6)</f>
        <v>0</v>
      </c>
      <c r="J94" s="21">
        <f>SUMIFS(Einzelbeträge!$D:$D,Einzelbeträge!$C:$C,'Ausgaben 2026'!$C94,Einzelbeträge!$E:$E,'Ausgaben 2026'!J$6)</f>
        <v>0</v>
      </c>
      <c r="K94" s="21">
        <f>SUMIFS(Einzelbeträge!$D:$D,Einzelbeträge!$C:$C,'Ausgaben 2026'!$C94,Einzelbeträge!$E:$E,'Ausgaben 2026'!K$6)</f>
        <v>0</v>
      </c>
      <c r="L94" s="21">
        <f>SUMIFS(Einzelbeträge!$D:$D,Einzelbeträge!$C:$C,'Ausgaben 2026'!$C94,Einzelbeträge!$E:$E,'Ausgaben 2026'!L$6)</f>
        <v>0</v>
      </c>
      <c r="M94" s="21">
        <f>SUMIFS(Einzelbeträge!$D:$D,Einzelbeträge!$C:$C,'Ausgaben 2026'!$C94,Einzelbeträge!$E:$E,'Ausgaben 2026'!M$6)</f>
        <v>0</v>
      </c>
      <c r="N94" s="35">
        <f>SUMIFS(Einzelbeträge!$D:$D,Einzelbeträge!$C:$C,'Ausgaben 2026'!$C94,Einzelbeträge!$E:$E,'Ausgaben 2026'!N$6)</f>
        <v>0</v>
      </c>
      <c r="O94" s="6"/>
    </row>
    <row r="95" spans="2:15" x14ac:dyDescent="0.35">
      <c r="B95" s="5"/>
      <c r="C95" s="40">
        <f t="shared" si="18"/>
        <v>46104</v>
      </c>
      <c r="D95" s="46">
        <f>SUMIFS(Einzelbeträge!$D:$D,Einzelbeträge!$C:$C,'Ausgaben 2026'!$C95)</f>
        <v>0</v>
      </c>
      <c r="E95" s="21">
        <f>SUMIFS(Einzelbeträge!$D:$D,Einzelbeträge!$C:$C,'Ausgaben 2026'!$C95,Einzelbeträge!$E:$E,'Ausgaben 2026'!E$6)</f>
        <v>0</v>
      </c>
      <c r="F95" s="21">
        <f>SUMIFS(Einzelbeträge!$D:$D,Einzelbeträge!$C:$C,'Ausgaben 2026'!$C95,Einzelbeträge!$E:$E,'Ausgaben 2026'!F$6)</f>
        <v>0</v>
      </c>
      <c r="G95" s="21">
        <f>SUMIFS(Einzelbeträge!$D:$D,Einzelbeträge!$C:$C,'Ausgaben 2026'!$C95,Einzelbeträge!$E:$E,'Ausgaben 2026'!G$6)</f>
        <v>0</v>
      </c>
      <c r="H95" s="21">
        <f>SUMIFS(Einzelbeträge!$D:$D,Einzelbeträge!$C:$C,'Ausgaben 2026'!$C95,Einzelbeträge!$E:$E,'Ausgaben 2026'!H$6)</f>
        <v>0</v>
      </c>
      <c r="I95" s="21">
        <f>SUMIFS(Einzelbeträge!$D:$D,Einzelbeträge!$C:$C,'Ausgaben 2026'!$C95,Einzelbeträge!$E:$E,'Ausgaben 2026'!I$6)</f>
        <v>0</v>
      </c>
      <c r="J95" s="21">
        <f>SUMIFS(Einzelbeträge!$D:$D,Einzelbeträge!$C:$C,'Ausgaben 2026'!$C95,Einzelbeträge!$E:$E,'Ausgaben 2026'!J$6)</f>
        <v>0</v>
      </c>
      <c r="K95" s="21">
        <f>SUMIFS(Einzelbeträge!$D:$D,Einzelbeträge!$C:$C,'Ausgaben 2026'!$C95,Einzelbeträge!$E:$E,'Ausgaben 2026'!K$6)</f>
        <v>0</v>
      </c>
      <c r="L95" s="21">
        <f>SUMIFS(Einzelbeträge!$D:$D,Einzelbeträge!$C:$C,'Ausgaben 2026'!$C95,Einzelbeträge!$E:$E,'Ausgaben 2026'!L$6)</f>
        <v>0</v>
      </c>
      <c r="M95" s="21">
        <f>SUMIFS(Einzelbeträge!$D:$D,Einzelbeträge!$C:$C,'Ausgaben 2026'!$C95,Einzelbeträge!$E:$E,'Ausgaben 2026'!M$6)</f>
        <v>0</v>
      </c>
      <c r="N95" s="35">
        <f>SUMIFS(Einzelbeträge!$D:$D,Einzelbeträge!$C:$C,'Ausgaben 2026'!$C95,Einzelbeträge!$E:$E,'Ausgaben 2026'!N$6)</f>
        <v>0</v>
      </c>
      <c r="O95" s="6"/>
    </row>
    <row r="96" spans="2:15" x14ac:dyDescent="0.35">
      <c r="B96" s="5"/>
      <c r="C96" s="40">
        <f t="shared" si="18"/>
        <v>46105</v>
      </c>
      <c r="D96" s="46">
        <f>SUMIFS(Einzelbeträge!$D:$D,Einzelbeträge!$C:$C,'Ausgaben 2026'!$C96)</f>
        <v>0</v>
      </c>
      <c r="E96" s="21">
        <f>SUMIFS(Einzelbeträge!$D:$D,Einzelbeträge!$C:$C,'Ausgaben 2026'!$C96,Einzelbeträge!$E:$E,'Ausgaben 2026'!E$6)</f>
        <v>0</v>
      </c>
      <c r="F96" s="21">
        <f>SUMIFS(Einzelbeträge!$D:$D,Einzelbeträge!$C:$C,'Ausgaben 2026'!$C96,Einzelbeträge!$E:$E,'Ausgaben 2026'!F$6)</f>
        <v>0</v>
      </c>
      <c r="G96" s="21">
        <f>SUMIFS(Einzelbeträge!$D:$D,Einzelbeträge!$C:$C,'Ausgaben 2026'!$C96,Einzelbeträge!$E:$E,'Ausgaben 2026'!G$6)</f>
        <v>0</v>
      </c>
      <c r="H96" s="21">
        <f>SUMIFS(Einzelbeträge!$D:$D,Einzelbeträge!$C:$C,'Ausgaben 2026'!$C96,Einzelbeträge!$E:$E,'Ausgaben 2026'!H$6)</f>
        <v>0</v>
      </c>
      <c r="I96" s="21">
        <f>SUMIFS(Einzelbeträge!$D:$D,Einzelbeträge!$C:$C,'Ausgaben 2026'!$C96,Einzelbeträge!$E:$E,'Ausgaben 2026'!I$6)</f>
        <v>0</v>
      </c>
      <c r="J96" s="21">
        <f>SUMIFS(Einzelbeträge!$D:$D,Einzelbeträge!$C:$C,'Ausgaben 2026'!$C96,Einzelbeträge!$E:$E,'Ausgaben 2026'!J$6)</f>
        <v>0</v>
      </c>
      <c r="K96" s="21">
        <f>SUMIFS(Einzelbeträge!$D:$D,Einzelbeträge!$C:$C,'Ausgaben 2026'!$C96,Einzelbeträge!$E:$E,'Ausgaben 2026'!K$6)</f>
        <v>0</v>
      </c>
      <c r="L96" s="21">
        <f>SUMIFS(Einzelbeträge!$D:$D,Einzelbeträge!$C:$C,'Ausgaben 2026'!$C96,Einzelbeträge!$E:$E,'Ausgaben 2026'!L$6)</f>
        <v>0</v>
      </c>
      <c r="M96" s="21">
        <f>SUMIFS(Einzelbeträge!$D:$D,Einzelbeträge!$C:$C,'Ausgaben 2026'!$C96,Einzelbeträge!$E:$E,'Ausgaben 2026'!M$6)</f>
        <v>0</v>
      </c>
      <c r="N96" s="35">
        <f>SUMIFS(Einzelbeträge!$D:$D,Einzelbeträge!$C:$C,'Ausgaben 2026'!$C96,Einzelbeträge!$E:$E,'Ausgaben 2026'!N$6)</f>
        <v>0</v>
      </c>
      <c r="O96" s="6"/>
    </row>
    <row r="97" spans="2:15" x14ac:dyDescent="0.35">
      <c r="B97" s="5"/>
      <c r="C97" s="40">
        <f t="shared" si="18"/>
        <v>46106</v>
      </c>
      <c r="D97" s="46">
        <f>SUMIFS(Einzelbeträge!$D:$D,Einzelbeträge!$C:$C,'Ausgaben 2026'!$C97)</f>
        <v>0</v>
      </c>
      <c r="E97" s="21">
        <f>SUMIFS(Einzelbeträge!$D:$D,Einzelbeträge!$C:$C,'Ausgaben 2026'!$C97,Einzelbeträge!$E:$E,'Ausgaben 2026'!E$6)</f>
        <v>0</v>
      </c>
      <c r="F97" s="21">
        <f>SUMIFS(Einzelbeträge!$D:$D,Einzelbeträge!$C:$C,'Ausgaben 2026'!$C97,Einzelbeträge!$E:$E,'Ausgaben 2026'!F$6)</f>
        <v>0</v>
      </c>
      <c r="G97" s="21">
        <f>SUMIFS(Einzelbeträge!$D:$D,Einzelbeträge!$C:$C,'Ausgaben 2026'!$C97,Einzelbeträge!$E:$E,'Ausgaben 2026'!G$6)</f>
        <v>0</v>
      </c>
      <c r="H97" s="21">
        <f>SUMIFS(Einzelbeträge!$D:$D,Einzelbeträge!$C:$C,'Ausgaben 2026'!$C97,Einzelbeträge!$E:$E,'Ausgaben 2026'!H$6)</f>
        <v>0</v>
      </c>
      <c r="I97" s="21">
        <f>SUMIFS(Einzelbeträge!$D:$D,Einzelbeträge!$C:$C,'Ausgaben 2026'!$C97,Einzelbeträge!$E:$E,'Ausgaben 2026'!I$6)</f>
        <v>0</v>
      </c>
      <c r="J97" s="21">
        <f>SUMIFS(Einzelbeträge!$D:$D,Einzelbeträge!$C:$C,'Ausgaben 2026'!$C97,Einzelbeträge!$E:$E,'Ausgaben 2026'!J$6)</f>
        <v>0</v>
      </c>
      <c r="K97" s="21">
        <f>SUMIFS(Einzelbeträge!$D:$D,Einzelbeträge!$C:$C,'Ausgaben 2026'!$C97,Einzelbeträge!$E:$E,'Ausgaben 2026'!K$6)</f>
        <v>0</v>
      </c>
      <c r="L97" s="21">
        <f>SUMIFS(Einzelbeträge!$D:$D,Einzelbeträge!$C:$C,'Ausgaben 2026'!$C97,Einzelbeträge!$E:$E,'Ausgaben 2026'!L$6)</f>
        <v>0</v>
      </c>
      <c r="M97" s="21">
        <f>SUMIFS(Einzelbeträge!$D:$D,Einzelbeträge!$C:$C,'Ausgaben 2026'!$C97,Einzelbeträge!$E:$E,'Ausgaben 2026'!M$6)</f>
        <v>0</v>
      </c>
      <c r="N97" s="35">
        <f>SUMIFS(Einzelbeträge!$D:$D,Einzelbeträge!$C:$C,'Ausgaben 2026'!$C97,Einzelbeträge!$E:$E,'Ausgaben 2026'!N$6)</f>
        <v>0</v>
      </c>
      <c r="O97" s="6"/>
    </row>
    <row r="98" spans="2:15" x14ac:dyDescent="0.35">
      <c r="B98" s="5"/>
      <c r="C98" s="40">
        <f t="shared" si="18"/>
        <v>46107</v>
      </c>
      <c r="D98" s="46">
        <f>SUMIFS(Einzelbeträge!$D:$D,Einzelbeträge!$C:$C,'Ausgaben 2026'!$C98)</f>
        <v>0</v>
      </c>
      <c r="E98" s="21">
        <f>SUMIFS(Einzelbeträge!$D:$D,Einzelbeträge!$C:$C,'Ausgaben 2026'!$C98,Einzelbeträge!$E:$E,'Ausgaben 2026'!E$6)</f>
        <v>0</v>
      </c>
      <c r="F98" s="21">
        <f>SUMIFS(Einzelbeträge!$D:$D,Einzelbeträge!$C:$C,'Ausgaben 2026'!$C98,Einzelbeträge!$E:$E,'Ausgaben 2026'!F$6)</f>
        <v>0</v>
      </c>
      <c r="G98" s="21">
        <f>SUMIFS(Einzelbeträge!$D:$D,Einzelbeträge!$C:$C,'Ausgaben 2026'!$C98,Einzelbeträge!$E:$E,'Ausgaben 2026'!G$6)</f>
        <v>0</v>
      </c>
      <c r="H98" s="21">
        <f>SUMIFS(Einzelbeträge!$D:$D,Einzelbeträge!$C:$C,'Ausgaben 2026'!$C98,Einzelbeträge!$E:$E,'Ausgaben 2026'!H$6)</f>
        <v>0</v>
      </c>
      <c r="I98" s="21">
        <f>SUMIFS(Einzelbeträge!$D:$D,Einzelbeträge!$C:$C,'Ausgaben 2026'!$C98,Einzelbeträge!$E:$E,'Ausgaben 2026'!I$6)</f>
        <v>0</v>
      </c>
      <c r="J98" s="21">
        <f>SUMIFS(Einzelbeträge!$D:$D,Einzelbeträge!$C:$C,'Ausgaben 2026'!$C98,Einzelbeträge!$E:$E,'Ausgaben 2026'!J$6)</f>
        <v>0</v>
      </c>
      <c r="K98" s="21">
        <f>SUMIFS(Einzelbeträge!$D:$D,Einzelbeträge!$C:$C,'Ausgaben 2026'!$C98,Einzelbeträge!$E:$E,'Ausgaben 2026'!K$6)</f>
        <v>0</v>
      </c>
      <c r="L98" s="21">
        <f>SUMIFS(Einzelbeträge!$D:$D,Einzelbeträge!$C:$C,'Ausgaben 2026'!$C98,Einzelbeträge!$E:$E,'Ausgaben 2026'!L$6)</f>
        <v>0</v>
      </c>
      <c r="M98" s="21">
        <f>SUMIFS(Einzelbeträge!$D:$D,Einzelbeträge!$C:$C,'Ausgaben 2026'!$C98,Einzelbeträge!$E:$E,'Ausgaben 2026'!M$6)</f>
        <v>0</v>
      </c>
      <c r="N98" s="35">
        <f>SUMIFS(Einzelbeträge!$D:$D,Einzelbeträge!$C:$C,'Ausgaben 2026'!$C98,Einzelbeträge!$E:$E,'Ausgaben 2026'!N$6)</f>
        <v>0</v>
      </c>
      <c r="O98" s="6"/>
    </row>
    <row r="99" spans="2:15" x14ac:dyDescent="0.35">
      <c r="B99" s="5"/>
      <c r="C99" s="40">
        <f t="shared" si="18"/>
        <v>46108</v>
      </c>
      <c r="D99" s="46">
        <f>SUMIFS(Einzelbeträge!$D:$D,Einzelbeträge!$C:$C,'Ausgaben 2026'!$C99)</f>
        <v>0</v>
      </c>
      <c r="E99" s="21">
        <f>SUMIFS(Einzelbeträge!$D:$D,Einzelbeträge!$C:$C,'Ausgaben 2026'!$C99,Einzelbeträge!$E:$E,'Ausgaben 2026'!E$6)</f>
        <v>0</v>
      </c>
      <c r="F99" s="21">
        <f>SUMIFS(Einzelbeträge!$D:$D,Einzelbeträge!$C:$C,'Ausgaben 2026'!$C99,Einzelbeträge!$E:$E,'Ausgaben 2026'!F$6)</f>
        <v>0</v>
      </c>
      <c r="G99" s="21">
        <f>SUMIFS(Einzelbeträge!$D:$D,Einzelbeträge!$C:$C,'Ausgaben 2026'!$C99,Einzelbeträge!$E:$E,'Ausgaben 2026'!G$6)</f>
        <v>0</v>
      </c>
      <c r="H99" s="21">
        <f>SUMIFS(Einzelbeträge!$D:$D,Einzelbeträge!$C:$C,'Ausgaben 2026'!$C99,Einzelbeträge!$E:$E,'Ausgaben 2026'!H$6)</f>
        <v>0</v>
      </c>
      <c r="I99" s="21">
        <f>SUMIFS(Einzelbeträge!$D:$D,Einzelbeträge!$C:$C,'Ausgaben 2026'!$C99,Einzelbeträge!$E:$E,'Ausgaben 2026'!I$6)</f>
        <v>0</v>
      </c>
      <c r="J99" s="21">
        <f>SUMIFS(Einzelbeträge!$D:$D,Einzelbeträge!$C:$C,'Ausgaben 2026'!$C99,Einzelbeträge!$E:$E,'Ausgaben 2026'!J$6)</f>
        <v>0</v>
      </c>
      <c r="K99" s="21">
        <f>SUMIFS(Einzelbeträge!$D:$D,Einzelbeträge!$C:$C,'Ausgaben 2026'!$C99,Einzelbeträge!$E:$E,'Ausgaben 2026'!K$6)</f>
        <v>0</v>
      </c>
      <c r="L99" s="21">
        <f>SUMIFS(Einzelbeträge!$D:$D,Einzelbeträge!$C:$C,'Ausgaben 2026'!$C99,Einzelbeträge!$E:$E,'Ausgaben 2026'!L$6)</f>
        <v>0</v>
      </c>
      <c r="M99" s="21">
        <f>SUMIFS(Einzelbeträge!$D:$D,Einzelbeträge!$C:$C,'Ausgaben 2026'!$C99,Einzelbeträge!$E:$E,'Ausgaben 2026'!M$6)</f>
        <v>0</v>
      </c>
      <c r="N99" s="35">
        <f>SUMIFS(Einzelbeträge!$D:$D,Einzelbeträge!$C:$C,'Ausgaben 2026'!$C99,Einzelbeträge!$E:$E,'Ausgaben 2026'!N$6)</f>
        <v>0</v>
      </c>
      <c r="O99" s="6"/>
    </row>
    <row r="100" spans="2:15" x14ac:dyDescent="0.35">
      <c r="B100" s="5"/>
      <c r="C100" s="40">
        <f t="shared" si="18"/>
        <v>46109</v>
      </c>
      <c r="D100" s="46">
        <f>SUMIFS(Einzelbeträge!$D:$D,Einzelbeträge!$C:$C,'Ausgaben 2026'!$C100)</f>
        <v>0</v>
      </c>
      <c r="E100" s="21">
        <f>SUMIFS(Einzelbeträge!$D:$D,Einzelbeträge!$C:$C,'Ausgaben 2026'!$C100,Einzelbeträge!$E:$E,'Ausgaben 2026'!E$6)</f>
        <v>0</v>
      </c>
      <c r="F100" s="21">
        <f>SUMIFS(Einzelbeträge!$D:$D,Einzelbeträge!$C:$C,'Ausgaben 2026'!$C100,Einzelbeträge!$E:$E,'Ausgaben 2026'!F$6)</f>
        <v>0</v>
      </c>
      <c r="G100" s="21">
        <f>SUMIFS(Einzelbeträge!$D:$D,Einzelbeträge!$C:$C,'Ausgaben 2026'!$C100,Einzelbeträge!$E:$E,'Ausgaben 2026'!G$6)</f>
        <v>0</v>
      </c>
      <c r="H100" s="21">
        <f>SUMIFS(Einzelbeträge!$D:$D,Einzelbeträge!$C:$C,'Ausgaben 2026'!$C100,Einzelbeträge!$E:$E,'Ausgaben 2026'!H$6)</f>
        <v>0</v>
      </c>
      <c r="I100" s="21">
        <f>SUMIFS(Einzelbeträge!$D:$D,Einzelbeträge!$C:$C,'Ausgaben 2026'!$C100,Einzelbeträge!$E:$E,'Ausgaben 2026'!I$6)</f>
        <v>0</v>
      </c>
      <c r="J100" s="21">
        <f>SUMIFS(Einzelbeträge!$D:$D,Einzelbeträge!$C:$C,'Ausgaben 2026'!$C100,Einzelbeträge!$E:$E,'Ausgaben 2026'!J$6)</f>
        <v>0</v>
      </c>
      <c r="K100" s="21">
        <f>SUMIFS(Einzelbeträge!$D:$D,Einzelbeträge!$C:$C,'Ausgaben 2026'!$C100,Einzelbeträge!$E:$E,'Ausgaben 2026'!K$6)</f>
        <v>0</v>
      </c>
      <c r="L100" s="21">
        <f>SUMIFS(Einzelbeträge!$D:$D,Einzelbeträge!$C:$C,'Ausgaben 2026'!$C100,Einzelbeträge!$E:$E,'Ausgaben 2026'!L$6)</f>
        <v>0</v>
      </c>
      <c r="M100" s="21">
        <f>SUMIFS(Einzelbeträge!$D:$D,Einzelbeträge!$C:$C,'Ausgaben 2026'!$C100,Einzelbeträge!$E:$E,'Ausgaben 2026'!M$6)</f>
        <v>0</v>
      </c>
      <c r="N100" s="35">
        <f>SUMIFS(Einzelbeträge!$D:$D,Einzelbeträge!$C:$C,'Ausgaben 2026'!$C100,Einzelbeträge!$E:$E,'Ausgaben 2026'!N$6)</f>
        <v>0</v>
      </c>
      <c r="O100" s="6"/>
    </row>
    <row r="101" spans="2:15" x14ac:dyDescent="0.35">
      <c r="B101" s="5"/>
      <c r="C101" s="40">
        <f t="shared" si="18"/>
        <v>46110</v>
      </c>
      <c r="D101" s="46">
        <f>SUMIFS(Einzelbeträge!$D:$D,Einzelbeträge!$C:$C,'Ausgaben 2026'!$C101)</f>
        <v>0</v>
      </c>
      <c r="E101" s="21">
        <f>SUMIFS(Einzelbeträge!$D:$D,Einzelbeträge!$C:$C,'Ausgaben 2026'!$C101,Einzelbeträge!$E:$E,'Ausgaben 2026'!E$6)</f>
        <v>0</v>
      </c>
      <c r="F101" s="21">
        <f>SUMIFS(Einzelbeträge!$D:$D,Einzelbeträge!$C:$C,'Ausgaben 2026'!$C101,Einzelbeträge!$E:$E,'Ausgaben 2026'!F$6)</f>
        <v>0</v>
      </c>
      <c r="G101" s="21">
        <f>SUMIFS(Einzelbeträge!$D:$D,Einzelbeträge!$C:$C,'Ausgaben 2026'!$C101,Einzelbeträge!$E:$E,'Ausgaben 2026'!G$6)</f>
        <v>0</v>
      </c>
      <c r="H101" s="21">
        <f>SUMIFS(Einzelbeträge!$D:$D,Einzelbeträge!$C:$C,'Ausgaben 2026'!$C101,Einzelbeträge!$E:$E,'Ausgaben 2026'!H$6)</f>
        <v>0</v>
      </c>
      <c r="I101" s="21">
        <f>SUMIFS(Einzelbeträge!$D:$D,Einzelbeträge!$C:$C,'Ausgaben 2026'!$C101,Einzelbeträge!$E:$E,'Ausgaben 2026'!I$6)</f>
        <v>0</v>
      </c>
      <c r="J101" s="21">
        <f>SUMIFS(Einzelbeträge!$D:$D,Einzelbeträge!$C:$C,'Ausgaben 2026'!$C101,Einzelbeträge!$E:$E,'Ausgaben 2026'!J$6)</f>
        <v>0</v>
      </c>
      <c r="K101" s="21">
        <f>SUMIFS(Einzelbeträge!$D:$D,Einzelbeträge!$C:$C,'Ausgaben 2026'!$C101,Einzelbeträge!$E:$E,'Ausgaben 2026'!K$6)</f>
        <v>0</v>
      </c>
      <c r="L101" s="21">
        <f>SUMIFS(Einzelbeträge!$D:$D,Einzelbeträge!$C:$C,'Ausgaben 2026'!$C101,Einzelbeträge!$E:$E,'Ausgaben 2026'!L$6)</f>
        <v>0</v>
      </c>
      <c r="M101" s="21">
        <f>SUMIFS(Einzelbeträge!$D:$D,Einzelbeträge!$C:$C,'Ausgaben 2026'!$C101,Einzelbeträge!$E:$E,'Ausgaben 2026'!M$6)</f>
        <v>0</v>
      </c>
      <c r="N101" s="35">
        <f>SUMIFS(Einzelbeträge!$D:$D,Einzelbeträge!$C:$C,'Ausgaben 2026'!$C101,Einzelbeträge!$E:$E,'Ausgaben 2026'!N$6)</f>
        <v>0</v>
      </c>
      <c r="O101" s="6"/>
    </row>
    <row r="102" spans="2:15" x14ac:dyDescent="0.35">
      <c r="B102" s="5"/>
      <c r="C102" s="40">
        <f t="shared" si="18"/>
        <v>46111</v>
      </c>
      <c r="D102" s="46">
        <f>SUMIFS(Einzelbeträge!$D:$D,Einzelbeträge!$C:$C,'Ausgaben 2026'!$C102)</f>
        <v>0</v>
      </c>
      <c r="E102" s="21">
        <f>SUMIFS(Einzelbeträge!$D:$D,Einzelbeträge!$C:$C,'Ausgaben 2026'!$C102,Einzelbeträge!$E:$E,'Ausgaben 2026'!E$6)</f>
        <v>0</v>
      </c>
      <c r="F102" s="21">
        <f>SUMIFS(Einzelbeträge!$D:$D,Einzelbeträge!$C:$C,'Ausgaben 2026'!$C102,Einzelbeträge!$E:$E,'Ausgaben 2026'!F$6)</f>
        <v>0</v>
      </c>
      <c r="G102" s="21">
        <f>SUMIFS(Einzelbeträge!$D:$D,Einzelbeträge!$C:$C,'Ausgaben 2026'!$C102,Einzelbeträge!$E:$E,'Ausgaben 2026'!G$6)</f>
        <v>0</v>
      </c>
      <c r="H102" s="21">
        <f>SUMIFS(Einzelbeträge!$D:$D,Einzelbeträge!$C:$C,'Ausgaben 2026'!$C102,Einzelbeträge!$E:$E,'Ausgaben 2026'!H$6)</f>
        <v>0</v>
      </c>
      <c r="I102" s="21">
        <f>SUMIFS(Einzelbeträge!$D:$D,Einzelbeträge!$C:$C,'Ausgaben 2026'!$C102,Einzelbeträge!$E:$E,'Ausgaben 2026'!I$6)</f>
        <v>0</v>
      </c>
      <c r="J102" s="21">
        <f>SUMIFS(Einzelbeträge!$D:$D,Einzelbeträge!$C:$C,'Ausgaben 2026'!$C102,Einzelbeträge!$E:$E,'Ausgaben 2026'!J$6)</f>
        <v>0</v>
      </c>
      <c r="K102" s="21">
        <f>SUMIFS(Einzelbeträge!$D:$D,Einzelbeträge!$C:$C,'Ausgaben 2026'!$C102,Einzelbeträge!$E:$E,'Ausgaben 2026'!K$6)</f>
        <v>0</v>
      </c>
      <c r="L102" s="21">
        <f>SUMIFS(Einzelbeträge!$D:$D,Einzelbeträge!$C:$C,'Ausgaben 2026'!$C102,Einzelbeträge!$E:$E,'Ausgaben 2026'!L$6)</f>
        <v>0</v>
      </c>
      <c r="M102" s="21">
        <f>SUMIFS(Einzelbeträge!$D:$D,Einzelbeträge!$C:$C,'Ausgaben 2026'!$C102,Einzelbeträge!$E:$E,'Ausgaben 2026'!M$6)</f>
        <v>0</v>
      </c>
      <c r="N102" s="35">
        <f>SUMIFS(Einzelbeträge!$D:$D,Einzelbeträge!$C:$C,'Ausgaben 2026'!$C102,Einzelbeträge!$E:$E,'Ausgaben 2026'!N$6)</f>
        <v>0</v>
      </c>
      <c r="O102" s="6"/>
    </row>
    <row r="103" spans="2:15" x14ac:dyDescent="0.35">
      <c r="B103" s="5"/>
      <c r="C103" s="31">
        <f t="shared" si="18"/>
        <v>46112</v>
      </c>
      <c r="D103" s="47">
        <f>SUMIFS(Einzelbeträge!$D:$D,Einzelbeträge!$C:$C,'Ausgaben 2026'!$C103)</f>
        <v>0</v>
      </c>
      <c r="E103" s="37">
        <f>SUMIFS(Einzelbeträge!$D:$D,Einzelbeträge!$C:$C,'Ausgaben 2026'!$C103,Einzelbeträge!$E:$E,'Ausgaben 2026'!E$6)</f>
        <v>0</v>
      </c>
      <c r="F103" s="37">
        <f>SUMIFS(Einzelbeträge!$D:$D,Einzelbeträge!$C:$C,'Ausgaben 2026'!$C103,Einzelbeträge!$E:$E,'Ausgaben 2026'!F$6)</f>
        <v>0</v>
      </c>
      <c r="G103" s="37">
        <f>SUMIFS(Einzelbeträge!$D:$D,Einzelbeträge!$C:$C,'Ausgaben 2026'!$C103,Einzelbeträge!$E:$E,'Ausgaben 2026'!G$6)</f>
        <v>0</v>
      </c>
      <c r="H103" s="37">
        <f>SUMIFS(Einzelbeträge!$D:$D,Einzelbeträge!$C:$C,'Ausgaben 2026'!$C103,Einzelbeträge!$E:$E,'Ausgaben 2026'!H$6)</f>
        <v>0</v>
      </c>
      <c r="I103" s="37">
        <f>SUMIFS(Einzelbeträge!$D:$D,Einzelbeträge!$C:$C,'Ausgaben 2026'!$C103,Einzelbeträge!$E:$E,'Ausgaben 2026'!I$6)</f>
        <v>0</v>
      </c>
      <c r="J103" s="37">
        <f>SUMIFS(Einzelbeträge!$D:$D,Einzelbeträge!$C:$C,'Ausgaben 2026'!$C103,Einzelbeträge!$E:$E,'Ausgaben 2026'!J$6)</f>
        <v>0</v>
      </c>
      <c r="K103" s="37">
        <f>SUMIFS(Einzelbeträge!$D:$D,Einzelbeträge!$C:$C,'Ausgaben 2026'!$C103,Einzelbeträge!$E:$E,'Ausgaben 2026'!K$6)</f>
        <v>0</v>
      </c>
      <c r="L103" s="37">
        <f>SUMIFS(Einzelbeträge!$D:$D,Einzelbeträge!$C:$C,'Ausgaben 2026'!$C103,Einzelbeträge!$E:$E,'Ausgaben 2026'!L$6)</f>
        <v>0</v>
      </c>
      <c r="M103" s="37">
        <f>SUMIFS(Einzelbeträge!$D:$D,Einzelbeträge!$C:$C,'Ausgaben 2026'!$C103,Einzelbeträge!$E:$E,'Ausgaben 2026'!M$6)</f>
        <v>0</v>
      </c>
      <c r="N103" s="38">
        <f>SUMIFS(Einzelbeträge!$D:$D,Einzelbeträge!$C:$C,'Ausgaben 2026'!$C103,Einzelbeträge!$E:$E,'Ausgaben 2026'!N$6)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46113</v>
      </c>
      <c r="D107" s="45">
        <f>SUMIFS(Einzelbeträge!$D:$D,Einzelbeträge!$C:$C,'Ausgaben 2026'!$C107)</f>
        <v>0</v>
      </c>
      <c r="E107" s="32">
        <f>SUMIFS(Einzelbeträge!$D:$D,Einzelbeträge!$C:$C,'Ausgaben 2026'!$C107,Einzelbeträge!$E:$E,'Ausgaben 2026'!E$6)</f>
        <v>0</v>
      </c>
      <c r="F107" s="32">
        <f>SUMIFS(Einzelbeträge!$D:$D,Einzelbeträge!$C:$C,'Ausgaben 2026'!$C107,Einzelbeträge!$E:$E,'Ausgaben 2026'!F$6)</f>
        <v>0</v>
      </c>
      <c r="G107" s="32">
        <f>SUMIFS(Einzelbeträge!$D:$D,Einzelbeträge!$C:$C,'Ausgaben 2026'!$C107,Einzelbeträge!$E:$E,'Ausgaben 2026'!G$6)</f>
        <v>0</v>
      </c>
      <c r="H107" s="32">
        <f>SUMIFS(Einzelbeträge!$D:$D,Einzelbeträge!$C:$C,'Ausgaben 2026'!$C107,Einzelbeträge!$E:$E,'Ausgaben 2026'!H$6)</f>
        <v>0</v>
      </c>
      <c r="I107" s="32">
        <f>SUMIFS(Einzelbeträge!$D:$D,Einzelbeträge!$C:$C,'Ausgaben 2026'!$C107,Einzelbeträge!$E:$E,'Ausgaben 2026'!I$6)</f>
        <v>0</v>
      </c>
      <c r="J107" s="32">
        <f>SUMIFS(Einzelbeträge!$D:$D,Einzelbeträge!$C:$C,'Ausgaben 2026'!$C107,Einzelbeträge!$E:$E,'Ausgaben 2026'!J$6)</f>
        <v>0</v>
      </c>
      <c r="K107" s="32">
        <f>SUMIFS(Einzelbeträge!$D:$D,Einzelbeträge!$C:$C,'Ausgaben 2026'!$C107,Einzelbeträge!$E:$E,'Ausgaben 2026'!K$6)</f>
        <v>0</v>
      </c>
      <c r="L107" s="32">
        <f>SUMIFS(Einzelbeträge!$D:$D,Einzelbeträge!$C:$C,'Ausgaben 2026'!$C107,Einzelbeträge!$E:$E,'Ausgaben 2026'!L$6)</f>
        <v>0</v>
      </c>
      <c r="M107" s="32">
        <f>SUMIFS(Einzelbeträge!$D:$D,Einzelbeträge!$C:$C,'Ausgaben 2026'!$C107,Einzelbeträge!$E:$E,'Ausgaben 2026'!M$6)</f>
        <v>0</v>
      </c>
      <c r="N107" s="33">
        <f>SUMIFS(Einzelbeträge!$D:$D,Einzelbeträge!$C:$C,'Ausgaben 2026'!$C107,Einzelbeträge!$E:$E,'Ausgaben 2026'!N$6)</f>
        <v>0</v>
      </c>
      <c r="O107" s="6"/>
    </row>
    <row r="108" spans="2:15" x14ac:dyDescent="0.35">
      <c r="B108" s="5"/>
      <c r="C108" s="30">
        <f>C107+1</f>
        <v>46114</v>
      </c>
      <c r="D108" s="46">
        <f>SUMIFS(Einzelbeträge!$D:$D,Einzelbeträge!$C:$C,'Ausgaben 2026'!$C108)</f>
        <v>0</v>
      </c>
      <c r="E108" s="21">
        <f>SUMIFS(Einzelbeträge!$D:$D,Einzelbeträge!$C:$C,'Ausgaben 2026'!$C108,Einzelbeträge!$E:$E,'Ausgaben 2026'!E$6)</f>
        <v>0</v>
      </c>
      <c r="F108" s="21">
        <f>SUMIFS(Einzelbeträge!$D:$D,Einzelbeträge!$C:$C,'Ausgaben 2026'!$C108,Einzelbeträge!$E:$E,'Ausgaben 2026'!F$6)</f>
        <v>0</v>
      </c>
      <c r="G108" s="21">
        <f>SUMIFS(Einzelbeträge!$D:$D,Einzelbeträge!$C:$C,'Ausgaben 2026'!$C108,Einzelbeträge!$E:$E,'Ausgaben 2026'!G$6)</f>
        <v>0</v>
      </c>
      <c r="H108" s="21">
        <f>SUMIFS(Einzelbeträge!$D:$D,Einzelbeträge!$C:$C,'Ausgaben 2026'!$C108,Einzelbeträge!$E:$E,'Ausgaben 2026'!H$6)</f>
        <v>0</v>
      </c>
      <c r="I108" s="21">
        <f>SUMIFS(Einzelbeträge!$D:$D,Einzelbeträge!$C:$C,'Ausgaben 2026'!$C108,Einzelbeträge!$E:$E,'Ausgaben 2026'!I$6)</f>
        <v>0</v>
      </c>
      <c r="J108" s="21">
        <f>SUMIFS(Einzelbeträge!$D:$D,Einzelbeträge!$C:$C,'Ausgaben 2026'!$C108,Einzelbeträge!$E:$E,'Ausgaben 2026'!J$6)</f>
        <v>0</v>
      </c>
      <c r="K108" s="21">
        <f>SUMIFS(Einzelbeträge!$D:$D,Einzelbeträge!$C:$C,'Ausgaben 2026'!$C108,Einzelbeträge!$E:$E,'Ausgaben 2026'!K$6)</f>
        <v>0</v>
      </c>
      <c r="L108" s="21">
        <f>SUMIFS(Einzelbeträge!$D:$D,Einzelbeträge!$C:$C,'Ausgaben 2026'!$C108,Einzelbeträge!$E:$E,'Ausgaben 2026'!L$6)</f>
        <v>0</v>
      </c>
      <c r="M108" s="21">
        <f>SUMIFS(Einzelbeträge!$D:$D,Einzelbeträge!$C:$C,'Ausgaben 2026'!$C108,Einzelbeträge!$E:$E,'Ausgaben 2026'!M$6)</f>
        <v>0</v>
      </c>
      <c r="N108" s="35">
        <f>SUMIFS(Einzelbeträge!$D:$D,Einzelbeträge!$C:$C,'Ausgaben 2026'!$C108,Einzelbeträge!$E:$E,'Ausgaben 2026'!N$6)</f>
        <v>0</v>
      </c>
      <c r="O108" s="6"/>
    </row>
    <row r="109" spans="2:15" x14ac:dyDescent="0.35">
      <c r="B109" s="5"/>
      <c r="C109" s="30">
        <f t="shared" ref="C109:C136" si="19">C108+1</f>
        <v>46115</v>
      </c>
      <c r="D109" s="46">
        <f>SUMIFS(Einzelbeträge!$D:$D,Einzelbeträge!$C:$C,'Ausgaben 2026'!$C109)</f>
        <v>0</v>
      </c>
      <c r="E109" s="21">
        <f>SUMIFS(Einzelbeträge!$D:$D,Einzelbeträge!$C:$C,'Ausgaben 2026'!$C109,Einzelbeträge!$E:$E,'Ausgaben 2026'!E$6)</f>
        <v>0</v>
      </c>
      <c r="F109" s="21">
        <f>SUMIFS(Einzelbeträge!$D:$D,Einzelbeträge!$C:$C,'Ausgaben 2026'!$C109,Einzelbeträge!$E:$E,'Ausgaben 2026'!F$6)</f>
        <v>0</v>
      </c>
      <c r="G109" s="21">
        <f>SUMIFS(Einzelbeträge!$D:$D,Einzelbeträge!$C:$C,'Ausgaben 2026'!$C109,Einzelbeträge!$E:$E,'Ausgaben 2026'!G$6)</f>
        <v>0</v>
      </c>
      <c r="H109" s="21">
        <f>SUMIFS(Einzelbeträge!$D:$D,Einzelbeträge!$C:$C,'Ausgaben 2026'!$C109,Einzelbeträge!$E:$E,'Ausgaben 2026'!H$6)</f>
        <v>0</v>
      </c>
      <c r="I109" s="21">
        <f>SUMIFS(Einzelbeträge!$D:$D,Einzelbeträge!$C:$C,'Ausgaben 2026'!$C109,Einzelbeträge!$E:$E,'Ausgaben 2026'!I$6)</f>
        <v>0</v>
      </c>
      <c r="J109" s="21">
        <f>SUMIFS(Einzelbeträge!$D:$D,Einzelbeträge!$C:$C,'Ausgaben 2026'!$C109,Einzelbeträge!$E:$E,'Ausgaben 2026'!J$6)</f>
        <v>0</v>
      </c>
      <c r="K109" s="21">
        <f>SUMIFS(Einzelbeträge!$D:$D,Einzelbeträge!$C:$C,'Ausgaben 2026'!$C109,Einzelbeträge!$E:$E,'Ausgaben 2026'!K$6)</f>
        <v>0</v>
      </c>
      <c r="L109" s="21">
        <f>SUMIFS(Einzelbeträge!$D:$D,Einzelbeträge!$C:$C,'Ausgaben 2026'!$C109,Einzelbeträge!$E:$E,'Ausgaben 2026'!L$6)</f>
        <v>0</v>
      </c>
      <c r="M109" s="21">
        <f>SUMIFS(Einzelbeträge!$D:$D,Einzelbeträge!$C:$C,'Ausgaben 2026'!$C109,Einzelbeträge!$E:$E,'Ausgaben 2026'!M$6)</f>
        <v>0</v>
      </c>
      <c r="N109" s="35">
        <f>SUMIFS(Einzelbeträge!$D:$D,Einzelbeträge!$C:$C,'Ausgaben 2026'!$C109,Einzelbeträge!$E:$E,'Ausgaben 2026'!N$6)</f>
        <v>0</v>
      </c>
      <c r="O109" s="6"/>
    </row>
    <row r="110" spans="2:15" x14ac:dyDescent="0.35">
      <c r="B110" s="5"/>
      <c r="C110" s="30">
        <f t="shared" si="19"/>
        <v>46116</v>
      </c>
      <c r="D110" s="46">
        <f>SUMIFS(Einzelbeträge!$D:$D,Einzelbeträge!$C:$C,'Ausgaben 2026'!$C110)</f>
        <v>0</v>
      </c>
      <c r="E110" s="21">
        <f>SUMIFS(Einzelbeträge!$D:$D,Einzelbeträge!$C:$C,'Ausgaben 2026'!$C110,Einzelbeträge!$E:$E,'Ausgaben 2026'!E$6)</f>
        <v>0</v>
      </c>
      <c r="F110" s="21">
        <f>SUMIFS(Einzelbeträge!$D:$D,Einzelbeträge!$C:$C,'Ausgaben 2026'!$C110,Einzelbeträge!$E:$E,'Ausgaben 2026'!F$6)</f>
        <v>0</v>
      </c>
      <c r="G110" s="21">
        <f>SUMIFS(Einzelbeträge!$D:$D,Einzelbeträge!$C:$C,'Ausgaben 2026'!$C110,Einzelbeträge!$E:$E,'Ausgaben 2026'!G$6)</f>
        <v>0</v>
      </c>
      <c r="H110" s="21">
        <f>SUMIFS(Einzelbeträge!$D:$D,Einzelbeträge!$C:$C,'Ausgaben 2026'!$C110,Einzelbeträge!$E:$E,'Ausgaben 2026'!H$6)</f>
        <v>0</v>
      </c>
      <c r="I110" s="21">
        <f>SUMIFS(Einzelbeträge!$D:$D,Einzelbeträge!$C:$C,'Ausgaben 2026'!$C110,Einzelbeträge!$E:$E,'Ausgaben 2026'!I$6)</f>
        <v>0</v>
      </c>
      <c r="J110" s="21">
        <f>SUMIFS(Einzelbeträge!$D:$D,Einzelbeträge!$C:$C,'Ausgaben 2026'!$C110,Einzelbeträge!$E:$E,'Ausgaben 2026'!J$6)</f>
        <v>0</v>
      </c>
      <c r="K110" s="21">
        <f>SUMIFS(Einzelbeträge!$D:$D,Einzelbeträge!$C:$C,'Ausgaben 2026'!$C110,Einzelbeträge!$E:$E,'Ausgaben 2026'!K$6)</f>
        <v>0</v>
      </c>
      <c r="L110" s="21">
        <f>SUMIFS(Einzelbeträge!$D:$D,Einzelbeträge!$C:$C,'Ausgaben 2026'!$C110,Einzelbeträge!$E:$E,'Ausgaben 2026'!L$6)</f>
        <v>0</v>
      </c>
      <c r="M110" s="21">
        <f>SUMIFS(Einzelbeträge!$D:$D,Einzelbeträge!$C:$C,'Ausgaben 2026'!$C110,Einzelbeträge!$E:$E,'Ausgaben 2026'!M$6)</f>
        <v>0</v>
      </c>
      <c r="N110" s="35">
        <f>SUMIFS(Einzelbeträge!$D:$D,Einzelbeträge!$C:$C,'Ausgaben 2026'!$C110,Einzelbeträge!$E:$E,'Ausgaben 2026'!N$6)</f>
        <v>0</v>
      </c>
      <c r="O110" s="6"/>
    </row>
    <row r="111" spans="2:15" x14ac:dyDescent="0.35">
      <c r="B111" s="5"/>
      <c r="C111" s="30">
        <f t="shared" si="19"/>
        <v>46117</v>
      </c>
      <c r="D111" s="46">
        <f>SUMIFS(Einzelbeträge!$D:$D,Einzelbeträge!$C:$C,'Ausgaben 2026'!$C111)</f>
        <v>0</v>
      </c>
      <c r="E111" s="21">
        <f>SUMIFS(Einzelbeträge!$D:$D,Einzelbeträge!$C:$C,'Ausgaben 2026'!$C111,Einzelbeträge!$E:$E,'Ausgaben 2026'!E$6)</f>
        <v>0</v>
      </c>
      <c r="F111" s="21">
        <f>SUMIFS(Einzelbeträge!$D:$D,Einzelbeträge!$C:$C,'Ausgaben 2026'!$C111,Einzelbeträge!$E:$E,'Ausgaben 2026'!F$6)</f>
        <v>0</v>
      </c>
      <c r="G111" s="21">
        <f>SUMIFS(Einzelbeträge!$D:$D,Einzelbeträge!$C:$C,'Ausgaben 2026'!$C111,Einzelbeträge!$E:$E,'Ausgaben 2026'!G$6)</f>
        <v>0</v>
      </c>
      <c r="H111" s="21">
        <f>SUMIFS(Einzelbeträge!$D:$D,Einzelbeträge!$C:$C,'Ausgaben 2026'!$C111,Einzelbeträge!$E:$E,'Ausgaben 2026'!H$6)</f>
        <v>0</v>
      </c>
      <c r="I111" s="21">
        <f>SUMIFS(Einzelbeträge!$D:$D,Einzelbeträge!$C:$C,'Ausgaben 2026'!$C111,Einzelbeträge!$E:$E,'Ausgaben 2026'!I$6)</f>
        <v>0</v>
      </c>
      <c r="J111" s="21">
        <f>SUMIFS(Einzelbeträge!$D:$D,Einzelbeträge!$C:$C,'Ausgaben 2026'!$C111,Einzelbeträge!$E:$E,'Ausgaben 2026'!J$6)</f>
        <v>0</v>
      </c>
      <c r="K111" s="21">
        <f>SUMIFS(Einzelbeträge!$D:$D,Einzelbeträge!$C:$C,'Ausgaben 2026'!$C111,Einzelbeträge!$E:$E,'Ausgaben 2026'!K$6)</f>
        <v>0</v>
      </c>
      <c r="L111" s="21">
        <f>SUMIFS(Einzelbeträge!$D:$D,Einzelbeträge!$C:$C,'Ausgaben 2026'!$C111,Einzelbeträge!$E:$E,'Ausgaben 2026'!L$6)</f>
        <v>0</v>
      </c>
      <c r="M111" s="21">
        <f>SUMIFS(Einzelbeträge!$D:$D,Einzelbeträge!$C:$C,'Ausgaben 2026'!$C111,Einzelbeträge!$E:$E,'Ausgaben 2026'!M$6)</f>
        <v>0</v>
      </c>
      <c r="N111" s="35">
        <f>SUMIFS(Einzelbeträge!$D:$D,Einzelbeträge!$C:$C,'Ausgaben 2026'!$C111,Einzelbeträge!$E:$E,'Ausgaben 2026'!N$6)</f>
        <v>0</v>
      </c>
      <c r="O111" s="6"/>
    </row>
    <row r="112" spans="2:15" x14ac:dyDescent="0.35">
      <c r="B112" s="5"/>
      <c r="C112" s="30">
        <f t="shared" si="19"/>
        <v>46118</v>
      </c>
      <c r="D112" s="46">
        <f>SUMIFS(Einzelbeträge!$D:$D,Einzelbeträge!$C:$C,'Ausgaben 2026'!$C112)</f>
        <v>0</v>
      </c>
      <c r="E112" s="21">
        <f>SUMIFS(Einzelbeträge!$D:$D,Einzelbeträge!$C:$C,'Ausgaben 2026'!$C112,Einzelbeträge!$E:$E,'Ausgaben 2026'!E$6)</f>
        <v>0</v>
      </c>
      <c r="F112" s="21">
        <f>SUMIFS(Einzelbeträge!$D:$D,Einzelbeträge!$C:$C,'Ausgaben 2026'!$C112,Einzelbeträge!$E:$E,'Ausgaben 2026'!F$6)</f>
        <v>0</v>
      </c>
      <c r="G112" s="21">
        <f>SUMIFS(Einzelbeträge!$D:$D,Einzelbeträge!$C:$C,'Ausgaben 2026'!$C112,Einzelbeträge!$E:$E,'Ausgaben 2026'!G$6)</f>
        <v>0</v>
      </c>
      <c r="H112" s="21">
        <f>SUMIFS(Einzelbeträge!$D:$D,Einzelbeträge!$C:$C,'Ausgaben 2026'!$C112,Einzelbeträge!$E:$E,'Ausgaben 2026'!H$6)</f>
        <v>0</v>
      </c>
      <c r="I112" s="21">
        <f>SUMIFS(Einzelbeträge!$D:$D,Einzelbeträge!$C:$C,'Ausgaben 2026'!$C112,Einzelbeträge!$E:$E,'Ausgaben 2026'!I$6)</f>
        <v>0</v>
      </c>
      <c r="J112" s="21">
        <f>SUMIFS(Einzelbeträge!$D:$D,Einzelbeträge!$C:$C,'Ausgaben 2026'!$C112,Einzelbeträge!$E:$E,'Ausgaben 2026'!J$6)</f>
        <v>0</v>
      </c>
      <c r="K112" s="21">
        <f>SUMIFS(Einzelbeträge!$D:$D,Einzelbeträge!$C:$C,'Ausgaben 2026'!$C112,Einzelbeträge!$E:$E,'Ausgaben 2026'!K$6)</f>
        <v>0</v>
      </c>
      <c r="L112" s="21">
        <f>SUMIFS(Einzelbeträge!$D:$D,Einzelbeträge!$C:$C,'Ausgaben 2026'!$C112,Einzelbeträge!$E:$E,'Ausgaben 2026'!L$6)</f>
        <v>0</v>
      </c>
      <c r="M112" s="21">
        <f>SUMIFS(Einzelbeträge!$D:$D,Einzelbeträge!$C:$C,'Ausgaben 2026'!$C112,Einzelbeträge!$E:$E,'Ausgaben 2026'!M$6)</f>
        <v>0</v>
      </c>
      <c r="N112" s="35">
        <f>SUMIFS(Einzelbeträge!$D:$D,Einzelbeträge!$C:$C,'Ausgaben 2026'!$C112,Einzelbeträge!$E:$E,'Ausgaben 2026'!N$6)</f>
        <v>0</v>
      </c>
      <c r="O112" s="6"/>
    </row>
    <row r="113" spans="2:15" x14ac:dyDescent="0.35">
      <c r="B113" s="5"/>
      <c r="C113" s="30">
        <f t="shared" si="19"/>
        <v>46119</v>
      </c>
      <c r="D113" s="46">
        <f>SUMIFS(Einzelbeträge!$D:$D,Einzelbeträge!$C:$C,'Ausgaben 2026'!$C113)</f>
        <v>0</v>
      </c>
      <c r="E113" s="21">
        <f>SUMIFS(Einzelbeträge!$D:$D,Einzelbeträge!$C:$C,'Ausgaben 2026'!$C113,Einzelbeträge!$E:$E,'Ausgaben 2026'!E$6)</f>
        <v>0</v>
      </c>
      <c r="F113" s="21">
        <f>SUMIFS(Einzelbeträge!$D:$D,Einzelbeträge!$C:$C,'Ausgaben 2026'!$C113,Einzelbeträge!$E:$E,'Ausgaben 2026'!F$6)</f>
        <v>0</v>
      </c>
      <c r="G113" s="21">
        <f>SUMIFS(Einzelbeträge!$D:$D,Einzelbeträge!$C:$C,'Ausgaben 2026'!$C113,Einzelbeträge!$E:$E,'Ausgaben 2026'!G$6)</f>
        <v>0</v>
      </c>
      <c r="H113" s="21">
        <f>SUMIFS(Einzelbeträge!$D:$D,Einzelbeträge!$C:$C,'Ausgaben 2026'!$C113,Einzelbeträge!$E:$E,'Ausgaben 2026'!H$6)</f>
        <v>0</v>
      </c>
      <c r="I113" s="21">
        <f>SUMIFS(Einzelbeträge!$D:$D,Einzelbeträge!$C:$C,'Ausgaben 2026'!$C113,Einzelbeträge!$E:$E,'Ausgaben 2026'!I$6)</f>
        <v>0</v>
      </c>
      <c r="J113" s="21">
        <f>SUMIFS(Einzelbeträge!$D:$D,Einzelbeträge!$C:$C,'Ausgaben 2026'!$C113,Einzelbeträge!$E:$E,'Ausgaben 2026'!J$6)</f>
        <v>0</v>
      </c>
      <c r="K113" s="21">
        <f>SUMIFS(Einzelbeträge!$D:$D,Einzelbeträge!$C:$C,'Ausgaben 2026'!$C113,Einzelbeträge!$E:$E,'Ausgaben 2026'!K$6)</f>
        <v>0</v>
      </c>
      <c r="L113" s="21">
        <f>SUMIFS(Einzelbeträge!$D:$D,Einzelbeträge!$C:$C,'Ausgaben 2026'!$C113,Einzelbeträge!$E:$E,'Ausgaben 2026'!L$6)</f>
        <v>0</v>
      </c>
      <c r="M113" s="21">
        <f>SUMIFS(Einzelbeträge!$D:$D,Einzelbeträge!$C:$C,'Ausgaben 2026'!$C113,Einzelbeträge!$E:$E,'Ausgaben 2026'!M$6)</f>
        <v>0</v>
      </c>
      <c r="N113" s="35">
        <f>SUMIFS(Einzelbeträge!$D:$D,Einzelbeträge!$C:$C,'Ausgaben 2026'!$C113,Einzelbeträge!$E:$E,'Ausgaben 2026'!N$6)</f>
        <v>0</v>
      </c>
      <c r="O113" s="6"/>
    </row>
    <row r="114" spans="2:15" x14ac:dyDescent="0.35">
      <c r="B114" s="5"/>
      <c r="C114" s="30">
        <f t="shared" si="19"/>
        <v>46120</v>
      </c>
      <c r="D114" s="46">
        <f>SUMIFS(Einzelbeträge!$D:$D,Einzelbeträge!$C:$C,'Ausgaben 2026'!$C114)</f>
        <v>0</v>
      </c>
      <c r="E114" s="21">
        <f>SUMIFS(Einzelbeträge!$D:$D,Einzelbeträge!$C:$C,'Ausgaben 2026'!$C114,Einzelbeträge!$E:$E,'Ausgaben 2026'!E$6)</f>
        <v>0</v>
      </c>
      <c r="F114" s="21">
        <f>SUMIFS(Einzelbeträge!$D:$D,Einzelbeträge!$C:$C,'Ausgaben 2026'!$C114,Einzelbeträge!$E:$E,'Ausgaben 2026'!F$6)</f>
        <v>0</v>
      </c>
      <c r="G114" s="21">
        <f>SUMIFS(Einzelbeträge!$D:$D,Einzelbeträge!$C:$C,'Ausgaben 2026'!$C114,Einzelbeträge!$E:$E,'Ausgaben 2026'!G$6)</f>
        <v>0</v>
      </c>
      <c r="H114" s="21">
        <f>SUMIFS(Einzelbeträge!$D:$D,Einzelbeträge!$C:$C,'Ausgaben 2026'!$C114,Einzelbeträge!$E:$E,'Ausgaben 2026'!H$6)</f>
        <v>0</v>
      </c>
      <c r="I114" s="21">
        <f>SUMIFS(Einzelbeträge!$D:$D,Einzelbeträge!$C:$C,'Ausgaben 2026'!$C114,Einzelbeträge!$E:$E,'Ausgaben 2026'!I$6)</f>
        <v>0</v>
      </c>
      <c r="J114" s="21">
        <f>SUMIFS(Einzelbeträge!$D:$D,Einzelbeträge!$C:$C,'Ausgaben 2026'!$C114,Einzelbeträge!$E:$E,'Ausgaben 2026'!J$6)</f>
        <v>0</v>
      </c>
      <c r="K114" s="21">
        <f>SUMIFS(Einzelbeträge!$D:$D,Einzelbeträge!$C:$C,'Ausgaben 2026'!$C114,Einzelbeträge!$E:$E,'Ausgaben 2026'!K$6)</f>
        <v>0</v>
      </c>
      <c r="L114" s="21">
        <f>SUMIFS(Einzelbeträge!$D:$D,Einzelbeträge!$C:$C,'Ausgaben 2026'!$C114,Einzelbeträge!$E:$E,'Ausgaben 2026'!L$6)</f>
        <v>0</v>
      </c>
      <c r="M114" s="21">
        <f>SUMIFS(Einzelbeträge!$D:$D,Einzelbeträge!$C:$C,'Ausgaben 2026'!$C114,Einzelbeträge!$E:$E,'Ausgaben 2026'!M$6)</f>
        <v>0</v>
      </c>
      <c r="N114" s="35">
        <f>SUMIFS(Einzelbeträge!$D:$D,Einzelbeträge!$C:$C,'Ausgaben 2026'!$C114,Einzelbeträge!$E:$E,'Ausgaben 2026'!N$6)</f>
        <v>0</v>
      </c>
      <c r="O114" s="6"/>
    </row>
    <row r="115" spans="2:15" x14ac:dyDescent="0.35">
      <c r="B115" s="5"/>
      <c r="C115" s="30">
        <f t="shared" si="19"/>
        <v>46121</v>
      </c>
      <c r="D115" s="46">
        <f>SUMIFS(Einzelbeträge!$D:$D,Einzelbeträge!$C:$C,'Ausgaben 2026'!$C115)</f>
        <v>0</v>
      </c>
      <c r="E115" s="21">
        <f>SUMIFS(Einzelbeträge!$D:$D,Einzelbeträge!$C:$C,'Ausgaben 2026'!$C115,Einzelbeträge!$E:$E,'Ausgaben 2026'!E$6)</f>
        <v>0</v>
      </c>
      <c r="F115" s="21">
        <f>SUMIFS(Einzelbeträge!$D:$D,Einzelbeträge!$C:$C,'Ausgaben 2026'!$C115,Einzelbeträge!$E:$E,'Ausgaben 2026'!F$6)</f>
        <v>0</v>
      </c>
      <c r="G115" s="21">
        <f>SUMIFS(Einzelbeträge!$D:$D,Einzelbeträge!$C:$C,'Ausgaben 2026'!$C115,Einzelbeträge!$E:$E,'Ausgaben 2026'!G$6)</f>
        <v>0</v>
      </c>
      <c r="H115" s="21">
        <f>SUMIFS(Einzelbeträge!$D:$D,Einzelbeträge!$C:$C,'Ausgaben 2026'!$C115,Einzelbeträge!$E:$E,'Ausgaben 2026'!H$6)</f>
        <v>0</v>
      </c>
      <c r="I115" s="21">
        <f>SUMIFS(Einzelbeträge!$D:$D,Einzelbeträge!$C:$C,'Ausgaben 2026'!$C115,Einzelbeträge!$E:$E,'Ausgaben 2026'!I$6)</f>
        <v>0</v>
      </c>
      <c r="J115" s="21">
        <f>SUMIFS(Einzelbeträge!$D:$D,Einzelbeträge!$C:$C,'Ausgaben 2026'!$C115,Einzelbeträge!$E:$E,'Ausgaben 2026'!J$6)</f>
        <v>0</v>
      </c>
      <c r="K115" s="21">
        <f>SUMIFS(Einzelbeträge!$D:$D,Einzelbeträge!$C:$C,'Ausgaben 2026'!$C115,Einzelbeträge!$E:$E,'Ausgaben 2026'!K$6)</f>
        <v>0</v>
      </c>
      <c r="L115" s="21">
        <f>SUMIFS(Einzelbeträge!$D:$D,Einzelbeträge!$C:$C,'Ausgaben 2026'!$C115,Einzelbeträge!$E:$E,'Ausgaben 2026'!L$6)</f>
        <v>0</v>
      </c>
      <c r="M115" s="21">
        <f>SUMIFS(Einzelbeträge!$D:$D,Einzelbeträge!$C:$C,'Ausgaben 2026'!$C115,Einzelbeträge!$E:$E,'Ausgaben 2026'!M$6)</f>
        <v>0</v>
      </c>
      <c r="N115" s="35">
        <f>SUMIFS(Einzelbeträge!$D:$D,Einzelbeträge!$C:$C,'Ausgaben 2026'!$C115,Einzelbeträge!$E:$E,'Ausgaben 2026'!N$6)</f>
        <v>0</v>
      </c>
      <c r="O115" s="6"/>
    </row>
    <row r="116" spans="2:15" x14ac:dyDescent="0.35">
      <c r="B116" s="5"/>
      <c r="C116" s="30">
        <f t="shared" si="19"/>
        <v>46122</v>
      </c>
      <c r="D116" s="46">
        <f>SUMIFS(Einzelbeträge!$D:$D,Einzelbeträge!$C:$C,'Ausgaben 2026'!$C116)</f>
        <v>0</v>
      </c>
      <c r="E116" s="21">
        <f>SUMIFS(Einzelbeträge!$D:$D,Einzelbeträge!$C:$C,'Ausgaben 2026'!$C116,Einzelbeträge!$E:$E,'Ausgaben 2026'!E$6)</f>
        <v>0</v>
      </c>
      <c r="F116" s="21">
        <f>SUMIFS(Einzelbeträge!$D:$D,Einzelbeträge!$C:$C,'Ausgaben 2026'!$C116,Einzelbeträge!$E:$E,'Ausgaben 2026'!F$6)</f>
        <v>0</v>
      </c>
      <c r="G116" s="21">
        <f>SUMIFS(Einzelbeträge!$D:$D,Einzelbeträge!$C:$C,'Ausgaben 2026'!$C116,Einzelbeträge!$E:$E,'Ausgaben 2026'!G$6)</f>
        <v>0</v>
      </c>
      <c r="H116" s="21">
        <f>SUMIFS(Einzelbeträge!$D:$D,Einzelbeträge!$C:$C,'Ausgaben 2026'!$C116,Einzelbeträge!$E:$E,'Ausgaben 2026'!H$6)</f>
        <v>0</v>
      </c>
      <c r="I116" s="21">
        <f>SUMIFS(Einzelbeträge!$D:$D,Einzelbeträge!$C:$C,'Ausgaben 2026'!$C116,Einzelbeträge!$E:$E,'Ausgaben 2026'!I$6)</f>
        <v>0</v>
      </c>
      <c r="J116" s="21">
        <f>SUMIFS(Einzelbeträge!$D:$D,Einzelbeträge!$C:$C,'Ausgaben 2026'!$C116,Einzelbeträge!$E:$E,'Ausgaben 2026'!J$6)</f>
        <v>0</v>
      </c>
      <c r="K116" s="21">
        <f>SUMIFS(Einzelbeträge!$D:$D,Einzelbeträge!$C:$C,'Ausgaben 2026'!$C116,Einzelbeträge!$E:$E,'Ausgaben 2026'!K$6)</f>
        <v>0</v>
      </c>
      <c r="L116" s="21">
        <f>SUMIFS(Einzelbeträge!$D:$D,Einzelbeträge!$C:$C,'Ausgaben 2026'!$C116,Einzelbeträge!$E:$E,'Ausgaben 2026'!L$6)</f>
        <v>0</v>
      </c>
      <c r="M116" s="21">
        <f>SUMIFS(Einzelbeträge!$D:$D,Einzelbeträge!$C:$C,'Ausgaben 2026'!$C116,Einzelbeträge!$E:$E,'Ausgaben 2026'!M$6)</f>
        <v>0</v>
      </c>
      <c r="N116" s="35">
        <f>SUMIFS(Einzelbeträge!$D:$D,Einzelbeträge!$C:$C,'Ausgaben 2026'!$C116,Einzelbeträge!$E:$E,'Ausgaben 2026'!N$6)</f>
        <v>0</v>
      </c>
      <c r="O116" s="6"/>
    </row>
    <row r="117" spans="2:15" x14ac:dyDescent="0.35">
      <c r="B117" s="5"/>
      <c r="C117" s="30">
        <f t="shared" si="19"/>
        <v>46123</v>
      </c>
      <c r="D117" s="46">
        <f>SUMIFS(Einzelbeträge!$D:$D,Einzelbeträge!$C:$C,'Ausgaben 2026'!$C117)</f>
        <v>0</v>
      </c>
      <c r="E117" s="21">
        <f>SUMIFS(Einzelbeträge!$D:$D,Einzelbeträge!$C:$C,'Ausgaben 2026'!$C117,Einzelbeträge!$E:$E,'Ausgaben 2026'!E$6)</f>
        <v>0</v>
      </c>
      <c r="F117" s="21">
        <f>SUMIFS(Einzelbeträge!$D:$D,Einzelbeträge!$C:$C,'Ausgaben 2026'!$C117,Einzelbeträge!$E:$E,'Ausgaben 2026'!F$6)</f>
        <v>0</v>
      </c>
      <c r="G117" s="21">
        <f>SUMIFS(Einzelbeträge!$D:$D,Einzelbeträge!$C:$C,'Ausgaben 2026'!$C117,Einzelbeträge!$E:$E,'Ausgaben 2026'!G$6)</f>
        <v>0</v>
      </c>
      <c r="H117" s="21">
        <f>SUMIFS(Einzelbeträge!$D:$D,Einzelbeträge!$C:$C,'Ausgaben 2026'!$C117,Einzelbeträge!$E:$E,'Ausgaben 2026'!H$6)</f>
        <v>0</v>
      </c>
      <c r="I117" s="21">
        <f>SUMIFS(Einzelbeträge!$D:$D,Einzelbeträge!$C:$C,'Ausgaben 2026'!$C117,Einzelbeträge!$E:$E,'Ausgaben 2026'!I$6)</f>
        <v>0</v>
      </c>
      <c r="J117" s="21">
        <f>SUMIFS(Einzelbeträge!$D:$D,Einzelbeträge!$C:$C,'Ausgaben 2026'!$C117,Einzelbeträge!$E:$E,'Ausgaben 2026'!J$6)</f>
        <v>0</v>
      </c>
      <c r="K117" s="21">
        <f>SUMIFS(Einzelbeträge!$D:$D,Einzelbeträge!$C:$C,'Ausgaben 2026'!$C117,Einzelbeträge!$E:$E,'Ausgaben 2026'!K$6)</f>
        <v>0</v>
      </c>
      <c r="L117" s="21">
        <f>SUMIFS(Einzelbeträge!$D:$D,Einzelbeträge!$C:$C,'Ausgaben 2026'!$C117,Einzelbeträge!$E:$E,'Ausgaben 2026'!L$6)</f>
        <v>0</v>
      </c>
      <c r="M117" s="21">
        <f>SUMIFS(Einzelbeträge!$D:$D,Einzelbeträge!$C:$C,'Ausgaben 2026'!$C117,Einzelbeträge!$E:$E,'Ausgaben 2026'!M$6)</f>
        <v>0</v>
      </c>
      <c r="N117" s="35">
        <f>SUMIFS(Einzelbeträge!$D:$D,Einzelbeträge!$C:$C,'Ausgaben 2026'!$C117,Einzelbeträge!$E:$E,'Ausgaben 2026'!N$6)</f>
        <v>0</v>
      </c>
      <c r="O117" s="6"/>
    </row>
    <row r="118" spans="2:15" x14ac:dyDescent="0.35">
      <c r="B118" s="5"/>
      <c r="C118" s="30">
        <f t="shared" si="19"/>
        <v>46124</v>
      </c>
      <c r="D118" s="46">
        <f>SUMIFS(Einzelbeträge!$D:$D,Einzelbeträge!$C:$C,'Ausgaben 2026'!$C118)</f>
        <v>0</v>
      </c>
      <c r="E118" s="21">
        <f>SUMIFS(Einzelbeträge!$D:$D,Einzelbeträge!$C:$C,'Ausgaben 2026'!$C118,Einzelbeträge!$E:$E,'Ausgaben 2026'!E$6)</f>
        <v>0</v>
      </c>
      <c r="F118" s="21">
        <f>SUMIFS(Einzelbeträge!$D:$D,Einzelbeträge!$C:$C,'Ausgaben 2026'!$C118,Einzelbeträge!$E:$E,'Ausgaben 2026'!F$6)</f>
        <v>0</v>
      </c>
      <c r="G118" s="21">
        <f>SUMIFS(Einzelbeträge!$D:$D,Einzelbeträge!$C:$C,'Ausgaben 2026'!$C118,Einzelbeträge!$E:$E,'Ausgaben 2026'!G$6)</f>
        <v>0</v>
      </c>
      <c r="H118" s="21">
        <f>SUMIFS(Einzelbeträge!$D:$D,Einzelbeträge!$C:$C,'Ausgaben 2026'!$C118,Einzelbeträge!$E:$E,'Ausgaben 2026'!H$6)</f>
        <v>0</v>
      </c>
      <c r="I118" s="21">
        <f>SUMIFS(Einzelbeträge!$D:$D,Einzelbeträge!$C:$C,'Ausgaben 2026'!$C118,Einzelbeträge!$E:$E,'Ausgaben 2026'!I$6)</f>
        <v>0</v>
      </c>
      <c r="J118" s="21">
        <f>SUMIFS(Einzelbeträge!$D:$D,Einzelbeträge!$C:$C,'Ausgaben 2026'!$C118,Einzelbeträge!$E:$E,'Ausgaben 2026'!J$6)</f>
        <v>0</v>
      </c>
      <c r="K118" s="21">
        <f>SUMIFS(Einzelbeträge!$D:$D,Einzelbeträge!$C:$C,'Ausgaben 2026'!$C118,Einzelbeträge!$E:$E,'Ausgaben 2026'!K$6)</f>
        <v>0</v>
      </c>
      <c r="L118" s="21">
        <f>SUMIFS(Einzelbeträge!$D:$D,Einzelbeträge!$C:$C,'Ausgaben 2026'!$C118,Einzelbeträge!$E:$E,'Ausgaben 2026'!L$6)</f>
        <v>0</v>
      </c>
      <c r="M118" s="21">
        <f>SUMIFS(Einzelbeträge!$D:$D,Einzelbeträge!$C:$C,'Ausgaben 2026'!$C118,Einzelbeträge!$E:$E,'Ausgaben 2026'!M$6)</f>
        <v>0</v>
      </c>
      <c r="N118" s="35">
        <f>SUMIFS(Einzelbeträge!$D:$D,Einzelbeträge!$C:$C,'Ausgaben 2026'!$C118,Einzelbeträge!$E:$E,'Ausgaben 2026'!N$6)</f>
        <v>0</v>
      </c>
      <c r="O118" s="6"/>
    </row>
    <row r="119" spans="2:15" x14ac:dyDescent="0.35">
      <c r="B119" s="5"/>
      <c r="C119" s="30">
        <f t="shared" si="19"/>
        <v>46125</v>
      </c>
      <c r="D119" s="46">
        <f>SUMIFS(Einzelbeträge!$D:$D,Einzelbeträge!$C:$C,'Ausgaben 2026'!$C119)</f>
        <v>10</v>
      </c>
      <c r="E119" s="21">
        <f>SUMIFS(Einzelbeträge!$D:$D,Einzelbeträge!$C:$C,'Ausgaben 2026'!$C119,Einzelbeträge!$E:$E,'Ausgaben 2026'!E$6)</f>
        <v>0</v>
      </c>
      <c r="F119" s="21">
        <f>SUMIFS(Einzelbeträge!$D:$D,Einzelbeträge!$C:$C,'Ausgaben 2026'!$C119,Einzelbeträge!$E:$E,'Ausgaben 2026'!F$6)</f>
        <v>0</v>
      </c>
      <c r="G119" s="21">
        <f>SUMIFS(Einzelbeträge!$D:$D,Einzelbeträge!$C:$C,'Ausgaben 2026'!$C119,Einzelbeträge!$E:$E,'Ausgaben 2026'!G$6)</f>
        <v>0</v>
      </c>
      <c r="H119" s="21">
        <f>SUMIFS(Einzelbeträge!$D:$D,Einzelbeträge!$C:$C,'Ausgaben 2026'!$C119,Einzelbeträge!$E:$E,'Ausgaben 2026'!H$6)</f>
        <v>0</v>
      </c>
      <c r="I119" s="21">
        <f>SUMIFS(Einzelbeträge!$D:$D,Einzelbeträge!$C:$C,'Ausgaben 2026'!$C119,Einzelbeträge!$E:$E,'Ausgaben 2026'!I$6)</f>
        <v>0</v>
      </c>
      <c r="J119" s="21">
        <f>SUMIFS(Einzelbeträge!$D:$D,Einzelbeträge!$C:$C,'Ausgaben 2026'!$C119,Einzelbeträge!$E:$E,'Ausgaben 2026'!J$6)</f>
        <v>10</v>
      </c>
      <c r="K119" s="21">
        <f>SUMIFS(Einzelbeträge!$D:$D,Einzelbeträge!$C:$C,'Ausgaben 2026'!$C119,Einzelbeträge!$E:$E,'Ausgaben 2026'!K$6)</f>
        <v>0</v>
      </c>
      <c r="L119" s="21">
        <f>SUMIFS(Einzelbeträge!$D:$D,Einzelbeträge!$C:$C,'Ausgaben 2026'!$C119,Einzelbeträge!$E:$E,'Ausgaben 2026'!L$6)</f>
        <v>0</v>
      </c>
      <c r="M119" s="21">
        <f>SUMIFS(Einzelbeträge!$D:$D,Einzelbeträge!$C:$C,'Ausgaben 2026'!$C119,Einzelbeträge!$E:$E,'Ausgaben 2026'!M$6)</f>
        <v>0</v>
      </c>
      <c r="N119" s="35">
        <f>SUMIFS(Einzelbeträge!$D:$D,Einzelbeträge!$C:$C,'Ausgaben 2026'!$C119,Einzelbeträge!$E:$E,'Ausgaben 2026'!N$6)</f>
        <v>0</v>
      </c>
      <c r="O119" s="6"/>
    </row>
    <row r="120" spans="2:15" x14ac:dyDescent="0.35">
      <c r="B120" s="5"/>
      <c r="C120" s="30">
        <f t="shared" si="19"/>
        <v>46126</v>
      </c>
      <c r="D120" s="46">
        <f>SUMIFS(Einzelbeträge!$D:$D,Einzelbeträge!$C:$C,'Ausgaben 2026'!$C120)</f>
        <v>20</v>
      </c>
      <c r="E120" s="21">
        <f>SUMIFS(Einzelbeträge!$D:$D,Einzelbeträge!$C:$C,'Ausgaben 2026'!$C120,Einzelbeträge!$E:$E,'Ausgaben 2026'!E$6)</f>
        <v>0</v>
      </c>
      <c r="F120" s="21">
        <f>SUMIFS(Einzelbeträge!$D:$D,Einzelbeträge!$C:$C,'Ausgaben 2026'!$C120,Einzelbeträge!$E:$E,'Ausgaben 2026'!F$6)</f>
        <v>0</v>
      </c>
      <c r="G120" s="21">
        <f>SUMIFS(Einzelbeträge!$D:$D,Einzelbeträge!$C:$C,'Ausgaben 2026'!$C120,Einzelbeträge!$E:$E,'Ausgaben 2026'!G$6)</f>
        <v>0</v>
      </c>
      <c r="H120" s="21">
        <f>SUMIFS(Einzelbeträge!$D:$D,Einzelbeträge!$C:$C,'Ausgaben 2026'!$C120,Einzelbeträge!$E:$E,'Ausgaben 2026'!H$6)</f>
        <v>0</v>
      </c>
      <c r="I120" s="21">
        <f>SUMIFS(Einzelbeträge!$D:$D,Einzelbeträge!$C:$C,'Ausgaben 2026'!$C120,Einzelbeträge!$E:$E,'Ausgaben 2026'!I$6)</f>
        <v>0</v>
      </c>
      <c r="J120" s="21">
        <f>SUMIFS(Einzelbeträge!$D:$D,Einzelbeträge!$C:$C,'Ausgaben 2026'!$C120,Einzelbeträge!$E:$E,'Ausgaben 2026'!J$6)</f>
        <v>0</v>
      </c>
      <c r="K120" s="21">
        <f>SUMIFS(Einzelbeträge!$D:$D,Einzelbeträge!$C:$C,'Ausgaben 2026'!$C120,Einzelbeträge!$E:$E,'Ausgaben 2026'!K$6)</f>
        <v>20</v>
      </c>
      <c r="L120" s="21">
        <f>SUMIFS(Einzelbeträge!$D:$D,Einzelbeträge!$C:$C,'Ausgaben 2026'!$C120,Einzelbeträge!$E:$E,'Ausgaben 2026'!L$6)</f>
        <v>0</v>
      </c>
      <c r="M120" s="21">
        <f>SUMIFS(Einzelbeträge!$D:$D,Einzelbeträge!$C:$C,'Ausgaben 2026'!$C120,Einzelbeträge!$E:$E,'Ausgaben 2026'!M$6)</f>
        <v>0</v>
      </c>
      <c r="N120" s="35">
        <f>SUMIFS(Einzelbeträge!$D:$D,Einzelbeträge!$C:$C,'Ausgaben 2026'!$C120,Einzelbeträge!$E:$E,'Ausgaben 2026'!N$6)</f>
        <v>0</v>
      </c>
      <c r="O120" s="6"/>
    </row>
    <row r="121" spans="2:15" x14ac:dyDescent="0.35">
      <c r="B121" s="5"/>
      <c r="C121" s="30">
        <f t="shared" si="19"/>
        <v>46127</v>
      </c>
      <c r="D121" s="46">
        <f>SUMIFS(Einzelbeträge!$D:$D,Einzelbeträge!$C:$C,'Ausgaben 2026'!$C121)</f>
        <v>30</v>
      </c>
      <c r="E121" s="21">
        <f>SUMIFS(Einzelbeträge!$D:$D,Einzelbeträge!$C:$C,'Ausgaben 2026'!$C121,Einzelbeträge!$E:$E,'Ausgaben 2026'!E$6)</f>
        <v>0</v>
      </c>
      <c r="F121" s="21">
        <f>SUMIFS(Einzelbeträge!$D:$D,Einzelbeträge!$C:$C,'Ausgaben 2026'!$C121,Einzelbeträge!$E:$E,'Ausgaben 2026'!F$6)</f>
        <v>30</v>
      </c>
      <c r="G121" s="21">
        <f>SUMIFS(Einzelbeträge!$D:$D,Einzelbeträge!$C:$C,'Ausgaben 2026'!$C121,Einzelbeträge!$E:$E,'Ausgaben 2026'!G$6)</f>
        <v>0</v>
      </c>
      <c r="H121" s="21">
        <f>SUMIFS(Einzelbeträge!$D:$D,Einzelbeträge!$C:$C,'Ausgaben 2026'!$C121,Einzelbeträge!$E:$E,'Ausgaben 2026'!H$6)</f>
        <v>0</v>
      </c>
      <c r="I121" s="21">
        <f>SUMIFS(Einzelbeträge!$D:$D,Einzelbeträge!$C:$C,'Ausgaben 2026'!$C121,Einzelbeträge!$E:$E,'Ausgaben 2026'!I$6)</f>
        <v>0</v>
      </c>
      <c r="J121" s="21">
        <f>SUMIFS(Einzelbeträge!$D:$D,Einzelbeträge!$C:$C,'Ausgaben 2026'!$C121,Einzelbeträge!$E:$E,'Ausgaben 2026'!J$6)</f>
        <v>0</v>
      </c>
      <c r="K121" s="21">
        <f>SUMIFS(Einzelbeträge!$D:$D,Einzelbeträge!$C:$C,'Ausgaben 2026'!$C121,Einzelbeträge!$E:$E,'Ausgaben 2026'!K$6)</f>
        <v>0</v>
      </c>
      <c r="L121" s="21">
        <f>SUMIFS(Einzelbeträge!$D:$D,Einzelbeträge!$C:$C,'Ausgaben 2026'!$C121,Einzelbeträge!$E:$E,'Ausgaben 2026'!L$6)</f>
        <v>0</v>
      </c>
      <c r="M121" s="21">
        <f>SUMIFS(Einzelbeträge!$D:$D,Einzelbeträge!$C:$C,'Ausgaben 2026'!$C121,Einzelbeträge!$E:$E,'Ausgaben 2026'!M$6)</f>
        <v>0</v>
      </c>
      <c r="N121" s="35">
        <f>SUMIFS(Einzelbeträge!$D:$D,Einzelbeträge!$C:$C,'Ausgaben 2026'!$C121,Einzelbeträge!$E:$E,'Ausgaben 2026'!N$6)</f>
        <v>0</v>
      </c>
      <c r="O121" s="6"/>
    </row>
    <row r="122" spans="2:15" x14ac:dyDescent="0.35">
      <c r="B122" s="5"/>
      <c r="C122" s="30">
        <f t="shared" si="19"/>
        <v>46128</v>
      </c>
      <c r="D122" s="46">
        <f>SUMIFS(Einzelbeträge!$D:$D,Einzelbeträge!$C:$C,'Ausgaben 2026'!$C122)</f>
        <v>0</v>
      </c>
      <c r="E122" s="21">
        <f>SUMIFS(Einzelbeträge!$D:$D,Einzelbeträge!$C:$C,'Ausgaben 2026'!$C122,Einzelbeträge!$E:$E,'Ausgaben 2026'!E$6)</f>
        <v>0</v>
      </c>
      <c r="F122" s="21">
        <f>SUMIFS(Einzelbeträge!$D:$D,Einzelbeträge!$C:$C,'Ausgaben 2026'!$C122,Einzelbeträge!$E:$E,'Ausgaben 2026'!F$6)</f>
        <v>0</v>
      </c>
      <c r="G122" s="21">
        <f>SUMIFS(Einzelbeträge!$D:$D,Einzelbeträge!$C:$C,'Ausgaben 2026'!$C122,Einzelbeträge!$E:$E,'Ausgaben 2026'!G$6)</f>
        <v>0</v>
      </c>
      <c r="H122" s="21">
        <f>SUMIFS(Einzelbeträge!$D:$D,Einzelbeträge!$C:$C,'Ausgaben 2026'!$C122,Einzelbeträge!$E:$E,'Ausgaben 2026'!H$6)</f>
        <v>0</v>
      </c>
      <c r="I122" s="21">
        <f>SUMIFS(Einzelbeträge!$D:$D,Einzelbeträge!$C:$C,'Ausgaben 2026'!$C122,Einzelbeträge!$E:$E,'Ausgaben 2026'!I$6)</f>
        <v>0</v>
      </c>
      <c r="J122" s="21">
        <f>SUMIFS(Einzelbeträge!$D:$D,Einzelbeträge!$C:$C,'Ausgaben 2026'!$C122,Einzelbeträge!$E:$E,'Ausgaben 2026'!J$6)</f>
        <v>0</v>
      </c>
      <c r="K122" s="21">
        <f>SUMIFS(Einzelbeträge!$D:$D,Einzelbeträge!$C:$C,'Ausgaben 2026'!$C122,Einzelbeträge!$E:$E,'Ausgaben 2026'!K$6)</f>
        <v>0</v>
      </c>
      <c r="L122" s="21">
        <f>SUMIFS(Einzelbeträge!$D:$D,Einzelbeträge!$C:$C,'Ausgaben 2026'!$C122,Einzelbeträge!$E:$E,'Ausgaben 2026'!L$6)</f>
        <v>0</v>
      </c>
      <c r="M122" s="21">
        <f>SUMIFS(Einzelbeträge!$D:$D,Einzelbeträge!$C:$C,'Ausgaben 2026'!$C122,Einzelbeträge!$E:$E,'Ausgaben 2026'!M$6)</f>
        <v>0</v>
      </c>
      <c r="N122" s="35">
        <f>SUMIFS(Einzelbeträge!$D:$D,Einzelbeträge!$C:$C,'Ausgaben 2026'!$C122,Einzelbeträge!$E:$E,'Ausgaben 2026'!N$6)</f>
        <v>0</v>
      </c>
      <c r="O122" s="6"/>
    </row>
    <row r="123" spans="2:15" x14ac:dyDescent="0.35">
      <c r="B123" s="5"/>
      <c r="C123" s="30">
        <f t="shared" si="19"/>
        <v>46129</v>
      </c>
      <c r="D123" s="46">
        <f>SUMIFS(Einzelbeträge!$D:$D,Einzelbeträge!$C:$C,'Ausgaben 2026'!$C123)</f>
        <v>0</v>
      </c>
      <c r="E123" s="21">
        <f>SUMIFS(Einzelbeträge!$D:$D,Einzelbeträge!$C:$C,'Ausgaben 2026'!$C123,Einzelbeträge!$E:$E,'Ausgaben 2026'!E$6)</f>
        <v>0</v>
      </c>
      <c r="F123" s="21">
        <f>SUMIFS(Einzelbeträge!$D:$D,Einzelbeträge!$C:$C,'Ausgaben 2026'!$C123,Einzelbeträge!$E:$E,'Ausgaben 2026'!F$6)</f>
        <v>0</v>
      </c>
      <c r="G123" s="21">
        <f>SUMIFS(Einzelbeträge!$D:$D,Einzelbeträge!$C:$C,'Ausgaben 2026'!$C123,Einzelbeträge!$E:$E,'Ausgaben 2026'!G$6)</f>
        <v>0</v>
      </c>
      <c r="H123" s="21">
        <f>SUMIFS(Einzelbeträge!$D:$D,Einzelbeträge!$C:$C,'Ausgaben 2026'!$C123,Einzelbeträge!$E:$E,'Ausgaben 2026'!H$6)</f>
        <v>0</v>
      </c>
      <c r="I123" s="21">
        <f>SUMIFS(Einzelbeträge!$D:$D,Einzelbeträge!$C:$C,'Ausgaben 2026'!$C123,Einzelbeträge!$E:$E,'Ausgaben 2026'!I$6)</f>
        <v>0</v>
      </c>
      <c r="J123" s="21">
        <f>SUMIFS(Einzelbeträge!$D:$D,Einzelbeträge!$C:$C,'Ausgaben 2026'!$C123,Einzelbeträge!$E:$E,'Ausgaben 2026'!J$6)</f>
        <v>0</v>
      </c>
      <c r="K123" s="21">
        <f>SUMIFS(Einzelbeträge!$D:$D,Einzelbeträge!$C:$C,'Ausgaben 2026'!$C123,Einzelbeträge!$E:$E,'Ausgaben 2026'!K$6)</f>
        <v>0</v>
      </c>
      <c r="L123" s="21">
        <f>SUMIFS(Einzelbeträge!$D:$D,Einzelbeträge!$C:$C,'Ausgaben 2026'!$C123,Einzelbeträge!$E:$E,'Ausgaben 2026'!L$6)</f>
        <v>0</v>
      </c>
      <c r="M123" s="21">
        <f>SUMIFS(Einzelbeträge!$D:$D,Einzelbeträge!$C:$C,'Ausgaben 2026'!$C123,Einzelbeträge!$E:$E,'Ausgaben 2026'!M$6)</f>
        <v>0</v>
      </c>
      <c r="N123" s="35">
        <f>SUMIFS(Einzelbeträge!$D:$D,Einzelbeträge!$C:$C,'Ausgaben 2026'!$C123,Einzelbeträge!$E:$E,'Ausgaben 2026'!N$6)</f>
        <v>0</v>
      </c>
      <c r="O123" s="6"/>
    </row>
    <row r="124" spans="2:15" x14ac:dyDescent="0.35">
      <c r="B124" s="5"/>
      <c r="C124" s="30">
        <f t="shared" si="19"/>
        <v>46130</v>
      </c>
      <c r="D124" s="46">
        <f>SUMIFS(Einzelbeträge!$D:$D,Einzelbeträge!$C:$C,'Ausgaben 2026'!$C124)</f>
        <v>0</v>
      </c>
      <c r="E124" s="21">
        <f>SUMIFS(Einzelbeträge!$D:$D,Einzelbeträge!$C:$C,'Ausgaben 2026'!$C124,Einzelbeträge!$E:$E,'Ausgaben 2026'!E$6)</f>
        <v>0</v>
      </c>
      <c r="F124" s="21">
        <f>SUMIFS(Einzelbeträge!$D:$D,Einzelbeträge!$C:$C,'Ausgaben 2026'!$C124,Einzelbeträge!$E:$E,'Ausgaben 2026'!F$6)</f>
        <v>0</v>
      </c>
      <c r="G124" s="21">
        <f>SUMIFS(Einzelbeträge!$D:$D,Einzelbeträge!$C:$C,'Ausgaben 2026'!$C124,Einzelbeträge!$E:$E,'Ausgaben 2026'!G$6)</f>
        <v>0</v>
      </c>
      <c r="H124" s="21">
        <f>SUMIFS(Einzelbeträge!$D:$D,Einzelbeträge!$C:$C,'Ausgaben 2026'!$C124,Einzelbeträge!$E:$E,'Ausgaben 2026'!H$6)</f>
        <v>0</v>
      </c>
      <c r="I124" s="21">
        <f>SUMIFS(Einzelbeträge!$D:$D,Einzelbeträge!$C:$C,'Ausgaben 2026'!$C124,Einzelbeträge!$E:$E,'Ausgaben 2026'!I$6)</f>
        <v>0</v>
      </c>
      <c r="J124" s="21">
        <f>SUMIFS(Einzelbeträge!$D:$D,Einzelbeträge!$C:$C,'Ausgaben 2026'!$C124,Einzelbeträge!$E:$E,'Ausgaben 2026'!J$6)</f>
        <v>0</v>
      </c>
      <c r="K124" s="21">
        <f>SUMIFS(Einzelbeträge!$D:$D,Einzelbeträge!$C:$C,'Ausgaben 2026'!$C124,Einzelbeträge!$E:$E,'Ausgaben 2026'!K$6)</f>
        <v>0</v>
      </c>
      <c r="L124" s="21">
        <f>SUMIFS(Einzelbeträge!$D:$D,Einzelbeträge!$C:$C,'Ausgaben 2026'!$C124,Einzelbeträge!$E:$E,'Ausgaben 2026'!L$6)</f>
        <v>0</v>
      </c>
      <c r="M124" s="21">
        <f>SUMIFS(Einzelbeträge!$D:$D,Einzelbeträge!$C:$C,'Ausgaben 2026'!$C124,Einzelbeträge!$E:$E,'Ausgaben 2026'!M$6)</f>
        <v>0</v>
      </c>
      <c r="N124" s="35">
        <f>SUMIFS(Einzelbeträge!$D:$D,Einzelbeträge!$C:$C,'Ausgaben 2026'!$C124,Einzelbeträge!$E:$E,'Ausgaben 2026'!N$6)</f>
        <v>0</v>
      </c>
      <c r="O124" s="6"/>
    </row>
    <row r="125" spans="2:15" x14ac:dyDescent="0.35">
      <c r="B125" s="5"/>
      <c r="C125" s="30">
        <f t="shared" si="19"/>
        <v>46131</v>
      </c>
      <c r="D125" s="46">
        <f>SUMIFS(Einzelbeträge!$D:$D,Einzelbeträge!$C:$C,'Ausgaben 2026'!$C125)</f>
        <v>0</v>
      </c>
      <c r="E125" s="21">
        <f>SUMIFS(Einzelbeträge!$D:$D,Einzelbeträge!$C:$C,'Ausgaben 2026'!$C125,Einzelbeträge!$E:$E,'Ausgaben 2026'!E$6)</f>
        <v>0</v>
      </c>
      <c r="F125" s="21">
        <f>SUMIFS(Einzelbeträge!$D:$D,Einzelbeträge!$C:$C,'Ausgaben 2026'!$C125,Einzelbeträge!$E:$E,'Ausgaben 2026'!F$6)</f>
        <v>0</v>
      </c>
      <c r="G125" s="21">
        <f>SUMIFS(Einzelbeträge!$D:$D,Einzelbeträge!$C:$C,'Ausgaben 2026'!$C125,Einzelbeträge!$E:$E,'Ausgaben 2026'!G$6)</f>
        <v>0</v>
      </c>
      <c r="H125" s="21">
        <f>SUMIFS(Einzelbeträge!$D:$D,Einzelbeträge!$C:$C,'Ausgaben 2026'!$C125,Einzelbeträge!$E:$E,'Ausgaben 2026'!H$6)</f>
        <v>0</v>
      </c>
      <c r="I125" s="21">
        <f>SUMIFS(Einzelbeträge!$D:$D,Einzelbeträge!$C:$C,'Ausgaben 2026'!$C125,Einzelbeträge!$E:$E,'Ausgaben 2026'!I$6)</f>
        <v>0</v>
      </c>
      <c r="J125" s="21">
        <f>SUMIFS(Einzelbeträge!$D:$D,Einzelbeträge!$C:$C,'Ausgaben 2026'!$C125,Einzelbeträge!$E:$E,'Ausgaben 2026'!J$6)</f>
        <v>0</v>
      </c>
      <c r="K125" s="21">
        <f>SUMIFS(Einzelbeträge!$D:$D,Einzelbeträge!$C:$C,'Ausgaben 2026'!$C125,Einzelbeträge!$E:$E,'Ausgaben 2026'!K$6)</f>
        <v>0</v>
      </c>
      <c r="L125" s="21">
        <f>SUMIFS(Einzelbeträge!$D:$D,Einzelbeträge!$C:$C,'Ausgaben 2026'!$C125,Einzelbeträge!$E:$E,'Ausgaben 2026'!L$6)</f>
        <v>0</v>
      </c>
      <c r="M125" s="21">
        <f>SUMIFS(Einzelbeträge!$D:$D,Einzelbeträge!$C:$C,'Ausgaben 2026'!$C125,Einzelbeträge!$E:$E,'Ausgaben 2026'!M$6)</f>
        <v>0</v>
      </c>
      <c r="N125" s="35">
        <f>SUMIFS(Einzelbeträge!$D:$D,Einzelbeträge!$C:$C,'Ausgaben 2026'!$C125,Einzelbeträge!$E:$E,'Ausgaben 2026'!N$6)</f>
        <v>0</v>
      </c>
      <c r="O125" s="6"/>
    </row>
    <row r="126" spans="2:15" x14ac:dyDescent="0.35">
      <c r="B126" s="5"/>
      <c r="C126" s="30">
        <f t="shared" si="19"/>
        <v>46132</v>
      </c>
      <c r="D126" s="46">
        <f>SUMIFS(Einzelbeträge!$D:$D,Einzelbeträge!$C:$C,'Ausgaben 2026'!$C126)</f>
        <v>0</v>
      </c>
      <c r="E126" s="21">
        <f>SUMIFS(Einzelbeträge!$D:$D,Einzelbeträge!$C:$C,'Ausgaben 2026'!$C126,Einzelbeträge!$E:$E,'Ausgaben 2026'!E$6)</f>
        <v>0</v>
      </c>
      <c r="F126" s="21">
        <f>SUMIFS(Einzelbeträge!$D:$D,Einzelbeträge!$C:$C,'Ausgaben 2026'!$C126,Einzelbeträge!$E:$E,'Ausgaben 2026'!F$6)</f>
        <v>0</v>
      </c>
      <c r="G126" s="21">
        <f>SUMIFS(Einzelbeträge!$D:$D,Einzelbeträge!$C:$C,'Ausgaben 2026'!$C126,Einzelbeträge!$E:$E,'Ausgaben 2026'!G$6)</f>
        <v>0</v>
      </c>
      <c r="H126" s="21">
        <f>SUMIFS(Einzelbeträge!$D:$D,Einzelbeträge!$C:$C,'Ausgaben 2026'!$C126,Einzelbeträge!$E:$E,'Ausgaben 2026'!H$6)</f>
        <v>0</v>
      </c>
      <c r="I126" s="21">
        <f>SUMIFS(Einzelbeträge!$D:$D,Einzelbeträge!$C:$C,'Ausgaben 2026'!$C126,Einzelbeträge!$E:$E,'Ausgaben 2026'!I$6)</f>
        <v>0</v>
      </c>
      <c r="J126" s="21">
        <f>SUMIFS(Einzelbeträge!$D:$D,Einzelbeträge!$C:$C,'Ausgaben 2026'!$C126,Einzelbeträge!$E:$E,'Ausgaben 2026'!J$6)</f>
        <v>0</v>
      </c>
      <c r="K126" s="21">
        <f>SUMIFS(Einzelbeträge!$D:$D,Einzelbeträge!$C:$C,'Ausgaben 2026'!$C126,Einzelbeträge!$E:$E,'Ausgaben 2026'!K$6)</f>
        <v>0</v>
      </c>
      <c r="L126" s="21">
        <f>SUMIFS(Einzelbeträge!$D:$D,Einzelbeträge!$C:$C,'Ausgaben 2026'!$C126,Einzelbeträge!$E:$E,'Ausgaben 2026'!L$6)</f>
        <v>0</v>
      </c>
      <c r="M126" s="21">
        <f>SUMIFS(Einzelbeträge!$D:$D,Einzelbeträge!$C:$C,'Ausgaben 2026'!$C126,Einzelbeträge!$E:$E,'Ausgaben 2026'!M$6)</f>
        <v>0</v>
      </c>
      <c r="N126" s="35">
        <f>SUMIFS(Einzelbeträge!$D:$D,Einzelbeträge!$C:$C,'Ausgaben 2026'!$C126,Einzelbeträge!$E:$E,'Ausgaben 2026'!N$6)</f>
        <v>0</v>
      </c>
      <c r="O126" s="6"/>
    </row>
    <row r="127" spans="2:15" x14ac:dyDescent="0.35">
      <c r="B127" s="5"/>
      <c r="C127" s="30">
        <f t="shared" si="19"/>
        <v>46133</v>
      </c>
      <c r="D127" s="46">
        <f>SUMIFS(Einzelbeträge!$D:$D,Einzelbeträge!$C:$C,'Ausgaben 2026'!$C127)</f>
        <v>0</v>
      </c>
      <c r="E127" s="21">
        <f>SUMIFS(Einzelbeträge!$D:$D,Einzelbeträge!$C:$C,'Ausgaben 2026'!$C127,Einzelbeträge!$E:$E,'Ausgaben 2026'!E$6)</f>
        <v>0</v>
      </c>
      <c r="F127" s="21">
        <f>SUMIFS(Einzelbeträge!$D:$D,Einzelbeträge!$C:$C,'Ausgaben 2026'!$C127,Einzelbeträge!$E:$E,'Ausgaben 2026'!F$6)</f>
        <v>0</v>
      </c>
      <c r="G127" s="21">
        <f>SUMIFS(Einzelbeträge!$D:$D,Einzelbeträge!$C:$C,'Ausgaben 2026'!$C127,Einzelbeträge!$E:$E,'Ausgaben 2026'!G$6)</f>
        <v>0</v>
      </c>
      <c r="H127" s="21">
        <f>SUMIFS(Einzelbeträge!$D:$D,Einzelbeträge!$C:$C,'Ausgaben 2026'!$C127,Einzelbeträge!$E:$E,'Ausgaben 2026'!H$6)</f>
        <v>0</v>
      </c>
      <c r="I127" s="21">
        <f>SUMIFS(Einzelbeträge!$D:$D,Einzelbeträge!$C:$C,'Ausgaben 2026'!$C127,Einzelbeträge!$E:$E,'Ausgaben 2026'!I$6)</f>
        <v>0</v>
      </c>
      <c r="J127" s="21">
        <f>SUMIFS(Einzelbeträge!$D:$D,Einzelbeträge!$C:$C,'Ausgaben 2026'!$C127,Einzelbeträge!$E:$E,'Ausgaben 2026'!J$6)</f>
        <v>0</v>
      </c>
      <c r="K127" s="21">
        <f>SUMIFS(Einzelbeträge!$D:$D,Einzelbeträge!$C:$C,'Ausgaben 2026'!$C127,Einzelbeträge!$E:$E,'Ausgaben 2026'!K$6)</f>
        <v>0</v>
      </c>
      <c r="L127" s="21">
        <f>SUMIFS(Einzelbeträge!$D:$D,Einzelbeträge!$C:$C,'Ausgaben 2026'!$C127,Einzelbeträge!$E:$E,'Ausgaben 2026'!L$6)</f>
        <v>0</v>
      </c>
      <c r="M127" s="21">
        <f>SUMIFS(Einzelbeträge!$D:$D,Einzelbeträge!$C:$C,'Ausgaben 2026'!$C127,Einzelbeträge!$E:$E,'Ausgaben 2026'!M$6)</f>
        <v>0</v>
      </c>
      <c r="N127" s="35">
        <f>SUMIFS(Einzelbeträge!$D:$D,Einzelbeträge!$C:$C,'Ausgaben 2026'!$C127,Einzelbeträge!$E:$E,'Ausgaben 2026'!N$6)</f>
        <v>0</v>
      </c>
      <c r="O127" s="6"/>
    </row>
    <row r="128" spans="2:15" x14ac:dyDescent="0.35">
      <c r="B128" s="5"/>
      <c r="C128" s="30">
        <f t="shared" si="19"/>
        <v>46134</v>
      </c>
      <c r="D128" s="46">
        <f>SUMIFS(Einzelbeträge!$D:$D,Einzelbeträge!$C:$C,'Ausgaben 2026'!$C128)</f>
        <v>0</v>
      </c>
      <c r="E128" s="21">
        <f>SUMIFS(Einzelbeträge!$D:$D,Einzelbeträge!$C:$C,'Ausgaben 2026'!$C128,Einzelbeträge!$E:$E,'Ausgaben 2026'!E$6)</f>
        <v>0</v>
      </c>
      <c r="F128" s="21">
        <f>SUMIFS(Einzelbeträge!$D:$D,Einzelbeträge!$C:$C,'Ausgaben 2026'!$C128,Einzelbeträge!$E:$E,'Ausgaben 2026'!F$6)</f>
        <v>0</v>
      </c>
      <c r="G128" s="21">
        <f>SUMIFS(Einzelbeträge!$D:$D,Einzelbeträge!$C:$C,'Ausgaben 2026'!$C128,Einzelbeträge!$E:$E,'Ausgaben 2026'!G$6)</f>
        <v>0</v>
      </c>
      <c r="H128" s="21">
        <f>SUMIFS(Einzelbeträge!$D:$D,Einzelbeträge!$C:$C,'Ausgaben 2026'!$C128,Einzelbeträge!$E:$E,'Ausgaben 2026'!H$6)</f>
        <v>0</v>
      </c>
      <c r="I128" s="21">
        <f>SUMIFS(Einzelbeträge!$D:$D,Einzelbeträge!$C:$C,'Ausgaben 2026'!$C128,Einzelbeträge!$E:$E,'Ausgaben 2026'!I$6)</f>
        <v>0</v>
      </c>
      <c r="J128" s="21">
        <f>SUMIFS(Einzelbeträge!$D:$D,Einzelbeträge!$C:$C,'Ausgaben 2026'!$C128,Einzelbeträge!$E:$E,'Ausgaben 2026'!J$6)</f>
        <v>0</v>
      </c>
      <c r="K128" s="21">
        <f>SUMIFS(Einzelbeträge!$D:$D,Einzelbeträge!$C:$C,'Ausgaben 2026'!$C128,Einzelbeträge!$E:$E,'Ausgaben 2026'!K$6)</f>
        <v>0</v>
      </c>
      <c r="L128" s="21">
        <f>SUMIFS(Einzelbeträge!$D:$D,Einzelbeträge!$C:$C,'Ausgaben 2026'!$C128,Einzelbeträge!$E:$E,'Ausgaben 2026'!L$6)</f>
        <v>0</v>
      </c>
      <c r="M128" s="21">
        <f>SUMIFS(Einzelbeträge!$D:$D,Einzelbeträge!$C:$C,'Ausgaben 2026'!$C128,Einzelbeträge!$E:$E,'Ausgaben 2026'!M$6)</f>
        <v>0</v>
      </c>
      <c r="N128" s="35">
        <f>SUMIFS(Einzelbeträge!$D:$D,Einzelbeträge!$C:$C,'Ausgaben 2026'!$C128,Einzelbeträge!$E:$E,'Ausgaben 2026'!N$6)</f>
        <v>0</v>
      </c>
      <c r="O128" s="6"/>
    </row>
    <row r="129" spans="2:15" x14ac:dyDescent="0.35">
      <c r="B129" s="5"/>
      <c r="C129" s="30">
        <f t="shared" si="19"/>
        <v>46135</v>
      </c>
      <c r="D129" s="46">
        <f>SUMIFS(Einzelbeträge!$D:$D,Einzelbeträge!$C:$C,'Ausgaben 2026'!$C129)</f>
        <v>0</v>
      </c>
      <c r="E129" s="21">
        <f>SUMIFS(Einzelbeträge!$D:$D,Einzelbeträge!$C:$C,'Ausgaben 2026'!$C129,Einzelbeträge!$E:$E,'Ausgaben 2026'!E$6)</f>
        <v>0</v>
      </c>
      <c r="F129" s="21">
        <f>SUMIFS(Einzelbeträge!$D:$D,Einzelbeträge!$C:$C,'Ausgaben 2026'!$C129,Einzelbeträge!$E:$E,'Ausgaben 2026'!F$6)</f>
        <v>0</v>
      </c>
      <c r="G129" s="21">
        <f>SUMIFS(Einzelbeträge!$D:$D,Einzelbeträge!$C:$C,'Ausgaben 2026'!$C129,Einzelbeträge!$E:$E,'Ausgaben 2026'!G$6)</f>
        <v>0</v>
      </c>
      <c r="H129" s="21">
        <f>SUMIFS(Einzelbeträge!$D:$D,Einzelbeträge!$C:$C,'Ausgaben 2026'!$C129,Einzelbeträge!$E:$E,'Ausgaben 2026'!H$6)</f>
        <v>0</v>
      </c>
      <c r="I129" s="21">
        <f>SUMIFS(Einzelbeträge!$D:$D,Einzelbeträge!$C:$C,'Ausgaben 2026'!$C129,Einzelbeträge!$E:$E,'Ausgaben 2026'!I$6)</f>
        <v>0</v>
      </c>
      <c r="J129" s="21">
        <f>SUMIFS(Einzelbeträge!$D:$D,Einzelbeträge!$C:$C,'Ausgaben 2026'!$C129,Einzelbeträge!$E:$E,'Ausgaben 2026'!J$6)</f>
        <v>0</v>
      </c>
      <c r="K129" s="21">
        <f>SUMIFS(Einzelbeträge!$D:$D,Einzelbeträge!$C:$C,'Ausgaben 2026'!$C129,Einzelbeträge!$E:$E,'Ausgaben 2026'!K$6)</f>
        <v>0</v>
      </c>
      <c r="L129" s="21">
        <f>SUMIFS(Einzelbeträge!$D:$D,Einzelbeträge!$C:$C,'Ausgaben 2026'!$C129,Einzelbeträge!$E:$E,'Ausgaben 2026'!L$6)</f>
        <v>0</v>
      </c>
      <c r="M129" s="21">
        <f>SUMIFS(Einzelbeträge!$D:$D,Einzelbeträge!$C:$C,'Ausgaben 2026'!$C129,Einzelbeträge!$E:$E,'Ausgaben 2026'!M$6)</f>
        <v>0</v>
      </c>
      <c r="N129" s="35">
        <f>SUMIFS(Einzelbeträge!$D:$D,Einzelbeträge!$C:$C,'Ausgaben 2026'!$C129,Einzelbeträge!$E:$E,'Ausgaben 2026'!N$6)</f>
        <v>0</v>
      </c>
      <c r="O129" s="6"/>
    </row>
    <row r="130" spans="2:15" x14ac:dyDescent="0.35">
      <c r="B130" s="5"/>
      <c r="C130" s="30">
        <f t="shared" si="19"/>
        <v>46136</v>
      </c>
      <c r="D130" s="46">
        <f>SUMIFS(Einzelbeträge!$D:$D,Einzelbeträge!$C:$C,'Ausgaben 2026'!$C130)</f>
        <v>0</v>
      </c>
      <c r="E130" s="21">
        <f>SUMIFS(Einzelbeträge!$D:$D,Einzelbeträge!$C:$C,'Ausgaben 2026'!$C130,Einzelbeträge!$E:$E,'Ausgaben 2026'!E$6)</f>
        <v>0</v>
      </c>
      <c r="F130" s="21">
        <f>SUMIFS(Einzelbeträge!$D:$D,Einzelbeträge!$C:$C,'Ausgaben 2026'!$C130,Einzelbeträge!$E:$E,'Ausgaben 2026'!F$6)</f>
        <v>0</v>
      </c>
      <c r="G130" s="21">
        <f>SUMIFS(Einzelbeträge!$D:$D,Einzelbeträge!$C:$C,'Ausgaben 2026'!$C130,Einzelbeträge!$E:$E,'Ausgaben 2026'!G$6)</f>
        <v>0</v>
      </c>
      <c r="H130" s="21">
        <f>SUMIFS(Einzelbeträge!$D:$D,Einzelbeträge!$C:$C,'Ausgaben 2026'!$C130,Einzelbeträge!$E:$E,'Ausgaben 2026'!H$6)</f>
        <v>0</v>
      </c>
      <c r="I130" s="21">
        <f>SUMIFS(Einzelbeträge!$D:$D,Einzelbeträge!$C:$C,'Ausgaben 2026'!$C130,Einzelbeträge!$E:$E,'Ausgaben 2026'!I$6)</f>
        <v>0</v>
      </c>
      <c r="J130" s="21">
        <f>SUMIFS(Einzelbeträge!$D:$D,Einzelbeträge!$C:$C,'Ausgaben 2026'!$C130,Einzelbeträge!$E:$E,'Ausgaben 2026'!J$6)</f>
        <v>0</v>
      </c>
      <c r="K130" s="21">
        <f>SUMIFS(Einzelbeträge!$D:$D,Einzelbeträge!$C:$C,'Ausgaben 2026'!$C130,Einzelbeträge!$E:$E,'Ausgaben 2026'!K$6)</f>
        <v>0</v>
      </c>
      <c r="L130" s="21">
        <f>SUMIFS(Einzelbeträge!$D:$D,Einzelbeträge!$C:$C,'Ausgaben 2026'!$C130,Einzelbeträge!$E:$E,'Ausgaben 2026'!L$6)</f>
        <v>0</v>
      </c>
      <c r="M130" s="21">
        <f>SUMIFS(Einzelbeträge!$D:$D,Einzelbeträge!$C:$C,'Ausgaben 2026'!$C130,Einzelbeträge!$E:$E,'Ausgaben 2026'!M$6)</f>
        <v>0</v>
      </c>
      <c r="N130" s="35">
        <f>SUMIFS(Einzelbeträge!$D:$D,Einzelbeträge!$C:$C,'Ausgaben 2026'!$C130,Einzelbeträge!$E:$E,'Ausgaben 2026'!N$6)</f>
        <v>0</v>
      </c>
      <c r="O130" s="6"/>
    </row>
    <row r="131" spans="2:15" x14ac:dyDescent="0.35">
      <c r="B131" s="5"/>
      <c r="C131" s="30">
        <f t="shared" si="19"/>
        <v>46137</v>
      </c>
      <c r="D131" s="46">
        <f>SUMIFS(Einzelbeträge!$D:$D,Einzelbeträge!$C:$C,'Ausgaben 2026'!$C131)</f>
        <v>0</v>
      </c>
      <c r="E131" s="21">
        <f>SUMIFS(Einzelbeträge!$D:$D,Einzelbeträge!$C:$C,'Ausgaben 2026'!$C131,Einzelbeträge!$E:$E,'Ausgaben 2026'!E$6)</f>
        <v>0</v>
      </c>
      <c r="F131" s="21">
        <f>SUMIFS(Einzelbeträge!$D:$D,Einzelbeträge!$C:$C,'Ausgaben 2026'!$C131,Einzelbeträge!$E:$E,'Ausgaben 2026'!F$6)</f>
        <v>0</v>
      </c>
      <c r="G131" s="21">
        <f>SUMIFS(Einzelbeträge!$D:$D,Einzelbeträge!$C:$C,'Ausgaben 2026'!$C131,Einzelbeträge!$E:$E,'Ausgaben 2026'!G$6)</f>
        <v>0</v>
      </c>
      <c r="H131" s="21">
        <f>SUMIFS(Einzelbeträge!$D:$D,Einzelbeträge!$C:$C,'Ausgaben 2026'!$C131,Einzelbeträge!$E:$E,'Ausgaben 2026'!H$6)</f>
        <v>0</v>
      </c>
      <c r="I131" s="21">
        <f>SUMIFS(Einzelbeträge!$D:$D,Einzelbeträge!$C:$C,'Ausgaben 2026'!$C131,Einzelbeträge!$E:$E,'Ausgaben 2026'!I$6)</f>
        <v>0</v>
      </c>
      <c r="J131" s="21">
        <f>SUMIFS(Einzelbeträge!$D:$D,Einzelbeträge!$C:$C,'Ausgaben 2026'!$C131,Einzelbeträge!$E:$E,'Ausgaben 2026'!J$6)</f>
        <v>0</v>
      </c>
      <c r="K131" s="21">
        <f>SUMIFS(Einzelbeträge!$D:$D,Einzelbeträge!$C:$C,'Ausgaben 2026'!$C131,Einzelbeträge!$E:$E,'Ausgaben 2026'!K$6)</f>
        <v>0</v>
      </c>
      <c r="L131" s="21">
        <f>SUMIFS(Einzelbeträge!$D:$D,Einzelbeträge!$C:$C,'Ausgaben 2026'!$C131,Einzelbeträge!$E:$E,'Ausgaben 2026'!L$6)</f>
        <v>0</v>
      </c>
      <c r="M131" s="21">
        <f>SUMIFS(Einzelbeträge!$D:$D,Einzelbeträge!$C:$C,'Ausgaben 2026'!$C131,Einzelbeträge!$E:$E,'Ausgaben 2026'!M$6)</f>
        <v>0</v>
      </c>
      <c r="N131" s="35">
        <f>SUMIFS(Einzelbeträge!$D:$D,Einzelbeträge!$C:$C,'Ausgaben 2026'!$C131,Einzelbeträge!$E:$E,'Ausgaben 2026'!N$6)</f>
        <v>0</v>
      </c>
      <c r="O131" s="6"/>
    </row>
    <row r="132" spans="2:15" x14ac:dyDescent="0.35">
      <c r="B132" s="5"/>
      <c r="C132" s="30">
        <f t="shared" si="19"/>
        <v>46138</v>
      </c>
      <c r="D132" s="46">
        <f>SUMIFS(Einzelbeträge!$D:$D,Einzelbeträge!$C:$C,'Ausgaben 2026'!$C132)</f>
        <v>0</v>
      </c>
      <c r="E132" s="21">
        <f>SUMIFS(Einzelbeträge!$D:$D,Einzelbeträge!$C:$C,'Ausgaben 2026'!$C132,Einzelbeträge!$E:$E,'Ausgaben 2026'!E$6)</f>
        <v>0</v>
      </c>
      <c r="F132" s="21">
        <f>SUMIFS(Einzelbeträge!$D:$D,Einzelbeträge!$C:$C,'Ausgaben 2026'!$C132,Einzelbeträge!$E:$E,'Ausgaben 2026'!F$6)</f>
        <v>0</v>
      </c>
      <c r="G132" s="21">
        <f>SUMIFS(Einzelbeträge!$D:$D,Einzelbeträge!$C:$C,'Ausgaben 2026'!$C132,Einzelbeträge!$E:$E,'Ausgaben 2026'!G$6)</f>
        <v>0</v>
      </c>
      <c r="H132" s="21">
        <f>SUMIFS(Einzelbeträge!$D:$D,Einzelbeträge!$C:$C,'Ausgaben 2026'!$C132,Einzelbeträge!$E:$E,'Ausgaben 2026'!H$6)</f>
        <v>0</v>
      </c>
      <c r="I132" s="21">
        <f>SUMIFS(Einzelbeträge!$D:$D,Einzelbeträge!$C:$C,'Ausgaben 2026'!$C132,Einzelbeträge!$E:$E,'Ausgaben 2026'!I$6)</f>
        <v>0</v>
      </c>
      <c r="J132" s="21">
        <f>SUMIFS(Einzelbeträge!$D:$D,Einzelbeträge!$C:$C,'Ausgaben 2026'!$C132,Einzelbeträge!$E:$E,'Ausgaben 2026'!J$6)</f>
        <v>0</v>
      </c>
      <c r="K132" s="21">
        <f>SUMIFS(Einzelbeträge!$D:$D,Einzelbeträge!$C:$C,'Ausgaben 2026'!$C132,Einzelbeträge!$E:$E,'Ausgaben 2026'!K$6)</f>
        <v>0</v>
      </c>
      <c r="L132" s="21">
        <f>SUMIFS(Einzelbeträge!$D:$D,Einzelbeträge!$C:$C,'Ausgaben 2026'!$C132,Einzelbeträge!$E:$E,'Ausgaben 2026'!L$6)</f>
        <v>0</v>
      </c>
      <c r="M132" s="21">
        <f>SUMIFS(Einzelbeträge!$D:$D,Einzelbeträge!$C:$C,'Ausgaben 2026'!$C132,Einzelbeträge!$E:$E,'Ausgaben 2026'!M$6)</f>
        <v>0</v>
      </c>
      <c r="N132" s="35">
        <f>SUMIFS(Einzelbeträge!$D:$D,Einzelbeträge!$C:$C,'Ausgaben 2026'!$C132,Einzelbeträge!$E:$E,'Ausgaben 2026'!N$6)</f>
        <v>0</v>
      </c>
      <c r="O132" s="6"/>
    </row>
    <row r="133" spans="2:15" x14ac:dyDescent="0.35">
      <c r="B133" s="5"/>
      <c r="C133" s="30">
        <f t="shared" si="19"/>
        <v>46139</v>
      </c>
      <c r="D133" s="46">
        <f>SUMIFS(Einzelbeträge!$D:$D,Einzelbeträge!$C:$C,'Ausgaben 2026'!$C133)</f>
        <v>0</v>
      </c>
      <c r="E133" s="21">
        <f>SUMIFS(Einzelbeträge!$D:$D,Einzelbeträge!$C:$C,'Ausgaben 2026'!$C133,Einzelbeträge!$E:$E,'Ausgaben 2026'!E$6)</f>
        <v>0</v>
      </c>
      <c r="F133" s="21">
        <f>SUMIFS(Einzelbeträge!$D:$D,Einzelbeträge!$C:$C,'Ausgaben 2026'!$C133,Einzelbeträge!$E:$E,'Ausgaben 2026'!F$6)</f>
        <v>0</v>
      </c>
      <c r="G133" s="21">
        <f>SUMIFS(Einzelbeträge!$D:$D,Einzelbeträge!$C:$C,'Ausgaben 2026'!$C133,Einzelbeträge!$E:$E,'Ausgaben 2026'!G$6)</f>
        <v>0</v>
      </c>
      <c r="H133" s="21">
        <f>SUMIFS(Einzelbeträge!$D:$D,Einzelbeträge!$C:$C,'Ausgaben 2026'!$C133,Einzelbeträge!$E:$E,'Ausgaben 2026'!H$6)</f>
        <v>0</v>
      </c>
      <c r="I133" s="21">
        <f>SUMIFS(Einzelbeträge!$D:$D,Einzelbeträge!$C:$C,'Ausgaben 2026'!$C133,Einzelbeträge!$E:$E,'Ausgaben 2026'!I$6)</f>
        <v>0</v>
      </c>
      <c r="J133" s="21">
        <f>SUMIFS(Einzelbeträge!$D:$D,Einzelbeträge!$C:$C,'Ausgaben 2026'!$C133,Einzelbeträge!$E:$E,'Ausgaben 2026'!J$6)</f>
        <v>0</v>
      </c>
      <c r="K133" s="21">
        <f>SUMIFS(Einzelbeträge!$D:$D,Einzelbeträge!$C:$C,'Ausgaben 2026'!$C133,Einzelbeträge!$E:$E,'Ausgaben 2026'!K$6)</f>
        <v>0</v>
      </c>
      <c r="L133" s="21">
        <f>SUMIFS(Einzelbeträge!$D:$D,Einzelbeträge!$C:$C,'Ausgaben 2026'!$C133,Einzelbeträge!$E:$E,'Ausgaben 2026'!L$6)</f>
        <v>0</v>
      </c>
      <c r="M133" s="21">
        <f>SUMIFS(Einzelbeträge!$D:$D,Einzelbeträge!$C:$C,'Ausgaben 2026'!$C133,Einzelbeträge!$E:$E,'Ausgaben 2026'!M$6)</f>
        <v>0</v>
      </c>
      <c r="N133" s="35">
        <f>SUMIFS(Einzelbeträge!$D:$D,Einzelbeträge!$C:$C,'Ausgaben 2026'!$C133,Einzelbeträge!$E:$E,'Ausgaben 2026'!N$6)</f>
        <v>0</v>
      </c>
      <c r="O133" s="6"/>
    </row>
    <row r="134" spans="2:15" x14ac:dyDescent="0.35">
      <c r="B134" s="5"/>
      <c r="C134" s="30">
        <f t="shared" si="19"/>
        <v>46140</v>
      </c>
      <c r="D134" s="46">
        <f>SUMIFS(Einzelbeträge!$D:$D,Einzelbeträge!$C:$C,'Ausgaben 2026'!$C134)</f>
        <v>0</v>
      </c>
      <c r="E134" s="21">
        <f>SUMIFS(Einzelbeträge!$D:$D,Einzelbeträge!$C:$C,'Ausgaben 2026'!$C134,Einzelbeträge!$E:$E,'Ausgaben 2026'!E$6)</f>
        <v>0</v>
      </c>
      <c r="F134" s="21">
        <f>SUMIFS(Einzelbeträge!$D:$D,Einzelbeträge!$C:$C,'Ausgaben 2026'!$C134,Einzelbeträge!$E:$E,'Ausgaben 2026'!F$6)</f>
        <v>0</v>
      </c>
      <c r="G134" s="21">
        <f>SUMIFS(Einzelbeträge!$D:$D,Einzelbeträge!$C:$C,'Ausgaben 2026'!$C134,Einzelbeträge!$E:$E,'Ausgaben 2026'!G$6)</f>
        <v>0</v>
      </c>
      <c r="H134" s="21">
        <f>SUMIFS(Einzelbeträge!$D:$D,Einzelbeträge!$C:$C,'Ausgaben 2026'!$C134,Einzelbeträge!$E:$E,'Ausgaben 2026'!H$6)</f>
        <v>0</v>
      </c>
      <c r="I134" s="21">
        <f>SUMIFS(Einzelbeträge!$D:$D,Einzelbeträge!$C:$C,'Ausgaben 2026'!$C134,Einzelbeträge!$E:$E,'Ausgaben 2026'!I$6)</f>
        <v>0</v>
      </c>
      <c r="J134" s="21">
        <f>SUMIFS(Einzelbeträge!$D:$D,Einzelbeträge!$C:$C,'Ausgaben 2026'!$C134,Einzelbeträge!$E:$E,'Ausgaben 2026'!J$6)</f>
        <v>0</v>
      </c>
      <c r="K134" s="21">
        <f>SUMIFS(Einzelbeträge!$D:$D,Einzelbeträge!$C:$C,'Ausgaben 2026'!$C134,Einzelbeträge!$E:$E,'Ausgaben 2026'!K$6)</f>
        <v>0</v>
      </c>
      <c r="L134" s="21">
        <f>SUMIFS(Einzelbeträge!$D:$D,Einzelbeträge!$C:$C,'Ausgaben 2026'!$C134,Einzelbeträge!$E:$E,'Ausgaben 2026'!L$6)</f>
        <v>0</v>
      </c>
      <c r="M134" s="21">
        <f>SUMIFS(Einzelbeträge!$D:$D,Einzelbeträge!$C:$C,'Ausgaben 2026'!$C134,Einzelbeträge!$E:$E,'Ausgaben 2026'!M$6)</f>
        <v>0</v>
      </c>
      <c r="N134" s="35">
        <f>SUMIFS(Einzelbeträge!$D:$D,Einzelbeträge!$C:$C,'Ausgaben 2026'!$C134,Einzelbeträge!$E:$E,'Ausgaben 2026'!N$6)</f>
        <v>0</v>
      </c>
      <c r="O134" s="6"/>
    </row>
    <row r="135" spans="2:15" x14ac:dyDescent="0.35">
      <c r="B135" s="5"/>
      <c r="C135" s="30">
        <f t="shared" si="19"/>
        <v>46141</v>
      </c>
      <c r="D135" s="46">
        <f>SUMIFS(Einzelbeträge!$D:$D,Einzelbeträge!$C:$C,'Ausgaben 2026'!$C135)</f>
        <v>0</v>
      </c>
      <c r="E135" s="21">
        <f>SUMIFS(Einzelbeträge!$D:$D,Einzelbeträge!$C:$C,'Ausgaben 2026'!$C135,Einzelbeträge!$E:$E,'Ausgaben 2026'!E$6)</f>
        <v>0</v>
      </c>
      <c r="F135" s="21">
        <f>SUMIFS(Einzelbeträge!$D:$D,Einzelbeträge!$C:$C,'Ausgaben 2026'!$C135,Einzelbeträge!$E:$E,'Ausgaben 2026'!F$6)</f>
        <v>0</v>
      </c>
      <c r="G135" s="21">
        <f>SUMIFS(Einzelbeträge!$D:$D,Einzelbeträge!$C:$C,'Ausgaben 2026'!$C135,Einzelbeträge!$E:$E,'Ausgaben 2026'!G$6)</f>
        <v>0</v>
      </c>
      <c r="H135" s="21">
        <f>SUMIFS(Einzelbeträge!$D:$D,Einzelbeträge!$C:$C,'Ausgaben 2026'!$C135,Einzelbeträge!$E:$E,'Ausgaben 2026'!H$6)</f>
        <v>0</v>
      </c>
      <c r="I135" s="21">
        <f>SUMIFS(Einzelbeträge!$D:$D,Einzelbeträge!$C:$C,'Ausgaben 2026'!$C135,Einzelbeträge!$E:$E,'Ausgaben 2026'!I$6)</f>
        <v>0</v>
      </c>
      <c r="J135" s="21">
        <f>SUMIFS(Einzelbeträge!$D:$D,Einzelbeträge!$C:$C,'Ausgaben 2026'!$C135,Einzelbeträge!$E:$E,'Ausgaben 2026'!J$6)</f>
        <v>0</v>
      </c>
      <c r="K135" s="21">
        <f>SUMIFS(Einzelbeträge!$D:$D,Einzelbeträge!$C:$C,'Ausgaben 2026'!$C135,Einzelbeträge!$E:$E,'Ausgaben 2026'!K$6)</f>
        <v>0</v>
      </c>
      <c r="L135" s="21">
        <f>SUMIFS(Einzelbeträge!$D:$D,Einzelbeträge!$C:$C,'Ausgaben 2026'!$C135,Einzelbeträge!$E:$E,'Ausgaben 2026'!L$6)</f>
        <v>0</v>
      </c>
      <c r="M135" s="21">
        <f>SUMIFS(Einzelbeträge!$D:$D,Einzelbeträge!$C:$C,'Ausgaben 2026'!$C135,Einzelbeträge!$E:$E,'Ausgaben 2026'!M$6)</f>
        <v>0</v>
      </c>
      <c r="N135" s="35">
        <f>SUMIFS(Einzelbeträge!$D:$D,Einzelbeträge!$C:$C,'Ausgaben 2026'!$C135,Einzelbeträge!$E:$E,'Ausgaben 2026'!N$6)</f>
        <v>0</v>
      </c>
      <c r="O135" s="6"/>
    </row>
    <row r="136" spans="2:15" x14ac:dyDescent="0.35">
      <c r="B136" s="5"/>
      <c r="C136" s="31">
        <f t="shared" si="19"/>
        <v>46142</v>
      </c>
      <c r="D136" s="47">
        <f>SUMIFS(Einzelbeträge!$D:$D,Einzelbeträge!$C:$C,'Ausgaben 2026'!$C136)</f>
        <v>0</v>
      </c>
      <c r="E136" s="37">
        <f>SUMIFS(Einzelbeträge!$D:$D,Einzelbeträge!$C:$C,'Ausgaben 2026'!$C136,Einzelbeträge!$E:$E,'Ausgaben 2026'!E$6)</f>
        <v>0</v>
      </c>
      <c r="F136" s="37">
        <f>SUMIFS(Einzelbeträge!$D:$D,Einzelbeträge!$C:$C,'Ausgaben 2026'!$C136,Einzelbeträge!$E:$E,'Ausgaben 2026'!F$6)</f>
        <v>0</v>
      </c>
      <c r="G136" s="37">
        <f>SUMIFS(Einzelbeträge!$D:$D,Einzelbeträge!$C:$C,'Ausgaben 2026'!$C136,Einzelbeträge!$E:$E,'Ausgaben 2026'!G$6)</f>
        <v>0</v>
      </c>
      <c r="H136" s="37">
        <f>SUMIFS(Einzelbeträge!$D:$D,Einzelbeträge!$C:$C,'Ausgaben 2026'!$C136,Einzelbeträge!$E:$E,'Ausgaben 2026'!H$6)</f>
        <v>0</v>
      </c>
      <c r="I136" s="37">
        <f>SUMIFS(Einzelbeträge!$D:$D,Einzelbeträge!$C:$C,'Ausgaben 2026'!$C136,Einzelbeträge!$E:$E,'Ausgaben 2026'!I$6)</f>
        <v>0</v>
      </c>
      <c r="J136" s="37">
        <f>SUMIFS(Einzelbeträge!$D:$D,Einzelbeträge!$C:$C,'Ausgaben 2026'!$C136,Einzelbeträge!$E:$E,'Ausgaben 2026'!J$6)</f>
        <v>0</v>
      </c>
      <c r="K136" s="37">
        <f>SUMIFS(Einzelbeträge!$D:$D,Einzelbeträge!$C:$C,'Ausgaben 2026'!$C136,Einzelbeträge!$E:$E,'Ausgaben 2026'!K$6)</f>
        <v>0</v>
      </c>
      <c r="L136" s="37">
        <f>SUMIFS(Einzelbeträge!$D:$D,Einzelbeträge!$C:$C,'Ausgaben 2026'!$C136,Einzelbeträge!$E:$E,'Ausgaben 2026'!L$6)</f>
        <v>0</v>
      </c>
      <c r="M136" s="37">
        <f>SUMIFS(Einzelbeträge!$D:$D,Einzelbeträge!$C:$C,'Ausgaben 2026'!$C136,Einzelbeträge!$E:$E,'Ausgaben 2026'!M$6)</f>
        <v>0</v>
      </c>
      <c r="N136" s="38">
        <f>SUMIFS(Einzelbeträge!$D:$D,Einzelbeträge!$C:$C,'Ausgaben 2026'!$C136,Einzelbeträge!$E:$E,'Ausgaben 2026'!N$6)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46143</v>
      </c>
      <c r="D140" s="45">
        <f>SUMIFS(Einzelbeträge!$D:$D,Einzelbeträge!$C:$C,'Ausgaben 2026'!$C140)</f>
        <v>0</v>
      </c>
      <c r="E140" s="32">
        <f>SUMIFS(Einzelbeträge!$D:$D,Einzelbeträge!$C:$C,'Ausgaben 2026'!$C140,Einzelbeträge!$E:$E,'Ausgaben 2026'!E$6)</f>
        <v>0</v>
      </c>
      <c r="F140" s="32">
        <f>SUMIFS(Einzelbeträge!$D:$D,Einzelbeträge!$C:$C,'Ausgaben 2026'!$C140,Einzelbeträge!$E:$E,'Ausgaben 2026'!F$6)</f>
        <v>0</v>
      </c>
      <c r="G140" s="32">
        <f>SUMIFS(Einzelbeträge!$D:$D,Einzelbeträge!$C:$C,'Ausgaben 2026'!$C140,Einzelbeträge!$E:$E,'Ausgaben 2026'!G$6)</f>
        <v>0</v>
      </c>
      <c r="H140" s="32">
        <f>SUMIFS(Einzelbeträge!$D:$D,Einzelbeträge!$C:$C,'Ausgaben 2026'!$C140,Einzelbeträge!$E:$E,'Ausgaben 2026'!H$6)</f>
        <v>0</v>
      </c>
      <c r="I140" s="32">
        <f>SUMIFS(Einzelbeträge!$D:$D,Einzelbeträge!$C:$C,'Ausgaben 2026'!$C140,Einzelbeträge!$E:$E,'Ausgaben 2026'!I$6)</f>
        <v>0</v>
      </c>
      <c r="J140" s="32">
        <f>SUMIFS(Einzelbeträge!$D:$D,Einzelbeträge!$C:$C,'Ausgaben 2026'!$C140,Einzelbeträge!$E:$E,'Ausgaben 2026'!J$6)</f>
        <v>0</v>
      </c>
      <c r="K140" s="32">
        <f>SUMIFS(Einzelbeträge!$D:$D,Einzelbeträge!$C:$C,'Ausgaben 2026'!$C140,Einzelbeträge!$E:$E,'Ausgaben 2026'!K$6)</f>
        <v>0</v>
      </c>
      <c r="L140" s="32">
        <f>SUMIFS(Einzelbeträge!$D:$D,Einzelbeträge!$C:$C,'Ausgaben 2026'!$C140,Einzelbeträge!$E:$E,'Ausgaben 2026'!L$6)</f>
        <v>0</v>
      </c>
      <c r="M140" s="32">
        <f>SUMIFS(Einzelbeträge!$D:$D,Einzelbeträge!$C:$C,'Ausgaben 2026'!$C140,Einzelbeträge!$E:$E,'Ausgaben 2026'!M$6)</f>
        <v>0</v>
      </c>
      <c r="N140" s="33">
        <f>SUMIFS(Einzelbeträge!$D:$D,Einzelbeträge!$C:$C,'Ausgaben 2026'!$C140,Einzelbeträge!$E:$E,'Ausgaben 2026'!N$6)</f>
        <v>0</v>
      </c>
      <c r="O140" s="6"/>
    </row>
    <row r="141" spans="2:15" x14ac:dyDescent="0.35">
      <c r="B141" s="5"/>
      <c r="C141" s="40">
        <f>C140+1</f>
        <v>46144</v>
      </c>
      <c r="D141" s="46">
        <f>SUMIFS(Einzelbeträge!$D:$D,Einzelbeträge!$C:$C,'Ausgaben 2026'!$C141)</f>
        <v>0</v>
      </c>
      <c r="E141" s="21">
        <f>SUMIFS(Einzelbeträge!$D:$D,Einzelbeträge!$C:$C,'Ausgaben 2026'!$C141,Einzelbeträge!$E:$E,'Ausgaben 2026'!E$6)</f>
        <v>0</v>
      </c>
      <c r="F141" s="21">
        <f>SUMIFS(Einzelbeträge!$D:$D,Einzelbeträge!$C:$C,'Ausgaben 2026'!$C141,Einzelbeträge!$E:$E,'Ausgaben 2026'!F$6)</f>
        <v>0</v>
      </c>
      <c r="G141" s="21">
        <f>SUMIFS(Einzelbeträge!$D:$D,Einzelbeträge!$C:$C,'Ausgaben 2026'!$C141,Einzelbeträge!$E:$E,'Ausgaben 2026'!G$6)</f>
        <v>0</v>
      </c>
      <c r="H141" s="21">
        <f>SUMIFS(Einzelbeträge!$D:$D,Einzelbeträge!$C:$C,'Ausgaben 2026'!$C141,Einzelbeträge!$E:$E,'Ausgaben 2026'!H$6)</f>
        <v>0</v>
      </c>
      <c r="I141" s="21">
        <f>SUMIFS(Einzelbeträge!$D:$D,Einzelbeträge!$C:$C,'Ausgaben 2026'!$C141,Einzelbeträge!$E:$E,'Ausgaben 2026'!I$6)</f>
        <v>0</v>
      </c>
      <c r="J141" s="21">
        <f>SUMIFS(Einzelbeträge!$D:$D,Einzelbeträge!$C:$C,'Ausgaben 2026'!$C141,Einzelbeträge!$E:$E,'Ausgaben 2026'!J$6)</f>
        <v>0</v>
      </c>
      <c r="K141" s="21">
        <f>SUMIFS(Einzelbeträge!$D:$D,Einzelbeträge!$C:$C,'Ausgaben 2026'!$C141,Einzelbeträge!$E:$E,'Ausgaben 2026'!K$6)</f>
        <v>0</v>
      </c>
      <c r="L141" s="21">
        <f>SUMIFS(Einzelbeträge!$D:$D,Einzelbeträge!$C:$C,'Ausgaben 2026'!$C141,Einzelbeträge!$E:$E,'Ausgaben 2026'!L$6)</f>
        <v>0</v>
      </c>
      <c r="M141" s="21">
        <f>SUMIFS(Einzelbeträge!$D:$D,Einzelbeträge!$C:$C,'Ausgaben 2026'!$C141,Einzelbeträge!$E:$E,'Ausgaben 2026'!M$6)</f>
        <v>0</v>
      </c>
      <c r="N141" s="35">
        <f>SUMIFS(Einzelbeträge!$D:$D,Einzelbeträge!$C:$C,'Ausgaben 2026'!$C141,Einzelbeträge!$E:$E,'Ausgaben 2026'!N$6)</f>
        <v>0</v>
      </c>
      <c r="O141" s="6"/>
    </row>
    <row r="142" spans="2:15" x14ac:dyDescent="0.35">
      <c r="B142" s="5"/>
      <c r="C142" s="40">
        <f t="shared" ref="C142:C170" si="20">C141+1</f>
        <v>46145</v>
      </c>
      <c r="D142" s="46">
        <f>SUMIFS(Einzelbeträge!$D:$D,Einzelbeträge!$C:$C,'Ausgaben 2026'!$C142)</f>
        <v>0</v>
      </c>
      <c r="E142" s="21">
        <f>SUMIFS(Einzelbeträge!$D:$D,Einzelbeträge!$C:$C,'Ausgaben 2026'!$C142,Einzelbeträge!$E:$E,'Ausgaben 2026'!E$6)</f>
        <v>0</v>
      </c>
      <c r="F142" s="21">
        <f>SUMIFS(Einzelbeträge!$D:$D,Einzelbeträge!$C:$C,'Ausgaben 2026'!$C142,Einzelbeträge!$E:$E,'Ausgaben 2026'!F$6)</f>
        <v>0</v>
      </c>
      <c r="G142" s="21">
        <f>SUMIFS(Einzelbeträge!$D:$D,Einzelbeträge!$C:$C,'Ausgaben 2026'!$C142,Einzelbeträge!$E:$E,'Ausgaben 2026'!G$6)</f>
        <v>0</v>
      </c>
      <c r="H142" s="21">
        <f>SUMIFS(Einzelbeträge!$D:$D,Einzelbeträge!$C:$C,'Ausgaben 2026'!$C142,Einzelbeträge!$E:$E,'Ausgaben 2026'!H$6)</f>
        <v>0</v>
      </c>
      <c r="I142" s="21">
        <f>SUMIFS(Einzelbeträge!$D:$D,Einzelbeträge!$C:$C,'Ausgaben 2026'!$C142,Einzelbeträge!$E:$E,'Ausgaben 2026'!I$6)</f>
        <v>0</v>
      </c>
      <c r="J142" s="21">
        <f>SUMIFS(Einzelbeträge!$D:$D,Einzelbeträge!$C:$C,'Ausgaben 2026'!$C142,Einzelbeträge!$E:$E,'Ausgaben 2026'!J$6)</f>
        <v>0</v>
      </c>
      <c r="K142" s="21">
        <f>SUMIFS(Einzelbeträge!$D:$D,Einzelbeträge!$C:$C,'Ausgaben 2026'!$C142,Einzelbeträge!$E:$E,'Ausgaben 2026'!K$6)</f>
        <v>0</v>
      </c>
      <c r="L142" s="21">
        <f>SUMIFS(Einzelbeträge!$D:$D,Einzelbeträge!$C:$C,'Ausgaben 2026'!$C142,Einzelbeträge!$E:$E,'Ausgaben 2026'!L$6)</f>
        <v>0</v>
      </c>
      <c r="M142" s="21">
        <f>SUMIFS(Einzelbeträge!$D:$D,Einzelbeträge!$C:$C,'Ausgaben 2026'!$C142,Einzelbeträge!$E:$E,'Ausgaben 2026'!M$6)</f>
        <v>0</v>
      </c>
      <c r="N142" s="35">
        <f>SUMIFS(Einzelbeträge!$D:$D,Einzelbeträge!$C:$C,'Ausgaben 2026'!$C142,Einzelbeträge!$E:$E,'Ausgaben 2026'!N$6)</f>
        <v>0</v>
      </c>
      <c r="O142" s="6"/>
    </row>
    <row r="143" spans="2:15" x14ac:dyDescent="0.35">
      <c r="B143" s="5"/>
      <c r="C143" s="40">
        <f t="shared" si="20"/>
        <v>46146</v>
      </c>
      <c r="D143" s="46">
        <f>SUMIFS(Einzelbeträge!$D:$D,Einzelbeträge!$C:$C,'Ausgaben 2026'!$C143)</f>
        <v>0</v>
      </c>
      <c r="E143" s="21">
        <f>SUMIFS(Einzelbeträge!$D:$D,Einzelbeträge!$C:$C,'Ausgaben 2026'!$C143,Einzelbeträge!$E:$E,'Ausgaben 2026'!E$6)</f>
        <v>0</v>
      </c>
      <c r="F143" s="21">
        <f>SUMIFS(Einzelbeträge!$D:$D,Einzelbeträge!$C:$C,'Ausgaben 2026'!$C143,Einzelbeträge!$E:$E,'Ausgaben 2026'!F$6)</f>
        <v>0</v>
      </c>
      <c r="G143" s="21">
        <f>SUMIFS(Einzelbeträge!$D:$D,Einzelbeträge!$C:$C,'Ausgaben 2026'!$C143,Einzelbeträge!$E:$E,'Ausgaben 2026'!G$6)</f>
        <v>0</v>
      </c>
      <c r="H143" s="21">
        <f>SUMIFS(Einzelbeträge!$D:$D,Einzelbeträge!$C:$C,'Ausgaben 2026'!$C143,Einzelbeträge!$E:$E,'Ausgaben 2026'!H$6)</f>
        <v>0</v>
      </c>
      <c r="I143" s="21">
        <f>SUMIFS(Einzelbeträge!$D:$D,Einzelbeträge!$C:$C,'Ausgaben 2026'!$C143,Einzelbeträge!$E:$E,'Ausgaben 2026'!I$6)</f>
        <v>0</v>
      </c>
      <c r="J143" s="21">
        <f>SUMIFS(Einzelbeträge!$D:$D,Einzelbeträge!$C:$C,'Ausgaben 2026'!$C143,Einzelbeträge!$E:$E,'Ausgaben 2026'!J$6)</f>
        <v>0</v>
      </c>
      <c r="K143" s="21">
        <f>SUMIFS(Einzelbeträge!$D:$D,Einzelbeträge!$C:$C,'Ausgaben 2026'!$C143,Einzelbeträge!$E:$E,'Ausgaben 2026'!K$6)</f>
        <v>0</v>
      </c>
      <c r="L143" s="21">
        <f>SUMIFS(Einzelbeträge!$D:$D,Einzelbeträge!$C:$C,'Ausgaben 2026'!$C143,Einzelbeträge!$E:$E,'Ausgaben 2026'!L$6)</f>
        <v>0</v>
      </c>
      <c r="M143" s="21">
        <f>SUMIFS(Einzelbeträge!$D:$D,Einzelbeträge!$C:$C,'Ausgaben 2026'!$C143,Einzelbeträge!$E:$E,'Ausgaben 2026'!M$6)</f>
        <v>0</v>
      </c>
      <c r="N143" s="35">
        <f>SUMIFS(Einzelbeträge!$D:$D,Einzelbeträge!$C:$C,'Ausgaben 2026'!$C143,Einzelbeträge!$E:$E,'Ausgaben 2026'!N$6)</f>
        <v>0</v>
      </c>
      <c r="O143" s="6"/>
    </row>
    <row r="144" spans="2:15" x14ac:dyDescent="0.35">
      <c r="B144" s="5"/>
      <c r="C144" s="40">
        <f t="shared" si="20"/>
        <v>46147</v>
      </c>
      <c r="D144" s="46">
        <f>SUMIFS(Einzelbeträge!$D:$D,Einzelbeträge!$C:$C,'Ausgaben 2026'!$C144)</f>
        <v>0</v>
      </c>
      <c r="E144" s="21">
        <f>SUMIFS(Einzelbeträge!$D:$D,Einzelbeträge!$C:$C,'Ausgaben 2026'!$C144,Einzelbeträge!$E:$E,'Ausgaben 2026'!E$6)</f>
        <v>0</v>
      </c>
      <c r="F144" s="21">
        <f>SUMIFS(Einzelbeträge!$D:$D,Einzelbeträge!$C:$C,'Ausgaben 2026'!$C144,Einzelbeträge!$E:$E,'Ausgaben 2026'!F$6)</f>
        <v>0</v>
      </c>
      <c r="G144" s="21">
        <f>SUMIFS(Einzelbeträge!$D:$D,Einzelbeträge!$C:$C,'Ausgaben 2026'!$C144,Einzelbeträge!$E:$E,'Ausgaben 2026'!G$6)</f>
        <v>0</v>
      </c>
      <c r="H144" s="21">
        <f>SUMIFS(Einzelbeträge!$D:$D,Einzelbeträge!$C:$C,'Ausgaben 2026'!$C144,Einzelbeträge!$E:$E,'Ausgaben 2026'!H$6)</f>
        <v>0</v>
      </c>
      <c r="I144" s="21">
        <f>SUMIFS(Einzelbeträge!$D:$D,Einzelbeträge!$C:$C,'Ausgaben 2026'!$C144,Einzelbeträge!$E:$E,'Ausgaben 2026'!I$6)</f>
        <v>0</v>
      </c>
      <c r="J144" s="21">
        <f>SUMIFS(Einzelbeträge!$D:$D,Einzelbeträge!$C:$C,'Ausgaben 2026'!$C144,Einzelbeträge!$E:$E,'Ausgaben 2026'!J$6)</f>
        <v>0</v>
      </c>
      <c r="K144" s="21">
        <f>SUMIFS(Einzelbeträge!$D:$D,Einzelbeträge!$C:$C,'Ausgaben 2026'!$C144,Einzelbeträge!$E:$E,'Ausgaben 2026'!K$6)</f>
        <v>0</v>
      </c>
      <c r="L144" s="21">
        <f>SUMIFS(Einzelbeträge!$D:$D,Einzelbeträge!$C:$C,'Ausgaben 2026'!$C144,Einzelbeträge!$E:$E,'Ausgaben 2026'!L$6)</f>
        <v>0</v>
      </c>
      <c r="M144" s="21">
        <f>SUMIFS(Einzelbeträge!$D:$D,Einzelbeträge!$C:$C,'Ausgaben 2026'!$C144,Einzelbeträge!$E:$E,'Ausgaben 2026'!M$6)</f>
        <v>0</v>
      </c>
      <c r="N144" s="35">
        <f>SUMIFS(Einzelbeträge!$D:$D,Einzelbeträge!$C:$C,'Ausgaben 2026'!$C144,Einzelbeträge!$E:$E,'Ausgaben 2026'!N$6)</f>
        <v>0</v>
      </c>
      <c r="O144" s="6"/>
    </row>
    <row r="145" spans="2:15" x14ac:dyDescent="0.35">
      <c r="B145" s="5"/>
      <c r="C145" s="40">
        <f t="shared" si="20"/>
        <v>46148</v>
      </c>
      <c r="D145" s="46">
        <f>SUMIFS(Einzelbeträge!$D:$D,Einzelbeträge!$C:$C,'Ausgaben 2026'!$C145)</f>
        <v>0</v>
      </c>
      <c r="E145" s="21">
        <f>SUMIFS(Einzelbeträge!$D:$D,Einzelbeträge!$C:$C,'Ausgaben 2026'!$C145,Einzelbeträge!$E:$E,'Ausgaben 2026'!E$6)</f>
        <v>0</v>
      </c>
      <c r="F145" s="21">
        <f>SUMIFS(Einzelbeträge!$D:$D,Einzelbeträge!$C:$C,'Ausgaben 2026'!$C145,Einzelbeträge!$E:$E,'Ausgaben 2026'!F$6)</f>
        <v>0</v>
      </c>
      <c r="G145" s="21">
        <f>SUMIFS(Einzelbeträge!$D:$D,Einzelbeträge!$C:$C,'Ausgaben 2026'!$C145,Einzelbeträge!$E:$E,'Ausgaben 2026'!G$6)</f>
        <v>0</v>
      </c>
      <c r="H145" s="21">
        <f>SUMIFS(Einzelbeträge!$D:$D,Einzelbeträge!$C:$C,'Ausgaben 2026'!$C145,Einzelbeträge!$E:$E,'Ausgaben 2026'!H$6)</f>
        <v>0</v>
      </c>
      <c r="I145" s="21">
        <f>SUMIFS(Einzelbeträge!$D:$D,Einzelbeträge!$C:$C,'Ausgaben 2026'!$C145,Einzelbeträge!$E:$E,'Ausgaben 2026'!I$6)</f>
        <v>0</v>
      </c>
      <c r="J145" s="21">
        <f>SUMIFS(Einzelbeträge!$D:$D,Einzelbeträge!$C:$C,'Ausgaben 2026'!$C145,Einzelbeträge!$E:$E,'Ausgaben 2026'!J$6)</f>
        <v>0</v>
      </c>
      <c r="K145" s="21">
        <f>SUMIFS(Einzelbeträge!$D:$D,Einzelbeträge!$C:$C,'Ausgaben 2026'!$C145,Einzelbeträge!$E:$E,'Ausgaben 2026'!K$6)</f>
        <v>0</v>
      </c>
      <c r="L145" s="21">
        <f>SUMIFS(Einzelbeträge!$D:$D,Einzelbeträge!$C:$C,'Ausgaben 2026'!$C145,Einzelbeträge!$E:$E,'Ausgaben 2026'!L$6)</f>
        <v>0</v>
      </c>
      <c r="M145" s="21">
        <f>SUMIFS(Einzelbeträge!$D:$D,Einzelbeträge!$C:$C,'Ausgaben 2026'!$C145,Einzelbeträge!$E:$E,'Ausgaben 2026'!M$6)</f>
        <v>0</v>
      </c>
      <c r="N145" s="35">
        <f>SUMIFS(Einzelbeträge!$D:$D,Einzelbeträge!$C:$C,'Ausgaben 2026'!$C145,Einzelbeträge!$E:$E,'Ausgaben 2026'!N$6)</f>
        <v>0</v>
      </c>
      <c r="O145" s="6"/>
    </row>
    <row r="146" spans="2:15" x14ac:dyDescent="0.35">
      <c r="B146" s="5"/>
      <c r="C146" s="40">
        <f t="shared" si="20"/>
        <v>46149</v>
      </c>
      <c r="D146" s="46">
        <f>SUMIFS(Einzelbeträge!$D:$D,Einzelbeträge!$C:$C,'Ausgaben 2026'!$C146)</f>
        <v>0</v>
      </c>
      <c r="E146" s="21">
        <f>SUMIFS(Einzelbeträge!$D:$D,Einzelbeträge!$C:$C,'Ausgaben 2026'!$C146,Einzelbeträge!$E:$E,'Ausgaben 2026'!E$6)</f>
        <v>0</v>
      </c>
      <c r="F146" s="21">
        <f>SUMIFS(Einzelbeträge!$D:$D,Einzelbeträge!$C:$C,'Ausgaben 2026'!$C146,Einzelbeträge!$E:$E,'Ausgaben 2026'!F$6)</f>
        <v>0</v>
      </c>
      <c r="G146" s="21">
        <f>SUMIFS(Einzelbeträge!$D:$D,Einzelbeträge!$C:$C,'Ausgaben 2026'!$C146,Einzelbeträge!$E:$E,'Ausgaben 2026'!G$6)</f>
        <v>0</v>
      </c>
      <c r="H146" s="21">
        <f>SUMIFS(Einzelbeträge!$D:$D,Einzelbeträge!$C:$C,'Ausgaben 2026'!$C146,Einzelbeträge!$E:$E,'Ausgaben 2026'!H$6)</f>
        <v>0</v>
      </c>
      <c r="I146" s="21">
        <f>SUMIFS(Einzelbeträge!$D:$D,Einzelbeträge!$C:$C,'Ausgaben 2026'!$C146,Einzelbeträge!$E:$E,'Ausgaben 2026'!I$6)</f>
        <v>0</v>
      </c>
      <c r="J146" s="21">
        <f>SUMIFS(Einzelbeträge!$D:$D,Einzelbeträge!$C:$C,'Ausgaben 2026'!$C146,Einzelbeträge!$E:$E,'Ausgaben 2026'!J$6)</f>
        <v>0</v>
      </c>
      <c r="K146" s="21">
        <f>SUMIFS(Einzelbeträge!$D:$D,Einzelbeträge!$C:$C,'Ausgaben 2026'!$C146,Einzelbeträge!$E:$E,'Ausgaben 2026'!K$6)</f>
        <v>0</v>
      </c>
      <c r="L146" s="21">
        <f>SUMIFS(Einzelbeträge!$D:$D,Einzelbeträge!$C:$C,'Ausgaben 2026'!$C146,Einzelbeträge!$E:$E,'Ausgaben 2026'!L$6)</f>
        <v>0</v>
      </c>
      <c r="M146" s="21">
        <f>SUMIFS(Einzelbeträge!$D:$D,Einzelbeträge!$C:$C,'Ausgaben 2026'!$C146,Einzelbeträge!$E:$E,'Ausgaben 2026'!M$6)</f>
        <v>0</v>
      </c>
      <c r="N146" s="35">
        <f>SUMIFS(Einzelbeträge!$D:$D,Einzelbeträge!$C:$C,'Ausgaben 2026'!$C146,Einzelbeträge!$E:$E,'Ausgaben 2026'!N$6)</f>
        <v>0</v>
      </c>
      <c r="O146" s="6"/>
    </row>
    <row r="147" spans="2:15" x14ac:dyDescent="0.35">
      <c r="B147" s="5"/>
      <c r="C147" s="40">
        <f t="shared" si="20"/>
        <v>46150</v>
      </c>
      <c r="D147" s="46">
        <f>SUMIFS(Einzelbeträge!$D:$D,Einzelbeträge!$C:$C,'Ausgaben 2026'!$C147)</f>
        <v>0</v>
      </c>
      <c r="E147" s="21">
        <f>SUMIFS(Einzelbeträge!$D:$D,Einzelbeträge!$C:$C,'Ausgaben 2026'!$C147,Einzelbeträge!$E:$E,'Ausgaben 2026'!E$6)</f>
        <v>0</v>
      </c>
      <c r="F147" s="21">
        <f>SUMIFS(Einzelbeträge!$D:$D,Einzelbeträge!$C:$C,'Ausgaben 2026'!$C147,Einzelbeträge!$E:$E,'Ausgaben 2026'!F$6)</f>
        <v>0</v>
      </c>
      <c r="G147" s="21">
        <f>SUMIFS(Einzelbeträge!$D:$D,Einzelbeträge!$C:$C,'Ausgaben 2026'!$C147,Einzelbeträge!$E:$E,'Ausgaben 2026'!G$6)</f>
        <v>0</v>
      </c>
      <c r="H147" s="21">
        <f>SUMIFS(Einzelbeträge!$D:$D,Einzelbeträge!$C:$C,'Ausgaben 2026'!$C147,Einzelbeträge!$E:$E,'Ausgaben 2026'!H$6)</f>
        <v>0</v>
      </c>
      <c r="I147" s="21">
        <f>SUMIFS(Einzelbeträge!$D:$D,Einzelbeträge!$C:$C,'Ausgaben 2026'!$C147,Einzelbeträge!$E:$E,'Ausgaben 2026'!I$6)</f>
        <v>0</v>
      </c>
      <c r="J147" s="21">
        <f>SUMIFS(Einzelbeträge!$D:$D,Einzelbeträge!$C:$C,'Ausgaben 2026'!$C147,Einzelbeträge!$E:$E,'Ausgaben 2026'!J$6)</f>
        <v>0</v>
      </c>
      <c r="K147" s="21">
        <f>SUMIFS(Einzelbeträge!$D:$D,Einzelbeträge!$C:$C,'Ausgaben 2026'!$C147,Einzelbeträge!$E:$E,'Ausgaben 2026'!K$6)</f>
        <v>0</v>
      </c>
      <c r="L147" s="21">
        <f>SUMIFS(Einzelbeträge!$D:$D,Einzelbeträge!$C:$C,'Ausgaben 2026'!$C147,Einzelbeträge!$E:$E,'Ausgaben 2026'!L$6)</f>
        <v>0</v>
      </c>
      <c r="M147" s="21">
        <f>SUMIFS(Einzelbeträge!$D:$D,Einzelbeträge!$C:$C,'Ausgaben 2026'!$C147,Einzelbeträge!$E:$E,'Ausgaben 2026'!M$6)</f>
        <v>0</v>
      </c>
      <c r="N147" s="35">
        <f>SUMIFS(Einzelbeträge!$D:$D,Einzelbeträge!$C:$C,'Ausgaben 2026'!$C147,Einzelbeträge!$E:$E,'Ausgaben 2026'!N$6)</f>
        <v>0</v>
      </c>
      <c r="O147" s="6"/>
    </row>
    <row r="148" spans="2:15" x14ac:dyDescent="0.35">
      <c r="B148" s="5"/>
      <c r="C148" s="40">
        <f t="shared" si="20"/>
        <v>46151</v>
      </c>
      <c r="D148" s="46">
        <f>SUMIFS(Einzelbeträge!$D:$D,Einzelbeträge!$C:$C,'Ausgaben 2026'!$C148)</f>
        <v>0</v>
      </c>
      <c r="E148" s="21">
        <f>SUMIFS(Einzelbeträge!$D:$D,Einzelbeträge!$C:$C,'Ausgaben 2026'!$C148,Einzelbeträge!$E:$E,'Ausgaben 2026'!E$6)</f>
        <v>0</v>
      </c>
      <c r="F148" s="21">
        <f>SUMIFS(Einzelbeträge!$D:$D,Einzelbeträge!$C:$C,'Ausgaben 2026'!$C148,Einzelbeträge!$E:$E,'Ausgaben 2026'!F$6)</f>
        <v>0</v>
      </c>
      <c r="G148" s="21">
        <f>SUMIFS(Einzelbeträge!$D:$D,Einzelbeträge!$C:$C,'Ausgaben 2026'!$C148,Einzelbeträge!$E:$E,'Ausgaben 2026'!G$6)</f>
        <v>0</v>
      </c>
      <c r="H148" s="21">
        <f>SUMIFS(Einzelbeträge!$D:$D,Einzelbeträge!$C:$C,'Ausgaben 2026'!$C148,Einzelbeträge!$E:$E,'Ausgaben 2026'!H$6)</f>
        <v>0</v>
      </c>
      <c r="I148" s="21">
        <f>SUMIFS(Einzelbeträge!$D:$D,Einzelbeträge!$C:$C,'Ausgaben 2026'!$C148,Einzelbeträge!$E:$E,'Ausgaben 2026'!I$6)</f>
        <v>0</v>
      </c>
      <c r="J148" s="21">
        <f>SUMIFS(Einzelbeträge!$D:$D,Einzelbeträge!$C:$C,'Ausgaben 2026'!$C148,Einzelbeträge!$E:$E,'Ausgaben 2026'!J$6)</f>
        <v>0</v>
      </c>
      <c r="K148" s="21">
        <f>SUMIFS(Einzelbeträge!$D:$D,Einzelbeträge!$C:$C,'Ausgaben 2026'!$C148,Einzelbeträge!$E:$E,'Ausgaben 2026'!K$6)</f>
        <v>0</v>
      </c>
      <c r="L148" s="21">
        <f>SUMIFS(Einzelbeträge!$D:$D,Einzelbeträge!$C:$C,'Ausgaben 2026'!$C148,Einzelbeträge!$E:$E,'Ausgaben 2026'!L$6)</f>
        <v>0</v>
      </c>
      <c r="M148" s="21">
        <f>SUMIFS(Einzelbeträge!$D:$D,Einzelbeträge!$C:$C,'Ausgaben 2026'!$C148,Einzelbeträge!$E:$E,'Ausgaben 2026'!M$6)</f>
        <v>0</v>
      </c>
      <c r="N148" s="35">
        <f>SUMIFS(Einzelbeträge!$D:$D,Einzelbeträge!$C:$C,'Ausgaben 2026'!$C148,Einzelbeträge!$E:$E,'Ausgaben 2026'!N$6)</f>
        <v>0</v>
      </c>
      <c r="O148" s="6"/>
    </row>
    <row r="149" spans="2:15" x14ac:dyDescent="0.35">
      <c r="B149" s="5"/>
      <c r="C149" s="40">
        <f t="shared" si="20"/>
        <v>46152</v>
      </c>
      <c r="D149" s="46">
        <f>SUMIFS(Einzelbeträge!$D:$D,Einzelbeträge!$C:$C,'Ausgaben 2026'!$C149)</f>
        <v>0</v>
      </c>
      <c r="E149" s="21">
        <f>SUMIFS(Einzelbeträge!$D:$D,Einzelbeträge!$C:$C,'Ausgaben 2026'!$C149,Einzelbeträge!$E:$E,'Ausgaben 2026'!E$6)</f>
        <v>0</v>
      </c>
      <c r="F149" s="21">
        <f>SUMIFS(Einzelbeträge!$D:$D,Einzelbeträge!$C:$C,'Ausgaben 2026'!$C149,Einzelbeträge!$E:$E,'Ausgaben 2026'!F$6)</f>
        <v>0</v>
      </c>
      <c r="G149" s="21">
        <f>SUMIFS(Einzelbeträge!$D:$D,Einzelbeträge!$C:$C,'Ausgaben 2026'!$C149,Einzelbeträge!$E:$E,'Ausgaben 2026'!G$6)</f>
        <v>0</v>
      </c>
      <c r="H149" s="21">
        <f>SUMIFS(Einzelbeträge!$D:$D,Einzelbeträge!$C:$C,'Ausgaben 2026'!$C149,Einzelbeträge!$E:$E,'Ausgaben 2026'!H$6)</f>
        <v>0</v>
      </c>
      <c r="I149" s="21">
        <f>SUMIFS(Einzelbeträge!$D:$D,Einzelbeträge!$C:$C,'Ausgaben 2026'!$C149,Einzelbeträge!$E:$E,'Ausgaben 2026'!I$6)</f>
        <v>0</v>
      </c>
      <c r="J149" s="21">
        <f>SUMIFS(Einzelbeträge!$D:$D,Einzelbeträge!$C:$C,'Ausgaben 2026'!$C149,Einzelbeträge!$E:$E,'Ausgaben 2026'!J$6)</f>
        <v>0</v>
      </c>
      <c r="K149" s="21">
        <f>SUMIFS(Einzelbeträge!$D:$D,Einzelbeträge!$C:$C,'Ausgaben 2026'!$C149,Einzelbeträge!$E:$E,'Ausgaben 2026'!K$6)</f>
        <v>0</v>
      </c>
      <c r="L149" s="21">
        <f>SUMIFS(Einzelbeträge!$D:$D,Einzelbeträge!$C:$C,'Ausgaben 2026'!$C149,Einzelbeträge!$E:$E,'Ausgaben 2026'!L$6)</f>
        <v>0</v>
      </c>
      <c r="M149" s="21">
        <f>SUMIFS(Einzelbeträge!$D:$D,Einzelbeträge!$C:$C,'Ausgaben 2026'!$C149,Einzelbeträge!$E:$E,'Ausgaben 2026'!M$6)</f>
        <v>0</v>
      </c>
      <c r="N149" s="35">
        <f>SUMIFS(Einzelbeträge!$D:$D,Einzelbeträge!$C:$C,'Ausgaben 2026'!$C149,Einzelbeträge!$E:$E,'Ausgaben 2026'!N$6)</f>
        <v>0</v>
      </c>
      <c r="O149" s="6"/>
    </row>
    <row r="150" spans="2:15" x14ac:dyDescent="0.35">
      <c r="B150" s="5"/>
      <c r="C150" s="40">
        <f t="shared" si="20"/>
        <v>46153</v>
      </c>
      <c r="D150" s="46">
        <f>SUMIFS(Einzelbeträge!$D:$D,Einzelbeträge!$C:$C,'Ausgaben 2026'!$C150)</f>
        <v>0</v>
      </c>
      <c r="E150" s="21">
        <f>SUMIFS(Einzelbeträge!$D:$D,Einzelbeträge!$C:$C,'Ausgaben 2026'!$C150,Einzelbeträge!$E:$E,'Ausgaben 2026'!E$6)</f>
        <v>0</v>
      </c>
      <c r="F150" s="21">
        <f>SUMIFS(Einzelbeträge!$D:$D,Einzelbeträge!$C:$C,'Ausgaben 2026'!$C150,Einzelbeträge!$E:$E,'Ausgaben 2026'!F$6)</f>
        <v>0</v>
      </c>
      <c r="G150" s="21">
        <f>SUMIFS(Einzelbeträge!$D:$D,Einzelbeträge!$C:$C,'Ausgaben 2026'!$C150,Einzelbeträge!$E:$E,'Ausgaben 2026'!G$6)</f>
        <v>0</v>
      </c>
      <c r="H150" s="21">
        <f>SUMIFS(Einzelbeträge!$D:$D,Einzelbeträge!$C:$C,'Ausgaben 2026'!$C150,Einzelbeträge!$E:$E,'Ausgaben 2026'!H$6)</f>
        <v>0</v>
      </c>
      <c r="I150" s="21">
        <f>SUMIFS(Einzelbeträge!$D:$D,Einzelbeträge!$C:$C,'Ausgaben 2026'!$C150,Einzelbeträge!$E:$E,'Ausgaben 2026'!I$6)</f>
        <v>0</v>
      </c>
      <c r="J150" s="21">
        <f>SUMIFS(Einzelbeträge!$D:$D,Einzelbeträge!$C:$C,'Ausgaben 2026'!$C150,Einzelbeträge!$E:$E,'Ausgaben 2026'!J$6)</f>
        <v>0</v>
      </c>
      <c r="K150" s="21">
        <f>SUMIFS(Einzelbeträge!$D:$D,Einzelbeträge!$C:$C,'Ausgaben 2026'!$C150,Einzelbeträge!$E:$E,'Ausgaben 2026'!K$6)</f>
        <v>0</v>
      </c>
      <c r="L150" s="21">
        <f>SUMIFS(Einzelbeträge!$D:$D,Einzelbeträge!$C:$C,'Ausgaben 2026'!$C150,Einzelbeträge!$E:$E,'Ausgaben 2026'!L$6)</f>
        <v>0</v>
      </c>
      <c r="M150" s="21">
        <f>SUMIFS(Einzelbeträge!$D:$D,Einzelbeträge!$C:$C,'Ausgaben 2026'!$C150,Einzelbeträge!$E:$E,'Ausgaben 2026'!M$6)</f>
        <v>0</v>
      </c>
      <c r="N150" s="35">
        <f>SUMIFS(Einzelbeträge!$D:$D,Einzelbeträge!$C:$C,'Ausgaben 2026'!$C150,Einzelbeträge!$E:$E,'Ausgaben 2026'!N$6)</f>
        <v>0</v>
      </c>
      <c r="O150" s="6"/>
    </row>
    <row r="151" spans="2:15" x14ac:dyDescent="0.35">
      <c r="B151" s="5"/>
      <c r="C151" s="40">
        <f t="shared" si="20"/>
        <v>46154</v>
      </c>
      <c r="D151" s="46">
        <f>SUMIFS(Einzelbeträge!$D:$D,Einzelbeträge!$C:$C,'Ausgaben 2026'!$C151)</f>
        <v>0</v>
      </c>
      <c r="E151" s="21">
        <f>SUMIFS(Einzelbeträge!$D:$D,Einzelbeträge!$C:$C,'Ausgaben 2026'!$C151,Einzelbeträge!$E:$E,'Ausgaben 2026'!E$6)</f>
        <v>0</v>
      </c>
      <c r="F151" s="21">
        <f>SUMIFS(Einzelbeträge!$D:$D,Einzelbeträge!$C:$C,'Ausgaben 2026'!$C151,Einzelbeträge!$E:$E,'Ausgaben 2026'!F$6)</f>
        <v>0</v>
      </c>
      <c r="G151" s="21">
        <f>SUMIFS(Einzelbeträge!$D:$D,Einzelbeträge!$C:$C,'Ausgaben 2026'!$C151,Einzelbeträge!$E:$E,'Ausgaben 2026'!G$6)</f>
        <v>0</v>
      </c>
      <c r="H151" s="21">
        <f>SUMIFS(Einzelbeträge!$D:$D,Einzelbeträge!$C:$C,'Ausgaben 2026'!$C151,Einzelbeträge!$E:$E,'Ausgaben 2026'!H$6)</f>
        <v>0</v>
      </c>
      <c r="I151" s="21">
        <f>SUMIFS(Einzelbeträge!$D:$D,Einzelbeträge!$C:$C,'Ausgaben 2026'!$C151,Einzelbeträge!$E:$E,'Ausgaben 2026'!I$6)</f>
        <v>0</v>
      </c>
      <c r="J151" s="21">
        <f>SUMIFS(Einzelbeträge!$D:$D,Einzelbeträge!$C:$C,'Ausgaben 2026'!$C151,Einzelbeträge!$E:$E,'Ausgaben 2026'!J$6)</f>
        <v>0</v>
      </c>
      <c r="K151" s="21">
        <f>SUMIFS(Einzelbeträge!$D:$D,Einzelbeträge!$C:$C,'Ausgaben 2026'!$C151,Einzelbeträge!$E:$E,'Ausgaben 2026'!K$6)</f>
        <v>0</v>
      </c>
      <c r="L151" s="21">
        <f>SUMIFS(Einzelbeträge!$D:$D,Einzelbeträge!$C:$C,'Ausgaben 2026'!$C151,Einzelbeträge!$E:$E,'Ausgaben 2026'!L$6)</f>
        <v>0</v>
      </c>
      <c r="M151" s="21">
        <f>SUMIFS(Einzelbeträge!$D:$D,Einzelbeträge!$C:$C,'Ausgaben 2026'!$C151,Einzelbeträge!$E:$E,'Ausgaben 2026'!M$6)</f>
        <v>0</v>
      </c>
      <c r="N151" s="35">
        <f>SUMIFS(Einzelbeträge!$D:$D,Einzelbeträge!$C:$C,'Ausgaben 2026'!$C151,Einzelbeträge!$E:$E,'Ausgaben 2026'!N$6)</f>
        <v>0</v>
      </c>
      <c r="O151" s="6"/>
    </row>
    <row r="152" spans="2:15" x14ac:dyDescent="0.35">
      <c r="B152" s="5"/>
      <c r="C152" s="40">
        <f t="shared" si="20"/>
        <v>46155</v>
      </c>
      <c r="D152" s="46">
        <f>SUMIFS(Einzelbeträge!$D:$D,Einzelbeträge!$C:$C,'Ausgaben 2026'!$C152)</f>
        <v>0</v>
      </c>
      <c r="E152" s="21">
        <f>SUMIFS(Einzelbeträge!$D:$D,Einzelbeträge!$C:$C,'Ausgaben 2026'!$C152,Einzelbeträge!$E:$E,'Ausgaben 2026'!E$6)</f>
        <v>0</v>
      </c>
      <c r="F152" s="21">
        <f>SUMIFS(Einzelbeträge!$D:$D,Einzelbeträge!$C:$C,'Ausgaben 2026'!$C152,Einzelbeträge!$E:$E,'Ausgaben 2026'!F$6)</f>
        <v>0</v>
      </c>
      <c r="G152" s="21">
        <f>SUMIFS(Einzelbeträge!$D:$D,Einzelbeträge!$C:$C,'Ausgaben 2026'!$C152,Einzelbeträge!$E:$E,'Ausgaben 2026'!G$6)</f>
        <v>0</v>
      </c>
      <c r="H152" s="21">
        <f>SUMIFS(Einzelbeträge!$D:$D,Einzelbeträge!$C:$C,'Ausgaben 2026'!$C152,Einzelbeträge!$E:$E,'Ausgaben 2026'!H$6)</f>
        <v>0</v>
      </c>
      <c r="I152" s="21">
        <f>SUMIFS(Einzelbeträge!$D:$D,Einzelbeträge!$C:$C,'Ausgaben 2026'!$C152,Einzelbeträge!$E:$E,'Ausgaben 2026'!I$6)</f>
        <v>0</v>
      </c>
      <c r="J152" s="21">
        <f>SUMIFS(Einzelbeträge!$D:$D,Einzelbeträge!$C:$C,'Ausgaben 2026'!$C152,Einzelbeträge!$E:$E,'Ausgaben 2026'!J$6)</f>
        <v>0</v>
      </c>
      <c r="K152" s="21">
        <f>SUMIFS(Einzelbeträge!$D:$D,Einzelbeträge!$C:$C,'Ausgaben 2026'!$C152,Einzelbeträge!$E:$E,'Ausgaben 2026'!K$6)</f>
        <v>0</v>
      </c>
      <c r="L152" s="21">
        <f>SUMIFS(Einzelbeträge!$D:$D,Einzelbeträge!$C:$C,'Ausgaben 2026'!$C152,Einzelbeträge!$E:$E,'Ausgaben 2026'!L$6)</f>
        <v>0</v>
      </c>
      <c r="M152" s="21">
        <f>SUMIFS(Einzelbeträge!$D:$D,Einzelbeträge!$C:$C,'Ausgaben 2026'!$C152,Einzelbeträge!$E:$E,'Ausgaben 2026'!M$6)</f>
        <v>0</v>
      </c>
      <c r="N152" s="35">
        <f>SUMIFS(Einzelbeträge!$D:$D,Einzelbeträge!$C:$C,'Ausgaben 2026'!$C152,Einzelbeträge!$E:$E,'Ausgaben 2026'!N$6)</f>
        <v>0</v>
      </c>
      <c r="O152" s="6"/>
    </row>
    <row r="153" spans="2:15" x14ac:dyDescent="0.35">
      <c r="B153" s="5"/>
      <c r="C153" s="40">
        <f t="shared" si="20"/>
        <v>46156</v>
      </c>
      <c r="D153" s="46">
        <f>SUMIFS(Einzelbeträge!$D:$D,Einzelbeträge!$C:$C,'Ausgaben 2026'!$C153)</f>
        <v>0</v>
      </c>
      <c r="E153" s="21">
        <f>SUMIFS(Einzelbeträge!$D:$D,Einzelbeträge!$C:$C,'Ausgaben 2026'!$C153,Einzelbeträge!$E:$E,'Ausgaben 2026'!E$6)</f>
        <v>0</v>
      </c>
      <c r="F153" s="21">
        <f>SUMIFS(Einzelbeträge!$D:$D,Einzelbeträge!$C:$C,'Ausgaben 2026'!$C153,Einzelbeträge!$E:$E,'Ausgaben 2026'!F$6)</f>
        <v>0</v>
      </c>
      <c r="G153" s="21">
        <f>SUMIFS(Einzelbeträge!$D:$D,Einzelbeträge!$C:$C,'Ausgaben 2026'!$C153,Einzelbeträge!$E:$E,'Ausgaben 2026'!G$6)</f>
        <v>0</v>
      </c>
      <c r="H153" s="21">
        <f>SUMIFS(Einzelbeträge!$D:$D,Einzelbeträge!$C:$C,'Ausgaben 2026'!$C153,Einzelbeträge!$E:$E,'Ausgaben 2026'!H$6)</f>
        <v>0</v>
      </c>
      <c r="I153" s="21">
        <f>SUMIFS(Einzelbeträge!$D:$D,Einzelbeträge!$C:$C,'Ausgaben 2026'!$C153,Einzelbeträge!$E:$E,'Ausgaben 2026'!I$6)</f>
        <v>0</v>
      </c>
      <c r="J153" s="21">
        <f>SUMIFS(Einzelbeträge!$D:$D,Einzelbeträge!$C:$C,'Ausgaben 2026'!$C153,Einzelbeträge!$E:$E,'Ausgaben 2026'!J$6)</f>
        <v>0</v>
      </c>
      <c r="K153" s="21">
        <f>SUMIFS(Einzelbeträge!$D:$D,Einzelbeträge!$C:$C,'Ausgaben 2026'!$C153,Einzelbeträge!$E:$E,'Ausgaben 2026'!K$6)</f>
        <v>0</v>
      </c>
      <c r="L153" s="21">
        <f>SUMIFS(Einzelbeträge!$D:$D,Einzelbeträge!$C:$C,'Ausgaben 2026'!$C153,Einzelbeträge!$E:$E,'Ausgaben 2026'!L$6)</f>
        <v>0</v>
      </c>
      <c r="M153" s="21">
        <f>SUMIFS(Einzelbeträge!$D:$D,Einzelbeträge!$C:$C,'Ausgaben 2026'!$C153,Einzelbeträge!$E:$E,'Ausgaben 2026'!M$6)</f>
        <v>0</v>
      </c>
      <c r="N153" s="35">
        <f>SUMIFS(Einzelbeträge!$D:$D,Einzelbeträge!$C:$C,'Ausgaben 2026'!$C153,Einzelbeträge!$E:$E,'Ausgaben 2026'!N$6)</f>
        <v>0</v>
      </c>
      <c r="O153" s="6"/>
    </row>
    <row r="154" spans="2:15" x14ac:dyDescent="0.35">
      <c r="B154" s="5"/>
      <c r="C154" s="40">
        <f t="shared" si="20"/>
        <v>46157</v>
      </c>
      <c r="D154" s="46">
        <f>SUMIFS(Einzelbeträge!$D:$D,Einzelbeträge!$C:$C,'Ausgaben 2026'!$C154)</f>
        <v>0</v>
      </c>
      <c r="E154" s="21">
        <f>SUMIFS(Einzelbeträge!$D:$D,Einzelbeträge!$C:$C,'Ausgaben 2026'!$C154,Einzelbeträge!$E:$E,'Ausgaben 2026'!E$6)</f>
        <v>0</v>
      </c>
      <c r="F154" s="21">
        <f>SUMIFS(Einzelbeträge!$D:$D,Einzelbeträge!$C:$C,'Ausgaben 2026'!$C154,Einzelbeträge!$E:$E,'Ausgaben 2026'!F$6)</f>
        <v>0</v>
      </c>
      <c r="G154" s="21">
        <f>SUMIFS(Einzelbeträge!$D:$D,Einzelbeträge!$C:$C,'Ausgaben 2026'!$C154,Einzelbeträge!$E:$E,'Ausgaben 2026'!G$6)</f>
        <v>0</v>
      </c>
      <c r="H154" s="21">
        <f>SUMIFS(Einzelbeträge!$D:$D,Einzelbeträge!$C:$C,'Ausgaben 2026'!$C154,Einzelbeträge!$E:$E,'Ausgaben 2026'!H$6)</f>
        <v>0</v>
      </c>
      <c r="I154" s="21">
        <f>SUMIFS(Einzelbeträge!$D:$D,Einzelbeträge!$C:$C,'Ausgaben 2026'!$C154,Einzelbeträge!$E:$E,'Ausgaben 2026'!I$6)</f>
        <v>0</v>
      </c>
      <c r="J154" s="21">
        <f>SUMIFS(Einzelbeträge!$D:$D,Einzelbeträge!$C:$C,'Ausgaben 2026'!$C154,Einzelbeträge!$E:$E,'Ausgaben 2026'!J$6)</f>
        <v>0</v>
      </c>
      <c r="K154" s="21">
        <f>SUMIFS(Einzelbeträge!$D:$D,Einzelbeträge!$C:$C,'Ausgaben 2026'!$C154,Einzelbeträge!$E:$E,'Ausgaben 2026'!K$6)</f>
        <v>0</v>
      </c>
      <c r="L154" s="21">
        <f>SUMIFS(Einzelbeträge!$D:$D,Einzelbeträge!$C:$C,'Ausgaben 2026'!$C154,Einzelbeträge!$E:$E,'Ausgaben 2026'!L$6)</f>
        <v>0</v>
      </c>
      <c r="M154" s="21">
        <f>SUMIFS(Einzelbeträge!$D:$D,Einzelbeträge!$C:$C,'Ausgaben 2026'!$C154,Einzelbeträge!$E:$E,'Ausgaben 2026'!M$6)</f>
        <v>0</v>
      </c>
      <c r="N154" s="35">
        <f>SUMIFS(Einzelbeträge!$D:$D,Einzelbeträge!$C:$C,'Ausgaben 2026'!$C154,Einzelbeträge!$E:$E,'Ausgaben 2026'!N$6)</f>
        <v>0</v>
      </c>
      <c r="O154" s="6"/>
    </row>
    <row r="155" spans="2:15" x14ac:dyDescent="0.35">
      <c r="B155" s="5"/>
      <c r="C155" s="40">
        <f t="shared" si="20"/>
        <v>46158</v>
      </c>
      <c r="D155" s="46">
        <f>SUMIFS(Einzelbeträge!$D:$D,Einzelbeträge!$C:$C,'Ausgaben 2026'!$C155)</f>
        <v>0</v>
      </c>
      <c r="E155" s="21">
        <f>SUMIFS(Einzelbeträge!$D:$D,Einzelbeträge!$C:$C,'Ausgaben 2026'!$C155,Einzelbeträge!$E:$E,'Ausgaben 2026'!E$6)</f>
        <v>0</v>
      </c>
      <c r="F155" s="21">
        <f>SUMIFS(Einzelbeträge!$D:$D,Einzelbeträge!$C:$C,'Ausgaben 2026'!$C155,Einzelbeträge!$E:$E,'Ausgaben 2026'!F$6)</f>
        <v>0</v>
      </c>
      <c r="G155" s="21">
        <f>SUMIFS(Einzelbeträge!$D:$D,Einzelbeträge!$C:$C,'Ausgaben 2026'!$C155,Einzelbeträge!$E:$E,'Ausgaben 2026'!G$6)</f>
        <v>0</v>
      </c>
      <c r="H155" s="21">
        <f>SUMIFS(Einzelbeträge!$D:$D,Einzelbeträge!$C:$C,'Ausgaben 2026'!$C155,Einzelbeträge!$E:$E,'Ausgaben 2026'!H$6)</f>
        <v>0</v>
      </c>
      <c r="I155" s="21">
        <f>SUMIFS(Einzelbeträge!$D:$D,Einzelbeträge!$C:$C,'Ausgaben 2026'!$C155,Einzelbeträge!$E:$E,'Ausgaben 2026'!I$6)</f>
        <v>0</v>
      </c>
      <c r="J155" s="21">
        <f>SUMIFS(Einzelbeträge!$D:$D,Einzelbeträge!$C:$C,'Ausgaben 2026'!$C155,Einzelbeträge!$E:$E,'Ausgaben 2026'!J$6)</f>
        <v>0</v>
      </c>
      <c r="K155" s="21">
        <f>SUMIFS(Einzelbeträge!$D:$D,Einzelbeträge!$C:$C,'Ausgaben 2026'!$C155,Einzelbeträge!$E:$E,'Ausgaben 2026'!K$6)</f>
        <v>0</v>
      </c>
      <c r="L155" s="21">
        <f>SUMIFS(Einzelbeträge!$D:$D,Einzelbeträge!$C:$C,'Ausgaben 2026'!$C155,Einzelbeträge!$E:$E,'Ausgaben 2026'!L$6)</f>
        <v>0</v>
      </c>
      <c r="M155" s="21">
        <f>SUMIFS(Einzelbeträge!$D:$D,Einzelbeträge!$C:$C,'Ausgaben 2026'!$C155,Einzelbeträge!$E:$E,'Ausgaben 2026'!M$6)</f>
        <v>0</v>
      </c>
      <c r="N155" s="35">
        <f>SUMIFS(Einzelbeträge!$D:$D,Einzelbeträge!$C:$C,'Ausgaben 2026'!$C155,Einzelbeträge!$E:$E,'Ausgaben 2026'!N$6)</f>
        <v>0</v>
      </c>
      <c r="O155" s="6"/>
    </row>
    <row r="156" spans="2:15" x14ac:dyDescent="0.35">
      <c r="B156" s="5"/>
      <c r="C156" s="40">
        <f t="shared" si="20"/>
        <v>46159</v>
      </c>
      <c r="D156" s="46">
        <f>SUMIFS(Einzelbeträge!$D:$D,Einzelbeträge!$C:$C,'Ausgaben 2026'!$C156)</f>
        <v>0</v>
      </c>
      <c r="E156" s="21">
        <f>SUMIFS(Einzelbeträge!$D:$D,Einzelbeträge!$C:$C,'Ausgaben 2026'!$C156,Einzelbeträge!$E:$E,'Ausgaben 2026'!E$6)</f>
        <v>0</v>
      </c>
      <c r="F156" s="21">
        <f>SUMIFS(Einzelbeträge!$D:$D,Einzelbeträge!$C:$C,'Ausgaben 2026'!$C156,Einzelbeträge!$E:$E,'Ausgaben 2026'!F$6)</f>
        <v>0</v>
      </c>
      <c r="G156" s="21">
        <f>SUMIFS(Einzelbeträge!$D:$D,Einzelbeträge!$C:$C,'Ausgaben 2026'!$C156,Einzelbeträge!$E:$E,'Ausgaben 2026'!G$6)</f>
        <v>0</v>
      </c>
      <c r="H156" s="21">
        <f>SUMIFS(Einzelbeträge!$D:$D,Einzelbeträge!$C:$C,'Ausgaben 2026'!$C156,Einzelbeträge!$E:$E,'Ausgaben 2026'!H$6)</f>
        <v>0</v>
      </c>
      <c r="I156" s="21">
        <f>SUMIFS(Einzelbeträge!$D:$D,Einzelbeträge!$C:$C,'Ausgaben 2026'!$C156,Einzelbeträge!$E:$E,'Ausgaben 2026'!I$6)</f>
        <v>0</v>
      </c>
      <c r="J156" s="21">
        <f>SUMIFS(Einzelbeträge!$D:$D,Einzelbeträge!$C:$C,'Ausgaben 2026'!$C156,Einzelbeträge!$E:$E,'Ausgaben 2026'!J$6)</f>
        <v>0</v>
      </c>
      <c r="K156" s="21">
        <f>SUMIFS(Einzelbeträge!$D:$D,Einzelbeträge!$C:$C,'Ausgaben 2026'!$C156,Einzelbeträge!$E:$E,'Ausgaben 2026'!K$6)</f>
        <v>0</v>
      </c>
      <c r="L156" s="21">
        <f>SUMIFS(Einzelbeträge!$D:$D,Einzelbeträge!$C:$C,'Ausgaben 2026'!$C156,Einzelbeträge!$E:$E,'Ausgaben 2026'!L$6)</f>
        <v>0</v>
      </c>
      <c r="M156" s="21">
        <f>SUMIFS(Einzelbeträge!$D:$D,Einzelbeträge!$C:$C,'Ausgaben 2026'!$C156,Einzelbeträge!$E:$E,'Ausgaben 2026'!M$6)</f>
        <v>0</v>
      </c>
      <c r="N156" s="35">
        <f>SUMIFS(Einzelbeträge!$D:$D,Einzelbeträge!$C:$C,'Ausgaben 2026'!$C156,Einzelbeträge!$E:$E,'Ausgaben 2026'!N$6)</f>
        <v>0</v>
      </c>
      <c r="O156" s="6"/>
    </row>
    <row r="157" spans="2:15" x14ac:dyDescent="0.35">
      <c r="B157" s="5"/>
      <c r="C157" s="40">
        <f t="shared" si="20"/>
        <v>46160</v>
      </c>
      <c r="D157" s="46">
        <f>SUMIFS(Einzelbeträge!$D:$D,Einzelbeträge!$C:$C,'Ausgaben 2026'!$C157)</f>
        <v>0</v>
      </c>
      <c r="E157" s="21">
        <f>SUMIFS(Einzelbeträge!$D:$D,Einzelbeträge!$C:$C,'Ausgaben 2026'!$C157,Einzelbeträge!$E:$E,'Ausgaben 2026'!E$6)</f>
        <v>0</v>
      </c>
      <c r="F157" s="21">
        <f>SUMIFS(Einzelbeträge!$D:$D,Einzelbeträge!$C:$C,'Ausgaben 2026'!$C157,Einzelbeträge!$E:$E,'Ausgaben 2026'!F$6)</f>
        <v>0</v>
      </c>
      <c r="G157" s="21">
        <f>SUMIFS(Einzelbeträge!$D:$D,Einzelbeträge!$C:$C,'Ausgaben 2026'!$C157,Einzelbeträge!$E:$E,'Ausgaben 2026'!G$6)</f>
        <v>0</v>
      </c>
      <c r="H157" s="21">
        <f>SUMIFS(Einzelbeträge!$D:$D,Einzelbeträge!$C:$C,'Ausgaben 2026'!$C157,Einzelbeträge!$E:$E,'Ausgaben 2026'!H$6)</f>
        <v>0</v>
      </c>
      <c r="I157" s="21">
        <f>SUMIFS(Einzelbeträge!$D:$D,Einzelbeträge!$C:$C,'Ausgaben 2026'!$C157,Einzelbeträge!$E:$E,'Ausgaben 2026'!I$6)</f>
        <v>0</v>
      </c>
      <c r="J157" s="21">
        <f>SUMIFS(Einzelbeträge!$D:$D,Einzelbeträge!$C:$C,'Ausgaben 2026'!$C157,Einzelbeträge!$E:$E,'Ausgaben 2026'!J$6)</f>
        <v>0</v>
      </c>
      <c r="K157" s="21">
        <f>SUMIFS(Einzelbeträge!$D:$D,Einzelbeträge!$C:$C,'Ausgaben 2026'!$C157,Einzelbeträge!$E:$E,'Ausgaben 2026'!K$6)</f>
        <v>0</v>
      </c>
      <c r="L157" s="21">
        <f>SUMIFS(Einzelbeträge!$D:$D,Einzelbeträge!$C:$C,'Ausgaben 2026'!$C157,Einzelbeträge!$E:$E,'Ausgaben 2026'!L$6)</f>
        <v>0</v>
      </c>
      <c r="M157" s="21">
        <f>SUMIFS(Einzelbeträge!$D:$D,Einzelbeträge!$C:$C,'Ausgaben 2026'!$C157,Einzelbeträge!$E:$E,'Ausgaben 2026'!M$6)</f>
        <v>0</v>
      </c>
      <c r="N157" s="35">
        <f>SUMIFS(Einzelbeträge!$D:$D,Einzelbeträge!$C:$C,'Ausgaben 2026'!$C157,Einzelbeträge!$E:$E,'Ausgaben 2026'!N$6)</f>
        <v>0</v>
      </c>
      <c r="O157" s="6"/>
    </row>
    <row r="158" spans="2:15" x14ac:dyDescent="0.35">
      <c r="B158" s="5"/>
      <c r="C158" s="40">
        <f t="shared" si="20"/>
        <v>46161</v>
      </c>
      <c r="D158" s="46">
        <f>SUMIFS(Einzelbeträge!$D:$D,Einzelbeträge!$C:$C,'Ausgaben 2026'!$C158)</f>
        <v>0</v>
      </c>
      <c r="E158" s="21">
        <f>SUMIFS(Einzelbeträge!$D:$D,Einzelbeträge!$C:$C,'Ausgaben 2026'!$C158,Einzelbeträge!$E:$E,'Ausgaben 2026'!E$6)</f>
        <v>0</v>
      </c>
      <c r="F158" s="21">
        <f>SUMIFS(Einzelbeträge!$D:$D,Einzelbeträge!$C:$C,'Ausgaben 2026'!$C158,Einzelbeträge!$E:$E,'Ausgaben 2026'!F$6)</f>
        <v>0</v>
      </c>
      <c r="G158" s="21">
        <f>SUMIFS(Einzelbeträge!$D:$D,Einzelbeträge!$C:$C,'Ausgaben 2026'!$C158,Einzelbeträge!$E:$E,'Ausgaben 2026'!G$6)</f>
        <v>0</v>
      </c>
      <c r="H158" s="21">
        <f>SUMIFS(Einzelbeträge!$D:$D,Einzelbeträge!$C:$C,'Ausgaben 2026'!$C158,Einzelbeträge!$E:$E,'Ausgaben 2026'!H$6)</f>
        <v>0</v>
      </c>
      <c r="I158" s="21">
        <f>SUMIFS(Einzelbeträge!$D:$D,Einzelbeträge!$C:$C,'Ausgaben 2026'!$C158,Einzelbeträge!$E:$E,'Ausgaben 2026'!I$6)</f>
        <v>0</v>
      </c>
      <c r="J158" s="21">
        <f>SUMIFS(Einzelbeträge!$D:$D,Einzelbeträge!$C:$C,'Ausgaben 2026'!$C158,Einzelbeträge!$E:$E,'Ausgaben 2026'!J$6)</f>
        <v>0</v>
      </c>
      <c r="K158" s="21">
        <f>SUMIFS(Einzelbeträge!$D:$D,Einzelbeträge!$C:$C,'Ausgaben 2026'!$C158,Einzelbeträge!$E:$E,'Ausgaben 2026'!K$6)</f>
        <v>0</v>
      </c>
      <c r="L158" s="21">
        <f>SUMIFS(Einzelbeträge!$D:$D,Einzelbeträge!$C:$C,'Ausgaben 2026'!$C158,Einzelbeträge!$E:$E,'Ausgaben 2026'!L$6)</f>
        <v>0</v>
      </c>
      <c r="M158" s="21">
        <f>SUMIFS(Einzelbeträge!$D:$D,Einzelbeträge!$C:$C,'Ausgaben 2026'!$C158,Einzelbeträge!$E:$E,'Ausgaben 2026'!M$6)</f>
        <v>0</v>
      </c>
      <c r="N158" s="35">
        <f>SUMIFS(Einzelbeträge!$D:$D,Einzelbeträge!$C:$C,'Ausgaben 2026'!$C158,Einzelbeträge!$E:$E,'Ausgaben 2026'!N$6)</f>
        <v>0</v>
      </c>
      <c r="O158" s="6"/>
    </row>
    <row r="159" spans="2:15" x14ac:dyDescent="0.35">
      <c r="B159" s="5"/>
      <c r="C159" s="40">
        <f t="shared" si="20"/>
        <v>46162</v>
      </c>
      <c r="D159" s="46">
        <f>SUMIFS(Einzelbeträge!$D:$D,Einzelbeträge!$C:$C,'Ausgaben 2026'!$C159)</f>
        <v>0</v>
      </c>
      <c r="E159" s="21">
        <f>SUMIFS(Einzelbeträge!$D:$D,Einzelbeträge!$C:$C,'Ausgaben 2026'!$C159,Einzelbeträge!$E:$E,'Ausgaben 2026'!E$6)</f>
        <v>0</v>
      </c>
      <c r="F159" s="21">
        <f>SUMIFS(Einzelbeträge!$D:$D,Einzelbeträge!$C:$C,'Ausgaben 2026'!$C159,Einzelbeträge!$E:$E,'Ausgaben 2026'!F$6)</f>
        <v>0</v>
      </c>
      <c r="G159" s="21">
        <f>SUMIFS(Einzelbeträge!$D:$D,Einzelbeträge!$C:$C,'Ausgaben 2026'!$C159,Einzelbeträge!$E:$E,'Ausgaben 2026'!G$6)</f>
        <v>0</v>
      </c>
      <c r="H159" s="21">
        <f>SUMIFS(Einzelbeträge!$D:$D,Einzelbeträge!$C:$C,'Ausgaben 2026'!$C159,Einzelbeträge!$E:$E,'Ausgaben 2026'!H$6)</f>
        <v>0</v>
      </c>
      <c r="I159" s="21">
        <f>SUMIFS(Einzelbeträge!$D:$D,Einzelbeträge!$C:$C,'Ausgaben 2026'!$C159,Einzelbeträge!$E:$E,'Ausgaben 2026'!I$6)</f>
        <v>0</v>
      </c>
      <c r="J159" s="21">
        <f>SUMIFS(Einzelbeträge!$D:$D,Einzelbeträge!$C:$C,'Ausgaben 2026'!$C159,Einzelbeträge!$E:$E,'Ausgaben 2026'!J$6)</f>
        <v>0</v>
      </c>
      <c r="K159" s="21">
        <f>SUMIFS(Einzelbeträge!$D:$D,Einzelbeträge!$C:$C,'Ausgaben 2026'!$C159,Einzelbeträge!$E:$E,'Ausgaben 2026'!K$6)</f>
        <v>0</v>
      </c>
      <c r="L159" s="21">
        <f>SUMIFS(Einzelbeträge!$D:$D,Einzelbeträge!$C:$C,'Ausgaben 2026'!$C159,Einzelbeträge!$E:$E,'Ausgaben 2026'!L$6)</f>
        <v>0</v>
      </c>
      <c r="M159" s="21">
        <f>SUMIFS(Einzelbeträge!$D:$D,Einzelbeträge!$C:$C,'Ausgaben 2026'!$C159,Einzelbeträge!$E:$E,'Ausgaben 2026'!M$6)</f>
        <v>0</v>
      </c>
      <c r="N159" s="35">
        <f>SUMIFS(Einzelbeträge!$D:$D,Einzelbeträge!$C:$C,'Ausgaben 2026'!$C159,Einzelbeträge!$E:$E,'Ausgaben 2026'!N$6)</f>
        <v>0</v>
      </c>
      <c r="O159" s="6"/>
    </row>
    <row r="160" spans="2:15" x14ac:dyDescent="0.35">
      <c r="B160" s="5"/>
      <c r="C160" s="40">
        <f t="shared" si="20"/>
        <v>46163</v>
      </c>
      <c r="D160" s="46">
        <f>SUMIFS(Einzelbeträge!$D:$D,Einzelbeträge!$C:$C,'Ausgaben 2026'!$C160)</f>
        <v>0</v>
      </c>
      <c r="E160" s="21">
        <f>SUMIFS(Einzelbeträge!$D:$D,Einzelbeträge!$C:$C,'Ausgaben 2026'!$C160,Einzelbeträge!$E:$E,'Ausgaben 2026'!E$6)</f>
        <v>0</v>
      </c>
      <c r="F160" s="21">
        <f>SUMIFS(Einzelbeträge!$D:$D,Einzelbeträge!$C:$C,'Ausgaben 2026'!$C160,Einzelbeträge!$E:$E,'Ausgaben 2026'!F$6)</f>
        <v>0</v>
      </c>
      <c r="G160" s="21">
        <f>SUMIFS(Einzelbeträge!$D:$D,Einzelbeträge!$C:$C,'Ausgaben 2026'!$C160,Einzelbeträge!$E:$E,'Ausgaben 2026'!G$6)</f>
        <v>0</v>
      </c>
      <c r="H160" s="21">
        <f>SUMIFS(Einzelbeträge!$D:$D,Einzelbeträge!$C:$C,'Ausgaben 2026'!$C160,Einzelbeträge!$E:$E,'Ausgaben 2026'!H$6)</f>
        <v>0</v>
      </c>
      <c r="I160" s="21">
        <f>SUMIFS(Einzelbeträge!$D:$D,Einzelbeträge!$C:$C,'Ausgaben 2026'!$C160,Einzelbeträge!$E:$E,'Ausgaben 2026'!I$6)</f>
        <v>0</v>
      </c>
      <c r="J160" s="21">
        <f>SUMIFS(Einzelbeträge!$D:$D,Einzelbeträge!$C:$C,'Ausgaben 2026'!$C160,Einzelbeträge!$E:$E,'Ausgaben 2026'!J$6)</f>
        <v>0</v>
      </c>
      <c r="K160" s="21">
        <f>SUMIFS(Einzelbeträge!$D:$D,Einzelbeträge!$C:$C,'Ausgaben 2026'!$C160,Einzelbeträge!$E:$E,'Ausgaben 2026'!K$6)</f>
        <v>0</v>
      </c>
      <c r="L160" s="21">
        <f>SUMIFS(Einzelbeträge!$D:$D,Einzelbeträge!$C:$C,'Ausgaben 2026'!$C160,Einzelbeträge!$E:$E,'Ausgaben 2026'!L$6)</f>
        <v>0</v>
      </c>
      <c r="M160" s="21">
        <f>SUMIFS(Einzelbeträge!$D:$D,Einzelbeträge!$C:$C,'Ausgaben 2026'!$C160,Einzelbeträge!$E:$E,'Ausgaben 2026'!M$6)</f>
        <v>0</v>
      </c>
      <c r="N160" s="35">
        <f>SUMIFS(Einzelbeträge!$D:$D,Einzelbeträge!$C:$C,'Ausgaben 2026'!$C160,Einzelbeträge!$E:$E,'Ausgaben 2026'!N$6)</f>
        <v>0</v>
      </c>
      <c r="O160" s="6"/>
    </row>
    <row r="161" spans="2:15" x14ac:dyDescent="0.35">
      <c r="B161" s="5"/>
      <c r="C161" s="40">
        <f t="shared" si="20"/>
        <v>46164</v>
      </c>
      <c r="D161" s="46">
        <f>SUMIFS(Einzelbeträge!$D:$D,Einzelbeträge!$C:$C,'Ausgaben 2026'!$C161)</f>
        <v>0</v>
      </c>
      <c r="E161" s="21">
        <f>SUMIFS(Einzelbeträge!$D:$D,Einzelbeträge!$C:$C,'Ausgaben 2026'!$C161,Einzelbeträge!$E:$E,'Ausgaben 2026'!E$6)</f>
        <v>0</v>
      </c>
      <c r="F161" s="21">
        <f>SUMIFS(Einzelbeträge!$D:$D,Einzelbeträge!$C:$C,'Ausgaben 2026'!$C161,Einzelbeträge!$E:$E,'Ausgaben 2026'!F$6)</f>
        <v>0</v>
      </c>
      <c r="G161" s="21">
        <f>SUMIFS(Einzelbeträge!$D:$D,Einzelbeträge!$C:$C,'Ausgaben 2026'!$C161,Einzelbeträge!$E:$E,'Ausgaben 2026'!G$6)</f>
        <v>0</v>
      </c>
      <c r="H161" s="21">
        <f>SUMIFS(Einzelbeträge!$D:$D,Einzelbeträge!$C:$C,'Ausgaben 2026'!$C161,Einzelbeträge!$E:$E,'Ausgaben 2026'!H$6)</f>
        <v>0</v>
      </c>
      <c r="I161" s="21">
        <f>SUMIFS(Einzelbeträge!$D:$D,Einzelbeträge!$C:$C,'Ausgaben 2026'!$C161,Einzelbeträge!$E:$E,'Ausgaben 2026'!I$6)</f>
        <v>0</v>
      </c>
      <c r="J161" s="21">
        <f>SUMIFS(Einzelbeträge!$D:$D,Einzelbeträge!$C:$C,'Ausgaben 2026'!$C161,Einzelbeträge!$E:$E,'Ausgaben 2026'!J$6)</f>
        <v>0</v>
      </c>
      <c r="K161" s="21">
        <f>SUMIFS(Einzelbeträge!$D:$D,Einzelbeträge!$C:$C,'Ausgaben 2026'!$C161,Einzelbeträge!$E:$E,'Ausgaben 2026'!K$6)</f>
        <v>0</v>
      </c>
      <c r="L161" s="21">
        <f>SUMIFS(Einzelbeträge!$D:$D,Einzelbeträge!$C:$C,'Ausgaben 2026'!$C161,Einzelbeträge!$E:$E,'Ausgaben 2026'!L$6)</f>
        <v>0</v>
      </c>
      <c r="M161" s="21">
        <f>SUMIFS(Einzelbeträge!$D:$D,Einzelbeträge!$C:$C,'Ausgaben 2026'!$C161,Einzelbeträge!$E:$E,'Ausgaben 2026'!M$6)</f>
        <v>0</v>
      </c>
      <c r="N161" s="35">
        <f>SUMIFS(Einzelbeträge!$D:$D,Einzelbeträge!$C:$C,'Ausgaben 2026'!$C161,Einzelbeträge!$E:$E,'Ausgaben 2026'!N$6)</f>
        <v>0</v>
      </c>
      <c r="O161" s="6"/>
    </row>
    <row r="162" spans="2:15" x14ac:dyDescent="0.35">
      <c r="B162" s="5"/>
      <c r="C162" s="40">
        <f t="shared" si="20"/>
        <v>46165</v>
      </c>
      <c r="D162" s="46">
        <f>SUMIFS(Einzelbeträge!$D:$D,Einzelbeträge!$C:$C,'Ausgaben 2026'!$C162)</f>
        <v>0</v>
      </c>
      <c r="E162" s="21">
        <f>SUMIFS(Einzelbeträge!$D:$D,Einzelbeträge!$C:$C,'Ausgaben 2026'!$C162,Einzelbeträge!$E:$E,'Ausgaben 2026'!E$6)</f>
        <v>0</v>
      </c>
      <c r="F162" s="21">
        <f>SUMIFS(Einzelbeträge!$D:$D,Einzelbeträge!$C:$C,'Ausgaben 2026'!$C162,Einzelbeträge!$E:$E,'Ausgaben 2026'!F$6)</f>
        <v>0</v>
      </c>
      <c r="G162" s="21">
        <f>SUMIFS(Einzelbeträge!$D:$D,Einzelbeträge!$C:$C,'Ausgaben 2026'!$C162,Einzelbeträge!$E:$E,'Ausgaben 2026'!G$6)</f>
        <v>0</v>
      </c>
      <c r="H162" s="21">
        <f>SUMIFS(Einzelbeträge!$D:$D,Einzelbeträge!$C:$C,'Ausgaben 2026'!$C162,Einzelbeträge!$E:$E,'Ausgaben 2026'!H$6)</f>
        <v>0</v>
      </c>
      <c r="I162" s="21">
        <f>SUMIFS(Einzelbeträge!$D:$D,Einzelbeträge!$C:$C,'Ausgaben 2026'!$C162,Einzelbeträge!$E:$E,'Ausgaben 2026'!I$6)</f>
        <v>0</v>
      </c>
      <c r="J162" s="21">
        <f>SUMIFS(Einzelbeträge!$D:$D,Einzelbeträge!$C:$C,'Ausgaben 2026'!$C162,Einzelbeträge!$E:$E,'Ausgaben 2026'!J$6)</f>
        <v>0</v>
      </c>
      <c r="K162" s="21">
        <f>SUMIFS(Einzelbeträge!$D:$D,Einzelbeträge!$C:$C,'Ausgaben 2026'!$C162,Einzelbeträge!$E:$E,'Ausgaben 2026'!K$6)</f>
        <v>0</v>
      </c>
      <c r="L162" s="21">
        <f>SUMIFS(Einzelbeträge!$D:$D,Einzelbeträge!$C:$C,'Ausgaben 2026'!$C162,Einzelbeträge!$E:$E,'Ausgaben 2026'!L$6)</f>
        <v>0</v>
      </c>
      <c r="M162" s="21">
        <f>SUMIFS(Einzelbeträge!$D:$D,Einzelbeträge!$C:$C,'Ausgaben 2026'!$C162,Einzelbeträge!$E:$E,'Ausgaben 2026'!M$6)</f>
        <v>0</v>
      </c>
      <c r="N162" s="35">
        <f>SUMIFS(Einzelbeträge!$D:$D,Einzelbeträge!$C:$C,'Ausgaben 2026'!$C162,Einzelbeträge!$E:$E,'Ausgaben 2026'!N$6)</f>
        <v>0</v>
      </c>
      <c r="O162" s="6"/>
    </row>
    <row r="163" spans="2:15" x14ac:dyDescent="0.35">
      <c r="B163" s="5"/>
      <c r="C163" s="40">
        <f t="shared" si="20"/>
        <v>46166</v>
      </c>
      <c r="D163" s="46">
        <f>SUMIFS(Einzelbeträge!$D:$D,Einzelbeträge!$C:$C,'Ausgaben 2026'!$C163)</f>
        <v>0</v>
      </c>
      <c r="E163" s="21">
        <f>SUMIFS(Einzelbeträge!$D:$D,Einzelbeträge!$C:$C,'Ausgaben 2026'!$C163,Einzelbeträge!$E:$E,'Ausgaben 2026'!E$6)</f>
        <v>0</v>
      </c>
      <c r="F163" s="21">
        <f>SUMIFS(Einzelbeträge!$D:$D,Einzelbeträge!$C:$C,'Ausgaben 2026'!$C163,Einzelbeträge!$E:$E,'Ausgaben 2026'!F$6)</f>
        <v>0</v>
      </c>
      <c r="G163" s="21">
        <f>SUMIFS(Einzelbeträge!$D:$D,Einzelbeträge!$C:$C,'Ausgaben 2026'!$C163,Einzelbeträge!$E:$E,'Ausgaben 2026'!G$6)</f>
        <v>0</v>
      </c>
      <c r="H163" s="21">
        <f>SUMIFS(Einzelbeträge!$D:$D,Einzelbeträge!$C:$C,'Ausgaben 2026'!$C163,Einzelbeträge!$E:$E,'Ausgaben 2026'!H$6)</f>
        <v>0</v>
      </c>
      <c r="I163" s="21">
        <f>SUMIFS(Einzelbeträge!$D:$D,Einzelbeträge!$C:$C,'Ausgaben 2026'!$C163,Einzelbeträge!$E:$E,'Ausgaben 2026'!I$6)</f>
        <v>0</v>
      </c>
      <c r="J163" s="21">
        <f>SUMIFS(Einzelbeträge!$D:$D,Einzelbeträge!$C:$C,'Ausgaben 2026'!$C163,Einzelbeträge!$E:$E,'Ausgaben 2026'!J$6)</f>
        <v>0</v>
      </c>
      <c r="K163" s="21">
        <f>SUMIFS(Einzelbeträge!$D:$D,Einzelbeträge!$C:$C,'Ausgaben 2026'!$C163,Einzelbeträge!$E:$E,'Ausgaben 2026'!K$6)</f>
        <v>0</v>
      </c>
      <c r="L163" s="21">
        <f>SUMIFS(Einzelbeträge!$D:$D,Einzelbeträge!$C:$C,'Ausgaben 2026'!$C163,Einzelbeträge!$E:$E,'Ausgaben 2026'!L$6)</f>
        <v>0</v>
      </c>
      <c r="M163" s="21">
        <f>SUMIFS(Einzelbeträge!$D:$D,Einzelbeträge!$C:$C,'Ausgaben 2026'!$C163,Einzelbeträge!$E:$E,'Ausgaben 2026'!M$6)</f>
        <v>0</v>
      </c>
      <c r="N163" s="35">
        <f>SUMIFS(Einzelbeträge!$D:$D,Einzelbeträge!$C:$C,'Ausgaben 2026'!$C163,Einzelbeträge!$E:$E,'Ausgaben 2026'!N$6)</f>
        <v>0</v>
      </c>
      <c r="O163" s="6"/>
    </row>
    <row r="164" spans="2:15" x14ac:dyDescent="0.35">
      <c r="B164" s="5"/>
      <c r="C164" s="40">
        <f t="shared" si="20"/>
        <v>46167</v>
      </c>
      <c r="D164" s="46">
        <f>SUMIFS(Einzelbeträge!$D:$D,Einzelbeträge!$C:$C,'Ausgaben 2026'!$C164)</f>
        <v>0</v>
      </c>
      <c r="E164" s="21">
        <f>SUMIFS(Einzelbeträge!$D:$D,Einzelbeträge!$C:$C,'Ausgaben 2026'!$C164,Einzelbeträge!$E:$E,'Ausgaben 2026'!E$6)</f>
        <v>0</v>
      </c>
      <c r="F164" s="21">
        <f>SUMIFS(Einzelbeträge!$D:$D,Einzelbeträge!$C:$C,'Ausgaben 2026'!$C164,Einzelbeträge!$E:$E,'Ausgaben 2026'!F$6)</f>
        <v>0</v>
      </c>
      <c r="G164" s="21">
        <f>SUMIFS(Einzelbeträge!$D:$D,Einzelbeträge!$C:$C,'Ausgaben 2026'!$C164,Einzelbeträge!$E:$E,'Ausgaben 2026'!G$6)</f>
        <v>0</v>
      </c>
      <c r="H164" s="21">
        <f>SUMIFS(Einzelbeträge!$D:$D,Einzelbeträge!$C:$C,'Ausgaben 2026'!$C164,Einzelbeträge!$E:$E,'Ausgaben 2026'!H$6)</f>
        <v>0</v>
      </c>
      <c r="I164" s="21">
        <f>SUMIFS(Einzelbeträge!$D:$D,Einzelbeträge!$C:$C,'Ausgaben 2026'!$C164,Einzelbeträge!$E:$E,'Ausgaben 2026'!I$6)</f>
        <v>0</v>
      </c>
      <c r="J164" s="21">
        <f>SUMIFS(Einzelbeträge!$D:$D,Einzelbeträge!$C:$C,'Ausgaben 2026'!$C164,Einzelbeträge!$E:$E,'Ausgaben 2026'!J$6)</f>
        <v>0</v>
      </c>
      <c r="K164" s="21">
        <f>SUMIFS(Einzelbeträge!$D:$D,Einzelbeträge!$C:$C,'Ausgaben 2026'!$C164,Einzelbeträge!$E:$E,'Ausgaben 2026'!K$6)</f>
        <v>0</v>
      </c>
      <c r="L164" s="21">
        <f>SUMIFS(Einzelbeträge!$D:$D,Einzelbeträge!$C:$C,'Ausgaben 2026'!$C164,Einzelbeträge!$E:$E,'Ausgaben 2026'!L$6)</f>
        <v>0</v>
      </c>
      <c r="M164" s="21">
        <f>SUMIFS(Einzelbeträge!$D:$D,Einzelbeträge!$C:$C,'Ausgaben 2026'!$C164,Einzelbeträge!$E:$E,'Ausgaben 2026'!M$6)</f>
        <v>0</v>
      </c>
      <c r="N164" s="35">
        <f>SUMIFS(Einzelbeträge!$D:$D,Einzelbeträge!$C:$C,'Ausgaben 2026'!$C164,Einzelbeträge!$E:$E,'Ausgaben 2026'!N$6)</f>
        <v>0</v>
      </c>
      <c r="O164" s="6"/>
    </row>
    <row r="165" spans="2:15" x14ac:dyDescent="0.35">
      <c r="B165" s="5"/>
      <c r="C165" s="40">
        <f t="shared" si="20"/>
        <v>46168</v>
      </c>
      <c r="D165" s="46">
        <f>SUMIFS(Einzelbeträge!$D:$D,Einzelbeträge!$C:$C,'Ausgaben 2026'!$C165)</f>
        <v>0</v>
      </c>
      <c r="E165" s="21">
        <f>SUMIFS(Einzelbeträge!$D:$D,Einzelbeträge!$C:$C,'Ausgaben 2026'!$C165,Einzelbeträge!$E:$E,'Ausgaben 2026'!E$6)</f>
        <v>0</v>
      </c>
      <c r="F165" s="21">
        <f>SUMIFS(Einzelbeträge!$D:$D,Einzelbeträge!$C:$C,'Ausgaben 2026'!$C165,Einzelbeträge!$E:$E,'Ausgaben 2026'!F$6)</f>
        <v>0</v>
      </c>
      <c r="G165" s="21">
        <f>SUMIFS(Einzelbeträge!$D:$D,Einzelbeträge!$C:$C,'Ausgaben 2026'!$C165,Einzelbeträge!$E:$E,'Ausgaben 2026'!G$6)</f>
        <v>0</v>
      </c>
      <c r="H165" s="21">
        <f>SUMIFS(Einzelbeträge!$D:$D,Einzelbeträge!$C:$C,'Ausgaben 2026'!$C165,Einzelbeträge!$E:$E,'Ausgaben 2026'!H$6)</f>
        <v>0</v>
      </c>
      <c r="I165" s="21">
        <f>SUMIFS(Einzelbeträge!$D:$D,Einzelbeträge!$C:$C,'Ausgaben 2026'!$C165,Einzelbeträge!$E:$E,'Ausgaben 2026'!I$6)</f>
        <v>0</v>
      </c>
      <c r="J165" s="21">
        <f>SUMIFS(Einzelbeträge!$D:$D,Einzelbeträge!$C:$C,'Ausgaben 2026'!$C165,Einzelbeträge!$E:$E,'Ausgaben 2026'!J$6)</f>
        <v>0</v>
      </c>
      <c r="K165" s="21">
        <f>SUMIFS(Einzelbeträge!$D:$D,Einzelbeträge!$C:$C,'Ausgaben 2026'!$C165,Einzelbeträge!$E:$E,'Ausgaben 2026'!K$6)</f>
        <v>0</v>
      </c>
      <c r="L165" s="21">
        <f>SUMIFS(Einzelbeträge!$D:$D,Einzelbeträge!$C:$C,'Ausgaben 2026'!$C165,Einzelbeträge!$E:$E,'Ausgaben 2026'!L$6)</f>
        <v>0</v>
      </c>
      <c r="M165" s="21">
        <f>SUMIFS(Einzelbeträge!$D:$D,Einzelbeträge!$C:$C,'Ausgaben 2026'!$C165,Einzelbeträge!$E:$E,'Ausgaben 2026'!M$6)</f>
        <v>0</v>
      </c>
      <c r="N165" s="35">
        <f>SUMIFS(Einzelbeträge!$D:$D,Einzelbeträge!$C:$C,'Ausgaben 2026'!$C165,Einzelbeträge!$E:$E,'Ausgaben 2026'!N$6)</f>
        <v>0</v>
      </c>
      <c r="O165" s="6"/>
    </row>
    <row r="166" spans="2:15" x14ac:dyDescent="0.35">
      <c r="B166" s="5"/>
      <c r="C166" s="40">
        <f t="shared" si="20"/>
        <v>46169</v>
      </c>
      <c r="D166" s="46">
        <f>SUMIFS(Einzelbeträge!$D:$D,Einzelbeträge!$C:$C,'Ausgaben 2026'!$C166)</f>
        <v>0</v>
      </c>
      <c r="E166" s="21">
        <f>SUMIFS(Einzelbeträge!$D:$D,Einzelbeträge!$C:$C,'Ausgaben 2026'!$C166,Einzelbeträge!$E:$E,'Ausgaben 2026'!E$6)</f>
        <v>0</v>
      </c>
      <c r="F166" s="21">
        <f>SUMIFS(Einzelbeträge!$D:$D,Einzelbeträge!$C:$C,'Ausgaben 2026'!$C166,Einzelbeträge!$E:$E,'Ausgaben 2026'!F$6)</f>
        <v>0</v>
      </c>
      <c r="G166" s="21">
        <f>SUMIFS(Einzelbeträge!$D:$D,Einzelbeträge!$C:$C,'Ausgaben 2026'!$C166,Einzelbeträge!$E:$E,'Ausgaben 2026'!G$6)</f>
        <v>0</v>
      </c>
      <c r="H166" s="21">
        <f>SUMIFS(Einzelbeträge!$D:$D,Einzelbeträge!$C:$C,'Ausgaben 2026'!$C166,Einzelbeträge!$E:$E,'Ausgaben 2026'!H$6)</f>
        <v>0</v>
      </c>
      <c r="I166" s="21">
        <f>SUMIFS(Einzelbeträge!$D:$D,Einzelbeträge!$C:$C,'Ausgaben 2026'!$C166,Einzelbeträge!$E:$E,'Ausgaben 2026'!I$6)</f>
        <v>0</v>
      </c>
      <c r="J166" s="21">
        <f>SUMIFS(Einzelbeträge!$D:$D,Einzelbeträge!$C:$C,'Ausgaben 2026'!$C166,Einzelbeträge!$E:$E,'Ausgaben 2026'!J$6)</f>
        <v>0</v>
      </c>
      <c r="K166" s="21">
        <f>SUMIFS(Einzelbeträge!$D:$D,Einzelbeträge!$C:$C,'Ausgaben 2026'!$C166,Einzelbeträge!$E:$E,'Ausgaben 2026'!K$6)</f>
        <v>0</v>
      </c>
      <c r="L166" s="21">
        <f>SUMIFS(Einzelbeträge!$D:$D,Einzelbeträge!$C:$C,'Ausgaben 2026'!$C166,Einzelbeträge!$E:$E,'Ausgaben 2026'!L$6)</f>
        <v>0</v>
      </c>
      <c r="M166" s="21">
        <f>SUMIFS(Einzelbeträge!$D:$D,Einzelbeträge!$C:$C,'Ausgaben 2026'!$C166,Einzelbeträge!$E:$E,'Ausgaben 2026'!M$6)</f>
        <v>0</v>
      </c>
      <c r="N166" s="35">
        <f>SUMIFS(Einzelbeträge!$D:$D,Einzelbeträge!$C:$C,'Ausgaben 2026'!$C166,Einzelbeträge!$E:$E,'Ausgaben 2026'!N$6)</f>
        <v>0</v>
      </c>
      <c r="O166" s="6"/>
    </row>
    <row r="167" spans="2:15" x14ac:dyDescent="0.35">
      <c r="B167" s="5"/>
      <c r="C167" s="40">
        <f t="shared" si="20"/>
        <v>46170</v>
      </c>
      <c r="D167" s="46">
        <f>SUMIFS(Einzelbeträge!$D:$D,Einzelbeträge!$C:$C,'Ausgaben 2026'!$C167)</f>
        <v>0</v>
      </c>
      <c r="E167" s="21">
        <f>SUMIFS(Einzelbeträge!$D:$D,Einzelbeträge!$C:$C,'Ausgaben 2026'!$C167,Einzelbeträge!$E:$E,'Ausgaben 2026'!E$6)</f>
        <v>0</v>
      </c>
      <c r="F167" s="21">
        <f>SUMIFS(Einzelbeträge!$D:$D,Einzelbeträge!$C:$C,'Ausgaben 2026'!$C167,Einzelbeträge!$E:$E,'Ausgaben 2026'!F$6)</f>
        <v>0</v>
      </c>
      <c r="G167" s="21">
        <f>SUMIFS(Einzelbeträge!$D:$D,Einzelbeträge!$C:$C,'Ausgaben 2026'!$C167,Einzelbeträge!$E:$E,'Ausgaben 2026'!G$6)</f>
        <v>0</v>
      </c>
      <c r="H167" s="21">
        <f>SUMIFS(Einzelbeträge!$D:$D,Einzelbeträge!$C:$C,'Ausgaben 2026'!$C167,Einzelbeträge!$E:$E,'Ausgaben 2026'!H$6)</f>
        <v>0</v>
      </c>
      <c r="I167" s="21">
        <f>SUMIFS(Einzelbeträge!$D:$D,Einzelbeträge!$C:$C,'Ausgaben 2026'!$C167,Einzelbeträge!$E:$E,'Ausgaben 2026'!I$6)</f>
        <v>0</v>
      </c>
      <c r="J167" s="21">
        <f>SUMIFS(Einzelbeträge!$D:$D,Einzelbeträge!$C:$C,'Ausgaben 2026'!$C167,Einzelbeträge!$E:$E,'Ausgaben 2026'!J$6)</f>
        <v>0</v>
      </c>
      <c r="K167" s="21">
        <f>SUMIFS(Einzelbeträge!$D:$D,Einzelbeträge!$C:$C,'Ausgaben 2026'!$C167,Einzelbeträge!$E:$E,'Ausgaben 2026'!K$6)</f>
        <v>0</v>
      </c>
      <c r="L167" s="21">
        <f>SUMIFS(Einzelbeträge!$D:$D,Einzelbeträge!$C:$C,'Ausgaben 2026'!$C167,Einzelbeträge!$E:$E,'Ausgaben 2026'!L$6)</f>
        <v>0</v>
      </c>
      <c r="M167" s="21">
        <f>SUMIFS(Einzelbeträge!$D:$D,Einzelbeträge!$C:$C,'Ausgaben 2026'!$C167,Einzelbeträge!$E:$E,'Ausgaben 2026'!M$6)</f>
        <v>0</v>
      </c>
      <c r="N167" s="35">
        <f>SUMIFS(Einzelbeträge!$D:$D,Einzelbeträge!$C:$C,'Ausgaben 2026'!$C167,Einzelbeträge!$E:$E,'Ausgaben 2026'!N$6)</f>
        <v>0</v>
      </c>
      <c r="O167" s="6"/>
    </row>
    <row r="168" spans="2:15" x14ac:dyDescent="0.35">
      <c r="B168" s="5"/>
      <c r="C168" s="40">
        <f t="shared" si="20"/>
        <v>46171</v>
      </c>
      <c r="D168" s="46">
        <f>SUMIFS(Einzelbeträge!$D:$D,Einzelbeträge!$C:$C,'Ausgaben 2026'!$C168)</f>
        <v>0</v>
      </c>
      <c r="E168" s="21">
        <f>SUMIFS(Einzelbeträge!$D:$D,Einzelbeträge!$C:$C,'Ausgaben 2026'!$C168,Einzelbeträge!$E:$E,'Ausgaben 2026'!E$6)</f>
        <v>0</v>
      </c>
      <c r="F168" s="21">
        <f>SUMIFS(Einzelbeträge!$D:$D,Einzelbeträge!$C:$C,'Ausgaben 2026'!$C168,Einzelbeträge!$E:$E,'Ausgaben 2026'!F$6)</f>
        <v>0</v>
      </c>
      <c r="G168" s="21">
        <f>SUMIFS(Einzelbeträge!$D:$D,Einzelbeträge!$C:$C,'Ausgaben 2026'!$C168,Einzelbeträge!$E:$E,'Ausgaben 2026'!G$6)</f>
        <v>0</v>
      </c>
      <c r="H168" s="21">
        <f>SUMIFS(Einzelbeträge!$D:$D,Einzelbeträge!$C:$C,'Ausgaben 2026'!$C168,Einzelbeträge!$E:$E,'Ausgaben 2026'!H$6)</f>
        <v>0</v>
      </c>
      <c r="I168" s="21">
        <f>SUMIFS(Einzelbeträge!$D:$D,Einzelbeträge!$C:$C,'Ausgaben 2026'!$C168,Einzelbeträge!$E:$E,'Ausgaben 2026'!I$6)</f>
        <v>0</v>
      </c>
      <c r="J168" s="21">
        <f>SUMIFS(Einzelbeträge!$D:$D,Einzelbeträge!$C:$C,'Ausgaben 2026'!$C168,Einzelbeträge!$E:$E,'Ausgaben 2026'!J$6)</f>
        <v>0</v>
      </c>
      <c r="K168" s="21">
        <f>SUMIFS(Einzelbeträge!$D:$D,Einzelbeträge!$C:$C,'Ausgaben 2026'!$C168,Einzelbeträge!$E:$E,'Ausgaben 2026'!K$6)</f>
        <v>0</v>
      </c>
      <c r="L168" s="21">
        <f>SUMIFS(Einzelbeträge!$D:$D,Einzelbeträge!$C:$C,'Ausgaben 2026'!$C168,Einzelbeträge!$E:$E,'Ausgaben 2026'!L$6)</f>
        <v>0</v>
      </c>
      <c r="M168" s="21">
        <f>SUMIFS(Einzelbeträge!$D:$D,Einzelbeträge!$C:$C,'Ausgaben 2026'!$C168,Einzelbeträge!$E:$E,'Ausgaben 2026'!M$6)</f>
        <v>0</v>
      </c>
      <c r="N168" s="35">
        <f>SUMIFS(Einzelbeträge!$D:$D,Einzelbeträge!$C:$C,'Ausgaben 2026'!$C168,Einzelbeträge!$E:$E,'Ausgaben 2026'!N$6)</f>
        <v>0</v>
      </c>
      <c r="O168" s="6"/>
    </row>
    <row r="169" spans="2:15" x14ac:dyDescent="0.35">
      <c r="B169" s="5"/>
      <c r="C169" s="40">
        <f t="shared" si="20"/>
        <v>46172</v>
      </c>
      <c r="D169" s="46">
        <f>SUMIFS(Einzelbeträge!$D:$D,Einzelbeträge!$C:$C,'Ausgaben 2026'!$C169)</f>
        <v>0</v>
      </c>
      <c r="E169" s="21">
        <f>SUMIFS(Einzelbeträge!$D:$D,Einzelbeträge!$C:$C,'Ausgaben 2026'!$C169,Einzelbeträge!$E:$E,'Ausgaben 2026'!E$6)</f>
        <v>0</v>
      </c>
      <c r="F169" s="21">
        <f>SUMIFS(Einzelbeträge!$D:$D,Einzelbeträge!$C:$C,'Ausgaben 2026'!$C169,Einzelbeträge!$E:$E,'Ausgaben 2026'!F$6)</f>
        <v>0</v>
      </c>
      <c r="G169" s="21">
        <f>SUMIFS(Einzelbeträge!$D:$D,Einzelbeträge!$C:$C,'Ausgaben 2026'!$C169,Einzelbeträge!$E:$E,'Ausgaben 2026'!G$6)</f>
        <v>0</v>
      </c>
      <c r="H169" s="21">
        <f>SUMIFS(Einzelbeträge!$D:$D,Einzelbeträge!$C:$C,'Ausgaben 2026'!$C169,Einzelbeträge!$E:$E,'Ausgaben 2026'!H$6)</f>
        <v>0</v>
      </c>
      <c r="I169" s="21">
        <f>SUMIFS(Einzelbeträge!$D:$D,Einzelbeträge!$C:$C,'Ausgaben 2026'!$C169,Einzelbeträge!$E:$E,'Ausgaben 2026'!I$6)</f>
        <v>0</v>
      </c>
      <c r="J169" s="21">
        <f>SUMIFS(Einzelbeträge!$D:$D,Einzelbeträge!$C:$C,'Ausgaben 2026'!$C169,Einzelbeträge!$E:$E,'Ausgaben 2026'!J$6)</f>
        <v>0</v>
      </c>
      <c r="K169" s="21">
        <f>SUMIFS(Einzelbeträge!$D:$D,Einzelbeträge!$C:$C,'Ausgaben 2026'!$C169,Einzelbeträge!$E:$E,'Ausgaben 2026'!K$6)</f>
        <v>0</v>
      </c>
      <c r="L169" s="21">
        <f>SUMIFS(Einzelbeträge!$D:$D,Einzelbeträge!$C:$C,'Ausgaben 2026'!$C169,Einzelbeträge!$E:$E,'Ausgaben 2026'!L$6)</f>
        <v>0</v>
      </c>
      <c r="M169" s="21">
        <f>SUMIFS(Einzelbeträge!$D:$D,Einzelbeträge!$C:$C,'Ausgaben 2026'!$C169,Einzelbeträge!$E:$E,'Ausgaben 2026'!M$6)</f>
        <v>0</v>
      </c>
      <c r="N169" s="35">
        <f>SUMIFS(Einzelbeträge!$D:$D,Einzelbeträge!$C:$C,'Ausgaben 2026'!$C169,Einzelbeträge!$E:$E,'Ausgaben 2026'!N$6)</f>
        <v>0</v>
      </c>
      <c r="O169" s="6"/>
    </row>
    <row r="170" spans="2:15" x14ac:dyDescent="0.35">
      <c r="B170" s="5"/>
      <c r="C170" s="31">
        <f t="shared" si="20"/>
        <v>46173</v>
      </c>
      <c r="D170" s="47">
        <f>SUMIFS(Einzelbeträge!$D:$D,Einzelbeträge!$C:$C,'Ausgaben 2026'!$C170)</f>
        <v>0</v>
      </c>
      <c r="E170" s="37">
        <f>SUMIFS(Einzelbeträge!$D:$D,Einzelbeträge!$C:$C,'Ausgaben 2026'!$C170,Einzelbeträge!$E:$E,'Ausgaben 2026'!E$6)</f>
        <v>0</v>
      </c>
      <c r="F170" s="37">
        <f>SUMIFS(Einzelbeträge!$D:$D,Einzelbeträge!$C:$C,'Ausgaben 2026'!$C170,Einzelbeträge!$E:$E,'Ausgaben 2026'!F$6)</f>
        <v>0</v>
      </c>
      <c r="G170" s="37">
        <f>SUMIFS(Einzelbeträge!$D:$D,Einzelbeträge!$C:$C,'Ausgaben 2026'!$C170,Einzelbeträge!$E:$E,'Ausgaben 2026'!G$6)</f>
        <v>0</v>
      </c>
      <c r="H170" s="37">
        <f>SUMIFS(Einzelbeträge!$D:$D,Einzelbeträge!$C:$C,'Ausgaben 2026'!$C170,Einzelbeträge!$E:$E,'Ausgaben 2026'!H$6)</f>
        <v>0</v>
      </c>
      <c r="I170" s="37">
        <f>SUMIFS(Einzelbeträge!$D:$D,Einzelbeträge!$C:$C,'Ausgaben 2026'!$C170,Einzelbeträge!$E:$E,'Ausgaben 2026'!I$6)</f>
        <v>0</v>
      </c>
      <c r="J170" s="37">
        <f>SUMIFS(Einzelbeträge!$D:$D,Einzelbeträge!$C:$C,'Ausgaben 2026'!$C170,Einzelbeträge!$E:$E,'Ausgaben 2026'!J$6)</f>
        <v>0</v>
      </c>
      <c r="K170" s="37">
        <f>SUMIFS(Einzelbeträge!$D:$D,Einzelbeträge!$C:$C,'Ausgaben 2026'!$C170,Einzelbeträge!$E:$E,'Ausgaben 2026'!K$6)</f>
        <v>0</v>
      </c>
      <c r="L170" s="37">
        <f>SUMIFS(Einzelbeträge!$D:$D,Einzelbeträge!$C:$C,'Ausgaben 2026'!$C170,Einzelbeträge!$E:$E,'Ausgaben 2026'!L$6)</f>
        <v>0</v>
      </c>
      <c r="M170" s="37">
        <f>SUMIFS(Einzelbeträge!$D:$D,Einzelbeträge!$C:$C,'Ausgaben 2026'!$C170,Einzelbeträge!$E:$E,'Ausgaben 2026'!M$6)</f>
        <v>0</v>
      </c>
      <c r="N170" s="38">
        <f>SUMIFS(Einzelbeträge!$D:$D,Einzelbeträge!$C:$C,'Ausgaben 2026'!$C170,Einzelbeträge!$E:$E,'Ausgaben 2026'!N$6)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46174</v>
      </c>
      <c r="D174" s="45">
        <f>SUMIFS(Einzelbeträge!$D:$D,Einzelbeträge!$C:$C,'Ausgaben 2026'!$C174)</f>
        <v>0</v>
      </c>
      <c r="E174" s="32">
        <f>SUMIFS(Einzelbeträge!$D:$D,Einzelbeträge!$C:$C,'Ausgaben 2026'!$C174,Einzelbeträge!$E:$E,'Ausgaben 2026'!E$6)</f>
        <v>0</v>
      </c>
      <c r="F174" s="32">
        <f>SUMIFS(Einzelbeträge!$D:$D,Einzelbeträge!$C:$C,'Ausgaben 2026'!$C174,Einzelbeträge!$E:$E,'Ausgaben 2026'!F$6)</f>
        <v>0</v>
      </c>
      <c r="G174" s="32">
        <f>SUMIFS(Einzelbeträge!$D:$D,Einzelbeträge!$C:$C,'Ausgaben 2026'!$C174,Einzelbeträge!$E:$E,'Ausgaben 2026'!G$6)</f>
        <v>0</v>
      </c>
      <c r="H174" s="32">
        <f>SUMIFS(Einzelbeträge!$D:$D,Einzelbeträge!$C:$C,'Ausgaben 2026'!$C174,Einzelbeträge!$E:$E,'Ausgaben 2026'!H$6)</f>
        <v>0</v>
      </c>
      <c r="I174" s="32">
        <f>SUMIFS(Einzelbeträge!$D:$D,Einzelbeträge!$C:$C,'Ausgaben 2026'!$C174,Einzelbeträge!$E:$E,'Ausgaben 2026'!I$6)</f>
        <v>0</v>
      </c>
      <c r="J174" s="32">
        <f>SUMIFS(Einzelbeträge!$D:$D,Einzelbeträge!$C:$C,'Ausgaben 2026'!$C174,Einzelbeträge!$E:$E,'Ausgaben 2026'!J$6)</f>
        <v>0</v>
      </c>
      <c r="K174" s="32">
        <f>SUMIFS(Einzelbeträge!$D:$D,Einzelbeträge!$C:$C,'Ausgaben 2026'!$C174,Einzelbeträge!$E:$E,'Ausgaben 2026'!K$6)</f>
        <v>0</v>
      </c>
      <c r="L174" s="32">
        <f>SUMIFS(Einzelbeträge!$D:$D,Einzelbeträge!$C:$C,'Ausgaben 2026'!$C174,Einzelbeträge!$E:$E,'Ausgaben 2026'!L$6)</f>
        <v>0</v>
      </c>
      <c r="M174" s="32">
        <f>SUMIFS(Einzelbeträge!$D:$D,Einzelbeträge!$C:$C,'Ausgaben 2026'!$C174,Einzelbeträge!$E:$E,'Ausgaben 2026'!M$6)</f>
        <v>0</v>
      </c>
      <c r="N174" s="33">
        <f>SUMIFS(Einzelbeträge!$D:$D,Einzelbeträge!$C:$C,'Ausgaben 2026'!$C174,Einzelbeträge!$E:$E,'Ausgaben 2026'!N$6)</f>
        <v>0</v>
      </c>
      <c r="O174" s="6"/>
    </row>
    <row r="175" spans="2:15" x14ac:dyDescent="0.35">
      <c r="B175" s="5"/>
      <c r="C175" s="30">
        <f>C174+1</f>
        <v>46175</v>
      </c>
      <c r="D175" s="46">
        <f>SUMIFS(Einzelbeträge!$D:$D,Einzelbeträge!$C:$C,'Ausgaben 2026'!$C175)</f>
        <v>0</v>
      </c>
      <c r="E175" s="21">
        <f>SUMIFS(Einzelbeträge!$D:$D,Einzelbeträge!$C:$C,'Ausgaben 2026'!$C175,Einzelbeträge!$E:$E,'Ausgaben 2026'!E$6)</f>
        <v>0</v>
      </c>
      <c r="F175" s="21">
        <f>SUMIFS(Einzelbeträge!$D:$D,Einzelbeträge!$C:$C,'Ausgaben 2026'!$C175,Einzelbeträge!$E:$E,'Ausgaben 2026'!F$6)</f>
        <v>0</v>
      </c>
      <c r="G175" s="21">
        <f>SUMIFS(Einzelbeträge!$D:$D,Einzelbeträge!$C:$C,'Ausgaben 2026'!$C175,Einzelbeträge!$E:$E,'Ausgaben 2026'!G$6)</f>
        <v>0</v>
      </c>
      <c r="H175" s="21">
        <f>SUMIFS(Einzelbeträge!$D:$D,Einzelbeträge!$C:$C,'Ausgaben 2026'!$C175,Einzelbeträge!$E:$E,'Ausgaben 2026'!H$6)</f>
        <v>0</v>
      </c>
      <c r="I175" s="21">
        <f>SUMIFS(Einzelbeträge!$D:$D,Einzelbeträge!$C:$C,'Ausgaben 2026'!$C175,Einzelbeträge!$E:$E,'Ausgaben 2026'!I$6)</f>
        <v>0</v>
      </c>
      <c r="J175" s="21">
        <f>SUMIFS(Einzelbeträge!$D:$D,Einzelbeträge!$C:$C,'Ausgaben 2026'!$C175,Einzelbeträge!$E:$E,'Ausgaben 2026'!J$6)</f>
        <v>0</v>
      </c>
      <c r="K175" s="21">
        <f>SUMIFS(Einzelbeträge!$D:$D,Einzelbeträge!$C:$C,'Ausgaben 2026'!$C175,Einzelbeträge!$E:$E,'Ausgaben 2026'!K$6)</f>
        <v>0</v>
      </c>
      <c r="L175" s="21">
        <f>SUMIFS(Einzelbeträge!$D:$D,Einzelbeträge!$C:$C,'Ausgaben 2026'!$C175,Einzelbeträge!$E:$E,'Ausgaben 2026'!L$6)</f>
        <v>0</v>
      </c>
      <c r="M175" s="21">
        <f>SUMIFS(Einzelbeträge!$D:$D,Einzelbeträge!$C:$C,'Ausgaben 2026'!$C175,Einzelbeträge!$E:$E,'Ausgaben 2026'!M$6)</f>
        <v>0</v>
      </c>
      <c r="N175" s="35">
        <f>SUMIFS(Einzelbeträge!$D:$D,Einzelbeträge!$C:$C,'Ausgaben 2026'!$C175,Einzelbeträge!$E:$E,'Ausgaben 2026'!N$6)</f>
        <v>0</v>
      </c>
      <c r="O175" s="6"/>
    </row>
    <row r="176" spans="2:15" x14ac:dyDescent="0.35">
      <c r="B176" s="5"/>
      <c r="C176" s="30">
        <f t="shared" ref="C176:C203" si="21">C175+1</f>
        <v>46176</v>
      </c>
      <c r="D176" s="46">
        <f>SUMIFS(Einzelbeträge!$D:$D,Einzelbeträge!$C:$C,'Ausgaben 2026'!$C176)</f>
        <v>0</v>
      </c>
      <c r="E176" s="21">
        <f>SUMIFS(Einzelbeträge!$D:$D,Einzelbeträge!$C:$C,'Ausgaben 2026'!$C176,Einzelbeträge!$E:$E,'Ausgaben 2026'!E$6)</f>
        <v>0</v>
      </c>
      <c r="F176" s="21">
        <f>SUMIFS(Einzelbeträge!$D:$D,Einzelbeträge!$C:$C,'Ausgaben 2026'!$C176,Einzelbeträge!$E:$E,'Ausgaben 2026'!F$6)</f>
        <v>0</v>
      </c>
      <c r="G176" s="21">
        <f>SUMIFS(Einzelbeträge!$D:$D,Einzelbeträge!$C:$C,'Ausgaben 2026'!$C176,Einzelbeträge!$E:$E,'Ausgaben 2026'!G$6)</f>
        <v>0</v>
      </c>
      <c r="H176" s="21">
        <f>SUMIFS(Einzelbeträge!$D:$D,Einzelbeträge!$C:$C,'Ausgaben 2026'!$C176,Einzelbeträge!$E:$E,'Ausgaben 2026'!H$6)</f>
        <v>0</v>
      </c>
      <c r="I176" s="21">
        <f>SUMIFS(Einzelbeträge!$D:$D,Einzelbeträge!$C:$C,'Ausgaben 2026'!$C176,Einzelbeträge!$E:$E,'Ausgaben 2026'!I$6)</f>
        <v>0</v>
      </c>
      <c r="J176" s="21">
        <f>SUMIFS(Einzelbeträge!$D:$D,Einzelbeträge!$C:$C,'Ausgaben 2026'!$C176,Einzelbeträge!$E:$E,'Ausgaben 2026'!J$6)</f>
        <v>0</v>
      </c>
      <c r="K176" s="21">
        <f>SUMIFS(Einzelbeträge!$D:$D,Einzelbeträge!$C:$C,'Ausgaben 2026'!$C176,Einzelbeträge!$E:$E,'Ausgaben 2026'!K$6)</f>
        <v>0</v>
      </c>
      <c r="L176" s="21">
        <f>SUMIFS(Einzelbeträge!$D:$D,Einzelbeträge!$C:$C,'Ausgaben 2026'!$C176,Einzelbeträge!$E:$E,'Ausgaben 2026'!L$6)</f>
        <v>0</v>
      </c>
      <c r="M176" s="21">
        <f>SUMIFS(Einzelbeträge!$D:$D,Einzelbeträge!$C:$C,'Ausgaben 2026'!$C176,Einzelbeträge!$E:$E,'Ausgaben 2026'!M$6)</f>
        <v>0</v>
      </c>
      <c r="N176" s="35">
        <f>SUMIFS(Einzelbeträge!$D:$D,Einzelbeträge!$C:$C,'Ausgaben 2026'!$C176,Einzelbeträge!$E:$E,'Ausgaben 2026'!N$6)</f>
        <v>0</v>
      </c>
      <c r="O176" s="6"/>
    </row>
    <row r="177" spans="2:15" x14ac:dyDescent="0.35">
      <c r="B177" s="5"/>
      <c r="C177" s="30">
        <f t="shared" si="21"/>
        <v>46177</v>
      </c>
      <c r="D177" s="46">
        <f>SUMIFS(Einzelbeträge!$D:$D,Einzelbeträge!$C:$C,'Ausgaben 2026'!$C177)</f>
        <v>0</v>
      </c>
      <c r="E177" s="21">
        <f>SUMIFS(Einzelbeträge!$D:$D,Einzelbeträge!$C:$C,'Ausgaben 2026'!$C177,Einzelbeträge!$E:$E,'Ausgaben 2026'!E$6)</f>
        <v>0</v>
      </c>
      <c r="F177" s="21">
        <f>SUMIFS(Einzelbeträge!$D:$D,Einzelbeträge!$C:$C,'Ausgaben 2026'!$C177,Einzelbeträge!$E:$E,'Ausgaben 2026'!F$6)</f>
        <v>0</v>
      </c>
      <c r="G177" s="21">
        <f>SUMIFS(Einzelbeträge!$D:$D,Einzelbeträge!$C:$C,'Ausgaben 2026'!$C177,Einzelbeträge!$E:$E,'Ausgaben 2026'!G$6)</f>
        <v>0</v>
      </c>
      <c r="H177" s="21">
        <f>SUMIFS(Einzelbeträge!$D:$D,Einzelbeträge!$C:$C,'Ausgaben 2026'!$C177,Einzelbeträge!$E:$E,'Ausgaben 2026'!H$6)</f>
        <v>0</v>
      </c>
      <c r="I177" s="21">
        <f>SUMIFS(Einzelbeträge!$D:$D,Einzelbeträge!$C:$C,'Ausgaben 2026'!$C177,Einzelbeträge!$E:$E,'Ausgaben 2026'!I$6)</f>
        <v>0</v>
      </c>
      <c r="J177" s="21">
        <f>SUMIFS(Einzelbeträge!$D:$D,Einzelbeträge!$C:$C,'Ausgaben 2026'!$C177,Einzelbeträge!$E:$E,'Ausgaben 2026'!J$6)</f>
        <v>0</v>
      </c>
      <c r="K177" s="21">
        <f>SUMIFS(Einzelbeträge!$D:$D,Einzelbeträge!$C:$C,'Ausgaben 2026'!$C177,Einzelbeträge!$E:$E,'Ausgaben 2026'!K$6)</f>
        <v>0</v>
      </c>
      <c r="L177" s="21">
        <f>SUMIFS(Einzelbeträge!$D:$D,Einzelbeträge!$C:$C,'Ausgaben 2026'!$C177,Einzelbeträge!$E:$E,'Ausgaben 2026'!L$6)</f>
        <v>0</v>
      </c>
      <c r="M177" s="21">
        <f>SUMIFS(Einzelbeträge!$D:$D,Einzelbeträge!$C:$C,'Ausgaben 2026'!$C177,Einzelbeträge!$E:$E,'Ausgaben 2026'!M$6)</f>
        <v>0</v>
      </c>
      <c r="N177" s="35">
        <f>SUMIFS(Einzelbeträge!$D:$D,Einzelbeträge!$C:$C,'Ausgaben 2026'!$C177,Einzelbeträge!$E:$E,'Ausgaben 2026'!N$6)</f>
        <v>0</v>
      </c>
      <c r="O177" s="6"/>
    </row>
    <row r="178" spans="2:15" x14ac:dyDescent="0.35">
      <c r="B178" s="5"/>
      <c r="C178" s="30">
        <f t="shared" si="21"/>
        <v>46178</v>
      </c>
      <c r="D178" s="46">
        <f>SUMIFS(Einzelbeträge!$D:$D,Einzelbeträge!$C:$C,'Ausgaben 2026'!$C178)</f>
        <v>0</v>
      </c>
      <c r="E178" s="21">
        <f>SUMIFS(Einzelbeträge!$D:$D,Einzelbeträge!$C:$C,'Ausgaben 2026'!$C178,Einzelbeträge!$E:$E,'Ausgaben 2026'!E$6)</f>
        <v>0</v>
      </c>
      <c r="F178" s="21">
        <f>SUMIFS(Einzelbeträge!$D:$D,Einzelbeträge!$C:$C,'Ausgaben 2026'!$C178,Einzelbeträge!$E:$E,'Ausgaben 2026'!F$6)</f>
        <v>0</v>
      </c>
      <c r="G178" s="21">
        <f>SUMIFS(Einzelbeträge!$D:$D,Einzelbeträge!$C:$C,'Ausgaben 2026'!$C178,Einzelbeträge!$E:$E,'Ausgaben 2026'!G$6)</f>
        <v>0</v>
      </c>
      <c r="H178" s="21">
        <f>SUMIFS(Einzelbeträge!$D:$D,Einzelbeträge!$C:$C,'Ausgaben 2026'!$C178,Einzelbeträge!$E:$E,'Ausgaben 2026'!H$6)</f>
        <v>0</v>
      </c>
      <c r="I178" s="21">
        <f>SUMIFS(Einzelbeträge!$D:$D,Einzelbeträge!$C:$C,'Ausgaben 2026'!$C178,Einzelbeträge!$E:$E,'Ausgaben 2026'!I$6)</f>
        <v>0</v>
      </c>
      <c r="J178" s="21">
        <f>SUMIFS(Einzelbeträge!$D:$D,Einzelbeträge!$C:$C,'Ausgaben 2026'!$C178,Einzelbeträge!$E:$E,'Ausgaben 2026'!J$6)</f>
        <v>0</v>
      </c>
      <c r="K178" s="21">
        <f>SUMIFS(Einzelbeträge!$D:$D,Einzelbeträge!$C:$C,'Ausgaben 2026'!$C178,Einzelbeträge!$E:$E,'Ausgaben 2026'!K$6)</f>
        <v>0</v>
      </c>
      <c r="L178" s="21">
        <f>SUMIFS(Einzelbeträge!$D:$D,Einzelbeträge!$C:$C,'Ausgaben 2026'!$C178,Einzelbeträge!$E:$E,'Ausgaben 2026'!L$6)</f>
        <v>0</v>
      </c>
      <c r="M178" s="21">
        <f>SUMIFS(Einzelbeträge!$D:$D,Einzelbeträge!$C:$C,'Ausgaben 2026'!$C178,Einzelbeträge!$E:$E,'Ausgaben 2026'!M$6)</f>
        <v>0</v>
      </c>
      <c r="N178" s="35">
        <f>SUMIFS(Einzelbeträge!$D:$D,Einzelbeträge!$C:$C,'Ausgaben 2026'!$C178,Einzelbeträge!$E:$E,'Ausgaben 2026'!N$6)</f>
        <v>0</v>
      </c>
      <c r="O178" s="6"/>
    </row>
    <row r="179" spans="2:15" x14ac:dyDescent="0.35">
      <c r="B179" s="5"/>
      <c r="C179" s="30">
        <f t="shared" si="21"/>
        <v>46179</v>
      </c>
      <c r="D179" s="46">
        <f>SUMIFS(Einzelbeträge!$D:$D,Einzelbeträge!$C:$C,'Ausgaben 2026'!$C179)</f>
        <v>0</v>
      </c>
      <c r="E179" s="21">
        <f>SUMIFS(Einzelbeträge!$D:$D,Einzelbeträge!$C:$C,'Ausgaben 2026'!$C179,Einzelbeträge!$E:$E,'Ausgaben 2026'!E$6)</f>
        <v>0</v>
      </c>
      <c r="F179" s="21">
        <f>SUMIFS(Einzelbeträge!$D:$D,Einzelbeträge!$C:$C,'Ausgaben 2026'!$C179,Einzelbeträge!$E:$E,'Ausgaben 2026'!F$6)</f>
        <v>0</v>
      </c>
      <c r="G179" s="21">
        <f>SUMIFS(Einzelbeträge!$D:$D,Einzelbeträge!$C:$C,'Ausgaben 2026'!$C179,Einzelbeträge!$E:$E,'Ausgaben 2026'!G$6)</f>
        <v>0</v>
      </c>
      <c r="H179" s="21">
        <f>SUMIFS(Einzelbeträge!$D:$D,Einzelbeträge!$C:$C,'Ausgaben 2026'!$C179,Einzelbeträge!$E:$E,'Ausgaben 2026'!H$6)</f>
        <v>0</v>
      </c>
      <c r="I179" s="21">
        <f>SUMIFS(Einzelbeträge!$D:$D,Einzelbeträge!$C:$C,'Ausgaben 2026'!$C179,Einzelbeträge!$E:$E,'Ausgaben 2026'!I$6)</f>
        <v>0</v>
      </c>
      <c r="J179" s="21">
        <f>SUMIFS(Einzelbeträge!$D:$D,Einzelbeträge!$C:$C,'Ausgaben 2026'!$C179,Einzelbeträge!$E:$E,'Ausgaben 2026'!J$6)</f>
        <v>0</v>
      </c>
      <c r="K179" s="21">
        <f>SUMIFS(Einzelbeträge!$D:$D,Einzelbeträge!$C:$C,'Ausgaben 2026'!$C179,Einzelbeträge!$E:$E,'Ausgaben 2026'!K$6)</f>
        <v>0</v>
      </c>
      <c r="L179" s="21">
        <f>SUMIFS(Einzelbeträge!$D:$D,Einzelbeträge!$C:$C,'Ausgaben 2026'!$C179,Einzelbeträge!$E:$E,'Ausgaben 2026'!L$6)</f>
        <v>0</v>
      </c>
      <c r="M179" s="21">
        <f>SUMIFS(Einzelbeträge!$D:$D,Einzelbeträge!$C:$C,'Ausgaben 2026'!$C179,Einzelbeträge!$E:$E,'Ausgaben 2026'!M$6)</f>
        <v>0</v>
      </c>
      <c r="N179" s="35">
        <f>SUMIFS(Einzelbeträge!$D:$D,Einzelbeträge!$C:$C,'Ausgaben 2026'!$C179,Einzelbeträge!$E:$E,'Ausgaben 2026'!N$6)</f>
        <v>0</v>
      </c>
      <c r="O179" s="6"/>
    </row>
    <row r="180" spans="2:15" x14ac:dyDescent="0.35">
      <c r="B180" s="5"/>
      <c r="C180" s="30">
        <f t="shared" si="21"/>
        <v>46180</v>
      </c>
      <c r="D180" s="46">
        <f>SUMIFS(Einzelbeträge!$D:$D,Einzelbeträge!$C:$C,'Ausgaben 2026'!$C180)</f>
        <v>0</v>
      </c>
      <c r="E180" s="21">
        <f>SUMIFS(Einzelbeträge!$D:$D,Einzelbeträge!$C:$C,'Ausgaben 2026'!$C180,Einzelbeträge!$E:$E,'Ausgaben 2026'!E$6)</f>
        <v>0</v>
      </c>
      <c r="F180" s="21">
        <f>SUMIFS(Einzelbeträge!$D:$D,Einzelbeträge!$C:$C,'Ausgaben 2026'!$C180,Einzelbeträge!$E:$E,'Ausgaben 2026'!F$6)</f>
        <v>0</v>
      </c>
      <c r="G180" s="21">
        <f>SUMIFS(Einzelbeträge!$D:$D,Einzelbeträge!$C:$C,'Ausgaben 2026'!$C180,Einzelbeträge!$E:$E,'Ausgaben 2026'!G$6)</f>
        <v>0</v>
      </c>
      <c r="H180" s="21">
        <f>SUMIFS(Einzelbeträge!$D:$D,Einzelbeträge!$C:$C,'Ausgaben 2026'!$C180,Einzelbeträge!$E:$E,'Ausgaben 2026'!H$6)</f>
        <v>0</v>
      </c>
      <c r="I180" s="21">
        <f>SUMIFS(Einzelbeträge!$D:$D,Einzelbeträge!$C:$C,'Ausgaben 2026'!$C180,Einzelbeträge!$E:$E,'Ausgaben 2026'!I$6)</f>
        <v>0</v>
      </c>
      <c r="J180" s="21">
        <f>SUMIFS(Einzelbeträge!$D:$D,Einzelbeträge!$C:$C,'Ausgaben 2026'!$C180,Einzelbeträge!$E:$E,'Ausgaben 2026'!J$6)</f>
        <v>0</v>
      </c>
      <c r="K180" s="21">
        <f>SUMIFS(Einzelbeträge!$D:$D,Einzelbeträge!$C:$C,'Ausgaben 2026'!$C180,Einzelbeträge!$E:$E,'Ausgaben 2026'!K$6)</f>
        <v>0</v>
      </c>
      <c r="L180" s="21">
        <f>SUMIFS(Einzelbeträge!$D:$D,Einzelbeträge!$C:$C,'Ausgaben 2026'!$C180,Einzelbeträge!$E:$E,'Ausgaben 2026'!L$6)</f>
        <v>0</v>
      </c>
      <c r="M180" s="21">
        <f>SUMIFS(Einzelbeträge!$D:$D,Einzelbeträge!$C:$C,'Ausgaben 2026'!$C180,Einzelbeträge!$E:$E,'Ausgaben 2026'!M$6)</f>
        <v>0</v>
      </c>
      <c r="N180" s="35">
        <f>SUMIFS(Einzelbeträge!$D:$D,Einzelbeträge!$C:$C,'Ausgaben 2026'!$C180,Einzelbeträge!$E:$E,'Ausgaben 2026'!N$6)</f>
        <v>0</v>
      </c>
      <c r="O180" s="6"/>
    </row>
    <row r="181" spans="2:15" x14ac:dyDescent="0.35">
      <c r="B181" s="5"/>
      <c r="C181" s="30">
        <f t="shared" si="21"/>
        <v>46181</v>
      </c>
      <c r="D181" s="46">
        <f>SUMIFS(Einzelbeträge!$D:$D,Einzelbeträge!$C:$C,'Ausgaben 2026'!$C181)</f>
        <v>0</v>
      </c>
      <c r="E181" s="21">
        <f>SUMIFS(Einzelbeträge!$D:$D,Einzelbeträge!$C:$C,'Ausgaben 2026'!$C181,Einzelbeträge!$E:$E,'Ausgaben 2026'!E$6)</f>
        <v>0</v>
      </c>
      <c r="F181" s="21">
        <f>SUMIFS(Einzelbeträge!$D:$D,Einzelbeträge!$C:$C,'Ausgaben 2026'!$C181,Einzelbeträge!$E:$E,'Ausgaben 2026'!F$6)</f>
        <v>0</v>
      </c>
      <c r="G181" s="21">
        <f>SUMIFS(Einzelbeträge!$D:$D,Einzelbeträge!$C:$C,'Ausgaben 2026'!$C181,Einzelbeträge!$E:$E,'Ausgaben 2026'!G$6)</f>
        <v>0</v>
      </c>
      <c r="H181" s="21">
        <f>SUMIFS(Einzelbeträge!$D:$D,Einzelbeträge!$C:$C,'Ausgaben 2026'!$C181,Einzelbeträge!$E:$E,'Ausgaben 2026'!H$6)</f>
        <v>0</v>
      </c>
      <c r="I181" s="21">
        <f>SUMIFS(Einzelbeträge!$D:$D,Einzelbeträge!$C:$C,'Ausgaben 2026'!$C181,Einzelbeträge!$E:$E,'Ausgaben 2026'!I$6)</f>
        <v>0</v>
      </c>
      <c r="J181" s="21">
        <f>SUMIFS(Einzelbeträge!$D:$D,Einzelbeträge!$C:$C,'Ausgaben 2026'!$C181,Einzelbeträge!$E:$E,'Ausgaben 2026'!J$6)</f>
        <v>0</v>
      </c>
      <c r="K181" s="21">
        <f>SUMIFS(Einzelbeträge!$D:$D,Einzelbeträge!$C:$C,'Ausgaben 2026'!$C181,Einzelbeträge!$E:$E,'Ausgaben 2026'!K$6)</f>
        <v>0</v>
      </c>
      <c r="L181" s="21">
        <f>SUMIFS(Einzelbeträge!$D:$D,Einzelbeträge!$C:$C,'Ausgaben 2026'!$C181,Einzelbeträge!$E:$E,'Ausgaben 2026'!L$6)</f>
        <v>0</v>
      </c>
      <c r="M181" s="21">
        <f>SUMIFS(Einzelbeträge!$D:$D,Einzelbeträge!$C:$C,'Ausgaben 2026'!$C181,Einzelbeträge!$E:$E,'Ausgaben 2026'!M$6)</f>
        <v>0</v>
      </c>
      <c r="N181" s="35">
        <f>SUMIFS(Einzelbeträge!$D:$D,Einzelbeträge!$C:$C,'Ausgaben 2026'!$C181,Einzelbeträge!$E:$E,'Ausgaben 2026'!N$6)</f>
        <v>0</v>
      </c>
      <c r="O181" s="6"/>
    </row>
    <row r="182" spans="2:15" x14ac:dyDescent="0.35">
      <c r="B182" s="5"/>
      <c r="C182" s="30">
        <f t="shared" si="21"/>
        <v>46182</v>
      </c>
      <c r="D182" s="46">
        <f>SUMIFS(Einzelbeträge!$D:$D,Einzelbeträge!$C:$C,'Ausgaben 2026'!$C182)</f>
        <v>0</v>
      </c>
      <c r="E182" s="21">
        <f>SUMIFS(Einzelbeträge!$D:$D,Einzelbeträge!$C:$C,'Ausgaben 2026'!$C182,Einzelbeträge!$E:$E,'Ausgaben 2026'!E$6)</f>
        <v>0</v>
      </c>
      <c r="F182" s="21">
        <f>SUMIFS(Einzelbeträge!$D:$D,Einzelbeträge!$C:$C,'Ausgaben 2026'!$C182,Einzelbeträge!$E:$E,'Ausgaben 2026'!F$6)</f>
        <v>0</v>
      </c>
      <c r="G182" s="21">
        <f>SUMIFS(Einzelbeträge!$D:$D,Einzelbeträge!$C:$C,'Ausgaben 2026'!$C182,Einzelbeträge!$E:$E,'Ausgaben 2026'!G$6)</f>
        <v>0</v>
      </c>
      <c r="H182" s="21">
        <f>SUMIFS(Einzelbeträge!$D:$D,Einzelbeträge!$C:$C,'Ausgaben 2026'!$C182,Einzelbeträge!$E:$E,'Ausgaben 2026'!H$6)</f>
        <v>0</v>
      </c>
      <c r="I182" s="21">
        <f>SUMIFS(Einzelbeträge!$D:$D,Einzelbeträge!$C:$C,'Ausgaben 2026'!$C182,Einzelbeträge!$E:$E,'Ausgaben 2026'!I$6)</f>
        <v>0</v>
      </c>
      <c r="J182" s="21">
        <f>SUMIFS(Einzelbeträge!$D:$D,Einzelbeträge!$C:$C,'Ausgaben 2026'!$C182,Einzelbeträge!$E:$E,'Ausgaben 2026'!J$6)</f>
        <v>0</v>
      </c>
      <c r="K182" s="21">
        <f>SUMIFS(Einzelbeträge!$D:$D,Einzelbeträge!$C:$C,'Ausgaben 2026'!$C182,Einzelbeträge!$E:$E,'Ausgaben 2026'!K$6)</f>
        <v>0</v>
      </c>
      <c r="L182" s="21">
        <f>SUMIFS(Einzelbeträge!$D:$D,Einzelbeträge!$C:$C,'Ausgaben 2026'!$C182,Einzelbeträge!$E:$E,'Ausgaben 2026'!L$6)</f>
        <v>0</v>
      </c>
      <c r="M182" s="21">
        <f>SUMIFS(Einzelbeträge!$D:$D,Einzelbeträge!$C:$C,'Ausgaben 2026'!$C182,Einzelbeträge!$E:$E,'Ausgaben 2026'!M$6)</f>
        <v>0</v>
      </c>
      <c r="N182" s="35">
        <f>SUMIFS(Einzelbeträge!$D:$D,Einzelbeträge!$C:$C,'Ausgaben 2026'!$C182,Einzelbeträge!$E:$E,'Ausgaben 2026'!N$6)</f>
        <v>0</v>
      </c>
      <c r="O182" s="6"/>
    </row>
    <row r="183" spans="2:15" x14ac:dyDescent="0.35">
      <c r="B183" s="5"/>
      <c r="C183" s="30">
        <f t="shared" si="21"/>
        <v>46183</v>
      </c>
      <c r="D183" s="46">
        <f>SUMIFS(Einzelbeträge!$D:$D,Einzelbeträge!$C:$C,'Ausgaben 2026'!$C183)</f>
        <v>0</v>
      </c>
      <c r="E183" s="21">
        <f>SUMIFS(Einzelbeträge!$D:$D,Einzelbeträge!$C:$C,'Ausgaben 2026'!$C183,Einzelbeträge!$E:$E,'Ausgaben 2026'!E$6)</f>
        <v>0</v>
      </c>
      <c r="F183" s="21">
        <f>SUMIFS(Einzelbeträge!$D:$D,Einzelbeträge!$C:$C,'Ausgaben 2026'!$C183,Einzelbeträge!$E:$E,'Ausgaben 2026'!F$6)</f>
        <v>0</v>
      </c>
      <c r="G183" s="21">
        <f>SUMIFS(Einzelbeträge!$D:$D,Einzelbeträge!$C:$C,'Ausgaben 2026'!$C183,Einzelbeträge!$E:$E,'Ausgaben 2026'!G$6)</f>
        <v>0</v>
      </c>
      <c r="H183" s="21">
        <f>SUMIFS(Einzelbeträge!$D:$D,Einzelbeträge!$C:$C,'Ausgaben 2026'!$C183,Einzelbeträge!$E:$E,'Ausgaben 2026'!H$6)</f>
        <v>0</v>
      </c>
      <c r="I183" s="21">
        <f>SUMIFS(Einzelbeträge!$D:$D,Einzelbeträge!$C:$C,'Ausgaben 2026'!$C183,Einzelbeträge!$E:$E,'Ausgaben 2026'!I$6)</f>
        <v>0</v>
      </c>
      <c r="J183" s="21">
        <f>SUMIFS(Einzelbeträge!$D:$D,Einzelbeträge!$C:$C,'Ausgaben 2026'!$C183,Einzelbeträge!$E:$E,'Ausgaben 2026'!J$6)</f>
        <v>0</v>
      </c>
      <c r="K183" s="21">
        <f>SUMIFS(Einzelbeträge!$D:$D,Einzelbeträge!$C:$C,'Ausgaben 2026'!$C183,Einzelbeträge!$E:$E,'Ausgaben 2026'!K$6)</f>
        <v>0</v>
      </c>
      <c r="L183" s="21">
        <f>SUMIFS(Einzelbeträge!$D:$D,Einzelbeträge!$C:$C,'Ausgaben 2026'!$C183,Einzelbeträge!$E:$E,'Ausgaben 2026'!L$6)</f>
        <v>0</v>
      </c>
      <c r="M183" s="21">
        <f>SUMIFS(Einzelbeträge!$D:$D,Einzelbeträge!$C:$C,'Ausgaben 2026'!$C183,Einzelbeträge!$E:$E,'Ausgaben 2026'!M$6)</f>
        <v>0</v>
      </c>
      <c r="N183" s="35">
        <f>SUMIFS(Einzelbeträge!$D:$D,Einzelbeträge!$C:$C,'Ausgaben 2026'!$C183,Einzelbeträge!$E:$E,'Ausgaben 2026'!N$6)</f>
        <v>0</v>
      </c>
      <c r="O183" s="6"/>
    </row>
    <row r="184" spans="2:15" x14ac:dyDescent="0.35">
      <c r="B184" s="5"/>
      <c r="C184" s="30">
        <f t="shared" si="21"/>
        <v>46184</v>
      </c>
      <c r="D184" s="46">
        <f>SUMIFS(Einzelbeträge!$D:$D,Einzelbeträge!$C:$C,'Ausgaben 2026'!$C184)</f>
        <v>0</v>
      </c>
      <c r="E184" s="21">
        <f>SUMIFS(Einzelbeträge!$D:$D,Einzelbeträge!$C:$C,'Ausgaben 2026'!$C184,Einzelbeträge!$E:$E,'Ausgaben 2026'!E$6)</f>
        <v>0</v>
      </c>
      <c r="F184" s="21">
        <f>SUMIFS(Einzelbeträge!$D:$D,Einzelbeträge!$C:$C,'Ausgaben 2026'!$C184,Einzelbeträge!$E:$E,'Ausgaben 2026'!F$6)</f>
        <v>0</v>
      </c>
      <c r="G184" s="21">
        <f>SUMIFS(Einzelbeträge!$D:$D,Einzelbeträge!$C:$C,'Ausgaben 2026'!$C184,Einzelbeträge!$E:$E,'Ausgaben 2026'!G$6)</f>
        <v>0</v>
      </c>
      <c r="H184" s="21">
        <f>SUMIFS(Einzelbeträge!$D:$D,Einzelbeträge!$C:$C,'Ausgaben 2026'!$C184,Einzelbeträge!$E:$E,'Ausgaben 2026'!H$6)</f>
        <v>0</v>
      </c>
      <c r="I184" s="21">
        <f>SUMIFS(Einzelbeträge!$D:$D,Einzelbeträge!$C:$C,'Ausgaben 2026'!$C184,Einzelbeträge!$E:$E,'Ausgaben 2026'!I$6)</f>
        <v>0</v>
      </c>
      <c r="J184" s="21">
        <f>SUMIFS(Einzelbeträge!$D:$D,Einzelbeträge!$C:$C,'Ausgaben 2026'!$C184,Einzelbeträge!$E:$E,'Ausgaben 2026'!J$6)</f>
        <v>0</v>
      </c>
      <c r="K184" s="21">
        <f>SUMIFS(Einzelbeträge!$D:$D,Einzelbeträge!$C:$C,'Ausgaben 2026'!$C184,Einzelbeträge!$E:$E,'Ausgaben 2026'!K$6)</f>
        <v>0</v>
      </c>
      <c r="L184" s="21">
        <f>SUMIFS(Einzelbeträge!$D:$D,Einzelbeträge!$C:$C,'Ausgaben 2026'!$C184,Einzelbeträge!$E:$E,'Ausgaben 2026'!L$6)</f>
        <v>0</v>
      </c>
      <c r="M184" s="21">
        <f>SUMIFS(Einzelbeträge!$D:$D,Einzelbeträge!$C:$C,'Ausgaben 2026'!$C184,Einzelbeträge!$E:$E,'Ausgaben 2026'!M$6)</f>
        <v>0</v>
      </c>
      <c r="N184" s="35">
        <f>SUMIFS(Einzelbeträge!$D:$D,Einzelbeträge!$C:$C,'Ausgaben 2026'!$C184,Einzelbeträge!$E:$E,'Ausgaben 2026'!N$6)</f>
        <v>0</v>
      </c>
      <c r="O184" s="6"/>
    </row>
    <row r="185" spans="2:15" x14ac:dyDescent="0.35">
      <c r="B185" s="5"/>
      <c r="C185" s="30">
        <f t="shared" si="21"/>
        <v>46185</v>
      </c>
      <c r="D185" s="46">
        <f>SUMIFS(Einzelbeträge!$D:$D,Einzelbeträge!$C:$C,'Ausgaben 2026'!$C185)</f>
        <v>0</v>
      </c>
      <c r="E185" s="21">
        <f>SUMIFS(Einzelbeträge!$D:$D,Einzelbeträge!$C:$C,'Ausgaben 2026'!$C185,Einzelbeträge!$E:$E,'Ausgaben 2026'!E$6)</f>
        <v>0</v>
      </c>
      <c r="F185" s="21">
        <f>SUMIFS(Einzelbeträge!$D:$D,Einzelbeträge!$C:$C,'Ausgaben 2026'!$C185,Einzelbeträge!$E:$E,'Ausgaben 2026'!F$6)</f>
        <v>0</v>
      </c>
      <c r="G185" s="21">
        <f>SUMIFS(Einzelbeträge!$D:$D,Einzelbeträge!$C:$C,'Ausgaben 2026'!$C185,Einzelbeträge!$E:$E,'Ausgaben 2026'!G$6)</f>
        <v>0</v>
      </c>
      <c r="H185" s="21">
        <f>SUMIFS(Einzelbeträge!$D:$D,Einzelbeträge!$C:$C,'Ausgaben 2026'!$C185,Einzelbeträge!$E:$E,'Ausgaben 2026'!H$6)</f>
        <v>0</v>
      </c>
      <c r="I185" s="21">
        <f>SUMIFS(Einzelbeträge!$D:$D,Einzelbeträge!$C:$C,'Ausgaben 2026'!$C185,Einzelbeträge!$E:$E,'Ausgaben 2026'!I$6)</f>
        <v>0</v>
      </c>
      <c r="J185" s="21">
        <f>SUMIFS(Einzelbeträge!$D:$D,Einzelbeträge!$C:$C,'Ausgaben 2026'!$C185,Einzelbeträge!$E:$E,'Ausgaben 2026'!J$6)</f>
        <v>0</v>
      </c>
      <c r="K185" s="21">
        <f>SUMIFS(Einzelbeträge!$D:$D,Einzelbeträge!$C:$C,'Ausgaben 2026'!$C185,Einzelbeträge!$E:$E,'Ausgaben 2026'!K$6)</f>
        <v>0</v>
      </c>
      <c r="L185" s="21">
        <f>SUMIFS(Einzelbeträge!$D:$D,Einzelbeträge!$C:$C,'Ausgaben 2026'!$C185,Einzelbeträge!$E:$E,'Ausgaben 2026'!L$6)</f>
        <v>0</v>
      </c>
      <c r="M185" s="21">
        <f>SUMIFS(Einzelbeträge!$D:$D,Einzelbeträge!$C:$C,'Ausgaben 2026'!$C185,Einzelbeträge!$E:$E,'Ausgaben 2026'!M$6)</f>
        <v>0</v>
      </c>
      <c r="N185" s="35">
        <f>SUMIFS(Einzelbeträge!$D:$D,Einzelbeträge!$C:$C,'Ausgaben 2026'!$C185,Einzelbeträge!$E:$E,'Ausgaben 2026'!N$6)</f>
        <v>0</v>
      </c>
      <c r="O185" s="6"/>
    </row>
    <row r="186" spans="2:15" x14ac:dyDescent="0.35">
      <c r="B186" s="5"/>
      <c r="C186" s="30">
        <f t="shared" si="21"/>
        <v>46186</v>
      </c>
      <c r="D186" s="46">
        <f>SUMIFS(Einzelbeträge!$D:$D,Einzelbeträge!$C:$C,'Ausgaben 2026'!$C186)</f>
        <v>0</v>
      </c>
      <c r="E186" s="21">
        <f>SUMIFS(Einzelbeträge!$D:$D,Einzelbeträge!$C:$C,'Ausgaben 2026'!$C186,Einzelbeträge!$E:$E,'Ausgaben 2026'!E$6)</f>
        <v>0</v>
      </c>
      <c r="F186" s="21">
        <f>SUMIFS(Einzelbeträge!$D:$D,Einzelbeträge!$C:$C,'Ausgaben 2026'!$C186,Einzelbeträge!$E:$E,'Ausgaben 2026'!F$6)</f>
        <v>0</v>
      </c>
      <c r="G186" s="21">
        <f>SUMIFS(Einzelbeträge!$D:$D,Einzelbeträge!$C:$C,'Ausgaben 2026'!$C186,Einzelbeträge!$E:$E,'Ausgaben 2026'!G$6)</f>
        <v>0</v>
      </c>
      <c r="H186" s="21">
        <f>SUMIFS(Einzelbeträge!$D:$D,Einzelbeträge!$C:$C,'Ausgaben 2026'!$C186,Einzelbeträge!$E:$E,'Ausgaben 2026'!H$6)</f>
        <v>0</v>
      </c>
      <c r="I186" s="21">
        <f>SUMIFS(Einzelbeträge!$D:$D,Einzelbeträge!$C:$C,'Ausgaben 2026'!$C186,Einzelbeträge!$E:$E,'Ausgaben 2026'!I$6)</f>
        <v>0</v>
      </c>
      <c r="J186" s="21">
        <f>SUMIFS(Einzelbeträge!$D:$D,Einzelbeträge!$C:$C,'Ausgaben 2026'!$C186,Einzelbeträge!$E:$E,'Ausgaben 2026'!J$6)</f>
        <v>0</v>
      </c>
      <c r="K186" s="21">
        <f>SUMIFS(Einzelbeträge!$D:$D,Einzelbeträge!$C:$C,'Ausgaben 2026'!$C186,Einzelbeträge!$E:$E,'Ausgaben 2026'!K$6)</f>
        <v>0</v>
      </c>
      <c r="L186" s="21">
        <f>SUMIFS(Einzelbeträge!$D:$D,Einzelbeträge!$C:$C,'Ausgaben 2026'!$C186,Einzelbeträge!$E:$E,'Ausgaben 2026'!L$6)</f>
        <v>0</v>
      </c>
      <c r="M186" s="21">
        <f>SUMIFS(Einzelbeträge!$D:$D,Einzelbeträge!$C:$C,'Ausgaben 2026'!$C186,Einzelbeträge!$E:$E,'Ausgaben 2026'!M$6)</f>
        <v>0</v>
      </c>
      <c r="N186" s="35">
        <f>SUMIFS(Einzelbeträge!$D:$D,Einzelbeträge!$C:$C,'Ausgaben 2026'!$C186,Einzelbeträge!$E:$E,'Ausgaben 2026'!N$6)</f>
        <v>0</v>
      </c>
      <c r="O186" s="6"/>
    </row>
    <row r="187" spans="2:15" x14ac:dyDescent="0.35">
      <c r="B187" s="5"/>
      <c r="C187" s="30">
        <f t="shared" si="21"/>
        <v>46187</v>
      </c>
      <c r="D187" s="46">
        <f>SUMIFS(Einzelbeträge!$D:$D,Einzelbeträge!$C:$C,'Ausgaben 2026'!$C187)</f>
        <v>0</v>
      </c>
      <c r="E187" s="21">
        <f>SUMIFS(Einzelbeträge!$D:$D,Einzelbeträge!$C:$C,'Ausgaben 2026'!$C187,Einzelbeträge!$E:$E,'Ausgaben 2026'!E$6)</f>
        <v>0</v>
      </c>
      <c r="F187" s="21">
        <f>SUMIFS(Einzelbeträge!$D:$D,Einzelbeträge!$C:$C,'Ausgaben 2026'!$C187,Einzelbeträge!$E:$E,'Ausgaben 2026'!F$6)</f>
        <v>0</v>
      </c>
      <c r="G187" s="21">
        <f>SUMIFS(Einzelbeträge!$D:$D,Einzelbeträge!$C:$C,'Ausgaben 2026'!$C187,Einzelbeträge!$E:$E,'Ausgaben 2026'!G$6)</f>
        <v>0</v>
      </c>
      <c r="H187" s="21">
        <f>SUMIFS(Einzelbeträge!$D:$D,Einzelbeträge!$C:$C,'Ausgaben 2026'!$C187,Einzelbeträge!$E:$E,'Ausgaben 2026'!H$6)</f>
        <v>0</v>
      </c>
      <c r="I187" s="21">
        <f>SUMIFS(Einzelbeträge!$D:$D,Einzelbeträge!$C:$C,'Ausgaben 2026'!$C187,Einzelbeträge!$E:$E,'Ausgaben 2026'!I$6)</f>
        <v>0</v>
      </c>
      <c r="J187" s="21">
        <f>SUMIFS(Einzelbeträge!$D:$D,Einzelbeträge!$C:$C,'Ausgaben 2026'!$C187,Einzelbeträge!$E:$E,'Ausgaben 2026'!J$6)</f>
        <v>0</v>
      </c>
      <c r="K187" s="21">
        <f>SUMIFS(Einzelbeträge!$D:$D,Einzelbeträge!$C:$C,'Ausgaben 2026'!$C187,Einzelbeträge!$E:$E,'Ausgaben 2026'!K$6)</f>
        <v>0</v>
      </c>
      <c r="L187" s="21">
        <f>SUMIFS(Einzelbeträge!$D:$D,Einzelbeträge!$C:$C,'Ausgaben 2026'!$C187,Einzelbeträge!$E:$E,'Ausgaben 2026'!L$6)</f>
        <v>0</v>
      </c>
      <c r="M187" s="21">
        <f>SUMIFS(Einzelbeträge!$D:$D,Einzelbeträge!$C:$C,'Ausgaben 2026'!$C187,Einzelbeträge!$E:$E,'Ausgaben 2026'!M$6)</f>
        <v>0</v>
      </c>
      <c r="N187" s="35">
        <f>SUMIFS(Einzelbeträge!$D:$D,Einzelbeträge!$C:$C,'Ausgaben 2026'!$C187,Einzelbeträge!$E:$E,'Ausgaben 2026'!N$6)</f>
        <v>0</v>
      </c>
      <c r="O187" s="6"/>
    </row>
    <row r="188" spans="2:15" x14ac:dyDescent="0.35">
      <c r="B188" s="5"/>
      <c r="C188" s="30">
        <f t="shared" si="21"/>
        <v>46188</v>
      </c>
      <c r="D188" s="46">
        <f>SUMIFS(Einzelbeträge!$D:$D,Einzelbeträge!$C:$C,'Ausgaben 2026'!$C188)</f>
        <v>0</v>
      </c>
      <c r="E188" s="21">
        <f>SUMIFS(Einzelbeträge!$D:$D,Einzelbeträge!$C:$C,'Ausgaben 2026'!$C188,Einzelbeträge!$E:$E,'Ausgaben 2026'!E$6)</f>
        <v>0</v>
      </c>
      <c r="F188" s="21">
        <f>SUMIFS(Einzelbeträge!$D:$D,Einzelbeträge!$C:$C,'Ausgaben 2026'!$C188,Einzelbeträge!$E:$E,'Ausgaben 2026'!F$6)</f>
        <v>0</v>
      </c>
      <c r="G188" s="21">
        <f>SUMIFS(Einzelbeträge!$D:$D,Einzelbeträge!$C:$C,'Ausgaben 2026'!$C188,Einzelbeträge!$E:$E,'Ausgaben 2026'!G$6)</f>
        <v>0</v>
      </c>
      <c r="H188" s="21">
        <f>SUMIFS(Einzelbeträge!$D:$D,Einzelbeträge!$C:$C,'Ausgaben 2026'!$C188,Einzelbeträge!$E:$E,'Ausgaben 2026'!H$6)</f>
        <v>0</v>
      </c>
      <c r="I188" s="21">
        <f>SUMIFS(Einzelbeträge!$D:$D,Einzelbeträge!$C:$C,'Ausgaben 2026'!$C188,Einzelbeträge!$E:$E,'Ausgaben 2026'!I$6)</f>
        <v>0</v>
      </c>
      <c r="J188" s="21">
        <f>SUMIFS(Einzelbeträge!$D:$D,Einzelbeträge!$C:$C,'Ausgaben 2026'!$C188,Einzelbeträge!$E:$E,'Ausgaben 2026'!J$6)</f>
        <v>0</v>
      </c>
      <c r="K188" s="21">
        <f>SUMIFS(Einzelbeträge!$D:$D,Einzelbeträge!$C:$C,'Ausgaben 2026'!$C188,Einzelbeträge!$E:$E,'Ausgaben 2026'!K$6)</f>
        <v>0</v>
      </c>
      <c r="L188" s="21">
        <f>SUMIFS(Einzelbeträge!$D:$D,Einzelbeträge!$C:$C,'Ausgaben 2026'!$C188,Einzelbeträge!$E:$E,'Ausgaben 2026'!L$6)</f>
        <v>0</v>
      </c>
      <c r="M188" s="21">
        <f>SUMIFS(Einzelbeträge!$D:$D,Einzelbeträge!$C:$C,'Ausgaben 2026'!$C188,Einzelbeträge!$E:$E,'Ausgaben 2026'!M$6)</f>
        <v>0</v>
      </c>
      <c r="N188" s="35">
        <f>SUMIFS(Einzelbeträge!$D:$D,Einzelbeträge!$C:$C,'Ausgaben 2026'!$C188,Einzelbeträge!$E:$E,'Ausgaben 2026'!N$6)</f>
        <v>0</v>
      </c>
      <c r="O188" s="6"/>
    </row>
    <row r="189" spans="2:15" x14ac:dyDescent="0.35">
      <c r="B189" s="5"/>
      <c r="C189" s="30">
        <f t="shared" si="21"/>
        <v>46189</v>
      </c>
      <c r="D189" s="46">
        <f>SUMIFS(Einzelbeträge!$D:$D,Einzelbeträge!$C:$C,'Ausgaben 2026'!$C189)</f>
        <v>0</v>
      </c>
      <c r="E189" s="21">
        <f>SUMIFS(Einzelbeträge!$D:$D,Einzelbeträge!$C:$C,'Ausgaben 2026'!$C189,Einzelbeträge!$E:$E,'Ausgaben 2026'!E$6)</f>
        <v>0</v>
      </c>
      <c r="F189" s="21">
        <f>SUMIFS(Einzelbeträge!$D:$D,Einzelbeträge!$C:$C,'Ausgaben 2026'!$C189,Einzelbeträge!$E:$E,'Ausgaben 2026'!F$6)</f>
        <v>0</v>
      </c>
      <c r="G189" s="21">
        <f>SUMIFS(Einzelbeträge!$D:$D,Einzelbeträge!$C:$C,'Ausgaben 2026'!$C189,Einzelbeträge!$E:$E,'Ausgaben 2026'!G$6)</f>
        <v>0</v>
      </c>
      <c r="H189" s="21">
        <f>SUMIFS(Einzelbeträge!$D:$D,Einzelbeträge!$C:$C,'Ausgaben 2026'!$C189,Einzelbeträge!$E:$E,'Ausgaben 2026'!H$6)</f>
        <v>0</v>
      </c>
      <c r="I189" s="21">
        <f>SUMIFS(Einzelbeträge!$D:$D,Einzelbeträge!$C:$C,'Ausgaben 2026'!$C189,Einzelbeträge!$E:$E,'Ausgaben 2026'!I$6)</f>
        <v>0</v>
      </c>
      <c r="J189" s="21">
        <f>SUMIFS(Einzelbeträge!$D:$D,Einzelbeträge!$C:$C,'Ausgaben 2026'!$C189,Einzelbeträge!$E:$E,'Ausgaben 2026'!J$6)</f>
        <v>0</v>
      </c>
      <c r="K189" s="21">
        <f>SUMIFS(Einzelbeträge!$D:$D,Einzelbeträge!$C:$C,'Ausgaben 2026'!$C189,Einzelbeträge!$E:$E,'Ausgaben 2026'!K$6)</f>
        <v>0</v>
      </c>
      <c r="L189" s="21">
        <f>SUMIFS(Einzelbeträge!$D:$D,Einzelbeträge!$C:$C,'Ausgaben 2026'!$C189,Einzelbeträge!$E:$E,'Ausgaben 2026'!L$6)</f>
        <v>0</v>
      </c>
      <c r="M189" s="21">
        <f>SUMIFS(Einzelbeträge!$D:$D,Einzelbeträge!$C:$C,'Ausgaben 2026'!$C189,Einzelbeträge!$E:$E,'Ausgaben 2026'!M$6)</f>
        <v>0</v>
      </c>
      <c r="N189" s="35">
        <f>SUMIFS(Einzelbeträge!$D:$D,Einzelbeträge!$C:$C,'Ausgaben 2026'!$C189,Einzelbeträge!$E:$E,'Ausgaben 2026'!N$6)</f>
        <v>0</v>
      </c>
      <c r="O189" s="6"/>
    </row>
    <row r="190" spans="2:15" x14ac:dyDescent="0.35">
      <c r="B190" s="5"/>
      <c r="C190" s="30">
        <f t="shared" si="21"/>
        <v>46190</v>
      </c>
      <c r="D190" s="46">
        <f>SUMIFS(Einzelbeträge!$D:$D,Einzelbeträge!$C:$C,'Ausgaben 2026'!$C190)</f>
        <v>0</v>
      </c>
      <c r="E190" s="21">
        <f>SUMIFS(Einzelbeträge!$D:$D,Einzelbeträge!$C:$C,'Ausgaben 2026'!$C190,Einzelbeträge!$E:$E,'Ausgaben 2026'!E$6)</f>
        <v>0</v>
      </c>
      <c r="F190" s="21">
        <f>SUMIFS(Einzelbeträge!$D:$D,Einzelbeträge!$C:$C,'Ausgaben 2026'!$C190,Einzelbeträge!$E:$E,'Ausgaben 2026'!F$6)</f>
        <v>0</v>
      </c>
      <c r="G190" s="21">
        <f>SUMIFS(Einzelbeträge!$D:$D,Einzelbeträge!$C:$C,'Ausgaben 2026'!$C190,Einzelbeträge!$E:$E,'Ausgaben 2026'!G$6)</f>
        <v>0</v>
      </c>
      <c r="H190" s="21">
        <f>SUMIFS(Einzelbeträge!$D:$D,Einzelbeträge!$C:$C,'Ausgaben 2026'!$C190,Einzelbeträge!$E:$E,'Ausgaben 2026'!H$6)</f>
        <v>0</v>
      </c>
      <c r="I190" s="21">
        <f>SUMIFS(Einzelbeträge!$D:$D,Einzelbeträge!$C:$C,'Ausgaben 2026'!$C190,Einzelbeträge!$E:$E,'Ausgaben 2026'!I$6)</f>
        <v>0</v>
      </c>
      <c r="J190" s="21">
        <f>SUMIFS(Einzelbeträge!$D:$D,Einzelbeträge!$C:$C,'Ausgaben 2026'!$C190,Einzelbeträge!$E:$E,'Ausgaben 2026'!J$6)</f>
        <v>0</v>
      </c>
      <c r="K190" s="21">
        <f>SUMIFS(Einzelbeträge!$D:$D,Einzelbeträge!$C:$C,'Ausgaben 2026'!$C190,Einzelbeträge!$E:$E,'Ausgaben 2026'!K$6)</f>
        <v>0</v>
      </c>
      <c r="L190" s="21">
        <f>SUMIFS(Einzelbeträge!$D:$D,Einzelbeträge!$C:$C,'Ausgaben 2026'!$C190,Einzelbeträge!$E:$E,'Ausgaben 2026'!L$6)</f>
        <v>0</v>
      </c>
      <c r="M190" s="21">
        <f>SUMIFS(Einzelbeträge!$D:$D,Einzelbeträge!$C:$C,'Ausgaben 2026'!$C190,Einzelbeträge!$E:$E,'Ausgaben 2026'!M$6)</f>
        <v>0</v>
      </c>
      <c r="N190" s="35">
        <f>SUMIFS(Einzelbeträge!$D:$D,Einzelbeträge!$C:$C,'Ausgaben 2026'!$C190,Einzelbeträge!$E:$E,'Ausgaben 2026'!N$6)</f>
        <v>0</v>
      </c>
      <c r="O190" s="6"/>
    </row>
    <row r="191" spans="2:15" x14ac:dyDescent="0.35">
      <c r="B191" s="5"/>
      <c r="C191" s="30">
        <f t="shared" si="21"/>
        <v>46191</v>
      </c>
      <c r="D191" s="46">
        <f>SUMIFS(Einzelbeträge!$D:$D,Einzelbeträge!$C:$C,'Ausgaben 2026'!$C191)</f>
        <v>0</v>
      </c>
      <c r="E191" s="21">
        <f>SUMIFS(Einzelbeträge!$D:$D,Einzelbeträge!$C:$C,'Ausgaben 2026'!$C191,Einzelbeträge!$E:$E,'Ausgaben 2026'!E$6)</f>
        <v>0</v>
      </c>
      <c r="F191" s="21">
        <f>SUMIFS(Einzelbeträge!$D:$D,Einzelbeträge!$C:$C,'Ausgaben 2026'!$C191,Einzelbeträge!$E:$E,'Ausgaben 2026'!F$6)</f>
        <v>0</v>
      </c>
      <c r="G191" s="21">
        <f>SUMIFS(Einzelbeträge!$D:$D,Einzelbeträge!$C:$C,'Ausgaben 2026'!$C191,Einzelbeträge!$E:$E,'Ausgaben 2026'!G$6)</f>
        <v>0</v>
      </c>
      <c r="H191" s="21">
        <f>SUMIFS(Einzelbeträge!$D:$D,Einzelbeträge!$C:$C,'Ausgaben 2026'!$C191,Einzelbeträge!$E:$E,'Ausgaben 2026'!H$6)</f>
        <v>0</v>
      </c>
      <c r="I191" s="21">
        <f>SUMIFS(Einzelbeträge!$D:$D,Einzelbeträge!$C:$C,'Ausgaben 2026'!$C191,Einzelbeträge!$E:$E,'Ausgaben 2026'!I$6)</f>
        <v>0</v>
      </c>
      <c r="J191" s="21">
        <f>SUMIFS(Einzelbeträge!$D:$D,Einzelbeträge!$C:$C,'Ausgaben 2026'!$C191,Einzelbeträge!$E:$E,'Ausgaben 2026'!J$6)</f>
        <v>0</v>
      </c>
      <c r="K191" s="21">
        <f>SUMIFS(Einzelbeträge!$D:$D,Einzelbeträge!$C:$C,'Ausgaben 2026'!$C191,Einzelbeträge!$E:$E,'Ausgaben 2026'!K$6)</f>
        <v>0</v>
      </c>
      <c r="L191" s="21">
        <f>SUMIFS(Einzelbeträge!$D:$D,Einzelbeträge!$C:$C,'Ausgaben 2026'!$C191,Einzelbeträge!$E:$E,'Ausgaben 2026'!L$6)</f>
        <v>0</v>
      </c>
      <c r="M191" s="21">
        <f>SUMIFS(Einzelbeträge!$D:$D,Einzelbeträge!$C:$C,'Ausgaben 2026'!$C191,Einzelbeträge!$E:$E,'Ausgaben 2026'!M$6)</f>
        <v>0</v>
      </c>
      <c r="N191" s="35">
        <f>SUMIFS(Einzelbeträge!$D:$D,Einzelbeträge!$C:$C,'Ausgaben 2026'!$C191,Einzelbeträge!$E:$E,'Ausgaben 2026'!N$6)</f>
        <v>0</v>
      </c>
      <c r="O191" s="6"/>
    </row>
    <row r="192" spans="2:15" x14ac:dyDescent="0.35">
      <c r="B192" s="5"/>
      <c r="C192" s="30">
        <f t="shared" si="21"/>
        <v>46192</v>
      </c>
      <c r="D192" s="46">
        <f>SUMIFS(Einzelbeträge!$D:$D,Einzelbeträge!$C:$C,'Ausgaben 2026'!$C192)</f>
        <v>0</v>
      </c>
      <c r="E192" s="21">
        <f>SUMIFS(Einzelbeträge!$D:$D,Einzelbeträge!$C:$C,'Ausgaben 2026'!$C192,Einzelbeträge!$E:$E,'Ausgaben 2026'!E$6)</f>
        <v>0</v>
      </c>
      <c r="F192" s="21">
        <f>SUMIFS(Einzelbeträge!$D:$D,Einzelbeträge!$C:$C,'Ausgaben 2026'!$C192,Einzelbeträge!$E:$E,'Ausgaben 2026'!F$6)</f>
        <v>0</v>
      </c>
      <c r="G192" s="21">
        <f>SUMIFS(Einzelbeträge!$D:$D,Einzelbeträge!$C:$C,'Ausgaben 2026'!$C192,Einzelbeträge!$E:$E,'Ausgaben 2026'!G$6)</f>
        <v>0</v>
      </c>
      <c r="H192" s="21">
        <f>SUMIFS(Einzelbeträge!$D:$D,Einzelbeträge!$C:$C,'Ausgaben 2026'!$C192,Einzelbeträge!$E:$E,'Ausgaben 2026'!H$6)</f>
        <v>0</v>
      </c>
      <c r="I192" s="21">
        <f>SUMIFS(Einzelbeträge!$D:$D,Einzelbeträge!$C:$C,'Ausgaben 2026'!$C192,Einzelbeträge!$E:$E,'Ausgaben 2026'!I$6)</f>
        <v>0</v>
      </c>
      <c r="J192" s="21">
        <f>SUMIFS(Einzelbeträge!$D:$D,Einzelbeträge!$C:$C,'Ausgaben 2026'!$C192,Einzelbeträge!$E:$E,'Ausgaben 2026'!J$6)</f>
        <v>0</v>
      </c>
      <c r="K192" s="21">
        <f>SUMIFS(Einzelbeträge!$D:$D,Einzelbeträge!$C:$C,'Ausgaben 2026'!$C192,Einzelbeträge!$E:$E,'Ausgaben 2026'!K$6)</f>
        <v>0</v>
      </c>
      <c r="L192" s="21">
        <f>SUMIFS(Einzelbeträge!$D:$D,Einzelbeträge!$C:$C,'Ausgaben 2026'!$C192,Einzelbeträge!$E:$E,'Ausgaben 2026'!L$6)</f>
        <v>0</v>
      </c>
      <c r="M192" s="21">
        <f>SUMIFS(Einzelbeträge!$D:$D,Einzelbeträge!$C:$C,'Ausgaben 2026'!$C192,Einzelbeträge!$E:$E,'Ausgaben 2026'!M$6)</f>
        <v>0</v>
      </c>
      <c r="N192" s="35">
        <f>SUMIFS(Einzelbeträge!$D:$D,Einzelbeträge!$C:$C,'Ausgaben 2026'!$C192,Einzelbeträge!$E:$E,'Ausgaben 2026'!N$6)</f>
        <v>0</v>
      </c>
      <c r="O192" s="6"/>
    </row>
    <row r="193" spans="2:15" x14ac:dyDescent="0.35">
      <c r="B193" s="5"/>
      <c r="C193" s="30">
        <f t="shared" si="21"/>
        <v>46193</v>
      </c>
      <c r="D193" s="46">
        <f>SUMIFS(Einzelbeträge!$D:$D,Einzelbeträge!$C:$C,'Ausgaben 2026'!$C193)</f>
        <v>0</v>
      </c>
      <c r="E193" s="21">
        <f>SUMIFS(Einzelbeträge!$D:$D,Einzelbeträge!$C:$C,'Ausgaben 2026'!$C193,Einzelbeträge!$E:$E,'Ausgaben 2026'!E$6)</f>
        <v>0</v>
      </c>
      <c r="F193" s="21">
        <f>SUMIFS(Einzelbeträge!$D:$D,Einzelbeträge!$C:$C,'Ausgaben 2026'!$C193,Einzelbeträge!$E:$E,'Ausgaben 2026'!F$6)</f>
        <v>0</v>
      </c>
      <c r="G193" s="21">
        <f>SUMIFS(Einzelbeträge!$D:$D,Einzelbeträge!$C:$C,'Ausgaben 2026'!$C193,Einzelbeträge!$E:$E,'Ausgaben 2026'!G$6)</f>
        <v>0</v>
      </c>
      <c r="H193" s="21">
        <f>SUMIFS(Einzelbeträge!$D:$D,Einzelbeträge!$C:$C,'Ausgaben 2026'!$C193,Einzelbeträge!$E:$E,'Ausgaben 2026'!H$6)</f>
        <v>0</v>
      </c>
      <c r="I193" s="21">
        <f>SUMIFS(Einzelbeträge!$D:$D,Einzelbeträge!$C:$C,'Ausgaben 2026'!$C193,Einzelbeträge!$E:$E,'Ausgaben 2026'!I$6)</f>
        <v>0</v>
      </c>
      <c r="J193" s="21">
        <f>SUMIFS(Einzelbeträge!$D:$D,Einzelbeträge!$C:$C,'Ausgaben 2026'!$C193,Einzelbeträge!$E:$E,'Ausgaben 2026'!J$6)</f>
        <v>0</v>
      </c>
      <c r="K193" s="21">
        <f>SUMIFS(Einzelbeträge!$D:$D,Einzelbeträge!$C:$C,'Ausgaben 2026'!$C193,Einzelbeträge!$E:$E,'Ausgaben 2026'!K$6)</f>
        <v>0</v>
      </c>
      <c r="L193" s="21">
        <f>SUMIFS(Einzelbeträge!$D:$D,Einzelbeträge!$C:$C,'Ausgaben 2026'!$C193,Einzelbeträge!$E:$E,'Ausgaben 2026'!L$6)</f>
        <v>0</v>
      </c>
      <c r="M193" s="21">
        <f>SUMIFS(Einzelbeträge!$D:$D,Einzelbeträge!$C:$C,'Ausgaben 2026'!$C193,Einzelbeträge!$E:$E,'Ausgaben 2026'!M$6)</f>
        <v>0</v>
      </c>
      <c r="N193" s="35">
        <f>SUMIFS(Einzelbeträge!$D:$D,Einzelbeträge!$C:$C,'Ausgaben 2026'!$C193,Einzelbeträge!$E:$E,'Ausgaben 2026'!N$6)</f>
        <v>0</v>
      </c>
      <c r="O193" s="6"/>
    </row>
    <row r="194" spans="2:15" x14ac:dyDescent="0.35">
      <c r="B194" s="5"/>
      <c r="C194" s="30">
        <f t="shared" si="21"/>
        <v>46194</v>
      </c>
      <c r="D194" s="46">
        <f>SUMIFS(Einzelbeträge!$D:$D,Einzelbeträge!$C:$C,'Ausgaben 2026'!$C194)</f>
        <v>0</v>
      </c>
      <c r="E194" s="21">
        <f>SUMIFS(Einzelbeträge!$D:$D,Einzelbeträge!$C:$C,'Ausgaben 2026'!$C194,Einzelbeträge!$E:$E,'Ausgaben 2026'!E$6)</f>
        <v>0</v>
      </c>
      <c r="F194" s="21">
        <f>SUMIFS(Einzelbeträge!$D:$D,Einzelbeträge!$C:$C,'Ausgaben 2026'!$C194,Einzelbeträge!$E:$E,'Ausgaben 2026'!F$6)</f>
        <v>0</v>
      </c>
      <c r="G194" s="21">
        <f>SUMIFS(Einzelbeträge!$D:$D,Einzelbeträge!$C:$C,'Ausgaben 2026'!$C194,Einzelbeträge!$E:$E,'Ausgaben 2026'!G$6)</f>
        <v>0</v>
      </c>
      <c r="H194" s="21">
        <f>SUMIFS(Einzelbeträge!$D:$D,Einzelbeträge!$C:$C,'Ausgaben 2026'!$C194,Einzelbeträge!$E:$E,'Ausgaben 2026'!H$6)</f>
        <v>0</v>
      </c>
      <c r="I194" s="21">
        <f>SUMIFS(Einzelbeträge!$D:$D,Einzelbeträge!$C:$C,'Ausgaben 2026'!$C194,Einzelbeträge!$E:$E,'Ausgaben 2026'!I$6)</f>
        <v>0</v>
      </c>
      <c r="J194" s="21">
        <f>SUMIFS(Einzelbeträge!$D:$D,Einzelbeträge!$C:$C,'Ausgaben 2026'!$C194,Einzelbeträge!$E:$E,'Ausgaben 2026'!J$6)</f>
        <v>0</v>
      </c>
      <c r="K194" s="21">
        <f>SUMIFS(Einzelbeträge!$D:$D,Einzelbeträge!$C:$C,'Ausgaben 2026'!$C194,Einzelbeträge!$E:$E,'Ausgaben 2026'!K$6)</f>
        <v>0</v>
      </c>
      <c r="L194" s="21">
        <f>SUMIFS(Einzelbeträge!$D:$D,Einzelbeträge!$C:$C,'Ausgaben 2026'!$C194,Einzelbeträge!$E:$E,'Ausgaben 2026'!L$6)</f>
        <v>0</v>
      </c>
      <c r="M194" s="21">
        <f>SUMIFS(Einzelbeträge!$D:$D,Einzelbeträge!$C:$C,'Ausgaben 2026'!$C194,Einzelbeträge!$E:$E,'Ausgaben 2026'!M$6)</f>
        <v>0</v>
      </c>
      <c r="N194" s="35">
        <f>SUMIFS(Einzelbeträge!$D:$D,Einzelbeträge!$C:$C,'Ausgaben 2026'!$C194,Einzelbeträge!$E:$E,'Ausgaben 2026'!N$6)</f>
        <v>0</v>
      </c>
      <c r="O194" s="6"/>
    </row>
    <row r="195" spans="2:15" x14ac:dyDescent="0.35">
      <c r="B195" s="5"/>
      <c r="C195" s="30">
        <f t="shared" si="21"/>
        <v>46195</v>
      </c>
      <c r="D195" s="46">
        <f>SUMIFS(Einzelbeträge!$D:$D,Einzelbeträge!$C:$C,'Ausgaben 2026'!$C195)</f>
        <v>0</v>
      </c>
      <c r="E195" s="21">
        <f>SUMIFS(Einzelbeträge!$D:$D,Einzelbeträge!$C:$C,'Ausgaben 2026'!$C195,Einzelbeträge!$E:$E,'Ausgaben 2026'!E$6)</f>
        <v>0</v>
      </c>
      <c r="F195" s="21">
        <f>SUMIFS(Einzelbeträge!$D:$D,Einzelbeträge!$C:$C,'Ausgaben 2026'!$C195,Einzelbeträge!$E:$E,'Ausgaben 2026'!F$6)</f>
        <v>0</v>
      </c>
      <c r="G195" s="21">
        <f>SUMIFS(Einzelbeträge!$D:$D,Einzelbeträge!$C:$C,'Ausgaben 2026'!$C195,Einzelbeträge!$E:$E,'Ausgaben 2026'!G$6)</f>
        <v>0</v>
      </c>
      <c r="H195" s="21">
        <f>SUMIFS(Einzelbeträge!$D:$D,Einzelbeträge!$C:$C,'Ausgaben 2026'!$C195,Einzelbeträge!$E:$E,'Ausgaben 2026'!H$6)</f>
        <v>0</v>
      </c>
      <c r="I195" s="21">
        <f>SUMIFS(Einzelbeträge!$D:$D,Einzelbeträge!$C:$C,'Ausgaben 2026'!$C195,Einzelbeträge!$E:$E,'Ausgaben 2026'!I$6)</f>
        <v>0</v>
      </c>
      <c r="J195" s="21">
        <f>SUMIFS(Einzelbeträge!$D:$D,Einzelbeträge!$C:$C,'Ausgaben 2026'!$C195,Einzelbeträge!$E:$E,'Ausgaben 2026'!J$6)</f>
        <v>0</v>
      </c>
      <c r="K195" s="21">
        <f>SUMIFS(Einzelbeträge!$D:$D,Einzelbeträge!$C:$C,'Ausgaben 2026'!$C195,Einzelbeträge!$E:$E,'Ausgaben 2026'!K$6)</f>
        <v>0</v>
      </c>
      <c r="L195" s="21">
        <f>SUMIFS(Einzelbeträge!$D:$D,Einzelbeträge!$C:$C,'Ausgaben 2026'!$C195,Einzelbeträge!$E:$E,'Ausgaben 2026'!L$6)</f>
        <v>0</v>
      </c>
      <c r="M195" s="21">
        <f>SUMIFS(Einzelbeträge!$D:$D,Einzelbeträge!$C:$C,'Ausgaben 2026'!$C195,Einzelbeträge!$E:$E,'Ausgaben 2026'!M$6)</f>
        <v>0</v>
      </c>
      <c r="N195" s="35">
        <f>SUMIFS(Einzelbeträge!$D:$D,Einzelbeträge!$C:$C,'Ausgaben 2026'!$C195,Einzelbeträge!$E:$E,'Ausgaben 2026'!N$6)</f>
        <v>0</v>
      </c>
      <c r="O195" s="6"/>
    </row>
    <row r="196" spans="2:15" x14ac:dyDescent="0.35">
      <c r="B196" s="5"/>
      <c r="C196" s="30">
        <f t="shared" si="21"/>
        <v>46196</v>
      </c>
      <c r="D196" s="46">
        <f>SUMIFS(Einzelbeträge!$D:$D,Einzelbeträge!$C:$C,'Ausgaben 2026'!$C196)</f>
        <v>0</v>
      </c>
      <c r="E196" s="21">
        <f>SUMIFS(Einzelbeträge!$D:$D,Einzelbeträge!$C:$C,'Ausgaben 2026'!$C196,Einzelbeträge!$E:$E,'Ausgaben 2026'!E$6)</f>
        <v>0</v>
      </c>
      <c r="F196" s="21">
        <f>SUMIFS(Einzelbeträge!$D:$D,Einzelbeträge!$C:$C,'Ausgaben 2026'!$C196,Einzelbeträge!$E:$E,'Ausgaben 2026'!F$6)</f>
        <v>0</v>
      </c>
      <c r="G196" s="21">
        <f>SUMIFS(Einzelbeträge!$D:$D,Einzelbeträge!$C:$C,'Ausgaben 2026'!$C196,Einzelbeträge!$E:$E,'Ausgaben 2026'!G$6)</f>
        <v>0</v>
      </c>
      <c r="H196" s="21">
        <f>SUMIFS(Einzelbeträge!$D:$D,Einzelbeträge!$C:$C,'Ausgaben 2026'!$C196,Einzelbeträge!$E:$E,'Ausgaben 2026'!H$6)</f>
        <v>0</v>
      </c>
      <c r="I196" s="21">
        <f>SUMIFS(Einzelbeträge!$D:$D,Einzelbeträge!$C:$C,'Ausgaben 2026'!$C196,Einzelbeträge!$E:$E,'Ausgaben 2026'!I$6)</f>
        <v>0</v>
      </c>
      <c r="J196" s="21">
        <f>SUMIFS(Einzelbeträge!$D:$D,Einzelbeträge!$C:$C,'Ausgaben 2026'!$C196,Einzelbeträge!$E:$E,'Ausgaben 2026'!J$6)</f>
        <v>0</v>
      </c>
      <c r="K196" s="21">
        <f>SUMIFS(Einzelbeträge!$D:$D,Einzelbeträge!$C:$C,'Ausgaben 2026'!$C196,Einzelbeträge!$E:$E,'Ausgaben 2026'!K$6)</f>
        <v>0</v>
      </c>
      <c r="L196" s="21">
        <f>SUMIFS(Einzelbeträge!$D:$D,Einzelbeträge!$C:$C,'Ausgaben 2026'!$C196,Einzelbeträge!$E:$E,'Ausgaben 2026'!L$6)</f>
        <v>0</v>
      </c>
      <c r="M196" s="21">
        <f>SUMIFS(Einzelbeträge!$D:$D,Einzelbeträge!$C:$C,'Ausgaben 2026'!$C196,Einzelbeträge!$E:$E,'Ausgaben 2026'!M$6)</f>
        <v>0</v>
      </c>
      <c r="N196" s="35">
        <f>SUMIFS(Einzelbeträge!$D:$D,Einzelbeträge!$C:$C,'Ausgaben 2026'!$C196,Einzelbeträge!$E:$E,'Ausgaben 2026'!N$6)</f>
        <v>0</v>
      </c>
      <c r="O196" s="6"/>
    </row>
    <row r="197" spans="2:15" x14ac:dyDescent="0.35">
      <c r="B197" s="5"/>
      <c r="C197" s="30">
        <f t="shared" si="21"/>
        <v>46197</v>
      </c>
      <c r="D197" s="46">
        <f>SUMIFS(Einzelbeträge!$D:$D,Einzelbeträge!$C:$C,'Ausgaben 2026'!$C197)</f>
        <v>0</v>
      </c>
      <c r="E197" s="21">
        <f>SUMIFS(Einzelbeträge!$D:$D,Einzelbeträge!$C:$C,'Ausgaben 2026'!$C197,Einzelbeträge!$E:$E,'Ausgaben 2026'!E$6)</f>
        <v>0</v>
      </c>
      <c r="F197" s="21">
        <f>SUMIFS(Einzelbeträge!$D:$D,Einzelbeträge!$C:$C,'Ausgaben 2026'!$C197,Einzelbeträge!$E:$E,'Ausgaben 2026'!F$6)</f>
        <v>0</v>
      </c>
      <c r="G197" s="21">
        <f>SUMIFS(Einzelbeträge!$D:$D,Einzelbeträge!$C:$C,'Ausgaben 2026'!$C197,Einzelbeträge!$E:$E,'Ausgaben 2026'!G$6)</f>
        <v>0</v>
      </c>
      <c r="H197" s="21">
        <f>SUMIFS(Einzelbeträge!$D:$D,Einzelbeträge!$C:$C,'Ausgaben 2026'!$C197,Einzelbeträge!$E:$E,'Ausgaben 2026'!H$6)</f>
        <v>0</v>
      </c>
      <c r="I197" s="21">
        <f>SUMIFS(Einzelbeträge!$D:$D,Einzelbeträge!$C:$C,'Ausgaben 2026'!$C197,Einzelbeträge!$E:$E,'Ausgaben 2026'!I$6)</f>
        <v>0</v>
      </c>
      <c r="J197" s="21">
        <f>SUMIFS(Einzelbeträge!$D:$D,Einzelbeträge!$C:$C,'Ausgaben 2026'!$C197,Einzelbeträge!$E:$E,'Ausgaben 2026'!J$6)</f>
        <v>0</v>
      </c>
      <c r="K197" s="21">
        <f>SUMIFS(Einzelbeträge!$D:$D,Einzelbeträge!$C:$C,'Ausgaben 2026'!$C197,Einzelbeträge!$E:$E,'Ausgaben 2026'!K$6)</f>
        <v>0</v>
      </c>
      <c r="L197" s="21">
        <f>SUMIFS(Einzelbeträge!$D:$D,Einzelbeträge!$C:$C,'Ausgaben 2026'!$C197,Einzelbeträge!$E:$E,'Ausgaben 2026'!L$6)</f>
        <v>0</v>
      </c>
      <c r="M197" s="21">
        <f>SUMIFS(Einzelbeträge!$D:$D,Einzelbeträge!$C:$C,'Ausgaben 2026'!$C197,Einzelbeträge!$E:$E,'Ausgaben 2026'!M$6)</f>
        <v>0</v>
      </c>
      <c r="N197" s="35">
        <f>SUMIFS(Einzelbeträge!$D:$D,Einzelbeträge!$C:$C,'Ausgaben 2026'!$C197,Einzelbeträge!$E:$E,'Ausgaben 2026'!N$6)</f>
        <v>0</v>
      </c>
      <c r="O197" s="6"/>
    </row>
    <row r="198" spans="2:15" x14ac:dyDescent="0.35">
      <c r="B198" s="5"/>
      <c r="C198" s="30">
        <f t="shared" si="21"/>
        <v>46198</v>
      </c>
      <c r="D198" s="46">
        <f>SUMIFS(Einzelbeträge!$D:$D,Einzelbeträge!$C:$C,'Ausgaben 2026'!$C198)</f>
        <v>0</v>
      </c>
      <c r="E198" s="21">
        <f>SUMIFS(Einzelbeträge!$D:$D,Einzelbeträge!$C:$C,'Ausgaben 2026'!$C198,Einzelbeträge!$E:$E,'Ausgaben 2026'!E$6)</f>
        <v>0</v>
      </c>
      <c r="F198" s="21">
        <f>SUMIFS(Einzelbeträge!$D:$D,Einzelbeträge!$C:$C,'Ausgaben 2026'!$C198,Einzelbeträge!$E:$E,'Ausgaben 2026'!F$6)</f>
        <v>0</v>
      </c>
      <c r="G198" s="21">
        <f>SUMIFS(Einzelbeträge!$D:$D,Einzelbeträge!$C:$C,'Ausgaben 2026'!$C198,Einzelbeträge!$E:$E,'Ausgaben 2026'!G$6)</f>
        <v>0</v>
      </c>
      <c r="H198" s="21">
        <f>SUMIFS(Einzelbeträge!$D:$D,Einzelbeträge!$C:$C,'Ausgaben 2026'!$C198,Einzelbeträge!$E:$E,'Ausgaben 2026'!H$6)</f>
        <v>0</v>
      </c>
      <c r="I198" s="21">
        <f>SUMIFS(Einzelbeträge!$D:$D,Einzelbeträge!$C:$C,'Ausgaben 2026'!$C198,Einzelbeträge!$E:$E,'Ausgaben 2026'!I$6)</f>
        <v>0</v>
      </c>
      <c r="J198" s="21">
        <f>SUMIFS(Einzelbeträge!$D:$D,Einzelbeträge!$C:$C,'Ausgaben 2026'!$C198,Einzelbeträge!$E:$E,'Ausgaben 2026'!J$6)</f>
        <v>0</v>
      </c>
      <c r="K198" s="21">
        <f>SUMIFS(Einzelbeträge!$D:$D,Einzelbeträge!$C:$C,'Ausgaben 2026'!$C198,Einzelbeträge!$E:$E,'Ausgaben 2026'!K$6)</f>
        <v>0</v>
      </c>
      <c r="L198" s="21">
        <f>SUMIFS(Einzelbeträge!$D:$D,Einzelbeträge!$C:$C,'Ausgaben 2026'!$C198,Einzelbeträge!$E:$E,'Ausgaben 2026'!L$6)</f>
        <v>0</v>
      </c>
      <c r="M198" s="21">
        <f>SUMIFS(Einzelbeträge!$D:$D,Einzelbeträge!$C:$C,'Ausgaben 2026'!$C198,Einzelbeträge!$E:$E,'Ausgaben 2026'!M$6)</f>
        <v>0</v>
      </c>
      <c r="N198" s="35">
        <f>SUMIFS(Einzelbeträge!$D:$D,Einzelbeträge!$C:$C,'Ausgaben 2026'!$C198,Einzelbeträge!$E:$E,'Ausgaben 2026'!N$6)</f>
        <v>0</v>
      </c>
      <c r="O198" s="6"/>
    </row>
    <row r="199" spans="2:15" x14ac:dyDescent="0.35">
      <c r="B199" s="5"/>
      <c r="C199" s="30">
        <f t="shared" si="21"/>
        <v>46199</v>
      </c>
      <c r="D199" s="46">
        <f>SUMIFS(Einzelbeträge!$D:$D,Einzelbeträge!$C:$C,'Ausgaben 2026'!$C199)</f>
        <v>0</v>
      </c>
      <c r="E199" s="21">
        <f>SUMIFS(Einzelbeträge!$D:$D,Einzelbeträge!$C:$C,'Ausgaben 2026'!$C199,Einzelbeträge!$E:$E,'Ausgaben 2026'!E$6)</f>
        <v>0</v>
      </c>
      <c r="F199" s="21">
        <f>SUMIFS(Einzelbeträge!$D:$D,Einzelbeträge!$C:$C,'Ausgaben 2026'!$C199,Einzelbeträge!$E:$E,'Ausgaben 2026'!F$6)</f>
        <v>0</v>
      </c>
      <c r="G199" s="21">
        <f>SUMIFS(Einzelbeträge!$D:$D,Einzelbeträge!$C:$C,'Ausgaben 2026'!$C199,Einzelbeträge!$E:$E,'Ausgaben 2026'!G$6)</f>
        <v>0</v>
      </c>
      <c r="H199" s="21">
        <f>SUMIFS(Einzelbeträge!$D:$D,Einzelbeträge!$C:$C,'Ausgaben 2026'!$C199,Einzelbeträge!$E:$E,'Ausgaben 2026'!H$6)</f>
        <v>0</v>
      </c>
      <c r="I199" s="21">
        <f>SUMIFS(Einzelbeträge!$D:$D,Einzelbeträge!$C:$C,'Ausgaben 2026'!$C199,Einzelbeträge!$E:$E,'Ausgaben 2026'!I$6)</f>
        <v>0</v>
      </c>
      <c r="J199" s="21">
        <f>SUMIFS(Einzelbeträge!$D:$D,Einzelbeträge!$C:$C,'Ausgaben 2026'!$C199,Einzelbeträge!$E:$E,'Ausgaben 2026'!J$6)</f>
        <v>0</v>
      </c>
      <c r="K199" s="21">
        <f>SUMIFS(Einzelbeträge!$D:$D,Einzelbeträge!$C:$C,'Ausgaben 2026'!$C199,Einzelbeträge!$E:$E,'Ausgaben 2026'!K$6)</f>
        <v>0</v>
      </c>
      <c r="L199" s="21">
        <f>SUMIFS(Einzelbeträge!$D:$D,Einzelbeträge!$C:$C,'Ausgaben 2026'!$C199,Einzelbeträge!$E:$E,'Ausgaben 2026'!L$6)</f>
        <v>0</v>
      </c>
      <c r="M199" s="21">
        <f>SUMIFS(Einzelbeträge!$D:$D,Einzelbeträge!$C:$C,'Ausgaben 2026'!$C199,Einzelbeträge!$E:$E,'Ausgaben 2026'!M$6)</f>
        <v>0</v>
      </c>
      <c r="N199" s="35">
        <f>SUMIFS(Einzelbeträge!$D:$D,Einzelbeträge!$C:$C,'Ausgaben 2026'!$C199,Einzelbeträge!$E:$E,'Ausgaben 2026'!N$6)</f>
        <v>0</v>
      </c>
      <c r="O199" s="6"/>
    </row>
    <row r="200" spans="2:15" x14ac:dyDescent="0.35">
      <c r="B200" s="5"/>
      <c r="C200" s="30">
        <f t="shared" si="21"/>
        <v>46200</v>
      </c>
      <c r="D200" s="46">
        <f>SUMIFS(Einzelbeträge!$D:$D,Einzelbeträge!$C:$C,'Ausgaben 2026'!$C200)</f>
        <v>0</v>
      </c>
      <c r="E200" s="21">
        <f>SUMIFS(Einzelbeträge!$D:$D,Einzelbeträge!$C:$C,'Ausgaben 2026'!$C200,Einzelbeträge!$E:$E,'Ausgaben 2026'!E$6)</f>
        <v>0</v>
      </c>
      <c r="F200" s="21">
        <f>SUMIFS(Einzelbeträge!$D:$D,Einzelbeträge!$C:$C,'Ausgaben 2026'!$C200,Einzelbeträge!$E:$E,'Ausgaben 2026'!F$6)</f>
        <v>0</v>
      </c>
      <c r="G200" s="21">
        <f>SUMIFS(Einzelbeträge!$D:$D,Einzelbeträge!$C:$C,'Ausgaben 2026'!$C200,Einzelbeträge!$E:$E,'Ausgaben 2026'!G$6)</f>
        <v>0</v>
      </c>
      <c r="H200" s="21">
        <f>SUMIFS(Einzelbeträge!$D:$D,Einzelbeträge!$C:$C,'Ausgaben 2026'!$C200,Einzelbeträge!$E:$E,'Ausgaben 2026'!H$6)</f>
        <v>0</v>
      </c>
      <c r="I200" s="21">
        <f>SUMIFS(Einzelbeträge!$D:$D,Einzelbeträge!$C:$C,'Ausgaben 2026'!$C200,Einzelbeträge!$E:$E,'Ausgaben 2026'!I$6)</f>
        <v>0</v>
      </c>
      <c r="J200" s="21">
        <f>SUMIFS(Einzelbeträge!$D:$D,Einzelbeträge!$C:$C,'Ausgaben 2026'!$C200,Einzelbeträge!$E:$E,'Ausgaben 2026'!J$6)</f>
        <v>0</v>
      </c>
      <c r="K200" s="21">
        <f>SUMIFS(Einzelbeträge!$D:$D,Einzelbeträge!$C:$C,'Ausgaben 2026'!$C200,Einzelbeträge!$E:$E,'Ausgaben 2026'!K$6)</f>
        <v>0</v>
      </c>
      <c r="L200" s="21">
        <f>SUMIFS(Einzelbeträge!$D:$D,Einzelbeträge!$C:$C,'Ausgaben 2026'!$C200,Einzelbeträge!$E:$E,'Ausgaben 2026'!L$6)</f>
        <v>0</v>
      </c>
      <c r="M200" s="21">
        <f>SUMIFS(Einzelbeträge!$D:$D,Einzelbeträge!$C:$C,'Ausgaben 2026'!$C200,Einzelbeträge!$E:$E,'Ausgaben 2026'!M$6)</f>
        <v>0</v>
      </c>
      <c r="N200" s="35">
        <f>SUMIFS(Einzelbeträge!$D:$D,Einzelbeträge!$C:$C,'Ausgaben 2026'!$C200,Einzelbeträge!$E:$E,'Ausgaben 2026'!N$6)</f>
        <v>0</v>
      </c>
      <c r="O200" s="6"/>
    </row>
    <row r="201" spans="2:15" x14ac:dyDescent="0.35">
      <c r="B201" s="5"/>
      <c r="C201" s="30">
        <f t="shared" si="21"/>
        <v>46201</v>
      </c>
      <c r="D201" s="46">
        <f>SUMIFS(Einzelbeträge!$D:$D,Einzelbeträge!$C:$C,'Ausgaben 2026'!$C201)</f>
        <v>0</v>
      </c>
      <c r="E201" s="21">
        <f>SUMIFS(Einzelbeträge!$D:$D,Einzelbeträge!$C:$C,'Ausgaben 2026'!$C201,Einzelbeträge!$E:$E,'Ausgaben 2026'!E$6)</f>
        <v>0</v>
      </c>
      <c r="F201" s="21">
        <f>SUMIFS(Einzelbeträge!$D:$D,Einzelbeträge!$C:$C,'Ausgaben 2026'!$C201,Einzelbeträge!$E:$E,'Ausgaben 2026'!F$6)</f>
        <v>0</v>
      </c>
      <c r="G201" s="21">
        <f>SUMIFS(Einzelbeträge!$D:$D,Einzelbeträge!$C:$C,'Ausgaben 2026'!$C201,Einzelbeträge!$E:$E,'Ausgaben 2026'!G$6)</f>
        <v>0</v>
      </c>
      <c r="H201" s="21">
        <f>SUMIFS(Einzelbeträge!$D:$D,Einzelbeträge!$C:$C,'Ausgaben 2026'!$C201,Einzelbeträge!$E:$E,'Ausgaben 2026'!H$6)</f>
        <v>0</v>
      </c>
      <c r="I201" s="21">
        <f>SUMIFS(Einzelbeträge!$D:$D,Einzelbeträge!$C:$C,'Ausgaben 2026'!$C201,Einzelbeträge!$E:$E,'Ausgaben 2026'!I$6)</f>
        <v>0</v>
      </c>
      <c r="J201" s="21">
        <f>SUMIFS(Einzelbeträge!$D:$D,Einzelbeträge!$C:$C,'Ausgaben 2026'!$C201,Einzelbeträge!$E:$E,'Ausgaben 2026'!J$6)</f>
        <v>0</v>
      </c>
      <c r="K201" s="21">
        <f>SUMIFS(Einzelbeträge!$D:$D,Einzelbeträge!$C:$C,'Ausgaben 2026'!$C201,Einzelbeträge!$E:$E,'Ausgaben 2026'!K$6)</f>
        <v>0</v>
      </c>
      <c r="L201" s="21">
        <f>SUMIFS(Einzelbeträge!$D:$D,Einzelbeträge!$C:$C,'Ausgaben 2026'!$C201,Einzelbeträge!$E:$E,'Ausgaben 2026'!L$6)</f>
        <v>0</v>
      </c>
      <c r="M201" s="21">
        <f>SUMIFS(Einzelbeträge!$D:$D,Einzelbeträge!$C:$C,'Ausgaben 2026'!$C201,Einzelbeträge!$E:$E,'Ausgaben 2026'!M$6)</f>
        <v>0</v>
      </c>
      <c r="N201" s="35">
        <f>SUMIFS(Einzelbeträge!$D:$D,Einzelbeträge!$C:$C,'Ausgaben 2026'!$C201,Einzelbeträge!$E:$E,'Ausgaben 2026'!N$6)</f>
        <v>0</v>
      </c>
      <c r="O201" s="6"/>
    </row>
    <row r="202" spans="2:15" x14ac:dyDescent="0.35">
      <c r="B202" s="5"/>
      <c r="C202" s="30">
        <f t="shared" si="21"/>
        <v>46202</v>
      </c>
      <c r="D202" s="46">
        <f>SUMIFS(Einzelbeträge!$D:$D,Einzelbeträge!$C:$C,'Ausgaben 2026'!$C202)</f>
        <v>0</v>
      </c>
      <c r="E202" s="21">
        <f>SUMIFS(Einzelbeträge!$D:$D,Einzelbeträge!$C:$C,'Ausgaben 2026'!$C202,Einzelbeträge!$E:$E,'Ausgaben 2026'!E$6)</f>
        <v>0</v>
      </c>
      <c r="F202" s="21">
        <f>SUMIFS(Einzelbeträge!$D:$D,Einzelbeträge!$C:$C,'Ausgaben 2026'!$C202,Einzelbeträge!$E:$E,'Ausgaben 2026'!F$6)</f>
        <v>0</v>
      </c>
      <c r="G202" s="21">
        <f>SUMIFS(Einzelbeträge!$D:$D,Einzelbeträge!$C:$C,'Ausgaben 2026'!$C202,Einzelbeträge!$E:$E,'Ausgaben 2026'!G$6)</f>
        <v>0</v>
      </c>
      <c r="H202" s="21">
        <f>SUMIFS(Einzelbeträge!$D:$D,Einzelbeträge!$C:$C,'Ausgaben 2026'!$C202,Einzelbeträge!$E:$E,'Ausgaben 2026'!H$6)</f>
        <v>0</v>
      </c>
      <c r="I202" s="21">
        <f>SUMIFS(Einzelbeträge!$D:$D,Einzelbeträge!$C:$C,'Ausgaben 2026'!$C202,Einzelbeträge!$E:$E,'Ausgaben 2026'!I$6)</f>
        <v>0</v>
      </c>
      <c r="J202" s="21">
        <f>SUMIFS(Einzelbeträge!$D:$D,Einzelbeträge!$C:$C,'Ausgaben 2026'!$C202,Einzelbeträge!$E:$E,'Ausgaben 2026'!J$6)</f>
        <v>0</v>
      </c>
      <c r="K202" s="21">
        <f>SUMIFS(Einzelbeträge!$D:$D,Einzelbeträge!$C:$C,'Ausgaben 2026'!$C202,Einzelbeträge!$E:$E,'Ausgaben 2026'!K$6)</f>
        <v>0</v>
      </c>
      <c r="L202" s="21">
        <f>SUMIFS(Einzelbeträge!$D:$D,Einzelbeträge!$C:$C,'Ausgaben 2026'!$C202,Einzelbeträge!$E:$E,'Ausgaben 2026'!L$6)</f>
        <v>0</v>
      </c>
      <c r="M202" s="21">
        <f>SUMIFS(Einzelbeträge!$D:$D,Einzelbeträge!$C:$C,'Ausgaben 2026'!$C202,Einzelbeträge!$E:$E,'Ausgaben 2026'!M$6)</f>
        <v>0</v>
      </c>
      <c r="N202" s="35">
        <f>SUMIFS(Einzelbeträge!$D:$D,Einzelbeträge!$C:$C,'Ausgaben 2026'!$C202,Einzelbeträge!$E:$E,'Ausgaben 2026'!N$6)</f>
        <v>0</v>
      </c>
      <c r="O202" s="6"/>
    </row>
    <row r="203" spans="2:15" x14ac:dyDescent="0.35">
      <c r="B203" s="5"/>
      <c r="C203" s="31">
        <f t="shared" si="21"/>
        <v>46203</v>
      </c>
      <c r="D203" s="47">
        <f>SUMIFS(Einzelbeträge!$D:$D,Einzelbeträge!$C:$C,'Ausgaben 2026'!$C203)</f>
        <v>0</v>
      </c>
      <c r="E203" s="37">
        <f>SUMIFS(Einzelbeträge!$D:$D,Einzelbeträge!$C:$C,'Ausgaben 2026'!$C203,Einzelbeträge!$E:$E,'Ausgaben 2026'!E$6)</f>
        <v>0</v>
      </c>
      <c r="F203" s="37">
        <f>SUMIFS(Einzelbeträge!$D:$D,Einzelbeträge!$C:$C,'Ausgaben 2026'!$C203,Einzelbeträge!$E:$E,'Ausgaben 2026'!F$6)</f>
        <v>0</v>
      </c>
      <c r="G203" s="37">
        <f>SUMIFS(Einzelbeträge!$D:$D,Einzelbeträge!$C:$C,'Ausgaben 2026'!$C203,Einzelbeträge!$E:$E,'Ausgaben 2026'!G$6)</f>
        <v>0</v>
      </c>
      <c r="H203" s="37">
        <f>SUMIFS(Einzelbeträge!$D:$D,Einzelbeträge!$C:$C,'Ausgaben 2026'!$C203,Einzelbeträge!$E:$E,'Ausgaben 2026'!H$6)</f>
        <v>0</v>
      </c>
      <c r="I203" s="37">
        <f>SUMIFS(Einzelbeträge!$D:$D,Einzelbeträge!$C:$C,'Ausgaben 2026'!$C203,Einzelbeträge!$E:$E,'Ausgaben 2026'!I$6)</f>
        <v>0</v>
      </c>
      <c r="J203" s="37">
        <f>SUMIFS(Einzelbeträge!$D:$D,Einzelbeträge!$C:$C,'Ausgaben 2026'!$C203,Einzelbeträge!$E:$E,'Ausgaben 2026'!J$6)</f>
        <v>0</v>
      </c>
      <c r="K203" s="37">
        <f>SUMIFS(Einzelbeträge!$D:$D,Einzelbeträge!$C:$C,'Ausgaben 2026'!$C203,Einzelbeträge!$E:$E,'Ausgaben 2026'!K$6)</f>
        <v>0</v>
      </c>
      <c r="L203" s="37">
        <f>SUMIFS(Einzelbeträge!$D:$D,Einzelbeträge!$C:$C,'Ausgaben 2026'!$C203,Einzelbeträge!$E:$E,'Ausgaben 2026'!L$6)</f>
        <v>0</v>
      </c>
      <c r="M203" s="37">
        <f>SUMIFS(Einzelbeträge!$D:$D,Einzelbeträge!$C:$C,'Ausgaben 2026'!$C203,Einzelbeträge!$E:$E,'Ausgaben 2026'!M$6)</f>
        <v>0</v>
      </c>
      <c r="N203" s="38">
        <f>SUMIFS(Einzelbeträge!$D:$D,Einzelbeträge!$C:$C,'Ausgaben 2026'!$C203,Einzelbeträge!$E:$E,'Ausgaben 2026'!N$6)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46204</v>
      </c>
      <c r="D207" s="45">
        <f>SUMIFS(Einzelbeträge!$D:$D,Einzelbeträge!$C:$C,'Ausgaben 2026'!$C207)</f>
        <v>0</v>
      </c>
      <c r="E207" s="32">
        <f>SUMIFS(Einzelbeträge!$D:$D,Einzelbeträge!$C:$C,'Ausgaben 2026'!$C207,Einzelbeträge!$E:$E,'Ausgaben 2026'!E$6)</f>
        <v>0</v>
      </c>
      <c r="F207" s="32">
        <f>SUMIFS(Einzelbeträge!$D:$D,Einzelbeträge!$C:$C,'Ausgaben 2026'!$C207,Einzelbeträge!$E:$E,'Ausgaben 2026'!F$6)</f>
        <v>0</v>
      </c>
      <c r="G207" s="32">
        <f>SUMIFS(Einzelbeträge!$D:$D,Einzelbeträge!$C:$C,'Ausgaben 2026'!$C207,Einzelbeträge!$E:$E,'Ausgaben 2026'!G$6)</f>
        <v>0</v>
      </c>
      <c r="H207" s="32">
        <f>SUMIFS(Einzelbeträge!$D:$D,Einzelbeträge!$C:$C,'Ausgaben 2026'!$C207,Einzelbeträge!$E:$E,'Ausgaben 2026'!H$6)</f>
        <v>0</v>
      </c>
      <c r="I207" s="32">
        <f>SUMIFS(Einzelbeträge!$D:$D,Einzelbeträge!$C:$C,'Ausgaben 2026'!$C207,Einzelbeträge!$E:$E,'Ausgaben 2026'!I$6)</f>
        <v>0</v>
      </c>
      <c r="J207" s="32">
        <f>SUMIFS(Einzelbeträge!$D:$D,Einzelbeträge!$C:$C,'Ausgaben 2026'!$C207,Einzelbeträge!$E:$E,'Ausgaben 2026'!J$6)</f>
        <v>0</v>
      </c>
      <c r="K207" s="32">
        <f>SUMIFS(Einzelbeträge!$D:$D,Einzelbeträge!$C:$C,'Ausgaben 2026'!$C207,Einzelbeträge!$E:$E,'Ausgaben 2026'!K$6)</f>
        <v>0</v>
      </c>
      <c r="L207" s="32">
        <f>SUMIFS(Einzelbeträge!$D:$D,Einzelbeträge!$C:$C,'Ausgaben 2026'!$C207,Einzelbeträge!$E:$E,'Ausgaben 2026'!L$6)</f>
        <v>0</v>
      </c>
      <c r="M207" s="32">
        <f>SUMIFS(Einzelbeträge!$D:$D,Einzelbeträge!$C:$C,'Ausgaben 2026'!$C207,Einzelbeträge!$E:$E,'Ausgaben 2026'!M$6)</f>
        <v>0</v>
      </c>
      <c r="N207" s="33">
        <f>SUMIFS(Einzelbeträge!$D:$D,Einzelbeträge!$C:$C,'Ausgaben 2026'!$C207,Einzelbeträge!$E:$E,'Ausgaben 2026'!N$6)</f>
        <v>0</v>
      </c>
      <c r="O207" s="6"/>
    </row>
    <row r="208" spans="2:15" x14ac:dyDescent="0.35">
      <c r="B208" s="5"/>
      <c r="C208" s="40">
        <f>C207+1</f>
        <v>46205</v>
      </c>
      <c r="D208" s="46">
        <f>SUMIFS(Einzelbeträge!$D:$D,Einzelbeträge!$C:$C,'Ausgaben 2026'!$C208)</f>
        <v>0</v>
      </c>
      <c r="E208" s="21">
        <f>SUMIFS(Einzelbeträge!$D:$D,Einzelbeträge!$C:$C,'Ausgaben 2026'!$C208,Einzelbeträge!$E:$E,'Ausgaben 2026'!E$6)</f>
        <v>0</v>
      </c>
      <c r="F208" s="21">
        <f>SUMIFS(Einzelbeträge!$D:$D,Einzelbeträge!$C:$C,'Ausgaben 2026'!$C208,Einzelbeträge!$E:$E,'Ausgaben 2026'!F$6)</f>
        <v>0</v>
      </c>
      <c r="G208" s="21">
        <f>SUMIFS(Einzelbeträge!$D:$D,Einzelbeträge!$C:$C,'Ausgaben 2026'!$C208,Einzelbeträge!$E:$E,'Ausgaben 2026'!G$6)</f>
        <v>0</v>
      </c>
      <c r="H208" s="21">
        <f>SUMIFS(Einzelbeträge!$D:$D,Einzelbeträge!$C:$C,'Ausgaben 2026'!$C208,Einzelbeträge!$E:$E,'Ausgaben 2026'!H$6)</f>
        <v>0</v>
      </c>
      <c r="I208" s="21">
        <f>SUMIFS(Einzelbeträge!$D:$D,Einzelbeträge!$C:$C,'Ausgaben 2026'!$C208,Einzelbeträge!$E:$E,'Ausgaben 2026'!I$6)</f>
        <v>0</v>
      </c>
      <c r="J208" s="21">
        <f>SUMIFS(Einzelbeträge!$D:$D,Einzelbeträge!$C:$C,'Ausgaben 2026'!$C208,Einzelbeträge!$E:$E,'Ausgaben 2026'!J$6)</f>
        <v>0</v>
      </c>
      <c r="K208" s="21">
        <f>SUMIFS(Einzelbeträge!$D:$D,Einzelbeträge!$C:$C,'Ausgaben 2026'!$C208,Einzelbeträge!$E:$E,'Ausgaben 2026'!K$6)</f>
        <v>0</v>
      </c>
      <c r="L208" s="21">
        <f>SUMIFS(Einzelbeträge!$D:$D,Einzelbeträge!$C:$C,'Ausgaben 2026'!$C208,Einzelbeträge!$E:$E,'Ausgaben 2026'!L$6)</f>
        <v>0</v>
      </c>
      <c r="M208" s="21">
        <f>SUMIFS(Einzelbeträge!$D:$D,Einzelbeträge!$C:$C,'Ausgaben 2026'!$C208,Einzelbeträge!$E:$E,'Ausgaben 2026'!M$6)</f>
        <v>0</v>
      </c>
      <c r="N208" s="35">
        <f>SUMIFS(Einzelbeträge!$D:$D,Einzelbeträge!$C:$C,'Ausgaben 2026'!$C208,Einzelbeträge!$E:$E,'Ausgaben 2026'!N$6)</f>
        <v>0</v>
      </c>
      <c r="O208" s="6"/>
    </row>
    <row r="209" spans="2:15" x14ac:dyDescent="0.35">
      <c r="B209" s="5"/>
      <c r="C209" s="40">
        <f t="shared" ref="C209:C237" si="22">C208+1</f>
        <v>46206</v>
      </c>
      <c r="D209" s="46">
        <f>SUMIFS(Einzelbeträge!$D:$D,Einzelbeträge!$C:$C,'Ausgaben 2026'!$C209)</f>
        <v>0</v>
      </c>
      <c r="E209" s="21">
        <f>SUMIFS(Einzelbeträge!$D:$D,Einzelbeträge!$C:$C,'Ausgaben 2026'!$C209,Einzelbeträge!$E:$E,'Ausgaben 2026'!E$6)</f>
        <v>0</v>
      </c>
      <c r="F209" s="21">
        <f>SUMIFS(Einzelbeträge!$D:$D,Einzelbeträge!$C:$C,'Ausgaben 2026'!$C209,Einzelbeträge!$E:$E,'Ausgaben 2026'!F$6)</f>
        <v>0</v>
      </c>
      <c r="G209" s="21">
        <f>SUMIFS(Einzelbeträge!$D:$D,Einzelbeträge!$C:$C,'Ausgaben 2026'!$C209,Einzelbeträge!$E:$E,'Ausgaben 2026'!G$6)</f>
        <v>0</v>
      </c>
      <c r="H209" s="21">
        <f>SUMIFS(Einzelbeträge!$D:$D,Einzelbeträge!$C:$C,'Ausgaben 2026'!$C209,Einzelbeträge!$E:$E,'Ausgaben 2026'!H$6)</f>
        <v>0</v>
      </c>
      <c r="I209" s="21">
        <f>SUMIFS(Einzelbeträge!$D:$D,Einzelbeträge!$C:$C,'Ausgaben 2026'!$C209,Einzelbeträge!$E:$E,'Ausgaben 2026'!I$6)</f>
        <v>0</v>
      </c>
      <c r="J209" s="21">
        <f>SUMIFS(Einzelbeträge!$D:$D,Einzelbeträge!$C:$C,'Ausgaben 2026'!$C209,Einzelbeträge!$E:$E,'Ausgaben 2026'!J$6)</f>
        <v>0</v>
      </c>
      <c r="K209" s="21">
        <f>SUMIFS(Einzelbeträge!$D:$D,Einzelbeträge!$C:$C,'Ausgaben 2026'!$C209,Einzelbeträge!$E:$E,'Ausgaben 2026'!K$6)</f>
        <v>0</v>
      </c>
      <c r="L209" s="21">
        <f>SUMIFS(Einzelbeträge!$D:$D,Einzelbeträge!$C:$C,'Ausgaben 2026'!$C209,Einzelbeträge!$E:$E,'Ausgaben 2026'!L$6)</f>
        <v>0</v>
      </c>
      <c r="M209" s="21">
        <f>SUMIFS(Einzelbeträge!$D:$D,Einzelbeträge!$C:$C,'Ausgaben 2026'!$C209,Einzelbeträge!$E:$E,'Ausgaben 2026'!M$6)</f>
        <v>0</v>
      </c>
      <c r="N209" s="35">
        <f>SUMIFS(Einzelbeträge!$D:$D,Einzelbeträge!$C:$C,'Ausgaben 2026'!$C209,Einzelbeträge!$E:$E,'Ausgaben 2026'!N$6)</f>
        <v>0</v>
      </c>
      <c r="O209" s="6"/>
    </row>
    <row r="210" spans="2:15" x14ac:dyDescent="0.35">
      <c r="B210" s="5"/>
      <c r="C210" s="40">
        <f t="shared" si="22"/>
        <v>46207</v>
      </c>
      <c r="D210" s="46">
        <f>SUMIFS(Einzelbeträge!$D:$D,Einzelbeträge!$C:$C,'Ausgaben 2026'!$C210)</f>
        <v>0</v>
      </c>
      <c r="E210" s="21">
        <f>SUMIFS(Einzelbeträge!$D:$D,Einzelbeträge!$C:$C,'Ausgaben 2026'!$C210,Einzelbeträge!$E:$E,'Ausgaben 2026'!E$6)</f>
        <v>0</v>
      </c>
      <c r="F210" s="21">
        <f>SUMIFS(Einzelbeträge!$D:$D,Einzelbeträge!$C:$C,'Ausgaben 2026'!$C210,Einzelbeträge!$E:$E,'Ausgaben 2026'!F$6)</f>
        <v>0</v>
      </c>
      <c r="G210" s="21">
        <f>SUMIFS(Einzelbeträge!$D:$D,Einzelbeträge!$C:$C,'Ausgaben 2026'!$C210,Einzelbeträge!$E:$E,'Ausgaben 2026'!G$6)</f>
        <v>0</v>
      </c>
      <c r="H210" s="21">
        <f>SUMIFS(Einzelbeträge!$D:$D,Einzelbeträge!$C:$C,'Ausgaben 2026'!$C210,Einzelbeträge!$E:$E,'Ausgaben 2026'!H$6)</f>
        <v>0</v>
      </c>
      <c r="I210" s="21">
        <f>SUMIFS(Einzelbeträge!$D:$D,Einzelbeträge!$C:$C,'Ausgaben 2026'!$C210,Einzelbeträge!$E:$E,'Ausgaben 2026'!I$6)</f>
        <v>0</v>
      </c>
      <c r="J210" s="21">
        <f>SUMIFS(Einzelbeträge!$D:$D,Einzelbeträge!$C:$C,'Ausgaben 2026'!$C210,Einzelbeträge!$E:$E,'Ausgaben 2026'!J$6)</f>
        <v>0</v>
      </c>
      <c r="K210" s="21">
        <f>SUMIFS(Einzelbeträge!$D:$D,Einzelbeträge!$C:$C,'Ausgaben 2026'!$C210,Einzelbeträge!$E:$E,'Ausgaben 2026'!K$6)</f>
        <v>0</v>
      </c>
      <c r="L210" s="21">
        <f>SUMIFS(Einzelbeträge!$D:$D,Einzelbeträge!$C:$C,'Ausgaben 2026'!$C210,Einzelbeträge!$E:$E,'Ausgaben 2026'!L$6)</f>
        <v>0</v>
      </c>
      <c r="M210" s="21">
        <f>SUMIFS(Einzelbeträge!$D:$D,Einzelbeträge!$C:$C,'Ausgaben 2026'!$C210,Einzelbeträge!$E:$E,'Ausgaben 2026'!M$6)</f>
        <v>0</v>
      </c>
      <c r="N210" s="35">
        <f>SUMIFS(Einzelbeträge!$D:$D,Einzelbeträge!$C:$C,'Ausgaben 2026'!$C210,Einzelbeträge!$E:$E,'Ausgaben 2026'!N$6)</f>
        <v>0</v>
      </c>
      <c r="O210" s="6"/>
    </row>
    <row r="211" spans="2:15" x14ac:dyDescent="0.35">
      <c r="B211" s="5"/>
      <c r="C211" s="40">
        <f t="shared" si="22"/>
        <v>46208</v>
      </c>
      <c r="D211" s="46">
        <f>SUMIFS(Einzelbeträge!$D:$D,Einzelbeträge!$C:$C,'Ausgaben 2026'!$C211)</f>
        <v>0</v>
      </c>
      <c r="E211" s="21">
        <f>SUMIFS(Einzelbeträge!$D:$D,Einzelbeträge!$C:$C,'Ausgaben 2026'!$C211,Einzelbeträge!$E:$E,'Ausgaben 2026'!E$6)</f>
        <v>0</v>
      </c>
      <c r="F211" s="21">
        <f>SUMIFS(Einzelbeträge!$D:$D,Einzelbeträge!$C:$C,'Ausgaben 2026'!$C211,Einzelbeträge!$E:$E,'Ausgaben 2026'!F$6)</f>
        <v>0</v>
      </c>
      <c r="G211" s="21">
        <f>SUMIFS(Einzelbeträge!$D:$D,Einzelbeträge!$C:$C,'Ausgaben 2026'!$C211,Einzelbeträge!$E:$E,'Ausgaben 2026'!G$6)</f>
        <v>0</v>
      </c>
      <c r="H211" s="21">
        <f>SUMIFS(Einzelbeträge!$D:$D,Einzelbeträge!$C:$C,'Ausgaben 2026'!$C211,Einzelbeträge!$E:$E,'Ausgaben 2026'!H$6)</f>
        <v>0</v>
      </c>
      <c r="I211" s="21">
        <f>SUMIFS(Einzelbeträge!$D:$D,Einzelbeträge!$C:$C,'Ausgaben 2026'!$C211,Einzelbeträge!$E:$E,'Ausgaben 2026'!I$6)</f>
        <v>0</v>
      </c>
      <c r="J211" s="21">
        <f>SUMIFS(Einzelbeträge!$D:$D,Einzelbeträge!$C:$C,'Ausgaben 2026'!$C211,Einzelbeträge!$E:$E,'Ausgaben 2026'!J$6)</f>
        <v>0</v>
      </c>
      <c r="K211" s="21">
        <f>SUMIFS(Einzelbeträge!$D:$D,Einzelbeträge!$C:$C,'Ausgaben 2026'!$C211,Einzelbeträge!$E:$E,'Ausgaben 2026'!K$6)</f>
        <v>0</v>
      </c>
      <c r="L211" s="21">
        <f>SUMIFS(Einzelbeträge!$D:$D,Einzelbeträge!$C:$C,'Ausgaben 2026'!$C211,Einzelbeträge!$E:$E,'Ausgaben 2026'!L$6)</f>
        <v>0</v>
      </c>
      <c r="M211" s="21">
        <f>SUMIFS(Einzelbeträge!$D:$D,Einzelbeträge!$C:$C,'Ausgaben 2026'!$C211,Einzelbeträge!$E:$E,'Ausgaben 2026'!M$6)</f>
        <v>0</v>
      </c>
      <c r="N211" s="35">
        <f>SUMIFS(Einzelbeträge!$D:$D,Einzelbeträge!$C:$C,'Ausgaben 2026'!$C211,Einzelbeträge!$E:$E,'Ausgaben 2026'!N$6)</f>
        <v>0</v>
      </c>
      <c r="O211" s="6"/>
    </row>
    <row r="212" spans="2:15" x14ac:dyDescent="0.35">
      <c r="B212" s="5"/>
      <c r="C212" s="40">
        <f t="shared" si="22"/>
        <v>46209</v>
      </c>
      <c r="D212" s="46">
        <f>SUMIFS(Einzelbeträge!$D:$D,Einzelbeträge!$C:$C,'Ausgaben 2026'!$C212)</f>
        <v>0</v>
      </c>
      <c r="E212" s="21">
        <f>SUMIFS(Einzelbeträge!$D:$D,Einzelbeträge!$C:$C,'Ausgaben 2026'!$C212,Einzelbeträge!$E:$E,'Ausgaben 2026'!E$6)</f>
        <v>0</v>
      </c>
      <c r="F212" s="21">
        <f>SUMIFS(Einzelbeträge!$D:$D,Einzelbeträge!$C:$C,'Ausgaben 2026'!$C212,Einzelbeträge!$E:$E,'Ausgaben 2026'!F$6)</f>
        <v>0</v>
      </c>
      <c r="G212" s="21">
        <f>SUMIFS(Einzelbeträge!$D:$D,Einzelbeträge!$C:$C,'Ausgaben 2026'!$C212,Einzelbeträge!$E:$E,'Ausgaben 2026'!G$6)</f>
        <v>0</v>
      </c>
      <c r="H212" s="21">
        <f>SUMIFS(Einzelbeträge!$D:$D,Einzelbeträge!$C:$C,'Ausgaben 2026'!$C212,Einzelbeträge!$E:$E,'Ausgaben 2026'!H$6)</f>
        <v>0</v>
      </c>
      <c r="I212" s="21">
        <f>SUMIFS(Einzelbeträge!$D:$D,Einzelbeträge!$C:$C,'Ausgaben 2026'!$C212,Einzelbeträge!$E:$E,'Ausgaben 2026'!I$6)</f>
        <v>0</v>
      </c>
      <c r="J212" s="21">
        <f>SUMIFS(Einzelbeträge!$D:$D,Einzelbeträge!$C:$C,'Ausgaben 2026'!$C212,Einzelbeträge!$E:$E,'Ausgaben 2026'!J$6)</f>
        <v>0</v>
      </c>
      <c r="K212" s="21">
        <f>SUMIFS(Einzelbeträge!$D:$D,Einzelbeträge!$C:$C,'Ausgaben 2026'!$C212,Einzelbeträge!$E:$E,'Ausgaben 2026'!K$6)</f>
        <v>0</v>
      </c>
      <c r="L212" s="21">
        <f>SUMIFS(Einzelbeträge!$D:$D,Einzelbeträge!$C:$C,'Ausgaben 2026'!$C212,Einzelbeträge!$E:$E,'Ausgaben 2026'!L$6)</f>
        <v>0</v>
      </c>
      <c r="M212" s="21">
        <f>SUMIFS(Einzelbeträge!$D:$D,Einzelbeträge!$C:$C,'Ausgaben 2026'!$C212,Einzelbeträge!$E:$E,'Ausgaben 2026'!M$6)</f>
        <v>0</v>
      </c>
      <c r="N212" s="35">
        <f>SUMIFS(Einzelbeträge!$D:$D,Einzelbeträge!$C:$C,'Ausgaben 2026'!$C212,Einzelbeträge!$E:$E,'Ausgaben 2026'!N$6)</f>
        <v>0</v>
      </c>
      <c r="O212" s="6"/>
    </row>
    <row r="213" spans="2:15" x14ac:dyDescent="0.35">
      <c r="B213" s="5"/>
      <c r="C213" s="40">
        <f t="shared" si="22"/>
        <v>46210</v>
      </c>
      <c r="D213" s="46">
        <f>SUMIFS(Einzelbeträge!$D:$D,Einzelbeträge!$C:$C,'Ausgaben 2026'!$C213)</f>
        <v>0</v>
      </c>
      <c r="E213" s="21">
        <f>SUMIFS(Einzelbeträge!$D:$D,Einzelbeträge!$C:$C,'Ausgaben 2026'!$C213,Einzelbeträge!$E:$E,'Ausgaben 2026'!E$6)</f>
        <v>0</v>
      </c>
      <c r="F213" s="21">
        <f>SUMIFS(Einzelbeträge!$D:$D,Einzelbeträge!$C:$C,'Ausgaben 2026'!$C213,Einzelbeträge!$E:$E,'Ausgaben 2026'!F$6)</f>
        <v>0</v>
      </c>
      <c r="G213" s="21">
        <f>SUMIFS(Einzelbeträge!$D:$D,Einzelbeträge!$C:$C,'Ausgaben 2026'!$C213,Einzelbeträge!$E:$E,'Ausgaben 2026'!G$6)</f>
        <v>0</v>
      </c>
      <c r="H213" s="21">
        <f>SUMIFS(Einzelbeträge!$D:$D,Einzelbeträge!$C:$C,'Ausgaben 2026'!$C213,Einzelbeträge!$E:$E,'Ausgaben 2026'!H$6)</f>
        <v>0</v>
      </c>
      <c r="I213" s="21">
        <f>SUMIFS(Einzelbeträge!$D:$D,Einzelbeträge!$C:$C,'Ausgaben 2026'!$C213,Einzelbeträge!$E:$E,'Ausgaben 2026'!I$6)</f>
        <v>0</v>
      </c>
      <c r="J213" s="21">
        <f>SUMIFS(Einzelbeträge!$D:$D,Einzelbeträge!$C:$C,'Ausgaben 2026'!$C213,Einzelbeträge!$E:$E,'Ausgaben 2026'!J$6)</f>
        <v>0</v>
      </c>
      <c r="K213" s="21">
        <f>SUMIFS(Einzelbeträge!$D:$D,Einzelbeträge!$C:$C,'Ausgaben 2026'!$C213,Einzelbeträge!$E:$E,'Ausgaben 2026'!K$6)</f>
        <v>0</v>
      </c>
      <c r="L213" s="21">
        <f>SUMIFS(Einzelbeträge!$D:$D,Einzelbeträge!$C:$C,'Ausgaben 2026'!$C213,Einzelbeträge!$E:$E,'Ausgaben 2026'!L$6)</f>
        <v>0</v>
      </c>
      <c r="M213" s="21">
        <f>SUMIFS(Einzelbeträge!$D:$D,Einzelbeträge!$C:$C,'Ausgaben 2026'!$C213,Einzelbeträge!$E:$E,'Ausgaben 2026'!M$6)</f>
        <v>0</v>
      </c>
      <c r="N213" s="35">
        <f>SUMIFS(Einzelbeträge!$D:$D,Einzelbeträge!$C:$C,'Ausgaben 2026'!$C213,Einzelbeträge!$E:$E,'Ausgaben 2026'!N$6)</f>
        <v>0</v>
      </c>
      <c r="O213" s="6"/>
    </row>
    <row r="214" spans="2:15" x14ac:dyDescent="0.35">
      <c r="B214" s="5"/>
      <c r="C214" s="40">
        <f t="shared" si="22"/>
        <v>46211</v>
      </c>
      <c r="D214" s="46">
        <f>SUMIFS(Einzelbeträge!$D:$D,Einzelbeträge!$C:$C,'Ausgaben 2026'!$C214)</f>
        <v>0</v>
      </c>
      <c r="E214" s="21">
        <f>SUMIFS(Einzelbeträge!$D:$D,Einzelbeträge!$C:$C,'Ausgaben 2026'!$C214,Einzelbeträge!$E:$E,'Ausgaben 2026'!E$6)</f>
        <v>0</v>
      </c>
      <c r="F214" s="21">
        <f>SUMIFS(Einzelbeträge!$D:$D,Einzelbeträge!$C:$C,'Ausgaben 2026'!$C214,Einzelbeträge!$E:$E,'Ausgaben 2026'!F$6)</f>
        <v>0</v>
      </c>
      <c r="G214" s="21">
        <f>SUMIFS(Einzelbeträge!$D:$D,Einzelbeträge!$C:$C,'Ausgaben 2026'!$C214,Einzelbeträge!$E:$E,'Ausgaben 2026'!G$6)</f>
        <v>0</v>
      </c>
      <c r="H214" s="21">
        <f>SUMIFS(Einzelbeträge!$D:$D,Einzelbeträge!$C:$C,'Ausgaben 2026'!$C214,Einzelbeträge!$E:$E,'Ausgaben 2026'!H$6)</f>
        <v>0</v>
      </c>
      <c r="I214" s="21">
        <f>SUMIFS(Einzelbeträge!$D:$D,Einzelbeträge!$C:$C,'Ausgaben 2026'!$C214,Einzelbeträge!$E:$E,'Ausgaben 2026'!I$6)</f>
        <v>0</v>
      </c>
      <c r="J214" s="21">
        <f>SUMIFS(Einzelbeträge!$D:$D,Einzelbeträge!$C:$C,'Ausgaben 2026'!$C214,Einzelbeträge!$E:$E,'Ausgaben 2026'!J$6)</f>
        <v>0</v>
      </c>
      <c r="K214" s="21">
        <f>SUMIFS(Einzelbeträge!$D:$D,Einzelbeträge!$C:$C,'Ausgaben 2026'!$C214,Einzelbeträge!$E:$E,'Ausgaben 2026'!K$6)</f>
        <v>0</v>
      </c>
      <c r="L214" s="21">
        <f>SUMIFS(Einzelbeträge!$D:$D,Einzelbeträge!$C:$C,'Ausgaben 2026'!$C214,Einzelbeträge!$E:$E,'Ausgaben 2026'!L$6)</f>
        <v>0</v>
      </c>
      <c r="M214" s="21">
        <f>SUMIFS(Einzelbeträge!$D:$D,Einzelbeträge!$C:$C,'Ausgaben 2026'!$C214,Einzelbeträge!$E:$E,'Ausgaben 2026'!M$6)</f>
        <v>0</v>
      </c>
      <c r="N214" s="35">
        <f>SUMIFS(Einzelbeträge!$D:$D,Einzelbeträge!$C:$C,'Ausgaben 2026'!$C214,Einzelbeträge!$E:$E,'Ausgaben 2026'!N$6)</f>
        <v>0</v>
      </c>
      <c r="O214" s="6"/>
    </row>
    <row r="215" spans="2:15" x14ac:dyDescent="0.35">
      <c r="B215" s="5"/>
      <c r="C215" s="40">
        <f t="shared" si="22"/>
        <v>46212</v>
      </c>
      <c r="D215" s="46">
        <f>SUMIFS(Einzelbeträge!$D:$D,Einzelbeträge!$C:$C,'Ausgaben 2026'!$C215)</f>
        <v>0</v>
      </c>
      <c r="E215" s="21">
        <f>SUMIFS(Einzelbeträge!$D:$D,Einzelbeträge!$C:$C,'Ausgaben 2026'!$C215,Einzelbeträge!$E:$E,'Ausgaben 2026'!E$6)</f>
        <v>0</v>
      </c>
      <c r="F215" s="21">
        <f>SUMIFS(Einzelbeträge!$D:$D,Einzelbeträge!$C:$C,'Ausgaben 2026'!$C215,Einzelbeträge!$E:$E,'Ausgaben 2026'!F$6)</f>
        <v>0</v>
      </c>
      <c r="G215" s="21">
        <f>SUMIFS(Einzelbeträge!$D:$D,Einzelbeträge!$C:$C,'Ausgaben 2026'!$C215,Einzelbeträge!$E:$E,'Ausgaben 2026'!G$6)</f>
        <v>0</v>
      </c>
      <c r="H215" s="21">
        <f>SUMIFS(Einzelbeträge!$D:$D,Einzelbeträge!$C:$C,'Ausgaben 2026'!$C215,Einzelbeträge!$E:$E,'Ausgaben 2026'!H$6)</f>
        <v>0</v>
      </c>
      <c r="I215" s="21">
        <f>SUMIFS(Einzelbeträge!$D:$D,Einzelbeträge!$C:$C,'Ausgaben 2026'!$C215,Einzelbeträge!$E:$E,'Ausgaben 2026'!I$6)</f>
        <v>0</v>
      </c>
      <c r="J215" s="21">
        <f>SUMIFS(Einzelbeträge!$D:$D,Einzelbeträge!$C:$C,'Ausgaben 2026'!$C215,Einzelbeträge!$E:$E,'Ausgaben 2026'!J$6)</f>
        <v>0</v>
      </c>
      <c r="K215" s="21">
        <f>SUMIFS(Einzelbeträge!$D:$D,Einzelbeträge!$C:$C,'Ausgaben 2026'!$C215,Einzelbeträge!$E:$E,'Ausgaben 2026'!K$6)</f>
        <v>0</v>
      </c>
      <c r="L215" s="21">
        <f>SUMIFS(Einzelbeträge!$D:$D,Einzelbeträge!$C:$C,'Ausgaben 2026'!$C215,Einzelbeträge!$E:$E,'Ausgaben 2026'!L$6)</f>
        <v>0</v>
      </c>
      <c r="M215" s="21">
        <f>SUMIFS(Einzelbeträge!$D:$D,Einzelbeträge!$C:$C,'Ausgaben 2026'!$C215,Einzelbeträge!$E:$E,'Ausgaben 2026'!M$6)</f>
        <v>0</v>
      </c>
      <c r="N215" s="35">
        <f>SUMIFS(Einzelbeträge!$D:$D,Einzelbeträge!$C:$C,'Ausgaben 2026'!$C215,Einzelbeträge!$E:$E,'Ausgaben 2026'!N$6)</f>
        <v>0</v>
      </c>
      <c r="O215" s="6"/>
    </row>
    <row r="216" spans="2:15" x14ac:dyDescent="0.35">
      <c r="B216" s="5"/>
      <c r="C216" s="40">
        <f t="shared" si="22"/>
        <v>46213</v>
      </c>
      <c r="D216" s="46">
        <f>SUMIFS(Einzelbeträge!$D:$D,Einzelbeträge!$C:$C,'Ausgaben 2026'!$C216)</f>
        <v>0</v>
      </c>
      <c r="E216" s="21">
        <f>SUMIFS(Einzelbeträge!$D:$D,Einzelbeträge!$C:$C,'Ausgaben 2026'!$C216,Einzelbeträge!$E:$E,'Ausgaben 2026'!E$6)</f>
        <v>0</v>
      </c>
      <c r="F216" s="21">
        <f>SUMIFS(Einzelbeträge!$D:$D,Einzelbeträge!$C:$C,'Ausgaben 2026'!$C216,Einzelbeträge!$E:$E,'Ausgaben 2026'!F$6)</f>
        <v>0</v>
      </c>
      <c r="G216" s="21">
        <f>SUMIFS(Einzelbeträge!$D:$D,Einzelbeträge!$C:$C,'Ausgaben 2026'!$C216,Einzelbeträge!$E:$E,'Ausgaben 2026'!G$6)</f>
        <v>0</v>
      </c>
      <c r="H216" s="21">
        <f>SUMIFS(Einzelbeträge!$D:$D,Einzelbeträge!$C:$C,'Ausgaben 2026'!$C216,Einzelbeträge!$E:$E,'Ausgaben 2026'!H$6)</f>
        <v>0</v>
      </c>
      <c r="I216" s="21">
        <f>SUMIFS(Einzelbeträge!$D:$D,Einzelbeträge!$C:$C,'Ausgaben 2026'!$C216,Einzelbeträge!$E:$E,'Ausgaben 2026'!I$6)</f>
        <v>0</v>
      </c>
      <c r="J216" s="21">
        <f>SUMIFS(Einzelbeträge!$D:$D,Einzelbeträge!$C:$C,'Ausgaben 2026'!$C216,Einzelbeträge!$E:$E,'Ausgaben 2026'!J$6)</f>
        <v>0</v>
      </c>
      <c r="K216" s="21">
        <f>SUMIFS(Einzelbeträge!$D:$D,Einzelbeträge!$C:$C,'Ausgaben 2026'!$C216,Einzelbeträge!$E:$E,'Ausgaben 2026'!K$6)</f>
        <v>0</v>
      </c>
      <c r="L216" s="21">
        <f>SUMIFS(Einzelbeträge!$D:$D,Einzelbeträge!$C:$C,'Ausgaben 2026'!$C216,Einzelbeträge!$E:$E,'Ausgaben 2026'!L$6)</f>
        <v>0</v>
      </c>
      <c r="M216" s="21">
        <f>SUMIFS(Einzelbeträge!$D:$D,Einzelbeträge!$C:$C,'Ausgaben 2026'!$C216,Einzelbeträge!$E:$E,'Ausgaben 2026'!M$6)</f>
        <v>0</v>
      </c>
      <c r="N216" s="35">
        <f>SUMIFS(Einzelbeträge!$D:$D,Einzelbeträge!$C:$C,'Ausgaben 2026'!$C216,Einzelbeträge!$E:$E,'Ausgaben 2026'!N$6)</f>
        <v>0</v>
      </c>
      <c r="O216" s="6"/>
    </row>
    <row r="217" spans="2:15" x14ac:dyDescent="0.35">
      <c r="B217" s="5"/>
      <c r="C217" s="40">
        <f t="shared" si="22"/>
        <v>46214</v>
      </c>
      <c r="D217" s="46">
        <f>SUMIFS(Einzelbeträge!$D:$D,Einzelbeträge!$C:$C,'Ausgaben 2026'!$C217)</f>
        <v>0</v>
      </c>
      <c r="E217" s="21">
        <f>SUMIFS(Einzelbeträge!$D:$D,Einzelbeträge!$C:$C,'Ausgaben 2026'!$C217,Einzelbeträge!$E:$E,'Ausgaben 2026'!E$6)</f>
        <v>0</v>
      </c>
      <c r="F217" s="21">
        <f>SUMIFS(Einzelbeträge!$D:$D,Einzelbeträge!$C:$C,'Ausgaben 2026'!$C217,Einzelbeträge!$E:$E,'Ausgaben 2026'!F$6)</f>
        <v>0</v>
      </c>
      <c r="G217" s="21">
        <f>SUMIFS(Einzelbeträge!$D:$D,Einzelbeträge!$C:$C,'Ausgaben 2026'!$C217,Einzelbeträge!$E:$E,'Ausgaben 2026'!G$6)</f>
        <v>0</v>
      </c>
      <c r="H217" s="21">
        <f>SUMIFS(Einzelbeträge!$D:$D,Einzelbeträge!$C:$C,'Ausgaben 2026'!$C217,Einzelbeträge!$E:$E,'Ausgaben 2026'!H$6)</f>
        <v>0</v>
      </c>
      <c r="I217" s="21">
        <f>SUMIFS(Einzelbeträge!$D:$D,Einzelbeträge!$C:$C,'Ausgaben 2026'!$C217,Einzelbeträge!$E:$E,'Ausgaben 2026'!I$6)</f>
        <v>0</v>
      </c>
      <c r="J217" s="21">
        <f>SUMIFS(Einzelbeträge!$D:$D,Einzelbeträge!$C:$C,'Ausgaben 2026'!$C217,Einzelbeträge!$E:$E,'Ausgaben 2026'!J$6)</f>
        <v>0</v>
      </c>
      <c r="K217" s="21">
        <f>SUMIFS(Einzelbeträge!$D:$D,Einzelbeträge!$C:$C,'Ausgaben 2026'!$C217,Einzelbeträge!$E:$E,'Ausgaben 2026'!K$6)</f>
        <v>0</v>
      </c>
      <c r="L217" s="21">
        <f>SUMIFS(Einzelbeträge!$D:$D,Einzelbeträge!$C:$C,'Ausgaben 2026'!$C217,Einzelbeträge!$E:$E,'Ausgaben 2026'!L$6)</f>
        <v>0</v>
      </c>
      <c r="M217" s="21">
        <f>SUMIFS(Einzelbeträge!$D:$D,Einzelbeträge!$C:$C,'Ausgaben 2026'!$C217,Einzelbeträge!$E:$E,'Ausgaben 2026'!M$6)</f>
        <v>0</v>
      </c>
      <c r="N217" s="35">
        <f>SUMIFS(Einzelbeträge!$D:$D,Einzelbeträge!$C:$C,'Ausgaben 2026'!$C217,Einzelbeträge!$E:$E,'Ausgaben 2026'!N$6)</f>
        <v>0</v>
      </c>
      <c r="O217" s="6"/>
    </row>
    <row r="218" spans="2:15" x14ac:dyDescent="0.35">
      <c r="B218" s="5"/>
      <c r="C218" s="40">
        <f t="shared" si="22"/>
        <v>46215</v>
      </c>
      <c r="D218" s="46">
        <f>SUMIFS(Einzelbeträge!$D:$D,Einzelbeträge!$C:$C,'Ausgaben 2026'!$C218)</f>
        <v>0</v>
      </c>
      <c r="E218" s="21">
        <f>SUMIFS(Einzelbeträge!$D:$D,Einzelbeträge!$C:$C,'Ausgaben 2026'!$C218,Einzelbeträge!$E:$E,'Ausgaben 2026'!E$6)</f>
        <v>0</v>
      </c>
      <c r="F218" s="21">
        <f>SUMIFS(Einzelbeträge!$D:$D,Einzelbeträge!$C:$C,'Ausgaben 2026'!$C218,Einzelbeträge!$E:$E,'Ausgaben 2026'!F$6)</f>
        <v>0</v>
      </c>
      <c r="G218" s="21">
        <f>SUMIFS(Einzelbeträge!$D:$D,Einzelbeträge!$C:$C,'Ausgaben 2026'!$C218,Einzelbeträge!$E:$E,'Ausgaben 2026'!G$6)</f>
        <v>0</v>
      </c>
      <c r="H218" s="21">
        <f>SUMIFS(Einzelbeträge!$D:$D,Einzelbeträge!$C:$C,'Ausgaben 2026'!$C218,Einzelbeträge!$E:$E,'Ausgaben 2026'!H$6)</f>
        <v>0</v>
      </c>
      <c r="I218" s="21">
        <f>SUMIFS(Einzelbeträge!$D:$D,Einzelbeträge!$C:$C,'Ausgaben 2026'!$C218,Einzelbeträge!$E:$E,'Ausgaben 2026'!I$6)</f>
        <v>0</v>
      </c>
      <c r="J218" s="21">
        <f>SUMIFS(Einzelbeträge!$D:$D,Einzelbeträge!$C:$C,'Ausgaben 2026'!$C218,Einzelbeträge!$E:$E,'Ausgaben 2026'!J$6)</f>
        <v>0</v>
      </c>
      <c r="K218" s="21">
        <f>SUMIFS(Einzelbeträge!$D:$D,Einzelbeträge!$C:$C,'Ausgaben 2026'!$C218,Einzelbeträge!$E:$E,'Ausgaben 2026'!K$6)</f>
        <v>0</v>
      </c>
      <c r="L218" s="21">
        <f>SUMIFS(Einzelbeträge!$D:$D,Einzelbeträge!$C:$C,'Ausgaben 2026'!$C218,Einzelbeträge!$E:$E,'Ausgaben 2026'!L$6)</f>
        <v>0</v>
      </c>
      <c r="M218" s="21">
        <f>SUMIFS(Einzelbeträge!$D:$D,Einzelbeträge!$C:$C,'Ausgaben 2026'!$C218,Einzelbeträge!$E:$E,'Ausgaben 2026'!M$6)</f>
        <v>0</v>
      </c>
      <c r="N218" s="35">
        <f>SUMIFS(Einzelbeträge!$D:$D,Einzelbeträge!$C:$C,'Ausgaben 2026'!$C218,Einzelbeträge!$E:$E,'Ausgaben 2026'!N$6)</f>
        <v>0</v>
      </c>
      <c r="O218" s="6"/>
    </row>
    <row r="219" spans="2:15" x14ac:dyDescent="0.35">
      <c r="B219" s="5"/>
      <c r="C219" s="40">
        <f t="shared" si="22"/>
        <v>46216</v>
      </c>
      <c r="D219" s="46">
        <f>SUMIFS(Einzelbeträge!$D:$D,Einzelbeträge!$C:$C,'Ausgaben 2026'!$C219)</f>
        <v>0</v>
      </c>
      <c r="E219" s="21">
        <f>SUMIFS(Einzelbeträge!$D:$D,Einzelbeträge!$C:$C,'Ausgaben 2026'!$C219,Einzelbeträge!$E:$E,'Ausgaben 2026'!E$6)</f>
        <v>0</v>
      </c>
      <c r="F219" s="21">
        <f>SUMIFS(Einzelbeträge!$D:$D,Einzelbeträge!$C:$C,'Ausgaben 2026'!$C219,Einzelbeträge!$E:$E,'Ausgaben 2026'!F$6)</f>
        <v>0</v>
      </c>
      <c r="G219" s="21">
        <f>SUMIFS(Einzelbeträge!$D:$D,Einzelbeträge!$C:$C,'Ausgaben 2026'!$C219,Einzelbeträge!$E:$E,'Ausgaben 2026'!G$6)</f>
        <v>0</v>
      </c>
      <c r="H219" s="21">
        <f>SUMIFS(Einzelbeträge!$D:$D,Einzelbeträge!$C:$C,'Ausgaben 2026'!$C219,Einzelbeträge!$E:$E,'Ausgaben 2026'!H$6)</f>
        <v>0</v>
      </c>
      <c r="I219" s="21">
        <f>SUMIFS(Einzelbeträge!$D:$D,Einzelbeträge!$C:$C,'Ausgaben 2026'!$C219,Einzelbeträge!$E:$E,'Ausgaben 2026'!I$6)</f>
        <v>0</v>
      </c>
      <c r="J219" s="21">
        <f>SUMIFS(Einzelbeträge!$D:$D,Einzelbeträge!$C:$C,'Ausgaben 2026'!$C219,Einzelbeträge!$E:$E,'Ausgaben 2026'!J$6)</f>
        <v>0</v>
      </c>
      <c r="K219" s="21">
        <f>SUMIFS(Einzelbeträge!$D:$D,Einzelbeträge!$C:$C,'Ausgaben 2026'!$C219,Einzelbeträge!$E:$E,'Ausgaben 2026'!K$6)</f>
        <v>0</v>
      </c>
      <c r="L219" s="21">
        <f>SUMIFS(Einzelbeträge!$D:$D,Einzelbeträge!$C:$C,'Ausgaben 2026'!$C219,Einzelbeträge!$E:$E,'Ausgaben 2026'!L$6)</f>
        <v>0</v>
      </c>
      <c r="M219" s="21">
        <f>SUMIFS(Einzelbeträge!$D:$D,Einzelbeträge!$C:$C,'Ausgaben 2026'!$C219,Einzelbeträge!$E:$E,'Ausgaben 2026'!M$6)</f>
        <v>0</v>
      </c>
      <c r="N219" s="35">
        <f>SUMIFS(Einzelbeträge!$D:$D,Einzelbeträge!$C:$C,'Ausgaben 2026'!$C219,Einzelbeträge!$E:$E,'Ausgaben 2026'!N$6)</f>
        <v>0</v>
      </c>
      <c r="O219" s="6"/>
    </row>
    <row r="220" spans="2:15" x14ac:dyDescent="0.35">
      <c r="B220" s="5"/>
      <c r="C220" s="40">
        <f t="shared" si="22"/>
        <v>46217</v>
      </c>
      <c r="D220" s="46">
        <f>SUMIFS(Einzelbeträge!$D:$D,Einzelbeträge!$C:$C,'Ausgaben 2026'!$C220)</f>
        <v>0</v>
      </c>
      <c r="E220" s="21">
        <f>SUMIFS(Einzelbeträge!$D:$D,Einzelbeträge!$C:$C,'Ausgaben 2026'!$C220,Einzelbeträge!$E:$E,'Ausgaben 2026'!E$6)</f>
        <v>0</v>
      </c>
      <c r="F220" s="21">
        <f>SUMIFS(Einzelbeträge!$D:$D,Einzelbeträge!$C:$C,'Ausgaben 2026'!$C220,Einzelbeträge!$E:$E,'Ausgaben 2026'!F$6)</f>
        <v>0</v>
      </c>
      <c r="G220" s="21">
        <f>SUMIFS(Einzelbeträge!$D:$D,Einzelbeträge!$C:$C,'Ausgaben 2026'!$C220,Einzelbeträge!$E:$E,'Ausgaben 2026'!G$6)</f>
        <v>0</v>
      </c>
      <c r="H220" s="21">
        <f>SUMIFS(Einzelbeträge!$D:$D,Einzelbeträge!$C:$C,'Ausgaben 2026'!$C220,Einzelbeträge!$E:$E,'Ausgaben 2026'!H$6)</f>
        <v>0</v>
      </c>
      <c r="I220" s="21">
        <f>SUMIFS(Einzelbeträge!$D:$D,Einzelbeträge!$C:$C,'Ausgaben 2026'!$C220,Einzelbeträge!$E:$E,'Ausgaben 2026'!I$6)</f>
        <v>0</v>
      </c>
      <c r="J220" s="21">
        <f>SUMIFS(Einzelbeträge!$D:$D,Einzelbeträge!$C:$C,'Ausgaben 2026'!$C220,Einzelbeträge!$E:$E,'Ausgaben 2026'!J$6)</f>
        <v>0</v>
      </c>
      <c r="K220" s="21">
        <f>SUMIFS(Einzelbeträge!$D:$D,Einzelbeträge!$C:$C,'Ausgaben 2026'!$C220,Einzelbeträge!$E:$E,'Ausgaben 2026'!K$6)</f>
        <v>0</v>
      </c>
      <c r="L220" s="21">
        <f>SUMIFS(Einzelbeträge!$D:$D,Einzelbeträge!$C:$C,'Ausgaben 2026'!$C220,Einzelbeträge!$E:$E,'Ausgaben 2026'!L$6)</f>
        <v>0</v>
      </c>
      <c r="M220" s="21">
        <f>SUMIFS(Einzelbeträge!$D:$D,Einzelbeträge!$C:$C,'Ausgaben 2026'!$C220,Einzelbeträge!$E:$E,'Ausgaben 2026'!M$6)</f>
        <v>0</v>
      </c>
      <c r="N220" s="35">
        <f>SUMIFS(Einzelbeträge!$D:$D,Einzelbeträge!$C:$C,'Ausgaben 2026'!$C220,Einzelbeträge!$E:$E,'Ausgaben 2026'!N$6)</f>
        <v>0</v>
      </c>
      <c r="O220" s="6"/>
    </row>
    <row r="221" spans="2:15" x14ac:dyDescent="0.35">
      <c r="B221" s="5"/>
      <c r="C221" s="40">
        <f t="shared" si="22"/>
        <v>46218</v>
      </c>
      <c r="D221" s="46">
        <f>SUMIFS(Einzelbeträge!$D:$D,Einzelbeträge!$C:$C,'Ausgaben 2026'!$C221)</f>
        <v>0</v>
      </c>
      <c r="E221" s="21">
        <f>SUMIFS(Einzelbeträge!$D:$D,Einzelbeträge!$C:$C,'Ausgaben 2026'!$C221,Einzelbeträge!$E:$E,'Ausgaben 2026'!E$6)</f>
        <v>0</v>
      </c>
      <c r="F221" s="21">
        <f>SUMIFS(Einzelbeträge!$D:$D,Einzelbeträge!$C:$C,'Ausgaben 2026'!$C221,Einzelbeträge!$E:$E,'Ausgaben 2026'!F$6)</f>
        <v>0</v>
      </c>
      <c r="G221" s="21">
        <f>SUMIFS(Einzelbeträge!$D:$D,Einzelbeträge!$C:$C,'Ausgaben 2026'!$C221,Einzelbeträge!$E:$E,'Ausgaben 2026'!G$6)</f>
        <v>0</v>
      </c>
      <c r="H221" s="21">
        <f>SUMIFS(Einzelbeträge!$D:$D,Einzelbeträge!$C:$C,'Ausgaben 2026'!$C221,Einzelbeträge!$E:$E,'Ausgaben 2026'!H$6)</f>
        <v>0</v>
      </c>
      <c r="I221" s="21">
        <f>SUMIFS(Einzelbeträge!$D:$D,Einzelbeträge!$C:$C,'Ausgaben 2026'!$C221,Einzelbeträge!$E:$E,'Ausgaben 2026'!I$6)</f>
        <v>0</v>
      </c>
      <c r="J221" s="21">
        <f>SUMIFS(Einzelbeträge!$D:$D,Einzelbeträge!$C:$C,'Ausgaben 2026'!$C221,Einzelbeträge!$E:$E,'Ausgaben 2026'!J$6)</f>
        <v>0</v>
      </c>
      <c r="K221" s="21">
        <f>SUMIFS(Einzelbeträge!$D:$D,Einzelbeträge!$C:$C,'Ausgaben 2026'!$C221,Einzelbeträge!$E:$E,'Ausgaben 2026'!K$6)</f>
        <v>0</v>
      </c>
      <c r="L221" s="21">
        <f>SUMIFS(Einzelbeträge!$D:$D,Einzelbeträge!$C:$C,'Ausgaben 2026'!$C221,Einzelbeträge!$E:$E,'Ausgaben 2026'!L$6)</f>
        <v>0</v>
      </c>
      <c r="M221" s="21">
        <f>SUMIFS(Einzelbeträge!$D:$D,Einzelbeträge!$C:$C,'Ausgaben 2026'!$C221,Einzelbeträge!$E:$E,'Ausgaben 2026'!M$6)</f>
        <v>0</v>
      </c>
      <c r="N221" s="35">
        <f>SUMIFS(Einzelbeträge!$D:$D,Einzelbeträge!$C:$C,'Ausgaben 2026'!$C221,Einzelbeträge!$E:$E,'Ausgaben 2026'!N$6)</f>
        <v>0</v>
      </c>
      <c r="O221" s="6"/>
    </row>
    <row r="222" spans="2:15" x14ac:dyDescent="0.35">
      <c r="B222" s="5"/>
      <c r="C222" s="40">
        <f t="shared" si="22"/>
        <v>46219</v>
      </c>
      <c r="D222" s="46">
        <f>SUMIFS(Einzelbeträge!$D:$D,Einzelbeträge!$C:$C,'Ausgaben 2026'!$C222)</f>
        <v>0</v>
      </c>
      <c r="E222" s="21">
        <f>SUMIFS(Einzelbeträge!$D:$D,Einzelbeträge!$C:$C,'Ausgaben 2026'!$C222,Einzelbeträge!$E:$E,'Ausgaben 2026'!E$6)</f>
        <v>0</v>
      </c>
      <c r="F222" s="21">
        <f>SUMIFS(Einzelbeträge!$D:$D,Einzelbeträge!$C:$C,'Ausgaben 2026'!$C222,Einzelbeträge!$E:$E,'Ausgaben 2026'!F$6)</f>
        <v>0</v>
      </c>
      <c r="G222" s="21">
        <f>SUMIFS(Einzelbeträge!$D:$D,Einzelbeträge!$C:$C,'Ausgaben 2026'!$C222,Einzelbeträge!$E:$E,'Ausgaben 2026'!G$6)</f>
        <v>0</v>
      </c>
      <c r="H222" s="21">
        <f>SUMIFS(Einzelbeträge!$D:$D,Einzelbeträge!$C:$C,'Ausgaben 2026'!$C222,Einzelbeträge!$E:$E,'Ausgaben 2026'!H$6)</f>
        <v>0</v>
      </c>
      <c r="I222" s="21">
        <f>SUMIFS(Einzelbeträge!$D:$D,Einzelbeträge!$C:$C,'Ausgaben 2026'!$C222,Einzelbeträge!$E:$E,'Ausgaben 2026'!I$6)</f>
        <v>0</v>
      </c>
      <c r="J222" s="21">
        <f>SUMIFS(Einzelbeträge!$D:$D,Einzelbeträge!$C:$C,'Ausgaben 2026'!$C222,Einzelbeträge!$E:$E,'Ausgaben 2026'!J$6)</f>
        <v>0</v>
      </c>
      <c r="K222" s="21">
        <f>SUMIFS(Einzelbeträge!$D:$D,Einzelbeträge!$C:$C,'Ausgaben 2026'!$C222,Einzelbeträge!$E:$E,'Ausgaben 2026'!K$6)</f>
        <v>0</v>
      </c>
      <c r="L222" s="21">
        <f>SUMIFS(Einzelbeträge!$D:$D,Einzelbeträge!$C:$C,'Ausgaben 2026'!$C222,Einzelbeträge!$E:$E,'Ausgaben 2026'!L$6)</f>
        <v>0</v>
      </c>
      <c r="M222" s="21">
        <f>SUMIFS(Einzelbeträge!$D:$D,Einzelbeträge!$C:$C,'Ausgaben 2026'!$C222,Einzelbeträge!$E:$E,'Ausgaben 2026'!M$6)</f>
        <v>0</v>
      </c>
      <c r="N222" s="35">
        <f>SUMIFS(Einzelbeträge!$D:$D,Einzelbeträge!$C:$C,'Ausgaben 2026'!$C222,Einzelbeträge!$E:$E,'Ausgaben 2026'!N$6)</f>
        <v>0</v>
      </c>
      <c r="O222" s="6"/>
    </row>
    <row r="223" spans="2:15" x14ac:dyDescent="0.35">
      <c r="B223" s="5"/>
      <c r="C223" s="40">
        <f t="shared" si="22"/>
        <v>46220</v>
      </c>
      <c r="D223" s="46">
        <f>SUMIFS(Einzelbeträge!$D:$D,Einzelbeträge!$C:$C,'Ausgaben 2026'!$C223)</f>
        <v>0</v>
      </c>
      <c r="E223" s="21">
        <f>SUMIFS(Einzelbeträge!$D:$D,Einzelbeträge!$C:$C,'Ausgaben 2026'!$C223,Einzelbeträge!$E:$E,'Ausgaben 2026'!E$6)</f>
        <v>0</v>
      </c>
      <c r="F223" s="21">
        <f>SUMIFS(Einzelbeträge!$D:$D,Einzelbeträge!$C:$C,'Ausgaben 2026'!$C223,Einzelbeträge!$E:$E,'Ausgaben 2026'!F$6)</f>
        <v>0</v>
      </c>
      <c r="G223" s="21">
        <f>SUMIFS(Einzelbeträge!$D:$D,Einzelbeträge!$C:$C,'Ausgaben 2026'!$C223,Einzelbeträge!$E:$E,'Ausgaben 2026'!G$6)</f>
        <v>0</v>
      </c>
      <c r="H223" s="21">
        <f>SUMIFS(Einzelbeträge!$D:$D,Einzelbeträge!$C:$C,'Ausgaben 2026'!$C223,Einzelbeträge!$E:$E,'Ausgaben 2026'!H$6)</f>
        <v>0</v>
      </c>
      <c r="I223" s="21">
        <f>SUMIFS(Einzelbeträge!$D:$D,Einzelbeträge!$C:$C,'Ausgaben 2026'!$C223,Einzelbeträge!$E:$E,'Ausgaben 2026'!I$6)</f>
        <v>0</v>
      </c>
      <c r="J223" s="21">
        <f>SUMIFS(Einzelbeträge!$D:$D,Einzelbeträge!$C:$C,'Ausgaben 2026'!$C223,Einzelbeträge!$E:$E,'Ausgaben 2026'!J$6)</f>
        <v>0</v>
      </c>
      <c r="K223" s="21">
        <f>SUMIFS(Einzelbeträge!$D:$D,Einzelbeträge!$C:$C,'Ausgaben 2026'!$C223,Einzelbeträge!$E:$E,'Ausgaben 2026'!K$6)</f>
        <v>0</v>
      </c>
      <c r="L223" s="21">
        <f>SUMIFS(Einzelbeträge!$D:$D,Einzelbeträge!$C:$C,'Ausgaben 2026'!$C223,Einzelbeträge!$E:$E,'Ausgaben 2026'!L$6)</f>
        <v>0</v>
      </c>
      <c r="M223" s="21">
        <f>SUMIFS(Einzelbeträge!$D:$D,Einzelbeträge!$C:$C,'Ausgaben 2026'!$C223,Einzelbeträge!$E:$E,'Ausgaben 2026'!M$6)</f>
        <v>0</v>
      </c>
      <c r="N223" s="35">
        <f>SUMIFS(Einzelbeträge!$D:$D,Einzelbeträge!$C:$C,'Ausgaben 2026'!$C223,Einzelbeträge!$E:$E,'Ausgaben 2026'!N$6)</f>
        <v>0</v>
      </c>
      <c r="O223" s="6"/>
    </row>
    <row r="224" spans="2:15" x14ac:dyDescent="0.35">
      <c r="B224" s="5"/>
      <c r="C224" s="40">
        <f t="shared" si="22"/>
        <v>46221</v>
      </c>
      <c r="D224" s="46">
        <f>SUMIFS(Einzelbeträge!$D:$D,Einzelbeträge!$C:$C,'Ausgaben 2026'!$C224)</f>
        <v>0</v>
      </c>
      <c r="E224" s="21">
        <f>SUMIFS(Einzelbeträge!$D:$D,Einzelbeträge!$C:$C,'Ausgaben 2026'!$C224,Einzelbeträge!$E:$E,'Ausgaben 2026'!E$6)</f>
        <v>0</v>
      </c>
      <c r="F224" s="21">
        <f>SUMIFS(Einzelbeträge!$D:$D,Einzelbeträge!$C:$C,'Ausgaben 2026'!$C224,Einzelbeträge!$E:$E,'Ausgaben 2026'!F$6)</f>
        <v>0</v>
      </c>
      <c r="G224" s="21">
        <f>SUMIFS(Einzelbeträge!$D:$D,Einzelbeträge!$C:$C,'Ausgaben 2026'!$C224,Einzelbeträge!$E:$E,'Ausgaben 2026'!G$6)</f>
        <v>0</v>
      </c>
      <c r="H224" s="21">
        <f>SUMIFS(Einzelbeträge!$D:$D,Einzelbeträge!$C:$C,'Ausgaben 2026'!$C224,Einzelbeträge!$E:$E,'Ausgaben 2026'!H$6)</f>
        <v>0</v>
      </c>
      <c r="I224" s="21">
        <f>SUMIFS(Einzelbeträge!$D:$D,Einzelbeträge!$C:$C,'Ausgaben 2026'!$C224,Einzelbeträge!$E:$E,'Ausgaben 2026'!I$6)</f>
        <v>0</v>
      </c>
      <c r="J224" s="21">
        <f>SUMIFS(Einzelbeträge!$D:$D,Einzelbeträge!$C:$C,'Ausgaben 2026'!$C224,Einzelbeträge!$E:$E,'Ausgaben 2026'!J$6)</f>
        <v>0</v>
      </c>
      <c r="K224" s="21">
        <f>SUMIFS(Einzelbeträge!$D:$D,Einzelbeträge!$C:$C,'Ausgaben 2026'!$C224,Einzelbeträge!$E:$E,'Ausgaben 2026'!K$6)</f>
        <v>0</v>
      </c>
      <c r="L224" s="21">
        <f>SUMIFS(Einzelbeträge!$D:$D,Einzelbeträge!$C:$C,'Ausgaben 2026'!$C224,Einzelbeträge!$E:$E,'Ausgaben 2026'!L$6)</f>
        <v>0</v>
      </c>
      <c r="M224" s="21">
        <f>SUMIFS(Einzelbeträge!$D:$D,Einzelbeträge!$C:$C,'Ausgaben 2026'!$C224,Einzelbeträge!$E:$E,'Ausgaben 2026'!M$6)</f>
        <v>0</v>
      </c>
      <c r="N224" s="35">
        <f>SUMIFS(Einzelbeträge!$D:$D,Einzelbeträge!$C:$C,'Ausgaben 2026'!$C224,Einzelbeträge!$E:$E,'Ausgaben 2026'!N$6)</f>
        <v>0</v>
      </c>
      <c r="O224" s="6"/>
    </row>
    <row r="225" spans="2:15" x14ac:dyDescent="0.35">
      <c r="B225" s="5"/>
      <c r="C225" s="40">
        <f t="shared" si="22"/>
        <v>46222</v>
      </c>
      <c r="D225" s="46">
        <f>SUMIFS(Einzelbeträge!$D:$D,Einzelbeträge!$C:$C,'Ausgaben 2026'!$C225)</f>
        <v>0</v>
      </c>
      <c r="E225" s="21">
        <f>SUMIFS(Einzelbeträge!$D:$D,Einzelbeträge!$C:$C,'Ausgaben 2026'!$C225,Einzelbeträge!$E:$E,'Ausgaben 2026'!E$6)</f>
        <v>0</v>
      </c>
      <c r="F225" s="21">
        <f>SUMIFS(Einzelbeträge!$D:$D,Einzelbeträge!$C:$C,'Ausgaben 2026'!$C225,Einzelbeträge!$E:$E,'Ausgaben 2026'!F$6)</f>
        <v>0</v>
      </c>
      <c r="G225" s="21">
        <f>SUMIFS(Einzelbeträge!$D:$D,Einzelbeträge!$C:$C,'Ausgaben 2026'!$C225,Einzelbeträge!$E:$E,'Ausgaben 2026'!G$6)</f>
        <v>0</v>
      </c>
      <c r="H225" s="21">
        <f>SUMIFS(Einzelbeträge!$D:$D,Einzelbeträge!$C:$C,'Ausgaben 2026'!$C225,Einzelbeträge!$E:$E,'Ausgaben 2026'!H$6)</f>
        <v>0</v>
      </c>
      <c r="I225" s="21">
        <f>SUMIFS(Einzelbeträge!$D:$D,Einzelbeträge!$C:$C,'Ausgaben 2026'!$C225,Einzelbeträge!$E:$E,'Ausgaben 2026'!I$6)</f>
        <v>0</v>
      </c>
      <c r="J225" s="21">
        <f>SUMIFS(Einzelbeträge!$D:$D,Einzelbeträge!$C:$C,'Ausgaben 2026'!$C225,Einzelbeträge!$E:$E,'Ausgaben 2026'!J$6)</f>
        <v>0</v>
      </c>
      <c r="K225" s="21">
        <f>SUMIFS(Einzelbeträge!$D:$D,Einzelbeträge!$C:$C,'Ausgaben 2026'!$C225,Einzelbeträge!$E:$E,'Ausgaben 2026'!K$6)</f>
        <v>0</v>
      </c>
      <c r="L225" s="21">
        <f>SUMIFS(Einzelbeträge!$D:$D,Einzelbeträge!$C:$C,'Ausgaben 2026'!$C225,Einzelbeträge!$E:$E,'Ausgaben 2026'!L$6)</f>
        <v>0</v>
      </c>
      <c r="M225" s="21">
        <f>SUMIFS(Einzelbeträge!$D:$D,Einzelbeträge!$C:$C,'Ausgaben 2026'!$C225,Einzelbeträge!$E:$E,'Ausgaben 2026'!M$6)</f>
        <v>0</v>
      </c>
      <c r="N225" s="35">
        <f>SUMIFS(Einzelbeträge!$D:$D,Einzelbeträge!$C:$C,'Ausgaben 2026'!$C225,Einzelbeträge!$E:$E,'Ausgaben 2026'!N$6)</f>
        <v>0</v>
      </c>
      <c r="O225" s="6"/>
    </row>
    <row r="226" spans="2:15" x14ac:dyDescent="0.35">
      <c r="B226" s="5"/>
      <c r="C226" s="40">
        <f t="shared" si="22"/>
        <v>46223</v>
      </c>
      <c r="D226" s="46">
        <f>SUMIFS(Einzelbeträge!$D:$D,Einzelbeträge!$C:$C,'Ausgaben 2026'!$C226)</f>
        <v>0</v>
      </c>
      <c r="E226" s="21">
        <f>SUMIFS(Einzelbeträge!$D:$D,Einzelbeträge!$C:$C,'Ausgaben 2026'!$C226,Einzelbeträge!$E:$E,'Ausgaben 2026'!E$6)</f>
        <v>0</v>
      </c>
      <c r="F226" s="21">
        <f>SUMIFS(Einzelbeträge!$D:$D,Einzelbeträge!$C:$C,'Ausgaben 2026'!$C226,Einzelbeträge!$E:$E,'Ausgaben 2026'!F$6)</f>
        <v>0</v>
      </c>
      <c r="G226" s="21">
        <f>SUMIFS(Einzelbeträge!$D:$D,Einzelbeträge!$C:$C,'Ausgaben 2026'!$C226,Einzelbeträge!$E:$E,'Ausgaben 2026'!G$6)</f>
        <v>0</v>
      </c>
      <c r="H226" s="21">
        <f>SUMIFS(Einzelbeträge!$D:$D,Einzelbeträge!$C:$C,'Ausgaben 2026'!$C226,Einzelbeträge!$E:$E,'Ausgaben 2026'!H$6)</f>
        <v>0</v>
      </c>
      <c r="I226" s="21">
        <f>SUMIFS(Einzelbeträge!$D:$D,Einzelbeträge!$C:$C,'Ausgaben 2026'!$C226,Einzelbeträge!$E:$E,'Ausgaben 2026'!I$6)</f>
        <v>0</v>
      </c>
      <c r="J226" s="21">
        <f>SUMIFS(Einzelbeträge!$D:$D,Einzelbeträge!$C:$C,'Ausgaben 2026'!$C226,Einzelbeträge!$E:$E,'Ausgaben 2026'!J$6)</f>
        <v>0</v>
      </c>
      <c r="K226" s="21">
        <f>SUMIFS(Einzelbeträge!$D:$D,Einzelbeträge!$C:$C,'Ausgaben 2026'!$C226,Einzelbeträge!$E:$E,'Ausgaben 2026'!K$6)</f>
        <v>0</v>
      </c>
      <c r="L226" s="21">
        <f>SUMIFS(Einzelbeträge!$D:$D,Einzelbeträge!$C:$C,'Ausgaben 2026'!$C226,Einzelbeträge!$E:$E,'Ausgaben 2026'!L$6)</f>
        <v>0</v>
      </c>
      <c r="M226" s="21">
        <f>SUMIFS(Einzelbeträge!$D:$D,Einzelbeträge!$C:$C,'Ausgaben 2026'!$C226,Einzelbeträge!$E:$E,'Ausgaben 2026'!M$6)</f>
        <v>0</v>
      </c>
      <c r="N226" s="35">
        <f>SUMIFS(Einzelbeträge!$D:$D,Einzelbeträge!$C:$C,'Ausgaben 2026'!$C226,Einzelbeträge!$E:$E,'Ausgaben 2026'!N$6)</f>
        <v>0</v>
      </c>
      <c r="O226" s="6"/>
    </row>
    <row r="227" spans="2:15" x14ac:dyDescent="0.35">
      <c r="B227" s="5"/>
      <c r="C227" s="40">
        <f t="shared" si="22"/>
        <v>46224</v>
      </c>
      <c r="D227" s="46">
        <f>SUMIFS(Einzelbeträge!$D:$D,Einzelbeträge!$C:$C,'Ausgaben 2026'!$C227)</f>
        <v>0</v>
      </c>
      <c r="E227" s="21">
        <f>SUMIFS(Einzelbeträge!$D:$D,Einzelbeträge!$C:$C,'Ausgaben 2026'!$C227,Einzelbeträge!$E:$E,'Ausgaben 2026'!E$6)</f>
        <v>0</v>
      </c>
      <c r="F227" s="21">
        <f>SUMIFS(Einzelbeträge!$D:$D,Einzelbeträge!$C:$C,'Ausgaben 2026'!$C227,Einzelbeträge!$E:$E,'Ausgaben 2026'!F$6)</f>
        <v>0</v>
      </c>
      <c r="G227" s="21">
        <f>SUMIFS(Einzelbeträge!$D:$D,Einzelbeträge!$C:$C,'Ausgaben 2026'!$C227,Einzelbeträge!$E:$E,'Ausgaben 2026'!G$6)</f>
        <v>0</v>
      </c>
      <c r="H227" s="21">
        <f>SUMIFS(Einzelbeträge!$D:$D,Einzelbeträge!$C:$C,'Ausgaben 2026'!$C227,Einzelbeträge!$E:$E,'Ausgaben 2026'!H$6)</f>
        <v>0</v>
      </c>
      <c r="I227" s="21">
        <f>SUMIFS(Einzelbeträge!$D:$D,Einzelbeträge!$C:$C,'Ausgaben 2026'!$C227,Einzelbeträge!$E:$E,'Ausgaben 2026'!I$6)</f>
        <v>0</v>
      </c>
      <c r="J227" s="21">
        <f>SUMIFS(Einzelbeträge!$D:$D,Einzelbeträge!$C:$C,'Ausgaben 2026'!$C227,Einzelbeträge!$E:$E,'Ausgaben 2026'!J$6)</f>
        <v>0</v>
      </c>
      <c r="K227" s="21">
        <f>SUMIFS(Einzelbeträge!$D:$D,Einzelbeträge!$C:$C,'Ausgaben 2026'!$C227,Einzelbeträge!$E:$E,'Ausgaben 2026'!K$6)</f>
        <v>0</v>
      </c>
      <c r="L227" s="21">
        <f>SUMIFS(Einzelbeträge!$D:$D,Einzelbeträge!$C:$C,'Ausgaben 2026'!$C227,Einzelbeträge!$E:$E,'Ausgaben 2026'!L$6)</f>
        <v>0</v>
      </c>
      <c r="M227" s="21">
        <f>SUMIFS(Einzelbeträge!$D:$D,Einzelbeträge!$C:$C,'Ausgaben 2026'!$C227,Einzelbeträge!$E:$E,'Ausgaben 2026'!M$6)</f>
        <v>0</v>
      </c>
      <c r="N227" s="35">
        <f>SUMIFS(Einzelbeträge!$D:$D,Einzelbeträge!$C:$C,'Ausgaben 2026'!$C227,Einzelbeträge!$E:$E,'Ausgaben 2026'!N$6)</f>
        <v>0</v>
      </c>
      <c r="O227" s="6"/>
    </row>
    <row r="228" spans="2:15" x14ac:dyDescent="0.35">
      <c r="B228" s="5"/>
      <c r="C228" s="40">
        <f t="shared" si="22"/>
        <v>46225</v>
      </c>
      <c r="D228" s="46">
        <f>SUMIFS(Einzelbeträge!$D:$D,Einzelbeträge!$C:$C,'Ausgaben 2026'!$C228)</f>
        <v>0</v>
      </c>
      <c r="E228" s="21">
        <f>SUMIFS(Einzelbeträge!$D:$D,Einzelbeträge!$C:$C,'Ausgaben 2026'!$C228,Einzelbeträge!$E:$E,'Ausgaben 2026'!E$6)</f>
        <v>0</v>
      </c>
      <c r="F228" s="21">
        <f>SUMIFS(Einzelbeträge!$D:$D,Einzelbeträge!$C:$C,'Ausgaben 2026'!$C228,Einzelbeträge!$E:$E,'Ausgaben 2026'!F$6)</f>
        <v>0</v>
      </c>
      <c r="G228" s="21">
        <f>SUMIFS(Einzelbeträge!$D:$D,Einzelbeträge!$C:$C,'Ausgaben 2026'!$C228,Einzelbeträge!$E:$E,'Ausgaben 2026'!G$6)</f>
        <v>0</v>
      </c>
      <c r="H228" s="21">
        <f>SUMIFS(Einzelbeträge!$D:$D,Einzelbeträge!$C:$C,'Ausgaben 2026'!$C228,Einzelbeträge!$E:$E,'Ausgaben 2026'!H$6)</f>
        <v>0</v>
      </c>
      <c r="I228" s="21">
        <f>SUMIFS(Einzelbeträge!$D:$D,Einzelbeträge!$C:$C,'Ausgaben 2026'!$C228,Einzelbeträge!$E:$E,'Ausgaben 2026'!I$6)</f>
        <v>0</v>
      </c>
      <c r="J228" s="21">
        <f>SUMIFS(Einzelbeträge!$D:$D,Einzelbeträge!$C:$C,'Ausgaben 2026'!$C228,Einzelbeträge!$E:$E,'Ausgaben 2026'!J$6)</f>
        <v>0</v>
      </c>
      <c r="K228" s="21">
        <f>SUMIFS(Einzelbeträge!$D:$D,Einzelbeträge!$C:$C,'Ausgaben 2026'!$C228,Einzelbeträge!$E:$E,'Ausgaben 2026'!K$6)</f>
        <v>0</v>
      </c>
      <c r="L228" s="21">
        <f>SUMIFS(Einzelbeträge!$D:$D,Einzelbeträge!$C:$C,'Ausgaben 2026'!$C228,Einzelbeträge!$E:$E,'Ausgaben 2026'!L$6)</f>
        <v>0</v>
      </c>
      <c r="M228" s="21">
        <f>SUMIFS(Einzelbeträge!$D:$D,Einzelbeträge!$C:$C,'Ausgaben 2026'!$C228,Einzelbeträge!$E:$E,'Ausgaben 2026'!M$6)</f>
        <v>0</v>
      </c>
      <c r="N228" s="35">
        <f>SUMIFS(Einzelbeträge!$D:$D,Einzelbeträge!$C:$C,'Ausgaben 2026'!$C228,Einzelbeträge!$E:$E,'Ausgaben 2026'!N$6)</f>
        <v>0</v>
      </c>
      <c r="O228" s="6"/>
    </row>
    <row r="229" spans="2:15" x14ac:dyDescent="0.35">
      <c r="B229" s="5"/>
      <c r="C229" s="40">
        <f t="shared" si="22"/>
        <v>46226</v>
      </c>
      <c r="D229" s="46">
        <f>SUMIFS(Einzelbeträge!$D:$D,Einzelbeträge!$C:$C,'Ausgaben 2026'!$C229)</f>
        <v>0</v>
      </c>
      <c r="E229" s="21">
        <f>SUMIFS(Einzelbeträge!$D:$D,Einzelbeträge!$C:$C,'Ausgaben 2026'!$C229,Einzelbeträge!$E:$E,'Ausgaben 2026'!E$6)</f>
        <v>0</v>
      </c>
      <c r="F229" s="21">
        <f>SUMIFS(Einzelbeträge!$D:$D,Einzelbeträge!$C:$C,'Ausgaben 2026'!$C229,Einzelbeträge!$E:$E,'Ausgaben 2026'!F$6)</f>
        <v>0</v>
      </c>
      <c r="G229" s="21">
        <f>SUMIFS(Einzelbeträge!$D:$D,Einzelbeträge!$C:$C,'Ausgaben 2026'!$C229,Einzelbeträge!$E:$E,'Ausgaben 2026'!G$6)</f>
        <v>0</v>
      </c>
      <c r="H229" s="21">
        <f>SUMIFS(Einzelbeträge!$D:$D,Einzelbeträge!$C:$C,'Ausgaben 2026'!$C229,Einzelbeträge!$E:$E,'Ausgaben 2026'!H$6)</f>
        <v>0</v>
      </c>
      <c r="I229" s="21">
        <f>SUMIFS(Einzelbeträge!$D:$D,Einzelbeträge!$C:$C,'Ausgaben 2026'!$C229,Einzelbeträge!$E:$E,'Ausgaben 2026'!I$6)</f>
        <v>0</v>
      </c>
      <c r="J229" s="21">
        <f>SUMIFS(Einzelbeträge!$D:$D,Einzelbeträge!$C:$C,'Ausgaben 2026'!$C229,Einzelbeträge!$E:$E,'Ausgaben 2026'!J$6)</f>
        <v>0</v>
      </c>
      <c r="K229" s="21">
        <f>SUMIFS(Einzelbeträge!$D:$D,Einzelbeträge!$C:$C,'Ausgaben 2026'!$C229,Einzelbeträge!$E:$E,'Ausgaben 2026'!K$6)</f>
        <v>0</v>
      </c>
      <c r="L229" s="21">
        <f>SUMIFS(Einzelbeträge!$D:$D,Einzelbeträge!$C:$C,'Ausgaben 2026'!$C229,Einzelbeträge!$E:$E,'Ausgaben 2026'!L$6)</f>
        <v>0</v>
      </c>
      <c r="M229" s="21">
        <f>SUMIFS(Einzelbeträge!$D:$D,Einzelbeträge!$C:$C,'Ausgaben 2026'!$C229,Einzelbeträge!$E:$E,'Ausgaben 2026'!M$6)</f>
        <v>0</v>
      </c>
      <c r="N229" s="35">
        <f>SUMIFS(Einzelbeträge!$D:$D,Einzelbeträge!$C:$C,'Ausgaben 2026'!$C229,Einzelbeträge!$E:$E,'Ausgaben 2026'!N$6)</f>
        <v>0</v>
      </c>
      <c r="O229" s="6"/>
    </row>
    <row r="230" spans="2:15" x14ac:dyDescent="0.35">
      <c r="B230" s="5"/>
      <c r="C230" s="40">
        <f t="shared" si="22"/>
        <v>46227</v>
      </c>
      <c r="D230" s="46">
        <f>SUMIFS(Einzelbeträge!$D:$D,Einzelbeträge!$C:$C,'Ausgaben 2026'!$C230)</f>
        <v>0</v>
      </c>
      <c r="E230" s="21">
        <f>SUMIFS(Einzelbeträge!$D:$D,Einzelbeträge!$C:$C,'Ausgaben 2026'!$C230,Einzelbeträge!$E:$E,'Ausgaben 2026'!E$6)</f>
        <v>0</v>
      </c>
      <c r="F230" s="21">
        <f>SUMIFS(Einzelbeträge!$D:$D,Einzelbeträge!$C:$C,'Ausgaben 2026'!$C230,Einzelbeträge!$E:$E,'Ausgaben 2026'!F$6)</f>
        <v>0</v>
      </c>
      <c r="G230" s="21">
        <f>SUMIFS(Einzelbeträge!$D:$D,Einzelbeträge!$C:$C,'Ausgaben 2026'!$C230,Einzelbeträge!$E:$E,'Ausgaben 2026'!G$6)</f>
        <v>0</v>
      </c>
      <c r="H230" s="21">
        <f>SUMIFS(Einzelbeträge!$D:$D,Einzelbeträge!$C:$C,'Ausgaben 2026'!$C230,Einzelbeträge!$E:$E,'Ausgaben 2026'!H$6)</f>
        <v>0</v>
      </c>
      <c r="I230" s="21">
        <f>SUMIFS(Einzelbeträge!$D:$D,Einzelbeträge!$C:$C,'Ausgaben 2026'!$C230,Einzelbeträge!$E:$E,'Ausgaben 2026'!I$6)</f>
        <v>0</v>
      </c>
      <c r="J230" s="21">
        <f>SUMIFS(Einzelbeträge!$D:$D,Einzelbeträge!$C:$C,'Ausgaben 2026'!$C230,Einzelbeträge!$E:$E,'Ausgaben 2026'!J$6)</f>
        <v>0</v>
      </c>
      <c r="K230" s="21">
        <f>SUMIFS(Einzelbeträge!$D:$D,Einzelbeträge!$C:$C,'Ausgaben 2026'!$C230,Einzelbeträge!$E:$E,'Ausgaben 2026'!K$6)</f>
        <v>0</v>
      </c>
      <c r="L230" s="21">
        <f>SUMIFS(Einzelbeträge!$D:$D,Einzelbeträge!$C:$C,'Ausgaben 2026'!$C230,Einzelbeträge!$E:$E,'Ausgaben 2026'!L$6)</f>
        <v>0</v>
      </c>
      <c r="M230" s="21">
        <f>SUMIFS(Einzelbeträge!$D:$D,Einzelbeträge!$C:$C,'Ausgaben 2026'!$C230,Einzelbeträge!$E:$E,'Ausgaben 2026'!M$6)</f>
        <v>0</v>
      </c>
      <c r="N230" s="35">
        <f>SUMIFS(Einzelbeträge!$D:$D,Einzelbeträge!$C:$C,'Ausgaben 2026'!$C230,Einzelbeträge!$E:$E,'Ausgaben 2026'!N$6)</f>
        <v>0</v>
      </c>
      <c r="O230" s="6"/>
    </row>
    <row r="231" spans="2:15" x14ac:dyDescent="0.35">
      <c r="B231" s="5"/>
      <c r="C231" s="40">
        <f t="shared" si="22"/>
        <v>46228</v>
      </c>
      <c r="D231" s="46">
        <f>SUMIFS(Einzelbeträge!$D:$D,Einzelbeträge!$C:$C,'Ausgaben 2026'!$C231)</f>
        <v>0</v>
      </c>
      <c r="E231" s="21">
        <f>SUMIFS(Einzelbeträge!$D:$D,Einzelbeträge!$C:$C,'Ausgaben 2026'!$C231,Einzelbeträge!$E:$E,'Ausgaben 2026'!E$6)</f>
        <v>0</v>
      </c>
      <c r="F231" s="21">
        <f>SUMIFS(Einzelbeträge!$D:$D,Einzelbeträge!$C:$C,'Ausgaben 2026'!$C231,Einzelbeträge!$E:$E,'Ausgaben 2026'!F$6)</f>
        <v>0</v>
      </c>
      <c r="G231" s="21">
        <f>SUMIFS(Einzelbeträge!$D:$D,Einzelbeträge!$C:$C,'Ausgaben 2026'!$C231,Einzelbeträge!$E:$E,'Ausgaben 2026'!G$6)</f>
        <v>0</v>
      </c>
      <c r="H231" s="21">
        <f>SUMIFS(Einzelbeträge!$D:$D,Einzelbeträge!$C:$C,'Ausgaben 2026'!$C231,Einzelbeträge!$E:$E,'Ausgaben 2026'!H$6)</f>
        <v>0</v>
      </c>
      <c r="I231" s="21">
        <f>SUMIFS(Einzelbeträge!$D:$D,Einzelbeträge!$C:$C,'Ausgaben 2026'!$C231,Einzelbeträge!$E:$E,'Ausgaben 2026'!I$6)</f>
        <v>0</v>
      </c>
      <c r="J231" s="21">
        <f>SUMIFS(Einzelbeträge!$D:$D,Einzelbeträge!$C:$C,'Ausgaben 2026'!$C231,Einzelbeträge!$E:$E,'Ausgaben 2026'!J$6)</f>
        <v>0</v>
      </c>
      <c r="K231" s="21">
        <f>SUMIFS(Einzelbeträge!$D:$D,Einzelbeträge!$C:$C,'Ausgaben 2026'!$C231,Einzelbeträge!$E:$E,'Ausgaben 2026'!K$6)</f>
        <v>0</v>
      </c>
      <c r="L231" s="21">
        <f>SUMIFS(Einzelbeträge!$D:$D,Einzelbeträge!$C:$C,'Ausgaben 2026'!$C231,Einzelbeträge!$E:$E,'Ausgaben 2026'!L$6)</f>
        <v>0</v>
      </c>
      <c r="M231" s="21">
        <f>SUMIFS(Einzelbeträge!$D:$D,Einzelbeträge!$C:$C,'Ausgaben 2026'!$C231,Einzelbeträge!$E:$E,'Ausgaben 2026'!M$6)</f>
        <v>0</v>
      </c>
      <c r="N231" s="35">
        <f>SUMIFS(Einzelbeträge!$D:$D,Einzelbeträge!$C:$C,'Ausgaben 2026'!$C231,Einzelbeträge!$E:$E,'Ausgaben 2026'!N$6)</f>
        <v>0</v>
      </c>
      <c r="O231" s="6"/>
    </row>
    <row r="232" spans="2:15" x14ac:dyDescent="0.35">
      <c r="B232" s="5"/>
      <c r="C232" s="40">
        <f t="shared" si="22"/>
        <v>46229</v>
      </c>
      <c r="D232" s="46">
        <f>SUMIFS(Einzelbeträge!$D:$D,Einzelbeträge!$C:$C,'Ausgaben 2026'!$C232)</f>
        <v>0</v>
      </c>
      <c r="E232" s="21">
        <f>SUMIFS(Einzelbeträge!$D:$D,Einzelbeträge!$C:$C,'Ausgaben 2026'!$C232,Einzelbeträge!$E:$E,'Ausgaben 2026'!E$6)</f>
        <v>0</v>
      </c>
      <c r="F232" s="21">
        <f>SUMIFS(Einzelbeträge!$D:$D,Einzelbeträge!$C:$C,'Ausgaben 2026'!$C232,Einzelbeträge!$E:$E,'Ausgaben 2026'!F$6)</f>
        <v>0</v>
      </c>
      <c r="G232" s="21">
        <f>SUMIFS(Einzelbeträge!$D:$D,Einzelbeträge!$C:$C,'Ausgaben 2026'!$C232,Einzelbeträge!$E:$E,'Ausgaben 2026'!G$6)</f>
        <v>0</v>
      </c>
      <c r="H232" s="21">
        <f>SUMIFS(Einzelbeträge!$D:$D,Einzelbeträge!$C:$C,'Ausgaben 2026'!$C232,Einzelbeträge!$E:$E,'Ausgaben 2026'!H$6)</f>
        <v>0</v>
      </c>
      <c r="I232" s="21">
        <f>SUMIFS(Einzelbeträge!$D:$D,Einzelbeträge!$C:$C,'Ausgaben 2026'!$C232,Einzelbeträge!$E:$E,'Ausgaben 2026'!I$6)</f>
        <v>0</v>
      </c>
      <c r="J232" s="21">
        <f>SUMIFS(Einzelbeträge!$D:$D,Einzelbeträge!$C:$C,'Ausgaben 2026'!$C232,Einzelbeträge!$E:$E,'Ausgaben 2026'!J$6)</f>
        <v>0</v>
      </c>
      <c r="K232" s="21">
        <f>SUMIFS(Einzelbeträge!$D:$D,Einzelbeträge!$C:$C,'Ausgaben 2026'!$C232,Einzelbeträge!$E:$E,'Ausgaben 2026'!K$6)</f>
        <v>0</v>
      </c>
      <c r="L232" s="21">
        <f>SUMIFS(Einzelbeträge!$D:$D,Einzelbeträge!$C:$C,'Ausgaben 2026'!$C232,Einzelbeträge!$E:$E,'Ausgaben 2026'!L$6)</f>
        <v>0</v>
      </c>
      <c r="M232" s="21">
        <f>SUMIFS(Einzelbeträge!$D:$D,Einzelbeträge!$C:$C,'Ausgaben 2026'!$C232,Einzelbeträge!$E:$E,'Ausgaben 2026'!M$6)</f>
        <v>0</v>
      </c>
      <c r="N232" s="35">
        <f>SUMIFS(Einzelbeträge!$D:$D,Einzelbeträge!$C:$C,'Ausgaben 2026'!$C232,Einzelbeträge!$E:$E,'Ausgaben 2026'!N$6)</f>
        <v>0</v>
      </c>
      <c r="O232" s="6"/>
    </row>
    <row r="233" spans="2:15" x14ac:dyDescent="0.35">
      <c r="B233" s="5"/>
      <c r="C233" s="40">
        <f t="shared" si="22"/>
        <v>46230</v>
      </c>
      <c r="D233" s="46">
        <f>SUMIFS(Einzelbeträge!$D:$D,Einzelbeträge!$C:$C,'Ausgaben 2026'!$C233)</f>
        <v>0</v>
      </c>
      <c r="E233" s="21">
        <f>SUMIFS(Einzelbeträge!$D:$D,Einzelbeträge!$C:$C,'Ausgaben 2026'!$C233,Einzelbeträge!$E:$E,'Ausgaben 2026'!E$6)</f>
        <v>0</v>
      </c>
      <c r="F233" s="21">
        <f>SUMIFS(Einzelbeträge!$D:$D,Einzelbeträge!$C:$C,'Ausgaben 2026'!$C233,Einzelbeträge!$E:$E,'Ausgaben 2026'!F$6)</f>
        <v>0</v>
      </c>
      <c r="G233" s="21">
        <f>SUMIFS(Einzelbeträge!$D:$D,Einzelbeträge!$C:$C,'Ausgaben 2026'!$C233,Einzelbeträge!$E:$E,'Ausgaben 2026'!G$6)</f>
        <v>0</v>
      </c>
      <c r="H233" s="21">
        <f>SUMIFS(Einzelbeträge!$D:$D,Einzelbeträge!$C:$C,'Ausgaben 2026'!$C233,Einzelbeträge!$E:$E,'Ausgaben 2026'!H$6)</f>
        <v>0</v>
      </c>
      <c r="I233" s="21">
        <f>SUMIFS(Einzelbeträge!$D:$D,Einzelbeträge!$C:$C,'Ausgaben 2026'!$C233,Einzelbeträge!$E:$E,'Ausgaben 2026'!I$6)</f>
        <v>0</v>
      </c>
      <c r="J233" s="21">
        <f>SUMIFS(Einzelbeträge!$D:$D,Einzelbeträge!$C:$C,'Ausgaben 2026'!$C233,Einzelbeträge!$E:$E,'Ausgaben 2026'!J$6)</f>
        <v>0</v>
      </c>
      <c r="K233" s="21">
        <f>SUMIFS(Einzelbeträge!$D:$D,Einzelbeträge!$C:$C,'Ausgaben 2026'!$C233,Einzelbeträge!$E:$E,'Ausgaben 2026'!K$6)</f>
        <v>0</v>
      </c>
      <c r="L233" s="21">
        <f>SUMIFS(Einzelbeträge!$D:$D,Einzelbeträge!$C:$C,'Ausgaben 2026'!$C233,Einzelbeträge!$E:$E,'Ausgaben 2026'!L$6)</f>
        <v>0</v>
      </c>
      <c r="M233" s="21">
        <f>SUMIFS(Einzelbeträge!$D:$D,Einzelbeträge!$C:$C,'Ausgaben 2026'!$C233,Einzelbeträge!$E:$E,'Ausgaben 2026'!M$6)</f>
        <v>0</v>
      </c>
      <c r="N233" s="35">
        <f>SUMIFS(Einzelbeträge!$D:$D,Einzelbeträge!$C:$C,'Ausgaben 2026'!$C233,Einzelbeträge!$E:$E,'Ausgaben 2026'!N$6)</f>
        <v>0</v>
      </c>
      <c r="O233" s="6"/>
    </row>
    <row r="234" spans="2:15" x14ac:dyDescent="0.35">
      <c r="B234" s="5"/>
      <c r="C234" s="40">
        <f t="shared" si="22"/>
        <v>46231</v>
      </c>
      <c r="D234" s="46">
        <f>SUMIFS(Einzelbeträge!$D:$D,Einzelbeträge!$C:$C,'Ausgaben 2026'!$C234)</f>
        <v>0</v>
      </c>
      <c r="E234" s="21">
        <f>SUMIFS(Einzelbeträge!$D:$D,Einzelbeträge!$C:$C,'Ausgaben 2026'!$C234,Einzelbeträge!$E:$E,'Ausgaben 2026'!E$6)</f>
        <v>0</v>
      </c>
      <c r="F234" s="21">
        <f>SUMIFS(Einzelbeträge!$D:$D,Einzelbeträge!$C:$C,'Ausgaben 2026'!$C234,Einzelbeträge!$E:$E,'Ausgaben 2026'!F$6)</f>
        <v>0</v>
      </c>
      <c r="G234" s="21">
        <f>SUMIFS(Einzelbeträge!$D:$D,Einzelbeträge!$C:$C,'Ausgaben 2026'!$C234,Einzelbeträge!$E:$E,'Ausgaben 2026'!G$6)</f>
        <v>0</v>
      </c>
      <c r="H234" s="21">
        <f>SUMIFS(Einzelbeträge!$D:$D,Einzelbeträge!$C:$C,'Ausgaben 2026'!$C234,Einzelbeträge!$E:$E,'Ausgaben 2026'!H$6)</f>
        <v>0</v>
      </c>
      <c r="I234" s="21">
        <f>SUMIFS(Einzelbeträge!$D:$D,Einzelbeträge!$C:$C,'Ausgaben 2026'!$C234,Einzelbeträge!$E:$E,'Ausgaben 2026'!I$6)</f>
        <v>0</v>
      </c>
      <c r="J234" s="21">
        <f>SUMIFS(Einzelbeträge!$D:$D,Einzelbeträge!$C:$C,'Ausgaben 2026'!$C234,Einzelbeträge!$E:$E,'Ausgaben 2026'!J$6)</f>
        <v>0</v>
      </c>
      <c r="K234" s="21">
        <f>SUMIFS(Einzelbeträge!$D:$D,Einzelbeträge!$C:$C,'Ausgaben 2026'!$C234,Einzelbeträge!$E:$E,'Ausgaben 2026'!K$6)</f>
        <v>0</v>
      </c>
      <c r="L234" s="21">
        <f>SUMIFS(Einzelbeträge!$D:$D,Einzelbeträge!$C:$C,'Ausgaben 2026'!$C234,Einzelbeträge!$E:$E,'Ausgaben 2026'!L$6)</f>
        <v>0</v>
      </c>
      <c r="M234" s="21">
        <f>SUMIFS(Einzelbeträge!$D:$D,Einzelbeträge!$C:$C,'Ausgaben 2026'!$C234,Einzelbeträge!$E:$E,'Ausgaben 2026'!M$6)</f>
        <v>0</v>
      </c>
      <c r="N234" s="35">
        <f>SUMIFS(Einzelbeträge!$D:$D,Einzelbeträge!$C:$C,'Ausgaben 2026'!$C234,Einzelbeträge!$E:$E,'Ausgaben 2026'!N$6)</f>
        <v>0</v>
      </c>
      <c r="O234" s="6"/>
    </row>
    <row r="235" spans="2:15" x14ac:dyDescent="0.35">
      <c r="B235" s="5"/>
      <c r="C235" s="40">
        <f t="shared" si="22"/>
        <v>46232</v>
      </c>
      <c r="D235" s="46">
        <f>SUMIFS(Einzelbeträge!$D:$D,Einzelbeträge!$C:$C,'Ausgaben 2026'!$C235)</f>
        <v>0</v>
      </c>
      <c r="E235" s="21">
        <f>SUMIFS(Einzelbeträge!$D:$D,Einzelbeträge!$C:$C,'Ausgaben 2026'!$C235,Einzelbeträge!$E:$E,'Ausgaben 2026'!E$6)</f>
        <v>0</v>
      </c>
      <c r="F235" s="21">
        <f>SUMIFS(Einzelbeträge!$D:$D,Einzelbeträge!$C:$C,'Ausgaben 2026'!$C235,Einzelbeträge!$E:$E,'Ausgaben 2026'!F$6)</f>
        <v>0</v>
      </c>
      <c r="G235" s="21">
        <f>SUMIFS(Einzelbeträge!$D:$D,Einzelbeträge!$C:$C,'Ausgaben 2026'!$C235,Einzelbeträge!$E:$E,'Ausgaben 2026'!G$6)</f>
        <v>0</v>
      </c>
      <c r="H235" s="21">
        <f>SUMIFS(Einzelbeträge!$D:$D,Einzelbeträge!$C:$C,'Ausgaben 2026'!$C235,Einzelbeträge!$E:$E,'Ausgaben 2026'!H$6)</f>
        <v>0</v>
      </c>
      <c r="I235" s="21">
        <f>SUMIFS(Einzelbeträge!$D:$D,Einzelbeträge!$C:$C,'Ausgaben 2026'!$C235,Einzelbeträge!$E:$E,'Ausgaben 2026'!I$6)</f>
        <v>0</v>
      </c>
      <c r="J235" s="21">
        <f>SUMIFS(Einzelbeträge!$D:$D,Einzelbeträge!$C:$C,'Ausgaben 2026'!$C235,Einzelbeträge!$E:$E,'Ausgaben 2026'!J$6)</f>
        <v>0</v>
      </c>
      <c r="K235" s="21">
        <f>SUMIFS(Einzelbeträge!$D:$D,Einzelbeträge!$C:$C,'Ausgaben 2026'!$C235,Einzelbeträge!$E:$E,'Ausgaben 2026'!K$6)</f>
        <v>0</v>
      </c>
      <c r="L235" s="21">
        <f>SUMIFS(Einzelbeträge!$D:$D,Einzelbeträge!$C:$C,'Ausgaben 2026'!$C235,Einzelbeträge!$E:$E,'Ausgaben 2026'!L$6)</f>
        <v>0</v>
      </c>
      <c r="M235" s="21">
        <f>SUMIFS(Einzelbeträge!$D:$D,Einzelbeträge!$C:$C,'Ausgaben 2026'!$C235,Einzelbeträge!$E:$E,'Ausgaben 2026'!M$6)</f>
        <v>0</v>
      </c>
      <c r="N235" s="35">
        <f>SUMIFS(Einzelbeträge!$D:$D,Einzelbeträge!$C:$C,'Ausgaben 2026'!$C235,Einzelbeträge!$E:$E,'Ausgaben 2026'!N$6)</f>
        <v>0</v>
      </c>
      <c r="O235" s="6"/>
    </row>
    <row r="236" spans="2:15" x14ac:dyDescent="0.35">
      <c r="B236" s="5"/>
      <c r="C236" s="40">
        <f t="shared" si="22"/>
        <v>46233</v>
      </c>
      <c r="D236" s="46">
        <f>SUMIFS(Einzelbeträge!$D:$D,Einzelbeträge!$C:$C,'Ausgaben 2026'!$C236)</f>
        <v>0</v>
      </c>
      <c r="E236" s="21">
        <f>SUMIFS(Einzelbeträge!$D:$D,Einzelbeträge!$C:$C,'Ausgaben 2026'!$C236,Einzelbeträge!$E:$E,'Ausgaben 2026'!E$6)</f>
        <v>0</v>
      </c>
      <c r="F236" s="21">
        <f>SUMIFS(Einzelbeträge!$D:$D,Einzelbeträge!$C:$C,'Ausgaben 2026'!$C236,Einzelbeträge!$E:$E,'Ausgaben 2026'!F$6)</f>
        <v>0</v>
      </c>
      <c r="G236" s="21">
        <f>SUMIFS(Einzelbeträge!$D:$D,Einzelbeträge!$C:$C,'Ausgaben 2026'!$C236,Einzelbeträge!$E:$E,'Ausgaben 2026'!G$6)</f>
        <v>0</v>
      </c>
      <c r="H236" s="21">
        <f>SUMIFS(Einzelbeträge!$D:$D,Einzelbeträge!$C:$C,'Ausgaben 2026'!$C236,Einzelbeträge!$E:$E,'Ausgaben 2026'!H$6)</f>
        <v>0</v>
      </c>
      <c r="I236" s="21">
        <f>SUMIFS(Einzelbeträge!$D:$D,Einzelbeträge!$C:$C,'Ausgaben 2026'!$C236,Einzelbeträge!$E:$E,'Ausgaben 2026'!I$6)</f>
        <v>0</v>
      </c>
      <c r="J236" s="21">
        <f>SUMIFS(Einzelbeträge!$D:$D,Einzelbeträge!$C:$C,'Ausgaben 2026'!$C236,Einzelbeträge!$E:$E,'Ausgaben 2026'!J$6)</f>
        <v>0</v>
      </c>
      <c r="K236" s="21">
        <f>SUMIFS(Einzelbeträge!$D:$D,Einzelbeträge!$C:$C,'Ausgaben 2026'!$C236,Einzelbeträge!$E:$E,'Ausgaben 2026'!K$6)</f>
        <v>0</v>
      </c>
      <c r="L236" s="21">
        <f>SUMIFS(Einzelbeträge!$D:$D,Einzelbeträge!$C:$C,'Ausgaben 2026'!$C236,Einzelbeträge!$E:$E,'Ausgaben 2026'!L$6)</f>
        <v>0</v>
      </c>
      <c r="M236" s="21">
        <f>SUMIFS(Einzelbeträge!$D:$D,Einzelbeträge!$C:$C,'Ausgaben 2026'!$C236,Einzelbeträge!$E:$E,'Ausgaben 2026'!M$6)</f>
        <v>0</v>
      </c>
      <c r="N236" s="35">
        <f>SUMIFS(Einzelbeträge!$D:$D,Einzelbeträge!$C:$C,'Ausgaben 2026'!$C236,Einzelbeträge!$E:$E,'Ausgaben 2026'!N$6)</f>
        <v>0</v>
      </c>
      <c r="O236" s="6"/>
    </row>
    <row r="237" spans="2:15" x14ac:dyDescent="0.35">
      <c r="B237" s="5"/>
      <c r="C237" s="31">
        <f t="shared" si="22"/>
        <v>46234</v>
      </c>
      <c r="D237" s="47">
        <f>SUMIFS(Einzelbeträge!$D:$D,Einzelbeträge!$C:$C,'Ausgaben 2026'!$C237)</f>
        <v>0</v>
      </c>
      <c r="E237" s="37">
        <f>SUMIFS(Einzelbeträge!$D:$D,Einzelbeträge!$C:$C,'Ausgaben 2026'!$C237,Einzelbeträge!$E:$E,'Ausgaben 2026'!E$6)</f>
        <v>0</v>
      </c>
      <c r="F237" s="37">
        <f>SUMIFS(Einzelbeträge!$D:$D,Einzelbeträge!$C:$C,'Ausgaben 2026'!$C237,Einzelbeträge!$E:$E,'Ausgaben 2026'!F$6)</f>
        <v>0</v>
      </c>
      <c r="G237" s="37">
        <f>SUMIFS(Einzelbeträge!$D:$D,Einzelbeträge!$C:$C,'Ausgaben 2026'!$C237,Einzelbeträge!$E:$E,'Ausgaben 2026'!G$6)</f>
        <v>0</v>
      </c>
      <c r="H237" s="37">
        <f>SUMIFS(Einzelbeträge!$D:$D,Einzelbeträge!$C:$C,'Ausgaben 2026'!$C237,Einzelbeträge!$E:$E,'Ausgaben 2026'!H$6)</f>
        <v>0</v>
      </c>
      <c r="I237" s="37">
        <f>SUMIFS(Einzelbeträge!$D:$D,Einzelbeträge!$C:$C,'Ausgaben 2026'!$C237,Einzelbeträge!$E:$E,'Ausgaben 2026'!I$6)</f>
        <v>0</v>
      </c>
      <c r="J237" s="37">
        <f>SUMIFS(Einzelbeträge!$D:$D,Einzelbeträge!$C:$C,'Ausgaben 2026'!$C237,Einzelbeträge!$E:$E,'Ausgaben 2026'!J$6)</f>
        <v>0</v>
      </c>
      <c r="K237" s="37">
        <f>SUMIFS(Einzelbeträge!$D:$D,Einzelbeträge!$C:$C,'Ausgaben 2026'!$C237,Einzelbeträge!$E:$E,'Ausgaben 2026'!K$6)</f>
        <v>0</v>
      </c>
      <c r="L237" s="37">
        <f>SUMIFS(Einzelbeträge!$D:$D,Einzelbeträge!$C:$C,'Ausgaben 2026'!$C237,Einzelbeträge!$E:$E,'Ausgaben 2026'!L$6)</f>
        <v>0</v>
      </c>
      <c r="M237" s="37">
        <f>SUMIFS(Einzelbeträge!$D:$D,Einzelbeträge!$C:$C,'Ausgaben 2026'!$C237,Einzelbeträge!$E:$E,'Ausgaben 2026'!M$6)</f>
        <v>0</v>
      </c>
      <c r="N237" s="38">
        <f>SUMIFS(Einzelbeträge!$D:$D,Einzelbeträge!$C:$C,'Ausgaben 2026'!$C237,Einzelbeträge!$E:$E,'Ausgaben 2026'!N$6)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46235</v>
      </c>
      <c r="D241" s="45">
        <f>SUMIFS(Einzelbeträge!$D:$D,Einzelbeträge!$C:$C,'Ausgaben 2026'!$C241)</f>
        <v>0</v>
      </c>
      <c r="E241" s="32">
        <f>SUMIFS(Einzelbeträge!$D:$D,Einzelbeträge!$C:$C,'Ausgaben 2026'!$C241,Einzelbeträge!$E:$E,'Ausgaben 2026'!E$6)</f>
        <v>0</v>
      </c>
      <c r="F241" s="32">
        <f>SUMIFS(Einzelbeträge!$D:$D,Einzelbeträge!$C:$C,'Ausgaben 2026'!$C241,Einzelbeträge!$E:$E,'Ausgaben 2026'!F$6)</f>
        <v>0</v>
      </c>
      <c r="G241" s="32">
        <f>SUMIFS(Einzelbeträge!$D:$D,Einzelbeträge!$C:$C,'Ausgaben 2026'!$C241,Einzelbeträge!$E:$E,'Ausgaben 2026'!G$6)</f>
        <v>0</v>
      </c>
      <c r="H241" s="32">
        <f>SUMIFS(Einzelbeträge!$D:$D,Einzelbeträge!$C:$C,'Ausgaben 2026'!$C241,Einzelbeträge!$E:$E,'Ausgaben 2026'!H$6)</f>
        <v>0</v>
      </c>
      <c r="I241" s="32">
        <f>SUMIFS(Einzelbeträge!$D:$D,Einzelbeträge!$C:$C,'Ausgaben 2026'!$C241,Einzelbeträge!$E:$E,'Ausgaben 2026'!I$6)</f>
        <v>0</v>
      </c>
      <c r="J241" s="32">
        <f>SUMIFS(Einzelbeträge!$D:$D,Einzelbeträge!$C:$C,'Ausgaben 2026'!$C241,Einzelbeträge!$E:$E,'Ausgaben 2026'!J$6)</f>
        <v>0</v>
      </c>
      <c r="K241" s="32">
        <f>SUMIFS(Einzelbeträge!$D:$D,Einzelbeträge!$C:$C,'Ausgaben 2026'!$C241,Einzelbeträge!$E:$E,'Ausgaben 2026'!K$6)</f>
        <v>0</v>
      </c>
      <c r="L241" s="32">
        <f>SUMIFS(Einzelbeträge!$D:$D,Einzelbeträge!$C:$C,'Ausgaben 2026'!$C241,Einzelbeträge!$E:$E,'Ausgaben 2026'!L$6)</f>
        <v>0</v>
      </c>
      <c r="M241" s="32">
        <f>SUMIFS(Einzelbeträge!$D:$D,Einzelbeträge!$C:$C,'Ausgaben 2026'!$C241,Einzelbeträge!$E:$E,'Ausgaben 2026'!M$6)</f>
        <v>0</v>
      </c>
      <c r="N241" s="33">
        <f>SUMIFS(Einzelbeträge!$D:$D,Einzelbeträge!$C:$C,'Ausgaben 2026'!$C241,Einzelbeträge!$E:$E,'Ausgaben 2026'!N$6)</f>
        <v>0</v>
      </c>
      <c r="O241" s="6"/>
    </row>
    <row r="242" spans="2:15" x14ac:dyDescent="0.35">
      <c r="B242" s="5"/>
      <c r="C242" s="40">
        <f>C241+1</f>
        <v>46236</v>
      </c>
      <c r="D242" s="46">
        <f>SUMIFS(Einzelbeträge!$D:$D,Einzelbeträge!$C:$C,'Ausgaben 2026'!$C242)</f>
        <v>0</v>
      </c>
      <c r="E242" s="21">
        <f>SUMIFS(Einzelbeträge!$D:$D,Einzelbeträge!$C:$C,'Ausgaben 2026'!$C242,Einzelbeträge!$E:$E,'Ausgaben 2026'!E$6)</f>
        <v>0</v>
      </c>
      <c r="F242" s="21">
        <f>SUMIFS(Einzelbeträge!$D:$D,Einzelbeträge!$C:$C,'Ausgaben 2026'!$C242,Einzelbeträge!$E:$E,'Ausgaben 2026'!F$6)</f>
        <v>0</v>
      </c>
      <c r="G242" s="21">
        <f>SUMIFS(Einzelbeträge!$D:$D,Einzelbeträge!$C:$C,'Ausgaben 2026'!$C242,Einzelbeträge!$E:$E,'Ausgaben 2026'!G$6)</f>
        <v>0</v>
      </c>
      <c r="H242" s="21">
        <f>SUMIFS(Einzelbeträge!$D:$D,Einzelbeträge!$C:$C,'Ausgaben 2026'!$C242,Einzelbeträge!$E:$E,'Ausgaben 2026'!H$6)</f>
        <v>0</v>
      </c>
      <c r="I242" s="21">
        <f>SUMIFS(Einzelbeträge!$D:$D,Einzelbeträge!$C:$C,'Ausgaben 2026'!$C242,Einzelbeträge!$E:$E,'Ausgaben 2026'!I$6)</f>
        <v>0</v>
      </c>
      <c r="J242" s="21">
        <f>SUMIFS(Einzelbeträge!$D:$D,Einzelbeträge!$C:$C,'Ausgaben 2026'!$C242,Einzelbeträge!$E:$E,'Ausgaben 2026'!J$6)</f>
        <v>0</v>
      </c>
      <c r="K242" s="21">
        <f>SUMIFS(Einzelbeträge!$D:$D,Einzelbeträge!$C:$C,'Ausgaben 2026'!$C242,Einzelbeträge!$E:$E,'Ausgaben 2026'!K$6)</f>
        <v>0</v>
      </c>
      <c r="L242" s="21">
        <f>SUMIFS(Einzelbeträge!$D:$D,Einzelbeträge!$C:$C,'Ausgaben 2026'!$C242,Einzelbeträge!$E:$E,'Ausgaben 2026'!L$6)</f>
        <v>0</v>
      </c>
      <c r="M242" s="21">
        <f>SUMIFS(Einzelbeträge!$D:$D,Einzelbeträge!$C:$C,'Ausgaben 2026'!$C242,Einzelbeträge!$E:$E,'Ausgaben 2026'!M$6)</f>
        <v>0</v>
      </c>
      <c r="N242" s="35">
        <f>SUMIFS(Einzelbeträge!$D:$D,Einzelbeträge!$C:$C,'Ausgaben 2026'!$C242,Einzelbeträge!$E:$E,'Ausgaben 2026'!N$6)</f>
        <v>0</v>
      </c>
      <c r="O242" s="6"/>
    </row>
    <row r="243" spans="2:15" x14ac:dyDescent="0.35">
      <c r="B243" s="5"/>
      <c r="C243" s="40">
        <f t="shared" ref="C243:C271" si="23">C242+1</f>
        <v>46237</v>
      </c>
      <c r="D243" s="46">
        <f>SUMIFS(Einzelbeträge!$D:$D,Einzelbeträge!$C:$C,'Ausgaben 2026'!$C243)</f>
        <v>0</v>
      </c>
      <c r="E243" s="21">
        <f>SUMIFS(Einzelbeträge!$D:$D,Einzelbeträge!$C:$C,'Ausgaben 2026'!$C243,Einzelbeträge!$E:$E,'Ausgaben 2026'!E$6)</f>
        <v>0</v>
      </c>
      <c r="F243" s="21">
        <f>SUMIFS(Einzelbeträge!$D:$D,Einzelbeträge!$C:$C,'Ausgaben 2026'!$C243,Einzelbeträge!$E:$E,'Ausgaben 2026'!F$6)</f>
        <v>0</v>
      </c>
      <c r="G243" s="21">
        <f>SUMIFS(Einzelbeträge!$D:$D,Einzelbeträge!$C:$C,'Ausgaben 2026'!$C243,Einzelbeträge!$E:$E,'Ausgaben 2026'!G$6)</f>
        <v>0</v>
      </c>
      <c r="H243" s="21">
        <f>SUMIFS(Einzelbeträge!$D:$D,Einzelbeträge!$C:$C,'Ausgaben 2026'!$C243,Einzelbeträge!$E:$E,'Ausgaben 2026'!H$6)</f>
        <v>0</v>
      </c>
      <c r="I243" s="21">
        <f>SUMIFS(Einzelbeträge!$D:$D,Einzelbeträge!$C:$C,'Ausgaben 2026'!$C243,Einzelbeträge!$E:$E,'Ausgaben 2026'!I$6)</f>
        <v>0</v>
      </c>
      <c r="J243" s="21">
        <f>SUMIFS(Einzelbeträge!$D:$D,Einzelbeträge!$C:$C,'Ausgaben 2026'!$C243,Einzelbeträge!$E:$E,'Ausgaben 2026'!J$6)</f>
        <v>0</v>
      </c>
      <c r="K243" s="21">
        <f>SUMIFS(Einzelbeträge!$D:$D,Einzelbeträge!$C:$C,'Ausgaben 2026'!$C243,Einzelbeträge!$E:$E,'Ausgaben 2026'!K$6)</f>
        <v>0</v>
      </c>
      <c r="L243" s="21">
        <f>SUMIFS(Einzelbeträge!$D:$D,Einzelbeträge!$C:$C,'Ausgaben 2026'!$C243,Einzelbeträge!$E:$E,'Ausgaben 2026'!L$6)</f>
        <v>0</v>
      </c>
      <c r="M243" s="21">
        <f>SUMIFS(Einzelbeträge!$D:$D,Einzelbeträge!$C:$C,'Ausgaben 2026'!$C243,Einzelbeträge!$E:$E,'Ausgaben 2026'!M$6)</f>
        <v>0</v>
      </c>
      <c r="N243" s="35">
        <f>SUMIFS(Einzelbeträge!$D:$D,Einzelbeträge!$C:$C,'Ausgaben 2026'!$C243,Einzelbeträge!$E:$E,'Ausgaben 2026'!N$6)</f>
        <v>0</v>
      </c>
      <c r="O243" s="6"/>
    </row>
    <row r="244" spans="2:15" x14ac:dyDescent="0.35">
      <c r="B244" s="5"/>
      <c r="C244" s="40">
        <f t="shared" si="23"/>
        <v>46238</v>
      </c>
      <c r="D244" s="46">
        <f>SUMIFS(Einzelbeträge!$D:$D,Einzelbeträge!$C:$C,'Ausgaben 2026'!$C244)</f>
        <v>0</v>
      </c>
      <c r="E244" s="21">
        <f>SUMIFS(Einzelbeträge!$D:$D,Einzelbeträge!$C:$C,'Ausgaben 2026'!$C244,Einzelbeträge!$E:$E,'Ausgaben 2026'!E$6)</f>
        <v>0</v>
      </c>
      <c r="F244" s="21">
        <f>SUMIFS(Einzelbeträge!$D:$D,Einzelbeträge!$C:$C,'Ausgaben 2026'!$C244,Einzelbeträge!$E:$E,'Ausgaben 2026'!F$6)</f>
        <v>0</v>
      </c>
      <c r="G244" s="21">
        <f>SUMIFS(Einzelbeträge!$D:$D,Einzelbeträge!$C:$C,'Ausgaben 2026'!$C244,Einzelbeträge!$E:$E,'Ausgaben 2026'!G$6)</f>
        <v>0</v>
      </c>
      <c r="H244" s="21">
        <f>SUMIFS(Einzelbeträge!$D:$D,Einzelbeträge!$C:$C,'Ausgaben 2026'!$C244,Einzelbeträge!$E:$E,'Ausgaben 2026'!H$6)</f>
        <v>0</v>
      </c>
      <c r="I244" s="21">
        <f>SUMIFS(Einzelbeträge!$D:$D,Einzelbeträge!$C:$C,'Ausgaben 2026'!$C244,Einzelbeträge!$E:$E,'Ausgaben 2026'!I$6)</f>
        <v>0</v>
      </c>
      <c r="J244" s="21">
        <f>SUMIFS(Einzelbeträge!$D:$D,Einzelbeträge!$C:$C,'Ausgaben 2026'!$C244,Einzelbeträge!$E:$E,'Ausgaben 2026'!J$6)</f>
        <v>0</v>
      </c>
      <c r="K244" s="21">
        <f>SUMIFS(Einzelbeträge!$D:$D,Einzelbeträge!$C:$C,'Ausgaben 2026'!$C244,Einzelbeträge!$E:$E,'Ausgaben 2026'!K$6)</f>
        <v>0</v>
      </c>
      <c r="L244" s="21">
        <f>SUMIFS(Einzelbeträge!$D:$D,Einzelbeträge!$C:$C,'Ausgaben 2026'!$C244,Einzelbeträge!$E:$E,'Ausgaben 2026'!L$6)</f>
        <v>0</v>
      </c>
      <c r="M244" s="21">
        <f>SUMIFS(Einzelbeträge!$D:$D,Einzelbeträge!$C:$C,'Ausgaben 2026'!$C244,Einzelbeträge!$E:$E,'Ausgaben 2026'!M$6)</f>
        <v>0</v>
      </c>
      <c r="N244" s="35">
        <f>SUMIFS(Einzelbeträge!$D:$D,Einzelbeträge!$C:$C,'Ausgaben 2026'!$C244,Einzelbeträge!$E:$E,'Ausgaben 2026'!N$6)</f>
        <v>0</v>
      </c>
      <c r="O244" s="6"/>
    </row>
    <row r="245" spans="2:15" x14ac:dyDescent="0.35">
      <c r="B245" s="5"/>
      <c r="C245" s="40">
        <f t="shared" si="23"/>
        <v>46239</v>
      </c>
      <c r="D245" s="46">
        <f>SUMIFS(Einzelbeträge!$D:$D,Einzelbeträge!$C:$C,'Ausgaben 2026'!$C245)</f>
        <v>0</v>
      </c>
      <c r="E245" s="21">
        <f>SUMIFS(Einzelbeträge!$D:$D,Einzelbeträge!$C:$C,'Ausgaben 2026'!$C245,Einzelbeträge!$E:$E,'Ausgaben 2026'!E$6)</f>
        <v>0</v>
      </c>
      <c r="F245" s="21">
        <f>SUMIFS(Einzelbeträge!$D:$D,Einzelbeträge!$C:$C,'Ausgaben 2026'!$C245,Einzelbeträge!$E:$E,'Ausgaben 2026'!F$6)</f>
        <v>0</v>
      </c>
      <c r="G245" s="21">
        <f>SUMIFS(Einzelbeträge!$D:$D,Einzelbeträge!$C:$C,'Ausgaben 2026'!$C245,Einzelbeträge!$E:$E,'Ausgaben 2026'!G$6)</f>
        <v>0</v>
      </c>
      <c r="H245" s="21">
        <f>SUMIFS(Einzelbeträge!$D:$D,Einzelbeträge!$C:$C,'Ausgaben 2026'!$C245,Einzelbeträge!$E:$E,'Ausgaben 2026'!H$6)</f>
        <v>0</v>
      </c>
      <c r="I245" s="21">
        <f>SUMIFS(Einzelbeträge!$D:$D,Einzelbeträge!$C:$C,'Ausgaben 2026'!$C245,Einzelbeträge!$E:$E,'Ausgaben 2026'!I$6)</f>
        <v>0</v>
      </c>
      <c r="J245" s="21">
        <f>SUMIFS(Einzelbeträge!$D:$D,Einzelbeträge!$C:$C,'Ausgaben 2026'!$C245,Einzelbeträge!$E:$E,'Ausgaben 2026'!J$6)</f>
        <v>0</v>
      </c>
      <c r="K245" s="21">
        <f>SUMIFS(Einzelbeträge!$D:$D,Einzelbeträge!$C:$C,'Ausgaben 2026'!$C245,Einzelbeträge!$E:$E,'Ausgaben 2026'!K$6)</f>
        <v>0</v>
      </c>
      <c r="L245" s="21">
        <f>SUMIFS(Einzelbeträge!$D:$D,Einzelbeträge!$C:$C,'Ausgaben 2026'!$C245,Einzelbeträge!$E:$E,'Ausgaben 2026'!L$6)</f>
        <v>0</v>
      </c>
      <c r="M245" s="21">
        <f>SUMIFS(Einzelbeträge!$D:$D,Einzelbeträge!$C:$C,'Ausgaben 2026'!$C245,Einzelbeträge!$E:$E,'Ausgaben 2026'!M$6)</f>
        <v>0</v>
      </c>
      <c r="N245" s="35">
        <f>SUMIFS(Einzelbeträge!$D:$D,Einzelbeträge!$C:$C,'Ausgaben 2026'!$C245,Einzelbeträge!$E:$E,'Ausgaben 2026'!N$6)</f>
        <v>0</v>
      </c>
      <c r="O245" s="6"/>
    </row>
    <row r="246" spans="2:15" x14ac:dyDescent="0.35">
      <c r="B246" s="5"/>
      <c r="C246" s="40">
        <f t="shared" si="23"/>
        <v>46240</v>
      </c>
      <c r="D246" s="46">
        <f>SUMIFS(Einzelbeträge!$D:$D,Einzelbeträge!$C:$C,'Ausgaben 2026'!$C246)</f>
        <v>0</v>
      </c>
      <c r="E246" s="21">
        <f>SUMIFS(Einzelbeträge!$D:$D,Einzelbeträge!$C:$C,'Ausgaben 2026'!$C246,Einzelbeträge!$E:$E,'Ausgaben 2026'!E$6)</f>
        <v>0</v>
      </c>
      <c r="F246" s="21">
        <f>SUMIFS(Einzelbeträge!$D:$D,Einzelbeträge!$C:$C,'Ausgaben 2026'!$C246,Einzelbeträge!$E:$E,'Ausgaben 2026'!F$6)</f>
        <v>0</v>
      </c>
      <c r="G246" s="21">
        <f>SUMIFS(Einzelbeträge!$D:$D,Einzelbeträge!$C:$C,'Ausgaben 2026'!$C246,Einzelbeträge!$E:$E,'Ausgaben 2026'!G$6)</f>
        <v>0</v>
      </c>
      <c r="H246" s="21">
        <f>SUMIFS(Einzelbeträge!$D:$D,Einzelbeträge!$C:$C,'Ausgaben 2026'!$C246,Einzelbeträge!$E:$E,'Ausgaben 2026'!H$6)</f>
        <v>0</v>
      </c>
      <c r="I246" s="21">
        <f>SUMIFS(Einzelbeträge!$D:$D,Einzelbeträge!$C:$C,'Ausgaben 2026'!$C246,Einzelbeträge!$E:$E,'Ausgaben 2026'!I$6)</f>
        <v>0</v>
      </c>
      <c r="J246" s="21">
        <f>SUMIFS(Einzelbeträge!$D:$D,Einzelbeträge!$C:$C,'Ausgaben 2026'!$C246,Einzelbeträge!$E:$E,'Ausgaben 2026'!J$6)</f>
        <v>0</v>
      </c>
      <c r="K246" s="21">
        <f>SUMIFS(Einzelbeträge!$D:$D,Einzelbeträge!$C:$C,'Ausgaben 2026'!$C246,Einzelbeträge!$E:$E,'Ausgaben 2026'!K$6)</f>
        <v>0</v>
      </c>
      <c r="L246" s="21">
        <f>SUMIFS(Einzelbeträge!$D:$D,Einzelbeträge!$C:$C,'Ausgaben 2026'!$C246,Einzelbeträge!$E:$E,'Ausgaben 2026'!L$6)</f>
        <v>0</v>
      </c>
      <c r="M246" s="21">
        <f>SUMIFS(Einzelbeträge!$D:$D,Einzelbeträge!$C:$C,'Ausgaben 2026'!$C246,Einzelbeträge!$E:$E,'Ausgaben 2026'!M$6)</f>
        <v>0</v>
      </c>
      <c r="N246" s="35">
        <f>SUMIFS(Einzelbeträge!$D:$D,Einzelbeträge!$C:$C,'Ausgaben 2026'!$C246,Einzelbeträge!$E:$E,'Ausgaben 2026'!N$6)</f>
        <v>0</v>
      </c>
      <c r="O246" s="6"/>
    </row>
    <row r="247" spans="2:15" x14ac:dyDescent="0.35">
      <c r="B247" s="5"/>
      <c r="C247" s="40">
        <f t="shared" si="23"/>
        <v>46241</v>
      </c>
      <c r="D247" s="46">
        <f>SUMIFS(Einzelbeträge!$D:$D,Einzelbeträge!$C:$C,'Ausgaben 2026'!$C247)</f>
        <v>0</v>
      </c>
      <c r="E247" s="21">
        <f>SUMIFS(Einzelbeträge!$D:$D,Einzelbeträge!$C:$C,'Ausgaben 2026'!$C247,Einzelbeträge!$E:$E,'Ausgaben 2026'!E$6)</f>
        <v>0</v>
      </c>
      <c r="F247" s="21">
        <f>SUMIFS(Einzelbeträge!$D:$D,Einzelbeträge!$C:$C,'Ausgaben 2026'!$C247,Einzelbeträge!$E:$E,'Ausgaben 2026'!F$6)</f>
        <v>0</v>
      </c>
      <c r="G247" s="21">
        <f>SUMIFS(Einzelbeträge!$D:$D,Einzelbeträge!$C:$C,'Ausgaben 2026'!$C247,Einzelbeträge!$E:$E,'Ausgaben 2026'!G$6)</f>
        <v>0</v>
      </c>
      <c r="H247" s="21">
        <f>SUMIFS(Einzelbeträge!$D:$D,Einzelbeträge!$C:$C,'Ausgaben 2026'!$C247,Einzelbeträge!$E:$E,'Ausgaben 2026'!H$6)</f>
        <v>0</v>
      </c>
      <c r="I247" s="21">
        <f>SUMIFS(Einzelbeträge!$D:$D,Einzelbeträge!$C:$C,'Ausgaben 2026'!$C247,Einzelbeträge!$E:$E,'Ausgaben 2026'!I$6)</f>
        <v>0</v>
      </c>
      <c r="J247" s="21">
        <f>SUMIFS(Einzelbeträge!$D:$D,Einzelbeträge!$C:$C,'Ausgaben 2026'!$C247,Einzelbeträge!$E:$E,'Ausgaben 2026'!J$6)</f>
        <v>0</v>
      </c>
      <c r="K247" s="21">
        <f>SUMIFS(Einzelbeträge!$D:$D,Einzelbeträge!$C:$C,'Ausgaben 2026'!$C247,Einzelbeträge!$E:$E,'Ausgaben 2026'!K$6)</f>
        <v>0</v>
      </c>
      <c r="L247" s="21">
        <f>SUMIFS(Einzelbeträge!$D:$D,Einzelbeträge!$C:$C,'Ausgaben 2026'!$C247,Einzelbeträge!$E:$E,'Ausgaben 2026'!L$6)</f>
        <v>0</v>
      </c>
      <c r="M247" s="21">
        <f>SUMIFS(Einzelbeträge!$D:$D,Einzelbeträge!$C:$C,'Ausgaben 2026'!$C247,Einzelbeträge!$E:$E,'Ausgaben 2026'!M$6)</f>
        <v>0</v>
      </c>
      <c r="N247" s="35">
        <f>SUMIFS(Einzelbeträge!$D:$D,Einzelbeträge!$C:$C,'Ausgaben 2026'!$C247,Einzelbeträge!$E:$E,'Ausgaben 2026'!N$6)</f>
        <v>0</v>
      </c>
      <c r="O247" s="6"/>
    </row>
    <row r="248" spans="2:15" x14ac:dyDescent="0.35">
      <c r="B248" s="5"/>
      <c r="C248" s="40">
        <f t="shared" si="23"/>
        <v>46242</v>
      </c>
      <c r="D248" s="46">
        <f>SUMIFS(Einzelbeträge!$D:$D,Einzelbeträge!$C:$C,'Ausgaben 2026'!$C248)</f>
        <v>0</v>
      </c>
      <c r="E248" s="21">
        <f>SUMIFS(Einzelbeträge!$D:$D,Einzelbeträge!$C:$C,'Ausgaben 2026'!$C248,Einzelbeträge!$E:$E,'Ausgaben 2026'!E$6)</f>
        <v>0</v>
      </c>
      <c r="F248" s="21">
        <f>SUMIFS(Einzelbeträge!$D:$D,Einzelbeträge!$C:$C,'Ausgaben 2026'!$C248,Einzelbeträge!$E:$E,'Ausgaben 2026'!F$6)</f>
        <v>0</v>
      </c>
      <c r="G248" s="21">
        <f>SUMIFS(Einzelbeträge!$D:$D,Einzelbeträge!$C:$C,'Ausgaben 2026'!$C248,Einzelbeträge!$E:$E,'Ausgaben 2026'!G$6)</f>
        <v>0</v>
      </c>
      <c r="H248" s="21">
        <f>SUMIFS(Einzelbeträge!$D:$D,Einzelbeträge!$C:$C,'Ausgaben 2026'!$C248,Einzelbeträge!$E:$E,'Ausgaben 2026'!H$6)</f>
        <v>0</v>
      </c>
      <c r="I248" s="21">
        <f>SUMIFS(Einzelbeträge!$D:$D,Einzelbeträge!$C:$C,'Ausgaben 2026'!$C248,Einzelbeträge!$E:$E,'Ausgaben 2026'!I$6)</f>
        <v>0</v>
      </c>
      <c r="J248" s="21">
        <f>SUMIFS(Einzelbeträge!$D:$D,Einzelbeträge!$C:$C,'Ausgaben 2026'!$C248,Einzelbeträge!$E:$E,'Ausgaben 2026'!J$6)</f>
        <v>0</v>
      </c>
      <c r="K248" s="21">
        <f>SUMIFS(Einzelbeträge!$D:$D,Einzelbeträge!$C:$C,'Ausgaben 2026'!$C248,Einzelbeträge!$E:$E,'Ausgaben 2026'!K$6)</f>
        <v>0</v>
      </c>
      <c r="L248" s="21">
        <f>SUMIFS(Einzelbeträge!$D:$D,Einzelbeträge!$C:$C,'Ausgaben 2026'!$C248,Einzelbeträge!$E:$E,'Ausgaben 2026'!L$6)</f>
        <v>0</v>
      </c>
      <c r="M248" s="21">
        <f>SUMIFS(Einzelbeträge!$D:$D,Einzelbeträge!$C:$C,'Ausgaben 2026'!$C248,Einzelbeträge!$E:$E,'Ausgaben 2026'!M$6)</f>
        <v>0</v>
      </c>
      <c r="N248" s="35">
        <f>SUMIFS(Einzelbeträge!$D:$D,Einzelbeträge!$C:$C,'Ausgaben 2026'!$C248,Einzelbeträge!$E:$E,'Ausgaben 2026'!N$6)</f>
        <v>0</v>
      </c>
      <c r="O248" s="6"/>
    </row>
    <row r="249" spans="2:15" x14ac:dyDescent="0.35">
      <c r="B249" s="5"/>
      <c r="C249" s="40">
        <f t="shared" si="23"/>
        <v>46243</v>
      </c>
      <c r="D249" s="46">
        <f>SUMIFS(Einzelbeträge!$D:$D,Einzelbeträge!$C:$C,'Ausgaben 2026'!$C249)</f>
        <v>0</v>
      </c>
      <c r="E249" s="21">
        <f>SUMIFS(Einzelbeträge!$D:$D,Einzelbeträge!$C:$C,'Ausgaben 2026'!$C249,Einzelbeträge!$E:$E,'Ausgaben 2026'!E$6)</f>
        <v>0</v>
      </c>
      <c r="F249" s="21">
        <f>SUMIFS(Einzelbeträge!$D:$D,Einzelbeträge!$C:$C,'Ausgaben 2026'!$C249,Einzelbeträge!$E:$E,'Ausgaben 2026'!F$6)</f>
        <v>0</v>
      </c>
      <c r="G249" s="21">
        <f>SUMIFS(Einzelbeträge!$D:$D,Einzelbeträge!$C:$C,'Ausgaben 2026'!$C249,Einzelbeträge!$E:$E,'Ausgaben 2026'!G$6)</f>
        <v>0</v>
      </c>
      <c r="H249" s="21">
        <f>SUMIFS(Einzelbeträge!$D:$D,Einzelbeträge!$C:$C,'Ausgaben 2026'!$C249,Einzelbeträge!$E:$E,'Ausgaben 2026'!H$6)</f>
        <v>0</v>
      </c>
      <c r="I249" s="21">
        <f>SUMIFS(Einzelbeträge!$D:$D,Einzelbeträge!$C:$C,'Ausgaben 2026'!$C249,Einzelbeträge!$E:$E,'Ausgaben 2026'!I$6)</f>
        <v>0</v>
      </c>
      <c r="J249" s="21">
        <f>SUMIFS(Einzelbeträge!$D:$D,Einzelbeträge!$C:$C,'Ausgaben 2026'!$C249,Einzelbeträge!$E:$E,'Ausgaben 2026'!J$6)</f>
        <v>0</v>
      </c>
      <c r="K249" s="21">
        <f>SUMIFS(Einzelbeträge!$D:$D,Einzelbeträge!$C:$C,'Ausgaben 2026'!$C249,Einzelbeträge!$E:$E,'Ausgaben 2026'!K$6)</f>
        <v>0</v>
      </c>
      <c r="L249" s="21">
        <f>SUMIFS(Einzelbeträge!$D:$D,Einzelbeträge!$C:$C,'Ausgaben 2026'!$C249,Einzelbeträge!$E:$E,'Ausgaben 2026'!L$6)</f>
        <v>0</v>
      </c>
      <c r="M249" s="21">
        <f>SUMIFS(Einzelbeträge!$D:$D,Einzelbeträge!$C:$C,'Ausgaben 2026'!$C249,Einzelbeträge!$E:$E,'Ausgaben 2026'!M$6)</f>
        <v>0</v>
      </c>
      <c r="N249" s="35">
        <f>SUMIFS(Einzelbeträge!$D:$D,Einzelbeträge!$C:$C,'Ausgaben 2026'!$C249,Einzelbeträge!$E:$E,'Ausgaben 2026'!N$6)</f>
        <v>0</v>
      </c>
      <c r="O249" s="6"/>
    </row>
    <row r="250" spans="2:15" x14ac:dyDescent="0.35">
      <c r="B250" s="5"/>
      <c r="C250" s="40">
        <f t="shared" si="23"/>
        <v>46244</v>
      </c>
      <c r="D250" s="46">
        <f>SUMIFS(Einzelbeträge!$D:$D,Einzelbeträge!$C:$C,'Ausgaben 2026'!$C250)</f>
        <v>0</v>
      </c>
      <c r="E250" s="21">
        <f>SUMIFS(Einzelbeträge!$D:$D,Einzelbeträge!$C:$C,'Ausgaben 2026'!$C250,Einzelbeträge!$E:$E,'Ausgaben 2026'!E$6)</f>
        <v>0</v>
      </c>
      <c r="F250" s="21">
        <f>SUMIFS(Einzelbeträge!$D:$D,Einzelbeträge!$C:$C,'Ausgaben 2026'!$C250,Einzelbeträge!$E:$E,'Ausgaben 2026'!F$6)</f>
        <v>0</v>
      </c>
      <c r="G250" s="21">
        <f>SUMIFS(Einzelbeträge!$D:$D,Einzelbeträge!$C:$C,'Ausgaben 2026'!$C250,Einzelbeträge!$E:$E,'Ausgaben 2026'!G$6)</f>
        <v>0</v>
      </c>
      <c r="H250" s="21">
        <f>SUMIFS(Einzelbeträge!$D:$D,Einzelbeträge!$C:$C,'Ausgaben 2026'!$C250,Einzelbeträge!$E:$E,'Ausgaben 2026'!H$6)</f>
        <v>0</v>
      </c>
      <c r="I250" s="21">
        <f>SUMIFS(Einzelbeträge!$D:$D,Einzelbeträge!$C:$C,'Ausgaben 2026'!$C250,Einzelbeträge!$E:$E,'Ausgaben 2026'!I$6)</f>
        <v>0</v>
      </c>
      <c r="J250" s="21">
        <f>SUMIFS(Einzelbeträge!$D:$D,Einzelbeträge!$C:$C,'Ausgaben 2026'!$C250,Einzelbeträge!$E:$E,'Ausgaben 2026'!J$6)</f>
        <v>0</v>
      </c>
      <c r="K250" s="21">
        <f>SUMIFS(Einzelbeträge!$D:$D,Einzelbeträge!$C:$C,'Ausgaben 2026'!$C250,Einzelbeträge!$E:$E,'Ausgaben 2026'!K$6)</f>
        <v>0</v>
      </c>
      <c r="L250" s="21">
        <f>SUMIFS(Einzelbeträge!$D:$D,Einzelbeträge!$C:$C,'Ausgaben 2026'!$C250,Einzelbeträge!$E:$E,'Ausgaben 2026'!L$6)</f>
        <v>0</v>
      </c>
      <c r="M250" s="21">
        <f>SUMIFS(Einzelbeträge!$D:$D,Einzelbeträge!$C:$C,'Ausgaben 2026'!$C250,Einzelbeträge!$E:$E,'Ausgaben 2026'!M$6)</f>
        <v>0</v>
      </c>
      <c r="N250" s="35">
        <f>SUMIFS(Einzelbeträge!$D:$D,Einzelbeträge!$C:$C,'Ausgaben 2026'!$C250,Einzelbeträge!$E:$E,'Ausgaben 2026'!N$6)</f>
        <v>0</v>
      </c>
      <c r="O250" s="6"/>
    </row>
    <row r="251" spans="2:15" x14ac:dyDescent="0.35">
      <c r="B251" s="5"/>
      <c r="C251" s="40">
        <f t="shared" si="23"/>
        <v>46245</v>
      </c>
      <c r="D251" s="46">
        <f>SUMIFS(Einzelbeträge!$D:$D,Einzelbeträge!$C:$C,'Ausgaben 2026'!$C251)</f>
        <v>0</v>
      </c>
      <c r="E251" s="21">
        <f>SUMIFS(Einzelbeträge!$D:$D,Einzelbeträge!$C:$C,'Ausgaben 2026'!$C251,Einzelbeträge!$E:$E,'Ausgaben 2026'!E$6)</f>
        <v>0</v>
      </c>
      <c r="F251" s="21">
        <f>SUMIFS(Einzelbeträge!$D:$D,Einzelbeträge!$C:$C,'Ausgaben 2026'!$C251,Einzelbeträge!$E:$E,'Ausgaben 2026'!F$6)</f>
        <v>0</v>
      </c>
      <c r="G251" s="21">
        <f>SUMIFS(Einzelbeträge!$D:$D,Einzelbeträge!$C:$C,'Ausgaben 2026'!$C251,Einzelbeträge!$E:$E,'Ausgaben 2026'!G$6)</f>
        <v>0</v>
      </c>
      <c r="H251" s="21">
        <f>SUMIFS(Einzelbeträge!$D:$D,Einzelbeträge!$C:$C,'Ausgaben 2026'!$C251,Einzelbeträge!$E:$E,'Ausgaben 2026'!H$6)</f>
        <v>0</v>
      </c>
      <c r="I251" s="21">
        <f>SUMIFS(Einzelbeträge!$D:$D,Einzelbeträge!$C:$C,'Ausgaben 2026'!$C251,Einzelbeträge!$E:$E,'Ausgaben 2026'!I$6)</f>
        <v>0</v>
      </c>
      <c r="J251" s="21">
        <f>SUMIFS(Einzelbeträge!$D:$D,Einzelbeträge!$C:$C,'Ausgaben 2026'!$C251,Einzelbeträge!$E:$E,'Ausgaben 2026'!J$6)</f>
        <v>0</v>
      </c>
      <c r="K251" s="21">
        <f>SUMIFS(Einzelbeträge!$D:$D,Einzelbeträge!$C:$C,'Ausgaben 2026'!$C251,Einzelbeträge!$E:$E,'Ausgaben 2026'!K$6)</f>
        <v>0</v>
      </c>
      <c r="L251" s="21">
        <f>SUMIFS(Einzelbeträge!$D:$D,Einzelbeträge!$C:$C,'Ausgaben 2026'!$C251,Einzelbeträge!$E:$E,'Ausgaben 2026'!L$6)</f>
        <v>0</v>
      </c>
      <c r="M251" s="21">
        <f>SUMIFS(Einzelbeträge!$D:$D,Einzelbeträge!$C:$C,'Ausgaben 2026'!$C251,Einzelbeträge!$E:$E,'Ausgaben 2026'!M$6)</f>
        <v>0</v>
      </c>
      <c r="N251" s="35">
        <f>SUMIFS(Einzelbeträge!$D:$D,Einzelbeträge!$C:$C,'Ausgaben 2026'!$C251,Einzelbeträge!$E:$E,'Ausgaben 2026'!N$6)</f>
        <v>0</v>
      </c>
      <c r="O251" s="6"/>
    </row>
    <row r="252" spans="2:15" x14ac:dyDescent="0.35">
      <c r="B252" s="5"/>
      <c r="C252" s="40">
        <f t="shared" si="23"/>
        <v>46246</v>
      </c>
      <c r="D252" s="46">
        <f>SUMIFS(Einzelbeträge!$D:$D,Einzelbeträge!$C:$C,'Ausgaben 2026'!$C252)</f>
        <v>0</v>
      </c>
      <c r="E252" s="21">
        <f>SUMIFS(Einzelbeträge!$D:$D,Einzelbeträge!$C:$C,'Ausgaben 2026'!$C252,Einzelbeträge!$E:$E,'Ausgaben 2026'!E$6)</f>
        <v>0</v>
      </c>
      <c r="F252" s="21">
        <f>SUMIFS(Einzelbeträge!$D:$D,Einzelbeträge!$C:$C,'Ausgaben 2026'!$C252,Einzelbeträge!$E:$E,'Ausgaben 2026'!F$6)</f>
        <v>0</v>
      </c>
      <c r="G252" s="21">
        <f>SUMIFS(Einzelbeträge!$D:$D,Einzelbeträge!$C:$C,'Ausgaben 2026'!$C252,Einzelbeträge!$E:$E,'Ausgaben 2026'!G$6)</f>
        <v>0</v>
      </c>
      <c r="H252" s="21">
        <f>SUMIFS(Einzelbeträge!$D:$D,Einzelbeträge!$C:$C,'Ausgaben 2026'!$C252,Einzelbeträge!$E:$E,'Ausgaben 2026'!H$6)</f>
        <v>0</v>
      </c>
      <c r="I252" s="21">
        <f>SUMIFS(Einzelbeträge!$D:$D,Einzelbeträge!$C:$C,'Ausgaben 2026'!$C252,Einzelbeträge!$E:$E,'Ausgaben 2026'!I$6)</f>
        <v>0</v>
      </c>
      <c r="J252" s="21">
        <f>SUMIFS(Einzelbeträge!$D:$D,Einzelbeträge!$C:$C,'Ausgaben 2026'!$C252,Einzelbeträge!$E:$E,'Ausgaben 2026'!J$6)</f>
        <v>0</v>
      </c>
      <c r="K252" s="21">
        <f>SUMIFS(Einzelbeträge!$D:$D,Einzelbeträge!$C:$C,'Ausgaben 2026'!$C252,Einzelbeträge!$E:$E,'Ausgaben 2026'!K$6)</f>
        <v>0</v>
      </c>
      <c r="L252" s="21">
        <f>SUMIFS(Einzelbeträge!$D:$D,Einzelbeträge!$C:$C,'Ausgaben 2026'!$C252,Einzelbeträge!$E:$E,'Ausgaben 2026'!L$6)</f>
        <v>0</v>
      </c>
      <c r="M252" s="21">
        <f>SUMIFS(Einzelbeträge!$D:$D,Einzelbeträge!$C:$C,'Ausgaben 2026'!$C252,Einzelbeträge!$E:$E,'Ausgaben 2026'!M$6)</f>
        <v>0</v>
      </c>
      <c r="N252" s="35">
        <f>SUMIFS(Einzelbeträge!$D:$D,Einzelbeträge!$C:$C,'Ausgaben 2026'!$C252,Einzelbeträge!$E:$E,'Ausgaben 2026'!N$6)</f>
        <v>0</v>
      </c>
      <c r="O252" s="6"/>
    </row>
    <row r="253" spans="2:15" x14ac:dyDescent="0.35">
      <c r="B253" s="5"/>
      <c r="C253" s="40">
        <f t="shared" si="23"/>
        <v>46247</v>
      </c>
      <c r="D253" s="46">
        <f>SUMIFS(Einzelbeträge!$D:$D,Einzelbeträge!$C:$C,'Ausgaben 2026'!$C253)</f>
        <v>0</v>
      </c>
      <c r="E253" s="21">
        <f>SUMIFS(Einzelbeträge!$D:$D,Einzelbeträge!$C:$C,'Ausgaben 2026'!$C253,Einzelbeträge!$E:$E,'Ausgaben 2026'!E$6)</f>
        <v>0</v>
      </c>
      <c r="F253" s="21">
        <f>SUMIFS(Einzelbeträge!$D:$D,Einzelbeträge!$C:$C,'Ausgaben 2026'!$C253,Einzelbeträge!$E:$E,'Ausgaben 2026'!F$6)</f>
        <v>0</v>
      </c>
      <c r="G253" s="21">
        <f>SUMIFS(Einzelbeträge!$D:$D,Einzelbeträge!$C:$C,'Ausgaben 2026'!$C253,Einzelbeträge!$E:$E,'Ausgaben 2026'!G$6)</f>
        <v>0</v>
      </c>
      <c r="H253" s="21">
        <f>SUMIFS(Einzelbeträge!$D:$D,Einzelbeträge!$C:$C,'Ausgaben 2026'!$C253,Einzelbeträge!$E:$E,'Ausgaben 2026'!H$6)</f>
        <v>0</v>
      </c>
      <c r="I253" s="21">
        <f>SUMIFS(Einzelbeträge!$D:$D,Einzelbeträge!$C:$C,'Ausgaben 2026'!$C253,Einzelbeträge!$E:$E,'Ausgaben 2026'!I$6)</f>
        <v>0</v>
      </c>
      <c r="J253" s="21">
        <f>SUMIFS(Einzelbeträge!$D:$D,Einzelbeträge!$C:$C,'Ausgaben 2026'!$C253,Einzelbeträge!$E:$E,'Ausgaben 2026'!J$6)</f>
        <v>0</v>
      </c>
      <c r="K253" s="21">
        <f>SUMIFS(Einzelbeträge!$D:$D,Einzelbeträge!$C:$C,'Ausgaben 2026'!$C253,Einzelbeträge!$E:$E,'Ausgaben 2026'!K$6)</f>
        <v>0</v>
      </c>
      <c r="L253" s="21">
        <f>SUMIFS(Einzelbeträge!$D:$D,Einzelbeträge!$C:$C,'Ausgaben 2026'!$C253,Einzelbeträge!$E:$E,'Ausgaben 2026'!L$6)</f>
        <v>0</v>
      </c>
      <c r="M253" s="21">
        <f>SUMIFS(Einzelbeträge!$D:$D,Einzelbeträge!$C:$C,'Ausgaben 2026'!$C253,Einzelbeträge!$E:$E,'Ausgaben 2026'!M$6)</f>
        <v>0</v>
      </c>
      <c r="N253" s="35">
        <f>SUMIFS(Einzelbeträge!$D:$D,Einzelbeträge!$C:$C,'Ausgaben 2026'!$C253,Einzelbeträge!$E:$E,'Ausgaben 2026'!N$6)</f>
        <v>0</v>
      </c>
      <c r="O253" s="6"/>
    </row>
    <row r="254" spans="2:15" x14ac:dyDescent="0.35">
      <c r="B254" s="5"/>
      <c r="C254" s="40">
        <f t="shared" si="23"/>
        <v>46248</v>
      </c>
      <c r="D254" s="46">
        <f>SUMIFS(Einzelbeträge!$D:$D,Einzelbeträge!$C:$C,'Ausgaben 2026'!$C254)</f>
        <v>0</v>
      </c>
      <c r="E254" s="21">
        <f>SUMIFS(Einzelbeträge!$D:$D,Einzelbeträge!$C:$C,'Ausgaben 2026'!$C254,Einzelbeträge!$E:$E,'Ausgaben 2026'!E$6)</f>
        <v>0</v>
      </c>
      <c r="F254" s="21">
        <f>SUMIFS(Einzelbeträge!$D:$D,Einzelbeträge!$C:$C,'Ausgaben 2026'!$C254,Einzelbeträge!$E:$E,'Ausgaben 2026'!F$6)</f>
        <v>0</v>
      </c>
      <c r="G254" s="21">
        <f>SUMIFS(Einzelbeträge!$D:$D,Einzelbeträge!$C:$C,'Ausgaben 2026'!$C254,Einzelbeträge!$E:$E,'Ausgaben 2026'!G$6)</f>
        <v>0</v>
      </c>
      <c r="H254" s="21">
        <f>SUMIFS(Einzelbeträge!$D:$D,Einzelbeträge!$C:$C,'Ausgaben 2026'!$C254,Einzelbeträge!$E:$E,'Ausgaben 2026'!H$6)</f>
        <v>0</v>
      </c>
      <c r="I254" s="21">
        <f>SUMIFS(Einzelbeträge!$D:$D,Einzelbeträge!$C:$C,'Ausgaben 2026'!$C254,Einzelbeträge!$E:$E,'Ausgaben 2026'!I$6)</f>
        <v>0</v>
      </c>
      <c r="J254" s="21">
        <f>SUMIFS(Einzelbeträge!$D:$D,Einzelbeträge!$C:$C,'Ausgaben 2026'!$C254,Einzelbeträge!$E:$E,'Ausgaben 2026'!J$6)</f>
        <v>0</v>
      </c>
      <c r="K254" s="21">
        <f>SUMIFS(Einzelbeträge!$D:$D,Einzelbeträge!$C:$C,'Ausgaben 2026'!$C254,Einzelbeträge!$E:$E,'Ausgaben 2026'!K$6)</f>
        <v>0</v>
      </c>
      <c r="L254" s="21">
        <f>SUMIFS(Einzelbeträge!$D:$D,Einzelbeträge!$C:$C,'Ausgaben 2026'!$C254,Einzelbeträge!$E:$E,'Ausgaben 2026'!L$6)</f>
        <v>0</v>
      </c>
      <c r="M254" s="21">
        <f>SUMIFS(Einzelbeträge!$D:$D,Einzelbeträge!$C:$C,'Ausgaben 2026'!$C254,Einzelbeträge!$E:$E,'Ausgaben 2026'!M$6)</f>
        <v>0</v>
      </c>
      <c r="N254" s="35">
        <f>SUMIFS(Einzelbeträge!$D:$D,Einzelbeträge!$C:$C,'Ausgaben 2026'!$C254,Einzelbeträge!$E:$E,'Ausgaben 2026'!N$6)</f>
        <v>0</v>
      </c>
      <c r="O254" s="6"/>
    </row>
    <row r="255" spans="2:15" x14ac:dyDescent="0.35">
      <c r="B255" s="5"/>
      <c r="C255" s="40">
        <f t="shared" si="23"/>
        <v>46249</v>
      </c>
      <c r="D255" s="46">
        <f>SUMIFS(Einzelbeträge!$D:$D,Einzelbeträge!$C:$C,'Ausgaben 2026'!$C255)</f>
        <v>0</v>
      </c>
      <c r="E255" s="21">
        <f>SUMIFS(Einzelbeträge!$D:$D,Einzelbeträge!$C:$C,'Ausgaben 2026'!$C255,Einzelbeträge!$E:$E,'Ausgaben 2026'!E$6)</f>
        <v>0</v>
      </c>
      <c r="F255" s="21">
        <f>SUMIFS(Einzelbeträge!$D:$D,Einzelbeträge!$C:$C,'Ausgaben 2026'!$C255,Einzelbeträge!$E:$E,'Ausgaben 2026'!F$6)</f>
        <v>0</v>
      </c>
      <c r="G255" s="21">
        <f>SUMIFS(Einzelbeträge!$D:$D,Einzelbeträge!$C:$C,'Ausgaben 2026'!$C255,Einzelbeträge!$E:$E,'Ausgaben 2026'!G$6)</f>
        <v>0</v>
      </c>
      <c r="H255" s="21">
        <f>SUMIFS(Einzelbeträge!$D:$D,Einzelbeträge!$C:$C,'Ausgaben 2026'!$C255,Einzelbeträge!$E:$E,'Ausgaben 2026'!H$6)</f>
        <v>0</v>
      </c>
      <c r="I255" s="21">
        <f>SUMIFS(Einzelbeträge!$D:$D,Einzelbeträge!$C:$C,'Ausgaben 2026'!$C255,Einzelbeträge!$E:$E,'Ausgaben 2026'!I$6)</f>
        <v>0</v>
      </c>
      <c r="J255" s="21">
        <f>SUMIFS(Einzelbeträge!$D:$D,Einzelbeträge!$C:$C,'Ausgaben 2026'!$C255,Einzelbeträge!$E:$E,'Ausgaben 2026'!J$6)</f>
        <v>0</v>
      </c>
      <c r="K255" s="21">
        <f>SUMIFS(Einzelbeträge!$D:$D,Einzelbeträge!$C:$C,'Ausgaben 2026'!$C255,Einzelbeträge!$E:$E,'Ausgaben 2026'!K$6)</f>
        <v>0</v>
      </c>
      <c r="L255" s="21">
        <f>SUMIFS(Einzelbeträge!$D:$D,Einzelbeträge!$C:$C,'Ausgaben 2026'!$C255,Einzelbeträge!$E:$E,'Ausgaben 2026'!L$6)</f>
        <v>0</v>
      </c>
      <c r="M255" s="21">
        <f>SUMIFS(Einzelbeträge!$D:$D,Einzelbeträge!$C:$C,'Ausgaben 2026'!$C255,Einzelbeträge!$E:$E,'Ausgaben 2026'!M$6)</f>
        <v>0</v>
      </c>
      <c r="N255" s="35">
        <f>SUMIFS(Einzelbeträge!$D:$D,Einzelbeträge!$C:$C,'Ausgaben 2026'!$C255,Einzelbeträge!$E:$E,'Ausgaben 2026'!N$6)</f>
        <v>0</v>
      </c>
      <c r="O255" s="6"/>
    </row>
    <row r="256" spans="2:15" x14ac:dyDescent="0.35">
      <c r="B256" s="5"/>
      <c r="C256" s="40">
        <f t="shared" si="23"/>
        <v>46250</v>
      </c>
      <c r="D256" s="46">
        <f>SUMIFS(Einzelbeträge!$D:$D,Einzelbeträge!$C:$C,'Ausgaben 2026'!$C256)</f>
        <v>0</v>
      </c>
      <c r="E256" s="21">
        <f>SUMIFS(Einzelbeträge!$D:$D,Einzelbeträge!$C:$C,'Ausgaben 2026'!$C256,Einzelbeträge!$E:$E,'Ausgaben 2026'!E$6)</f>
        <v>0</v>
      </c>
      <c r="F256" s="21">
        <f>SUMIFS(Einzelbeträge!$D:$D,Einzelbeträge!$C:$C,'Ausgaben 2026'!$C256,Einzelbeträge!$E:$E,'Ausgaben 2026'!F$6)</f>
        <v>0</v>
      </c>
      <c r="G256" s="21">
        <f>SUMIFS(Einzelbeträge!$D:$D,Einzelbeträge!$C:$C,'Ausgaben 2026'!$C256,Einzelbeträge!$E:$E,'Ausgaben 2026'!G$6)</f>
        <v>0</v>
      </c>
      <c r="H256" s="21">
        <f>SUMIFS(Einzelbeträge!$D:$D,Einzelbeträge!$C:$C,'Ausgaben 2026'!$C256,Einzelbeträge!$E:$E,'Ausgaben 2026'!H$6)</f>
        <v>0</v>
      </c>
      <c r="I256" s="21">
        <f>SUMIFS(Einzelbeträge!$D:$D,Einzelbeträge!$C:$C,'Ausgaben 2026'!$C256,Einzelbeträge!$E:$E,'Ausgaben 2026'!I$6)</f>
        <v>0</v>
      </c>
      <c r="J256" s="21">
        <f>SUMIFS(Einzelbeträge!$D:$D,Einzelbeträge!$C:$C,'Ausgaben 2026'!$C256,Einzelbeträge!$E:$E,'Ausgaben 2026'!J$6)</f>
        <v>0</v>
      </c>
      <c r="K256" s="21">
        <f>SUMIFS(Einzelbeträge!$D:$D,Einzelbeträge!$C:$C,'Ausgaben 2026'!$C256,Einzelbeträge!$E:$E,'Ausgaben 2026'!K$6)</f>
        <v>0</v>
      </c>
      <c r="L256" s="21">
        <f>SUMIFS(Einzelbeträge!$D:$D,Einzelbeträge!$C:$C,'Ausgaben 2026'!$C256,Einzelbeträge!$E:$E,'Ausgaben 2026'!L$6)</f>
        <v>0</v>
      </c>
      <c r="M256" s="21">
        <f>SUMIFS(Einzelbeträge!$D:$D,Einzelbeträge!$C:$C,'Ausgaben 2026'!$C256,Einzelbeträge!$E:$E,'Ausgaben 2026'!M$6)</f>
        <v>0</v>
      </c>
      <c r="N256" s="35">
        <f>SUMIFS(Einzelbeträge!$D:$D,Einzelbeträge!$C:$C,'Ausgaben 2026'!$C256,Einzelbeträge!$E:$E,'Ausgaben 2026'!N$6)</f>
        <v>0</v>
      </c>
      <c r="O256" s="6"/>
    </row>
    <row r="257" spans="2:15" x14ac:dyDescent="0.35">
      <c r="B257" s="5"/>
      <c r="C257" s="40">
        <f t="shared" si="23"/>
        <v>46251</v>
      </c>
      <c r="D257" s="46">
        <f>SUMIFS(Einzelbeträge!$D:$D,Einzelbeträge!$C:$C,'Ausgaben 2026'!$C257)</f>
        <v>0</v>
      </c>
      <c r="E257" s="21">
        <f>SUMIFS(Einzelbeträge!$D:$D,Einzelbeträge!$C:$C,'Ausgaben 2026'!$C257,Einzelbeträge!$E:$E,'Ausgaben 2026'!E$6)</f>
        <v>0</v>
      </c>
      <c r="F257" s="21">
        <f>SUMIFS(Einzelbeträge!$D:$D,Einzelbeträge!$C:$C,'Ausgaben 2026'!$C257,Einzelbeträge!$E:$E,'Ausgaben 2026'!F$6)</f>
        <v>0</v>
      </c>
      <c r="G257" s="21">
        <f>SUMIFS(Einzelbeträge!$D:$D,Einzelbeträge!$C:$C,'Ausgaben 2026'!$C257,Einzelbeträge!$E:$E,'Ausgaben 2026'!G$6)</f>
        <v>0</v>
      </c>
      <c r="H257" s="21">
        <f>SUMIFS(Einzelbeträge!$D:$D,Einzelbeträge!$C:$C,'Ausgaben 2026'!$C257,Einzelbeträge!$E:$E,'Ausgaben 2026'!H$6)</f>
        <v>0</v>
      </c>
      <c r="I257" s="21">
        <f>SUMIFS(Einzelbeträge!$D:$D,Einzelbeträge!$C:$C,'Ausgaben 2026'!$C257,Einzelbeträge!$E:$E,'Ausgaben 2026'!I$6)</f>
        <v>0</v>
      </c>
      <c r="J257" s="21">
        <f>SUMIFS(Einzelbeträge!$D:$D,Einzelbeträge!$C:$C,'Ausgaben 2026'!$C257,Einzelbeträge!$E:$E,'Ausgaben 2026'!J$6)</f>
        <v>0</v>
      </c>
      <c r="K257" s="21">
        <f>SUMIFS(Einzelbeträge!$D:$D,Einzelbeträge!$C:$C,'Ausgaben 2026'!$C257,Einzelbeträge!$E:$E,'Ausgaben 2026'!K$6)</f>
        <v>0</v>
      </c>
      <c r="L257" s="21">
        <f>SUMIFS(Einzelbeträge!$D:$D,Einzelbeträge!$C:$C,'Ausgaben 2026'!$C257,Einzelbeträge!$E:$E,'Ausgaben 2026'!L$6)</f>
        <v>0</v>
      </c>
      <c r="M257" s="21">
        <f>SUMIFS(Einzelbeträge!$D:$D,Einzelbeträge!$C:$C,'Ausgaben 2026'!$C257,Einzelbeträge!$E:$E,'Ausgaben 2026'!M$6)</f>
        <v>0</v>
      </c>
      <c r="N257" s="35">
        <f>SUMIFS(Einzelbeträge!$D:$D,Einzelbeträge!$C:$C,'Ausgaben 2026'!$C257,Einzelbeträge!$E:$E,'Ausgaben 2026'!N$6)</f>
        <v>0</v>
      </c>
      <c r="O257" s="6"/>
    </row>
    <row r="258" spans="2:15" x14ac:dyDescent="0.35">
      <c r="B258" s="5"/>
      <c r="C258" s="40">
        <f t="shared" si="23"/>
        <v>46252</v>
      </c>
      <c r="D258" s="46">
        <f>SUMIFS(Einzelbeträge!$D:$D,Einzelbeträge!$C:$C,'Ausgaben 2026'!$C258)</f>
        <v>0</v>
      </c>
      <c r="E258" s="21">
        <f>SUMIFS(Einzelbeträge!$D:$D,Einzelbeträge!$C:$C,'Ausgaben 2026'!$C258,Einzelbeträge!$E:$E,'Ausgaben 2026'!E$6)</f>
        <v>0</v>
      </c>
      <c r="F258" s="21">
        <f>SUMIFS(Einzelbeträge!$D:$D,Einzelbeträge!$C:$C,'Ausgaben 2026'!$C258,Einzelbeträge!$E:$E,'Ausgaben 2026'!F$6)</f>
        <v>0</v>
      </c>
      <c r="G258" s="21">
        <f>SUMIFS(Einzelbeträge!$D:$D,Einzelbeträge!$C:$C,'Ausgaben 2026'!$C258,Einzelbeträge!$E:$E,'Ausgaben 2026'!G$6)</f>
        <v>0</v>
      </c>
      <c r="H258" s="21">
        <f>SUMIFS(Einzelbeträge!$D:$D,Einzelbeträge!$C:$C,'Ausgaben 2026'!$C258,Einzelbeträge!$E:$E,'Ausgaben 2026'!H$6)</f>
        <v>0</v>
      </c>
      <c r="I258" s="21">
        <f>SUMIFS(Einzelbeträge!$D:$D,Einzelbeträge!$C:$C,'Ausgaben 2026'!$C258,Einzelbeträge!$E:$E,'Ausgaben 2026'!I$6)</f>
        <v>0</v>
      </c>
      <c r="J258" s="21">
        <f>SUMIFS(Einzelbeträge!$D:$D,Einzelbeträge!$C:$C,'Ausgaben 2026'!$C258,Einzelbeträge!$E:$E,'Ausgaben 2026'!J$6)</f>
        <v>0</v>
      </c>
      <c r="K258" s="21">
        <f>SUMIFS(Einzelbeträge!$D:$D,Einzelbeträge!$C:$C,'Ausgaben 2026'!$C258,Einzelbeträge!$E:$E,'Ausgaben 2026'!K$6)</f>
        <v>0</v>
      </c>
      <c r="L258" s="21">
        <f>SUMIFS(Einzelbeträge!$D:$D,Einzelbeträge!$C:$C,'Ausgaben 2026'!$C258,Einzelbeträge!$E:$E,'Ausgaben 2026'!L$6)</f>
        <v>0</v>
      </c>
      <c r="M258" s="21">
        <f>SUMIFS(Einzelbeträge!$D:$D,Einzelbeträge!$C:$C,'Ausgaben 2026'!$C258,Einzelbeträge!$E:$E,'Ausgaben 2026'!M$6)</f>
        <v>0</v>
      </c>
      <c r="N258" s="35">
        <f>SUMIFS(Einzelbeträge!$D:$D,Einzelbeträge!$C:$C,'Ausgaben 2026'!$C258,Einzelbeträge!$E:$E,'Ausgaben 2026'!N$6)</f>
        <v>0</v>
      </c>
      <c r="O258" s="6"/>
    </row>
    <row r="259" spans="2:15" x14ac:dyDescent="0.35">
      <c r="B259" s="5"/>
      <c r="C259" s="40">
        <f t="shared" si="23"/>
        <v>46253</v>
      </c>
      <c r="D259" s="46">
        <f>SUMIFS(Einzelbeträge!$D:$D,Einzelbeträge!$C:$C,'Ausgaben 2026'!$C259)</f>
        <v>0</v>
      </c>
      <c r="E259" s="21">
        <f>SUMIFS(Einzelbeträge!$D:$D,Einzelbeträge!$C:$C,'Ausgaben 2026'!$C259,Einzelbeträge!$E:$E,'Ausgaben 2026'!E$6)</f>
        <v>0</v>
      </c>
      <c r="F259" s="21">
        <f>SUMIFS(Einzelbeträge!$D:$D,Einzelbeträge!$C:$C,'Ausgaben 2026'!$C259,Einzelbeträge!$E:$E,'Ausgaben 2026'!F$6)</f>
        <v>0</v>
      </c>
      <c r="G259" s="21">
        <f>SUMIFS(Einzelbeträge!$D:$D,Einzelbeträge!$C:$C,'Ausgaben 2026'!$C259,Einzelbeträge!$E:$E,'Ausgaben 2026'!G$6)</f>
        <v>0</v>
      </c>
      <c r="H259" s="21">
        <f>SUMIFS(Einzelbeträge!$D:$D,Einzelbeträge!$C:$C,'Ausgaben 2026'!$C259,Einzelbeträge!$E:$E,'Ausgaben 2026'!H$6)</f>
        <v>0</v>
      </c>
      <c r="I259" s="21">
        <f>SUMIFS(Einzelbeträge!$D:$D,Einzelbeträge!$C:$C,'Ausgaben 2026'!$C259,Einzelbeträge!$E:$E,'Ausgaben 2026'!I$6)</f>
        <v>0</v>
      </c>
      <c r="J259" s="21">
        <f>SUMIFS(Einzelbeträge!$D:$D,Einzelbeträge!$C:$C,'Ausgaben 2026'!$C259,Einzelbeträge!$E:$E,'Ausgaben 2026'!J$6)</f>
        <v>0</v>
      </c>
      <c r="K259" s="21">
        <f>SUMIFS(Einzelbeträge!$D:$D,Einzelbeträge!$C:$C,'Ausgaben 2026'!$C259,Einzelbeträge!$E:$E,'Ausgaben 2026'!K$6)</f>
        <v>0</v>
      </c>
      <c r="L259" s="21">
        <f>SUMIFS(Einzelbeträge!$D:$D,Einzelbeträge!$C:$C,'Ausgaben 2026'!$C259,Einzelbeträge!$E:$E,'Ausgaben 2026'!L$6)</f>
        <v>0</v>
      </c>
      <c r="M259" s="21">
        <f>SUMIFS(Einzelbeträge!$D:$D,Einzelbeträge!$C:$C,'Ausgaben 2026'!$C259,Einzelbeträge!$E:$E,'Ausgaben 2026'!M$6)</f>
        <v>0</v>
      </c>
      <c r="N259" s="35">
        <f>SUMIFS(Einzelbeträge!$D:$D,Einzelbeträge!$C:$C,'Ausgaben 2026'!$C259,Einzelbeträge!$E:$E,'Ausgaben 2026'!N$6)</f>
        <v>0</v>
      </c>
      <c r="O259" s="6"/>
    </row>
    <row r="260" spans="2:15" x14ac:dyDescent="0.35">
      <c r="B260" s="5"/>
      <c r="C260" s="40">
        <f t="shared" si="23"/>
        <v>46254</v>
      </c>
      <c r="D260" s="46">
        <f>SUMIFS(Einzelbeträge!$D:$D,Einzelbeträge!$C:$C,'Ausgaben 2026'!$C260)</f>
        <v>0</v>
      </c>
      <c r="E260" s="21">
        <f>SUMIFS(Einzelbeträge!$D:$D,Einzelbeträge!$C:$C,'Ausgaben 2026'!$C260,Einzelbeträge!$E:$E,'Ausgaben 2026'!E$6)</f>
        <v>0</v>
      </c>
      <c r="F260" s="21">
        <f>SUMIFS(Einzelbeträge!$D:$D,Einzelbeträge!$C:$C,'Ausgaben 2026'!$C260,Einzelbeträge!$E:$E,'Ausgaben 2026'!F$6)</f>
        <v>0</v>
      </c>
      <c r="G260" s="21">
        <f>SUMIFS(Einzelbeträge!$D:$D,Einzelbeträge!$C:$C,'Ausgaben 2026'!$C260,Einzelbeträge!$E:$E,'Ausgaben 2026'!G$6)</f>
        <v>0</v>
      </c>
      <c r="H260" s="21">
        <f>SUMIFS(Einzelbeträge!$D:$D,Einzelbeträge!$C:$C,'Ausgaben 2026'!$C260,Einzelbeträge!$E:$E,'Ausgaben 2026'!H$6)</f>
        <v>0</v>
      </c>
      <c r="I260" s="21">
        <f>SUMIFS(Einzelbeträge!$D:$D,Einzelbeträge!$C:$C,'Ausgaben 2026'!$C260,Einzelbeträge!$E:$E,'Ausgaben 2026'!I$6)</f>
        <v>0</v>
      </c>
      <c r="J260" s="21">
        <f>SUMIFS(Einzelbeträge!$D:$D,Einzelbeträge!$C:$C,'Ausgaben 2026'!$C260,Einzelbeträge!$E:$E,'Ausgaben 2026'!J$6)</f>
        <v>0</v>
      </c>
      <c r="K260" s="21">
        <f>SUMIFS(Einzelbeträge!$D:$D,Einzelbeträge!$C:$C,'Ausgaben 2026'!$C260,Einzelbeträge!$E:$E,'Ausgaben 2026'!K$6)</f>
        <v>0</v>
      </c>
      <c r="L260" s="21">
        <f>SUMIFS(Einzelbeträge!$D:$D,Einzelbeträge!$C:$C,'Ausgaben 2026'!$C260,Einzelbeträge!$E:$E,'Ausgaben 2026'!L$6)</f>
        <v>0</v>
      </c>
      <c r="M260" s="21">
        <f>SUMIFS(Einzelbeträge!$D:$D,Einzelbeträge!$C:$C,'Ausgaben 2026'!$C260,Einzelbeträge!$E:$E,'Ausgaben 2026'!M$6)</f>
        <v>0</v>
      </c>
      <c r="N260" s="35">
        <f>SUMIFS(Einzelbeträge!$D:$D,Einzelbeträge!$C:$C,'Ausgaben 2026'!$C260,Einzelbeträge!$E:$E,'Ausgaben 2026'!N$6)</f>
        <v>0</v>
      </c>
      <c r="O260" s="6"/>
    </row>
    <row r="261" spans="2:15" x14ac:dyDescent="0.35">
      <c r="B261" s="5"/>
      <c r="C261" s="40">
        <f t="shared" si="23"/>
        <v>46255</v>
      </c>
      <c r="D261" s="46">
        <f>SUMIFS(Einzelbeträge!$D:$D,Einzelbeträge!$C:$C,'Ausgaben 2026'!$C261)</f>
        <v>0</v>
      </c>
      <c r="E261" s="21">
        <f>SUMIFS(Einzelbeträge!$D:$D,Einzelbeträge!$C:$C,'Ausgaben 2026'!$C261,Einzelbeträge!$E:$E,'Ausgaben 2026'!E$6)</f>
        <v>0</v>
      </c>
      <c r="F261" s="21">
        <f>SUMIFS(Einzelbeträge!$D:$D,Einzelbeträge!$C:$C,'Ausgaben 2026'!$C261,Einzelbeträge!$E:$E,'Ausgaben 2026'!F$6)</f>
        <v>0</v>
      </c>
      <c r="G261" s="21">
        <f>SUMIFS(Einzelbeträge!$D:$D,Einzelbeträge!$C:$C,'Ausgaben 2026'!$C261,Einzelbeträge!$E:$E,'Ausgaben 2026'!G$6)</f>
        <v>0</v>
      </c>
      <c r="H261" s="21">
        <f>SUMIFS(Einzelbeträge!$D:$D,Einzelbeträge!$C:$C,'Ausgaben 2026'!$C261,Einzelbeträge!$E:$E,'Ausgaben 2026'!H$6)</f>
        <v>0</v>
      </c>
      <c r="I261" s="21">
        <f>SUMIFS(Einzelbeträge!$D:$D,Einzelbeträge!$C:$C,'Ausgaben 2026'!$C261,Einzelbeträge!$E:$E,'Ausgaben 2026'!I$6)</f>
        <v>0</v>
      </c>
      <c r="J261" s="21">
        <f>SUMIFS(Einzelbeträge!$D:$D,Einzelbeträge!$C:$C,'Ausgaben 2026'!$C261,Einzelbeträge!$E:$E,'Ausgaben 2026'!J$6)</f>
        <v>0</v>
      </c>
      <c r="K261" s="21">
        <f>SUMIFS(Einzelbeträge!$D:$D,Einzelbeträge!$C:$C,'Ausgaben 2026'!$C261,Einzelbeträge!$E:$E,'Ausgaben 2026'!K$6)</f>
        <v>0</v>
      </c>
      <c r="L261" s="21">
        <f>SUMIFS(Einzelbeträge!$D:$D,Einzelbeträge!$C:$C,'Ausgaben 2026'!$C261,Einzelbeträge!$E:$E,'Ausgaben 2026'!L$6)</f>
        <v>0</v>
      </c>
      <c r="M261" s="21">
        <f>SUMIFS(Einzelbeträge!$D:$D,Einzelbeträge!$C:$C,'Ausgaben 2026'!$C261,Einzelbeträge!$E:$E,'Ausgaben 2026'!M$6)</f>
        <v>0</v>
      </c>
      <c r="N261" s="35">
        <f>SUMIFS(Einzelbeträge!$D:$D,Einzelbeträge!$C:$C,'Ausgaben 2026'!$C261,Einzelbeträge!$E:$E,'Ausgaben 2026'!N$6)</f>
        <v>0</v>
      </c>
      <c r="O261" s="6"/>
    </row>
    <row r="262" spans="2:15" x14ac:dyDescent="0.35">
      <c r="B262" s="5"/>
      <c r="C262" s="40">
        <f t="shared" si="23"/>
        <v>46256</v>
      </c>
      <c r="D262" s="46">
        <f>SUMIFS(Einzelbeträge!$D:$D,Einzelbeträge!$C:$C,'Ausgaben 2026'!$C262)</f>
        <v>0</v>
      </c>
      <c r="E262" s="21">
        <f>SUMIFS(Einzelbeträge!$D:$D,Einzelbeträge!$C:$C,'Ausgaben 2026'!$C262,Einzelbeträge!$E:$E,'Ausgaben 2026'!E$6)</f>
        <v>0</v>
      </c>
      <c r="F262" s="21">
        <f>SUMIFS(Einzelbeträge!$D:$D,Einzelbeträge!$C:$C,'Ausgaben 2026'!$C262,Einzelbeträge!$E:$E,'Ausgaben 2026'!F$6)</f>
        <v>0</v>
      </c>
      <c r="G262" s="21">
        <f>SUMIFS(Einzelbeträge!$D:$D,Einzelbeträge!$C:$C,'Ausgaben 2026'!$C262,Einzelbeträge!$E:$E,'Ausgaben 2026'!G$6)</f>
        <v>0</v>
      </c>
      <c r="H262" s="21">
        <f>SUMIFS(Einzelbeträge!$D:$D,Einzelbeträge!$C:$C,'Ausgaben 2026'!$C262,Einzelbeträge!$E:$E,'Ausgaben 2026'!H$6)</f>
        <v>0</v>
      </c>
      <c r="I262" s="21">
        <f>SUMIFS(Einzelbeträge!$D:$D,Einzelbeträge!$C:$C,'Ausgaben 2026'!$C262,Einzelbeträge!$E:$E,'Ausgaben 2026'!I$6)</f>
        <v>0</v>
      </c>
      <c r="J262" s="21">
        <f>SUMIFS(Einzelbeträge!$D:$D,Einzelbeträge!$C:$C,'Ausgaben 2026'!$C262,Einzelbeträge!$E:$E,'Ausgaben 2026'!J$6)</f>
        <v>0</v>
      </c>
      <c r="K262" s="21">
        <f>SUMIFS(Einzelbeträge!$D:$D,Einzelbeträge!$C:$C,'Ausgaben 2026'!$C262,Einzelbeträge!$E:$E,'Ausgaben 2026'!K$6)</f>
        <v>0</v>
      </c>
      <c r="L262" s="21">
        <f>SUMIFS(Einzelbeträge!$D:$D,Einzelbeträge!$C:$C,'Ausgaben 2026'!$C262,Einzelbeträge!$E:$E,'Ausgaben 2026'!L$6)</f>
        <v>0</v>
      </c>
      <c r="M262" s="21">
        <f>SUMIFS(Einzelbeträge!$D:$D,Einzelbeträge!$C:$C,'Ausgaben 2026'!$C262,Einzelbeträge!$E:$E,'Ausgaben 2026'!M$6)</f>
        <v>0</v>
      </c>
      <c r="N262" s="35">
        <f>SUMIFS(Einzelbeträge!$D:$D,Einzelbeträge!$C:$C,'Ausgaben 2026'!$C262,Einzelbeträge!$E:$E,'Ausgaben 2026'!N$6)</f>
        <v>0</v>
      </c>
      <c r="O262" s="6"/>
    </row>
    <row r="263" spans="2:15" x14ac:dyDescent="0.35">
      <c r="B263" s="5"/>
      <c r="C263" s="40">
        <f t="shared" si="23"/>
        <v>46257</v>
      </c>
      <c r="D263" s="46">
        <f>SUMIFS(Einzelbeträge!$D:$D,Einzelbeträge!$C:$C,'Ausgaben 2026'!$C263)</f>
        <v>0</v>
      </c>
      <c r="E263" s="21">
        <f>SUMIFS(Einzelbeträge!$D:$D,Einzelbeträge!$C:$C,'Ausgaben 2026'!$C263,Einzelbeträge!$E:$E,'Ausgaben 2026'!E$6)</f>
        <v>0</v>
      </c>
      <c r="F263" s="21">
        <f>SUMIFS(Einzelbeträge!$D:$D,Einzelbeträge!$C:$C,'Ausgaben 2026'!$C263,Einzelbeträge!$E:$E,'Ausgaben 2026'!F$6)</f>
        <v>0</v>
      </c>
      <c r="G263" s="21">
        <f>SUMIFS(Einzelbeträge!$D:$D,Einzelbeträge!$C:$C,'Ausgaben 2026'!$C263,Einzelbeträge!$E:$E,'Ausgaben 2026'!G$6)</f>
        <v>0</v>
      </c>
      <c r="H263" s="21">
        <f>SUMIFS(Einzelbeträge!$D:$D,Einzelbeträge!$C:$C,'Ausgaben 2026'!$C263,Einzelbeträge!$E:$E,'Ausgaben 2026'!H$6)</f>
        <v>0</v>
      </c>
      <c r="I263" s="21">
        <f>SUMIFS(Einzelbeträge!$D:$D,Einzelbeträge!$C:$C,'Ausgaben 2026'!$C263,Einzelbeträge!$E:$E,'Ausgaben 2026'!I$6)</f>
        <v>0</v>
      </c>
      <c r="J263" s="21">
        <f>SUMIFS(Einzelbeträge!$D:$D,Einzelbeträge!$C:$C,'Ausgaben 2026'!$C263,Einzelbeträge!$E:$E,'Ausgaben 2026'!J$6)</f>
        <v>0</v>
      </c>
      <c r="K263" s="21">
        <f>SUMIFS(Einzelbeträge!$D:$D,Einzelbeträge!$C:$C,'Ausgaben 2026'!$C263,Einzelbeträge!$E:$E,'Ausgaben 2026'!K$6)</f>
        <v>0</v>
      </c>
      <c r="L263" s="21">
        <f>SUMIFS(Einzelbeträge!$D:$D,Einzelbeträge!$C:$C,'Ausgaben 2026'!$C263,Einzelbeträge!$E:$E,'Ausgaben 2026'!L$6)</f>
        <v>0</v>
      </c>
      <c r="M263" s="21">
        <f>SUMIFS(Einzelbeträge!$D:$D,Einzelbeträge!$C:$C,'Ausgaben 2026'!$C263,Einzelbeträge!$E:$E,'Ausgaben 2026'!M$6)</f>
        <v>0</v>
      </c>
      <c r="N263" s="35">
        <f>SUMIFS(Einzelbeträge!$D:$D,Einzelbeträge!$C:$C,'Ausgaben 2026'!$C263,Einzelbeträge!$E:$E,'Ausgaben 2026'!N$6)</f>
        <v>0</v>
      </c>
      <c r="O263" s="6"/>
    </row>
    <row r="264" spans="2:15" x14ac:dyDescent="0.35">
      <c r="B264" s="5"/>
      <c r="C264" s="40">
        <f t="shared" si="23"/>
        <v>46258</v>
      </c>
      <c r="D264" s="46">
        <f>SUMIFS(Einzelbeträge!$D:$D,Einzelbeträge!$C:$C,'Ausgaben 2026'!$C264)</f>
        <v>0</v>
      </c>
      <c r="E264" s="21">
        <f>SUMIFS(Einzelbeträge!$D:$D,Einzelbeträge!$C:$C,'Ausgaben 2026'!$C264,Einzelbeträge!$E:$E,'Ausgaben 2026'!E$6)</f>
        <v>0</v>
      </c>
      <c r="F264" s="21">
        <f>SUMIFS(Einzelbeträge!$D:$D,Einzelbeträge!$C:$C,'Ausgaben 2026'!$C264,Einzelbeträge!$E:$E,'Ausgaben 2026'!F$6)</f>
        <v>0</v>
      </c>
      <c r="G264" s="21">
        <f>SUMIFS(Einzelbeträge!$D:$D,Einzelbeträge!$C:$C,'Ausgaben 2026'!$C264,Einzelbeträge!$E:$E,'Ausgaben 2026'!G$6)</f>
        <v>0</v>
      </c>
      <c r="H264" s="21">
        <f>SUMIFS(Einzelbeträge!$D:$D,Einzelbeträge!$C:$C,'Ausgaben 2026'!$C264,Einzelbeträge!$E:$E,'Ausgaben 2026'!H$6)</f>
        <v>0</v>
      </c>
      <c r="I264" s="21">
        <f>SUMIFS(Einzelbeträge!$D:$D,Einzelbeträge!$C:$C,'Ausgaben 2026'!$C264,Einzelbeträge!$E:$E,'Ausgaben 2026'!I$6)</f>
        <v>0</v>
      </c>
      <c r="J264" s="21">
        <f>SUMIFS(Einzelbeträge!$D:$D,Einzelbeträge!$C:$C,'Ausgaben 2026'!$C264,Einzelbeträge!$E:$E,'Ausgaben 2026'!J$6)</f>
        <v>0</v>
      </c>
      <c r="K264" s="21">
        <f>SUMIFS(Einzelbeträge!$D:$D,Einzelbeträge!$C:$C,'Ausgaben 2026'!$C264,Einzelbeträge!$E:$E,'Ausgaben 2026'!K$6)</f>
        <v>0</v>
      </c>
      <c r="L264" s="21">
        <f>SUMIFS(Einzelbeträge!$D:$D,Einzelbeträge!$C:$C,'Ausgaben 2026'!$C264,Einzelbeträge!$E:$E,'Ausgaben 2026'!L$6)</f>
        <v>0</v>
      </c>
      <c r="M264" s="21">
        <f>SUMIFS(Einzelbeträge!$D:$D,Einzelbeträge!$C:$C,'Ausgaben 2026'!$C264,Einzelbeträge!$E:$E,'Ausgaben 2026'!M$6)</f>
        <v>0</v>
      </c>
      <c r="N264" s="35">
        <f>SUMIFS(Einzelbeträge!$D:$D,Einzelbeträge!$C:$C,'Ausgaben 2026'!$C264,Einzelbeträge!$E:$E,'Ausgaben 2026'!N$6)</f>
        <v>0</v>
      </c>
      <c r="O264" s="6"/>
    </row>
    <row r="265" spans="2:15" x14ac:dyDescent="0.35">
      <c r="B265" s="5"/>
      <c r="C265" s="40">
        <f t="shared" si="23"/>
        <v>46259</v>
      </c>
      <c r="D265" s="46">
        <f>SUMIFS(Einzelbeträge!$D:$D,Einzelbeträge!$C:$C,'Ausgaben 2026'!$C265)</f>
        <v>0</v>
      </c>
      <c r="E265" s="21">
        <f>SUMIFS(Einzelbeträge!$D:$D,Einzelbeträge!$C:$C,'Ausgaben 2026'!$C265,Einzelbeträge!$E:$E,'Ausgaben 2026'!E$6)</f>
        <v>0</v>
      </c>
      <c r="F265" s="21">
        <f>SUMIFS(Einzelbeträge!$D:$D,Einzelbeträge!$C:$C,'Ausgaben 2026'!$C265,Einzelbeträge!$E:$E,'Ausgaben 2026'!F$6)</f>
        <v>0</v>
      </c>
      <c r="G265" s="21">
        <f>SUMIFS(Einzelbeträge!$D:$D,Einzelbeträge!$C:$C,'Ausgaben 2026'!$C265,Einzelbeträge!$E:$E,'Ausgaben 2026'!G$6)</f>
        <v>0</v>
      </c>
      <c r="H265" s="21">
        <f>SUMIFS(Einzelbeträge!$D:$D,Einzelbeträge!$C:$C,'Ausgaben 2026'!$C265,Einzelbeträge!$E:$E,'Ausgaben 2026'!H$6)</f>
        <v>0</v>
      </c>
      <c r="I265" s="21">
        <f>SUMIFS(Einzelbeträge!$D:$D,Einzelbeträge!$C:$C,'Ausgaben 2026'!$C265,Einzelbeträge!$E:$E,'Ausgaben 2026'!I$6)</f>
        <v>0</v>
      </c>
      <c r="J265" s="21">
        <f>SUMIFS(Einzelbeträge!$D:$D,Einzelbeträge!$C:$C,'Ausgaben 2026'!$C265,Einzelbeträge!$E:$E,'Ausgaben 2026'!J$6)</f>
        <v>0</v>
      </c>
      <c r="K265" s="21">
        <f>SUMIFS(Einzelbeträge!$D:$D,Einzelbeträge!$C:$C,'Ausgaben 2026'!$C265,Einzelbeträge!$E:$E,'Ausgaben 2026'!K$6)</f>
        <v>0</v>
      </c>
      <c r="L265" s="21">
        <f>SUMIFS(Einzelbeträge!$D:$D,Einzelbeträge!$C:$C,'Ausgaben 2026'!$C265,Einzelbeträge!$E:$E,'Ausgaben 2026'!L$6)</f>
        <v>0</v>
      </c>
      <c r="M265" s="21">
        <f>SUMIFS(Einzelbeträge!$D:$D,Einzelbeträge!$C:$C,'Ausgaben 2026'!$C265,Einzelbeträge!$E:$E,'Ausgaben 2026'!M$6)</f>
        <v>0</v>
      </c>
      <c r="N265" s="35">
        <f>SUMIFS(Einzelbeträge!$D:$D,Einzelbeträge!$C:$C,'Ausgaben 2026'!$C265,Einzelbeträge!$E:$E,'Ausgaben 2026'!N$6)</f>
        <v>0</v>
      </c>
      <c r="O265" s="6"/>
    </row>
    <row r="266" spans="2:15" x14ac:dyDescent="0.35">
      <c r="B266" s="5"/>
      <c r="C266" s="40">
        <f t="shared" si="23"/>
        <v>46260</v>
      </c>
      <c r="D266" s="46">
        <f>SUMIFS(Einzelbeträge!$D:$D,Einzelbeträge!$C:$C,'Ausgaben 2026'!$C266)</f>
        <v>0</v>
      </c>
      <c r="E266" s="21">
        <f>SUMIFS(Einzelbeträge!$D:$D,Einzelbeträge!$C:$C,'Ausgaben 2026'!$C266,Einzelbeträge!$E:$E,'Ausgaben 2026'!E$6)</f>
        <v>0</v>
      </c>
      <c r="F266" s="21">
        <f>SUMIFS(Einzelbeträge!$D:$D,Einzelbeträge!$C:$C,'Ausgaben 2026'!$C266,Einzelbeträge!$E:$E,'Ausgaben 2026'!F$6)</f>
        <v>0</v>
      </c>
      <c r="G266" s="21">
        <f>SUMIFS(Einzelbeträge!$D:$D,Einzelbeträge!$C:$C,'Ausgaben 2026'!$C266,Einzelbeträge!$E:$E,'Ausgaben 2026'!G$6)</f>
        <v>0</v>
      </c>
      <c r="H266" s="21">
        <f>SUMIFS(Einzelbeträge!$D:$D,Einzelbeträge!$C:$C,'Ausgaben 2026'!$C266,Einzelbeträge!$E:$E,'Ausgaben 2026'!H$6)</f>
        <v>0</v>
      </c>
      <c r="I266" s="21">
        <f>SUMIFS(Einzelbeträge!$D:$D,Einzelbeträge!$C:$C,'Ausgaben 2026'!$C266,Einzelbeträge!$E:$E,'Ausgaben 2026'!I$6)</f>
        <v>0</v>
      </c>
      <c r="J266" s="21">
        <f>SUMIFS(Einzelbeträge!$D:$D,Einzelbeträge!$C:$C,'Ausgaben 2026'!$C266,Einzelbeträge!$E:$E,'Ausgaben 2026'!J$6)</f>
        <v>0</v>
      </c>
      <c r="K266" s="21">
        <f>SUMIFS(Einzelbeträge!$D:$D,Einzelbeträge!$C:$C,'Ausgaben 2026'!$C266,Einzelbeträge!$E:$E,'Ausgaben 2026'!K$6)</f>
        <v>0</v>
      </c>
      <c r="L266" s="21">
        <f>SUMIFS(Einzelbeträge!$D:$D,Einzelbeträge!$C:$C,'Ausgaben 2026'!$C266,Einzelbeträge!$E:$E,'Ausgaben 2026'!L$6)</f>
        <v>0</v>
      </c>
      <c r="M266" s="21">
        <f>SUMIFS(Einzelbeträge!$D:$D,Einzelbeträge!$C:$C,'Ausgaben 2026'!$C266,Einzelbeträge!$E:$E,'Ausgaben 2026'!M$6)</f>
        <v>0</v>
      </c>
      <c r="N266" s="35">
        <f>SUMIFS(Einzelbeträge!$D:$D,Einzelbeträge!$C:$C,'Ausgaben 2026'!$C266,Einzelbeträge!$E:$E,'Ausgaben 2026'!N$6)</f>
        <v>0</v>
      </c>
      <c r="O266" s="6"/>
    </row>
    <row r="267" spans="2:15" x14ac:dyDescent="0.35">
      <c r="B267" s="5"/>
      <c r="C267" s="40">
        <f t="shared" si="23"/>
        <v>46261</v>
      </c>
      <c r="D267" s="46">
        <f>SUMIFS(Einzelbeträge!$D:$D,Einzelbeträge!$C:$C,'Ausgaben 2026'!$C267)</f>
        <v>0</v>
      </c>
      <c r="E267" s="21">
        <f>SUMIFS(Einzelbeträge!$D:$D,Einzelbeträge!$C:$C,'Ausgaben 2026'!$C267,Einzelbeträge!$E:$E,'Ausgaben 2026'!E$6)</f>
        <v>0</v>
      </c>
      <c r="F267" s="21">
        <f>SUMIFS(Einzelbeträge!$D:$D,Einzelbeträge!$C:$C,'Ausgaben 2026'!$C267,Einzelbeträge!$E:$E,'Ausgaben 2026'!F$6)</f>
        <v>0</v>
      </c>
      <c r="G267" s="21">
        <f>SUMIFS(Einzelbeträge!$D:$D,Einzelbeträge!$C:$C,'Ausgaben 2026'!$C267,Einzelbeträge!$E:$E,'Ausgaben 2026'!G$6)</f>
        <v>0</v>
      </c>
      <c r="H267" s="21">
        <f>SUMIFS(Einzelbeträge!$D:$D,Einzelbeträge!$C:$C,'Ausgaben 2026'!$C267,Einzelbeträge!$E:$E,'Ausgaben 2026'!H$6)</f>
        <v>0</v>
      </c>
      <c r="I267" s="21">
        <f>SUMIFS(Einzelbeträge!$D:$D,Einzelbeträge!$C:$C,'Ausgaben 2026'!$C267,Einzelbeträge!$E:$E,'Ausgaben 2026'!I$6)</f>
        <v>0</v>
      </c>
      <c r="J267" s="21">
        <f>SUMIFS(Einzelbeträge!$D:$D,Einzelbeträge!$C:$C,'Ausgaben 2026'!$C267,Einzelbeträge!$E:$E,'Ausgaben 2026'!J$6)</f>
        <v>0</v>
      </c>
      <c r="K267" s="21">
        <f>SUMIFS(Einzelbeträge!$D:$D,Einzelbeträge!$C:$C,'Ausgaben 2026'!$C267,Einzelbeträge!$E:$E,'Ausgaben 2026'!K$6)</f>
        <v>0</v>
      </c>
      <c r="L267" s="21">
        <f>SUMIFS(Einzelbeträge!$D:$D,Einzelbeträge!$C:$C,'Ausgaben 2026'!$C267,Einzelbeträge!$E:$E,'Ausgaben 2026'!L$6)</f>
        <v>0</v>
      </c>
      <c r="M267" s="21">
        <f>SUMIFS(Einzelbeträge!$D:$D,Einzelbeträge!$C:$C,'Ausgaben 2026'!$C267,Einzelbeträge!$E:$E,'Ausgaben 2026'!M$6)</f>
        <v>0</v>
      </c>
      <c r="N267" s="35">
        <f>SUMIFS(Einzelbeträge!$D:$D,Einzelbeträge!$C:$C,'Ausgaben 2026'!$C267,Einzelbeträge!$E:$E,'Ausgaben 2026'!N$6)</f>
        <v>0</v>
      </c>
      <c r="O267" s="6"/>
    </row>
    <row r="268" spans="2:15" x14ac:dyDescent="0.35">
      <c r="B268" s="5"/>
      <c r="C268" s="40">
        <f t="shared" si="23"/>
        <v>46262</v>
      </c>
      <c r="D268" s="46">
        <f>SUMIFS(Einzelbeträge!$D:$D,Einzelbeträge!$C:$C,'Ausgaben 2026'!$C268)</f>
        <v>0</v>
      </c>
      <c r="E268" s="21">
        <f>SUMIFS(Einzelbeträge!$D:$D,Einzelbeträge!$C:$C,'Ausgaben 2026'!$C268,Einzelbeträge!$E:$E,'Ausgaben 2026'!E$6)</f>
        <v>0</v>
      </c>
      <c r="F268" s="21">
        <f>SUMIFS(Einzelbeträge!$D:$D,Einzelbeträge!$C:$C,'Ausgaben 2026'!$C268,Einzelbeträge!$E:$E,'Ausgaben 2026'!F$6)</f>
        <v>0</v>
      </c>
      <c r="G268" s="21">
        <f>SUMIFS(Einzelbeträge!$D:$D,Einzelbeträge!$C:$C,'Ausgaben 2026'!$C268,Einzelbeträge!$E:$E,'Ausgaben 2026'!G$6)</f>
        <v>0</v>
      </c>
      <c r="H268" s="21">
        <f>SUMIFS(Einzelbeträge!$D:$D,Einzelbeträge!$C:$C,'Ausgaben 2026'!$C268,Einzelbeträge!$E:$E,'Ausgaben 2026'!H$6)</f>
        <v>0</v>
      </c>
      <c r="I268" s="21">
        <f>SUMIFS(Einzelbeträge!$D:$D,Einzelbeträge!$C:$C,'Ausgaben 2026'!$C268,Einzelbeträge!$E:$E,'Ausgaben 2026'!I$6)</f>
        <v>0</v>
      </c>
      <c r="J268" s="21">
        <f>SUMIFS(Einzelbeträge!$D:$D,Einzelbeträge!$C:$C,'Ausgaben 2026'!$C268,Einzelbeträge!$E:$E,'Ausgaben 2026'!J$6)</f>
        <v>0</v>
      </c>
      <c r="K268" s="21">
        <f>SUMIFS(Einzelbeträge!$D:$D,Einzelbeträge!$C:$C,'Ausgaben 2026'!$C268,Einzelbeträge!$E:$E,'Ausgaben 2026'!K$6)</f>
        <v>0</v>
      </c>
      <c r="L268" s="21">
        <f>SUMIFS(Einzelbeträge!$D:$D,Einzelbeträge!$C:$C,'Ausgaben 2026'!$C268,Einzelbeträge!$E:$E,'Ausgaben 2026'!L$6)</f>
        <v>0</v>
      </c>
      <c r="M268" s="21">
        <f>SUMIFS(Einzelbeträge!$D:$D,Einzelbeträge!$C:$C,'Ausgaben 2026'!$C268,Einzelbeträge!$E:$E,'Ausgaben 2026'!M$6)</f>
        <v>0</v>
      </c>
      <c r="N268" s="35">
        <f>SUMIFS(Einzelbeträge!$D:$D,Einzelbeträge!$C:$C,'Ausgaben 2026'!$C268,Einzelbeträge!$E:$E,'Ausgaben 2026'!N$6)</f>
        <v>0</v>
      </c>
      <c r="O268" s="6"/>
    </row>
    <row r="269" spans="2:15" x14ac:dyDescent="0.35">
      <c r="B269" s="5"/>
      <c r="C269" s="40">
        <f t="shared" si="23"/>
        <v>46263</v>
      </c>
      <c r="D269" s="46">
        <f>SUMIFS(Einzelbeträge!$D:$D,Einzelbeträge!$C:$C,'Ausgaben 2026'!$C269)</f>
        <v>0</v>
      </c>
      <c r="E269" s="21">
        <f>SUMIFS(Einzelbeträge!$D:$D,Einzelbeträge!$C:$C,'Ausgaben 2026'!$C269,Einzelbeträge!$E:$E,'Ausgaben 2026'!E$6)</f>
        <v>0</v>
      </c>
      <c r="F269" s="21">
        <f>SUMIFS(Einzelbeträge!$D:$D,Einzelbeträge!$C:$C,'Ausgaben 2026'!$C269,Einzelbeträge!$E:$E,'Ausgaben 2026'!F$6)</f>
        <v>0</v>
      </c>
      <c r="G269" s="21">
        <f>SUMIFS(Einzelbeträge!$D:$D,Einzelbeträge!$C:$C,'Ausgaben 2026'!$C269,Einzelbeträge!$E:$E,'Ausgaben 2026'!G$6)</f>
        <v>0</v>
      </c>
      <c r="H269" s="21">
        <f>SUMIFS(Einzelbeträge!$D:$D,Einzelbeträge!$C:$C,'Ausgaben 2026'!$C269,Einzelbeträge!$E:$E,'Ausgaben 2026'!H$6)</f>
        <v>0</v>
      </c>
      <c r="I269" s="21">
        <f>SUMIFS(Einzelbeträge!$D:$D,Einzelbeträge!$C:$C,'Ausgaben 2026'!$C269,Einzelbeträge!$E:$E,'Ausgaben 2026'!I$6)</f>
        <v>0</v>
      </c>
      <c r="J269" s="21">
        <f>SUMIFS(Einzelbeträge!$D:$D,Einzelbeträge!$C:$C,'Ausgaben 2026'!$C269,Einzelbeträge!$E:$E,'Ausgaben 2026'!J$6)</f>
        <v>0</v>
      </c>
      <c r="K269" s="21">
        <f>SUMIFS(Einzelbeträge!$D:$D,Einzelbeträge!$C:$C,'Ausgaben 2026'!$C269,Einzelbeträge!$E:$E,'Ausgaben 2026'!K$6)</f>
        <v>0</v>
      </c>
      <c r="L269" s="21">
        <f>SUMIFS(Einzelbeträge!$D:$D,Einzelbeträge!$C:$C,'Ausgaben 2026'!$C269,Einzelbeträge!$E:$E,'Ausgaben 2026'!L$6)</f>
        <v>0</v>
      </c>
      <c r="M269" s="21">
        <f>SUMIFS(Einzelbeträge!$D:$D,Einzelbeträge!$C:$C,'Ausgaben 2026'!$C269,Einzelbeträge!$E:$E,'Ausgaben 2026'!M$6)</f>
        <v>0</v>
      </c>
      <c r="N269" s="35">
        <f>SUMIFS(Einzelbeträge!$D:$D,Einzelbeträge!$C:$C,'Ausgaben 2026'!$C269,Einzelbeträge!$E:$E,'Ausgaben 2026'!N$6)</f>
        <v>0</v>
      </c>
      <c r="O269" s="6"/>
    </row>
    <row r="270" spans="2:15" x14ac:dyDescent="0.35">
      <c r="B270" s="5"/>
      <c r="C270" s="40">
        <f t="shared" si="23"/>
        <v>46264</v>
      </c>
      <c r="D270" s="46">
        <f>SUMIFS(Einzelbeträge!$D:$D,Einzelbeträge!$C:$C,'Ausgaben 2026'!$C270)</f>
        <v>0</v>
      </c>
      <c r="E270" s="21">
        <f>SUMIFS(Einzelbeträge!$D:$D,Einzelbeträge!$C:$C,'Ausgaben 2026'!$C270,Einzelbeträge!$E:$E,'Ausgaben 2026'!E$6)</f>
        <v>0</v>
      </c>
      <c r="F270" s="21">
        <f>SUMIFS(Einzelbeträge!$D:$D,Einzelbeträge!$C:$C,'Ausgaben 2026'!$C270,Einzelbeträge!$E:$E,'Ausgaben 2026'!F$6)</f>
        <v>0</v>
      </c>
      <c r="G270" s="21">
        <f>SUMIFS(Einzelbeträge!$D:$D,Einzelbeträge!$C:$C,'Ausgaben 2026'!$C270,Einzelbeträge!$E:$E,'Ausgaben 2026'!G$6)</f>
        <v>0</v>
      </c>
      <c r="H270" s="21">
        <f>SUMIFS(Einzelbeträge!$D:$D,Einzelbeträge!$C:$C,'Ausgaben 2026'!$C270,Einzelbeträge!$E:$E,'Ausgaben 2026'!H$6)</f>
        <v>0</v>
      </c>
      <c r="I270" s="21">
        <f>SUMIFS(Einzelbeträge!$D:$D,Einzelbeträge!$C:$C,'Ausgaben 2026'!$C270,Einzelbeträge!$E:$E,'Ausgaben 2026'!I$6)</f>
        <v>0</v>
      </c>
      <c r="J270" s="21">
        <f>SUMIFS(Einzelbeträge!$D:$D,Einzelbeträge!$C:$C,'Ausgaben 2026'!$C270,Einzelbeträge!$E:$E,'Ausgaben 2026'!J$6)</f>
        <v>0</v>
      </c>
      <c r="K270" s="21">
        <f>SUMIFS(Einzelbeträge!$D:$D,Einzelbeträge!$C:$C,'Ausgaben 2026'!$C270,Einzelbeträge!$E:$E,'Ausgaben 2026'!K$6)</f>
        <v>0</v>
      </c>
      <c r="L270" s="21">
        <f>SUMIFS(Einzelbeträge!$D:$D,Einzelbeträge!$C:$C,'Ausgaben 2026'!$C270,Einzelbeträge!$E:$E,'Ausgaben 2026'!L$6)</f>
        <v>0</v>
      </c>
      <c r="M270" s="21">
        <f>SUMIFS(Einzelbeträge!$D:$D,Einzelbeträge!$C:$C,'Ausgaben 2026'!$C270,Einzelbeträge!$E:$E,'Ausgaben 2026'!M$6)</f>
        <v>0</v>
      </c>
      <c r="N270" s="35">
        <f>SUMIFS(Einzelbeträge!$D:$D,Einzelbeträge!$C:$C,'Ausgaben 2026'!$C270,Einzelbeträge!$E:$E,'Ausgaben 2026'!N$6)</f>
        <v>0</v>
      </c>
      <c r="O270" s="6"/>
    </row>
    <row r="271" spans="2:15" x14ac:dyDescent="0.35">
      <c r="B271" s="5"/>
      <c r="C271" s="31">
        <f t="shared" si="23"/>
        <v>46265</v>
      </c>
      <c r="D271" s="47">
        <f>SUMIFS(Einzelbeträge!$D:$D,Einzelbeträge!$C:$C,'Ausgaben 2026'!$C271)</f>
        <v>0</v>
      </c>
      <c r="E271" s="37">
        <f>SUMIFS(Einzelbeträge!$D:$D,Einzelbeträge!$C:$C,'Ausgaben 2026'!$C271,Einzelbeträge!$E:$E,'Ausgaben 2026'!E$6)</f>
        <v>0</v>
      </c>
      <c r="F271" s="37">
        <f>SUMIFS(Einzelbeträge!$D:$D,Einzelbeträge!$C:$C,'Ausgaben 2026'!$C271,Einzelbeträge!$E:$E,'Ausgaben 2026'!F$6)</f>
        <v>0</v>
      </c>
      <c r="G271" s="37">
        <f>SUMIFS(Einzelbeträge!$D:$D,Einzelbeträge!$C:$C,'Ausgaben 2026'!$C271,Einzelbeträge!$E:$E,'Ausgaben 2026'!G$6)</f>
        <v>0</v>
      </c>
      <c r="H271" s="37">
        <f>SUMIFS(Einzelbeträge!$D:$D,Einzelbeträge!$C:$C,'Ausgaben 2026'!$C271,Einzelbeträge!$E:$E,'Ausgaben 2026'!H$6)</f>
        <v>0</v>
      </c>
      <c r="I271" s="37">
        <f>SUMIFS(Einzelbeträge!$D:$D,Einzelbeträge!$C:$C,'Ausgaben 2026'!$C271,Einzelbeträge!$E:$E,'Ausgaben 2026'!I$6)</f>
        <v>0</v>
      </c>
      <c r="J271" s="37">
        <f>SUMIFS(Einzelbeträge!$D:$D,Einzelbeträge!$C:$C,'Ausgaben 2026'!$C271,Einzelbeträge!$E:$E,'Ausgaben 2026'!J$6)</f>
        <v>0</v>
      </c>
      <c r="K271" s="37">
        <f>SUMIFS(Einzelbeträge!$D:$D,Einzelbeträge!$C:$C,'Ausgaben 2026'!$C271,Einzelbeträge!$E:$E,'Ausgaben 2026'!K$6)</f>
        <v>0</v>
      </c>
      <c r="L271" s="37">
        <f>SUMIFS(Einzelbeträge!$D:$D,Einzelbeträge!$C:$C,'Ausgaben 2026'!$C271,Einzelbeträge!$E:$E,'Ausgaben 2026'!L$6)</f>
        <v>0</v>
      </c>
      <c r="M271" s="37">
        <f>SUMIFS(Einzelbeträge!$D:$D,Einzelbeträge!$C:$C,'Ausgaben 2026'!$C271,Einzelbeträge!$E:$E,'Ausgaben 2026'!M$6)</f>
        <v>0</v>
      </c>
      <c r="N271" s="38">
        <f>SUMIFS(Einzelbeträge!$D:$D,Einzelbeträge!$C:$C,'Ausgaben 2026'!$C271,Einzelbeträge!$E:$E,'Ausgaben 2026'!N$6)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46266</v>
      </c>
      <c r="D275" s="45">
        <f>SUMIFS(Einzelbeträge!$D:$D,Einzelbeträge!$C:$C,'Ausgaben 2026'!$C275)</f>
        <v>0</v>
      </c>
      <c r="E275" s="32">
        <f>SUMIFS(Einzelbeträge!$D:$D,Einzelbeträge!$C:$C,'Ausgaben 2026'!$C275,Einzelbeträge!$E:$E,'Ausgaben 2026'!E$6)</f>
        <v>0</v>
      </c>
      <c r="F275" s="32">
        <f>SUMIFS(Einzelbeträge!$D:$D,Einzelbeträge!$C:$C,'Ausgaben 2026'!$C275,Einzelbeträge!$E:$E,'Ausgaben 2026'!F$6)</f>
        <v>0</v>
      </c>
      <c r="G275" s="32">
        <f>SUMIFS(Einzelbeträge!$D:$D,Einzelbeträge!$C:$C,'Ausgaben 2026'!$C275,Einzelbeträge!$E:$E,'Ausgaben 2026'!G$6)</f>
        <v>0</v>
      </c>
      <c r="H275" s="32">
        <f>SUMIFS(Einzelbeträge!$D:$D,Einzelbeträge!$C:$C,'Ausgaben 2026'!$C275,Einzelbeträge!$E:$E,'Ausgaben 2026'!H$6)</f>
        <v>0</v>
      </c>
      <c r="I275" s="32">
        <f>SUMIFS(Einzelbeträge!$D:$D,Einzelbeträge!$C:$C,'Ausgaben 2026'!$C275,Einzelbeträge!$E:$E,'Ausgaben 2026'!I$6)</f>
        <v>0</v>
      </c>
      <c r="J275" s="32">
        <f>SUMIFS(Einzelbeträge!$D:$D,Einzelbeträge!$C:$C,'Ausgaben 2026'!$C275,Einzelbeträge!$E:$E,'Ausgaben 2026'!J$6)</f>
        <v>0</v>
      </c>
      <c r="K275" s="32">
        <f>SUMIFS(Einzelbeträge!$D:$D,Einzelbeträge!$C:$C,'Ausgaben 2026'!$C275,Einzelbeträge!$E:$E,'Ausgaben 2026'!K$6)</f>
        <v>0</v>
      </c>
      <c r="L275" s="32">
        <f>SUMIFS(Einzelbeträge!$D:$D,Einzelbeträge!$C:$C,'Ausgaben 2026'!$C275,Einzelbeträge!$E:$E,'Ausgaben 2026'!L$6)</f>
        <v>0</v>
      </c>
      <c r="M275" s="32">
        <f>SUMIFS(Einzelbeträge!$D:$D,Einzelbeträge!$C:$C,'Ausgaben 2026'!$C275,Einzelbeträge!$E:$E,'Ausgaben 2026'!M$6)</f>
        <v>0</v>
      </c>
      <c r="N275" s="33">
        <f>SUMIFS(Einzelbeträge!$D:$D,Einzelbeträge!$C:$C,'Ausgaben 2026'!$C275,Einzelbeträge!$E:$E,'Ausgaben 2026'!N$6)</f>
        <v>0</v>
      </c>
      <c r="O275" s="6"/>
    </row>
    <row r="276" spans="2:15" x14ac:dyDescent="0.35">
      <c r="B276" s="5"/>
      <c r="C276" s="30">
        <f>C275+1</f>
        <v>46267</v>
      </c>
      <c r="D276" s="46">
        <f>SUMIFS(Einzelbeträge!$D:$D,Einzelbeträge!$C:$C,'Ausgaben 2026'!$C276)</f>
        <v>0</v>
      </c>
      <c r="E276" s="21">
        <f>SUMIFS(Einzelbeträge!$D:$D,Einzelbeträge!$C:$C,'Ausgaben 2026'!$C276,Einzelbeträge!$E:$E,'Ausgaben 2026'!E$6)</f>
        <v>0</v>
      </c>
      <c r="F276" s="21">
        <f>SUMIFS(Einzelbeträge!$D:$D,Einzelbeträge!$C:$C,'Ausgaben 2026'!$C276,Einzelbeträge!$E:$E,'Ausgaben 2026'!F$6)</f>
        <v>0</v>
      </c>
      <c r="G276" s="21">
        <f>SUMIFS(Einzelbeträge!$D:$D,Einzelbeträge!$C:$C,'Ausgaben 2026'!$C276,Einzelbeträge!$E:$E,'Ausgaben 2026'!G$6)</f>
        <v>0</v>
      </c>
      <c r="H276" s="21">
        <f>SUMIFS(Einzelbeträge!$D:$D,Einzelbeträge!$C:$C,'Ausgaben 2026'!$C276,Einzelbeträge!$E:$E,'Ausgaben 2026'!H$6)</f>
        <v>0</v>
      </c>
      <c r="I276" s="21">
        <f>SUMIFS(Einzelbeträge!$D:$D,Einzelbeträge!$C:$C,'Ausgaben 2026'!$C276,Einzelbeträge!$E:$E,'Ausgaben 2026'!I$6)</f>
        <v>0</v>
      </c>
      <c r="J276" s="21">
        <f>SUMIFS(Einzelbeträge!$D:$D,Einzelbeträge!$C:$C,'Ausgaben 2026'!$C276,Einzelbeträge!$E:$E,'Ausgaben 2026'!J$6)</f>
        <v>0</v>
      </c>
      <c r="K276" s="21">
        <f>SUMIFS(Einzelbeträge!$D:$D,Einzelbeträge!$C:$C,'Ausgaben 2026'!$C276,Einzelbeträge!$E:$E,'Ausgaben 2026'!K$6)</f>
        <v>0</v>
      </c>
      <c r="L276" s="21">
        <f>SUMIFS(Einzelbeträge!$D:$D,Einzelbeträge!$C:$C,'Ausgaben 2026'!$C276,Einzelbeträge!$E:$E,'Ausgaben 2026'!L$6)</f>
        <v>0</v>
      </c>
      <c r="M276" s="21">
        <f>SUMIFS(Einzelbeträge!$D:$D,Einzelbeträge!$C:$C,'Ausgaben 2026'!$C276,Einzelbeträge!$E:$E,'Ausgaben 2026'!M$6)</f>
        <v>0</v>
      </c>
      <c r="N276" s="35">
        <f>SUMIFS(Einzelbeträge!$D:$D,Einzelbeträge!$C:$C,'Ausgaben 2026'!$C276,Einzelbeträge!$E:$E,'Ausgaben 2026'!N$6)</f>
        <v>0</v>
      </c>
      <c r="O276" s="6"/>
    </row>
    <row r="277" spans="2:15" x14ac:dyDescent="0.35">
      <c r="B277" s="5"/>
      <c r="C277" s="30">
        <f t="shared" ref="C277:C304" si="24">C276+1</f>
        <v>46268</v>
      </c>
      <c r="D277" s="46">
        <f>SUMIFS(Einzelbeträge!$D:$D,Einzelbeträge!$C:$C,'Ausgaben 2026'!$C277)</f>
        <v>0</v>
      </c>
      <c r="E277" s="21">
        <f>SUMIFS(Einzelbeträge!$D:$D,Einzelbeträge!$C:$C,'Ausgaben 2026'!$C277,Einzelbeträge!$E:$E,'Ausgaben 2026'!E$6)</f>
        <v>0</v>
      </c>
      <c r="F277" s="21">
        <f>SUMIFS(Einzelbeträge!$D:$D,Einzelbeträge!$C:$C,'Ausgaben 2026'!$C277,Einzelbeträge!$E:$E,'Ausgaben 2026'!F$6)</f>
        <v>0</v>
      </c>
      <c r="G277" s="21">
        <f>SUMIFS(Einzelbeträge!$D:$D,Einzelbeträge!$C:$C,'Ausgaben 2026'!$C277,Einzelbeträge!$E:$E,'Ausgaben 2026'!G$6)</f>
        <v>0</v>
      </c>
      <c r="H277" s="21">
        <f>SUMIFS(Einzelbeträge!$D:$D,Einzelbeträge!$C:$C,'Ausgaben 2026'!$C277,Einzelbeträge!$E:$E,'Ausgaben 2026'!H$6)</f>
        <v>0</v>
      </c>
      <c r="I277" s="21">
        <f>SUMIFS(Einzelbeträge!$D:$D,Einzelbeträge!$C:$C,'Ausgaben 2026'!$C277,Einzelbeträge!$E:$E,'Ausgaben 2026'!I$6)</f>
        <v>0</v>
      </c>
      <c r="J277" s="21">
        <f>SUMIFS(Einzelbeträge!$D:$D,Einzelbeträge!$C:$C,'Ausgaben 2026'!$C277,Einzelbeträge!$E:$E,'Ausgaben 2026'!J$6)</f>
        <v>0</v>
      </c>
      <c r="K277" s="21">
        <f>SUMIFS(Einzelbeträge!$D:$D,Einzelbeträge!$C:$C,'Ausgaben 2026'!$C277,Einzelbeträge!$E:$E,'Ausgaben 2026'!K$6)</f>
        <v>0</v>
      </c>
      <c r="L277" s="21">
        <f>SUMIFS(Einzelbeträge!$D:$D,Einzelbeträge!$C:$C,'Ausgaben 2026'!$C277,Einzelbeträge!$E:$E,'Ausgaben 2026'!L$6)</f>
        <v>0</v>
      </c>
      <c r="M277" s="21">
        <f>SUMIFS(Einzelbeträge!$D:$D,Einzelbeträge!$C:$C,'Ausgaben 2026'!$C277,Einzelbeträge!$E:$E,'Ausgaben 2026'!M$6)</f>
        <v>0</v>
      </c>
      <c r="N277" s="35">
        <f>SUMIFS(Einzelbeträge!$D:$D,Einzelbeträge!$C:$C,'Ausgaben 2026'!$C277,Einzelbeträge!$E:$E,'Ausgaben 2026'!N$6)</f>
        <v>0</v>
      </c>
      <c r="O277" s="6"/>
    </row>
    <row r="278" spans="2:15" x14ac:dyDescent="0.35">
      <c r="B278" s="5"/>
      <c r="C278" s="30">
        <f t="shared" si="24"/>
        <v>46269</v>
      </c>
      <c r="D278" s="46">
        <f>SUMIFS(Einzelbeträge!$D:$D,Einzelbeträge!$C:$C,'Ausgaben 2026'!$C278)</f>
        <v>0</v>
      </c>
      <c r="E278" s="21">
        <f>SUMIFS(Einzelbeträge!$D:$D,Einzelbeträge!$C:$C,'Ausgaben 2026'!$C278,Einzelbeträge!$E:$E,'Ausgaben 2026'!E$6)</f>
        <v>0</v>
      </c>
      <c r="F278" s="21">
        <f>SUMIFS(Einzelbeträge!$D:$D,Einzelbeträge!$C:$C,'Ausgaben 2026'!$C278,Einzelbeträge!$E:$E,'Ausgaben 2026'!F$6)</f>
        <v>0</v>
      </c>
      <c r="G278" s="21">
        <f>SUMIFS(Einzelbeträge!$D:$D,Einzelbeträge!$C:$C,'Ausgaben 2026'!$C278,Einzelbeträge!$E:$E,'Ausgaben 2026'!G$6)</f>
        <v>0</v>
      </c>
      <c r="H278" s="21">
        <f>SUMIFS(Einzelbeträge!$D:$D,Einzelbeträge!$C:$C,'Ausgaben 2026'!$C278,Einzelbeträge!$E:$E,'Ausgaben 2026'!H$6)</f>
        <v>0</v>
      </c>
      <c r="I278" s="21">
        <f>SUMIFS(Einzelbeträge!$D:$D,Einzelbeträge!$C:$C,'Ausgaben 2026'!$C278,Einzelbeträge!$E:$E,'Ausgaben 2026'!I$6)</f>
        <v>0</v>
      </c>
      <c r="J278" s="21">
        <f>SUMIFS(Einzelbeträge!$D:$D,Einzelbeträge!$C:$C,'Ausgaben 2026'!$C278,Einzelbeträge!$E:$E,'Ausgaben 2026'!J$6)</f>
        <v>0</v>
      </c>
      <c r="K278" s="21">
        <f>SUMIFS(Einzelbeträge!$D:$D,Einzelbeträge!$C:$C,'Ausgaben 2026'!$C278,Einzelbeträge!$E:$E,'Ausgaben 2026'!K$6)</f>
        <v>0</v>
      </c>
      <c r="L278" s="21">
        <f>SUMIFS(Einzelbeträge!$D:$D,Einzelbeträge!$C:$C,'Ausgaben 2026'!$C278,Einzelbeträge!$E:$E,'Ausgaben 2026'!L$6)</f>
        <v>0</v>
      </c>
      <c r="M278" s="21">
        <f>SUMIFS(Einzelbeträge!$D:$D,Einzelbeträge!$C:$C,'Ausgaben 2026'!$C278,Einzelbeträge!$E:$E,'Ausgaben 2026'!M$6)</f>
        <v>0</v>
      </c>
      <c r="N278" s="35">
        <f>SUMIFS(Einzelbeträge!$D:$D,Einzelbeträge!$C:$C,'Ausgaben 2026'!$C278,Einzelbeträge!$E:$E,'Ausgaben 2026'!N$6)</f>
        <v>0</v>
      </c>
      <c r="O278" s="6"/>
    </row>
    <row r="279" spans="2:15" x14ac:dyDescent="0.35">
      <c r="B279" s="5"/>
      <c r="C279" s="30">
        <f t="shared" si="24"/>
        <v>46270</v>
      </c>
      <c r="D279" s="46">
        <f>SUMIFS(Einzelbeträge!$D:$D,Einzelbeträge!$C:$C,'Ausgaben 2026'!$C279)</f>
        <v>0</v>
      </c>
      <c r="E279" s="21">
        <f>SUMIFS(Einzelbeträge!$D:$D,Einzelbeträge!$C:$C,'Ausgaben 2026'!$C279,Einzelbeträge!$E:$E,'Ausgaben 2026'!E$6)</f>
        <v>0</v>
      </c>
      <c r="F279" s="21">
        <f>SUMIFS(Einzelbeträge!$D:$D,Einzelbeträge!$C:$C,'Ausgaben 2026'!$C279,Einzelbeträge!$E:$E,'Ausgaben 2026'!F$6)</f>
        <v>0</v>
      </c>
      <c r="G279" s="21">
        <f>SUMIFS(Einzelbeträge!$D:$D,Einzelbeträge!$C:$C,'Ausgaben 2026'!$C279,Einzelbeträge!$E:$E,'Ausgaben 2026'!G$6)</f>
        <v>0</v>
      </c>
      <c r="H279" s="21">
        <f>SUMIFS(Einzelbeträge!$D:$D,Einzelbeträge!$C:$C,'Ausgaben 2026'!$C279,Einzelbeträge!$E:$E,'Ausgaben 2026'!H$6)</f>
        <v>0</v>
      </c>
      <c r="I279" s="21">
        <f>SUMIFS(Einzelbeträge!$D:$D,Einzelbeträge!$C:$C,'Ausgaben 2026'!$C279,Einzelbeträge!$E:$E,'Ausgaben 2026'!I$6)</f>
        <v>0</v>
      </c>
      <c r="J279" s="21">
        <f>SUMIFS(Einzelbeträge!$D:$D,Einzelbeträge!$C:$C,'Ausgaben 2026'!$C279,Einzelbeträge!$E:$E,'Ausgaben 2026'!J$6)</f>
        <v>0</v>
      </c>
      <c r="K279" s="21">
        <f>SUMIFS(Einzelbeträge!$D:$D,Einzelbeträge!$C:$C,'Ausgaben 2026'!$C279,Einzelbeträge!$E:$E,'Ausgaben 2026'!K$6)</f>
        <v>0</v>
      </c>
      <c r="L279" s="21">
        <f>SUMIFS(Einzelbeträge!$D:$D,Einzelbeträge!$C:$C,'Ausgaben 2026'!$C279,Einzelbeträge!$E:$E,'Ausgaben 2026'!L$6)</f>
        <v>0</v>
      </c>
      <c r="M279" s="21">
        <f>SUMIFS(Einzelbeträge!$D:$D,Einzelbeträge!$C:$C,'Ausgaben 2026'!$C279,Einzelbeträge!$E:$E,'Ausgaben 2026'!M$6)</f>
        <v>0</v>
      </c>
      <c r="N279" s="35">
        <f>SUMIFS(Einzelbeträge!$D:$D,Einzelbeträge!$C:$C,'Ausgaben 2026'!$C279,Einzelbeträge!$E:$E,'Ausgaben 2026'!N$6)</f>
        <v>0</v>
      </c>
      <c r="O279" s="6"/>
    </row>
    <row r="280" spans="2:15" x14ac:dyDescent="0.35">
      <c r="B280" s="5"/>
      <c r="C280" s="30">
        <f t="shared" si="24"/>
        <v>46271</v>
      </c>
      <c r="D280" s="46">
        <f>SUMIFS(Einzelbeträge!$D:$D,Einzelbeträge!$C:$C,'Ausgaben 2026'!$C280)</f>
        <v>0</v>
      </c>
      <c r="E280" s="21">
        <f>SUMIFS(Einzelbeträge!$D:$D,Einzelbeträge!$C:$C,'Ausgaben 2026'!$C280,Einzelbeträge!$E:$E,'Ausgaben 2026'!E$6)</f>
        <v>0</v>
      </c>
      <c r="F280" s="21">
        <f>SUMIFS(Einzelbeträge!$D:$D,Einzelbeträge!$C:$C,'Ausgaben 2026'!$C280,Einzelbeträge!$E:$E,'Ausgaben 2026'!F$6)</f>
        <v>0</v>
      </c>
      <c r="G280" s="21">
        <f>SUMIFS(Einzelbeträge!$D:$D,Einzelbeträge!$C:$C,'Ausgaben 2026'!$C280,Einzelbeträge!$E:$E,'Ausgaben 2026'!G$6)</f>
        <v>0</v>
      </c>
      <c r="H280" s="21">
        <f>SUMIFS(Einzelbeträge!$D:$D,Einzelbeträge!$C:$C,'Ausgaben 2026'!$C280,Einzelbeträge!$E:$E,'Ausgaben 2026'!H$6)</f>
        <v>0</v>
      </c>
      <c r="I280" s="21">
        <f>SUMIFS(Einzelbeträge!$D:$D,Einzelbeträge!$C:$C,'Ausgaben 2026'!$C280,Einzelbeträge!$E:$E,'Ausgaben 2026'!I$6)</f>
        <v>0</v>
      </c>
      <c r="J280" s="21">
        <f>SUMIFS(Einzelbeträge!$D:$D,Einzelbeträge!$C:$C,'Ausgaben 2026'!$C280,Einzelbeträge!$E:$E,'Ausgaben 2026'!J$6)</f>
        <v>0</v>
      </c>
      <c r="K280" s="21">
        <f>SUMIFS(Einzelbeträge!$D:$D,Einzelbeträge!$C:$C,'Ausgaben 2026'!$C280,Einzelbeträge!$E:$E,'Ausgaben 2026'!K$6)</f>
        <v>0</v>
      </c>
      <c r="L280" s="21">
        <f>SUMIFS(Einzelbeträge!$D:$D,Einzelbeträge!$C:$C,'Ausgaben 2026'!$C280,Einzelbeträge!$E:$E,'Ausgaben 2026'!L$6)</f>
        <v>0</v>
      </c>
      <c r="M280" s="21">
        <f>SUMIFS(Einzelbeträge!$D:$D,Einzelbeträge!$C:$C,'Ausgaben 2026'!$C280,Einzelbeträge!$E:$E,'Ausgaben 2026'!M$6)</f>
        <v>0</v>
      </c>
      <c r="N280" s="35">
        <f>SUMIFS(Einzelbeträge!$D:$D,Einzelbeträge!$C:$C,'Ausgaben 2026'!$C280,Einzelbeträge!$E:$E,'Ausgaben 2026'!N$6)</f>
        <v>0</v>
      </c>
      <c r="O280" s="6"/>
    </row>
    <row r="281" spans="2:15" x14ac:dyDescent="0.35">
      <c r="B281" s="5"/>
      <c r="C281" s="30">
        <f t="shared" si="24"/>
        <v>46272</v>
      </c>
      <c r="D281" s="46">
        <f>SUMIFS(Einzelbeträge!$D:$D,Einzelbeträge!$C:$C,'Ausgaben 2026'!$C281)</f>
        <v>0</v>
      </c>
      <c r="E281" s="21">
        <f>SUMIFS(Einzelbeträge!$D:$D,Einzelbeträge!$C:$C,'Ausgaben 2026'!$C281,Einzelbeträge!$E:$E,'Ausgaben 2026'!E$6)</f>
        <v>0</v>
      </c>
      <c r="F281" s="21">
        <f>SUMIFS(Einzelbeträge!$D:$D,Einzelbeträge!$C:$C,'Ausgaben 2026'!$C281,Einzelbeträge!$E:$E,'Ausgaben 2026'!F$6)</f>
        <v>0</v>
      </c>
      <c r="G281" s="21">
        <f>SUMIFS(Einzelbeträge!$D:$D,Einzelbeträge!$C:$C,'Ausgaben 2026'!$C281,Einzelbeträge!$E:$E,'Ausgaben 2026'!G$6)</f>
        <v>0</v>
      </c>
      <c r="H281" s="21">
        <f>SUMIFS(Einzelbeträge!$D:$D,Einzelbeträge!$C:$C,'Ausgaben 2026'!$C281,Einzelbeträge!$E:$E,'Ausgaben 2026'!H$6)</f>
        <v>0</v>
      </c>
      <c r="I281" s="21">
        <f>SUMIFS(Einzelbeträge!$D:$D,Einzelbeträge!$C:$C,'Ausgaben 2026'!$C281,Einzelbeträge!$E:$E,'Ausgaben 2026'!I$6)</f>
        <v>0</v>
      </c>
      <c r="J281" s="21">
        <f>SUMIFS(Einzelbeträge!$D:$D,Einzelbeträge!$C:$C,'Ausgaben 2026'!$C281,Einzelbeträge!$E:$E,'Ausgaben 2026'!J$6)</f>
        <v>0</v>
      </c>
      <c r="K281" s="21">
        <f>SUMIFS(Einzelbeträge!$D:$D,Einzelbeträge!$C:$C,'Ausgaben 2026'!$C281,Einzelbeträge!$E:$E,'Ausgaben 2026'!K$6)</f>
        <v>0</v>
      </c>
      <c r="L281" s="21">
        <f>SUMIFS(Einzelbeträge!$D:$D,Einzelbeträge!$C:$C,'Ausgaben 2026'!$C281,Einzelbeträge!$E:$E,'Ausgaben 2026'!L$6)</f>
        <v>0</v>
      </c>
      <c r="M281" s="21">
        <f>SUMIFS(Einzelbeträge!$D:$D,Einzelbeträge!$C:$C,'Ausgaben 2026'!$C281,Einzelbeträge!$E:$E,'Ausgaben 2026'!M$6)</f>
        <v>0</v>
      </c>
      <c r="N281" s="35">
        <f>SUMIFS(Einzelbeträge!$D:$D,Einzelbeträge!$C:$C,'Ausgaben 2026'!$C281,Einzelbeträge!$E:$E,'Ausgaben 2026'!N$6)</f>
        <v>0</v>
      </c>
      <c r="O281" s="6"/>
    </row>
    <row r="282" spans="2:15" x14ac:dyDescent="0.35">
      <c r="B282" s="5"/>
      <c r="C282" s="30">
        <f t="shared" si="24"/>
        <v>46273</v>
      </c>
      <c r="D282" s="46">
        <f>SUMIFS(Einzelbeträge!$D:$D,Einzelbeträge!$C:$C,'Ausgaben 2026'!$C282)</f>
        <v>0</v>
      </c>
      <c r="E282" s="21">
        <f>SUMIFS(Einzelbeträge!$D:$D,Einzelbeträge!$C:$C,'Ausgaben 2026'!$C282,Einzelbeträge!$E:$E,'Ausgaben 2026'!E$6)</f>
        <v>0</v>
      </c>
      <c r="F282" s="21">
        <f>SUMIFS(Einzelbeträge!$D:$D,Einzelbeträge!$C:$C,'Ausgaben 2026'!$C282,Einzelbeträge!$E:$E,'Ausgaben 2026'!F$6)</f>
        <v>0</v>
      </c>
      <c r="G282" s="21">
        <f>SUMIFS(Einzelbeträge!$D:$D,Einzelbeträge!$C:$C,'Ausgaben 2026'!$C282,Einzelbeträge!$E:$E,'Ausgaben 2026'!G$6)</f>
        <v>0</v>
      </c>
      <c r="H282" s="21">
        <f>SUMIFS(Einzelbeträge!$D:$D,Einzelbeträge!$C:$C,'Ausgaben 2026'!$C282,Einzelbeträge!$E:$E,'Ausgaben 2026'!H$6)</f>
        <v>0</v>
      </c>
      <c r="I282" s="21">
        <f>SUMIFS(Einzelbeträge!$D:$D,Einzelbeträge!$C:$C,'Ausgaben 2026'!$C282,Einzelbeträge!$E:$E,'Ausgaben 2026'!I$6)</f>
        <v>0</v>
      </c>
      <c r="J282" s="21">
        <f>SUMIFS(Einzelbeträge!$D:$D,Einzelbeträge!$C:$C,'Ausgaben 2026'!$C282,Einzelbeträge!$E:$E,'Ausgaben 2026'!J$6)</f>
        <v>0</v>
      </c>
      <c r="K282" s="21">
        <f>SUMIFS(Einzelbeträge!$D:$D,Einzelbeträge!$C:$C,'Ausgaben 2026'!$C282,Einzelbeträge!$E:$E,'Ausgaben 2026'!K$6)</f>
        <v>0</v>
      </c>
      <c r="L282" s="21">
        <f>SUMIFS(Einzelbeträge!$D:$D,Einzelbeträge!$C:$C,'Ausgaben 2026'!$C282,Einzelbeträge!$E:$E,'Ausgaben 2026'!L$6)</f>
        <v>0</v>
      </c>
      <c r="M282" s="21">
        <f>SUMIFS(Einzelbeträge!$D:$D,Einzelbeträge!$C:$C,'Ausgaben 2026'!$C282,Einzelbeträge!$E:$E,'Ausgaben 2026'!M$6)</f>
        <v>0</v>
      </c>
      <c r="N282" s="35">
        <f>SUMIFS(Einzelbeträge!$D:$D,Einzelbeträge!$C:$C,'Ausgaben 2026'!$C282,Einzelbeträge!$E:$E,'Ausgaben 2026'!N$6)</f>
        <v>0</v>
      </c>
      <c r="O282" s="6"/>
    </row>
    <row r="283" spans="2:15" x14ac:dyDescent="0.35">
      <c r="B283" s="5"/>
      <c r="C283" s="30">
        <f t="shared" si="24"/>
        <v>46274</v>
      </c>
      <c r="D283" s="46">
        <f>SUMIFS(Einzelbeträge!$D:$D,Einzelbeträge!$C:$C,'Ausgaben 2026'!$C283)</f>
        <v>0</v>
      </c>
      <c r="E283" s="21">
        <f>SUMIFS(Einzelbeträge!$D:$D,Einzelbeträge!$C:$C,'Ausgaben 2026'!$C283,Einzelbeträge!$E:$E,'Ausgaben 2026'!E$6)</f>
        <v>0</v>
      </c>
      <c r="F283" s="21">
        <f>SUMIFS(Einzelbeträge!$D:$D,Einzelbeträge!$C:$C,'Ausgaben 2026'!$C283,Einzelbeträge!$E:$E,'Ausgaben 2026'!F$6)</f>
        <v>0</v>
      </c>
      <c r="G283" s="21">
        <f>SUMIFS(Einzelbeträge!$D:$D,Einzelbeträge!$C:$C,'Ausgaben 2026'!$C283,Einzelbeträge!$E:$E,'Ausgaben 2026'!G$6)</f>
        <v>0</v>
      </c>
      <c r="H283" s="21">
        <f>SUMIFS(Einzelbeträge!$D:$D,Einzelbeträge!$C:$C,'Ausgaben 2026'!$C283,Einzelbeträge!$E:$E,'Ausgaben 2026'!H$6)</f>
        <v>0</v>
      </c>
      <c r="I283" s="21">
        <f>SUMIFS(Einzelbeträge!$D:$D,Einzelbeträge!$C:$C,'Ausgaben 2026'!$C283,Einzelbeträge!$E:$E,'Ausgaben 2026'!I$6)</f>
        <v>0</v>
      </c>
      <c r="J283" s="21">
        <f>SUMIFS(Einzelbeträge!$D:$D,Einzelbeträge!$C:$C,'Ausgaben 2026'!$C283,Einzelbeträge!$E:$E,'Ausgaben 2026'!J$6)</f>
        <v>0</v>
      </c>
      <c r="K283" s="21">
        <f>SUMIFS(Einzelbeträge!$D:$D,Einzelbeträge!$C:$C,'Ausgaben 2026'!$C283,Einzelbeträge!$E:$E,'Ausgaben 2026'!K$6)</f>
        <v>0</v>
      </c>
      <c r="L283" s="21">
        <f>SUMIFS(Einzelbeträge!$D:$D,Einzelbeträge!$C:$C,'Ausgaben 2026'!$C283,Einzelbeträge!$E:$E,'Ausgaben 2026'!L$6)</f>
        <v>0</v>
      </c>
      <c r="M283" s="21">
        <f>SUMIFS(Einzelbeträge!$D:$D,Einzelbeträge!$C:$C,'Ausgaben 2026'!$C283,Einzelbeträge!$E:$E,'Ausgaben 2026'!M$6)</f>
        <v>0</v>
      </c>
      <c r="N283" s="35">
        <f>SUMIFS(Einzelbeträge!$D:$D,Einzelbeträge!$C:$C,'Ausgaben 2026'!$C283,Einzelbeträge!$E:$E,'Ausgaben 2026'!N$6)</f>
        <v>0</v>
      </c>
      <c r="O283" s="6"/>
    </row>
    <row r="284" spans="2:15" x14ac:dyDescent="0.35">
      <c r="B284" s="5"/>
      <c r="C284" s="30">
        <f t="shared" si="24"/>
        <v>46275</v>
      </c>
      <c r="D284" s="46">
        <f>SUMIFS(Einzelbeträge!$D:$D,Einzelbeträge!$C:$C,'Ausgaben 2026'!$C284)</f>
        <v>0</v>
      </c>
      <c r="E284" s="21">
        <f>SUMIFS(Einzelbeträge!$D:$D,Einzelbeträge!$C:$C,'Ausgaben 2026'!$C284,Einzelbeträge!$E:$E,'Ausgaben 2026'!E$6)</f>
        <v>0</v>
      </c>
      <c r="F284" s="21">
        <f>SUMIFS(Einzelbeträge!$D:$D,Einzelbeträge!$C:$C,'Ausgaben 2026'!$C284,Einzelbeträge!$E:$E,'Ausgaben 2026'!F$6)</f>
        <v>0</v>
      </c>
      <c r="G284" s="21">
        <f>SUMIFS(Einzelbeträge!$D:$D,Einzelbeträge!$C:$C,'Ausgaben 2026'!$C284,Einzelbeträge!$E:$E,'Ausgaben 2026'!G$6)</f>
        <v>0</v>
      </c>
      <c r="H284" s="21">
        <f>SUMIFS(Einzelbeträge!$D:$D,Einzelbeträge!$C:$C,'Ausgaben 2026'!$C284,Einzelbeträge!$E:$E,'Ausgaben 2026'!H$6)</f>
        <v>0</v>
      </c>
      <c r="I284" s="21">
        <f>SUMIFS(Einzelbeträge!$D:$D,Einzelbeträge!$C:$C,'Ausgaben 2026'!$C284,Einzelbeträge!$E:$E,'Ausgaben 2026'!I$6)</f>
        <v>0</v>
      </c>
      <c r="J284" s="21">
        <f>SUMIFS(Einzelbeträge!$D:$D,Einzelbeträge!$C:$C,'Ausgaben 2026'!$C284,Einzelbeträge!$E:$E,'Ausgaben 2026'!J$6)</f>
        <v>0</v>
      </c>
      <c r="K284" s="21">
        <f>SUMIFS(Einzelbeträge!$D:$D,Einzelbeträge!$C:$C,'Ausgaben 2026'!$C284,Einzelbeträge!$E:$E,'Ausgaben 2026'!K$6)</f>
        <v>0</v>
      </c>
      <c r="L284" s="21">
        <f>SUMIFS(Einzelbeträge!$D:$D,Einzelbeträge!$C:$C,'Ausgaben 2026'!$C284,Einzelbeträge!$E:$E,'Ausgaben 2026'!L$6)</f>
        <v>0</v>
      </c>
      <c r="M284" s="21">
        <f>SUMIFS(Einzelbeträge!$D:$D,Einzelbeträge!$C:$C,'Ausgaben 2026'!$C284,Einzelbeträge!$E:$E,'Ausgaben 2026'!M$6)</f>
        <v>0</v>
      </c>
      <c r="N284" s="35">
        <f>SUMIFS(Einzelbeträge!$D:$D,Einzelbeträge!$C:$C,'Ausgaben 2026'!$C284,Einzelbeträge!$E:$E,'Ausgaben 2026'!N$6)</f>
        <v>0</v>
      </c>
      <c r="O284" s="6"/>
    </row>
    <row r="285" spans="2:15" x14ac:dyDescent="0.35">
      <c r="B285" s="5"/>
      <c r="C285" s="30">
        <f t="shared" si="24"/>
        <v>46276</v>
      </c>
      <c r="D285" s="46">
        <f>SUMIFS(Einzelbeträge!$D:$D,Einzelbeträge!$C:$C,'Ausgaben 2026'!$C285)</f>
        <v>0</v>
      </c>
      <c r="E285" s="21">
        <f>SUMIFS(Einzelbeträge!$D:$D,Einzelbeträge!$C:$C,'Ausgaben 2026'!$C285,Einzelbeträge!$E:$E,'Ausgaben 2026'!E$6)</f>
        <v>0</v>
      </c>
      <c r="F285" s="21">
        <f>SUMIFS(Einzelbeträge!$D:$D,Einzelbeträge!$C:$C,'Ausgaben 2026'!$C285,Einzelbeträge!$E:$E,'Ausgaben 2026'!F$6)</f>
        <v>0</v>
      </c>
      <c r="G285" s="21">
        <f>SUMIFS(Einzelbeträge!$D:$D,Einzelbeträge!$C:$C,'Ausgaben 2026'!$C285,Einzelbeträge!$E:$E,'Ausgaben 2026'!G$6)</f>
        <v>0</v>
      </c>
      <c r="H285" s="21">
        <f>SUMIFS(Einzelbeträge!$D:$D,Einzelbeträge!$C:$C,'Ausgaben 2026'!$C285,Einzelbeträge!$E:$E,'Ausgaben 2026'!H$6)</f>
        <v>0</v>
      </c>
      <c r="I285" s="21">
        <f>SUMIFS(Einzelbeträge!$D:$D,Einzelbeträge!$C:$C,'Ausgaben 2026'!$C285,Einzelbeträge!$E:$E,'Ausgaben 2026'!I$6)</f>
        <v>0</v>
      </c>
      <c r="J285" s="21">
        <f>SUMIFS(Einzelbeträge!$D:$D,Einzelbeträge!$C:$C,'Ausgaben 2026'!$C285,Einzelbeträge!$E:$E,'Ausgaben 2026'!J$6)</f>
        <v>0</v>
      </c>
      <c r="K285" s="21">
        <f>SUMIFS(Einzelbeträge!$D:$D,Einzelbeträge!$C:$C,'Ausgaben 2026'!$C285,Einzelbeträge!$E:$E,'Ausgaben 2026'!K$6)</f>
        <v>0</v>
      </c>
      <c r="L285" s="21">
        <f>SUMIFS(Einzelbeträge!$D:$D,Einzelbeträge!$C:$C,'Ausgaben 2026'!$C285,Einzelbeträge!$E:$E,'Ausgaben 2026'!L$6)</f>
        <v>0</v>
      </c>
      <c r="M285" s="21">
        <f>SUMIFS(Einzelbeträge!$D:$D,Einzelbeträge!$C:$C,'Ausgaben 2026'!$C285,Einzelbeträge!$E:$E,'Ausgaben 2026'!M$6)</f>
        <v>0</v>
      </c>
      <c r="N285" s="35">
        <f>SUMIFS(Einzelbeträge!$D:$D,Einzelbeträge!$C:$C,'Ausgaben 2026'!$C285,Einzelbeträge!$E:$E,'Ausgaben 2026'!N$6)</f>
        <v>0</v>
      </c>
      <c r="O285" s="6"/>
    </row>
    <row r="286" spans="2:15" x14ac:dyDescent="0.35">
      <c r="B286" s="5"/>
      <c r="C286" s="30">
        <f t="shared" si="24"/>
        <v>46277</v>
      </c>
      <c r="D286" s="46">
        <f>SUMIFS(Einzelbeträge!$D:$D,Einzelbeträge!$C:$C,'Ausgaben 2026'!$C286)</f>
        <v>0</v>
      </c>
      <c r="E286" s="21">
        <f>SUMIFS(Einzelbeträge!$D:$D,Einzelbeträge!$C:$C,'Ausgaben 2026'!$C286,Einzelbeträge!$E:$E,'Ausgaben 2026'!E$6)</f>
        <v>0</v>
      </c>
      <c r="F286" s="21">
        <f>SUMIFS(Einzelbeträge!$D:$D,Einzelbeträge!$C:$C,'Ausgaben 2026'!$C286,Einzelbeträge!$E:$E,'Ausgaben 2026'!F$6)</f>
        <v>0</v>
      </c>
      <c r="G286" s="21">
        <f>SUMIFS(Einzelbeträge!$D:$D,Einzelbeträge!$C:$C,'Ausgaben 2026'!$C286,Einzelbeträge!$E:$E,'Ausgaben 2026'!G$6)</f>
        <v>0</v>
      </c>
      <c r="H286" s="21">
        <f>SUMIFS(Einzelbeträge!$D:$D,Einzelbeträge!$C:$C,'Ausgaben 2026'!$C286,Einzelbeträge!$E:$E,'Ausgaben 2026'!H$6)</f>
        <v>0</v>
      </c>
      <c r="I286" s="21">
        <f>SUMIFS(Einzelbeträge!$D:$D,Einzelbeträge!$C:$C,'Ausgaben 2026'!$C286,Einzelbeträge!$E:$E,'Ausgaben 2026'!I$6)</f>
        <v>0</v>
      </c>
      <c r="J286" s="21">
        <f>SUMIFS(Einzelbeträge!$D:$D,Einzelbeträge!$C:$C,'Ausgaben 2026'!$C286,Einzelbeträge!$E:$E,'Ausgaben 2026'!J$6)</f>
        <v>0</v>
      </c>
      <c r="K286" s="21">
        <f>SUMIFS(Einzelbeträge!$D:$D,Einzelbeträge!$C:$C,'Ausgaben 2026'!$C286,Einzelbeträge!$E:$E,'Ausgaben 2026'!K$6)</f>
        <v>0</v>
      </c>
      <c r="L286" s="21">
        <f>SUMIFS(Einzelbeträge!$D:$D,Einzelbeträge!$C:$C,'Ausgaben 2026'!$C286,Einzelbeträge!$E:$E,'Ausgaben 2026'!L$6)</f>
        <v>0</v>
      </c>
      <c r="M286" s="21">
        <f>SUMIFS(Einzelbeträge!$D:$D,Einzelbeträge!$C:$C,'Ausgaben 2026'!$C286,Einzelbeträge!$E:$E,'Ausgaben 2026'!M$6)</f>
        <v>0</v>
      </c>
      <c r="N286" s="35">
        <f>SUMIFS(Einzelbeträge!$D:$D,Einzelbeträge!$C:$C,'Ausgaben 2026'!$C286,Einzelbeträge!$E:$E,'Ausgaben 2026'!N$6)</f>
        <v>0</v>
      </c>
      <c r="O286" s="6"/>
    </row>
    <row r="287" spans="2:15" x14ac:dyDescent="0.35">
      <c r="B287" s="5"/>
      <c r="C287" s="30">
        <f t="shared" si="24"/>
        <v>46278</v>
      </c>
      <c r="D287" s="46">
        <f>SUMIFS(Einzelbeträge!$D:$D,Einzelbeträge!$C:$C,'Ausgaben 2026'!$C287)</f>
        <v>0</v>
      </c>
      <c r="E287" s="21">
        <f>SUMIFS(Einzelbeträge!$D:$D,Einzelbeträge!$C:$C,'Ausgaben 2026'!$C287,Einzelbeträge!$E:$E,'Ausgaben 2026'!E$6)</f>
        <v>0</v>
      </c>
      <c r="F287" s="21">
        <f>SUMIFS(Einzelbeträge!$D:$D,Einzelbeträge!$C:$C,'Ausgaben 2026'!$C287,Einzelbeträge!$E:$E,'Ausgaben 2026'!F$6)</f>
        <v>0</v>
      </c>
      <c r="G287" s="21">
        <f>SUMIFS(Einzelbeträge!$D:$D,Einzelbeträge!$C:$C,'Ausgaben 2026'!$C287,Einzelbeträge!$E:$E,'Ausgaben 2026'!G$6)</f>
        <v>0</v>
      </c>
      <c r="H287" s="21">
        <f>SUMIFS(Einzelbeträge!$D:$D,Einzelbeträge!$C:$C,'Ausgaben 2026'!$C287,Einzelbeträge!$E:$E,'Ausgaben 2026'!H$6)</f>
        <v>0</v>
      </c>
      <c r="I287" s="21">
        <f>SUMIFS(Einzelbeträge!$D:$D,Einzelbeträge!$C:$C,'Ausgaben 2026'!$C287,Einzelbeträge!$E:$E,'Ausgaben 2026'!I$6)</f>
        <v>0</v>
      </c>
      <c r="J287" s="21">
        <f>SUMIFS(Einzelbeträge!$D:$D,Einzelbeträge!$C:$C,'Ausgaben 2026'!$C287,Einzelbeträge!$E:$E,'Ausgaben 2026'!J$6)</f>
        <v>0</v>
      </c>
      <c r="K287" s="21">
        <f>SUMIFS(Einzelbeträge!$D:$D,Einzelbeträge!$C:$C,'Ausgaben 2026'!$C287,Einzelbeträge!$E:$E,'Ausgaben 2026'!K$6)</f>
        <v>0</v>
      </c>
      <c r="L287" s="21">
        <f>SUMIFS(Einzelbeträge!$D:$D,Einzelbeträge!$C:$C,'Ausgaben 2026'!$C287,Einzelbeträge!$E:$E,'Ausgaben 2026'!L$6)</f>
        <v>0</v>
      </c>
      <c r="M287" s="21">
        <f>SUMIFS(Einzelbeträge!$D:$D,Einzelbeträge!$C:$C,'Ausgaben 2026'!$C287,Einzelbeträge!$E:$E,'Ausgaben 2026'!M$6)</f>
        <v>0</v>
      </c>
      <c r="N287" s="35">
        <f>SUMIFS(Einzelbeträge!$D:$D,Einzelbeträge!$C:$C,'Ausgaben 2026'!$C287,Einzelbeträge!$E:$E,'Ausgaben 2026'!N$6)</f>
        <v>0</v>
      </c>
      <c r="O287" s="6"/>
    </row>
    <row r="288" spans="2:15" x14ac:dyDescent="0.35">
      <c r="B288" s="5"/>
      <c r="C288" s="30">
        <f t="shared" si="24"/>
        <v>46279</v>
      </c>
      <c r="D288" s="46">
        <f>SUMIFS(Einzelbeträge!$D:$D,Einzelbeträge!$C:$C,'Ausgaben 2026'!$C288)</f>
        <v>0</v>
      </c>
      <c r="E288" s="21">
        <f>SUMIFS(Einzelbeträge!$D:$D,Einzelbeträge!$C:$C,'Ausgaben 2026'!$C288,Einzelbeträge!$E:$E,'Ausgaben 2026'!E$6)</f>
        <v>0</v>
      </c>
      <c r="F288" s="21">
        <f>SUMIFS(Einzelbeträge!$D:$D,Einzelbeträge!$C:$C,'Ausgaben 2026'!$C288,Einzelbeträge!$E:$E,'Ausgaben 2026'!F$6)</f>
        <v>0</v>
      </c>
      <c r="G288" s="21">
        <f>SUMIFS(Einzelbeträge!$D:$D,Einzelbeträge!$C:$C,'Ausgaben 2026'!$C288,Einzelbeträge!$E:$E,'Ausgaben 2026'!G$6)</f>
        <v>0</v>
      </c>
      <c r="H288" s="21">
        <f>SUMIFS(Einzelbeträge!$D:$D,Einzelbeträge!$C:$C,'Ausgaben 2026'!$C288,Einzelbeträge!$E:$E,'Ausgaben 2026'!H$6)</f>
        <v>0</v>
      </c>
      <c r="I288" s="21">
        <f>SUMIFS(Einzelbeträge!$D:$D,Einzelbeträge!$C:$C,'Ausgaben 2026'!$C288,Einzelbeträge!$E:$E,'Ausgaben 2026'!I$6)</f>
        <v>0</v>
      </c>
      <c r="J288" s="21">
        <f>SUMIFS(Einzelbeträge!$D:$D,Einzelbeträge!$C:$C,'Ausgaben 2026'!$C288,Einzelbeträge!$E:$E,'Ausgaben 2026'!J$6)</f>
        <v>0</v>
      </c>
      <c r="K288" s="21">
        <f>SUMIFS(Einzelbeträge!$D:$D,Einzelbeträge!$C:$C,'Ausgaben 2026'!$C288,Einzelbeträge!$E:$E,'Ausgaben 2026'!K$6)</f>
        <v>0</v>
      </c>
      <c r="L288" s="21">
        <f>SUMIFS(Einzelbeträge!$D:$D,Einzelbeträge!$C:$C,'Ausgaben 2026'!$C288,Einzelbeträge!$E:$E,'Ausgaben 2026'!L$6)</f>
        <v>0</v>
      </c>
      <c r="M288" s="21">
        <f>SUMIFS(Einzelbeträge!$D:$D,Einzelbeträge!$C:$C,'Ausgaben 2026'!$C288,Einzelbeträge!$E:$E,'Ausgaben 2026'!M$6)</f>
        <v>0</v>
      </c>
      <c r="N288" s="35">
        <f>SUMIFS(Einzelbeträge!$D:$D,Einzelbeträge!$C:$C,'Ausgaben 2026'!$C288,Einzelbeträge!$E:$E,'Ausgaben 2026'!N$6)</f>
        <v>0</v>
      </c>
      <c r="O288" s="6"/>
    </row>
    <row r="289" spans="2:15" x14ac:dyDescent="0.35">
      <c r="B289" s="5"/>
      <c r="C289" s="30">
        <f t="shared" si="24"/>
        <v>46280</v>
      </c>
      <c r="D289" s="46">
        <f>SUMIFS(Einzelbeträge!$D:$D,Einzelbeträge!$C:$C,'Ausgaben 2026'!$C289)</f>
        <v>0</v>
      </c>
      <c r="E289" s="21">
        <f>SUMIFS(Einzelbeträge!$D:$D,Einzelbeträge!$C:$C,'Ausgaben 2026'!$C289,Einzelbeträge!$E:$E,'Ausgaben 2026'!E$6)</f>
        <v>0</v>
      </c>
      <c r="F289" s="21">
        <f>SUMIFS(Einzelbeträge!$D:$D,Einzelbeträge!$C:$C,'Ausgaben 2026'!$C289,Einzelbeträge!$E:$E,'Ausgaben 2026'!F$6)</f>
        <v>0</v>
      </c>
      <c r="G289" s="21">
        <f>SUMIFS(Einzelbeträge!$D:$D,Einzelbeträge!$C:$C,'Ausgaben 2026'!$C289,Einzelbeträge!$E:$E,'Ausgaben 2026'!G$6)</f>
        <v>0</v>
      </c>
      <c r="H289" s="21">
        <f>SUMIFS(Einzelbeträge!$D:$D,Einzelbeträge!$C:$C,'Ausgaben 2026'!$C289,Einzelbeträge!$E:$E,'Ausgaben 2026'!H$6)</f>
        <v>0</v>
      </c>
      <c r="I289" s="21">
        <f>SUMIFS(Einzelbeträge!$D:$D,Einzelbeträge!$C:$C,'Ausgaben 2026'!$C289,Einzelbeträge!$E:$E,'Ausgaben 2026'!I$6)</f>
        <v>0</v>
      </c>
      <c r="J289" s="21">
        <f>SUMIFS(Einzelbeträge!$D:$D,Einzelbeträge!$C:$C,'Ausgaben 2026'!$C289,Einzelbeträge!$E:$E,'Ausgaben 2026'!J$6)</f>
        <v>0</v>
      </c>
      <c r="K289" s="21">
        <f>SUMIFS(Einzelbeträge!$D:$D,Einzelbeträge!$C:$C,'Ausgaben 2026'!$C289,Einzelbeträge!$E:$E,'Ausgaben 2026'!K$6)</f>
        <v>0</v>
      </c>
      <c r="L289" s="21">
        <f>SUMIFS(Einzelbeträge!$D:$D,Einzelbeträge!$C:$C,'Ausgaben 2026'!$C289,Einzelbeträge!$E:$E,'Ausgaben 2026'!L$6)</f>
        <v>0</v>
      </c>
      <c r="M289" s="21">
        <f>SUMIFS(Einzelbeträge!$D:$D,Einzelbeträge!$C:$C,'Ausgaben 2026'!$C289,Einzelbeträge!$E:$E,'Ausgaben 2026'!M$6)</f>
        <v>0</v>
      </c>
      <c r="N289" s="35">
        <f>SUMIFS(Einzelbeträge!$D:$D,Einzelbeträge!$C:$C,'Ausgaben 2026'!$C289,Einzelbeträge!$E:$E,'Ausgaben 2026'!N$6)</f>
        <v>0</v>
      </c>
      <c r="O289" s="6"/>
    </row>
    <row r="290" spans="2:15" x14ac:dyDescent="0.35">
      <c r="B290" s="5"/>
      <c r="C290" s="30">
        <f t="shared" si="24"/>
        <v>46281</v>
      </c>
      <c r="D290" s="46">
        <f>SUMIFS(Einzelbeträge!$D:$D,Einzelbeträge!$C:$C,'Ausgaben 2026'!$C290)</f>
        <v>0</v>
      </c>
      <c r="E290" s="21">
        <f>SUMIFS(Einzelbeträge!$D:$D,Einzelbeträge!$C:$C,'Ausgaben 2026'!$C290,Einzelbeträge!$E:$E,'Ausgaben 2026'!E$6)</f>
        <v>0</v>
      </c>
      <c r="F290" s="21">
        <f>SUMIFS(Einzelbeträge!$D:$D,Einzelbeträge!$C:$C,'Ausgaben 2026'!$C290,Einzelbeträge!$E:$E,'Ausgaben 2026'!F$6)</f>
        <v>0</v>
      </c>
      <c r="G290" s="21">
        <f>SUMIFS(Einzelbeträge!$D:$D,Einzelbeträge!$C:$C,'Ausgaben 2026'!$C290,Einzelbeträge!$E:$E,'Ausgaben 2026'!G$6)</f>
        <v>0</v>
      </c>
      <c r="H290" s="21">
        <f>SUMIFS(Einzelbeträge!$D:$D,Einzelbeträge!$C:$C,'Ausgaben 2026'!$C290,Einzelbeträge!$E:$E,'Ausgaben 2026'!H$6)</f>
        <v>0</v>
      </c>
      <c r="I290" s="21">
        <f>SUMIFS(Einzelbeträge!$D:$D,Einzelbeträge!$C:$C,'Ausgaben 2026'!$C290,Einzelbeträge!$E:$E,'Ausgaben 2026'!I$6)</f>
        <v>0</v>
      </c>
      <c r="J290" s="21">
        <f>SUMIFS(Einzelbeträge!$D:$D,Einzelbeträge!$C:$C,'Ausgaben 2026'!$C290,Einzelbeträge!$E:$E,'Ausgaben 2026'!J$6)</f>
        <v>0</v>
      </c>
      <c r="K290" s="21">
        <f>SUMIFS(Einzelbeträge!$D:$D,Einzelbeträge!$C:$C,'Ausgaben 2026'!$C290,Einzelbeträge!$E:$E,'Ausgaben 2026'!K$6)</f>
        <v>0</v>
      </c>
      <c r="L290" s="21">
        <f>SUMIFS(Einzelbeträge!$D:$D,Einzelbeträge!$C:$C,'Ausgaben 2026'!$C290,Einzelbeträge!$E:$E,'Ausgaben 2026'!L$6)</f>
        <v>0</v>
      </c>
      <c r="M290" s="21">
        <f>SUMIFS(Einzelbeträge!$D:$D,Einzelbeträge!$C:$C,'Ausgaben 2026'!$C290,Einzelbeträge!$E:$E,'Ausgaben 2026'!M$6)</f>
        <v>0</v>
      </c>
      <c r="N290" s="35">
        <f>SUMIFS(Einzelbeträge!$D:$D,Einzelbeträge!$C:$C,'Ausgaben 2026'!$C290,Einzelbeträge!$E:$E,'Ausgaben 2026'!N$6)</f>
        <v>0</v>
      </c>
      <c r="O290" s="6"/>
    </row>
    <row r="291" spans="2:15" x14ac:dyDescent="0.35">
      <c r="B291" s="5"/>
      <c r="C291" s="30">
        <f t="shared" si="24"/>
        <v>46282</v>
      </c>
      <c r="D291" s="46">
        <f>SUMIFS(Einzelbeträge!$D:$D,Einzelbeträge!$C:$C,'Ausgaben 2026'!$C291)</f>
        <v>0</v>
      </c>
      <c r="E291" s="21">
        <f>SUMIFS(Einzelbeträge!$D:$D,Einzelbeträge!$C:$C,'Ausgaben 2026'!$C291,Einzelbeträge!$E:$E,'Ausgaben 2026'!E$6)</f>
        <v>0</v>
      </c>
      <c r="F291" s="21">
        <f>SUMIFS(Einzelbeträge!$D:$D,Einzelbeträge!$C:$C,'Ausgaben 2026'!$C291,Einzelbeträge!$E:$E,'Ausgaben 2026'!F$6)</f>
        <v>0</v>
      </c>
      <c r="G291" s="21">
        <f>SUMIFS(Einzelbeträge!$D:$D,Einzelbeträge!$C:$C,'Ausgaben 2026'!$C291,Einzelbeträge!$E:$E,'Ausgaben 2026'!G$6)</f>
        <v>0</v>
      </c>
      <c r="H291" s="21">
        <f>SUMIFS(Einzelbeträge!$D:$D,Einzelbeträge!$C:$C,'Ausgaben 2026'!$C291,Einzelbeträge!$E:$E,'Ausgaben 2026'!H$6)</f>
        <v>0</v>
      </c>
      <c r="I291" s="21">
        <f>SUMIFS(Einzelbeträge!$D:$D,Einzelbeträge!$C:$C,'Ausgaben 2026'!$C291,Einzelbeträge!$E:$E,'Ausgaben 2026'!I$6)</f>
        <v>0</v>
      </c>
      <c r="J291" s="21">
        <f>SUMIFS(Einzelbeträge!$D:$D,Einzelbeträge!$C:$C,'Ausgaben 2026'!$C291,Einzelbeträge!$E:$E,'Ausgaben 2026'!J$6)</f>
        <v>0</v>
      </c>
      <c r="K291" s="21">
        <f>SUMIFS(Einzelbeträge!$D:$D,Einzelbeträge!$C:$C,'Ausgaben 2026'!$C291,Einzelbeträge!$E:$E,'Ausgaben 2026'!K$6)</f>
        <v>0</v>
      </c>
      <c r="L291" s="21">
        <f>SUMIFS(Einzelbeträge!$D:$D,Einzelbeträge!$C:$C,'Ausgaben 2026'!$C291,Einzelbeträge!$E:$E,'Ausgaben 2026'!L$6)</f>
        <v>0</v>
      </c>
      <c r="M291" s="21">
        <f>SUMIFS(Einzelbeträge!$D:$D,Einzelbeträge!$C:$C,'Ausgaben 2026'!$C291,Einzelbeträge!$E:$E,'Ausgaben 2026'!M$6)</f>
        <v>0</v>
      </c>
      <c r="N291" s="35">
        <f>SUMIFS(Einzelbeträge!$D:$D,Einzelbeträge!$C:$C,'Ausgaben 2026'!$C291,Einzelbeträge!$E:$E,'Ausgaben 2026'!N$6)</f>
        <v>0</v>
      </c>
      <c r="O291" s="6"/>
    </row>
    <row r="292" spans="2:15" x14ac:dyDescent="0.35">
      <c r="B292" s="5"/>
      <c r="C292" s="30">
        <f t="shared" si="24"/>
        <v>46283</v>
      </c>
      <c r="D292" s="46">
        <f>SUMIFS(Einzelbeträge!$D:$D,Einzelbeträge!$C:$C,'Ausgaben 2026'!$C292)</f>
        <v>0</v>
      </c>
      <c r="E292" s="21">
        <f>SUMIFS(Einzelbeträge!$D:$D,Einzelbeträge!$C:$C,'Ausgaben 2026'!$C292,Einzelbeträge!$E:$E,'Ausgaben 2026'!E$6)</f>
        <v>0</v>
      </c>
      <c r="F292" s="21">
        <f>SUMIFS(Einzelbeträge!$D:$D,Einzelbeträge!$C:$C,'Ausgaben 2026'!$C292,Einzelbeträge!$E:$E,'Ausgaben 2026'!F$6)</f>
        <v>0</v>
      </c>
      <c r="G292" s="21">
        <f>SUMIFS(Einzelbeträge!$D:$D,Einzelbeträge!$C:$C,'Ausgaben 2026'!$C292,Einzelbeträge!$E:$E,'Ausgaben 2026'!G$6)</f>
        <v>0</v>
      </c>
      <c r="H292" s="21">
        <f>SUMIFS(Einzelbeträge!$D:$D,Einzelbeträge!$C:$C,'Ausgaben 2026'!$C292,Einzelbeträge!$E:$E,'Ausgaben 2026'!H$6)</f>
        <v>0</v>
      </c>
      <c r="I292" s="21">
        <f>SUMIFS(Einzelbeträge!$D:$D,Einzelbeträge!$C:$C,'Ausgaben 2026'!$C292,Einzelbeträge!$E:$E,'Ausgaben 2026'!I$6)</f>
        <v>0</v>
      </c>
      <c r="J292" s="21">
        <f>SUMIFS(Einzelbeträge!$D:$D,Einzelbeträge!$C:$C,'Ausgaben 2026'!$C292,Einzelbeträge!$E:$E,'Ausgaben 2026'!J$6)</f>
        <v>0</v>
      </c>
      <c r="K292" s="21">
        <f>SUMIFS(Einzelbeträge!$D:$D,Einzelbeträge!$C:$C,'Ausgaben 2026'!$C292,Einzelbeträge!$E:$E,'Ausgaben 2026'!K$6)</f>
        <v>0</v>
      </c>
      <c r="L292" s="21">
        <f>SUMIFS(Einzelbeträge!$D:$D,Einzelbeträge!$C:$C,'Ausgaben 2026'!$C292,Einzelbeträge!$E:$E,'Ausgaben 2026'!L$6)</f>
        <v>0</v>
      </c>
      <c r="M292" s="21">
        <f>SUMIFS(Einzelbeträge!$D:$D,Einzelbeträge!$C:$C,'Ausgaben 2026'!$C292,Einzelbeträge!$E:$E,'Ausgaben 2026'!M$6)</f>
        <v>0</v>
      </c>
      <c r="N292" s="35">
        <f>SUMIFS(Einzelbeträge!$D:$D,Einzelbeträge!$C:$C,'Ausgaben 2026'!$C292,Einzelbeträge!$E:$E,'Ausgaben 2026'!N$6)</f>
        <v>0</v>
      </c>
      <c r="O292" s="6"/>
    </row>
    <row r="293" spans="2:15" x14ac:dyDescent="0.35">
      <c r="B293" s="5"/>
      <c r="C293" s="30">
        <f t="shared" si="24"/>
        <v>46284</v>
      </c>
      <c r="D293" s="46">
        <f>SUMIFS(Einzelbeträge!$D:$D,Einzelbeträge!$C:$C,'Ausgaben 2026'!$C293)</f>
        <v>0</v>
      </c>
      <c r="E293" s="21">
        <f>SUMIFS(Einzelbeträge!$D:$D,Einzelbeträge!$C:$C,'Ausgaben 2026'!$C293,Einzelbeträge!$E:$E,'Ausgaben 2026'!E$6)</f>
        <v>0</v>
      </c>
      <c r="F293" s="21">
        <f>SUMIFS(Einzelbeträge!$D:$D,Einzelbeträge!$C:$C,'Ausgaben 2026'!$C293,Einzelbeträge!$E:$E,'Ausgaben 2026'!F$6)</f>
        <v>0</v>
      </c>
      <c r="G293" s="21">
        <f>SUMIFS(Einzelbeträge!$D:$D,Einzelbeträge!$C:$C,'Ausgaben 2026'!$C293,Einzelbeträge!$E:$E,'Ausgaben 2026'!G$6)</f>
        <v>0</v>
      </c>
      <c r="H293" s="21">
        <f>SUMIFS(Einzelbeträge!$D:$D,Einzelbeträge!$C:$C,'Ausgaben 2026'!$C293,Einzelbeträge!$E:$E,'Ausgaben 2026'!H$6)</f>
        <v>0</v>
      </c>
      <c r="I293" s="21">
        <f>SUMIFS(Einzelbeträge!$D:$D,Einzelbeträge!$C:$C,'Ausgaben 2026'!$C293,Einzelbeträge!$E:$E,'Ausgaben 2026'!I$6)</f>
        <v>0</v>
      </c>
      <c r="J293" s="21">
        <f>SUMIFS(Einzelbeträge!$D:$D,Einzelbeträge!$C:$C,'Ausgaben 2026'!$C293,Einzelbeträge!$E:$E,'Ausgaben 2026'!J$6)</f>
        <v>0</v>
      </c>
      <c r="K293" s="21">
        <f>SUMIFS(Einzelbeträge!$D:$D,Einzelbeträge!$C:$C,'Ausgaben 2026'!$C293,Einzelbeträge!$E:$E,'Ausgaben 2026'!K$6)</f>
        <v>0</v>
      </c>
      <c r="L293" s="21">
        <f>SUMIFS(Einzelbeträge!$D:$D,Einzelbeträge!$C:$C,'Ausgaben 2026'!$C293,Einzelbeträge!$E:$E,'Ausgaben 2026'!L$6)</f>
        <v>0</v>
      </c>
      <c r="M293" s="21">
        <f>SUMIFS(Einzelbeträge!$D:$D,Einzelbeträge!$C:$C,'Ausgaben 2026'!$C293,Einzelbeträge!$E:$E,'Ausgaben 2026'!M$6)</f>
        <v>0</v>
      </c>
      <c r="N293" s="35">
        <f>SUMIFS(Einzelbeträge!$D:$D,Einzelbeträge!$C:$C,'Ausgaben 2026'!$C293,Einzelbeträge!$E:$E,'Ausgaben 2026'!N$6)</f>
        <v>0</v>
      </c>
      <c r="O293" s="6"/>
    </row>
    <row r="294" spans="2:15" x14ac:dyDescent="0.35">
      <c r="B294" s="5"/>
      <c r="C294" s="30">
        <f t="shared" si="24"/>
        <v>46285</v>
      </c>
      <c r="D294" s="46">
        <f>SUMIFS(Einzelbeträge!$D:$D,Einzelbeträge!$C:$C,'Ausgaben 2026'!$C294)</f>
        <v>0</v>
      </c>
      <c r="E294" s="21">
        <f>SUMIFS(Einzelbeträge!$D:$D,Einzelbeträge!$C:$C,'Ausgaben 2026'!$C294,Einzelbeträge!$E:$E,'Ausgaben 2026'!E$6)</f>
        <v>0</v>
      </c>
      <c r="F294" s="21">
        <f>SUMIFS(Einzelbeträge!$D:$D,Einzelbeträge!$C:$C,'Ausgaben 2026'!$C294,Einzelbeträge!$E:$E,'Ausgaben 2026'!F$6)</f>
        <v>0</v>
      </c>
      <c r="G294" s="21">
        <f>SUMIFS(Einzelbeträge!$D:$D,Einzelbeträge!$C:$C,'Ausgaben 2026'!$C294,Einzelbeträge!$E:$E,'Ausgaben 2026'!G$6)</f>
        <v>0</v>
      </c>
      <c r="H294" s="21">
        <f>SUMIFS(Einzelbeträge!$D:$D,Einzelbeträge!$C:$C,'Ausgaben 2026'!$C294,Einzelbeträge!$E:$E,'Ausgaben 2026'!H$6)</f>
        <v>0</v>
      </c>
      <c r="I294" s="21">
        <f>SUMIFS(Einzelbeträge!$D:$D,Einzelbeträge!$C:$C,'Ausgaben 2026'!$C294,Einzelbeträge!$E:$E,'Ausgaben 2026'!I$6)</f>
        <v>0</v>
      </c>
      <c r="J294" s="21">
        <f>SUMIFS(Einzelbeträge!$D:$D,Einzelbeträge!$C:$C,'Ausgaben 2026'!$C294,Einzelbeträge!$E:$E,'Ausgaben 2026'!J$6)</f>
        <v>0</v>
      </c>
      <c r="K294" s="21">
        <f>SUMIFS(Einzelbeträge!$D:$D,Einzelbeträge!$C:$C,'Ausgaben 2026'!$C294,Einzelbeträge!$E:$E,'Ausgaben 2026'!K$6)</f>
        <v>0</v>
      </c>
      <c r="L294" s="21">
        <f>SUMIFS(Einzelbeträge!$D:$D,Einzelbeträge!$C:$C,'Ausgaben 2026'!$C294,Einzelbeträge!$E:$E,'Ausgaben 2026'!L$6)</f>
        <v>0</v>
      </c>
      <c r="M294" s="21">
        <f>SUMIFS(Einzelbeträge!$D:$D,Einzelbeträge!$C:$C,'Ausgaben 2026'!$C294,Einzelbeträge!$E:$E,'Ausgaben 2026'!M$6)</f>
        <v>0</v>
      </c>
      <c r="N294" s="35">
        <f>SUMIFS(Einzelbeträge!$D:$D,Einzelbeträge!$C:$C,'Ausgaben 2026'!$C294,Einzelbeträge!$E:$E,'Ausgaben 2026'!N$6)</f>
        <v>0</v>
      </c>
      <c r="O294" s="6"/>
    </row>
    <row r="295" spans="2:15" x14ac:dyDescent="0.35">
      <c r="B295" s="5"/>
      <c r="C295" s="30">
        <f t="shared" si="24"/>
        <v>46286</v>
      </c>
      <c r="D295" s="46">
        <f>SUMIFS(Einzelbeträge!$D:$D,Einzelbeträge!$C:$C,'Ausgaben 2026'!$C295)</f>
        <v>0</v>
      </c>
      <c r="E295" s="21">
        <f>SUMIFS(Einzelbeträge!$D:$D,Einzelbeträge!$C:$C,'Ausgaben 2026'!$C295,Einzelbeträge!$E:$E,'Ausgaben 2026'!E$6)</f>
        <v>0</v>
      </c>
      <c r="F295" s="21">
        <f>SUMIFS(Einzelbeträge!$D:$D,Einzelbeträge!$C:$C,'Ausgaben 2026'!$C295,Einzelbeträge!$E:$E,'Ausgaben 2026'!F$6)</f>
        <v>0</v>
      </c>
      <c r="G295" s="21">
        <f>SUMIFS(Einzelbeträge!$D:$D,Einzelbeträge!$C:$C,'Ausgaben 2026'!$C295,Einzelbeträge!$E:$E,'Ausgaben 2026'!G$6)</f>
        <v>0</v>
      </c>
      <c r="H295" s="21">
        <f>SUMIFS(Einzelbeträge!$D:$D,Einzelbeträge!$C:$C,'Ausgaben 2026'!$C295,Einzelbeträge!$E:$E,'Ausgaben 2026'!H$6)</f>
        <v>0</v>
      </c>
      <c r="I295" s="21">
        <f>SUMIFS(Einzelbeträge!$D:$D,Einzelbeträge!$C:$C,'Ausgaben 2026'!$C295,Einzelbeträge!$E:$E,'Ausgaben 2026'!I$6)</f>
        <v>0</v>
      </c>
      <c r="J295" s="21">
        <f>SUMIFS(Einzelbeträge!$D:$D,Einzelbeträge!$C:$C,'Ausgaben 2026'!$C295,Einzelbeträge!$E:$E,'Ausgaben 2026'!J$6)</f>
        <v>0</v>
      </c>
      <c r="K295" s="21">
        <f>SUMIFS(Einzelbeträge!$D:$D,Einzelbeträge!$C:$C,'Ausgaben 2026'!$C295,Einzelbeträge!$E:$E,'Ausgaben 2026'!K$6)</f>
        <v>0</v>
      </c>
      <c r="L295" s="21">
        <f>SUMIFS(Einzelbeträge!$D:$D,Einzelbeträge!$C:$C,'Ausgaben 2026'!$C295,Einzelbeträge!$E:$E,'Ausgaben 2026'!L$6)</f>
        <v>0</v>
      </c>
      <c r="M295" s="21">
        <f>SUMIFS(Einzelbeträge!$D:$D,Einzelbeträge!$C:$C,'Ausgaben 2026'!$C295,Einzelbeträge!$E:$E,'Ausgaben 2026'!M$6)</f>
        <v>0</v>
      </c>
      <c r="N295" s="35">
        <f>SUMIFS(Einzelbeträge!$D:$D,Einzelbeträge!$C:$C,'Ausgaben 2026'!$C295,Einzelbeträge!$E:$E,'Ausgaben 2026'!N$6)</f>
        <v>0</v>
      </c>
      <c r="O295" s="6"/>
    </row>
    <row r="296" spans="2:15" x14ac:dyDescent="0.35">
      <c r="B296" s="5"/>
      <c r="C296" s="30">
        <f t="shared" si="24"/>
        <v>46287</v>
      </c>
      <c r="D296" s="46">
        <f>SUMIFS(Einzelbeträge!$D:$D,Einzelbeträge!$C:$C,'Ausgaben 2026'!$C296)</f>
        <v>0</v>
      </c>
      <c r="E296" s="21">
        <f>SUMIFS(Einzelbeträge!$D:$D,Einzelbeträge!$C:$C,'Ausgaben 2026'!$C296,Einzelbeträge!$E:$E,'Ausgaben 2026'!E$6)</f>
        <v>0</v>
      </c>
      <c r="F296" s="21">
        <f>SUMIFS(Einzelbeträge!$D:$D,Einzelbeträge!$C:$C,'Ausgaben 2026'!$C296,Einzelbeträge!$E:$E,'Ausgaben 2026'!F$6)</f>
        <v>0</v>
      </c>
      <c r="G296" s="21">
        <f>SUMIFS(Einzelbeträge!$D:$D,Einzelbeträge!$C:$C,'Ausgaben 2026'!$C296,Einzelbeträge!$E:$E,'Ausgaben 2026'!G$6)</f>
        <v>0</v>
      </c>
      <c r="H296" s="21">
        <f>SUMIFS(Einzelbeträge!$D:$D,Einzelbeträge!$C:$C,'Ausgaben 2026'!$C296,Einzelbeträge!$E:$E,'Ausgaben 2026'!H$6)</f>
        <v>0</v>
      </c>
      <c r="I296" s="21">
        <f>SUMIFS(Einzelbeträge!$D:$D,Einzelbeträge!$C:$C,'Ausgaben 2026'!$C296,Einzelbeträge!$E:$E,'Ausgaben 2026'!I$6)</f>
        <v>0</v>
      </c>
      <c r="J296" s="21">
        <f>SUMIFS(Einzelbeträge!$D:$D,Einzelbeträge!$C:$C,'Ausgaben 2026'!$C296,Einzelbeträge!$E:$E,'Ausgaben 2026'!J$6)</f>
        <v>0</v>
      </c>
      <c r="K296" s="21">
        <f>SUMIFS(Einzelbeträge!$D:$D,Einzelbeträge!$C:$C,'Ausgaben 2026'!$C296,Einzelbeträge!$E:$E,'Ausgaben 2026'!K$6)</f>
        <v>0</v>
      </c>
      <c r="L296" s="21">
        <f>SUMIFS(Einzelbeträge!$D:$D,Einzelbeträge!$C:$C,'Ausgaben 2026'!$C296,Einzelbeträge!$E:$E,'Ausgaben 2026'!L$6)</f>
        <v>0</v>
      </c>
      <c r="M296" s="21">
        <f>SUMIFS(Einzelbeträge!$D:$D,Einzelbeträge!$C:$C,'Ausgaben 2026'!$C296,Einzelbeträge!$E:$E,'Ausgaben 2026'!M$6)</f>
        <v>0</v>
      </c>
      <c r="N296" s="35">
        <f>SUMIFS(Einzelbeträge!$D:$D,Einzelbeträge!$C:$C,'Ausgaben 2026'!$C296,Einzelbeträge!$E:$E,'Ausgaben 2026'!N$6)</f>
        <v>0</v>
      </c>
      <c r="O296" s="6"/>
    </row>
    <row r="297" spans="2:15" x14ac:dyDescent="0.35">
      <c r="B297" s="5"/>
      <c r="C297" s="30">
        <f t="shared" si="24"/>
        <v>46288</v>
      </c>
      <c r="D297" s="46">
        <f>SUMIFS(Einzelbeträge!$D:$D,Einzelbeträge!$C:$C,'Ausgaben 2026'!$C297)</f>
        <v>0</v>
      </c>
      <c r="E297" s="21">
        <f>SUMIFS(Einzelbeträge!$D:$D,Einzelbeträge!$C:$C,'Ausgaben 2026'!$C297,Einzelbeträge!$E:$E,'Ausgaben 2026'!E$6)</f>
        <v>0</v>
      </c>
      <c r="F297" s="21">
        <f>SUMIFS(Einzelbeträge!$D:$D,Einzelbeträge!$C:$C,'Ausgaben 2026'!$C297,Einzelbeträge!$E:$E,'Ausgaben 2026'!F$6)</f>
        <v>0</v>
      </c>
      <c r="G297" s="21">
        <f>SUMIFS(Einzelbeträge!$D:$D,Einzelbeträge!$C:$C,'Ausgaben 2026'!$C297,Einzelbeträge!$E:$E,'Ausgaben 2026'!G$6)</f>
        <v>0</v>
      </c>
      <c r="H297" s="21">
        <f>SUMIFS(Einzelbeträge!$D:$D,Einzelbeträge!$C:$C,'Ausgaben 2026'!$C297,Einzelbeträge!$E:$E,'Ausgaben 2026'!H$6)</f>
        <v>0</v>
      </c>
      <c r="I297" s="21">
        <f>SUMIFS(Einzelbeträge!$D:$D,Einzelbeträge!$C:$C,'Ausgaben 2026'!$C297,Einzelbeträge!$E:$E,'Ausgaben 2026'!I$6)</f>
        <v>0</v>
      </c>
      <c r="J297" s="21">
        <f>SUMIFS(Einzelbeträge!$D:$D,Einzelbeträge!$C:$C,'Ausgaben 2026'!$C297,Einzelbeträge!$E:$E,'Ausgaben 2026'!J$6)</f>
        <v>0</v>
      </c>
      <c r="K297" s="21">
        <f>SUMIFS(Einzelbeträge!$D:$D,Einzelbeträge!$C:$C,'Ausgaben 2026'!$C297,Einzelbeträge!$E:$E,'Ausgaben 2026'!K$6)</f>
        <v>0</v>
      </c>
      <c r="L297" s="21">
        <f>SUMIFS(Einzelbeträge!$D:$D,Einzelbeträge!$C:$C,'Ausgaben 2026'!$C297,Einzelbeträge!$E:$E,'Ausgaben 2026'!L$6)</f>
        <v>0</v>
      </c>
      <c r="M297" s="21">
        <f>SUMIFS(Einzelbeträge!$D:$D,Einzelbeträge!$C:$C,'Ausgaben 2026'!$C297,Einzelbeträge!$E:$E,'Ausgaben 2026'!M$6)</f>
        <v>0</v>
      </c>
      <c r="N297" s="35">
        <f>SUMIFS(Einzelbeträge!$D:$D,Einzelbeträge!$C:$C,'Ausgaben 2026'!$C297,Einzelbeträge!$E:$E,'Ausgaben 2026'!N$6)</f>
        <v>0</v>
      </c>
      <c r="O297" s="6"/>
    </row>
    <row r="298" spans="2:15" x14ac:dyDescent="0.35">
      <c r="B298" s="5"/>
      <c r="C298" s="30">
        <f t="shared" si="24"/>
        <v>46289</v>
      </c>
      <c r="D298" s="46">
        <f>SUMIFS(Einzelbeträge!$D:$D,Einzelbeträge!$C:$C,'Ausgaben 2026'!$C298)</f>
        <v>0</v>
      </c>
      <c r="E298" s="21">
        <f>SUMIFS(Einzelbeträge!$D:$D,Einzelbeträge!$C:$C,'Ausgaben 2026'!$C298,Einzelbeträge!$E:$E,'Ausgaben 2026'!E$6)</f>
        <v>0</v>
      </c>
      <c r="F298" s="21">
        <f>SUMIFS(Einzelbeträge!$D:$D,Einzelbeträge!$C:$C,'Ausgaben 2026'!$C298,Einzelbeträge!$E:$E,'Ausgaben 2026'!F$6)</f>
        <v>0</v>
      </c>
      <c r="G298" s="21">
        <f>SUMIFS(Einzelbeträge!$D:$D,Einzelbeträge!$C:$C,'Ausgaben 2026'!$C298,Einzelbeträge!$E:$E,'Ausgaben 2026'!G$6)</f>
        <v>0</v>
      </c>
      <c r="H298" s="21">
        <f>SUMIFS(Einzelbeträge!$D:$D,Einzelbeträge!$C:$C,'Ausgaben 2026'!$C298,Einzelbeträge!$E:$E,'Ausgaben 2026'!H$6)</f>
        <v>0</v>
      </c>
      <c r="I298" s="21">
        <f>SUMIFS(Einzelbeträge!$D:$D,Einzelbeträge!$C:$C,'Ausgaben 2026'!$C298,Einzelbeträge!$E:$E,'Ausgaben 2026'!I$6)</f>
        <v>0</v>
      </c>
      <c r="J298" s="21">
        <f>SUMIFS(Einzelbeträge!$D:$D,Einzelbeträge!$C:$C,'Ausgaben 2026'!$C298,Einzelbeträge!$E:$E,'Ausgaben 2026'!J$6)</f>
        <v>0</v>
      </c>
      <c r="K298" s="21">
        <f>SUMIFS(Einzelbeträge!$D:$D,Einzelbeträge!$C:$C,'Ausgaben 2026'!$C298,Einzelbeträge!$E:$E,'Ausgaben 2026'!K$6)</f>
        <v>0</v>
      </c>
      <c r="L298" s="21">
        <f>SUMIFS(Einzelbeträge!$D:$D,Einzelbeträge!$C:$C,'Ausgaben 2026'!$C298,Einzelbeträge!$E:$E,'Ausgaben 2026'!L$6)</f>
        <v>0</v>
      </c>
      <c r="M298" s="21">
        <f>SUMIFS(Einzelbeträge!$D:$D,Einzelbeträge!$C:$C,'Ausgaben 2026'!$C298,Einzelbeträge!$E:$E,'Ausgaben 2026'!M$6)</f>
        <v>0</v>
      </c>
      <c r="N298" s="35">
        <f>SUMIFS(Einzelbeträge!$D:$D,Einzelbeträge!$C:$C,'Ausgaben 2026'!$C298,Einzelbeträge!$E:$E,'Ausgaben 2026'!N$6)</f>
        <v>0</v>
      </c>
      <c r="O298" s="6"/>
    </row>
    <row r="299" spans="2:15" x14ac:dyDescent="0.35">
      <c r="B299" s="5"/>
      <c r="C299" s="30">
        <f t="shared" si="24"/>
        <v>46290</v>
      </c>
      <c r="D299" s="46">
        <f>SUMIFS(Einzelbeträge!$D:$D,Einzelbeträge!$C:$C,'Ausgaben 2026'!$C299)</f>
        <v>0</v>
      </c>
      <c r="E299" s="21">
        <f>SUMIFS(Einzelbeträge!$D:$D,Einzelbeträge!$C:$C,'Ausgaben 2026'!$C299,Einzelbeträge!$E:$E,'Ausgaben 2026'!E$6)</f>
        <v>0</v>
      </c>
      <c r="F299" s="21">
        <f>SUMIFS(Einzelbeträge!$D:$D,Einzelbeträge!$C:$C,'Ausgaben 2026'!$C299,Einzelbeträge!$E:$E,'Ausgaben 2026'!F$6)</f>
        <v>0</v>
      </c>
      <c r="G299" s="21">
        <f>SUMIFS(Einzelbeträge!$D:$D,Einzelbeträge!$C:$C,'Ausgaben 2026'!$C299,Einzelbeträge!$E:$E,'Ausgaben 2026'!G$6)</f>
        <v>0</v>
      </c>
      <c r="H299" s="21">
        <f>SUMIFS(Einzelbeträge!$D:$D,Einzelbeträge!$C:$C,'Ausgaben 2026'!$C299,Einzelbeträge!$E:$E,'Ausgaben 2026'!H$6)</f>
        <v>0</v>
      </c>
      <c r="I299" s="21">
        <f>SUMIFS(Einzelbeträge!$D:$D,Einzelbeträge!$C:$C,'Ausgaben 2026'!$C299,Einzelbeträge!$E:$E,'Ausgaben 2026'!I$6)</f>
        <v>0</v>
      </c>
      <c r="J299" s="21">
        <f>SUMIFS(Einzelbeträge!$D:$D,Einzelbeträge!$C:$C,'Ausgaben 2026'!$C299,Einzelbeträge!$E:$E,'Ausgaben 2026'!J$6)</f>
        <v>0</v>
      </c>
      <c r="K299" s="21">
        <f>SUMIFS(Einzelbeträge!$D:$D,Einzelbeträge!$C:$C,'Ausgaben 2026'!$C299,Einzelbeträge!$E:$E,'Ausgaben 2026'!K$6)</f>
        <v>0</v>
      </c>
      <c r="L299" s="21">
        <f>SUMIFS(Einzelbeträge!$D:$D,Einzelbeträge!$C:$C,'Ausgaben 2026'!$C299,Einzelbeträge!$E:$E,'Ausgaben 2026'!L$6)</f>
        <v>0</v>
      </c>
      <c r="M299" s="21">
        <f>SUMIFS(Einzelbeträge!$D:$D,Einzelbeträge!$C:$C,'Ausgaben 2026'!$C299,Einzelbeträge!$E:$E,'Ausgaben 2026'!M$6)</f>
        <v>0</v>
      </c>
      <c r="N299" s="35">
        <f>SUMIFS(Einzelbeträge!$D:$D,Einzelbeträge!$C:$C,'Ausgaben 2026'!$C299,Einzelbeträge!$E:$E,'Ausgaben 2026'!N$6)</f>
        <v>0</v>
      </c>
      <c r="O299" s="6"/>
    </row>
    <row r="300" spans="2:15" x14ac:dyDescent="0.35">
      <c r="B300" s="5"/>
      <c r="C300" s="30">
        <f t="shared" si="24"/>
        <v>46291</v>
      </c>
      <c r="D300" s="46">
        <f>SUMIFS(Einzelbeträge!$D:$D,Einzelbeträge!$C:$C,'Ausgaben 2026'!$C300)</f>
        <v>0</v>
      </c>
      <c r="E300" s="21">
        <f>SUMIFS(Einzelbeträge!$D:$D,Einzelbeträge!$C:$C,'Ausgaben 2026'!$C300,Einzelbeträge!$E:$E,'Ausgaben 2026'!E$6)</f>
        <v>0</v>
      </c>
      <c r="F300" s="21">
        <f>SUMIFS(Einzelbeträge!$D:$D,Einzelbeträge!$C:$C,'Ausgaben 2026'!$C300,Einzelbeträge!$E:$E,'Ausgaben 2026'!F$6)</f>
        <v>0</v>
      </c>
      <c r="G300" s="21">
        <f>SUMIFS(Einzelbeträge!$D:$D,Einzelbeträge!$C:$C,'Ausgaben 2026'!$C300,Einzelbeträge!$E:$E,'Ausgaben 2026'!G$6)</f>
        <v>0</v>
      </c>
      <c r="H300" s="21">
        <f>SUMIFS(Einzelbeträge!$D:$D,Einzelbeträge!$C:$C,'Ausgaben 2026'!$C300,Einzelbeträge!$E:$E,'Ausgaben 2026'!H$6)</f>
        <v>0</v>
      </c>
      <c r="I300" s="21">
        <f>SUMIFS(Einzelbeträge!$D:$D,Einzelbeträge!$C:$C,'Ausgaben 2026'!$C300,Einzelbeträge!$E:$E,'Ausgaben 2026'!I$6)</f>
        <v>0</v>
      </c>
      <c r="J300" s="21">
        <f>SUMIFS(Einzelbeträge!$D:$D,Einzelbeträge!$C:$C,'Ausgaben 2026'!$C300,Einzelbeträge!$E:$E,'Ausgaben 2026'!J$6)</f>
        <v>0</v>
      </c>
      <c r="K300" s="21">
        <f>SUMIFS(Einzelbeträge!$D:$D,Einzelbeträge!$C:$C,'Ausgaben 2026'!$C300,Einzelbeträge!$E:$E,'Ausgaben 2026'!K$6)</f>
        <v>0</v>
      </c>
      <c r="L300" s="21">
        <f>SUMIFS(Einzelbeträge!$D:$D,Einzelbeträge!$C:$C,'Ausgaben 2026'!$C300,Einzelbeträge!$E:$E,'Ausgaben 2026'!L$6)</f>
        <v>0</v>
      </c>
      <c r="M300" s="21">
        <f>SUMIFS(Einzelbeträge!$D:$D,Einzelbeträge!$C:$C,'Ausgaben 2026'!$C300,Einzelbeträge!$E:$E,'Ausgaben 2026'!M$6)</f>
        <v>0</v>
      </c>
      <c r="N300" s="35">
        <f>SUMIFS(Einzelbeträge!$D:$D,Einzelbeträge!$C:$C,'Ausgaben 2026'!$C300,Einzelbeträge!$E:$E,'Ausgaben 2026'!N$6)</f>
        <v>0</v>
      </c>
      <c r="O300" s="6"/>
    </row>
    <row r="301" spans="2:15" x14ac:dyDescent="0.35">
      <c r="B301" s="5"/>
      <c r="C301" s="30">
        <f t="shared" si="24"/>
        <v>46292</v>
      </c>
      <c r="D301" s="46">
        <f>SUMIFS(Einzelbeträge!$D:$D,Einzelbeträge!$C:$C,'Ausgaben 2026'!$C301)</f>
        <v>0</v>
      </c>
      <c r="E301" s="21">
        <f>SUMIFS(Einzelbeträge!$D:$D,Einzelbeträge!$C:$C,'Ausgaben 2026'!$C301,Einzelbeträge!$E:$E,'Ausgaben 2026'!E$6)</f>
        <v>0</v>
      </c>
      <c r="F301" s="21">
        <f>SUMIFS(Einzelbeträge!$D:$D,Einzelbeträge!$C:$C,'Ausgaben 2026'!$C301,Einzelbeträge!$E:$E,'Ausgaben 2026'!F$6)</f>
        <v>0</v>
      </c>
      <c r="G301" s="21">
        <f>SUMIFS(Einzelbeträge!$D:$D,Einzelbeträge!$C:$C,'Ausgaben 2026'!$C301,Einzelbeträge!$E:$E,'Ausgaben 2026'!G$6)</f>
        <v>0</v>
      </c>
      <c r="H301" s="21">
        <f>SUMIFS(Einzelbeträge!$D:$D,Einzelbeträge!$C:$C,'Ausgaben 2026'!$C301,Einzelbeträge!$E:$E,'Ausgaben 2026'!H$6)</f>
        <v>0</v>
      </c>
      <c r="I301" s="21">
        <f>SUMIFS(Einzelbeträge!$D:$D,Einzelbeträge!$C:$C,'Ausgaben 2026'!$C301,Einzelbeträge!$E:$E,'Ausgaben 2026'!I$6)</f>
        <v>0</v>
      </c>
      <c r="J301" s="21">
        <f>SUMIFS(Einzelbeträge!$D:$D,Einzelbeträge!$C:$C,'Ausgaben 2026'!$C301,Einzelbeträge!$E:$E,'Ausgaben 2026'!J$6)</f>
        <v>0</v>
      </c>
      <c r="K301" s="21">
        <f>SUMIFS(Einzelbeträge!$D:$D,Einzelbeträge!$C:$C,'Ausgaben 2026'!$C301,Einzelbeträge!$E:$E,'Ausgaben 2026'!K$6)</f>
        <v>0</v>
      </c>
      <c r="L301" s="21">
        <f>SUMIFS(Einzelbeträge!$D:$D,Einzelbeträge!$C:$C,'Ausgaben 2026'!$C301,Einzelbeträge!$E:$E,'Ausgaben 2026'!L$6)</f>
        <v>0</v>
      </c>
      <c r="M301" s="21">
        <f>SUMIFS(Einzelbeträge!$D:$D,Einzelbeträge!$C:$C,'Ausgaben 2026'!$C301,Einzelbeträge!$E:$E,'Ausgaben 2026'!M$6)</f>
        <v>0</v>
      </c>
      <c r="N301" s="35">
        <f>SUMIFS(Einzelbeträge!$D:$D,Einzelbeträge!$C:$C,'Ausgaben 2026'!$C301,Einzelbeträge!$E:$E,'Ausgaben 2026'!N$6)</f>
        <v>0</v>
      </c>
      <c r="O301" s="6"/>
    </row>
    <row r="302" spans="2:15" x14ac:dyDescent="0.35">
      <c r="B302" s="5"/>
      <c r="C302" s="30">
        <f t="shared" si="24"/>
        <v>46293</v>
      </c>
      <c r="D302" s="46">
        <f>SUMIFS(Einzelbeträge!$D:$D,Einzelbeträge!$C:$C,'Ausgaben 2026'!$C302)</f>
        <v>0</v>
      </c>
      <c r="E302" s="21">
        <f>SUMIFS(Einzelbeträge!$D:$D,Einzelbeträge!$C:$C,'Ausgaben 2026'!$C302,Einzelbeträge!$E:$E,'Ausgaben 2026'!E$6)</f>
        <v>0</v>
      </c>
      <c r="F302" s="21">
        <f>SUMIFS(Einzelbeträge!$D:$D,Einzelbeträge!$C:$C,'Ausgaben 2026'!$C302,Einzelbeträge!$E:$E,'Ausgaben 2026'!F$6)</f>
        <v>0</v>
      </c>
      <c r="G302" s="21">
        <f>SUMIFS(Einzelbeträge!$D:$D,Einzelbeträge!$C:$C,'Ausgaben 2026'!$C302,Einzelbeträge!$E:$E,'Ausgaben 2026'!G$6)</f>
        <v>0</v>
      </c>
      <c r="H302" s="21">
        <f>SUMIFS(Einzelbeträge!$D:$D,Einzelbeträge!$C:$C,'Ausgaben 2026'!$C302,Einzelbeträge!$E:$E,'Ausgaben 2026'!H$6)</f>
        <v>0</v>
      </c>
      <c r="I302" s="21">
        <f>SUMIFS(Einzelbeträge!$D:$D,Einzelbeträge!$C:$C,'Ausgaben 2026'!$C302,Einzelbeträge!$E:$E,'Ausgaben 2026'!I$6)</f>
        <v>0</v>
      </c>
      <c r="J302" s="21">
        <f>SUMIFS(Einzelbeträge!$D:$D,Einzelbeträge!$C:$C,'Ausgaben 2026'!$C302,Einzelbeträge!$E:$E,'Ausgaben 2026'!J$6)</f>
        <v>0</v>
      </c>
      <c r="K302" s="21">
        <f>SUMIFS(Einzelbeträge!$D:$D,Einzelbeträge!$C:$C,'Ausgaben 2026'!$C302,Einzelbeträge!$E:$E,'Ausgaben 2026'!K$6)</f>
        <v>0</v>
      </c>
      <c r="L302" s="21">
        <f>SUMIFS(Einzelbeträge!$D:$D,Einzelbeträge!$C:$C,'Ausgaben 2026'!$C302,Einzelbeträge!$E:$E,'Ausgaben 2026'!L$6)</f>
        <v>0</v>
      </c>
      <c r="M302" s="21">
        <f>SUMIFS(Einzelbeträge!$D:$D,Einzelbeträge!$C:$C,'Ausgaben 2026'!$C302,Einzelbeträge!$E:$E,'Ausgaben 2026'!M$6)</f>
        <v>0</v>
      </c>
      <c r="N302" s="35">
        <f>SUMIFS(Einzelbeträge!$D:$D,Einzelbeträge!$C:$C,'Ausgaben 2026'!$C302,Einzelbeträge!$E:$E,'Ausgaben 2026'!N$6)</f>
        <v>0</v>
      </c>
      <c r="O302" s="6"/>
    </row>
    <row r="303" spans="2:15" x14ac:dyDescent="0.35">
      <c r="B303" s="5"/>
      <c r="C303" s="30">
        <f t="shared" si="24"/>
        <v>46294</v>
      </c>
      <c r="D303" s="46">
        <f>SUMIFS(Einzelbeträge!$D:$D,Einzelbeträge!$C:$C,'Ausgaben 2026'!$C303)</f>
        <v>0</v>
      </c>
      <c r="E303" s="21">
        <f>SUMIFS(Einzelbeträge!$D:$D,Einzelbeträge!$C:$C,'Ausgaben 2026'!$C303,Einzelbeträge!$E:$E,'Ausgaben 2026'!E$6)</f>
        <v>0</v>
      </c>
      <c r="F303" s="21">
        <f>SUMIFS(Einzelbeträge!$D:$D,Einzelbeträge!$C:$C,'Ausgaben 2026'!$C303,Einzelbeträge!$E:$E,'Ausgaben 2026'!F$6)</f>
        <v>0</v>
      </c>
      <c r="G303" s="21">
        <f>SUMIFS(Einzelbeträge!$D:$D,Einzelbeträge!$C:$C,'Ausgaben 2026'!$C303,Einzelbeträge!$E:$E,'Ausgaben 2026'!G$6)</f>
        <v>0</v>
      </c>
      <c r="H303" s="21">
        <f>SUMIFS(Einzelbeträge!$D:$D,Einzelbeträge!$C:$C,'Ausgaben 2026'!$C303,Einzelbeträge!$E:$E,'Ausgaben 2026'!H$6)</f>
        <v>0</v>
      </c>
      <c r="I303" s="21">
        <f>SUMIFS(Einzelbeträge!$D:$D,Einzelbeträge!$C:$C,'Ausgaben 2026'!$C303,Einzelbeträge!$E:$E,'Ausgaben 2026'!I$6)</f>
        <v>0</v>
      </c>
      <c r="J303" s="21">
        <f>SUMIFS(Einzelbeträge!$D:$D,Einzelbeträge!$C:$C,'Ausgaben 2026'!$C303,Einzelbeträge!$E:$E,'Ausgaben 2026'!J$6)</f>
        <v>0</v>
      </c>
      <c r="K303" s="21">
        <f>SUMIFS(Einzelbeträge!$D:$D,Einzelbeträge!$C:$C,'Ausgaben 2026'!$C303,Einzelbeträge!$E:$E,'Ausgaben 2026'!K$6)</f>
        <v>0</v>
      </c>
      <c r="L303" s="21">
        <f>SUMIFS(Einzelbeträge!$D:$D,Einzelbeträge!$C:$C,'Ausgaben 2026'!$C303,Einzelbeträge!$E:$E,'Ausgaben 2026'!L$6)</f>
        <v>0</v>
      </c>
      <c r="M303" s="21">
        <f>SUMIFS(Einzelbeträge!$D:$D,Einzelbeträge!$C:$C,'Ausgaben 2026'!$C303,Einzelbeträge!$E:$E,'Ausgaben 2026'!M$6)</f>
        <v>0</v>
      </c>
      <c r="N303" s="35">
        <f>SUMIFS(Einzelbeträge!$D:$D,Einzelbeträge!$C:$C,'Ausgaben 2026'!$C303,Einzelbeträge!$E:$E,'Ausgaben 2026'!N$6)</f>
        <v>0</v>
      </c>
      <c r="O303" s="6"/>
    </row>
    <row r="304" spans="2:15" x14ac:dyDescent="0.35">
      <c r="B304" s="5"/>
      <c r="C304" s="31">
        <f t="shared" si="24"/>
        <v>46295</v>
      </c>
      <c r="D304" s="47">
        <f>SUMIFS(Einzelbeträge!$D:$D,Einzelbeträge!$C:$C,'Ausgaben 2026'!$C304)</f>
        <v>0</v>
      </c>
      <c r="E304" s="37">
        <f>SUMIFS(Einzelbeträge!$D:$D,Einzelbeträge!$C:$C,'Ausgaben 2026'!$C304,Einzelbeträge!$E:$E,'Ausgaben 2026'!E$6)</f>
        <v>0</v>
      </c>
      <c r="F304" s="37">
        <f>SUMIFS(Einzelbeträge!$D:$D,Einzelbeträge!$C:$C,'Ausgaben 2026'!$C304,Einzelbeträge!$E:$E,'Ausgaben 2026'!F$6)</f>
        <v>0</v>
      </c>
      <c r="G304" s="37">
        <f>SUMIFS(Einzelbeträge!$D:$D,Einzelbeträge!$C:$C,'Ausgaben 2026'!$C304,Einzelbeträge!$E:$E,'Ausgaben 2026'!G$6)</f>
        <v>0</v>
      </c>
      <c r="H304" s="37">
        <f>SUMIFS(Einzelbeträge!$D:$D,Einzelbeträge!$C:$C,'Ausgaben 2026'!$C304,Einzelbeträge!$E:$E,'Ausgaben 2026'!H$6)</f>
        <v>0</v>
      </c>
      <c r="I304" s="37">
        <f>SUMIFS(Einzelbeträge!$D:$D,Einzelbeträge!$C:$C,'Ausgaben 2026'!$C304,Einzelbeträge!$E:$E,'Ausgaben 2026'!I$6)</f>
        <v>0</v>
      </c>
      <c r="J304" s="37">
        <f>SUMIFS(Einzelbeträge!$D:$D,Einzelbeträge!$C:$C,'Ausgaben 2026'!$C304,Einzelbeträge!$E:$E,'Ausgaben 2026'!J$6)</f>
        <v>0</v>
      </c>
      <c r="K304" s="37">
        <f>SUMIFS(Einzelbeträge!$D:$D,Einzelbeträge!$C:$C,'Ausgaben 2026'!$C304,Einzelbeträge!$E:$E,'Ausgaben 2026'!K$6)</f>
        <v>0</v>
      </c>
      <c r="L304" s="37">
        <f>SUMIFS(Einzelbeträge!$D:$D,Einzelbeträge!$C:$C,'Ausgaben 2026'!$C304,Einzelbeträge!$E:$E,'Ausgaben 2026'!L$6)</f>
        <v>0</v>
      </c>
      <c r="M304" s="37">
        <f>SUMIFS(Einzelbeträge!$D:$D,Einzelbeträge!$C:$C,'Ausgaben 2026'!$C304,Einzelbeträge!$E:$E,'Ausgaben 2026'!M$6)</f>
        <v>0</v>
      </c>
      <c r="N304" s="38">
        <f>SUMIFS(Einzelbeträge!$D:$D,Einzelbeträge!$C:$C,'Ausgaben 2026'!$C304,Einzelbeträge!$E:$E,'Ausgaben 2026'!N$6)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46296</v>
      </c>
      <c r="D308" s="45">
        <f>SUMIFS(Einzelbeträge!$D:$D,Einzelbeträge!$C:$C,'Ausgaben 2026'!$C308)</f>
        <v>0</v>
      </c>
      <c r="E308" s="32">
        <f>SUMIFS(Einzelbeträge!$D:$D,Einzelbeträge!$C:$C,'Ausgaben 2026'!$C308,Einzelbeträge!$E:$E,'Ausgaben 2026'!E$6)</f>
        <v>0</v>
      </c>
      <c r="F308" s="32">
        <f>SUMIFS(Einzelbeträge!$D:$D,Einzelbeträge!$C:$C,'Ausgaben 2026'!$C308,Einzelbeträge!$E:$E,'Ausgaben 2026'!F$6)</f>
        <v>0</v>
      </c>
      <c r="G308" s="32">
        <f>SUMIFS(Einzelbeträge!$D:$D,Einzelbeträge!$C:$C,'Ausgaben 2026'!$C308,Einzelbeträge!$E:$E,'Ausgaben 2026'!G$6)</f>
        <v>0</v>
      </c>
      <c r="H308" s="32">
        <f>SUMIFS(Einzelbeträge!$D:$D,Einzelbeträge!$C:$C,'Ausgaben 2026'!$C308,Einzelbeträge!$E:$E,'Ausgaben 2026'!H$6)</f>
        <v>0</v>
      </c>
      <c r="I308" s="32">
        <f>SUMIFS(Einzelbeträge!$D:$D,Einzelbeträge!$C:$C,'Ausgaben 2026'!$C308,Einzelbeträge!$E:$E,'Ausgaben 2026'!I$6)</f>
        <v>0</v>
      </c>
      <c r="J308" s="32">
        <f>SUMIFS(Einzelbeträge!$D:$D,Einzelbeträge!$C:$C,'Ausgaben 2026'!$C308,Einzelbeträge!$E:$E,'Ausgaben 2026'!J$6)</f>
        <v>0</v>
      </c>
      <c r="K308" s="32">
        <f>SUMIFS(Einzelbeträge!$D:$D,Einzelbeträge!$C:$C,'Ausgaben 2026'!$C308,Einzelbeträge!$E:$E,'Ausgaben 2026'!K$6)</f>
        <v>0</v>
      </c>
      <c r="L308" s="32">
        <f>SUMIFS(Einzelbeträge!$D:$D,Einzelbeträge!$C:$C,'Ausgaben 2026'!$C308,Einzelbeträge!$E:$E,'Ausgaben 2026'!L$6)</f>
        <v>0</v>
      </c>
      <c r="M308" s="32">
        <f>SUMIFS(Einzelbeträge!$D:$D,Einzelbeträge!$C:$C,'Ausgaben 2026'!$C308,Einzelbeträge!$E:$E,'Ausgaben 2026'!M$6)</f>
        <v>0</v>
      </c>
      <c r="N308" s="33">
        <f>SUMIFS(Einzelbeträge!$D:$D,Einzelbeträge!$C:$C,'Ausgaben 2026'!$C308,Einzelbeträge!$E:$E,'Ausgaben 2026'!N$6)</f>
        <v>0</v>
      </c>
      <c r="O308" s="6"/>
    </row>
    <row r="309" spans="2:15" x14ac:dyDescent="0.35">
      <c r="B309" s="5"/>
      <c r="C309" s="40">
        <f>C308+1</f>
        <v>46297</v>
      </c>
      <c r="D309" s="46">
        <f>SUMIFS(Einzelbeträge!$D:$D,Einzelbeträge!$C:$C,'Ausgaben 2026'!$C309)</f>
        <v>0</v>
      </c>
      <c r="E309" s="21">
        <f>SUMIFS(Einzelbeträge!$D:$D,Einzelbeträge!$C:$C,'Ausgaben 2026'!$C309,Einzelbeträge!$E:$E,'Ausgaben 2026'!E$6)</f>
        <v>0</v>
      </c>
      <c r="F309" s="21">
        <f>SUMIFS(Einzelbeträge!$D:$D,Einzelbeträge!$C:$C,'Ausgaben 2026'!$C309,Einzelbeträge!$E:$E,'Ausgaben 2026'!F$6)</f>
        <v>0</v>
      </c>
      <c r="G309" s="21">
        <f>SUMIFS(Einzelbeträge!$D:$D,Einzelbeträge!$C:$C,'Ausgaben 2026'!$C309,Einzelbeträge!$E:$E,'Ausgaben 2026'!G$6)</f>
        <v>0</v>
      </c>
      <c r="H309" s="21">
        <f>SUMIFS(Einzelbeträge!$D:$D,Einzelbeträge!$C:$C,'Ausgaben 2026'!$C309,Einzelbeträge!$E:$E,'Ausgaben 2026'!H$6)</f>
        <v>0</v>
      </c>
      <c r="I309" s="21">
        <f>SUMIFS(Einzelbeträge!$D:$D,Einzelbeträge!$C:$C,'Ausgaben 2026'!$C309,Einzelbeträge!$E:$E,'Ausgaben 2026'!I$6)</f>
        <v>0</v>
      </c>
      <c r="J309" s="21">
        <f>SUMIFS(Einzelbeträge!$D:$D,Einzelbeträge!$C:$C,'Ausgaben 2026'!$C309,Einzelbeträge!$E:$E,'Ausgaben 2026'!J$6)</f>
        <v>0</v>
      </c>
      <c r="K309" s="21">
        <f>SUMIFS(Einzelbeträge!$D:$D,Einzelbeträge!$C:$C,'Ausgaben 2026'!$C309,Einzelbeträge!$E:$E,'Ausgaben 2026'!K$6)</f>
        <v>0</v>
      </c>
      <c r="L309" s="21">
        <f>SUMIFS(Einzelbeträge!$D:$D,Einzelbeträge!$C:$C,'Ausgaben 2026'!$C309,Einzelbeträge!$E:$E,'Ausgaben 2026'!L$6)</f>
        <v>0</v>
      </c>
      <c r="M309" s="21">
        <f>SUMIFS(Einzelbeträge!$D:$D,Einzelbeträge!$C:$C,'Ausgaben 2026'!$C309,Einzelbeträge!$E:$E,'Ausgaben 2026'!M$6)</f>
        <v>0</v>
      </c>
      <c r="N309" s="35">
        <f>SUMIFS(Einzelbeträge!$D:$D,Einzelbeträge!$C:$C,'Ausgaben 2026'!$C309,Einzelbeträge!$E:$E,'Ausgaben 2026'!N$6)</f>
        <v>0</v>
      </c>
      <c r="O309" s="6"/>
    </row>
    <row r="310" spans="2:15" x14ac:dyDescent="0.35">
      <c r="B310" s="5"/>
      <c r="C310" s="40">
        <f t="shared" ref="C310:C338" si="25">C309+1</f>
        <v>46298</v>
      </c>
      <c r="D310" s="46">
        <f>SUMIFS(Einzelbeträge!$D:$D,Einzelbeträge!$C:$C,'Ausgaben 2026'!$C310)</f>
        <v>0</v>
      </c>
      <c r="E310" s="21">
        <f>SUMIFS(Einzelbeträge!$D:$D,Einzelbeträge!$C:$C,'Ausgaben 2026'!$C310,Einzelbeträge!$E:$E,'Ausgaben 2026'!E$6)</f>
        <v>0</v>
      </c>
      <c r="F310" s="21">
        <f>SUMIFS(Einzelbeträge!$D:$D,Einzelbeträge!$C:$C,'Ausgaben 2026'!$C310,Einzelbeträge!$E:$E,'Ausgaben 2026'!F$6)</f>
        <v>0</v>
      </c>
      <c r="G310" s="21">
        <f>SUMIFS(Einzelbeträge!$D:$D,Einzelbeträge!$C:$C,'Ausgaben 2026'!$C310,Einzelbeträge!$E:$E,'Ausgaben 2026'!G$6)</f>
        <v>0</v>
      </c>
      <c r="H310" s="21">
        <f>SUMIFS(Einzelbeträge!$D:$D,Einzelbeträge!$C:$C,'Ausgaben 2026'!$C310,Einzelbeträge!$E:$E,'Ausgaben 2026'!H$6)</f>
        <v>0</v>
      </c>
      <c r="I310" s="21">
        <f>SUMIFS(Einzelbeträge!$D:$D,Einzelbeträge!$C:$C,'Ausgaben 2026'!$C310,Einzelbeträge!$E:$E,'Ausgaben 2026'!I$6)</f>
        <v>0</v>
      </c>
      <c r="J310" s="21">
        <f>SUMIFS(Einzelbeträge!$D:$D,Einzelbeträge!$C:$C,'Ausgaben 2026'!$C310,Einzelbeträge!$E:$E,'Ausgaben 2026'!J$6)</f>
        <v>0</v>
      </c>
      <c r="K310" s="21">
        <f>SUMIFS(Einzelbeträge!$D:$D,Einzelbeträge!$C:$C,'Ausgaben 2026'!$C310,Einzelbeträge!$E:$E,'Ausgaben 2026'!K$6)</f>
        <v>0</v>
      </c>
      <c r="L310" s="21">
        <f>SUMIFS(Einzelbeträge!$D:$D,Einzelbeträge!$C:$C,'Ausgaben 2026'!$C310,Einzelbeträge!$E:$E,'Ausgaben 2026'!L$6)</f>
        <v>0</v>
      </c>
      <c r="M310" s="21">
        <f>SUMIFS(Einzelbeträge!$D:$D,Einzelbeträge!$C:$C,'Ausgaben 2026'!$C310,Einzelbeträge!$E:$E,'Ausgaben 2026'!M$6)</f>
        <v>0</v>
      </c>
      <c r="N310" s="35">
        <f>SUMIFS(Einzelbeträge!$D:$D,Einzelbeträge!$C:$C,'Ausgaben 2026'!$C310,Einzelbeträge!$E:$E,'Ausgaben 2026'!N$6)</f>
        <v>0</v>
      </c>
      <c r="O310" s="6"/>
    </row>
    <row r="311" spans="2:15" x14ac:dyDescent="0.35">
      <c r="B311" s="5"/>
      <c r="C311" s="40">
        <f t="shared" si="25"/>
        <v>46299</v>
      </c>
      <c r="D311" s="46">
        <f>SUMIFS(Einzelbeträge!$D:$D,Einzelbeträge!$C:$C,'Ausgaben 2026'!$C311)</f>
        <v>0</v>
      </c>
      <c r="E311" s="21">
        <f>SUMIFS(Einzelbeträge!$D:$D,Einzelbeträge!$C:$C,'Ausgaben 2026'!$C311,Einzelbeträge!$E:$E,'Ausgaben 2026'!E$6)</f>
        <v>0</v>
      </c>
      <c r="F311" s="21">
        <f>SUMIFS(Einzelbeträge!$D:$D,Einzelbeträge!$C:$C,'Ausgaben 2026'!$C311,Einzelbeträge!$E:$E,'Ausgaben 2026'!F$6)</f>
        <v>0</v>
      </c>
      <c r="G311" s="21">
        <f>SUMIFS(Einzelbeträge!$D:$D,Einzelbeträge!$C:$C,'Ausgaben 2026'!$C311,Einzelbeträge!$E:$E,'Ausgaben 2026'!G$6)</f>
        <v>0</v>
      </c>
      <c r="H311" s="21">
        <f>SUMIFS(Einzelbeträge!$D:$D,Einzelbeträge!$C:$C,'Ausgaben 2026'!$C311,Einzelbeträge!$E:$E,'Ausgaben 2026'!H$6)</f>
        <v>0</v>
      </c>
      <c r="I311" s="21">
        <f>SUMIFS(Einzelbeträge!$D:$D,Einzelbeträge!$C:$C,'Ausgaben 2026'!$C311,Einzelbeträge!$E:$E,'Ausgaben 2026'!I$6)</f>
        <v>0</v>
      </c>
      <c r="J311" s="21">
        <f>SUMIFS(Einzelbeträge!$D:$D,Einzelbeträge!$C:$C,'Ausgaben 2026'!$C311,Einzelbeträge!$E:$E,'Ausgaben 2026'!J$6)</f>
        <v>0</v>
      </c>
      <c r="K311" s="21">
        <f>SUMIFS(Einzelbeträge!$D:$D,Einzelbeträge!$C:$C,'Ausgaben 2026'!$C311,Einzelbeträge!$E:$E,'Ausgaben 2026'!K$6)</f>
        <v>0</v>
      </c>
      <c r="L311" s="21">
        <f>SUMIFS(Einzelbeträge!$D:$D,Einzelbeträge!$C:$C,'Ausgaben 2026'!$C311,Einzelbeträge!$E:$E,'Ausgaben 2026'!L$6)</f>
        <v>0</v>
      </c>
      <c r="M311" s="21">
        <f>SUMIFS(Einzelbeträge!$D:$D,Einzelbeträge!$C:$C,'Ausgaben 2026'!$C311,Einzelbeträge!$E:$E,'Ausgaben 2026'!M$6)</f>
        <v>0</v>
      </c>
      <c r="N311" s="35">
        <f>SUMIFS(Einzelbeträge!$D:$D,Einzelbeträge!$C:$C,'Ausgaben 2026'!$C311,Einzelbeträge!$E:$E,'Ausgaben 2026'!N$6)</f>
        <v>0</v>
      </c>
      <c r="O311" s="6"/>
    </row>
    <row r="312" spans="2:15" x14ac:dyDescent="0.35">
      <c r="B312" s="5"/>
      <c r="C312" s="40">
        <f t="shared" si="25"/>
        <v>46300</v>
      </c>
      <c r="D312" s="46">
        <f>SUMIFS(Einzelbeträge!$D:$D,Einzelbeträge!$C:$C,'Ausgaben 2026'!$C312)</f>
        <v>0</v>
      </c>
      <c r="E312" s="21">
        <f>SUMIFS(Einzelbeträge!$D:$D,Einzelbeträge!$C:$C,'Ausgaben 2026'!$C312,Einzelbeträge!$E:$E,'Ausgaben 2026'!E$6)</f>
        <v>0</v>
      </c>
      <c r="F312" s="21">
        <f>SUMIFS(Einzelbeträge!$D:$D,Einzelbeträge!$C:$C,'Ausgaben 2026'!$C312,Einzelbeträge!$E:$E,'Ausgaben 2026'!F$6)</f>
        <v>0</v>
      </c>
      <c r="G312" s="21">
        <f>SUMIFS(Einzelbeträge!$D:$D,Einzelbeträge!$C:$C,'Ausgaben 2026'!$C312,Einzelbeträge!$E:$E,'Ausgaben 2026'!G$6)</f>
        <v>0</v>
      </c>
      <c r="H312" s="21">
        <f>SUMIFS(Einzelbeträge!$D:$D,Einzelbeträge!$C:$C,'Ausgaben 2026'!$C312,Einzelbeträge!$E:$E,'Ausgaben 2026'!H$6)</f>
        <v>0</v>
      </c>
      <c r="I312" s="21">
        <f>SUMIFS(Einzelbeträge!$D:$D,Einzelbeträge!$C:$C,'Ausgaben 2026'!$C312,Einzelbeträge!$E:$E,'Ausgaben 2026'!I$6)</f>
        <v>0</v>
      </c>
      <c r="J312" s="21">
        <f>SUMIFS(Einzelbeträge!$D:$D,Einzelbeträge!$C:$C,'Ausgaben 2026'!$C312,Einzelbeträge!$E:$E,'Ausgaben 2026'!J$6)</f>
        <v>0</v>
      </c>
      <c r="K312" s="21">
        <f>SUMIFS(Einzelbeträge!$D:$D,Einzelbeträge!$C:$C,'Ausgaben 2026'!$C312,Einzelbeträge!$E:$E,'Ausgaben 2026'!K$6)</f>
        <v>0</v>
      </c>
      <c r="L312" s="21">
        <f>SUMIFS(Einzelbeträge!$D:$D,Einzelbeträge!$C:$C,'Ausgaben 2026'!$C312,Einzelbeträge!$E:$E,'Ausgaben 2026'!L$6)</f>
        <v>0</v>
      </c>
      <c r="M312" s="21">
        <f>SUMIFS(Einzelbeträge!$D:$D,Einzelbeträge!$C:$C,'Ausgaben 2026'!$C312,Einzelbeträge!$E:$E,'Ausgaben 2026'!M$6)</f>
        <v>0</v>
      </c>
      <c r="N312" s="35">
        <f>SUMIFS(Einzelbeträge!$D:$D,Einzelbeträge!$C:$C,'Ausgaben 2026'!$C312,Einzelbeträge!$E:$E,'Ausgaben 2026'!N$6)</f>
        <v>0</v>
      </c>
      <c r="O312" s="6"/>
    </row>
    <row r="313" spans="2:15" x14ac:dyDescent="0.35">
      <c r="B313" s="5"/>
      <c r="C313" s="40">
        <f t="shared" si="25"/>
        <v>46301</v>
      </c>
      <c r="D313" s="46">
        <f>SUMIFS(Einzelbeträge!$D:$D,Einzelbeträge!$C:$C,'Ausgaben 2026'!$C313)</f>
        <v>0</v>
      </c>
      <c r="E313" s="21">
        <f>SUMIFS(Einzelbeträge!$D:$D,Einzelbeträge!$C:$C,'Ausgaben 2026'!$C313,Einzelbeträge!$E:$E,'Ausgaben 2026'!E$6)</f>
        <v>0</v>
      </c>
      <c r="F313" s="21">
        <f>SUMIFS(Einzelbeträge!$D:$D,Einzelbeträge!$C:$C,'Ausgaben 2026'!$C313,Einzelbeträge!$E:$E,'Ausgaben 2026'!F$6)</f>
        <v>0</v>
      </c>
      <c r="G313" s="21">
        <f>SUMIFS(Einzelbeträge!$D:$D,Einzelbeträge!$C:$C,'Ausgaben 2026'!$C313,Einzelbeträge!$E:$E,'Ausgaben 2026'!G$6)</f>
        <v>0</v>
      </c>
      <c r="H313" s="21">
        <f>SUMIFS(Einzelbeträge!$D:$D,Einzelbeträge!$C:$C,'Ausgaben 2026'!$C313,Einzelbeträge!$E:$E,'Ausgaben 2026'!H$6)</f>
        <v>0</v>
      </c>
      <c r="I313" s="21">
        <f>SUMIFS(Einzelbeträge!$D:$D,Einzelbeträge!$C:$C,'Ausgaben 2026'!$C313,Einzelbeträge!$E:$E,'Ausgaben 2026'!I$6)</f>
        <v>0</v>
      </c>
      <c r="J313" s="21">
        <f>SUMIFS(Einzelbeträge!$D:$D,Einzelbeträge!$C:$C,'Ausgaben 2026'!$C313,Einzelbeträge!$E:$E,'Ausgaben 2026'!J$6)</f>
        <v>0</v>
      </c>
      <c r="K313" s="21">
        <f>SUMIFS(Einzelbeträge!$D:$D,Einzelbeträge!$C:$C,'Ausgaben 2026'!$C313,Einzelbeträge!$E:$E,'Ausgaben 2026'!K$6)</f>
        <v>0</v>
      </c>
      <c r="L313" s="21">
        <f>SUMIFS(Einzelbeträge!$D:$D,Einzelbeträge!$C:$C,'Ausgaben 2026'!$C313,Einzelbeträge!$E:$E,'Ausgaben 2026'!L$6)</f>
        <v>0</v>
      </c>
      <c r="M313" s="21">
        <f>SUMIFS(Einzelbeträge!$D:$D,Einzelbeträge!$C:$C,'Ausgaben 2026'!$C313,Einzelbeträge!$E:$E,'Ausgaben 2026'!M$6)</f>
        <v>0</v>
      </c>
      <c r="N313" s="35">
        <f>SUMIFS(Einzelbeträge!$D:$D,Einzelbeträge!$C:$C,'Ausgaben 2026'!$C313,Einzelbeträge!$E:$E,'Ausgaben 2026'!N$6)</f>
        <v>0</v>
      </c>
      <c r="O313" s="6"/>
    </row>
    <row r="314" spans="2:15" x14ac:dyDescent="0.35">
      <c r="B314" s="5"/>
      <c r="C314" s="40">
        <f t="shared" si="25"/>
        <v>46302</v>
      </c>
      <c r="D314" s="46">
        <f>SUMIFS(Einzelbeträge!$D:$D,Einzelbeträge!$C:$C,'Ausgaben 2026'!$C314)</f>
        <v>0</v>
      </c>
      <c r="E314" s="21">
        <f>SUMIFS(Einzelbeträge!$D:$D,Einzelbeträge!$C:$C,'Ausgaben 2026'!$C314,Einzelbeträge!$E:$E,'Ausgaben 2026'!E$6)</f>
        <v>0</v>
      </c>
      <c r="F314" s="21">
        <f>SUMIFS(Einzelbeträge!$D:$D,Einzelbeträge!$C:$C,'Ausgaben 2026'!$C314,Einzelbeträge!$E:$E,'Ausgaben 2026'!F$6)</f>
        <v>0</v>
      </c>
      <c r="G314" s="21">
        <f>SUMIFS(Einzelbeträge!$D:$D,Einzelbeträge!$C:$C,'Ausgaben 2026'!$C314,Einzelbeträge!$E:$E,'Ausgaben 2026'!G$6)</f>
        <v>0</v>
      </c>
      <c r="H314" s="21">
        <f>SUMIFS(Einzelbeträge!$D:$D,Einzelbeträge!$C:$C,'Ausgaben 2026'!$C314,Einzelbeträge!$E:$E,'Ausgaben 2026'!H$6)</f>
        <v>0</v>
      </c>
      <c r="I314" s="21">
        <f>SUMIFS(Einzelbeträge!$D:$D,Einzelbeträge!$C:$C,'Ausgaben 2026'!$C314,Einzelbeträge!$E:$E,'Ausgaben 2026'!I$6)</f>
        <v>0</v>
      </c>
      <c r="J314" s="21">
        <f>SUMIFS(Einzelbeträge!$D:$D,Einzelbeträge!$C:$C,'Ausgaben 2026'!$C314,Einzelbeträge!$E:$E,'Ausgaben 2026'!J$6)</f>
        <v>0</v>
      </c>
      <c r="K314" s="21">
        <f>SUMIFS(Einzelbeträge!$D:$D,Einzelbeträge!$C:$C,'Ausgaben 2026'!$C314,Einzelbeträge!$E:$E,'Ausgaben 2026'!K$6)</f>
        <v>0</v>
      </c>
      <c r="L314" s="21">
        <f>SUMIFS(Einzelbeträge!$D:$D,Einzelbeträge!$C:$C,'Ausgaben 2026'!$C314,Einzelbeträge!$E:$E,'Ausgaben 2026'!L$6)</f>
        <v>0</v>
      </c>
      <c r="M314" s="21">
        <f>SUMIFS(Einzelbeträge!$D:$D,Einzelbeträge!$C:$C,'Ausgaben 2026'!$C314,Einzelbeträge!$E:$E,'Ausgaben 2026'!M$6)</f>
        <v>0</v>
      </c>
      <c r="N314" s="35">
        <f>SUMIFS(Einzelbeträge!$D:$D,Einzelbeträge!$C:$C,'Ausgaben 2026'!$C314,Einzelbeträge!$E:$E,'Ausgaben 2026'!N$6)</f>
        <v>0</v>
      </c>
      <c r="O314" s="6"/>
    </row>
    <row r="315" spans="2:15" x14ac:dyDescent="0.35">
      <c r="B315" s="5"/>
      <c r="C315" s="40">
        <f t="shared" si="25"/>
        <v>46303</v>
      </c>
      <c r="D315" s="46">
        <f>SUMIFS(Einzelbeträge!$D:$D,Einzelbeträge!$C:$C,'Ausgaben 2026'!$C315)</f>
        <v>0</v>
      </c>
      <c r="E315" s="21">
        <f>SUMIFS(Einzelbeträge!$D:$D,Einzelbeträge!$C:$C,'Ausgaben 2026'!$C315,Einzelbeträge!$E:$E,'Ausgaben 2026'!E$6)</f>
        <v>0</v>
      </c>
      <c r="F315" s="21">
        <f>SUMIFS(Einzelbeträge!$D:$D,Einzelbeträge!$C:$C,'Ausgaben 2026'!$C315,Einzelbeträge!$E:$E,'Ausgaben 2026'!F$6)</f>
        <v>0</v>
      </c>
      <c r="G315" s="21">
        <f>SUMIFS(Einzelbeträge!$D:$D,Einzelbeträge!$C:$C,'Ausgaben 2026'!$C315,Einzelbeträge!$E:$E,'Ausgaben 2026'!G$6)</f>
        <v>0</v>
      </c>
      <c r="H315" s="21">
        <f>SUMIFS(Einzelbeträge!$D:$D,Einzelbeträge!$C:$C,'Ausgaben 2026'!$C315,Einzelbeträge!$E:$E,'Ausgaben 2026'!H$6)</f>
        <v>0</v>
      </c>
      <c r="I315" s="21">
        <f>SUMIFS(Einzelbeträge!$D:$D,Einzelbeträge!$C:$C,'Ausgaben 2026'!$C315,Einzelbeträge!$E:$E,'Ausgaben 2026'!I$6)</f>
        <v>0</v>
      </c>
      <c r="J315" s="21">
        <f>SUMIFS(Einzelbeträge!$D:$D,Einzelbeträge!$C:$C,'Ausgaben 2026'!$C315,Einzelbeträge!$E:$E,'Ausgaben 2026'!J$6)</f>
        <v>0</v>
      </c>
      <c r="K315" s="21">
        <f>SUMIFS(Einzelbeträge!$D:$D,Einzelbeträge!$C:$C,'Ausgaben 2026'!$C315,Einzelbeträge!$E:$E,'Ausgaben 2026'!K$6)</f>
        <v>0</v>
      </c>
      <c r="L315" s="21">
        <f>SUMIFS(Einzelbeträge!$D:$D,Einzelbeträge!$C:$C,'Ausgaben 2026'!$C315,Einzelbeträge!$E:$E,'Ausgaben 2026'!L$6)</f>
        <v>0</v>
      </c>
      <c r="M315" s="21">
        <f>SUMIFS(Einzelbeträge!$D:$D,Einzelbeträge!$C:$C,'Ausgaben 2026'!$C315,Einzelbeträge!$E:$E,'Ausgaben 2026'!M$6)</f>
        <v>0</v>
      </c>
      <c r="N315" s="35">
        <f>SUMIFS(Einzelbeträge!$D:$D,Einzelbeträge!$C:$C,'Ausgaben 2026'!$C315,Einzelbeträge!$E:$E,'Ausgaben 2026'!N$6)</f>
        <v>0</v>
      </c>
      <c r="O315" s="6"/>
    </row>
    <row r="316" spans="2:15" x14ac:dyDescent="0.35">
      <c r="B316" s="5"/>
      <c r="C316" s="40">
        <f t="shared" si="25"/>
        <v>46304</v>
      </c>
      <c r="D316" s="46">
        <f>SUMIFS(Einzelbeträge!$D:$D,Einzelbeträge!$C:$C,'Ausgaben 2026'!$C316)</f>
        <v>0</v>
      </c>
      <c r="E316" s="21">
        <f>SUMIFS(Einzelbeträge!$D:$D,Einzelbeträge!$C:$C,'Ausgaben 2026'!$C316,Einzelbeträge!$E:$E,'Ausgaben 2026'!E$6)</f>
        <v>0</v>
      </c>
      <c r="F316" s="21">
        <f>SUMIFS(Einzelbeträge!$D:$D,Einzelbeträge!$C:$C,'Ausgaben 2026'!$C316,Einzelbeträge!$E:$E,'Ausgaben 2026'!F$6)</f>
        <v>0</v>
      </c>
      <c r="G316" s="21">
        <f>SUMIFS(Einzelbeträge!$D:$D,Einzelbeträge!$C:$C,'Ausgaben 2026'!$C316,Einzelbeträge!$E:$E,'Ausgaben 2026'!G$6)</f>
        <v>0</v>
      </c>
      <c r="H316" s="21">
        <f>SUMIFS(Einzelbeträge!$D:$D,Einzelbeträge!$C:$C,'Ausgaben 2026'!$C316,Einzelbeträge!$E:$E,'Ausgaben 2026'!H$6)</f>
        <v>0</v>
      </c>
      <c r="I316" s="21">
        <f>SUMIFS(Einzelbeträge!$D:$D,Einzelbeträge!$C:$C,'Ausgaben 2026'!$C316,Einzelbeträge!$E:$E,'Ausgaben 2026'!I$6)</f>
        <v>0</v>
      </c>
      <c r="J316" s="21">
        <f>SUMIFS(Einzelbeträge!$D:$D,Einzelbeträge!$C:$C,'Ausgaben 2026'!$C316,Einzelbeträge!$E:$E,'Ausgaben 2026'!J$6)</f>
        <v>0</v>
      </c>
      <c r="K316" s="21">
        <f>SUMIFS(Einzelbeträge!$D:$D,Einzelbeträge!$C:$C,'Ausgaben 2026'!$C316,Einzelbeträge!$E:$E,'Ausgaben 2026'!K$6)</f>
        <v>0</v>
      </c>
      <c r="L316" s="21">
        <f>SUMIFS(Einzelbeträge!$D:$D,Einzelbeträge!$C:$C,'Ausgaben 2026'!$C316,Einzelbeträge!$E:$E,'Ausgaben 2026'!L$6)</f>
        <v>0</v>
      </c>
      <c r="M316" s="21">
        <f>SUMIFS(Einzelbeträge!$D:$D,Einzelbeträge!$C:$C,'Ausgaben 2026'!$C316,Einzelbeträge!$E:$E,'Ausgaben 2026'!M$6)</f>
        <v>0</v>
      </c>
      <c r="N316" s="35">
        <f>SUMIFS(Einzelbeträge!$D:$D,Einzelbeträge!$C:$C,'Ausgaben 2026'!$C316,Einzelbeträge!$E:$E,'Ausgaben 2026'!N$6)</f>
        <v>0</v>
      </c>
      <c r="O316" s="6"/>
    </row>
    <row r="317" spans="2:15" x14ac:dyDescent="0.35">
      <c r="B317" s="5"/>
      <c r="C317" s="40">
        <f t="shared" si="25"/>
        <v>46305</v>
      </c>
      <c r="D317" s="46">
        <f>SUMIFS(Einzelbeträge!$D:$D,Einzelbeträge!$C:$C,'Ausgaben 2026'!$C317)</f>
        <v>0</v>
      </c>
      <c r="E317" s="21">
        <f>SUMIFS(Einzelbeträge!$D:$D,Einzelbeträge!$C:$C,'Ausgaben 2026'!$C317,Einzelbeträge!$E:$E,'Ausgaben 2026'!E$6)</f>
        <v>0</v>
      </c>
      <c r="F317" s="21">
        <f>SUMIFS(Einzelbeträge!$D:$D,Einzelbeträge!$C:$C,'Ausgaben 2026'!$C317,Einzelbeträge!$E:$E,'Ausgaben 2026'!F$6)</f>
        <v>0</v>
      </c>
      <c r="G317" s="21">
        <f>SUMIFS(Einzelbeträge!$D:$D,Einzelbeträge!$C:$C,'Ausgaben 2026'!$C317,Einzelbeträge!$E:$E,'Ausgaben 2026'!G$6)</f>
        <v>0</v>
      </c>
      <c r="H317" s="21">
        <f>SUMIFS(Einzelbeträge!$D:$D,Einzelbeträge!$C:$C,'Ausgaben 2026'!$C317,Einzelbeträge!$E:$E,'Ausgaben 2026'!H$6)</f>
        <v>0</v>
      </c>
      <c r="I317" s="21">
        <f>SUMIFS(Einzelbeträge!$D:$D,Einzelbeträge!$C:$C,'Ausgaben 2026'!$C317,Einzelbeträge!$E:$E,'Ausgaben 2026'!I$6)</f>
        <v>0</v>
      </c>
      <c r="J317" s="21">
        <f>SUMIFS(Einzelbeträge!$D:$D,Einzelbeträge!$C:$C,'Ausgaben 2026'!$C317,Einzelbeträge!$E:$E,'Ausgaben 2026'!J$6)</f>
        <v>0</v>
      </c>
      <c r="K317" s="21">
        <f>SUMIFS(Einzelbeträge!$D:$D,Einzelbeträge!$C:$C,'Ausgaben 2026'!$C317,Einzelbeträge!$E:$E,'Ausgaben 2026'!K$6)</f>
        <v>0</v>
      </c>
      <c r="L317" s="21">
        <f>SUMIFS(Einzelbeträge!$D:$D,Einzelbeträge!$C:$C,'Ausgaben 2026'!$C317,Einzelbeträge!$E:$E,'Ausgaben 2026'!L$6)</f>
        <v>0</v>
      </c>
      <c r="M317" s="21">
        <f>SUMIFS(Einzelbeträge!$D:$D,Einzelbeträge!$C:$C,'Ausgaben 2026'!$C317,Einzelbeträge!$E:$E,'Ausgaben 2026'!M$6)</f>
        <v>0</v>
      </c>
      <c r="N317" s="35">
        <f>SUMIFS(Einzelbeträge!$D:$D,Einzelbeträge!$C:$C,'Ausgaben 2026'!$C317,Einzelbeträge!$E:$E,'Ausgaben 2026'!N$6)</f>
        <v>0</v>
      </c>
      <c r="O317" s="6"/>
    </row>
    <row r="318" spans="2:15" x14ac:dyDescent="0.35">
      <c r="B318" s="5"/>
      <c r="C318" s="40">
        <f t="shared" si="25"/>
        <v>46306</v>
      </c>
      <c r="D318" s="46">
        <f>SUMIFS(Einzelbeträge!$D:$D,Einzelbeträge!$C:$C,'Ausgaben 2026'!$C318)</f>
        <v>0</v>
      </c>
      <c r="E318" s="21">
        <f>SUMIFS(Einzelbeträge!$D:$D,Einzelbeträge!$C:$C,'Ausgaben 2026'!$C318,Einzelbeträge!$E:$E,'Ausgaben 2026'!E$6)</f>
        <v>0</v>
      </c>
      <c r="F318" s="21">
        <f>SUMIFS(Einzelbeträge!$D:$D,Einzelbeträge!$C:$C,'Ausgaben 2026'!$C318,Einzelbeträge!$E:$E,'Ausgaben 2026'!F$6)</f>
        <v>0</v>
      </c>
      <c r="G318" s="21">
        <f>SUMIFS(Einzelbeträge!$D:$D,Einzelbeträge!$C:$C,'Ausgaben 2026'!$C318,Einzelbeträge!$E:$E,'Ausgaben 2026'!G$6)</f>
        <v>0</v>
      </c>
      <c r="H318" s="21">
        <f>SUMIFS(Einzelbeträge!$D:$D,Einzelbeträge!$C:$C,'Ausgaben 2026'!$C318,Einzelbeträge!$E:$E,'Ausgaben 2026'!H$6)</f>
        <v>0</v>
      </c>
      <c r="I318" s="21">
        <f>SUMIFS(Einzelbeträge!$D:$D,Einzelbeträge!$C:$C,'Ausgaben 2026'!$C318,Einzelbeträge!$E:$E,'Ausgaben 2026'!I$6)</f>
        <v>0</v>
      </c>
      <c r="J318" s="21">
        <f>SUMIFS(Einzelbeträge!$D:$D,Einzelbeträge!$C:$C,'Ausgaben 2026'!$C318,Einzelbeträge!$E:$E,'Ausgaben 2026'!J$6)</f>
        <v>0</v>
      </c>
      <c r="K318" s="21">
        <f>SUMIFS(Einzelbeträge!$D:$D,Einzelbeträge!$C:$C,'Ausgaben 2026'!$C318,Einzelbeträge!$E:$E,'Ausgaben 2026'!K$6)</f>
        <v>0</v>
      </c>
      <c r="L318" s="21">
        <f>SUMIFS(Einzelbeträge!$D:$D,Einzelbeträge!$C:$C,'Ausgaben 2026'!$C318,Einzelbeträge!$E:$E,'Ausgaben 2026'!L$6)</f>
        <v>0</v>
      </c>
      <c r="M318" s="21">
        <f>SUMIFS(Einzelbeträge!$D:$D,Einzelbeträge!$C:$C,'Ausgaben 2026'!$C318,Einzelbeträge!$E:$E,'Ausgaben 2026'!M$6)</f>
        <v>0</v>
      </c>
      <c r="N318" s="35">
        <f>SUMIFS(Einzelbeträge!$D:$D,Einzelbeträge!$C:$C,'Ausgaben 2026'!$C318,Einzelbeträge!$E:$E,'Ausgaben 2026'!N$6)</f>
        <v>0</v>
      </c>
      <c r="O318" s="6"/>
    </row>
    <row r="319" spans="2:15" x14ac:dyDescent="0.35">
      <c r="B319" s="5"/>
      <c r="C319" s="40">
        <f t="shared" si="25"/>
        <v>46307</v>
      </c>
      <c r="D319" s="46">
        <f>SUMIFS(Einzelbeträge!$D:$D,Einzelbeträge!$C:$C,'Ausgaben 2026'!$C319)</f>
        <v>0</v>
      </c>
      <c r="E319" s="21">
        <f>SUMIFS(Einzelbeträge!$D:$D,Einzelbeträge!$C:$C,'Ausgaben 2026'!$C319,Einzelbeträge!$E:$E,'Ausgaben 2026'!E$6)</f>
        <v>0</v>
      </c>
      <c r="F319" s="21">
        <f>SUMIFS(Einzelbeträge!$D:$D,Einzelbeträge!$C:$C,'Ausgaben 2026'!$C319,Einzelbeträge!$E:$E,'Ausgaben 2026'!F$6)</f>
        <v>0</v>
      </c>
      <c r="G319" s="21">
        <f>SUMIFS(Einzelbeträge!$D:$D,Einzelbeträge!$C:$C,'Ausgaben 2026'!$C319,Einzelbeträge!$E:$E,'Ausgaben 2026'!G$6)</f>
        <v>0</v>
      </c>
      <c r="H319" s="21">
        <f>SUMIFS(Einzelbeträge!$D:$D,Einzelbeträge!$C:$C,'Ausgaben 2026'!$C319,Einzelbeträge!$E:$E,'Ausgaben 2026'!H$6)</f>
        <v>0</v>
      </c>
      <c r="I319" s="21">
        <f>SUMIFS(Einzelbeträge!$D:$D,Einzelbeträge!$C:$C,'Ausgaben 2026'!$C319,Einzelbeträge!$E:$E,'Ausgaben 2026'!I$6)</f>
        <v>0</v>
      </c>
      <c r="J319" s="21">
        <f>SUMIFS(Einzelbeträge!$D:$D,Einzelbeträge!$C:$C,'Ausgaben 2026'!$C319,Einzelbeträge!$E:$E,'Ausgaben 2026'!J$6)</f>
        <v>0</v>
      </c>
      <c r="K319" s="21">
        <f>SUMIFS(Einzelbeträge!$D:$D,Einzelbeträge!$C:$C,'Ausgaben 2026'!$C319,Einzelbeträge!$E:$E,'Ausgaben 2026'!K$6)</f>
        <v>0</v>
      </c>
      <c r="L319" s="21">
        <f>SUMIFS(Einzelbeträge!$D:$D,Einzelbeträge!$C:$C,'Ausgaben 2026'!$C319,Einzelbeträge!$E:$E,'Ausgaben 2026'!L$6)</f>
        <v>0</v>
      </c>
      <c r="M319" s="21">
        <f>SUMIFS(Einzelbeträge!$D:$D,Einzelbeträge!$C:$C,'Ausgaben 2026'!$C319,Einzelbeträge!$E:$E,'Ausgaben 2026'!M$6)</f>
        <v>0</v>
      </c>
      <c r="N319" s="35">
        <f>SUMIFS(Einzelbeträge!$D:$D,Einzelbeträge!$C:$C,'Ausgaben 2026'!$C319,Einzelbeträge!$E:$E,'Ausgaben 2026'!N$6)</f>
        <v>0</v>
      </c>
      <c r="O319" s="6"/>
    </row>
    <row r="320" spans="2:15" x14ac:dyDescent="0.35">
      <c r="B320" s="5"/>
      <c r="C320" s="40">
        <f t="shared" si="25"/>
        <v>46308</v>
      </c>
      <c r="D320" s="46">
        <f>SUMIFS(Einzelbeträge!$D:$D,Einzelbeträge!$C:$C,'Ausgaben 2026'!$C320)</f>
        <v>0</v>
      </c>
      <c r="E320" s="21">
        <f>SUMIFS(Einzelbeträge!$D:$D,Einzelbeträge!$C:$C,'Ausgaben 2026'!$C320,Einzelbeträge!$E:$E,'Ausgaben 2026'!E$6)</f>
        <v>0</v>
      </c>
      <c r="F320" s="21">
        <f>SUMIFS(Einzelbeträge!$D:$D,Einzelbeträge!$C:$C,'Ausgaben 2026'!$C320,Einzelbeträge!$E:$E,'Ausgaben 2026'!F$6)</f>
        <v>0</v>
      </c>
      <c r="G320" s="21">
        <f>SUMIFS(Einzelbeträge!$D:$D,Einzelbeträge!$C:$C,'Ausgaben 2026'!$C320,Einzelbeträge!$E:$E,'Ausgaben 2026'!G$6)</f>
        <v>0</v>
      </c>
      <c r="H320" s="21">
        <f>SUMIFS(Einzelbeträge!$D:$D,Einzelbeträge!$C:$C,'Ausgaben 2026'!$C320,Einzelbeträge!$E:$E,'Ausgaben 2026'!H$6)</f>
        <v>0</v>
      </c>
      <c r="I320" s="21">
        <f>SUMIFS(Einzelbeträge!$D:$D,Einzelbeträge!$C:$C,'Ausgaben 2026'!$C320,Einzelbeträge!$E:$E,'Ausgaben 2026'!I$6)</f>
        <v>0</v>
      </c>
      <c r="J320" s="21">
        <f>SUMIFS(Einzelbeträge!$D:$D,Einzelbeträge!$C:$C,'Ausgaben 2026'!$C320,Einzelbeträge!$E:$E,'Ausgaben 2026'!J$6)</f>
        <v>0</v>
      </c>
      <c r="K320" s="21">
        <f>SUMIFS(Einzelbeträge!$D:$D,Einzelbeträge!$C:$C,'Ausgaben 2026'!$C320,Einzelbeträge!$E:$E,'Ausgaben 2026'!K$6)</f>
        <v>0</v>
      </c>
      <c r="L320" s="21">
        <f>SUMIFS(Einzelbeträge!$D:$D,Einzelbeträge!$C:$C,'Ausgaben 2026'!$C320,Einzelbeträge!$E:$E,'Ausgaben 2026'!L$6)</f>
        <v>0</v>
      </c>
      <c r="M320" s="21">
        <f>SUMIFS(Einzelbeträge!$D:$D,Einzelbeträge!$C:$C,'Ausgaben 2026'!$C320,Einzelbeträge!$E:$E,'Ausgaben 2026'!M$6)</f>
        <v>0</v>
      </c>
      <c r="N320" s="35">
        <f>SUMIFS(Einzelbeträge!$D:$D,Einzelbeträge!$C:$C,'Ausgaben 2026'!$C320,Einzelbeträge!$E:$E,'Ausgaben 2026'!N$6)</f>
        <v>0</v>
      </c>
      <c r="O320" s="6"/>
    </row>
    <row r="321" spans="2:15" x14ac:dyDescent="0.35">
      <c r="B321" s="5"/>
      <c r="C321" s="40">
        <f t="shared" si="25"/>
        <v>46309</v>
      </c>
      <c r="D321" s="46">
        <f>SUMIFS(Einzelbeträge!$D:$D,Einzelbeträge!$C:$C,'Ausgaben 2026'!$C321)</f>
        <v>0</v>
      </c>
      <c r="E321" s="21">
        <f>SUMIFS(Einzelbeträge!$D:$D,Einzelbeträge!$C:$C,'Ausgaben 2026'!$C321,Einzelbeträge!$E:$E,'Ausgaben 2026'!E$6)</f>
        <v>0</v>
      </c>
      <c r="F321" s="21">
        <f>SUMIFS(Einzelbeträge!$D:$D,Einzelbeträge!$C:$C,'Ausgaben 2026'!$C321,Einzelbeträge!$E:$E,'Ausgaben 2026'!F$6)</f>
        <v>0</v>
      </c>
      <c r="G321" s="21">
        <f>SUMIFS(Einzelbeträge!$D:$D,Einzelbeträge!$C:$C,'Ausgaben 2026'!$C321,Einzelbeträge!$E:$E,'Ausgaben 2026'!G$6)</f>
        <v>0</v>
      </c>
      <c r="H321" s="21">
        <f>SUMIFS(Einzelbeträge!$D:$D,Einzelbeträge!$C:$C,'Ausgaben 2026'!$C321,Einzelbeträge!$E:$E,'Ausgaben 2026'!H$6)</f>
        <v>0</v>
      </c>
      <c r="I321" s="21">
        <f>SUMIFS(Einzelbeträge!$D:$D,Einzelbeträge!$C:$C,'Ausgaben 2026'!$C321,Einzelbeträge!$E:$E,'Ausgaben 2026'!I$6)</f>
        <v>0</v>
      </c>
      <c r="J321" s="21">
        <f>SUMIFS(Einzelbeträge!$D:$D,Einzelbeträge!$C:$C,'Ausgaben 2026'!$C321,Einzelbeträge!$E:$E,'Ausgaben 2026'!J$6)</f>
        <v>0</v>
      </c>
      <c r="K321" s="21">
        <f>SUMIFS(Einzelbeträge!$D:$D,Einzelbeträge!$C:$C,'Ausgaben 2026'!$C321,Einzelbeträge!$E:$E,'Ausgaben 2026'!K$6)</f>
        <v>0</v>
      </c>
      <c r="L321" s="21">
        <f>SUMIFS(Einzelbeträge!$D:$D,Einzelbeträge!$C:$C,'Ausgaben 2026'!$C321,Einzelbeträge!$E:$E,'Ausgaben 2026'!L$6)</f>
        <v>0</v>
      </c>
      <c r="M321" s="21">
        <f>SUMIFS(Einzelbeträge!$D:$D,Einzelbeträge!$C:$C,'Ausgaben 2026'!$C321,Einzelbeträge!$E:$E,'Ausgaben 2026'!M$6)</f>
        <v>0</v>
      </c>
      <c r="N321" s="35">
        <f>SUMIFS(Einzelbeträge!$D:$D,Einzelbeträge!$C:$C,'Ausgaben 2026'!$C321,Einzelbeträge!$E:$E,'Ausgaben 2026'!N$6)</f>
        <v>0</v>
      </c>
      <c r="O321" s="6"/>
    </row>
    <row r="322" spans="2:15" x14ac:dyDescent="0.35">
      <c r="B322" s="5"/>
      <c r="C322" s="40">
        <f t="shared" si="25"/>
        <v>46310</v>
      </c>
      <c r="D322" s="46">
        <f>SUMIFS(Einzelbeträge!$D:$D,Einzelbeträge!$C:$C,'Ausgaben 2026'!$C322)</f>
        <v>0</v>
      </c>
      <c r="E322" s="21">
        <f>SUMIFS(Einzelbeträge!$D:$D,Einzelbeträge!$C:$C,'Ausgaben 2026'!$C322,Einzelbeträge!$E:$E,'Ausgaben 2026'!E$6)</f>
        <v>0</v>
      </c>
      <c r="F322" s="21">
        <f>SUMIFS(Einzelbeträge!$D:$D,Einzelbeträge!$C:$C,'Ausgaben 2026'!$C322,Einzelbeträge!$E:$E,'Ausgaben 2026'!F$6)</f>
        <v>0</v>
      </c>
      <c r="G322" s="21">
        <f>SUMIFS(Einzelbeträge!$D:$D,Einzelbeträge!$C:$C,'Ausgaben 2026'!$C322,Einzelbeträge!$E:$E,'Ausgaben 2026'!G$6)</f>
        <v>0</v>
      </c>
      <c r="H322" s="21">
        <f>SUMIFS(Einzelbeträge!$D:$D,Einzelbeträge!$C:$C,'Ausgaben 2026'!$C322,Einzelbeträge!$E:$E,'Ausgaben 2026'!H$6)</f>
        <v>0</v>
      </c>
      <c r="I322" s="21">
        <f>SUMIFS(Einzelbeträge!$D:$D,Einzelbeträge!$C:$C,'Ausgaben 2026'!$C322,Einzelbeträge!$E:$E,'Ausgaben 2026'!I$6)</f>
        <v>0</v>
      </c>
      <c r="J322" s="21">
        <f>SUMIFS(Einzelbeträge!$D:$D,Einzelbeträge!$C:$C,'Ausgaben 2026'!$C322,Einzelbeträge!$E:$E,'Ausgaben 2026'!J$6)</f>
        <v>0</v>
      </c>
      <c r="K322" s="21">
        <f>SUMIFS(Einzelbeträge!$D:$D,Einzelbeträge!$C:$C,'Ausgaben 2026'!$C322,Einzelbeträge!$E:$E,'Ausgaben 2026'!K$6)</f>
        <v>0</v>
      </c>
      <c r="L322" s="21">
        <f>SUMIFS(Einzelbeträge!$D:$D,Einzelbeträge!$C:$C,'Ausgaben 2026'!$C322,Einzelbeträge!$E:$E,'Ausgaben 2026'!L$6)</f>
        <v>0</v>
      </c>
      <c r="M322" s="21">
        <f>SUMIFS(Einzelbeträge!$D:$D,Einzelbeträge!$C:$C,'Ausgaben 2026'!$C322,Einzelbeträge!$E:$E,'Ausgaben 2026'!M$6)</f>
        <v>0</v>
      </c>
      <c r="N322" s="35">
        <f>SUMIFS(Einzelbeträge!$D:$D,Einzelbeträge!$C:$C,'Ausgaben 2026'!$C322,Einzelbeträge!$E:$E,'Ausgaben 2026'!N$6)</f>
        <v>0</v>
      </c>
      <c r="O322" s="6"/>
    </row>
    <row r="323" spans="2:15" x14ac:dyDescent="0.35">
      <c r="B323" s="5"/>
      <c r="C323" s="40">
        <f t="shared" si="25"/>
        <v>46311</v>
      </c>
      <c r="D323" s="46">
        <f>SUMIFS(Einzelbeträge!$D:$D,Einzelbeträge!$C:$C,'Ausgaben 2026'!$C323)</f>
        <v>0</v>
      </c>
      <c r="E323" s="21">
        <f>SUMIFS(Einzelbeträge!$D:$D,Einzelbeträge!$C:$C,'Ausgaben 2026'!$C323,Einzelbeträge!$E:$E,'Ausgaben 2026'!E$6)</f>
        <v>0</v>
      </c>
      <c r="F323" s="21">
        <f>SUMIFS(Einzelbeträge!$D:$D,Einzelbeträge!$C:$C,'Ausgaben 2026'!$C323,Einzelbeträge!$E:$E,'Ausgaben 2026'!F$6)</f>
        <v>0</v>
      </c>
      <c r="G323" s="21">
        <f>SUMIFS(Einzelbeträge!$D:$D,Einzelbeträge!$C:$C,'Ausgaben 2026'!$C323,Einzelbeträge!$E:$E,'Ausgaben 2026'!G$6)</f>
        <v>0</v>
      </c>
      <c r="H323" s="21">
        <f>SUMIFS(Einzelbeträge!$D:$D,Einzelbeträge!$C:$C,'Ausgaben 2026'!$C323,Einzelbeträge!$E:$E,'Ausgaben 2026'!H$6)</f>
        <v>0</v>
      </c>
      <c r="I323" s="21">
        <f>SUMIFS(Einzelbeträge!$D:$D,Einzelbeträge!$C:$C,'Ausgaben 2026'!$C323,Einzelbeträge!$E:$E,'Ausgaben 2026'!I$6)</f>
        <v>0</v>
      </c>
      <c r="J323" s="21">
        <f>SUMIFS(Einzelbeträge!$D:$D,Einzelbeträge!$C:$C,'Ausgaben 2026'!$C323,Einzelbeträge!$E:$E,'Ausgaben 2026'!J$6)</f>
        <v>0</v>
      </c>
      <c r="K323" s="21">
        <f>SUMIFS(Einzelbeträge!$D:$D,Einzelbeträge!$C:$C,'Ausgaben 2026'!$C323,Einzelbeträge!$E:$E,'Ausgaben 2026'!K$6)</f>
        <v>0</v>
      </c>
      <c r="L323" s="21">
        <f>SUMIFS(Einzelbeträge!$D:$D,Einzelbeträge!$C:$C,'Ausgaben 2026'!$C323,Einzelbeträge!$E:$E,'Ausgaben 2026'!L$6)</f>
        <v>0</v>
      </c>
      <c r="M323" s="21">
        <f>SUMIFS(Einzelbeträge!$D:$D,Einzelbeträge!$C:$C,'Ausgaben 2026'!$C323,Einzelbeträge!$E:$E,'Ausgaben 2026'!M$6)</f>
        <v>0</v>
      </c>
      <c r="N323" s="35">
        <f>SUMIFS(Einzelbeträge!$D:$D,Einzelbeträge!$C:$C,'Ausgaben 2026'!$C323,Einzelbeträge!$E:$E,'Ausgaben 2026'!N$6)</f>
        <v>0</v>
      </c>
      <c r="O323" s="6"/>
    </row>
    <row r="324" spans="2:15" x14ac:dyDescent="0.35">
      <c r="B324" s="5"/>
      <c r="C324" s="40">
        <f t="shared" si="25"/>
        <v>46312</v>
      </c>
      <c r="D324" s="46">
        <f>SUMIFS(Einzelbeträge!$D:$D,Einzelbeträge!$C:$C,'Ausgaben 2026'!$C324)</f>
        <v>0</v>
      </c>
      <c r="E324" s="21">
        <f>SUMIFS(Einzelbeträge!$D:$D,Einzelbeträge!$C:$C,'Ausgaben 2026'!$C324,Einzelbeträge!$E:$E,'Ausgaben 2026'!E$6)</f>
        <v>0</v>
      </c>
      <c r="F324" s="21">
        <f>SUMIFS(Einzelbeträge!$D:$D,Einzelbeträge!$C:$C,'Ausgaben 2026'!$C324,Einzelbeträge!$E:$E,'Ausgaben 2026'!F$6)</f>
        <v>0</v>
      </c>
      <c r="G324" s="21">
        <f>SUMIFS(Einzelbeträge!$D:$D,Einzelbeträge!$C:$C,'Ausgaben 2026'!$C324,Einzelbeträge!$E:$E,'Ausgaben 2026'!G$6)</f>
        <v>0</v>
      </c>
      <c r="H324" s="21">
        <f>SUMIFS(Einzelbeträge!$D:$D,Einzelbeträge!$C:$C,'Ausgaben 2026'!$C324,Einzelbeträge!$E:$E,'Ausgaben 2026'!H$6)</f>
        <v>0</v>
      </c>
      <c r="I324" s="21">
        <f>SUMIFS(Einzelbeträge!$D:$D,Einzelbeträge!$C:$C,'Ausgaben 2026'!$C324,Einzelbeträge!$E:$E,'Ausgaben 2026'!I$6)</f>
        <v>0</v>
      </c>
      <c r="J324" s="21">
        <f>SUMIFS(Einzelbeträge!$D:$D,Einzelbeträge!$C:$C,'Ausgaben 2026'!$C324,Einzelbeträge!$E:$E,'Ausgaben 2026'!J$6)</f>
        <v>0</v>
      </c>
      <c r="K324" s="21">
        <f>SUMIFS(Einzelbeträge!$D:$D,Einzelbeträge!$C:$C,'Ausgaben 2026'!$C324,Einzelbeträge!$E:$E,'Ausgaben 2026'!K$6)</f>
        <v>0</v>
      </c>
      <c r="L324" s="21">
        <f>SUMIFS(Einzelbeträge!$D:$D,Einzelbeträge!$C:$C,'Ausgaben 2026'!$C324,Einzelbeträge!$E:$E,'Ausgaben 2026'!L$6)</f>
        <v>0</v>
      </c>
      <c r="M324" s="21">
        <f>SUMIFS(Einzelbeträge!$D:$D,Einzelbeträge!$C:$C,'Ausgaben 2026'!$C324,Einzelbeträge!$E:$E,'Ausgaben 2026'!M$6)</f>
        <v>0</v>
      </c>
      <c r="N324" s="35">
        <f>SUMIFS(Einzelbeträge!$D:$D,Einzelbeträge!$C:$C,'Ausgaben 2026'!$C324,Einzelbeträge!$E:$E,'Ausgaben 2026'!N$6)</f>
        <v>0</v>
      </c>
      <c r="O324" s="6"/>
    </row>
    <row r="325" spans="2:15" x14ac:dyDescent="0.35">
      <c r="B325" s="5"/>
      <c r="C325" s="40">
        <f t="shared" si="25"/>
        <v>46313</v>
      </c>
      <c r="D325" s="46">
        <f>SUMIFS(Einzelbeträge!$D:$D,Einzelbeträge!$C:$C,'Ausgaben 2026'!$C325)</f>
        <v>0</v>
      </c>
      <c r="E325" s="21">
        <f>SUMIFS(Einzelbeträge!$D:$D,Einzelbeträge!$C:$C,'Ausgaben 2026'!$C325,Einzelbeträge!$E:$E,'Ausgaben 2026'!E$6)</f>
        <v>0</v>
      </c>
      <c r="F325" s="21">
        <f>SUMIFS(Einzelbeträge!$D:$D,Einzelbeträge!$C:$C,'Ausgaben 2026'!$C325,Einzelbeträge!$E:$E,'Ausgaben 2026'!F$6)</f>
        <v>0</v>
      </c>
      <c r="G325" s="21">
        <f>SUMIFS(Einzelbeträge!$D:$D,Einzelbeträge!$C:$C,'Ausgaben 2026'!$C325,Einzelbeträge!$E:$E,'Ausgaben 2026'!G$6)</f>
        <v>0</v>
      </c>
      <c r="H325" s="21">
        <f>SUMIFS(Einzelbeträge!$D:$D,Einzelbeträge!$C:$C,'Ausgaben 2026'!$C325,Einzelbeträge!$E:$E,'Ausgaben 2026'!H$6)</f>
        <v>0</v>
      </c>
      <c r="I325" s="21">
        <f>SUMIFS(Einzelbeträge!$D:$D,Einzelbeträge!$C:$C,'Ausgaben 2026'!$C325,Einzelbeträge!$E:$E,'Ausgaben 2026'!I$6)</f>
        <v>0</v>
      </c>
      <c r="J325" s="21">
        <f>SUMIFS(Einzelbeträge!$D:$D,Einzelbeträge!$C:$C,'Ausgaben 2026'!$C325,Einzelbeträge!$E:$E,'Ausgaben 2026'!J$6)</f>
        <v>0</v>
      </c>
      <c r="K325" s="21">
        <f>SUMIFS(Einzelbeträge!$D:$D,Einzelbeträge!$C:$C,'Ausgaben 2026'!$C325,Einzelbeträge!$E:$E,'Ausgaben 2026'!K$6)</f>
        <v>0</v>
      </c>
      <c r="L325" s="21">
        <f>SUMIFS(Einzelbeträge!$D:$D,Einzelbeträge!$C:$C,'Ausgaben 2026'!$C325,Einzelbeträge!$E:$E,'Ausgaben 2026'!L$6)</f>
        <v>0</v>
      </c>
      <c r="M325" s="21">
        <f>SUMIFS(Einzelbeträge!$D:$D,Einzelbeträge!$C:$C,'Ausgaben 2026'!$C325,Einzelbeträge!$E:$E,'Ausgaben 2026'!M$6)</f>
        <v>0</v>
      </c>
      <c r="N325" s="35">
        <f>SUMIFS(Einzelbeträge!$D:$D,Einzelbeträge!$C:$C,'Ausgaben 2026'!$C325,Einzelbeträge!$E:$E,'Ausgaben 2026'!N$6)</f>
        <v>0</v>
      </c>
      <c r="O325" s="6"/>
    </row>
    <row r="326" spans="2:15" x14ac:dyDescent="0.35">
      <c r="B326" s="5"/>
      <c r="C326" s="40">
        <f t="shared" si="25"/>
        <v>46314</v>
      </c>
      <c r="D326" s="46">
        <f>SUMIFS(Einzelbeträge!$D:$D,Einzelbeträge!$C:$C,'Ausgaben 2026'!$C326)</f>
        <v>0</v>
      </c>
      <c r="E326" s="21">
        <f>SUMIFS(Einzelbeträge!$D:$D,Einzelbeträge!$C:$C,'Ausgaben 2026'!$C326,Einzelbeträge!$E:$E,'Ausgaben 2026'!E$6)</f>
        <v>0</v>
      </c>
      <c r="F326" s="21">
        <f>SUMIFS(Einzelbeträge!$D:$D,Einzelbeträge!$C:$C,'Ausgaben 2026'!$C326,Einzelbeträge!$E:$E,'Ausgaben 2026'!F$6)</f>
        <v>0</v>
      </c>
      <c r="G326" s="21">
        <f>SUMIFS(Einzelbeträge!$D:$D,Einzelbeträge!$C:$C,'Ausgaben 2026'!$C326,Einzelbeträge!$E:$E,'Ausgaben 2026'!G$6)</f>
        <v>0</v>
      </c>
      <c r="H326" s="21">
        <f>SUMIFS(Einzelbeträge!$D:$D,Einzelbeträge!$C:$C,'Ausgaben 2026'!$C326,Einzelbeträge!$E:$E,'Ausgaben 2026'!H$6)</f>
        <v>0</v>
      </c>
      <c r="I326" s="21">
        <f>SUMIFS(Einzelbeträge!$D:$D,Einzelbeträge!$C:$C,'Ausgaben 2026'!$C326,Einzelbeträge!$E:$E,'Ausgaben 2026'!I$6)</f>
        <v>0</v>
      </c>
      <c r="J326" s="21">
        <f>SUMIFS(Einzelbeträge!$D:$D,Einzelbeträge!$C:$C,'Ausgaben 2026'!$C326,Einzelbeträge!$E:$E,'Ausgaben 2026'!J$6)</f>
        <v>0</v>
      </c>
      <c r="K326" s="21">
        <f>SUMIFS(Einzelbeträge!$D:$D,Einzelbeträge!$C:$C,'Ausgaben 2026'!$C326,Einzelbeträge!$E:$E,'Ausgaben 2026'!K$6)</f>
        <v>0</v>
      </c>
      <c r="L326" s="21">
        <f>SUMIFS(Einzelbeträge!$D:$D,Einzelbeträge!$C:$C,'Ausgaben 2026'!$C326,Einzelbeträge!$E:$E,'Ausgaben 2026'!L$6)</f>
        <v>0</v>
      </c>
      <c r="M326" s="21">
        <f>SUMIFS(Einzelbeträge!$D:$D,Einzelbeträge!$C:$C,'Ausgaben 2026'!$C326,Einzelbeträge!$E:$E,'Ausgaben 2026'!M$6)</f>
        <v>0</v>
      </c>
      <c r="N326" s="35">
        <f>SUMIFS(Einzelbeträge!$D:$D,Einzelbeträge!$C:$C,'Ausgaben 2026'!$C326,Einzelbeträge!$E:$E,'Ausgaben 2026'!N$6)</f>
        <v>0</v>
      </c>
      <c r="O326" s="6"/>
    </row>
    <row r="327" spans="2:15" x14ac:dyDescent="0.35">
      <c r="B327" s="5"/>
      <c r="C327" s="40">
        <f t="shared" si="25"/>
        <v>46315</v>
      </c>
      <c r="D327" s="46">
        <f>SUMIFS(Einzelbeträge!$D:$D,Einzelbeträge!$C:$C,'Ausgaben 2026'!$C327)</f>
        <v>0</v>
      </c>
      <c r="E327" s="21">
        <f>SUMIFS(Einzelbeträge!$D:$D,Einzelbeträge!$C:$C,'Ausgaben 2026'!$C327,Einzelbeträge!$E:$E,'Ausgaben 2026'!E$6)</f>
        <v>0</v>
      </c>
      <c r="F327" s="21">
        <f>SUMIFS(Einzelbeträge!$D:$D,Einzelbeträge!$C:$C,'Ausgaben 2026'!$C327,Einzelbeträge!$E:$E,'Ausgaben 2026'!F$6)</f>
        <v>0</v>
      </c>
      <c r="G327" s="21">
        <f>SUMIFS(Einzelbeträge!$D:$D,Einzelbeträge!$C:$C,'Ausgaben 2026'!$C327,Einzelbeträge!$E:$E,'Ausgaben 2026'!G$6)</f>
        <v>0</v>
      </c>
      <c r="H327" s="21">
        <f>SUMIFS(Einzelbeträge!$D:$D,Einzelbeträge!$C:$C,'Ausgaben 2026'!$C327,Einzelbeträge!$E:$E,'Ausgaben 2026'!H$6)</f>
        <v>0</v>
      </c>
      <c r="I327" s="21">
        <f>SUMIFS(Einzelbeträge!$D:$D,Einzelbeträge!$C:$C,'Ausgaben 2026'!$C327,Einzelbeträge!$E:$E,'Ausgaben 2026'!I$6)</f>
        <v>0</v>
      </c>
      <c r="J327" s="21">
        <f>SUMIFS(Einzelbeträge!$D:$D,Einzelbeträge!$C:$C,'Ausgaben 2026'!$C327,Einzelbeträge!$E:$E,'Ausgaben 2026'!J$6)</f>
        <v>0</v>
      </c>
      <c r="K327" s="21">
        <f>SUMIFS(Einzelbeträge!$D:$D,Einzelbeträge!$C:$C,'Ausgaben 2026'!$C327,Einzelbeträge!$E:$E,'Ausgaben 2026'!K$6)</f>
        <v>0</v>
      </c>
      <c r="L327" s="21">
        <f>SUMIFS(Einzelbeträge!$D:$D,Einzelbeträge!$C:$C,'Ausgaben 2026'!$C327,Einzelbeträge!$E:$E,'Ausgaben 2026'!L$6)</f>
        <v>0</v>
      </c>
      <c r="M327" s="21">
        <f>SUMIFS(Einzelbeträge!$D:$D,Einzelbeträge!$C:$C,'Ausgaben 2026'!$C327,Einzelbeträge!$E:$E,'Ausgaben 2026'!M$6)</f>
        <v>0</v>
      </c>
      <c r="N327" s="35">
        <f>SUMIFS(Einzelbeträge!$D:$D,Einzelbeträge!$C:$C,'Ausgaben 2026'!$C327,Einzelbeträge!$E:$E,'Ausgaben 2026'!N$6)</f>
        <v>0</v>
      </c>
      <c r="O327" s="6"/>
    </row>
    <row r="328" spans="2:15" x14ac:dyDescent="0.35">
      <c r="B328" s="5"/>
      <c r="C328" s="40">
        <f t="shared" si="25"/>
        <v>46316</v>
      </c>
      <c r="D328" s="46">
        <f>SUMIFS(Einzelbeträge!$D:$D,Einzelbeträge!$C:$C,'Ausgaben 2026'!$C328)</f>
        <v>0</v>
      </c>
      <c r="E328" s="21">
        <f>SUMIFS(Einzelbeträge!$D:$D,Einzelbeträge!$C:$C,'Ausgaben 2026'!$C328,Einzelbeträge!$E:$E,'Ausgaben 2026'!E$6)</f>
        <v>0</v>
      </c>
      <c r="F328" s="21">
        <f>SUMIFS(Einzelbeträge!$D:$D,Einzelbeträge!$C:$C,'Ausgaben 2026'!$C328,Einzelbeträge!$E:$E,'Ausgaben 2026'!F$6)</f>
        <v>0</v>
      </c>
      <c r="G328" s="21">
        <f>SUMIFS(Einzelbeträge!$D:$D,Einzelbeträge!$C:$C,'Ausgaben 2026'!$C328,Einzelbeträge!$E:$E,'Ausgaben 2026'!G$6)</f>
        <v>0</v>
      </c>
      <c r="H328" s="21">
        <f>SUMIFS(Einzelbeträge!$D:$D,Einzelbeträge!$C:$C,'Ausgaben 2026'!$C328,Einzelbeträge!$E:$E,'Ausgaben 2026'!H$6)</f>
        <v>0</v>
      </c>
      <c r="I328" s="21">
        <f>SUMIFS(Einzelbeträge!$D:$D,Einzelbeträge!$C:$C,'Ausgaben 2026'!$C328,Einzelbeträge!$E:$E,'Ausgaben 2026'!I$6)</f>
        <v>0</v>
      </c>
      <c r="J328" s="21">
        <f>SUMIFS(Einzelbeträge!$D:$D,Einzelbeträge!$C:$C,'Ausgaben 2026'!$C328,Einzelbeträge!$E:$E,'Ausgaben 2026'!J$6)</f>
        <v>0</v>
      </c>
      <c r="K328" s="21">
        <f>SUMIFS(Einzelbeträge!$D:$D,Einzelbeträge!$C:$C,'Ausgaben 2026'!$C328,Einzelbeträge!$E:$E,'Ausgaben 2026'!K$6)</f>
        <v>0</v>
      </c>
      <c r="L328" s="21">
        <f>SUMIFS(Einzelbeträge!$D:$D,Einzelbeträge!$C:$C,'Ausgaben 2026'!$C328,Einzelbeträge!$E:$E,'Ausgaben 2026'!L$6)</f>
        <v>0</v>
      </c>
      <c r="M328" s="21">
        <f>SUMIFS(Einzelbeträge!$D:$D,Einzelbeträge!$C:$C,'Ausgaben 2026'!$C328,Einzelbeträge!$E:$E,'Ausgaben 2026'!M$6)</f>
        <v>0</v>
      </c>
      <c r="N328" s="35">
        <f>SUMIFS(Einzelbeträge!$D:$D,Einzelbeträge!$C:$C,'Ausgaben 2026'!$C328,Einzelbeträge!$E:$E,'Ausgaben 2026'!N$6)</f>
        <v>0</v>
      </c>
      <c r="O328" s="6"/>
    </row>
    <row r="329" spans="2:15" x14ac:dyDescent="0.35">
      <c r="B329" s="5"/>
      <c r="C329" s="40">
        <f t="shared" si="25"/>
        <v>46317</v>
      </c>
      <c r="D329" s="46">
        <f>SUMIFS(Einzelbeträge!$D:$D,Einzelbeträge!$C:$C,'Ausgaben 2026'!$C329)</f>
        <v>0</v>
      </c>
      <c r="E329" s="21">
        <f>SUMIFS(Einzelbeträge!$D:$D,Einzelbeträge!$C:$C,'Ausgaben 2026'!$C329,Einzelbeträge!$E:$E,'Ausgaben 2026'!E$6)</f>
        <v>0</v>
      </c>
      <c r="F329" s="21">
        <f>SUMIFS(Einzelbeträge!$D:$D,Einzelbeträge!$C:$C,'Ausgaben 2026'!$C329,Einzelbeträge!$E:$E,'Ausgaben 2026'!F$6)</f>
        <v>0</v>
      </c>
      <c r="G329" s="21">
        <f>SUMIFS(Einzelbeträge!$D:$D,Einzelbeträge!$C:$C,'Ausgaben 2026'!$C329,Einzelbeträge!$E:$E,'Ausgaben 2026'!G$6)</f>
        <v>0</v>
      </c>
      <c r="H329" s="21">
        <f>SUMIFS(Einzelbeträge!$D:$D,Einzelbeträge!$C:$C,'Ausgaben 2026'!$C329,Einzelbeträge!$E:$E,'Ausgaben 2026'!H$6)</f>
        <v>0</v>
      </c>
      <c r="I329" s="21">
        <f>SUMIFS(Einzelbeträge!$D:$D,Einzelbeträge!$C:$C,'Ausgaben 2026'!$C329,Einzelbeträge!$E:$E,'Ausgaben 2026'!I$6)</f>
        <v>0</v>
      </c>
      <c r="J329" s="21">
        <f>SUMIFS(Einzelbeträge!$D:$D,Einzelbeträge!$C:$C,'Ausgaben 2026'!$C329,Einzelbeträge!$E:$E,'Ausgaben 2026'!J$6)</f>
        <v>0</v>
      </c>
      <c r="K329" s="21">
        <f>SUMIFS(Einzelbeträge!$D:$D,Einzelbeträge!$C:$C,'Ausgaben 2026'!$C329,Einzelbeträge!$E:$E,'Ausgaben 2026'!K$6)</f>
        <v>0</v>
      </c>
      <c r="L329" s="21">
        <f>SUMIFS(Einzelbeträge!$D:$D,Einzelbeträge!$C:$C,'Ausgaben 2026'!$C329,Einzelbeträge!$E:$E,'Ausgaben 2026'!L$6)</f>
        <v>0</v>
      </c>
      <c r="M329" s="21">
        <f>SUMIFS(Einzelbeträge!$D:$D,Einzelbeträge!$C:$C,'Ausgaben 2026'!$C329,Einzelbeträge!$E:$E,'Ausgaben 2026'!M$6)</f>
        <v>0</v>
      </c>
      <c r="N329" s="35">
        <f>SUMIFS(Einzelbeträge!$D:$D,Einzelbeträge!$C:$C,'Ausgaben 2026'!$C329,Einzelbeträge!$E:$E,'Ausgaben 2026'!N$6)</f>
        <v>0</v>
      </c>
      <c r="O329" s="6"/>
    </row>
    <row r="330" spans="2:15" x14ac:dyDescent="0.35">
      <c r="B330" s="5"/>
      <c r="C330" s="40">
        <f t="shared" si="25"/>
        <v>46318</v>
      </c>
      <c r="D330" s="46">
        <f>SUMIFS(Einzelbeträge!$D:$D,Einzelbeträge!$C:$C,'Ausgaben 2026'!$C330)</f>
        <v>0</v>
      </c>
      <c r="E330" s="21">
        <f>SUMIFS(Einzelbeträge!$D:$D,Einzelbeträge!$C:$C,'Ausgaben 2026'!$C330,Einzelbeträge!$E:$E,'Ausgaben 2026'!E$6)</f>
        <v>0</v>
      </c>
      <c r="F330" s="21">
        <f>SUMIFS(Einzelbeträge!$D:$D,Einzelbeträge!$C:$C,'Ausgaben 2026'!$C330,Einzelbeträge!$E:$E,'Ausgaben 2026'!F$6)</f>
        <v>0</v>
      </c>
      <c r="G330" s="21">
        <f>SUMIFS(Einzelbeträge!$D:$D,Einzelbeträge!$C:$C,'Ausgaben 2026'!$C330,Einzelbeträge!$E:$E,'Ausgaben 2026'!G$6)</f>
        <v>0</v>
      </c>
      <c r="H330" s="21">
        <f>SUMIFS(Einzelbeträge!$D:$D,Einzelbeträge!$C:$C,'Ausgaben 2026'!$C330,Einzelbeträge!$E:$E,'Ausgaben 2026'!H$6)</f>
        <v>0</v>
      </c>
      <c r="I330" s="21">
        <f>SUMIFS(Einzelbeträge!$D:$D,Einzelbeträge!$C:$C,'Ausgaben 2026'!$C330,Einzelbeträge!$E:$E,'Ausgaben 2026'!I$6)</f>
        <v>0</v>
      </c>
      <c r="J330" s="21">
        <f>SUMIFS(Einzelbeträge!$D:$D,Einzelbeträge!$C:$C,'Ausgaben 2026'!$C330,Einzelbeträge!$E:$E,'Ausgaben 2026'!J$6)</f>
        <v>0</v>
      </c>
      <c r="K330" s="21">
        <f>SUMIFS(Einzelbeträge!$D:$D,Einzelbeträge!$C:$C,'Ausgaben 2026'!$C330,Einzelbeträge!$E:$E,'Ausgaben 2026'!K$6)</f>
        <v>0</v>
      </c>
      <c r="L330" s="21">
        <f>SUMIFS(Einzelbeträge!$D:$D,Einzelbeträge!$C:$C,'Ausgaben 2026'!$C330,Einzelbeträge!$E:$E,'Ausgaben 2026'!L$6)</f>
        <v>0</v>
      </c>
      <c r="M330" s="21">
        <f>SUMIFS(Einzelbeträge!$D:$D,Einzelbeträge!$C:$C,'Ausgaben 2026'!$C330,Einzelbeträge!$E:$E,'Ausgaben 2026'!M$6)</f>
        <v>0</v>
      </c>
      <c r="N330" s="35">
        <f>SUMIFS(Einzelbeträge!$D:$D,Einzelbeträge!$C:$C,'Ausgaben 2026'!$C330,Einzelbeträge!$E:$E,'Ausgaben 2026'!N$6)</f>
        <v>0</v>
      </c>
      <c r="O330" s="6"/>
    </row>
    <row r="331" spans="2:15" x14ac:dyDescent="0.35">
      <c r="B331" s="5"/>
      <c r="C331" s="40">
        <f t="shared" si="25"/>
        <v>46319</v>
      </c>
      <c r="D331" s="46">
        <f>SUMIFS(Einzelbeträge!$D:$D,Einzelbeträge!$C:$C,'Ausgaben 2026'!$C331)</f>
        <v>0</v>
      </c>
      <c r="E331" s="21">
        <f>SUMIFS(Einzelbeträge!$D:$D,Einzelbeträge!$C:$C,'Ausgaben 2026'!$C331,Einzelbeträge!$E:$E,'Ausgaben 2026'!E$6)</f>
        <v>0</v>
      </c>
      <c r="F331" s="21">
        <f>SUMIFS(Einzelbeträge!$D:$D,Einzelbeträge!$C:$C,'Ausgaben 2026'!$C331,Einzelbeträge!$E:$E,'Ausgaben 2026'!F$6)</f>
        <v>0</v>
      </c>
      <c r="G331" s="21">
        <f>SUMIFS(Einzelbeträge!$D:$D,Einzelbeträge!$C:$C,'Ausgaben 2026'!$C331,Einzelbeträge!$E:$E,'Ausgaben 2026'!G$6)</f>
        <v>0</v>
      </c>
      <c r="H331" s="21">
        <f>SUMIFS(Einzelbeträge!$D:$D,Einzelbeträge!$C:$C,'Ausgaben 2026'!$C331,Einzelbeträge!$E:$E,'Ausgaben 2026'!H$6)</f>
        <v>0</v>
      </c>
      <c r="I331" s="21">
        <f>SUMIFS(Einzelbeträge!$D:$D,Einzelbeträge!$C:$C,'Ausgaben 2026'!$C331,Einzelbeträge!$E:$E,'Ausgaben 2026'!I$6)</f>
        <v>0</v>
      </c>
      <c r="J331" s="21">
        <f>SUMIFS(Einzelbeträge!$D:$D,Einzelbeträge!$C:$C,'Ausgaben 2026'!$C331,Einzelbeträge!$E:$E,'Ausgaben 2026'!J$6)</f>
        <v>0</v>
      </c>
      <c r="K331" s="21">
        <f>SUMIFS(Einzelbeträge!$D:$D,Einzelbeträge!$C:$C,'Ausgaben 2026'!$C331,Einzelbeträge!$E:$E,'Ausgaben 2026'!K$6)</f>
        <v>0</v>
      </c>
      <c r="L331" s="21">
        <f>SUMIFS(Einzelbeträge!$D:$D,Einzelbeträge!$C:$C,'Ausgaben 2026'!$C331,Einzelbeträge!$E:$E,'Ausgaben 2026'!L$6)</f>
        <v>0</v>
      </c>
      <c r="M331" s="21">
        <f>SUMIFS(Einzelbeträge!$D:$D,Einzelbeträge!$C:$C,'Ausgaben 2026'!$C331,Einzelbeträge!$E:$E,'Ausgaben 2026'!M$6)</f>
        <v>0</v>
      </c>
      <c r="N331" s="35">
        <f>SUMIFS(Einzelbeträge!$D:$D,Einzelbeträge!$C:$C,'Ausgaben 2026'!$C331,Einzelbeträge!$E:$E,'Ausgaben 2026'!N$6)</f>
        <v>0</v>
      </c>
      <c r="O331" s="6"/>
    </row>
    <row r="332" spans="2:15" x14ac:dyDescent="0.35">
      <c r="B332" s="5"/>
      <c r="C332" s="40">
        <f t="shared" si="25"/>
        <v>46320</v>
      </c>
      <c r="D332" s="46">
        <f>SUMIFS(Einzelbeträge!$D:$D,Einzelbeträge!$C:$C,'Ausgaben 2026'!$C332)</f>
        <v>0</v>
      </c>
      <c r="E332" s="21">
        <f>SUMIFS(Einzelbeträge!$D:$D,Einzelbeträge!$C:$C,'Ausgaben 2026'!$C332,Einzelbeträge!$E:$E,'Ausgaben 2026'!E$6)</f>
        <v>0</v>
      </c>
      <c r="F332" s="21">
        <f>SUMIFS(Einzelbeträge!$D:$D,Einzelbeträge!$C:$C,'Ausgaben 2026'!$C332,Einzelbeträge!$E:$E,'Ausgaben 2026'!F$6)</f>
        <v>0</v>
      </c>
      <c r="G332" s="21">
        <f>SUMIFS(Einzelbeträge!$D:$D,Einzelbeträge!$C:$C,'Ausgaben 2026'!$C332,Einzelbeträge!$E:$E,'Ausgaben 2026'!G$6)</f>
        <v>0</v>
      </c>
      <c r="H332" s="21">
        <f>SUMIFS(Einzelbeträge!$D:$D,Einzelbeträge!$C:$C,'Ausgaben 2026'!$C332,Einzelbeträge!$E:$E,'Ausgaben 2026'!H$6)</f>
        <v>0</v>
      </c>
      <c r="I332" s="21">
        <f>SUMIFS(Einzelbeträge!$D:$D,Einzelbeträge!$C:$C,'Ausgaben 2026'!$C332,Einzelbeträge!$E:$E,'Ausgaben 2026'!I$6)</f>
        <v>0</v>
      </c>
      <c r="J332" s="21">
        <f>SUMIFS(Einzelbeträge!$D:$D,Einzelbeträge!$C:$C,'Ausgaben 2026'!$C332,Einzelbeträge!$E:$E,'Ausgaben 2026'!J$6)</f>
        <v>0</v>
      </c>
      <c r="K332" s="21">
        <f>SUMIFS(Einzelbeträge!$D:$D,Einzelbeträge!$C:$C,'Ausgaben 2026'!$C332,Einzelbeträge!$E:$E,'Ausgaben 2026'!K$6)</f>
        <v>0</v>
      </c>
      <c r="L332" s="21">
        <f>SUMIFS(Einzelbeträge!$D:$D,Einzelbeträge!$C:$C,'Ausgaben 2026'!$C332,Einzelbeträge!$E:$E,'Ausgaben 2026'!L$6)</f>
        <v>0</v>
      </c>
      <c r="M332" s="21">
        <f>SUMIFS(Einzelbeträge!$D:$D,Einzelbeträge!$C:$C,'Ausgaben 2026'!$C332,Einzelbeträge!$E:$E,'Ausgaben 2026'!M$6)</f>
        <v>0</v>
      </c>
      <c r="N332" s="35">
        <f>SUMIFS(Einzelbeträge!$D:$D,Einzelbeträge!$C:$C,'Ausgaben 2026'!$C332,Einzelbeträge!$E:$E,'Ausgaben 2026'!N$6)</f>
        <v>0</v>
      </c>
      <c r="O332" s="6"/>
    </row>
    <row r="333" spans="2:15" x14ac:dyDescent="0.35">
      <c r="B333" s="5"/>
      <c r="C333" s="40">
        <f t="shared" si="25"/>
        <v>46321</v>
      </c>
      <c r="D333" s="46">
        <f>SUMIFS(Einzelbeträge!$D:$D,Einzelbeträge!$C:$C,'Ausgaben 2026'!$C333)</f>
        <v>0</v>
      </c>
      <c r="E333" s="21">
        <f>SUMIFS(Einzelbeträge!$D:$D,Einzelbeträge!$C:$C,'Ausgaben 2026'!$C333,Einzelbeträge!$E:$E,'Ausgaben 2026'!E$6)</f>
        <v>0</v>
      </c>
      <c r="F333" s="21">
        <f>SUMIFS(Einzelbeträge!$D:$D,Einzelbeträge!$C:$C,'Ausgaben 2026'!$C333,Einzelbeträge!$E:$E,'Ausgaben 2026'!F$6)</f>
        <v>0</v>
      </c>
      <c r="G333" s="21">
        <f>SUMIFS(Einzelbeträge!$D:$D,Einzelbeträge!$C:$C,'Ausgaben 2026'!$C333,Einzelbeträge!$E:$E,'Ausgaben 2026'!G$6)</f>
        <v>0</v>
      </c>
      <c r="H333" s="21">
        <f>SUMIFS(Einzelbeträge!$D:$D,Einzelbeträge!$C:$C,'Ausgaben 2026'!$C333,Einzelbeträge!$E:$E,'Ausgaben 2026'!H$6)</f>
        <v>0</v>
      </c>
      <c r="I333" s="21">
        <f>SUMIFS(Einzelbeträge!$D:$D,Einzelbeträge!$C:$C,'Ausgaben 2026'!$C333,Einzelbeträge!$E:$E,'Ausgaben 2026'!I$6)</f>
        <v>0</v>
      </c>
      <c r="J333" s="21">
        <f>SUMIFS(Einzelbeträge!$D:$D,Einzelbeträge!$C:$C,'Ausgaben 2026'!$C333,Einzelbeträge!$E:$E,'Ausgaben 2026'!J$6)</f>
        <v>0</v>
      </c>
      <c r="K333" s="21">
        <f>SUMIFS(Einzelbeträge!$D:$D,Einzelbeträge!$C:$C,'Ausgaben 2026'!$C333,Einzelbeträge!$E:$E,'Ausgaben 2026'!K$6)</f>
        <v>0</v>
      </c>
      <c r="L333" s="21">
        <f>SUMIFS(Einzelbeträge!$D:$D,Einzelbeträge!$C:$C,'Ausgaben 2026'!$C333,Einzelbeträge!$E:$E,'Ausgaben 2026'!L$6)</f>
        <v>0</v>
      </c>
      <c r="M333" s="21">
        <f>SUMIFS(Einzelbeträge!$D:$D,Einzelbeträge!$C:$C,'Ausgaben 2026'!$C333,Einzelbeträge!$E:$E,'Ausgaben 2026'!M$6)</f>
        <v>0</v>
      </c>
      <c r="N333" s="35">
        <f>SUMIFS(Einzelbeträge!$D:$D,Einzelbeträge!$C:$C,'Ausgaben 2026'!$C333,Einzelbeträge!$E:$E,'Ausgaben 2026'!N$6)</f>
        <v>0</v>
      </c>
      <c r="O333" s="6"/>
    </row>
    <row r="334" spans="2:15" x14ac:dyDescent="0.35">
      <c r="B334" s="5"/>
      <c r="C334" s="40">
        <f t="shared" si="25"/>
        <v>46322</v>
      </c>
      <c r="D334" s="46">
        <f>SUMIFS(Einzelbeträge!$D:$D,Einzelbeträge!$C:$C,'Ausgaben 2026'!$C334)</f>
        <v>0</v>
      </c>
      <c r="E334" s="21">
        <f>SUMIFS(Einzelbeträge!$D:$D,Einzelbeträge!$C:$C,'Ausgaben 2026'!$C334,Einzelbeträge!$E:$E,'Ausgaben 2026'!E$6)</f>
        <v>0</v>
      </c>
      <c r="F334" s="21">
        <f>SUMIFS(Einzelbeträge!$D:$D,Einzelbeträge!$C:$C,'Ausgaben 2026'!$C334,Einzelbeträge!$E:$E,'Ausgaben 2026'!F$6)</f>
        <v>0</v>
      </c>
      <c r="G334" s="21">
        <f>SUMIFS(Einzelbeträge!$D:$D,Einzelbeträge!$C:$C,'Ausgaben 2026'!$C334,Einzelbeträge!$E:$E,'Ausgaben 2026'!G$6)</f>
        <v>0</v>
      </c>
      <c r="H334" s="21">
        <f>SUMIFS(Einzelbeträge!$D:$D,Einzelbeträge!$C:$C,'Ausgaben 2026'!$C334,Einzelbeträge!$E:$E,'Ausgaben 2026'!H$6)</f>
        <v>0</v>
      </c>
      <c r="I334" s="21">
        <f>SUMIFS(Einzelbeträge!$D:$D,Einzelbeträge!$C:$C,'Ausgaben 2026'!$C334,Einzelbeträge!$E:$E,'Ausgaben 2026'!I$6)</f>
        <v>0</v>
      </c>
      <c r="J334" s="21">
        <f>SUMIFS(Einzelbeträge!$D:$D,Einzelbeträge!$C:$C,'Ausgaben 2026'!$C334,Einzelbeträge!$E:$E,'Ausgaben 2026'!J$6)</f>
        <v>0</v>
      </c>
      <c r="K334" s="21">
        <f>SUMIFS(Einzelbeträge!$D:$D,Einzelbeträge!$C:$C,'Ausgaben 2026'!$C334,Einzelbeträge!$E:$E,'Ausgaben 2026'!K$6)</f>
        <v>0</v>
      </c>
      <c r="L334" s="21">
        <f>SUMIFS(Einzelbeträge!$D:$D,Einzelbeträge!$C:$C,'Ausgaben 2026'!$C334,Einzelbeträge!$E:$E,'Ausgaben 2026'!L$6)</f>
        <v>0</v>
      </c>
      <c r="M334" s="21">
        <f>SUMIFS(Einzelbeträge!$D:$D,Einzelbeträge!$C:$C,'Ausgaben 2026'!$C334,Einzelbeträge!$E:$E,'Ausgaben 2026'!M$6)</f>
        <v>0</v>
      </c>
      <c r="N334" s="35">
        <f>SUMIFS(Einzelbeträge!$D:$D,Einzelbeträge!$C:$C,'Ausgaben 2026'!$C334,Einzelbeträge!$E:$E,'Ausgaben 2026'!N$6)</f>
        <v>0</v>
      </c>
      <c r="O334" s="6"/>
    </row>
    <row r="335" spans="2:15" x14ac:dyDescent="0.35">
      <c r="B335" s="5"/>
      <c r="C335" s="40">
        <f t="shared" si="25"/>
        <v>46323</v>
      </c>
      <c r="D335" s="46">
        <f>SUMIFS(Einzelbeträge!$D:$D,Einzelbeträge!$C:$C,'Ausgaben 2026'!$C335)</f>
        <v>0</v>
      </c>
      <c r="E335" s="21">
        <f>SUMIFS(Einzelbeträge!$D:$D,Einzelbeträge!$C:$C,'Ausgaben 2026'!$C335,Einzelbeträge!$E:$E,'Ausgaben 2026'!E$6)</f>
        <v>0</v>
      </c>
      <c r="F335" s="21">
        <f>SUMIFS(Einzelbeträge!$D:$D,Einzelbeträge!$C:$C,'Ausgaben 2026'!$C335,Einzelbeträge!$E:$E,'Ausgaben 2026'!F$6)</f>
        <v>0</v>
      </c>
      <c r="G335" s="21">
        <f>SUMIFS(Einzelbeträge!$D:$D,Einzelbeträge!$C:$C,'Ausgaben 2026'!$C335,Einzelbeträge!$E:$E,'Ausgaben 2026'!G$6)</f>
        <v>0</v>
      </c>
      <c r="H335" s="21">
        <f>SUMIFS(Einzelbeträge!$D:$D,Einzelbeträge!$C:$C,'Ausgaben 2026'!$C335,Einzelbeträge!$E:$E,'Ausgaben 2026'!H$6)</f>
        <v>0</v>
      </c>
      <c r="I335" s="21">
        <f>SUMIFS(Einzelbeträge!$D:$D,Einzelbeträge!$C:$C,'Ausgaben 2026'!$C335,Einzelbeträge!$E:$E,'Ausgaben 2026'!I$6)</f>
        <v>0</v>
      </c>
      <c r="J335" s="21">
        <f>SUMIFS(Einzelbeträge!$D:$D,Einzelbeträge!$C:$C,'Ausgaben 2026'!$C335,Einzelbeträge!$E:$E,'Ausgaben 2026'!J$6)</f>
        <v>0</v>
      </c>
      <c r="K335" s="21">
        <f>SUMIFS(Einzelbeträge!$D:$D,Einzelbeträge!$C:$C,'Ausgaben 2026'!$C335,Einzelbeträge!$E:$E,'Ausgaben 2026'!K$6)</f>
        <v>0</v>
      </c>
      <c r="L335" s="21">
        <f>SUMIFS(Einzelbeträge!$D:$D,Einzelbeträge!$C:$C,'Ausgaben 2026'!$C335,Einzelbeträge!$E:$E,'Ausgaben 2026'!L$6)</f>
        <v>0</v>
      </c>
      <c r="M335" s="21">
        <f>SUMIFS(Einzelbeträge!$D:$D,Einzelbeträge!$C:$C,'Ausgaben 2026'!$C335,Einzelbeträge!$E:$E,'Ausgaben 2026'!M$6)</f>
        <v>0</v>
      </c>
      <c r="N335" s="35">
        <f>SUMIFS(Einzelbeträge!$D:$D,Einzelbeträge!$C:$C,'Ausgaben 2026'!$C335,Einzelbeträge!$E:$E,'Ausgaben 2026'!N$6)</f>
        <v>0</v>
      </c>
      <c r="O335" s="6"/>
    </row>
    <row r="336" spans="2:15" x14ac:dyDescent="0.35">
      <c r="B336" s="5"/>
      <c r="C336" s="40">
        <f t="shared" si="25"/>
        <v>46324</v>
      </c>
      <c r="D336" s="46">
        <f>SUMIFS(Einzelbeträge!$D:$D,Einzelbeträge!$C:$C,'Ausgaben 2026'!$C336)</f>
        <v>0</v>
      </c>
      <c r="E336" s="21">
        <f>SUMIFS(Einzelbeträge!$D:$D,Einzelbeträge!$C:$C,'Ausgaben 2026'!$C336,Einzelbeträge!$E:$E,'Ausgaben 2026'!E$6)</f>
        <v>0</v>
      </c>
      <c r="F336" s="21">
        <f>SUMIFS(Einzelbeträge!$D:$D,Einzelbeträge!$C:$C,'Ausgaben 2026'!$C336,Einzelbeträge!$E:$E,'Ausgaben 2026'!F$6)</f>
        <v>0</v>
      </c>
      <c r="G336" s="21">
        <f>SUMIFS(Einzelbeträge!$D:$D,Einzelbeträge!$C:$C,'Ausgaben 2026'!$C336,Einzelbeträge!$E:$E,'Ausgaben 2026'!G$6)</f>
        <v>0</v>
      </c>
      <c r="H336" s="21">
        <f>SUMIFS(Einzelbeträge!$D:$D,Einzelbeträge!$C:$C,'Ausgaben 2026'!$C336,Einzelbeträge!$E:$E,'Ausgaben 2026'!H$6)</f>
        <v>0</v>
      </c>
      <c r="I336" s="21">
        <f>SUMIFS(Einzelbeträge!$D:$D,Einzelbeträge!$C:$C,'Ausgaben 2026'!$C336,Einzelbeträge!$E:$E,'Ausgaben 2026'!I$6)</f>
        <v>0</v>
      </c>
      <c r="J336" s="21">
        <f>SUMIFS(Einzelbeträge!$D:$D,Einzelbeträge!$C:$C,'Ausgaben 2026'!$C336,Einzelbeträge!$E:$E,'Ausgaben 2026'!J$6)</f>
        <v>0</v>
      </c>
      <c r="K336" s="21">
        <f>SUMIFS(Einzelbeträge!$D:$D,Einzelbeträge!$C:$C,'Ausgaben 2026'!$C336,Einzelbeträge!$E:$E,'Ausgaben 2026'!K$6)</f>
        <v>0</v>
      </c>
      <c r="L336" s="21">
        <f>SUMIFS(Einzelbeträge!$D:$D,Einzelbeträge!$C:$C,'Ausgaben 2026'!$C336,Einzelbeträge!$E:$E,'Ausgaben 2026'!L$6)</f>
        <v>0</v>
      </c>
      <c r="M336" s="21">
        <f>SUMIFS(Einzelbeträge!$D:$D,Einzelbeträge!$C:$C,'Ausgaben 2026'!$C336,Einzelbeträge!$E:$E,'Ausgaben 2026'!M$6)</f>
        <v>0</v>
      </c>
      <c r="N336" s="35">
        <f>SUMIFS(Einzelbeträge!$D:$D,Einzelbeträge!$C:$C,'Ausgaben 2026'!$C336,Einzelbeträge!$E:$E,'Ausgaben 2026'!N$6)</f>
        <v>0</v>
      </c>
      <c r="O336" s="6"/>
    </row>
    <row r="337" spans="2:15" x14ac:dyDescent="0.35">
      <c r="B337" s="5"/>
      <c r="C337" s="40">
        <f t="shared" si="25"/>
        <v>46325</v>
      </c>
      <c r="D337" s="46">
        <f>SUMIFS(Einzelbeträge!$D:$D,Einzelbeträge!$C:$C,'Ausgaben 2026'!$C337)</f>
        <v>0</v>
      </c>
      <c r="E337" s="21">
        <f>SUMIFS(Einzelbeträge!$D:$D,Einzelbeträge!$C:$C,'Ausgaben 2026'!$C337,Einzelbeträge!$E:$E,'Ausgaben 2026'!E$6)</f>
        <v>0</v>
      </c>
      <c r="F337" s="21">
        <f>SUMIFS(Einzelbeträge!$D:$D,Einzelbeträge!$C:$C,'Ausgaben 2026'!$C337,Einzelbeträge!$E:$E,'Ausgaben 2026'!F$6)</f>
        <v>0</v>
      </c>
      <c r="G337" s="21">
        <f>SUMIFS(Einzelbeträge!$D:$D,Einzelbeträge!$C:$C,'Ausgaben 2026'!$C337,Einzelbeträge!$E:$E,'Ausgaben 2026'!G$6)</f>
        <v>0</v>
      </c>
      <c r="H337" s="21">
        <f>SUMIFS(Einzelbeträge!$D:$D,Einzelbeträge!$C:$C,'Ausgaben 2026'!$C337,Einzelbeträge!$E:$E,'Ausgaben 2026'!H$6)</f>
        <v>0</v>
      </c>
      <c r="I337" s="21">
        <f>SUMIFS(Einzelbeträge!$D:$D,Einzelbeträge!$C:$C,'Ausgaben 2026'!$C337,Einzelbeträge!$E:$E,'Ausgaben 2026'!I$6)</f>
        <v>0</v>
      </c>
      <c r="J337" s="21">
        <f>SUMIFS(Einzelbeträge!$D:$D,Einzelbeträge!$C:$C,'Ausgaben 2026'!$C337,Einzelbeträge!$E:$E,'Ausgaben 2026'!J$6)</f>
        <v>0</v>
      </c>
      <c r="K337" s="21">
        <f>SUMIFS(Einzelbeträge!$D:$D,Einzelbeträge!$C:$C,'Ausgaben 2026'!$C337,Einzelbeträge!$E:$E,'Ausgaben 2026'!K$6)</f>
        <v>0</v>
      </c>
      <c r="L337" s="21">
        <f>SUMIFS(Einzelbeträge!$D:$D,Einzelbeträge!$C:$C,'Ausgaben 2026'!$C337,Einzelbeträge!$E:$E,'Ausgaben 2026'!L$6)</f>
        <v>0</v>
      </c>
      <c r="M337" s="21">
        <f>SUMIFS(Einzelbeträge!$D:$D,Einzelbeträge!$C:$C,'Ausgaben 2026'!$C337,Einzelbeträge!$E:$E,'Ausgaben 2026'!M$6)</f>
        <v>0</v>
      </c>
      <c r="N337" s="35">
        <f>SUMIFS(Einzelbeträge!$D:$D,Einzelbeträge!$C:$C,'Ausgaben 2026'!$C337,Einzelbeträge!$E:$E,'Ausgaben 2026'!N$6)</f>
        <v>0</v>
      </c>
      <c r="O337" s="6"/>
    </row>
    <row r="338" spans="2:15" x14ac:dyDescent="0.35">
      <c r="B338" s="5"/>
      <c r="C338" s="31">
        <f t="shared" si="25"/>
        <v>46326</v>
      </c>
      <c r="D338" s="47">
        <f>SUMIFS(Einzelbeträge!$D:$D,Einzelbeträge!$C:$C,'Ausgaben 2026'!$C338)</f>
        <v>0</v>
      </c>
      <c r="E338" s="37">
        <f>SUMIFS(Einzelbeträge!$D:$D,Einzelbeträge!$C:$C,'Ausgaben 2026'!$C338,Einzelbeträge!$E:$E,'Ausgaben 2026'!E$6)</f>
        <v>0</v>
      </c>
      <c r="F338" s="37">
        <f>SUMIFS(Einzelbeträge!$D:$D,Einzelbeträge!$C:$C,'Ausgaben 2026'!$C338,Einzelbeträge!$E:$E,'Ausgaben 2026'!F$6)</f>
        <v>0</v>
      </c>
      <c r="G338" s="37">
        <f>SUMIFS(Einzelbeträge!$D:$D,Einzelbeträge!$C:$C,'Ausgaben 2026'!$C338,Einzelbeträge!$E:$E,'Ausgaben 2026'!G$6)</f>
        <v>0</v>
      </c>
      <c r="H338" s="37">
        <f>SUMIFS(Einzelbeträge!$D:$D,Einzelbeträge!$C:$C,'Ausgaben 2026'!$C338,Einzelbeträge!$E:$E,'Ausgaben 2026'!H$6)</f>
        <v>0</v>
      </c>
      <c r="I338" s="37">
        <f>SUMIFS(Einzelbeträge!$D:$D,Einzelbeträge!$C:$C,'Ausgaben 2026'!$C338,Einzelbeträge!$E:$E,'Ausgaben 2026'!I$6)</f>
        <v>0</v>
      </c>
      <c r="J338" s="37">
        <f>SUMIFS(Einzelbeträge!$D:$D,Einzelbeträge!$C:$C,'Ausgaben 2026'!$C338,Einzelbeträge!$E:$E,'Ausgaben 2026'!J$6)</f>
        <v>0</v>
      </c>
      <c r="K338" s="37">
        <f>SUMIFS(Einzelbeträge!$D:$D,Einzelbeträge!$C:$C,'Ausgaben 2026'!$C338,Einzelbeträge!$E:$E,'Ausgaben 2026'!K$6)</f>
        <v>0</v>
      </c>
      <c r="L338" s="37">
        <f>SUMIFS(Einzelbeträge!$D:$D,Einzelbeträge!$C:$C,'Ausgaben 2026'!$C338,Einzelbeträge!$E:$E,'Ausgaben 2026'!L$6)</f>
        <v>0</v>
      </c>
      <c r="M338" s="37">
        <f>SUMIFS(Einzelbeträge!$D:$D,Einzelbeträge!$C:$C,'Ausgaben 2026'!$C338,Einzelbeträge!$E:$E,'Ausgaben 2026'!M$6)</f>
        <v>0</v>
      </c>
      <c r="N338" s="38">
        <f>SUMIFS(Einzelbeträge!$D:$D,Einzelbeträge!$C:$C,'Ausgaben 2026'!$C338,Einzelbeträge!$E:$E,'Ausgaben 2026'!N$6)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46327</v>
      </c>
      <c r="D342" s="45">
        <f>SUMIFS(Einzelbeträge!$D:$D,Einzelbeträge!$C:$C,'Ausgaben 2026'!$C342)</f>
        <v>0</v>
      </c>
      <c r="E342" s="32">
        <f>SUMIFS(Einzelbeträge!$D:$D,Einzelbeträge!$C:$C,'Ausgaben 2026'!$C342,Einzelbeträge!$E:$E,'Ausgaben 2026'!E$6)</f>
        <v>0</v>
      </c>
      <c r="F342" s="32">
        <f>SUMIFS(Einzelbeträge!$D:$D,Einzelbeträge!$C:$C,'Ausgaben 2026'!$C342,Einzelbeträge!$E:$E,'Ausgaben 2026'!F$6)</f>
        <v>0</v>
      </c>
      <c r="G342" s="32">
        <f>SUMIFS(Einzelbeträge!$D:$D,Einzelbeträge!$C:$C,'Ausgaben 2026'!$C342,Einzelbeträge!$E:$E,'Ausgaben 2026'!G$6)</f>
        <v>0</v>
      </c>
      <c r="H342" s="32">
        <f>SUMIFS(Einzelbeträge!$D:$D,Einzelbeträge!$C:$C,'Ausgaben 2026'!$C342,Einzelbeträge!$E:$E,'Ausgaben 2026'!H$6)</f>
        <v>0</v>
      </c>
      <c r="I342" s="32">
        <f>SUMIFS(Einzelbeträge!$D:$D,Einzelbeträge!$C:$C,'Ausgaben 2026'!$C342,Einzelbeträge!$E:$E,'Ausgaben 2026'!I$6)</f>
        <v>0</v>
      </c>
      <c r="J342" s="32">
        <f>SUMIFS(Einzelbeträge!$D:$D,Einzelbeträge!$C:$C,'Ausgaben 2026'!$C342,Einzelbeträge!$E:$E,'Ausgaben 2026'!J$6)</f>
        <v>0</v>
      </c>
      <c r="K342" s="32">
        <f>SUMIFS(Einzelbeträge!$D:$D,Einzelbeträge!$C:$C,'Ausgaben 2026'!$C342,Einzelbeträge!$E:$E,'Ausgaben 2026'!K$6)</f>
        <v>0</v>
      </c>
      <c r="L342" s="32">
        <f>SUMIFS(Einzelbeträge!$D:$D,Einzelbeträge!$C:$C,'Ausgaben 2026'!$C342,Einzelbeträge!$E:$E,'Ausgaben 2026'!L$6)</f>
        <v>0</v>
      </c>
      <c r="M342" s="32">
        <f>SUMIFS(Einzelbeträge!$D:$D,Einzelbeträge!$C:$C,'Ausgaben 2026'!$C342,Einzelbeträge!$E:$E,'Ausgaben 2026'!M$6)</f>
        <v>0</v>
      </c>
      <c r="N342" s="33">
        <f>SUMIFS(Einzelbeträge!$D:$D,Einzelbeträge!$C:$C,'Ausgaben 2026'!$C342,Einzelbeträge!$E:$E,'Ausgaben 2026'!N$6)</f>
        <v>0</v>
      </c>
      <c r="O342" s="6"/>
    </row>
    <row r="343" spans="2:15" x14ac:dyDescent="0.35">
      <c r="B343" s="5"/>
      <c r="C343" s="30">
        <f>C342+1</f>
        <v>46328</v>
      </c>
      <c r="D343" s="46">
        <f>SUMIFS(Einzelbeträge!$D:$D,Einzelbeträge!$C:$C,'Ausgaben 2026'!$C343)</f>
        <v>0</v>
      </c>
      <c r="E343" s="21">
        <f>SUMIFS(Einzelbeträge!$D:$D,Einzelbeträge!$C:$C,'Ausgaben 2026'!$C343,Einzelbeträge!$E:$E,'Ausgaben 2026'!E$6)</f>
        <v>0</v>
      </c>
      <c r="F343" s="21">
        <f>SUMIFS(Einzelbeträge!$D:$D,Einzelbeträge!$C:$C,'Ausgaben 2026'!$C343,Einzelbeträge!$E:$E,'Ausgaben 2026'!F$6)</f>
        <v>0</v>
      </c>
      <c r="G343" s="21">
        <f>SUMIFS(Einzelbeträge!$D:$D,Einzelbeträge!$C:$C,'Ausgaben 2026'!$C343,Einzelbeträge!$E:$E,'Ausgaben 2026'!G$6)</f>
        <v>0</v>
      </c>
      <c r="H343" s="21">
        <f>SUMIFS(Einzelbeträge!$D:$D,Einzelbeträge!$C:$C,'Ausgaben 2026'!$C343,Einzelbeträge!$E:$E,'Ausgaben 2026'!H$6)</f>
        <v>0</v>
      </c>
      <c r="I343" s="21">
        <f>SUMIFS(Einzelbeträge!$D:$D,Einzelbeträge!$C:$C,'Ausgaben 2026'!$C343,Einzelbeträge!$E:$E,'Ausgaben 2026'!I$6)</f>
        <v>0</v>
      </c>
      <c r="J343" s="21">
        <f>SUMIFS(Einzelbeträge!$D:$D,Einzelbeträge!$C:$C,'Ausgaben 2026'!$C343,Einzelbeträge!$E:$E,'Ausgaben 2026'!J$6)</f>
        <v>0</v>
      </c>
      <c r="K343" s="21">
        <f>SUMIFS(Einzelbeträge!$D:$D,Einzelbeträge!$C:$C,'Ausgaben 2026'!$C343,Einzelbeträge!$E:$E,'Ausgaben 2026'!K$6)</f>
        <v>0</v>
      </c>
      <c r="L343" s="21">
        <f>SUMIFS(Einzelbeträge!$D:$D,Einzelbeträge!$C:$C,'Ausgaben 2026'!$C343,Einzelbeträge!$E:$E,'Ausgaben 2026'!L$6)</f>
        <v>0</v>
      </c>
      <c r="M343" s="21">
        <f>SUMIFS(Einzelbeträge!$D:$D,Einzelbeträge!$C:$C,'Ausgaben 2026'!$C343,Einzelbeträge!$E:$E,'Ausgaben 2026'!M$6)</f>
        <v>0</v>
      </c>
      <c r="N343" s="35">
        <f>SUMIFS(Einzelbeträge!$D:$D,Einzelbeträge!$C:$C,'Ausgaben 2026'!$C343,Einzelbeträge!$E:$E,'Ausgaben 2026'!N$6)</f>
        <v>0</v>
      </c>
      <c r="O343" s="6"/>
    </row>
    <row r="344" spans="2:15" x14ac:dyDescent="0.35">
      <c r="B344" s="5"/>
      <c r="C344" s="30">
        <f t="shared" ref="C344:C371" si="26">C343+1</f>
        <v>46329</v>
      </c>
      <c r="D344" s="46">
        <f>SUMIFS(Einzelbeträge!$D:$D,Einzelbeträge!$C:$C,'Ausgaben 2026'!$C344)</f>
        <v>0</v>
      </c>
      <c r="E344" s="21">
        <f>SUMIFS(Einzelbeträge!$D:$D,Einzelbeträge!$C:$C,'Ausgaben 2026'!$C344,Einzelbeträge!$E:$E,'Ausgaben 2026'!E$6)</f>
        <v>0</v>
      </c>
      <c r="F344" s="21">
        <f>SUMIFS(Einzelbeträge!$D:$D,Einzelbeträge!$C:$C,'Ausgaben 2026'!$C344,Einzelbeträge!$E:$E,'Ausgaben 2026'!F$6)</f>
        <v>0</v>
      </c>
      <c r="G344" s="21">
        <f>SUMIFS(Einzelbeträge!$D:$D,Einzelbeträge!$C:$C,'Ausgaben 2026'!$C344,Einzelbeträge!$E:$E,'Ausgaben 2026'!G$6)</f>
        <v>0</v>
      </c>
      <c r="H344" s="21">
        <f>SUMIFS(Einzelbeträge!$D:$D,Einzelbeträge!$C:$C,'Ausgaben 2026'!$C344,Einzelbeträge!$E:$E,'Ausgaben 2026'!H$6)</f>
        <v>0</v>
      </c>
      <c r="I344" s="21">
        <f>SUMIFS(Einzelbeträge!$D:$D,Einzelbeträge!$C:$C,'Ausgaben 2026'!$C344,Einzelbeträge!$E:$E,'Ausgaben 2026'!I$6)</f>
        <v>0</v>
      </c>
      <c r="J344" s="21">
        <f>SUMIFS(Einzelbeträge!$D:$D,Einzelbeträge!$C:$C,'Ausgaben 2026'!$C344,Einzelbeträge!$E:$E,'Ausgaben 2026'!J$6)</f>
        <v>0</v>
      </c>
      <c r="K344" s="21">
        <f>SUMIFS(Einzelbeträge!$D:$D,Einzelbeträge!$C:$C,'Ausgaben 2026'!$C344,Einzelbeträge!$E:$E,'Ausgaben 2026'!K$6)</f>
        <v>0</v>
      </c>
      <c r="L344" s="21">
        <f>SUMIFS(Einzelbeträge!$D:$D,Einzelbeträge!$C:$C,'Ausgaben 2026'!$C344,Einzelbeträge!$E:$E,'Ausgaben 2026'!L$6)</f>
        <v>0</v>
      </c>
      <c r="M344" s="21">
        <f>SUMIFS(Einzelbeträge!$D:$D,Einzelbeträge!$C:$C,'Ausgaben 2026'!$C344,Einzelbeträge!$E:$E,'Ausgaben 2026'!M$6)</f>
        <v>0</v>
      </c>
      <c r="N344" s="35">
        <f>SUMIFS(Einzelbeträge!$D:$D,Einzelbeträge!$C:$C,'Ausgaben 2026'!$C344,Einzelbeträge!$E:$E,'Ausgaben 2026'!N$6)</f>
        <v>0</v>
      </c>
      <c r="O344" s="6"/>
    </row>
    <row r="345" spans="2:15" x14ac:dyDescent="0.35">
      <c r="B345" s="5"/>
      <c r="C345" s="30">
        <f t="shared" si="26"/>
        <v>46330</v>
      </c>
      <c r="D345" s="46">
        <f>SUMIFS(Einzelbeträge!$D:$D,Einzelbeträge!$C:$C,'Ausgaben 2026'!$C345)</f>
        <v>0</v>
      </c>
      <c r="E345" s="21">
        <f>SUMIFS(Einzelbeträge!$D:$D,Einzelbeträge!$C:$C,'Ausgaben 2026'!$C345,Einzelbeträge!$E:$E,'Ausgaben 2026'!E$6)</f>
        <v>0</v>
      </c>
      <c r="F345" s="21">
        <f>SUMIFS(Einzelbeträge!$D:$D,Einzelbeträge!$C:$C,'Ausgaben 2026'!$C345,Einzelbeträge!$E:$E,'Ausgaben 2026'!F$6)</f>
        <v>0</v>
      </c>
      <c r="G345" s="21">
        <f>SUMIFS(Einzelbeträge!$D:$D,Einzelbeträge!$C:$C,'Ausgaben 2026'!$C345,Einzelbeträge!$E:$E,'Ausgaben 2026'!G$6)</f>
        <v>0</v>
      </c>
      <c r="H345" s="21">
        <f>SUMIFS(Einzelbeträge!$D:$D,Einzelbeträge!$C:$C,'Ausgaben 2026'!$C345,Einzelbeträge!$E:$E,'Ausgaben 2026'!H$6)</f>
        <v>0</v>
      </c>
      <c r="I345" s="21">
        <f>SUMIFS(Einzelbeträge!$D:$D,Einzelbeträge!$C:$C,'Ausgaben 2026'!$C345,Einzelbeträge!$E:$E,'Ausgaben 2026'!I$6)</f>
        <v>0</v>
      </c>
      <c r="J345" s="21">
        <f>SUMIFS(Einzelbeträge!$D:$D,Einzelbeträge!$C:$C,'Ausgaben 2026'!$C345,Einzelbeträge!$E:$E,'Ausgaben 2026'!J$6)</f>
        <v>0</v>
      </c>
      <c r="K345" s="21">
        <f>SUMIFS(Einzelbeträge!$D:$D,Einzelbeträge!$C:$C,'Ausgaben 2026'!$C345,Einzelbeträge!$E:$E,'Ausgaben 2026'!K$6)</f>
        <v>0</v>
      </c>
      <c r="L345" s="21">
        <f>SUMIFS(Einzelbeträge!$D:$D,Einzelbeträge!$C:$C,'Ausgaben 2026'!$C345,Einzelbeträge!$E:$E,'Ausgaben 2026'!L$6)</f>
        <v>0</v>
      </c>
      <c r="M345" s="21">
        <f>SUMIFS(Einzelbeträge!$D:$D,Einzelbeträge!$C:$C,'Ausgaben 2026'!$C345,Einzelbeträge!$E:$E,'Ausgaben 2026'!M$6)</f>
        <v>0</v>
      </c>
      <c r="N345" s="35">
        <f>SUMIFS(Einzelbeträge!$D:$D,Einzelbeträge!$C:$C,'Ausgaben 2026'!$C345,Einzelbeträge!$E:$E,'Ausgaben 2026'!N$6)</f>
        <v>0</v>
      </c>
      <c r="O345" s="6"/>
    </row>
    <row r="346" spans="2:15" x14ac:dyDescent="0.35">
      <c r="B346" s="5"/>
      <c r="C346" s="30">
        <f t="shared" si="26"/>
        <v>46331</v>
      </c>
      <c r="D346" s="46">
        <f>SUMIFS(Einzelbeträge!$D:$D,Einzelbeträge!$C:$C,'Ausgaben 2026'!$C346)</f>
        <v>0</v>
      </c>
      <c r="E346" s="21">
        <f>SUMIFS(Einzelbeträge!$D:$D,Einzelbeträge!$C:$C,'Ausgaben 2026'!$C346,Einzelbeträge!$E:$E,'Ausgaben 2026'!E$6)</f>
        <v>0</v>
      </c>
      <c r="F346" s="21">
        <f>SUMIFS(Einzelbeträge!$D:$D,Einzelbeträge!$C:$C,'Ausgaben 2026'!$C346,Einzelbeträge!$E:$E,'Ausgaben 2026'!F$6)</f>
        <v>0</v>
      </c>
      <c r="G346" s="21">
        <f>SUMIFS(Einzelbeträge!$D:$D,Einzelbeträge!$C:$C,'Ausgaben 2026'!$C346,Einzelbeträge!$E:$E,'Ausgaben 2026'!G$6)</f>
        <v>0</v>
      </c>
      <c r="H346" s="21">
        <f>SUMIFS(Einzelbeträge!$D:$D,Einzelbeträge!$C:$C,'Ausgaben 2026'!$C346,Einzelbeträge!$E:$E,'Ausgaben 2026'!H$6)</f>
        <v>0</v>
      </c>
      <c r="I346" s="21">
        <f>SUMIFS(Einzelbeträge!$D:$D,Einzelbeträge!$C:$C,'Ausgaben 2026'!$C346,Einzelbeträge!$E:$E,'Ausgaben 2026'!I$6)</f>
        <v>0</v>
      </c>
      <c r="J346" s="21">
        <f>SUMIFS(Einzelbeträge!$D:$D,Einzelbeträge!$C:$C,'Ausgaben 2026'!$C346,Einzelbeträge!$E:$E,'Ausgaben 2026'!J$6)</f>
        <v>0</v>
      </c>
      <c r="K346" s="21">
        <f>SUMIFS(Einzelbeträge!$D:$D,Einzelbeträge!$C:$C,'Ausgaben 2026'!$C346,Einzelbeträge!$E:$E,'Ausgaben 2026'!K$6)</f>
        <v>0</v>
      </c>
      <c r="L346" s="21">
        <f>SUMIFS(Einzelbeträge!$D:$D,Einzelbeträge!$C:$C,'Ausgaben 2026'!$C346,Einzelbeträge!$E:$E,'Ausgaben 2026'!L$6)</f>
        <v>0</v>
      </c>
      <c r="M346" s="21">
        <f>SUMIFS(Einzelbeträge!$D:$D,Einzelbeträge!$C:$C,'Ausgaben 2026'!$C346,Einzelbeträge!$E:$E,'Ausgaben 2026'!M$6)</f>
        <v>0</v>
      </c>
      <c r="N346" s="35">
        <f>SUMIFS(Einzelbeträge!$D:$D,Einzelbeträge!$C:$C,'Ausgaben 2026'!$C346,Einzelbeträge!$E:$E,'Ausgaben 2026'!N$6)</f>
        <v>0</v>
      </c>
      <c r="O346" s="6"/>
    </row>
    <row r="347" spans="2:15" x14ac:dyDescent="0.35">
      <c r="B347" s="5"/>
      <c r="C347" s="30">
        <f t="shared" si="26"/>
        <v>46332</v>
      </c>
      <c r="D347" s="46">
        <f>SUMIFS(Einzelbeträge!$D:$D,Einzelbeträge!$C:$C,'Ausgaben 2026'!$C347)</f>
        <v>0</v>
      </c>
      <c r="E347" s="21">
        <f>SUMIFS(Einzelbeträge!$D:$D,Einzelbeträge!$C:$C,'Ausgaben 2026'!$C347,Einzelbeträge!$E:$E,'Ausgaben 2026'!E$6)</f>
        <v>0</v>
      </c>
      <c r="F347" s="21">
        <f>SUMIFS(Einzelbeträge!$D:$D,Einzelbeträge!$C:$C,'Ausgaben 2026'!$C347,Einzelbeträge!$E:$E,'Ausgaben 2026'!F$6)</f>
        <v>0</v>
      </c>
      <c r="G347" s="21">
        <f>SUMIFS(Einzelbeträge!$D:$D,Einzelbeträge!$C:$C,'Ausgaben 2026'!$C347,Einzelbeträge!$E:$E,'Ausgaben 2026'!G$6)</f>
        <v>0</v>
      </c>
      <c r="H347" s="21">
        <f>SUMIFS(Einzelbeträge!$D:$D,Einzelbeträge!$C:$C,'Ausgaben 2026'!$C347,Einzelbeträge!$E:$E,'Ausgaben 2026'!H$6)</f>
        <v>0</v>
      </c>
      <c r="I347" s="21">
        <f>SUMIFS(Einzelbeträge!$D:$D,Einzelbeträge!$C:$C,'Ausgaben 2026'!$C347,Einzelbeträge!$E:$E,'Ausgaben 2026'!I$6)</f>
        <v>0</v>
      </c>
      <c r="J347" s="21">
        <f>SUMIFS(Einzelbeträge!$D:$D,Einzelbeträge!$C:$C,'Ausgaben 2026'!$C347,Einzelbeträge!$E:$E,'Ausgaben 2026'!J$6)</f>
        <v>0</v>
      </c>
      <c r="K347" s="21">
        <f>SUMIFS(Einzelbeträge!$D:$D,Einzelbeträge!$C:$C,'Ausgaben 2026'!$C347,Einzelbeträge!$E:$E,'Ausgaben 2026'!K$6)</f>
        <v>0</v>
      </c>
      <c r="L347" s="21">
        <f>SUMIFS(Einzelbeträge!$D:$D,Einzelbeträge!$C:$C,'Ausgaben 2026'!$C347,Einzelbeträge!$E:$E,'Ausgaben 2026'!L$6)</f>
        <v>0</v>
      </c>
      <c r="M347" s="21">
        <f>SUMIFS(Einzelbeträge!$D:$D,Einzelbeträge!$C:$C,'Ausgaben 2026'!$C347,Einzelbeträge!$E:$E,'Ausgaben 2026'!M$6)</f>
        <v>0</v>
      </c>
      <c r="N347" s="35">
        <f>SUMIFS(Einzelbeträge!$D:$D,Einzelbeträge!$C:$C,'Ausgaben 2026'!$C347,Einzelbeträge!$E:$E,'Ausgaben 2026'!N$6)</f>
        <v>0</v>
      </c>
      <c r="O347" s="6"/>
    </row>
    <row r="348" spans="2:15" x14ac:dyDescent="0.35">
      <c r="B348" s="5"/>
      <c r="C348" s="30">
        <f t="shared" si="26"/>
        <v>46333</v>
      </c>
      <c r="D348" s="46">
        <f>SUMIFS(Einzelbeträge!$D:$D,Einzelbeträge!$C:$C,'Ausgaben 2026'!$C348)</f>
        <v>0</v>
      </c>
      <c r="E348" s="21">
        <f>SUMIFS(Einzelbeträge!$D:$D,Einzelbeträge!$C:$C,'Ausgaben 2026'!$C348,Einzelbeträge!$E:$E,'Ausgaben 2026'!E$6)</f>
        <v>0</v>
      </c>
      <c r="F348" s="21">
        <f>SUMIFS(Einzelbeträge!$D:$D,Einzelbeträge!$C:$C,'Ausgaben 2026'!$C348,Einzelbeträge!$E:$E,'Ausgaben 2026'!F$6)</f>
        <v>0</v>
      </c>
      <c r="G348" s="21">
        <f>SUMIFS(Einzelbeträge!$D:$D,Einzelbeträge!$C:$C,'Ausgaben 2026'!$C348,Einzelbeträge!$E:$E,'Ausgaben 2026'!G$6)</f>
        <v>0</v>
      </c>
      <c r="H348" s="21">
        <f>SUMIFS(Einzelbeträge!$D:$D,Einzelbeträge!$C:$C,'Ausgaben 2026'!$C348,Einzelbeträge!$E:$E,'Ausgaben 2026'!H$6)</f>
        <v>0</v>
      </c>
      <c r="I348" s="21">
        <f>SUMIFS(Einzelbeträge!$D:$D,Einzelbeträge!$C:$C,'Ausgaben 2026'!$C348,Einzelbeträge!$E:$E,'Ausgaben 2026'!I$6)</f>
        <v>0</v>
      </c>
      <c r="J348" s="21">
        <f>SUMIFS(Einzelbeträge!$D:$D,Einzelbeträge!$C:$C,'Ausgaben 2026'!$C348,Einzelbeträge!$E:$E,'Ausgaben 2026'!J$6)</f>
        <v>0</v>
      </c>
      <c r="K348" s="21">
        <f>SUMIFS(Einzelbeträge!$D:$D,Einzelbeträge!$C:$C,'Ausgaben 2026'!$C348,Einzelbeträge!$E:$E,'Ausgaben 2026'!K$6)</f>
        <v>0</v>
      </c>
      <c r="L348" s="21">
        <f>SUMIFS(Einzelbeträge!$D:$D,Einzelbeträge!$C:$C,'Ausgaben 2026'!$C348,Einzelbeträge!$E:$E,'Ausgaben 2026'!L$6)</f>
        <v>0</v>
      </c>
      <c r="M348" s="21">
        <f>SUMIFS(Einzelbeträge!$D:$D,Einzelbeträge!$C:$C,'Ausgaben 2026'!$C348,Einzelbeträge!$E:$E,'Ausgaben 2026'!M$6)</f>
        <v>0</v>
      </c>
      <c r="N348" s="35">
        <f>SUMIFS(Einzelbeträge!$D:$D,Einzelbeträge!$C:$C,'Ausgaben 2026'!$C348,Einzelbeträge!$E:$E,'Ausgaben 2026'!N$6)</f>
        <v>0</v>
      </c>
      <c r="O348" s="6"/>
    </row>
    <row r="349" spans="2:15" x14ac:dyDescent="0.35">
      <c r="B349" s="5"/>
      <c r="C349" s="30">
        <f t="shared" si="26"/>
        <v>46334</v>
      </c>
      <c r="D349" s="46">
        <f>SUMIFS(Einzelbeträge!$D:$D,Einzelbeträge!$C:$C,'Ausgaben 2026'!$C349)</f>
        <v>0</v>
      </c>
      <c r="E349" s="21">
        <f>SUMIFS(Einzelbeträge!$D:$D,Einzelbeträge!$C:$C,'Ausgaben 2026'!$C349,Einzelbeträge!$E:$E,'Ausgaben 2026'!E$6)</f>
        <v>0</v>
      </c>
      <c r="F349" s="21">
        <f>SUMIFS(Einzelbeträge!$D:$D,Einzelbeträge!$C:$C,'Ausgaben 2026'!$C349,Einzelbeträge!$E:$E,'Ausgaben 2026'!F$6)</f>
        <v>0</v>
      </c>
      <c r="G349" s="21">
        <f>SUMIFS(Einzelbeträge!$D:$D,Einzelbeträge!$C:$C,'Ausgaben 2026'!$C349,Einzelbeträge!$E:$E,'Ausgaben 2026'!G$6)</f>
        <v>0</v>
      </c>
      <c r="H349" s="21">
        <f>SUMIFS(Einzelbeträge!$D:$D,Einzelbeträge!$C:$C,'Ausgaben 2026'!$C349,Einzelbeträge!$E:$E,'Ausgaben 2026'!H$6)</f>
        <v>0</v>
      </c>
      <c r="I349" s="21">
        <f>SUMIFS(Einzelbeträge!$D:$D,Einzelbeträge!$C:$C,'Ausgaben 2026'!$C349,Einzelbeträge!$E:$E,'Ausgaben 2026'!I$6)</f>
        <v>0</v>
      </c>
      <c r="J349" s="21">
        <f>SUMIFS(Einzelbeträge!$D:$D,Einzelbeträge!$C:$C,'Ausgaben 2026'!$C349,Einzelbeträge!$E:$E,'Ausgaben 2026'!J$6)</f>
        <v>0</v>
      </c>
      <c r="K349" s="21">
        <f>SUMIFS(Einzelbeträge!$D:$D,Einzelbeträge!$C:$C,'Ausgaben 2026'!$C349,Einzelbeträge!$E:$E,'Ausgaben 2026'!K$6)</f>
        <v>0</v>
      </c>
      <c r="L349" s="21">
        <f>SUMIFS(Einzelbeträge!$D:$D,Einzelbeträge!$C:$C,'Ausgaben 2026'!$C349,Einzelbeträge!$E:$E,'Ausgaben 2026'!L$6)</f>
        <v>0</v>
      </c>
      <c r="M349" s="21">
        <f>SUMIFS(Einzelbeträge!$D:$D,Einzelbeträge!$C:$C,'Ausgaben 2026'!$C349,Einzelbeträge!$E:$E,'Ausgaben 2026'!M$6)</f>
        <v>0</v>
      </c>
      <c r="N349" s="35">
        <f>SUMIFS(Einzelbeträge!$D:$D,Einzelbeträge!$C:$C,'Ausgaben 2026'!$C349,Einzelbeträge!$E:$E,'Ausgaben 2026'!N$6)</f>
        <v>0</v>
      </c>
      <c r="O349" s="6"/>
    </row>
    <row r="350" spans="2:15" x14ac:dyDescent="0.35">
      <c r="B350" s="5"/>
      <c r="C350" s="30">
        <f t="shared" si="26"/>
        <v>46335</v>
      </c>
      <c r="D350" s="46">
        <f>SUMIFS(Einzelbeträge!$D:$D,Einzelbeträge!$C:$C,'Ausgaben 2026'!$C350)</f>
        <v>0</v>
      </c>
      <c r="E350" s="21">
        <f>SUMIFS(Einzelbeträge!$D:$D,Einzelbeträge!$C:$C,'Ausgaben 2026'!$C350,Einzelbeträge!$E:$E,'Ausgaben 2026'!E$6)</f>
        <v>0</v>
      </c>
      <c r="F350" s="21">
        <f>SUMIFS(Einzelbeträge!$D:$D,Einzelbeträge!$C:$C,'Ausgaben 2026'!$C350,Einzelbeträge!$E:$E,'Ausgaben 2026'!F$6)</f>
        <v>0</v>
      </c>
      <c r="G350" s="21">
        <f>SUMIFS(Einzelbeträge!$D:$D,Einzelbeträge!$C:$C,'Ausgaben 2026'!$C350,Einzelbeträge!$E:$E,'Ausgaben 2026'!G$6)</f>
        <v>0</v>
      </c>
      <c r="H350" s="21">
        <f>SUMIFS(Einzelbeträge!$D:$D,Einzelbeträge!$C:$C,'Ausgaben 2026'!$C350,Einzelbeträge!$E:$E,'Ausgaben 2026'!H$6)</f>
        <v>0</v>
      </c>
      <c r="I350" s="21">
        <f>SUMIFS(Einzelbeträge!$D:$D,Einzelbeträge!$C:$C,'Ausgaben 2026'!$C350,Einzelbeträge!$E:$E,'Ausgaben 2026'!I$6)</f>
        <v>0</v>
      </c>
      <c r="J350" s="21">
        <f>SUMIFS(Einzelbeträge!$D:$D,Einzelbeträge!$C:$C,'Ausgaben 2026'!$C350,Einzelbeträge!$E:$E,'Ausgaben 2026'!J$6)</f>
        <v>0</v>
      </c>
      <c r="K350" s="21">
        <f>SUMIFS(Einzelbeträge!$D:$D,Einzelbeträge!$C:$C,'Ausgaben 2026'!$C350,Einzelbeträge!$E:$E,'Ausgaben 2026'!K$6)</f>
        <v>0</v>
      </c>
      <c r="L350" s="21">
        <f>SUMIFS(Einzelbeträge!$D:$D,Einzelbeträge!$C:$C,'Ausgaben 2026'!$C350,Einzelbeträge!$E:$E,'Ausgaben 2026'!L$6)</f>
        <v>0</v>
      </c>
      <c r="M350" s="21">
        <f>SUMIFS(Einzelbeträge!$D:$D,Einzelbeträge!$C:$C,'Ausgaben 2026'!$C350,Einzelbeträge!$E:$E,'Ausgaben 2026'!M$6)</f>
        <v>0</v>
      </c>
      <c r="N350" s="35">
        <f>SUMIFS(Einzelbeträge!$D:$D,Einzelbeträge!$C:$C,'Ausgaben 2026'!$C350,Einzelbeträge!$E:$E,'Ausgaben 2026'!N$6)</f>
        <v>0</v>
      </c>
      <c r="O350" s="6"/>
    </row>
    <row r="351" spans="2:15" x14ac:dyDescent="0.35">
      <c r="B351" s="5"/>
      <c r="C351" s="30">
        <f t="shared" si="26"/>
        <v>46336</v>
      </c>
      <c r="D351" s="46">
        <f>SUMIFS(Einzelbeträge!$D:$D,Einzelbeträge!$C:$C,'Ausgaben 2026'!$C351)</f>
        <v>0</v>
      </c>
      <c r="E351" s="21">
        <f>SUMIFS(Einzelbeträge!$D:$D,Einzelbeträge!$C:$C,'Ausgaben 2026'!$C351,Einzelbeträge!$E:$E,'Ausgaben 2026'!E$6)</f>
        <v>0</v>
      </c>
      <c r="F351" s="21">
        <f>SUMIFS(Einzelbeträge!$D:$D,Einzelbeträge!$C:$C,'Ausgaben 2026'!$C351,Einzelbeträge!$E:$E,'Ausgaben 2026'!F$6)</f>
        <v>0</v>
      </c>
      <c r="G351" s="21">
        <f>SUMIFS(Einzelbeträge!$D:$D,Einzelbeträge!$C:$C,'Ausgaben 2026'!$C351,Einzelbeträge!$E:$E,'Ausgaben 2026'!G$6)</f>
        <v>0</v>
      </c>
      <c r="H351" s="21">
        <f>SUMIFS(Einzelbeträge!$D:$D,Einzelbeträge!$C:$C,'Ausgaben 2026'!$C351,Einzelbeträge!$E:$E,'Ausgaben 2026'!H$6)</f>
        <v>0</v>
      </c>
      <c r="I351" s="21">
        <f>SUMIFS(Einzelbeträge!$D:$D,Einzelbeträge!$C:$C,'Ausgaben 2026'!$C351,Einzelbeträge!$E:$E,'Ausgaben 2026'!I$6)</f>
        <v>0</v>
      </c>
      <c r="J351" s="21">
        <f>SUMIFS(Einzelbeträge!$D:$D,Einzelbeträge!$C:$C,'Ausgaben 2026'!$C351,Einzelbeträge!$E:$E,'Ausgaben 2026'!J$6)</f>
        <v>0</v>
      </c>
      <c r="K351" s="21">
        <f>SUMIFS(Einzelbeträge!$D:$D,Einzelbeträge!$C:$C,'Ausgaben 2026'!$C351,Einzelbeträge!$E:$E,'Ausgaben 2026'!K$6)</f>
        <v>0</v>
      </c>
      <c r="L351" s="21">
        <f>SUMIFS(Einzelbeträge!$D:$D,Einzelbeträge!$C:$C,'Ausgaben 2026'!$C351,Einzelbeträge!$E:$E,'Ausgaben 2026'!L$6)</f>
        <v>0</v>
      </c>
      <c r="M351" s="21">
        <f>SUMIFS(Einzelbeträge!$D:$D,Einzelbeträge!$C:$C,'Ausgaben 2026'!$C351,Einzelbeträge!$E:$E,'Ausgaben 2026'!M$6)</f>
        <v>0</v>
      </c>
      <c r="N351" s="35">
        <f>SUMIFS(Einzelbeträge!$D:$D,Einzelbeträge!$C:$C,'Ausgaben 2026'!$C351,Einzelbeträge!$E:$E,'Ausgaben 2026'!N$6)</f>
        <v>0</v>
      </c>
      <c r="O351" s="6"/>
    </row>
    <row r="352" spans="2:15" x14ac:dyDescent="0.35">
      <c r="B352" s="5"/>
      <c r="C352" s="30">
        <f t="shared" si="26"/>
        <v>46337</v>
      </c>
      <c r="D352" s="46">
        <f>SUMIFS(Einzelbeträge!$D:$D,Einzelbeträge!$C:$C,'Ausgaben 2026'!$C352)</f>
        <v>0</v>
      </c>
      <c r="E352" s="21">
        <f>SUMIFS(Einzelbeträge!$D:$D,Einzelbeträge!$C:$C,'Ausgaben 2026'!$C352,Einzelbeträge!$E:$E,'Ausgaben 2026'!E$6)</f>
        <v>0</v>
      </c>
      <c r="F352" s="21">
        <f>SUMIFS(Einzelbeträge!$D:$D,Einzelbeträge!$C:$C,'Ausgaben 2026'!$C352,Einzelbeträge!$E:$E,'Ausgaben 2026'!F$6)</f>
        <v>0</v>
      </c>
      <c r="G352" s="21">
        <f>SUMIFS(Einzelbeträge!$D:$D,Einzelbeträge!$C:$C,'Ausgaben 2026'!$C352,Einzelbeträge!$E:$E,'Ausgaben 2026'!G$6)</f>
        <v>0</v>
      </c>
      <c r="H352" s="21">
        <f>SUMIFS(Einzelbeträge!$D:$D,Einzelbeträge!$C:$C,'Ausgaben 2026'!$C352,Einzelbeträge!$E:$E,'Ausgaben 2026'!H$6)</f>
        <v>0</v>
      </c>
      <c r="I352" s="21">
        <f>SUMIFS(Einzelbeträge!$D:$D,Einzelbeträge!$C:$C,'Ausgaben 2026'!$C352,Einzelbeträge!$E:$E,'Ausgaben 2026'!I$6)</f>
        <v>0</v>
      </c>
      <c r="J352" s="21">
        <f>SUMIFS(Einzelbeträge!$D:$D,Einzelbeträge!$C:$C,'Ausgaben 2026'!$C352,Einzelbeträge!$E:$E,'Ausgaben 2026'!J$6)</f>
        <v>0</v>
      </c>
      <c r="K352" s="21">
        <f>SUMIFS(Einzelbeträge!$D:$D,Einzelbeträge!$C:$C,'Ausgaben 2026'!$C352,Einzelbeträge!$E:$E,'Ausgaben 2026'!K$6)</f>
        <v>0</v>
      </c>
      <c r="L352" s="21">
        <f>SUMIFS(Einzelbeträge!$D:$D,Einzelbeträge!$C:$C,'Ausgaben 2026'!$C352,Einzelbeträge!$E:$E,'Ausgaben 2026'!L$6)</f>
        <v>0</v>
      </c>
      <c r="M352" s="21">
        <f>SUMIFS(Einzelbeträge!$D:$D,Einzelbeträge!$C:$C,'Ausgaben 2026'!$C352,Einzelbeträge!$E:$E,'Ausgaben 2026'!M$6)</f>
        <v>0</v>
      </c>
      <c r="N352" s="35">
        <f>SUMIFS(Einzelbeträge!$D:$D,Einzelbeträge!$C:$C,'Ausgaben 2026'!$C352,Einzelbeträge!$E:$E,'Ausgaben 2026'!N$6)</f>
        <v>0</v>
      </c>
      <c r="O352" s="6"/>
    </row>
    <row r="353" spans="2:15" x14ac:dyDescent="0.35">
      <c r="B353" s="5"/>
      <c r="C353" s="30">
        <f t="shared" si="26"/>
        <v>46338</v>
      </c>
      <c r="D353" s="46">
        <f>SUMIFS(Einzelbeträge!$D:$D,Einzelbeträge!$C:$C,'Ausgaben 2026'!$C353)</f>
        <v>0</v>
      </c>
      <c r="E353" s="21">
        <f>SUMIFS(Einzelbeträge!$D:$D,Einzelbeträge!$C:$C,'Ausgaben 2026'!$C353,Einzelbeträge!$E:$E,'Ausgaben 2026'!E$6)</f>
        <v>0</v>
      </c>
      <c r="F353" s="21">
        <f>SUMIFS(Einzelbeträge!$D:$D,Einzelbeträge!$C:$C,'Ausgaben 2026'!$C353,Einzelbeträge!$E:$E,'Ausgaben 2026'!F$6)</f>
        <v>0</v>
      </c>
      <c r="G353" s="21">
        <f>SUMIFS(Einzelbeträge!$D:$D,Einzelbeträge!$C:$C,'Ausgaben 2026'!$C353,Einzelbeträge!$E:$E,'Ausgaben 2026'!G$6)</f>
        <v>0</v>
      </c>
      <c r="H353" s="21">
        <f>SUMIFS(Einzelbeträge!$D:$D,Einzelbeträge!$C:$C,'Ausgaben 2026'!$C353,Einzelbeträge!$E:$E,'Ausgaben 2026'!H$6)</f>
        <v>0</v>
      </c>
      <c r="I353" s="21">
        <f>SUMIFS(Einzelbeträge!$D:$D,Einzelbeträge!$C:$C,'Ausgaben 2026'!$C353,Einzelbeträge!$E:$E,'Ausgaben 2026'!I$6)</f>
        <v>0</v>
      </c>
      <c r="J353" s="21">
        <f>SUMIFS(Einzelbeträge!$D:$D,Einzelbeträge!$C:$C,'Ausgaben 2026'!$C353,Einzelbeträge!$E:$E,'Ausgaben 2026'!J$6)</f>
        <v>0</v>
      </c>
      <c r="K353" s="21">
        <f>SUMIFS(Einzelbeträge!$D:$D,Einzelbeträge!$C:$C,'Ausgaben 2026'!$C353,Einzelbeträge!$E:$E,'Ausgaben 2026'!K$6)</f>
        <v>0</v>
      </c>
      <c r="L353" s="21">
        <f>SUMIFS(Einzelbeträge!$D:$D,Einzelbeträge!$C:$C,'Ausgaben 2026'!$C353,Einzelbeträge!$E:$E,'Ausgaben 2026'!L$6)</f>
        <v>0</v>
      </c>
      <c r="M353" s="21">
        <f>SUMIFS(Einzelbeträge!$D:$D,Einzelbeträge!$C:$C,'Ausgaben 2026'!$C353,Einzelbeträge!$E:$E,'Ausgaben 2026'!M$6)</f>
        <v>0</v>
      </c>
      <c r="N353" s="35">
        <f>SUMIFS(Einzelbeträge!$D:$D,Einzelbeträge!$C:$C,'Ausgaben 2026'!$C353,Einzelbeträge!$E:$E,'Ausgaben 2026'!N$6)</f>
        <v>0</v>
      </c>
      <c r="O353" s="6"/>
    </row>
    <row r="354" spans="2:15" x14ac:dyDescent="0.35">
      <c r="B354" s="5"/>
      <c r="C354" s="30">
        <f t="shared" si="26"/>
        <v>46339</v>
      </c>
      <c r="D354" s="46">
        <f>SUMIFS(Einzelbeträge!$D:$D,Einzelbeträge!$C:$C,'Ausgaben 2026'!$C354)</f>
        <v>0</v>
      </c>
      <c r="E354" s="21">
        <f>SUMIFS(Einzelbeträge!$D:$D,Einzelbeträge!$C:$C,'Ausgaben 2026'!$C354,Einzelbeträge!$E:$E,'Ausgaben 2026'!E$6)</f>
        <v>0</v>
      </c>
      <c r="F354" s="21">
        <f>SUMIFS(Einzelbeträge!$D:$D,Einzelbeträge!$C:$C,'Ausgaben 2026'!$C354,Einzelbeträge!$E:$E,'Ausgaben 2026'!F$6)</f>
        <v>0</v>
      </c>
      <c r="G354" s="21">
        <f>SUMIFS(Einzelbeträge!$D:$D,Einzelbeträge!$C:$C,'Ausgaben 2026'!$C354,Einzelbeträge!$E:$E,'Ausgaben 2026'!G$6)</f>
        <v>0</v>
      </c>
      <c r="H354" s="21">
        <f>SUMIFS(Einzelbeträge!$D:$D,Einzelbeträge!$C:$C,'Ausgaben 2026'!$C354,Einzelbeträge!$E:$E,'Ausgaben 2026'!H$6)</f>
        <v>0</v>
      </c>
      <c r="I354" s="21">
        <f>SUMIFS(Einzelbeträge!$D:$D,Einzelbeträge!$C:$C,'Ausgaben 2026'!$C354,Einzelbeträge!$E:$E,'Ausgaben 2026'!I$6)</f>
        <v>0</v>
      </c>
      <c r="J354" s="21">
        <f>SUMIFS(Einzelbeträge!$D:$D,Einzelbeträge!$C:$C,'Ausgaben 2026'!$C354,Einzelbeträge!$E:$E,'Ausgaben 2026'!J$6)</f>
        <v>0</v>
      </c>
      <c r="K354" s="21">
        <f>SUMIFS(Einzelbeträge!$D:$D,Einzelbeträge!$C:$C,'Ausgaben 2026'!$C354,Einzelbeträge!$E:$E,'Ausgaben 2026'!K$6)</f>
        <v>0</v>
      </c>
      <c r="L354" s="21">
        <f>SUMIFS(Einzelbeträge!$D:$D,Einzelbeträge!$C:$C,'Ausgaben 2026'!$C354,Einzelbeträge!$E:$E,'Ausgaben 2026'!L$6)</f>
        <v>0</v>
      </c>
      <c r="M354" s="21">
        <f>SUMIFS(Einzelbeträge!$D:$D,Einzelbeträge!$C:$C,'Ausgaben 2026'!$C354,Einzelbeträge!$E:$E,'Ausgaben 2026'!M$6)</f>
        <v>0</v>
      </c>
      <c r="N354" s="35">
        <f>SUMIFS(Einzelbeträge!$D:$D,Einzelbeträge!$C:$C,'Ausgaben 2026'!$C354,Einzelbeträge!$E:$E,'Ausgaben 2026'!N$6)</f>
        <v>0</v>
      </c>
      <c r="O354" s="6"/>
    </row>
    <row r="355" spans="2:15" x14ac:dyDescent="0.35">
      <c r="B355" s="5"/>
      <c r="C355" s="30">
        <f t="shared" si="26"/>
        <v>46340</v>
      </c>
      <c r="D355" s="46">
        <f>SUMIFS(Einzelbeträge!$D:$D,Einzelbeträge!$C:$C,'Ausgaben 2026'!$C355)</f>
        <v>0</v>
      </c>
      <c r="E355" s="21">
        <f>SUMIFS(Einzelbeträge!$D:$D,Einzelbeträge!$C:$C,'Ausgaben 2026'!$C355,Einzelbeträge!$E:$E,'Ausgaben 2026'!E$6)</f>
        <v>0</v>
      </c>
      <c r="F355" s="21">
        <f>SUMIFS(Einzelbeträge!$D:$D,Einzelbeträge!$C:$C,'Ausgaben 2026'!$C355,Einzelbeträge!$E:$E,'Ausgaben 2026'!F$6)</f>
        <v>0</v>
      </c>
      <c r="G355" s="21">
        <f>SUMIFS(Einzelbeträge!$D:$D,Einzelbeträge!$C:$C,'Ausgaben 2026'!$C355,Einzelbeträge!$E:$E,'Ausgaben 2026'!G$6)</f>
        <v>0</v>
      </c>
      <c r="H355" s="21">
        <f>SUMIFS(Einzelbeträge!$D:$D,Einzelbeträge!$C:$C,'Ausgaben 2026'!$C355,Einzelbeträge!$E:$E,'Ausgaben 2026'!H$6)</f>
        <v>0</v>
      </c>
      <c r="I355" s="21">
        <f>SUMIFS(Einzelbeträge!$D:$D,Einzelbeträge!$C:$C,'Ausgaben 2026'!$C355,Einzelbeträge!$E:$E,'Ausgaben 2026'!I$6)</f>
        <v>0</v>
      </c>
      <c r="J355" s="21">
        <f>SUMIFS(Einzelbeträge!$D:$D,Einzelbeträge!$C:$C,'Ausgaben 2026'!$C355,Einzelbeträge!$E:$E,'Ausgaben 2026'!J$6)</f>
        <v>0</v>
      </c>
      <c r="K355" s="21">
        <f>SUMIFS(Einzelbeträge!$D:$D,Einzelbeträge!$C:$C,'Ausgaben 2026'!$C355,Einzelbeträge!$E:$E,'Ausgaben 2026'!K$6)</f>
        <v>0</v>
      </c>
      <c r="L355" s="21">
        <f>SUMIFS(Einzelbeträge!$D:$D,Einzelbeträge!$C:$C,'Ausgaben 2026'!$C355,Einzelbeträge!$E:$E,'Ausgaben 2026'!L$6)</f>
        <v>0</v>
      </c>
      <c r="M355" s="21">
        <f>SUMIFS(Einzelbeträge!$D:$D,Einzelbeträge!$C:$C,'Ausgaben 2026'!$C355,Einzelbeträge!$E:$E,'Ausgaben 2026'!M$6)</f>
        <v>0</v>
      </c>
      <c r="N355" s="35">
        <f>SUMIFS(Einzelbeträge!$D:$D,Einzelbeträge!$C:$C,'Ausgaben 2026'!$C355,Einzelbeträge!$E:$E,'Ausgaben 2026'!N$6)</f>
        <v>0</v>
      </c>
      <c r="O355" s="6"/>
    </row>
    <row r="356" spans="2:15" x14ac:dyDescent="0.35">
      <c r="B356" s="5"/>
      <c r="C356" s="30">
        <f t="shared" si="26"/>
        <v>46341</v>
      </c>
      <c r="D356" s="46">
        <f>SUMIFS(Einzelbeträge!$D:$D,Einzelbeträge!$C:$C,'Ausgaben 2026'!$C356)</f>
        <v>0</v>
      </c>
      <c r="E356" s="21">
        <f>SUMIFS(Einzelbeträge!$D:$D,Einzelbeträge!$C:$C,'Ausgaben 2026'!$C356,Einzelbeträge!$E:$E,'Ausgaben 2026'!E$6)</f>
        <v>0</v>
      </c>
      <c r="F356" s="21">
        <f>SUMIFS(Einzelbeträge!$D:$D,Einzelbeträge!$C:$C,'Ausgaben 2026'!$C356,Einzelbeträge!$E:$E,'Ausgaben 2026'!F$6)</f>
        <v>0</v>
      </c>
      <c r="G356" s="21">
        <f>SUMIFS(Einzelbeträge!$D:$D,Einzelbeträge!$C:$C,'Ausgaben 2026'!$C356,Einzelbeträge!$E:$E,'Ausgaben 2026'!G$6)</f>
        <v>0</v>
      </c>
      <c r="H356" s="21">
        <f>SUMIFS(Einzelbeträge!$D:$D,Einzelbeträge!$C:$C,'Ausgaben 2026'!$C356,Einzelbeträge!$E:$E,'Ausgaben 2026'!H$6)</f>
        <v>0</v>
      </c>
      <c r="I356" s="21">
        <f>SUMIFS(Einzelbeträge!$D:$D,Einzelbeträge!$C:$C,'Ausgaben 2026'!$C356,Einzelbeträge!$E:$E,'Ausgaben 2026'!I$6)</f>
        <v>0</v>
      </c>
      <c r="J356" s="21">
        <f>SUMIFS(Einzelbeträge!$D:$D,Einzelbeträge!$C:$C,'Ausgaben 2026'!$C356,Einzelbeträge!$E:$E,'Ausgaben 2026'!J$6)</f>
        <v>0</v>
      </c>
      <c r="K356" s="21">
        <f>SUMIFS(Einzelbeträge!$D:$D,Einzelbeträge!$C:$C,'Ausgaben 2026'!$C356,Einzelbeträge!$E:$E,'Ausgaben 2026'!K$6)</f>
        <v>0</v>
      </c>
      <c r="L356" s="21">
        <f>SUMIFS(Einzelbeträge!$D:$D,Einzelbeträge!$C:$C,'Ausgaben 2026'!$C356,Einzelbeträge!$E:$E,'Ausgaben 2026'!L$6)</f>
        <v>0</v>
      </c>
      <c r="M356" s="21">
        <f>SUMIFS(Einzelbeträge!$D:$D,Einzelbeträge!$C:$C,'Ausgaben 2026'!$C356,Einzelbeträge!$E:$E,'Ausgaben 2026'!M$6)</f>
        <v>0</v>
      </c>
      <c r="N356" s="35">
        <f>SUMIFS(Einzelbeträge!$D:$D,Einzelbeträge!$C:$C,'Ausgaben 2026'!$C356,Einzelbeträge!$E:$E,'Ausgaben 2026'!N$6)</f>
        <v>0</v>
      </c>
      <c r="O356" s="6"/>
    </row>
    <row r="357" spans="2:15" x14ac:dyDescent="0.35">
      <c r="B357" s="5"/>
      <c r="C357" s="30">
        <f t="shared" si="26"/>
        <v>46342</v>
      </c>
      <c r="D357" s="46">
        <f>SUMIFS(Einzelbeträge!$D:$D,Einzelbeträge!$C:$C,'Ausgaben 2026'!$C357)</f>
        <v>0</v>
      </c>
      <c r="E357" s="21">
        <f>SUMIFS(Einzelbeträge!$D:$D,Einzelbeträge!$C:$C,'Ausgaben 2026'!$C357,Einzelbeträge!$E:$E,'Ausgaben 2026'!E$6)</f>
        <v>0</v>
      </c>
      <c r="F357" s="21">
        <f>SUMIFS(Einzelbeträge!$D:$D,Einzelbeträge!$C:$C,'Ausgaben 2026'!$C357,Einzelbeträge!$E:$E,'Ausgaben 2026'!F$6)</f>
        <v>0</v>
      </c>
      <c r="G357" s="21">
        <f>SUMIFS(Einzelbeträge!$D:$D,Einzelbeträge!$C:$C,'Ausgaben 2026'!$C357,Einzelbeträge!$E:$E,'Ausgaben 2026'!G$6)</f>
        <v>0</v>
      </c>
      <c r="H357" s="21">
        <f>SUMIFS(Einzelbeträge!$D:$D,Einzelbeträge!$C:$C,'Ausgaben 2026'!$C357,Einzelbeträge!$E:$E,'Ausgaben 2026'!H$6)</f>
        <v>0</v>
      </c>
      <c r="I357" s="21">
        <f>SUMIFS(Einzelbeträge!$D:$D,Einzelbeträge!$C:$C,'Ausgaben 2026'!$C357,Einzelbeträge!$E:$E,'Ausgaben 2026'!I$6)</f>
        <v>0</v>
      </c>
      <c r="J357" s="21">
        <f>SUMIFS(Einzelbeträge!$D:$D,Einzelbeträge!$C:$C,'Ausgaben 2026'!$C357,Einzelbeträge!$E:$E,'Ausgaben 2026'!J$6)</f>
        <v>0</v>
      </c>
      <c r="K357" s="21">
        <f>SUMIFS(Einzelbeträge!$D:$D,Einzelbeträge!$C:$C,'Ausgaben 2026'!$C357,Einzelbeträge!$E:$E,'Ausgaben 2026'!K$6)</f>
        <v>0</v>
      </c>
      <c r="L357" s="21">
        <f>SUMIFS(Einzelbeträge!$D:$D,Einzelbeträge!$C:$C,'Ausgaben 2026'!$C357,Einzelbeträge!$E:$E,'Ausgaben 2026'!L$6)</f>
        <v>0</v>
      </c>
      <c r="M357" s="21">
        <f>SUMIFS(Einzelbeträge!$D:$D,Einzelbeträge!$C:$C,'Ausgaben 2026'!$C357,Einzelbeträge!$E:$E,'Ausgaben 2026'!M$6)</f>
        <v>0</v>
      </c>
      <c r="N357" s="35">
        <f>SUMIFS(Einzelbeträge!$D:$D,Einzelbeträge!$C:$C,'Ausgaben 2026'!$C357,Einzelbeträge!$E:$E,'Ausgaben 2026'!N$6)</f>
        <v>0</v>
      </c>
      <c r="O357" s="6"/>
    </row>
    <row r="358" spans="2:15" x14ac:dyDescent="0.35">
      <c r="B358" s="5"/>
      <c r="C358" s="30">
        <f t="shared" si="26"/>
        <v>46343</v>
      </c>
      <c r="D358" s="46">
        <f>SUMIFS(Einzelbeträge!$D:$D,Einzelbeträge!$C:$C,'Ausgaben 2026'!$C358)</f>
        <v>0</v>
      </c>
      <c r="E358" s="21">
        <f>SUMIFS(Einzelbeträge!$D:$D,Einzelbeträge!$C:$C,'Ausgaben 2026'!$C358,Einzelbeträge!$E:$E,'Ausgaben 2026'!E$6)</f>
        <v>0</v>
      </c>
      <c r="F358" s="21">
        <f>SUMIFS(Einzelbeträge!$D:$D,Einzelbeträge!$C:$C,'Ausgaben 2026'!$C358,Einzelbeträge!$E:$E,'Ausgaben 2026'!F$6)</f>
        <v>0</v>
      </c>
      <c r="G358" s="21">
        <f>SUMIFS(Einzelbeträge!$D:$D,Einzelbeträge!$C:$C,'Ausgaben 2026'!$C358,Einzelbeträge!$E:$E,'Ausgaben 2026'!G$6)</f>
        <v>0</v>
      </c>
      <c r="H358" s="21">
        <f>SUMIFS(Einzelbeträge!$D:$D,Einzelbeträge!$C:$C,'Ausgaben 2026'!$C358,Einzelbeträge!$E:$E,'Ausgaben 2026'!H$6)</f>
        <v>0</v>
      </c>
      <c r="I358" s="21">
        <f>SUMIFS(Einzelbeträge!$D:$D,Einzelbeträge!$C:$C,'Ausgaben 2026'!$C358,Einzelbeträge!$E:$E,'Ausgaben 2026'!I$6)</f>
        <v>0</v>
      </c>
      <c r="J358" s="21">
        <f>SUMIFS(Einzelbeträge!$D:$D,Einzelbeträge!$C:$C,'Ausgaben 2026'!$C358,Einzelbeträge!$E:$E,'Ausgaben 2026'!J$6)</f>
        <v>0</v>
      </c>
      <c r="K358" s="21">
        <f>SUMIFS(Einzelbeträge!$D:$D,Einzelbeträge!$C:$C,'Ausgaben 2026'!$C358,Einzelbeträge!$E:$E,'Ausgaben 2026'!K$6)</f>
        <v>0</v>
      </c>
      <c r="L358" s="21">
        <f>SUMIFS(Einzelbeträge!$D:$D,Einzelbeträge!$C:$C,'Ausgaben 2026'!$C358,Einzelbeträge!$E:$E,'Ausgaben 2026'!L$6)</f>
        <v>0</v>
      </c>
      <c r="M358" s="21">
        <f>SUMIFS(Einzelbeträge!$D:$D,Einzelbeträge!$C:$C,'Ausgaben 2026'!$C358,Einzelbeträge!$E:$E,'Ausgaben 2026'!M$6)</f>
        <v>0</v>
      </c>
      <c r="N358" s="35">
        <f>SUMIFS(Einzelbeträge!$D:$D,Einzelbeträge!$C:$C,'Ausgaben 2026'!$C358,Einzelbeträge!$E:$E,'Ausgaben 2026'!N$6)</f>
        <v>0</v>
      </c>
      <c r="O358" s="6"/>
    </row>
    <row r="359" spans="2:15" x14ac:dyDescent="0.35">
      <c r="B359" s="5"/>
      <c r="C359" s="30">
        <f t="shared" si="26"/>
        <v>46344</v>
      </c>
      <c r="D359" s="46">
        <f>SUMIFS(Einzelbeträge!$D:$D,Einzelbeträge!$C:$C,'Ausgaben 2026'!$C359)</f>
        <v>0</v>
      </c>
      <c r="E359" s="21">
        <f>SUMIFS(Einzelbeträge!$D:$D,Einzelbeträge!$C:$C,'Ausgaben 2026'!$C359,Einzelbeträge!$E:$E,'Ausgaben 2026'!E$6)</f>
        <v>0</v>
      </c>
      <c r="F359" s="21">
        <f>SUMIFS(Einzelbeträge!$D:$D,Einzelbeträge!$C:$C,'Ausgaben 2026'!$C359,Einzelbeträge!$E:$E,'Ausgaben 2026'!F$6)</f>
        <v>0</v>
      </c>
      <c r="G359" s="21">
        <f>SUMIFS(Einzelbeträge!$D:$D,Einzelbeträge!$C:$C,'Ausgaben 2026'!$C359,Einzelbeträge!$E:$E,'Ausgaben 2026'!G$6)</f>
        <v>0</v>
      </c>
      <c r="H359" s="21">
        <f>SUMIFS(Einzelbeträge!$D:$D,Einzelbeträge!$C:$C,'Ausgaben 2026'!$C359,Einzelbeträge!$E:$E,'Ausgaben 2026'!H$6)</f>
        <v>0</v>
      </c>
      <c r="I359" s="21">
        <f>SUMIFS(Einzelbeträge!$D:$D,Einzelbeträge!$C:$C,'Ausgaben 2026'!$C359,Einzelbeträge!$E:$E,'Ausgaben 2026'!I$6)</f>
        <v>0</v>
      </c>
      <c r="J359" s="21">
        <f>SUMIFS(Einzelbeträge!$D:$D,Einzelbeträge!$C:$C,'Ausgaben 2026'!$C359,Einzelbeträge!$E:$E,'Ausgaben 2026'!J$6)</f>
        <v>0</v>
      </c>
      <c r="K359" s="21">
        <f>SUMIFS(Einzelbeträge!$D:$D,Einzelbeträge!$C:$C,'Ausgaben 2026'!$C359,Einzelbeträge!$E:$E,'Ausgaben 2026'!K$6)</f>
        <v>0</v>
      </c>
      <c r="L359" s="21">
        <f>SUMIFS(Einzelbeträge!$D:$D,Einzelbeträge!$C:$C,'Ausgaben 2026'!$C359,Einzelbeträge!$E:$E,'Ausgaben 2026'!L$6)</f>
        <v>0</v>
      </c>
      <c r="M359" s="21">
        <f>SUMIFS(Einzelbeträge!$D:$D,Einzelbeträge!$C:$C,'Ausgaben 2026'!$C359,Einzelbeträge!$E:$E,'Ausgaben 2026'!M$6)</f>
        <v>0</v>
      </c>
      <c r="N359" s="35">
        <f>SUMIFS(Einzelbeträge!$D:$D,Einzelbeträge!$C:$C,'Ausgaben 2026'!$C359,Einzelbeträge!$E:$E,'Ausgaben 2026'!N$6)</f>
        <v>0</v>
      </c>
      <c r="O359" s="6"/>
    </row>
    <row r="360" spans="2:15" x14ac:dyDescent="0.35">
      <c r="B360" s="5"/>
      <c r="C360" s="30">
        <f t="shared" si="26"/>
        <v>46345</v>
      </c>
      <c r="D360" s="46">
        <f>SUMIFS(Einzelbeträge!$D:$D,Einzelbeträge!$C:$C,'Ausgaben 2026'!$C360)</f>
        <v>0</v>
      </c>
      <c r="E360" s="21">
        <f>SUMIFS(Einzelbeträge!$D:$D,Einzelbeträge!$C:$C,'Ausgaben 2026'!$C360,Einzelbeträge!$E:$E,'Ausgaben 2026'!E$6)</f>
        <v>0</v>
      </c>
      <c r="F360" s="21">
        <f>SUMIFS(Einzelbeträge!$D:$D,Einzelbeträge!$C:$C,'Ausgaben 2026'!$C360,Einzelbeträge!$E:$E,'Ausgaben 2026'!F$6)</f>
        <v>0</v>
      </c>
      <c r="G360" s="21">
        <f>SUMIFS(Einzelbeträge!$D:$D,Einzelbeträge!$C:$C,'Ausgaben 2026'!$C360,Einzelbeträge!$E:$E,'Ausgaben 2026'!G$6)</f>
        <v>0</v>
      </c>
      <c r="H360" s="21">
        <f>SUMIFS(Einzelbeträge!$D:$D,Einzelbeträge!$C:$C,'Ausgaben 2026'!$C360,Einzelbeträge!$E:$E,'Ausgaben 2026'!H$6)</f>
        <v>0</v>
      </c>
      <c r="I360" s="21">
        <f>SUMIFS(Einzelbeträge!$D:$D,Einzelbeträge!$C:$C,'Ausgaben 2026'!$C360,Einzelbeträge!$E:$E,'Ausgaben 2026'!I$6)</f>
        <v>0</v>
      </c>
      <c r="J360" s="21">
        <f>SUMIFS(Einzelbeträge!$D:$D,Einzelbeträge!$C:$C,'Ausgaben 2026'!$C360,Einzelbeträge!$E:$E,'Ausgaben 2026'!J$6)</f>
        <v>0</v>
      </c>
      <c r="K360" s="21">
        <f>SUMIFS(Einzelbeträge!$D:$D,Einzelbeträge!$C:$C,'Ausgaben 2026'!$C360,Einzelbeträge!$E:$E,'Ausgaben 2026'!K$6)</f>
        <v>0</v>
      </c>
      <c r="L360" s="21">
        <f>SUMIFS(Einzelbeträge!$D:$D,Einzelbeträge!$C:$C,'Ausgaben 2026'!$C360,Einzelbeträge!$E:$E,'Ausgaben 2026'!L$6)</f>
        <v>0</v>
      </c>
      <c r="M360" s="21">
        <f>SUMIFS(Einzelbeträge!$D:$D,Einzelbeträge!$C:$C,'Ausgaben 2026'!$C360,Einzelbeträge!$E:$E,'Ausgaben 2026'!M$6)</f>
        <v>0</v>
      </c>
      <c r="N360" s="35">
        <f>SUMIFS(Einzelbeträge!$D:$D,Einzelbeträge!$C:$C,'Ausgaben 2026'!$C360,Einzelbeträge!$E:$E,'Ausgaben 2026'!N$6)</f>
        <v>0</v>
      </c>
      <c r="O360" s="6"/>
    </row>
    <row r="361" spans="2:15" x14ac:dyDescent="0.35">
      <c r="B361" s="5"/>
      <c r="C361" s="30">
        <f t="shared" si="26"/>
        <v>46346</v>
      </c>
      <c r="D361" s="46">
        <f>SUMIFS(Einzelbeträge!$D:$D,Einzelbeträge!$C:$C,'Ausgaben 2026'!$C361)</f>
        <v>0</v>
      </c>
      <c r="E361" s="21">
        <f>SUMIFS(Einzelbeträge!$D:$D,Einzelbeträge!$C:$C,'Ausgaben 2026'!$C361,Einzelbeträge!$E:$E,'Ausgaben 2026'!E$6)</f>
        <v>0</v>
      </c>
      <c r="F361" s="21">
        <f>SUMIFS(Einzelbeträge!$D:$D,Einzelbeträge!$C:$C,'Ausgaben 2026'!$C361,Einzelbeträge!$E:$E,'Ausgaben 2026'!F$6)</f>
        <v>0</v>
      </c>
      <c r="G361" s="21">
        <f>SUMIFS(Einzelbeträge!$D:$D,Einzelbeträge!$C:$C,'Ausgaben 2026'!$C361,Einzelbeträge!$E:$E,'Ausgaben 2026'!G$6)</f>
        <v>0</v>
      </c>
      <c r="H361" s="21">
        <f>SUMIFS(Einzelbeträge!$D:$D,Einzelbeträge!$C:$C,'Ausgaben 2026'!$C361,Einzelbeträge!$E:$E,'Ausgaben 2026'!H$6)</f>
        <v>0</v>
      </c>
      <c r="I361" s="21">
        <f>SUMIFS(Einzelbeträge!$D:$D,Einzelbeträge!$C:$C,'Ausgaben 2026'!$C361,Einzelbeträge!$E:$E,'Ausgaben 2026'!I$6)</f>
        <v>0</v>
      </c>
      <c r="J361" s="21">
        <f>SUMIFS(Einzelbeträge!$D:$D,Einzelbeträge!$C:$C,'Ausgaben 2026'!$C361,Einzelbeträge!$E:$E,'Ausgaben 2026'!J$6)</f>
        <v>0</v>
      </c>
      <c r="K361" s="21">
        <f>SUMIFS(Einzelbeträge!$D:$D,Einzelbeträge!$C:$C,'Ausgaben 2026'!$C361,Einzelbeträge!$E:$E,'Ausgaben 2026'!K$6)</f>
        <v>0</v>
      </c>
      <c r="L361" s="21">
        <f>SUMIFS(Einzelbeträge!$D:$D,Einzelbeträge!$C:$C,'Ausgaben 2026'!$C361,Einzelbeträge!$E:$E,'Ausgaben 2026'!L$6)</f>
        <v>0</v>
      </c>
      <c r="M361" s="21">
        <f>SUMIFS(Einzelbeträge!$D:$D,Einzelbeträge!$C:$C,'Ausgaben 2026'!$C361,Einzelbeträge!$E:$E,'Ausgaben 2026'!M$6)</f>
        <v>0</v>
      </c>
      <c r="N361" s="35">
        <f>SUMIFS(Einzelbeträge!$D:$D,Einzelbeträge!$C:$C,'Ausgaben 2026'!$C361,Einzelbeträge!$E:$E,'Ausgaben 2026'!N$6)</f>
        <v>0</v>
      </c>
      <c r="O361" s="6"/>
    </row>
    <row r="362" spans="2:15" x14ac:dyDescent="0.35">
      <c r="B362" s="5"/>
      <c r="C362" s="30">
        <f t="shared" si="26"/>
        <v>46347</v>
      </c>
      <c r="D362" s="46">
        <f>SUMIFS(Einzelbeträge!$D:$D,Einzelbeträge!$C:$C,'Ausgaben 2026'!$C362)</f>
        <v>0</v>
      </c>
      <c r="E362" s="21">
        <f>SUMIFS(Einzelbeträge!$D:$D,Einzelbeträge!$C:$C,'Ausgaben 2026'!$C362,Einzelbeträge!$E:$E,'Ausgaben 2026'!E$6)</f>
        <v>0</v>
      </c>
      <c r="F362" s="21">
        <f>SUMIFS(Einzelbeträge!$D:$D,Einzelbeträge!$C:$C,'Ausgaben 2026'!$C362,Einzelbeträge!$E:$E,'Ausgaben 2026'!F$6)</f>
        <v>0</v>
      </c>
      <c r="G362" s="21">
        <f>SUMIFS(Einzelbeträge!$D:$D,Einzelbeträge!$C:$C,'Ausgaben 2026'!$C362,Einzelbeträge!$E:$E,'Ausgaben 2026'!G$6)</f>
        <v>0</v>
      </c>
      <c r="H362" s="21">
        <f>SUMIFS(Einzelbeträge!$D:$D,Einzelbeträge!$C:$C,'Ausgaben 2026'!$C362,Einzelbeträge!$E:$E,'Ausgaben 2026'!H$6)</f>
        <v>0</v>
      </c>
      <c r="I362" s="21">
        <f>SUMIFS(Einzelbeträge!$D:$D,Einzelbeträge!$C:$C,'Ausgaben 2026'!$C362,Einzelbeträge!$E:$E,'Ausgaben 2026'!I$6)</f>
        <v>0</v>
      </c>
      <c r="J362" s="21">
        <f>SUMIFS(Einzelbeträge!$D:$D,Einzelbeträge!$C:$C,'Ausgaben 2026'!$C362,Einzelbeträge!$E:$E,'Ausgaben 2026'!J$6)</f>
        <v>0</v>
      </c>
      <c r="K362" s="21">
        <f>SUMIFS(Einzelbeträge!$D:$D,Einzelbeträge!$C:$C,'Ausgaben 2026'!$C362,Einzelbeträge!$E:$E,'Ausgaben 2026'!K$6)</f>
        <v>0</v>
      </c>
      <c r="L362" s="21">
        <f>SUMIFS(Einzelbeträge!$D:$D,Einzelbeträge!$C:$C,'Ausgaben 2026'!$C362,Einzelbeträge!$E:$E,'Ausgaben 2026'!L$6)</f>
        <v>0</v>
      </c>
      <c r="M362" s="21">
        <f>SUMIFS(Einzelbeträge!$D:$D,Einzelbeträge!$C:$C,'Ausgaben 2026'!$C362,Einzelbeträge!$E:$E,'Ausgaben 2026'!M$6)</f>
        <v>0</v>
      </c>
      <c r="N362" s="35">
        <f>SUMIFS(Einzelbeträge!$D:$D,Einzelbeträge!$C:$C,'Ausgaben 2026'!$C362,Einzelbeträge!$E:$E,'Ausgaben 2026'!N$6)</f>
        <v>0</v>
      </c>
      <c r="O362" s="6"/>
    </row>
    <row r="363" spans="2:15" x14ac:dyDescent="0.35">
      <c r="B363" s="5"/>
      <c r="C363" s="30">
        <f t="shared" si="26"/>
        <v>46348</v>
      </c>
      <c r="D363" s="46">
        <f>SUMIFS(Einzelbeträge!$D:$D,Einzelbeträge!$C:$C,'Ausgaben 2026'!$C363)</f>
        <v>0</v>
      </c>
      <c r="E363" s="21">
        <f>SUMIFS(Einzelbeträge!$D:$D,Einzelbeträge!$C:$C,'Ausgaben 2026'!$C363,Einzelbeträge!$E:$E,'Ausgaben 2026'!E$6)</f>
        <v>0</v>
      </c>
      <c r="F363" s="21">
        <f>SUMIFS(Einzelbeträge!$D:$D,Einzelbeträge!$C:$C,'Ausgaben 2026'!$C363,Einzelbeträge!$E:$E,'Ausgaben 2026'!F$6)</f>
        <v>0</v>
      </c>
      <c r="G363" s="21">
        <f>SUMIFS(Einzelbeträge!$D:$D,Einzelbeträge!$C:$C,'Ausgaben 2026'!$C363,Einzelbeträge!$E:$E,'Ausgaben 2026'!G$6)</f>
        <v>0</v>
      </c>
      <c r="H363" s="21">
        <f>SUMIFS(Einzelbeträge!$D:$D,Einzelbeträge!$C:$C,'Ausgaben 2026'!$C363,Einzelbeträge!$E:$E,'Ausgaben 2026'!H$6)</f>
        <v>0</v>
      </c>
      <c r="I363" s="21">
        <f>SUMIFS(Einzelbeträge!$D:$D,Einzelbeträge!$C:$C,'Ausgaben 2026'!$C363,Einzelbeträge!$E:$E,'Ausgaben 2026'!I$6)</f>
        <v>0</v>
      </c>
      <c r="J363" s="21">
        <f>SUMIFS(Einzelbeträge!$D:$D,Einzelbeträge!$C:$C,'Ausgaben 2026'!$C363,Einzelbeträge!$E:$E,'Ausgaben 2026'!J$6)</f>
        <v>0</v>
      </c>
      <c r="K363" s="21">
        <f>SUMIFS(Einzelbeträge!$D:$D,Einzelbeträge!$C:$C,'Ausgaben 2026'!$C363,Einzelbeträge!$E:$E,'Ausgaben 2026'!K$6)</f>
        <v>0</v>
      </c>
      <c r="L363" s="21">
        <f>SUMIFS(Einzelbeträge!$D:$D,Einzelbeträge!$C:$C,'Ausgaben 2026'!$C363,Einzelbeträge!$E:$E,'Ausgaben 2026'!L$6)</f>
        <v>0</v>
      </c>
      <c r="M363" s="21">
        <f>SUMIFS(Einzelbeträge!$D:$D,Einzelbeträge!$C:$C,'Ausgaben 2026'!$C363,Einzelbeträge!$E:$E,'Ausgaben 2026'!M$6)</f>
        <v>0</v>
      </c>
      <c r="N363" s="35">
        <f>SUMIFS(Einzelbeträge!$D:$D,Einzelbeträge!$C:$C,'Ausgaben 2026'!$C363,Einzelbeträge!$E:$E,'Ausgaben 2026'!N$6)</f>
        <v>0</v>
      </c>
      <c r="O363" s="6"/>
    </row>
    <row r="364" spans="2:15" x14ac:dyDescent="0.35">
      <c r="B364" s="5"/>
      <c r="C364" s="30">
        <f t="shared" si="26"/>
        <v>46349</v>
      </c>
      <c r="D364" s="46">
        <f>SUMIFS(Einzelbeträge!$D:$D,Einzelbeträge!$C:$C,'Ausgaben 2026'!$C364)</f>
        <v>0</v>
      </c>
      <c r="E364" s="21">
        <f>SUMIFS(Einzelbeträge!$D:$D,Einzelbeträge!$C:$C,'Ausgaben 2026'!$C364,Einzelbeträge!$E:$E,'Ausgaben 2026'!E$6)</f>
        <v>0</v>
      </c>
      <c r="F364" s="21">
        <f>SUMIFS(Einzelbeträge!$D:$D,Einzelbeträge!$C:$C,'Ausgaben 2026'!$C364,Einzelbeträge!$E:$E,'Ausgaben 2026'!F$6)</f>
        <v>0</v>
      </c>
      <c r="G364" s="21">
        <f>SUMIFS(Einzelbeträge!$D:$D,Einzelbeträge!$C:$C,'Ausgaben 2026'!$C364,Einzelbeträge!$E:$E,'Ausgaben 2026'!G$6)</f>
        <v>0</v>
      </c>
      <c r="H364" s="21">
        <f>SUMIFS(Einzelbeträge!$D:$D,Einzelbeträge!$C:$C,'Ausgaben 2026'!$C364,Einzelbeträge!$E:$E,'Ausgaben 2026'!H$6)</f>
        <v>0</v>
      </c>
      <c r="I364" s="21">
        <f>SUMIFS(Einzelbeträge!$D:$D,Einzelbeträge!$C:$C,'Ausgaben 2026'!$C364,Einzelbeträge!$E:$E,'Ausgaben 2026'!I$6)</f>
        <v>0</v>
      </c>
      <c r="J364" s="21">
        <f>SUMIFS(Einzelbeträge!$D:$D,Einzelbeträge!$C:$C,'Ausgaben 2026'!$C364,Einzelbeträge!$E:$E,'Ausgaben 2026'!J$6)</f>
        <v>0</v>
      </c>
      <c r="K364" s="21">
        <f>SUMIFS(Einzelbeträge!$D:$D,Einzelbeträge!$C:$C,'Ausgaben 2026'!$C364,Einzelbeträge!$E:$E,'Ausgaben 2026'!K$6)</f>
        <v>0</v>
      </c>
      <c r="L364" s="21">
        <f>SUMIFS(Einzelbeträge!$D:$D,Einzelbeträge!$C:$C,'Ausgaben 2026'!$C364,Einzelbeträge!$E:$E,'Ausgaben 2026'!L$6)</f>
        <v>0</v>
      </c>
      <c r="M364" s="21">
        <f>SUMIFS(Einzelbeträge!$D:$D,Einzelbeträge!$C:$C,'Ausgaben 2026'!$C364,Einzelbeträge!$E:$E,'Ausgaben 2026'!M$6)</f>
        <v>0</v>
      </c>
      <c r="N364" s="35">
        <f>SUMIFS(Einzelbeträge!$D:$D,Einzelbeträge!$C:$C,'Ausgaben 2026'!$C364,Einzelbeträge!$E:$E,'Ausgaben 2026'!N$6)</f>
        <v>0</v>
      </c>
      <c r="O364" s="6"/>
    </row>
    <row r="365" spans="2:15" x14ac:dyDescent="0.35">
      <c r="B365" s="5"/>
      <c r="C365" s="30">
        <f t="shared" si="26"/>
        <v>46350</v>
      </c>
      <c r="D365" s="46">
        <f>SUMIFS(Einzelbeträge!$D:$D,Einzelbeträge!$C:$C,'Ausgaben 2026'!$C365)</f>
        <v>0</v>
      </c>
      <c r="E365" s="21">
        <f>SUMIFS(Einzelbeträge!$D:$D,Einzelbeträge!$C:$C,'Ausgaben 2026'!$C365,Einzelbeträge!$E:$E,'Ausgaben 2026'!E$6)</f>
        <v>0</v>
      </c>
      <c r="F365" s="21">
        <f>SUMIFS(Einzelbeträge!$D:$D,Einzelbeträge!$C:$C,'Ausgaben 2026'!$C365,Einzelbeträge!$E:$E,'Ausgaben 2026'!F$6)</f>
        <v>0</v>
      </c>
      <c r="G365" s="21">
        <f>SUMIFS(Einzelbeträge!$D:$D,Einzelbeträge!$C:$C,'Ausgaben 2026'!$C365,Einzelbeträge!$E:$E,'Ausgaben 2026'!G$6)</f>
        <v>0</v>
      </c>
      <c r="H365" s="21">
        <f>SUMIFS(Einzelbeträge!$D:$D,Einzelbeträge!$C:$C,'Ausgaben 2026'!$C365,Einzelbeträge!$E:$E,'Ausgaben 2026'!H$6)</f>
        <v>0</v>
      </c>
      <c r="I365" s="21">
        <f>SUMIFS(Einzelbeträge!$D:$D,Einzelbeträge!$C:$C,'Ausgaben 2026'!$C365,Einzelbeträge!$E:$E,'Ausgaben 2026'!I$6)</f>
        <v>0</v>
      </c>
      <c r="J365" s="21">
        <f>SUMIFS(Einzelbeträge!$D:$D,Einzelbeträge!$C:$C,'Ausgaben 2026'!$C365,Einzelbeträge!$E:$E,'Ausgaben 2026'!J$6)</f>
        <v>0</v>
      </c>
      <c r="K365" s="21">
        <f>SUMIFS(Einzelbeträge!$D:$D,Einzelbeträge!$C:$C,'Ausgaben 2026'!$C365,Einzelbeträge!$E:$E,'Ausgaben 2026'!K$6)</f>
        <v>0</v>
      </c>
      <c r="L365" s="21">
        <f>SUMIFS(Einzelbeträge!$D:$D,Einzelbeträge!$C:$C,'Ausgaben 2026'!$C365,Einzelbeträge!$E:$E,'Ausgaben 2026'!L$6)</f>
        <v>0</v>
      </c>
      <c r="M365" s="21">
        <f>SUMIFS(Einzelbeträge!$D:$D,Einzelbeträge!$C:$C,'Ausgaben 2026'!$C365,Einzelbeträge!$E:$E,'Ausgaben 2026'!M$6)</f>
        <v>0</v>
      </c>
      <c r="N365" s="35">
        <f>SUMIFS(Einzelbeträge!$D:$D,Einzelbeträge!$C:$C,'Ausgaben 2026'!$C365,Einzelbeträge!$E:$E,'Ausgaben 2026'!N$6)</f>
        <v>0</v>
      </c>
      <c r="O365" s="6"/>
    </row>
    <row r="366" spans="2:15" x14ac:dyDescent="0.35">
      <c r="B366" s="5"/>
      <c r="C366" s="30">
        <f t="shared" si="26"/>
        <v>46351</v>
      </c>
      <c r="D366" s="46">
        <f>SUMIFS(Einzelbeträge!$D:$D,Einzelbeträge!$C:$C,'Ausgaben 2026'!$C366)</f>
        <v>0</v>
      </c>
      <c r="E366" s="21">
        <f>SUMIFS(Einzelbeträge!$D:$D,Einzelbeträge!$C:$C,'Ausgaben 2026'!$C366,Einzelbeträge!$E:$E,'Ausgaben 2026'!E$6)</f>
        <v>0</v>
      </c>
      <c r="F366" s="21">
        <f>SUMIFS(Einzelbeträge!$D:$D,Einzelbeträge!$C:$C,'Ausgaben 2026'!$C366,Einzelbeträge!$E:$E,'Ausgaben 2026'!F$6)</f>
        <v>0</v>
      </c>
      <c r="G366" s="21">
        <f>SUMIFS(Einzelbeträge!$D:$D,Einzelbeträge!$C:$C,'Ausgaben 2026'!$C366,Einzelbeträge!$E:$E,'Ausgaben 2026'!G$6)</f>
        <v>0</v>
      </c>
      <c r="H366" s="21">
        <f>SUMIFS(Einzelbeträge!$D:$D,Einzelbeträge!$C:$C,'Ausgaben 2026'!$C366,Einzelbeträge!$E:$E,'Ausgaben 2026'!H$6)</f>
        <v>0</v>
      </c>
      <c r="I366" s="21">
        <f>SUMIFS(Einzelbeträge!$D:$D,Einzelbeträge!$C:$C,'Ausgaben 2026'!$C366,Einzelbeträge!$E:$E,'Ausgaben 2026'!I$6)</f>
        <v>0</v>
      </c>
      <c r="J366" s="21">
        <f>SUMIFS(Einzelbeträge!$D:$D,Einzelbeträge!$C:$C,'Ausgaben 2026'!$C366,Einzelbeträge!$E:$E,'Ausgaben 2026'!J$6)</f>
        <v>0</v>
      </c>
      <c r="K366" s="21">
        <f>SUMIFS(Einzelbeträge!$D:$D,Einzelbeträge!$C:$C,'Ausgaben 2026'!$C366,Einzelbeträge!$E:$E,'Ausgaben 2026'!K$6)</f>
        <v>0</v>
      </c>
      <c r="L366" s="21">
        <f>SUMIFS(Einzelbeträge!$D:$D,Einzelbeträge!$C:$C,'Ausgaben 2026'!$C366,Einzelbeträge!$E:$E,'Ausgaben 2026'!L$6)</f>
        <v>0</v>
      </c>
      <c r="M366" s="21">
        <f>SUMIFS(Einzelbeträge!$D:$D,Einzelbeträge!$C:$C,'Ausgaben 2026'!$C366,Einzelbeträge!$E:$E,'Ausgaben 2026'!M$6)</f>
        <v>0</v>
      </c>
      <c r="N366" s="35">
        <f>SUMIFS(Einzelbeträge!$D:$D,Einzelbeträge!$C:$C,'Ausgaben 2026'!$C366,Einzelbeträge!$E:$E,'Ausgaben 2026'!N$6)</f>
        <v>0</v>
      </c>
      <c r="O366" s="6"/>
    </row>
    <row r="367" spans="2:15" x14ac:dyDescent="0.35">
      <c r="B367" s="5"/>
      <c r="C367" s="30">
        <f t="shared" si="26"/>
        <v>46352</v>
      </c>
      <c r="D367" s="46">
        <f>SUMIFS(Einzelbeträge!$D:$D,Einzelbeträge!$C:$C,'Ausgaben 2026'!$C367)</f>
        <v>0</v>
      </c>
      <c r="E367" s="21">
        <f>SUMIFS(Einzelbeträge!$D:$D,Einzelbeträge!$C:$C,'Ausgaben 2026'!$C367,Einzelbeträge!$E:$E,'Ausgaben 2026'!E$6)</f>
        <v>0</v>
      </c>
      <c r="F367" s="21">
        <f>SUMIFS(Einzelbeträge!$D:$D,Einzelbeträge!$C:$C,'Ausgaben 2026'!$C367,Einzelbeträge!$E:$E,'Ausgaben 2026'!F$6)</f>
        <v>0</v>
      </c>
      <c r="G367" s="21">
        <f>SUMIFS(Einzelbeträge!$D:$D,Einzelbeträge!$C:$C,'Ausgaben 2026'!$C367,Einzelbeträge!$E:$E,'Ausgaben 2026'!G$6)</f>
        <v>0</v>
      </c>
      <c r="H367" s="21">
        <f>SUMIFS(Einzelbeträge!$D:$D,Einzelbeträge!$C:$C,'Ausgaben 2026'!$C367,Einzelbeträge!$E:$E,'Ausgaben 2026'!H$6)</f>
        <v>0</v>
      </c>
      <c r="I367" s="21">
        <f>SUMIFS(Einzelbeträge!$D:$D,Einzelbeträge!$C:$C,'Ausgaben 2026'!$C367,Einzelbeträge!$E:$E,'Ausgaben 2026'!I$6)</f>
        <v>0</v>
      </c>
      <c r="J367" s="21">
        <f>SUMIFS(Einzelbeträge!$D:$D,Einzelbeträge!$C:$C,'Ausgaben 2026'!$C367,Einzelbeträge!$E:$E,'Ausgaben 2026'!J$6)</f>
        <v>0</v>
      </c>
      <c r="K367" s="21">
        <f>SUMIFS(Einzelbeträge!$D:$D,Einzelbeträge!$C:$C,'Ausgaben 2026'!$C367,Einzelbeträge!$E:$E,'Ausgaben 2026'!K$6)</f>
        <v>0</v>
      </c>
      <c r="L367" s="21">
        <f>SUMIFS(Einzelbeträge!$D:$D,Einzelbeträge!$C:$C,'Ausgaben 2026'!$C367,Einzelbeträge!$E:$E,'Ausgaben 2026'!L$6)</f>
        <v>0</v>
      </c>
      <c r="M367" s="21">
        <f>SUMIFS(Einzelbeträge!$D:$D,Einzelbeträge!$C:$C,'Ausgaben 2026'!$C367,Einzelbeträge!$E:$E,'Ausgaben 2026'!M$6)</f>
        <v>0</v>
      </c>
      <c r="N367" s="35">
        <f>SUMIFS(Einzelbeträge!$D:$D,Einzelbeträge!$C:$C,'Ausgaben 2026'!$C367,Einzelbeträge!$E:$E,'Ausgaben 2026'!N$6)</f>
        <v>0</v>
      </c>
      <c r="O367" s="6"/>
    </row>
    <row r="368" spans="2:15" x14ac:dyDescent="0.35">
      <c r="B368" s="5"/>
      <c r="C368" s="30">
        <f t="shared" si="26"/>
        <v>46353</v>
      </c>
      <c r="D368" s="46">
        <f>SUMIFS(Einzelbeträge!$D:$D,Einzelbeträge!$C:$C,'Ausgaben 2026'!$C368)</f>
        <v>0</v>
      </c>
      <c r="E368" s="21">
        <f>SUMIFS(Einzelbeträge!$D:$D,Einzelbeträge!$C:$C,'Ausgaben 2026'!$C368,Einzelbeträge!$E:$E,'Ausgaben 2026'!E$6)</f>
        <v>0</v>
      </c>
      <c r="F368" s="21">
        <f>SUMIFS(Einzelbeträge!$D:$D,Einzelbeträge!$C:$C,'Ausgaben 2026'!$C368,Einzelbeträge!$E:$E,'Ausgaben 2026'!F$6)</f>
        <v>0</v>
      </c>
      <c r="G368" s="21">
        <f>SUMIFS(Einzelbeträge!$D:$D,Einzelbeträge!$C:$C,'Ausgaben 2026'!$C368,Einzelbeträge!$E:$E,'Ausgaben 2026'!G$6)</f>
        <v>0</v>
      </c>
      <c r="H368" s="21">
        <f>SUMIFS(Einzelbeträge!$D:$D,Einzelbeträge!$C:$C,'Ausgaben 2026'!$C368,Einzelbeträge!$E:$E,'Ausgaben 2026'!H$6)</f>
        <v>0</v>
      </c>
      <c r="I368" s="21">
        <f>SUMIFS(Einzelbeträge!$D:$D,Einzelbeträge!$C:$C,'Ausgaben 2026'!$C368,Einzelbeträge!$E:$E,'Ausgaben 2026'!I$6)</f>
        <v>0</v>
      </c>
      <c r="J368" s="21">
        <f>SUMIFS(Einzelbeträge!$D:$D,Einzelbeträge!$C:$C,'Ausgaben 2026'!$C368,Einzelbeträge!$E:$E,'Ausgaben 2026'!J$6)</f>
        <v>0</v>
      </c>
      <c r="K368" s="21">
        <f>SUMIFS(Einzelbeträge!$D:$D,Einzelbeträge!$C:$C,'Ausgaben 2026'!$C368,Einzelbeträge!$E:$E,'Ausgaben 2026'!K$6)</f>
        <v>0</v>
      </c>
      <c r="L368" s="21">
        <f>SUMIFS(Einzelbeträge!$D:$D,Einzelbeträge!$C:$C,'Ausgaben 2026'!$C368,Einzelbeträge!$E:$E,'Ausgaben 2026'!L$6)</f>
        <v>0</v>
      </c>
      <c r="M368" s="21">
        <f>SUMIFS(Einzelbeträge!$D:$D,Einzelbeträge!$C:$C,'Ausgaben 2026'!$C368,Einzelbeträge!$E:$E,'Ausgaben 2026'!M$6)</f>
        <v>0</v>
      </c>
      <c r="N368" s="35">
        <f>SUMIFS(Einzelbeträge!$D:$D,Einzelbeträge!$C:$C,'Ausgaben 2026'!$C368,Einzelbeträge!$E:$E,'Ausgaben 2026'!N$6)</f>
        <v>0</v>
      </c>
      <c r="O368" s="6"/>
    </row>
    <row r="369" spans="2:15" x14ac:dyDescent="0.35">
      <c r="B369" s="5"/>
      <c r="C369" s="30">
        <f t="shared" si="26"/>
        <v>46354</v>
      </c>
      <c r="D369" s="46">
        <f>SUMIFS(Einzelbeträge!$D:$D,Einzelbeträge!$C:$C,'Ausgaben 2026'!$C369)</f>
        <v>0</v>
      </c>
      <c r="E369" s="21">
        <f>SUMIFS(Einzelbeträge!$D:$D,Einzelbeträge!$C:$C,'Ausgaben 2026'!$C369,Einzelbeträge!$E:$E,'Ausgaben 2026'!E$6)</f>
        <v>0</v>
      </c>
      <c r="F369" s="21">
        <f>SUMIFS(Einzelbeträge!$D:$D,Einzelbeträge!$C:$C,'Ausgaben 2026'!$C369,Einzelbeträge!$E:$E,'Ausgaben 2026'!F$6)</f>
        <v>0</v>
      </c>
      <c r="G369" s="21">
        <f>SUMIFS(Einzelbeträge!$D:$D,Einzelbeträge!$C:$C,'Ausgaben 2026'!$C369,Einzelbeträge!$E:$E,'Ausgaben 2026'!G$6)</f>
        <v>0</v>
      </c>
      <c r="H369" s="21">
        <f>SUMIFS(Einzelbeträge!$D:$D,Einzelbeträge!$C:$C,'Ausgaben 2026'!$C369,Einzelbeträge!$E:$E,'Ausgaben 2026'!H$6)</f>
        <v>0</v>
      </c>
      <c r="I369" s="21">
        <f>SUMIFS(Einzelbeträge!$D:$D,Einzelbeträge!$C:$C,'Ausgaben 2026'!$C369,Einzelbeträge!$E:$E,'Ausgaben 2026'!I$6)</f>
        <v>0</v>
      </c>
      <c r="J369" s="21">
        <f>SUMIFS(Einzelbeträge!$D:$D,Einzelbeträge!$C:$C,'Ausgaben 2026'!$C369,Einzelbeträge!$E:$E,'Ausgaben 2026'!J$6)</f>
        <v>0</v>
      </c>
      <c r="K369" s="21">
        <f>SUMIFS(Einzelbeträge!$D:$D,Einzelbeträge!$C:$C,'Ausgaben 2026'!$C369,Einzelbeträge!$E:$E,'Ausgaben 2026'!K$6)</f>
        <v>0</v>
      </c>
      <c r="L369" s="21">
        <f>SUMIFS(Einzelbeträge!$D:$D,Einzelbeträge!$C:$C,'Ausgaben 2026'!$C369,Einzelbeträge!$E:$E,'Ausgaben 2026'!L$6)</f>
        <v>0</v>
      </c>
      <c r="M369" s="21">
        <f>SUMIFS(Einzelbeträge!$D:$D,Einzelbeträge!$C:$C,'Ausgaben 2026'!$C369,Einzelbeträge!$E:$E,'Ausgaben 2026'!M$6)</f>
        <v>0</v>
      </c>
      <c r="N369" s="35">
        <f>SUMIFS(Einzelbeträge!$D:$D,Einzelbeträge!$C:$C,'Ausgaben 2026'!$C369,Einzelbeträge!$E:$E,'Ausgaben 2026'!N$6)</f>
        <v>0</v>
      </c>
      <c r="O369" s="6"/>
    </row>
    <row r="370" spans="2:15" x14ac:dyDescent="0.35">
      <c r="B370" s="5"/>
      <c r="C370" s="30">
        <f t="shared" si="26"/>
        <v>46355</v>
      </c>
      <c r="D370" s="46">
        <f>SUMIFS(Einzelbeträge!$D:$D,Einzelbeträge!$C:$C,'Ausgaben 2026'!$C370)</f>
        <v>0</v>
      </c>
      <c r="E370" s="21">
        <f>SUMIFS(Einzelbeträge!$D:$D,Einzelbeträge!$C:$C,'Ausgaben 2026'!$C370,Einzelbeträge!$E:$E,'Ausgaben 2026'!E$6)</f>
        <v>0</v>
      </c>
      <c r="F370" s="21">
        <f>SUMIFS(Einzelbeträge!$D:$D,Einzelbeträge!$C:$C,'Ausgaben 2026'!$C370,Einzelbeträge!$E:$E,'Ausgaben 2026'!F$6)</f>
        <v>0</v>
      </c>
      <c r="G370" s="21">
        <f>SUMIFS(Einzelbeträge!$D:$D,Einzelbeträge!$C:$C,'Ausgaben 2026'!$C370,Einzelbeträge!$E:$E,'Ausgaben 2026'!G$6)</f>
        <v>0</v>
      </c>
      <c r="H370" s="21">
        <f>SUMIFS(Einzelbeträge!$D:$D,Einzelbeträge!$C:$C,'Ausgaben 2026'!$C370,Einzelbeträge!$E:$E,'Ausgaben 2026'!H$6)</f>
        <v>0</v>
      </c>
      <c r="I370" s="21">
        <f>SUMIFS(Einzelbeträge!$D:$D,Einzelbeträge!$C:$C,'Ausgaben 2026'!$C370,Einzelbeträge!$E:$E,'Ausgaben 2026'!I$6)</f>
        <v>0</v>
      </c>
      <c r="J370" s="21">
        <f>SUMIFS(Einzelbeträge!$D:$D,Einzelbeträge!$C:$C,'Ausgaben 2026'!$C370,Einzelbeträge!$E:$E,'Ausgaben 2026'!J$6)</f>
        <v>0</v>
      </c>
      <c r="K370" s="21">
        <f>SUMIFS(Einzelbeträge!$D:$D,Einzelbeträge!$C:$C,'Ausgaben 2026'!$C370,Einzelbeträge!$E:$E,'Ausgaben 2026'!K$6)</f>
        <v>0</v>
      </c>
      <c r="L370" s="21">
        <f>SUMIFS(Einzelbeträge!$D:$D,Einzelbeträge!$C:$C,'Ausgaben 2026'!$C370,Einzelbeträge!$E:$E,'Ausgaben 2026'!L$6)</f>
        <v>0</v>
      </c>
      <c r="M370" s="21">
        <f>SUMIFS(Einzelbeträge!$D:$D,Einzelbeträge!$C:$C,'Ausgaben 2026'!$C370,Einzelbeträge!$E:$E,'Ausgaben 2026'!M$6)</f>
        <v>0</v>
      </c>
      <c r="N370" s="35">
        <f>SUMIFS(Einzelbeträge!$D:$D,Einzelbeträge!$C:$C,'Ausgaben 2026'!$C370,Einzelbeträge!$E:$E,'Ausgaben 2026'!N$6)</f>
        <v>0</v>
      </c>
      <c r="O370" s="6"/>
    </row>
    <row r="371" spans="2:15" x14ac:dyDescent="0.35">
      <c r="B371" s="5"/>
      <c r="C371" s="31">
        <f t="shared" si="26"/>
        <v>46356</v>
      </c>
      <c r="D371" s="47">
        <f>SUMIFS(Einzelbeträge!$D:$D,Einzelbeträge!$C:$C,'Ausgaben 2026'!$C371)</f>
        <v>0</v>
      </c>
      <c r="E371" s="37">
        <f>SUMIFS(Einzelbeträge!$D:$D,Einzelbeträge!$C:$C,'Ausgaben 2026'!$C371,Einzelbeträge!$E:$E,'Ausgaben 2026'!E$6)</f>
        <v>0</v>
      </c>
      <c r="F371" s="37">
        <f>SUMIFS(Einzelbeträge!$D:$D,Einzelbeträge!$C:$C,'Ausgaben 2026'!$C371,Einzelbeträge!$E:$E,'Ausgaben 2026'!F$6)</f>
        <v>0</v>
      </c>
      <c r="G371" s="37">
        <f>SUMIFS(Einzelbeträge!$D:$D,Einzelbeträge!$C:$C,'Ausgaben 2026'!$C371,Einzelbeträge!$E:$E,'Ausgaben 2026'!G$6)</f>
        <v>0</v>
      </c>
      <c r="H371" s="37">
        <f>SUMIFS(Einzelbeträge!$D:$D,Einzelbeträge!$C:$C,'Ausgaben 2026'!$C371,Einzelbeträge!$E:$E,'Ausgaben 2026'!H$6)</f>
        <v>0</v>
      </c>
      <c r="I371" s="37">
        <f>SUMIFS(Einzelbeträge!$D:$D,Einzelbeträge!$C:$C,'Ausgaben 2026'!$C371,Einzelbeträge!$E:$E,'Ausgaben 2026'!I$6)</f>
        <v>0</v>
      </c>
      <c r="J371" s="37">
        <f>SUMIFS(Einzelbeträge!$D:$D,Einzelbeträge!$C:$C,'Ausgaben 2026'!$C371,Einzelbeträge!$E:$E,'Ausgaben 2026'!J$6)</f>
        <v>0</v>
      </c>
      <c r="K371" s="37">
        <f>SUMIFS(Einzelbeträge!$D:$D,Einzelbeträge!$C:$C,'Ausgaben 2026'!$C371,Einzelbeträge!$E:$E,'Ausgaben 2026'!K$6)</f>
        <v>0</v>
      </c>
      <c r="L371" s="37">
        <f>SUMIFS(Einzelbeträge!$D:$D,Einzelbeträge!$C:$C,'Ausgaben 2026'!$C371,Einzelbeträge!$E:$E,'Ausgaben 2026'!L$6)</f>
        <v>0</v>
      </c>
      <c r="M371" s="37">
        <f>SUMIFS(Einzelbeträge!$D:$D,Einzelbeträge!$C:$C,'Ausgaben 2026'!$C371,Einzelbeträge!$E:$E,'Ausgaben 2026'!M$6)</f>
        <v>0</v>
      </c>
      <c r="N371" s="38">
        <f>SUMIFS(Einzelbeträge!$D:$D,Einzelbeträge!$C:$C,'Ausgaben 2026'!$C371,Einzelbeträge!$E:$E,'Ausgaben 2026'!N$6)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46357</v>
      </c>
      <c r="D375" s="45">
        <f>SUMIFS(Einzelbeträge!$D:$D,Einzelbeträge!$C:$C,'Ausgaben 2026'!$C375)</f>
        <v>0</v>
      </c>
      <c r="E375" s="32">
        <f>SUMIFS(Einzelbeträge!$D:$D,Einzelbeträge!$C:$C,'Ausgaben 2026'!$C375,Einzelbeträge!$E:$E,'Ausgaben 2026'!E$6)</f>
        <v>0</v>
      </c>
      <c r="F375" s="32">
        <f>SUMIFS(Einzelbeträge!$D:$D,Einzelbeträge!$C:$C,'Ausgaben 2026'!$C375,Einzelbeträge!$E:$E,'Ausgaben 2026'!F$6)</f>
        <v>0</v>
      </c>
      <c r="G375" s="32">
        <f>SUMIFS(Einzelbeträge!$D:$D,Einzelbeträge!$C:$C,'Ausgaben 2026'!$C375,Einzelbeträge!$E:$E,'Ausgaben 2026'!G$6)</f>
        <v>0</v>
      </c>
      <c r="H375" s="32">
        <f>SUMIFS(Einzelbeträge!$D:$D,Einzelbeträge!$C:$C,'Ausgaben 2026'!$C375,Einzelbeträge!$E:$E,'Ausgaben 2026'!H$6)</f>
        <v>0</v>
      </c>
      <c r="I375" s="32">
        <f>SUMIFS(Einzelbeträge!$D:$D,Einzelbeträge!$C:$C,'Ausgaben 2026'!$C375,Einzelbeträge!$E:$E,'Ausgaben 2026'!I$6)</f>
        <v>0</v>
      </c>
      <c r="J375" s="32">
        <f>SUMIFS(Einzelbeträge!$D:$D,Einzelbeträge!$C:$C,'Ausgaben 2026'!$C375,Einzelbeträge!$E:$E,'Ausgaben 2026'!J$6)</f>
        <v>0</v>
      </c>
      <c r="K375" s="32">
        <f>SUMIFS(Einzelbeträge!$D:$D,Einzelbeträge!$C:$C,'Ausgaben 2026'!$C375,Einzelbeträge!$E:$E,'Ausgaben 2026'!K$6)</f>
        <v>0</v>
      </c>
      <c r="L375" s="32">
        <f>SUMIFS(Einzelbeträge!$D:$D,Einzelbeträge!$C:$C,'Ausgaben 2026'!$C375,Einzelbeträge!$E:$E,'Ausgaben 2026'!L$6)</f>
        <v>0</v>
      </c>
      <c r="M375" s="32">
        <f>SUMIFS(Einzelbeträge!$D:$D,Einzelbeträge!$C:$C,'Ausgaben 2026'!$C375,Einzelbeträge!$E:$E,'Ausgaben 2026'!M$6)</f>
        <v>0</v>
      </c>
      <c r="N375" s="33">
        <f>SUMIFS(Einzelbeträge!$D:$D,Einzelbeträge!$C:$C,'Ausgaben 2026'!$C375,Einzelbeträge!$E:$E,'Ausgaben 2026'!N$6)</f>
        <v>0</v>
      </c>
      <c r="O375" s="6"/>
    </row>
    <row r="376" spans="2:15" x14ac:dyDescent="0.35">
      <c r="B376" s="5"/>
      <c r="C376" s="40">
        <f>C375+1</f>
        <v>46358</v>
      </c>
      <c r="D376" s="46">
        <f>SUMIFS(Einzelbeträge!$D:$D,Einzelbeträge!$C:$C,'Ausgaben 2026'!$C376)</f>
        <v>0</v>
      </c>
      <c r="E376" s="21">
        <f>SUMIFS(Einzelbeträge!$D:$D,Einzelbeträge!$C:$C,'Ausgaben 2026'!$C376,Einzelbeträge!$E:$E,'Ausgaben 2026'!E$6)</f>
        <v>0</v>
      </c>
      <c r="F376" s="21">
        <f>SUMIFS(Einzelbeträge!$D:$D,Einzelbeträge!$C:$C,'Ausgaben 2026'!$C376,Einzelbeträge!$E:$E,'Ausgaben 2026'!F$6)</f>
        <v>0</v>
      </c>
      <c r="G376" s="21">
        <f>SUMIFS(Einzelbeträge!$D:$D,Einzelbeträge!$C:$C,'Ausgaben 2026'!$C376,Einzelbeträge!$E:$E,'Ausgaben 2026'!G$6)</f>
        <v>0</v>
      </c>
      <c r="H376" s="21">
        <f>SUMIFS(Einzelbeträge!$D:$D,Einzelbeträge!$C:$C,'Ausgaben 2026'!$C376,Einzelbeträge!$E:$E,'Ausgaben 2026'!H$6)</f>
        <v>0</v>
      </c>
      <c r="I376" s="21">
        <f>SUMIFS(Einzelbeträge!$D:$D,Einzelbeträge!$C:$C,'Ausgaben 2026'!$C376,Einzelbeträge!$E:$E,'Ausgaben 2026'!I$6)</f>
        <v>0</v>
      </c>
      <c r="J376" s="21">
        <f>SUMIFS(Einzelbeträge!$D:$D,Einzelbeträge!$C:$C,'Ausgaben 2026'!$C376,Einzelbeträge!$E:$E,'Ausgaben 2026'!J$6)</f>
        <v>0</v>
      </c>
      <c r="K376" s="21">
        <f>SUMIFS(Einzelbeträge!$D:$D,Einzelbeträge!$C:$C,'Ausgaben 2026'!$C376,Einzelbeträge!$E:$E,'Ausgaben 2026'!K$6)</f>
        <v>0</v>
      </c>
      <c r="L376" s="21">
        <f>SUMIFS(Einzelbeträge!$D:$D,Einzelbeträge!$C:$C,'Ausgaben 2026'!$C376,Einzelbeträge!$E:$E,'Ausgaben 2026'!L$6)</f>
        <v>0</v>
      </c>
      <c r="M376" s="21">
        <f>SUMIFS(Einzelbeträge!$D:$D,Einzelbeträge!$C:$C,'Ausgaben 2026'!$C376,Einzelbeträge!$E:$E,'Ausgaben 2026'!M$6)</f>
        <v>0</v>
      </c>
      <c r="N376" s="35">
        <f>SUMIFS(Einzelbeträge!$D:$D,Einzelbeträge!$C:$C,'Ausgaben 2026'!$C376,Einzelbeträge!$E:$E,'Ausgaben 2026'!N$6)</f>
        <v>0</v>
      </c>
      <c r="O376" s="6"/>
    </row>
    <row r="377" spans="2:15" x14ac:dyDescent="0.35">
      <c r="B377" s="5"/>
      <c r="C377" s="40">
        <f t="shared" ref="C377:C405" si="27">C376+1</f>
        <v>46359</v>
      </c>
      <c r="D377" s="46">
        <f>SUMIFS(Einzelbeträge!$D:$D,Einzelbeträge!$C:$C,'Ausgaben 2026'!$C377)</f>
        <v>0</v>
      </c>
      <c r="E377" s="21">
        <f>SUMIFS(Einzelbeträge!$D:$D,Einzelbeträge!$C:$C,'Ausgaben 2026'!$C377,Einzelbeträge!$E:$E,'Ausgaben 2026'!E$6)</f>
        <v>0</v>
      </c>
      <c r="F377" s="21">
        <f>SUMIFS(Einzelbeträge!$D:$D,Einzelbeträge!$C:$C,'Ausgaben 2026'!$C377,Einzelbeträge!$E:$E,'Ausgaben 2026'!F$6)</f>
        <v>0</v>
      </c>
      <c r="G377" s="21">
        <f>SUMIFS(Einzelbeträge!$D:$D,Einzelbeträge!$C:$C,'Ausgaben 2026'!$C377,Einzelbeträge!$E:$E,'Ausgaben 2026'!G$6)</f>
        <v>0</v>
      </c>
      <c r="H377" s="21">
        <f>SUMIFS(Einzelbeträge!$D:$D,Einzelbeträge!$C:$C,'Ausgaben 2026'!$C377,Einzelbeträge!$E:$E,'Ausgaben 2026'!H$6)</f>
        <v>0</v>
      </c>
      <c r="I377" s="21">
        <f>SUMIFS(Einzelbeträge!$D:$D,Einzelbeträge!$C:$C,'Ausgaben 2026'!$C377,Einzelbeträge!$E:$E,'Ausgaben 2026'!I$6)</f>
        <v>0</v>
      </c>
      <c r="J377" s="21">
        <f>SUMIFS(Einzelbeträge!$D:$D,Einzelbeträge!$C:$C,'Ausgaben 2026'!$C377,Einzelbeträge!$E:$E,'Ausgaben 2026'!J$6)</f>
        <v>0</v>
      </c>
      <c r="K377" s="21">
        <f>SUMIFS(Einzelbeträge!$D:$D,Einzelbeträge!$C:$C,'Ausgaben 2026'!$C377,Einzelbeträge!$E:$E,'Ausgaben 2026'!K$6)</f>
        <v>0</v>
      </c>
      <c r="L377" s="21">
        <f>SUMIFS(Einzelbeträge!$D:$D,Einzelbeträge!$C:$C,'Ausgaben 2026'!$C377,Einzelbeträge!$E:$E,'Ausgaben 2026'!L$6)</f>
        <v>0</v>
      </c>
      <c r="M377" s="21">
        <f>SUMIFS(Einzelbeträge!$D:$D,Einzelbeträge!$C:$C,'Ausgaben 2026'!$C377,Einzelbeträge!$E:$E,'Ausgaben 2026'!M$6)</f>
        <v>0</v>
      </c>
      <c r="N377" s="35">
        <f>SUMIFS(Einzelbeträge!$D:$D,Einzelbeträge!$C:$C,'Ausgaben 2026'!$C377,Einzelbeträge!$E:$E,'Ausgaben 2026'!N$6)</f>
        <v>0</v>
      </c>
      <c r="O377" s="6"/>
    </row>
    <row r="378" spans="2:15" x14ac:dyDescent="0.35">
      <c r="B378" s="5"/>
      <c r="C378" s="40">
        <f t="shared" si="27"/>
        <v>46360</v>
      </c>
      <c r="D378" s="46">
        <f>SUMIFS(Einzelbeträge!$D:$D,Einzelbeträge!$C:$C,'Ausgaben 2026'!$C378)</f>
        <v>0</v>
      </c>
      <c r="E378" s="21">
        <f>SUMIFS(Einzelbeträge!$D:$D,Einzelbeträge!$C:$C,'Ausgaben 2026'!$C378,Einzelbeträge!$E:$E,'Ausgaben 2026'!E$6)</f>
        <v>0</v>
      </c>
      <c r="F378" s="21">
        <f>SUMIFS(Einzelbeträge!$D:$D,Einzelbeträge!$C:$C,'Ausgaben 2026'!$C378,Einzelbeträge!$E:$E,'Ausgaben 2026'!F$6)</f>
        <v>0</v>
      </c>
      <c r="G378" s="21">
        <f>SUMIFS(Einzelbeträge!$D:$D,Einzelbeträge!$C:$C,'Ausgaben 2026'!$C378,Einzelbeträge!$E:$E,'Ausgaben 2026'!G$6)</f>
        <v>0</v>
      </c>
      <c r="H378" s="21">
        <f>SUMIFS(Einzelbeträge!$D:$D,Einzelbeträge!$C:$C,'Ausgaben 2026'!$C378,Einzelbeträge!$E:$E,'Ausgaben 2026'!H$6)</f>
        <v>0</v>
      </c>
      <c r="I378" s="21">
        <f>SUMIFS(Einzelbeträge!$D:$D,Einzelbeträge!$C:$C,'Ausgaben 2026'!$C378,Einzelbeträge!$E:$E,'Ausgaben 2026'!I$6)</f>
        <v>0</v>
      </c>
      <c r="J378" s="21">
        <f>SUMIFS(Einzelbeträge!$D:$D,Einzelbeträge!$C:$C,'Ausgaben 2026'!$C378,Einzelbeträge!$E:$E,'Ausgaben 2026'!J$6)</f>
        <v>0</v>
      </c>
      <c r="K378" s="21">
        <f>SUMIFS(Einzelbeträge!$D:$D,Einzelbeträge!$C:$C,'Ausgaben 2026'!$C378,Einzelbeträge!$E:$E,'Ausgaben 2026'!K$6)</f>
        <v>0</v>
      </c>
      <c r="L378" s="21">
        <f>SUMIFS(Einzelbeträge!$D:$D,Einzelbeträge!$C:$C,'Ausgaben 2026'!$C378,Einzelbeträge!$E:$E,'Ausgaben 2026'!L$6)</f>
        <v>0</v>
      </c>
      <c r="M378" s="21">
        <f>SUMIFS(Einzelbeträge!$D:$D,Einzelbeträge!$C:$C,'Ausgaben 2026'!$C378,Einzelbeträge!$E:$E,'Ausgaben 2026'!M$6)</f>
        <v>0</v>
      </c>
      <c r="N378" s="35">
        <f>SUMIFS(Einzelbeträge!$D:$D,Einzelbeträge!$C:$C,'Ausgaben 2026'!$C378,Einzelbeträge!$E:$E,'Ausgaben 2026'!N$6)</f>
        <v>0</v>
      </c>
      <c r="O378" s="6"/>
    </row>
    <row r="379" spans="2:15" x14ac:dyDescent="0.35">
      <c r="B379" s="5"/>
      <c r="C379" s="40">
        <f t="shared" si="27"/>
        <v>46361</v>
      </c>
      <c r="D379" s="46">
        <f>SUMIFS(Einzelbeträge!$D:$D,Einzelbeträge!$C:$C,'Ausgaben 2026'!$C379)</f>
        <v>0</v>
      </c>
      <c r="E379" s="21">
        <f>SUMIFS(Einzelbeträge!$D:$D,Einzelbeträge!$C:$C,'Ausgaben 2026'!$C379,Einzelbeträge!$E:$E,'Ausgaben 2026'!E$6)</f>
        <v>0</v>
      </c>
      <c r="F379" s="21">
        <f>SUMIFS(Einzelbeträge!$D:$D,Einzelbeträge!$C:$C,'Ausgaben 2026'!$C379,Einzelbeträge!$E:$E,'Ausgaben 2026'!F$6)</f>
        <v>0</v>
      </c>
      <c r="G379" s="21">
        <f>SUMIFS(Einzelbeträge!$D:$D,Einzelbeträge!$C:$C,'Ausgaben 2026'!$C379,Einzelbeträge!$E:$E,'Ausgaben 2026'!G$6)</f>
        <v>0</v>
      </c>
      <c r="H379" s="21">
        <f>SUMIFS(Einzelbeträge!$D:$D,Einzelbeträge!$C:$C,'Ausgaben 2026'!$C379,Einzelbeträge!$E:$E,'Ausgaben 2026'!H$6)</f>
        <v>0</v>
      </c>
      <c r="I379" s="21">
        <f>SUMIFS(Einzelbeträge!$D:$D,Einzelbeträge!$C:$C,'Ausgaben 2026'!$C379,Einzelbeträge!$E:$E,'Ausgaben 2026'!I$6)</f>
        <v>0</v>
      </c>
      <c r="J379" s="21">
        <f>SUMIFS(Einzelbeträge!$D:$D,Einzelbeträge!$C:$C,'Ausgaben 2026'!$C379,Einzelbeträge!$E:$E,'Ausgaben 2026'!J$6)</f>
        <v>0</v>
      </c>
      <c r="K379" s="21">
        <f>SUMIFS(Einzelbeträge!$D:$D,Einzelbeträge!$C:$C,'Ausgaben 2026'!$C379,Einzelbeträge!$E:$E,'Ausgaben 2026'!K$6)</f>
        <v>0</v>
      </c>
      <c r="L379" s="21">
        <f>SUMIFS(Einzelbeträge!$D:$D,Einzelbeträge!$C:$C,'Ausgaben 2026'!$C379,Einzelbeträge!$E:$E,'Ausgaben 2026'!L$6)</f>
        <v>0</v>
      </c>
      <c r="M379" s="21">
        <f>SUMIFS(Einzelbeträge!$D:$D,Einzelbeträge!$C:$C,'Ausgaben 2026'!$C379,Einzelbeträge!$E:$E,'Ausgaben 2026'!M$6)</f>
        <v>0</v>
      </c>
      <c r="N379" s="35">
        <f>SUMIFS(Einzelbeträge!$D:$D,Einzelbeträge!$C:$C,'Ausgaben 2026'!$C379,Einzelbeträge!$E:$E,'Ausgaben 2026'!N$6)</f>
        <v>0</v>
      </c>
      <c r="O379" s="6"/>
    </row>
    <row r="380" spans="2:15" x14ac:dyDescent="0.35">
      <c r="B380" s="5"/>
      <c r="C380" s="40">
        <f t="shared" si="27"/>
        <v>46362</v>
      </c>
      <c r="D380" s="46">
        <f>SUMIFS(Einzelbeträge!$D:$D,Einzelbeträge!$C:$C,'Ausgaben 2026'!$C380)</f>
        <v>0</v>
      </c>
      <c r="E380" s="21">
        <f>SUMIFS(Einzelbeträge!$D:$D,Einzelbeträge!$C:$C,'Ausgaben 2026'!$C380,Einzelbeträge!$E:$E,'Ausgaben 2026'!E$6)</f>
        <v>0</v>
      </c>
      <c r="F380" s="21">
        <f>SUMIFS(Einzelbeträge!$D:$D,Einzelbeträge!$C:$C,'Ausgaben 2026'!$C380,Einzelbeträge!$E:$E,'Ausgaben 2026'!F$6)</f>
        <v>0</v>
      </c>
      <c r="G380" s="21">
        <f>SUMIFS(Einzelbeträge!$D:$D,Einzelbeträge!$C:$C,'Ausgaben 2026'!$C380,Einzelbeträge!$E:$E,'Ausgaben 2026'!G$6)</f>
        <v>0</v>
      </c>
      <c r="H380" s="21">
        <f>SUMIFS(Einzelbeträge!$D:$D,Einzelbeträge!$C:$C,'Ausgaben 2026'!$C380,Einzelbeträge!$E:$E,'Ausgaben 2026'!H$6)</f>
        <v>0</v>
      </c>
      <c r="I380" s="21">
        <f>SUMIFS(Einzelbeträge!$D:$D,Einzelbeträge!$C:$C,'Ausgaben 2026'!$C380,Einzelbeträge!$E:$E,'Ausgaben 2026'!I$6)</f>
        <v>0</v>
      </c>
      <c r="J380" s="21">
        <f>SUMIFS(Einzelbeträge!$D:$D,Einzelbeträge!$C:$C,'Ausgaben 2026'!$C380,Einzelbeträge!$E:$E,'Ausgaben 2026'!J$6)</f>
        <v>0</v>
      </c>
      <c r="K380" s="21">
        <f>SUMIFS(Einzelbeträge!$D:$D,Einzelbeträge!$C:$C,'Ausgaben 2026'!$C380,Einzelbeträge!$E:$E,'Ausgaben 2026'!K$6)</f>
        <v>0</v>
      </c>
      <c r="L380" s="21">
        <f>SUMIFS(Einzelbeträge!$D:$D,Einzelbeträge!$C:$C,'Ausgaben 2026'!$C380,Einzelbeträge!$E:$E,'Ausgaben 2026'!L$6)</f>
        <v>0</v>
      </c>
      <c r="M380" s="21">
        <f>SUMIFS(Einzelbeträge!$D:$D,Einzelbeträge!$C:$C,'Ausgaben 2026'!$C380,Einzelbeträge!$E:$E,'Ausgaben 2026'!M$6)</f>
        <v>0</v>
      </c>
      <c r="N380" s="35">
        <f>SUMIFS(Einzelbeträge!$D:$D,Einzelbeträge!$C:$C,'Ausgaben 2026'!$C380,Einzelbeträge!$E:$E,'Ausgaben 2026'!N$6)</f>
        <v>0</v>
      </c>
      <c r="O380" s="6"/>
    </row>
    <row r="381" spans="2:15" x14ac:dyDescent="0.35">
      <c r="B381" s="5"/>
      <c r="C381" s="40">
        <f t="shared" si="27"/>
        <v>46363</v>
      </c>
      <c r="D381" s="46">
        <f>SUMIFS(Einzelbeträge!$D:$D,Einzelbeträge!$C:$C,'Ausgaben 2026'!$C381)</f>
        <v>0</v>
      </c>
      <c r="E381" s="21">
        <f>SUMIFS(Einzelbeträge!$D:$D,Einzelbeträge!$C:$C,'Ausgaben 2026'!$C381,Einzelbeträge!$E:$E,'Ausgaben 2026'!E$6)</f>
        <v>0</v>
      </c>
      <c r="F381" s="21">
        <f>SUMIFS(Einzelbeträge!$D:$D,Einzelbeträge!$C:$C,'Ausgaben 2026'!$C381,Einzelbeträge!$E:$E,'Ausgaben 2026'!F$6)</f>
        <v>0</v>
      </c>
      <c r="G381" s="21">
        <f>SUMIFS(Einzelbeträge!$D:$D,Einzelbeträge!$C:$C,'Ausgaben 2026'!$C381,Einzelbeträge!$E:$E,'Ausgaben 2026'!G$6)</f>
        <v>0</v>
      </c>
      <c r="H381" s="21">
        <f>SUMIFS(Einzelbeträge!$D:$D,Einzelbeträge!$C:$C,'Ausgaben 2026'!$C381,Einzelbeträge!$E:$E,'Ausgaben 2026'!H$6)</f>
        <v>0</v>
      </c>
      <c r="I381" s="21">
        <f>SUMIFS(Einzelbeträge!$D:$D,Einzelbeträge!$C:$C,'Ausgaben 2026'!$C381,Einzelbeträge!$E:$E,'Ausgaben 2026'!I$6)</f>
        <v>0</v>
      </c>
      <c r="J381" s="21">
        <f>SUMIFS(Einzelbeträge!$D:$D,Einzelbeträge!$C:$C,'Ausgaben 2026'!$C381,Einzelbeträge!$E:$E,'Ausgaben 2026'!J$6)</f>
        <v>0</v>
      </c>
      <c r="K381" s="21">
        <f>SUMIFS(Einzelbeträge!$D:$D,Einzelbeträge!$C:$C,'Ausgaben 2026'!$C381,Einzelbeträge!$E:$E,'Ausgaben 2026'!K$6)</f>
        <v>0</v>
      </c>
      <c r="L381" s="21">
        <f>SUMIFS(Einzelbeträge!$D:$D,Einzelbeträge!$C:$C,'Ausgaben 2026'!$C381,Einzelbeträge!$E:$E,'Ausgaben 2026'!L$6)</f>
        <v>0</v>
      </c>
      <c r="M381" s="21">
        <f>SUMIFS(Einzelbeträge!$D:$D,Einzelbeträge!$C:$C,'Ausgaben 2026'!$C381,Einzelbeträge!$E:$E,'Ausgaben 2026'!M$6)</f>
        <v>0</v>
      </c>
      <c r="N381" s="35">
        <f>SUMIFS(Einzelbeträge!$D:$D,Einzelbeträge!$C:$C,'Ausgaben 2026'!$C381,Einzelbeträge!$E:$E,'Ausgaben 2026'!N$6)</f>
        <v>0</v>
      </c>
      <c r="O381" s="6"/>
    </row>
    <row r="382" spans="2:15" x14ac:dyDescent="0.35">
      <c r="B382" s="5"/>
      <c r="C382" s="40">
        <f t="shared" si="27"/>
        <v>46364</v>
      </c>
      <c r="D382" s="46">
        <f>SUMIFS(Einzelbeträge!$D:$D,Einzelbeträge!$C:$C,'Ausgaben 2026'!$C382)</f>
        <v>0</v>
      </c>
      <c r="E382" s="21">
        <f>SUMIFS(Einzelbeträge!$D:$D,Einzelbeträge!$C:$C,'Ausgaben 2026'!$C382,Einzelbeträge!$E:$E,'Ausgaben 2026'!E$6)</f>
        <v>0</v>
      </c>
      <c r="F382" s="21">
        <f>SUMIFS(Einzelbeträge!$D:$D,Einzelbeträge!$C:$C,'Ausgaben 2026'!$C382,Einzelbeträge!$E:$E,'Ausgaben 2026'!F$6)</f>
        <v>0</v>
      </c>
      <c r="G382" s="21">
        <f>SUMIFS(Einzelbeträge!$D:$D,Einzelbeträge!$C:$C,'Ausgaben 2026'!$C382,Einzelbeträge!$E:$E,'Ausgaben 2026'!G$6)</f>
        <v>0</v>
      </c>
      <c r="H382" s="21">
        <f>SUMIFS(Einzelbeträge!$D:$D,Einzelbeträge!$C:$C,'Ausgaben 2026'!$C382,Einzelbeträge!$E:$E,'Ausgaben 2026'!H$6)</f>
        <v>0</v>
      </c>
      <c r="I382" s="21">
        <f>SUMIFS(Einzelbeträge!$D:$D,Einzelbeträge!$C:$C,'Ausgaben 2026'!$C382,Einzelbeträge!$E:$E,'Ausgaben 2026'!I$6)</f>
        <v>0</v>
      </c>
      <c r="J382" s="21">
        <f>SUMIFS(Einzelbeträge!$D:$D,Einzelbeträge!$C:$C,'Ausgaben 2026'!$C382,Einzelbeträge!$E:$E,'Ausgaben 2026'!J$6)</f>
        <v>0</v>
      </c>
      <c r="K382" s="21">
        <f>SUMIFS(Einzelbeträge!$D:$D,Einzelbeträge!$C:$C,'Ausgaben 2026'!$C382,Einzelbeträge!$E:$E,'Ausgaben 2026'!K$6)</f>
        <v>0</v>
      </c>
      <c r="L382" s="21">
        <f>SUMIFS(Einzelbeträge!$D:$D,Einzelbeträge!$C:$C,'Ausgaben 2026'!$C382,Einzelbeträge!$E:$E,'Ausgaben 2026'!L$6)</f>
        <v>0</v>
      </c>
      <c r="M382" s="21">
        <f>SUMIFS(Einzelbeträge!$D:$D,Einzelbeträge!$C:$C,'Ausgaben 2026'!$C382,Einzelbeträge!$E:$E,'Ausgaben 2026'!M$6)</f>
        <v>0</v>
      </c>
      <c r="N382" s="35">
        <f>SUMIFS(Einzelbeträge!$D:$D,Einzelbeträge!$C:$C,'Ausgaben 2026'!$C382,Einzelbeträge!$E:$E,'Ausgaben 2026'!N$6)</f>
        <v>0</v>
      </c>
      <c r="O382" s="6"/>
    </row>
    <row r="383" spans="2:15" x14ac:dyDescent="0.35">
      <c r="B383" s="5"/>
      <c r="C383" s="40">
        <f t="shared" si="27"/>
        <v>46365</v>
      </c>
      <c r="D383" s="46">
        <f>SUMIFS(Einzelbeträge!$D:$D,Einzelbeträge!$C:$C,'Ausgaben 2026'!$C383)</f>
        <v>0</v>
      </c>
      <c r="E383" s="21">
        <f>SUMIFS(Einzelbeträge!$D:$D,Einzelbeträge!$C:$C,'Ausgaben 2026'!$C383,Einzelbeträge!$E:$E,'Ausgaben 2026'!E$6)</f>
        <v>0</v>
      </c>
      <c r="F383" s="21">
        <f>SUMIFS(Einzelbeträge!$D:$D,Einzelbeträge!$C:$C,'Ausgaben 2026'!$C383,Einzelbeträge!$E:$E,'Ausgaben 2026'!F$6)</f>
        <v>0</v>
      </c>
      <c r="G383" s="21">
        <f>SUMIFS(Einzelbeträge!$D:$D,Einzelbeträge!$C:$C,'Ausgaben 2026'!$C383,Einzelbeträge!$E:$E,'Ausgaben 2026'!G$6)</f>
        <v>0</v>
      </c>
      <c r="H383" s="21">
        <f>SUMIFS(Einzelbeträge!$D:$D,Einzelbeträge!$C:$C,'Ausgaben 2026'!$C383,Einzelbeträge!$E:$E,'Ausgaben 2026'!H$6)</f>
        <v>0</v>
      </c>
      <c r="I383" s="21">
        <f>SUMIFS(Einzelbeträge!$D:$D,Einzelbeträge!$C:$C,'Ausgaben 2026'!$C383,Einzelbeträge!$E:$E,'Ausgaben 2026'!I$6)</f>
        <v>0</v>
      </c>
      <c r="J383" s="21">
        <f>SUMIFS(Einzelbeträge!$D:$D,Einzelbeträge!$C:$C,'Ausgaben 2026'!$C383,Einzelbeträge!$E:$E,'Ausgaben 2026'!J$6)</f>
        <v>0</v>
      </c>
      <c r="K383" s="21">
        <f>SUMIFS(Einzelbeträge!$D:$D,Einzelbeträge!$C:$C,'Ausgaben 2026'!$C383,Einzelbeträge!$E:$E,'Ausgaben 2026'!K$6)</f>
        <v>0</v>
      </c>
      <c r="L383" s="21">
        <f>SUMIFS(Einzelbeträge!$D:$D,Einzelbeträge!$C:$C,'Ausgaben 2026'!$C383,Einzelbeträge!$E:$E,'Ausgaben 2026'!L$6)</f>
        <v>0</v>
      </c>
      <c r="M383" s="21">
        <f>SUMIFS(Einzelbeträge!$D:$D,Einzelbeträge!$C:$C,'Ausgaben 2026'!$C383,Einzelbeträge!$E:$E,'Ausgaben 2026'!M$6)</f>
        <v>0</v>
      </c>
      <c r="N383" s="35">
        <f>SUMIFS(Einzelbeträge!$D:$D,Einzelbeträge!$C:$C,'Ausgaben 2026'!$C383,Einzelbeträge!$E:$E,'Ausgaben 2026'!N$6)</f>
        <v>0</v>
      </c>
      <c r="O383" s="6"/>
    </row>
    <row r="384" spans="2:15" x14ac:dyDescent="0.35">
      <c r="B384" s="5"/>
      <c r="C384" s="40">
        <f t="shared" si="27"/>
        <v>46366</v>
      </c>
      <c r="D384" s="46">
        <f>SUMIFS(Einzelbeträge!$D:$D,Einzelbeträge!$C:$C,'Ausgaben 2026'!$C384)</f>
        <v>0</v>
      </c>
      <c r="E384" s="21">
        <f>SUMIFS(Einzelbeträge!$D:$D,Einzelbeträge!$C:$C,'Ausgaben 2026'!$C384,Einzelbeträge!$E:$E,'Ausgaben 2026'!E$6)</f>
        <v>0</v>
      </c>
      <c r="F384" s="21">
        <f>SUMIFS(Einzelbeträge!$D:$D,Einzelbeträge!$C:$C,'Ausgaben 2026'!$C384,Einzelbeträge!$E:$E,'Ausgaben 2026'!F$6)</f>
        <v>0</v>
      </c>
      <c r="G384" s="21">
        <f>SUMIFS(Einzelbeträge!$D:$D,Einzelbeträge!$C:$C,'Ausgaben 2026'!$C384,Einzelbeträge!$E:$E,'Ausgaben 2026'!G$6)</f>
        <v>0</v>
      </c>
      <c r="H384" s="21">
        <f>SUMIFS(Einzelbeträge!$D:$D,Einzelbeträge!$C:$C,'Ausgaben 2026'!$C384,Einzelbeträge!$E:$E,'Ausgaben 2026'!H$6)</f>
        <v>0</v>
      </c>
      <c r="I384" s="21">
        <f>SUMIFS(Einzelbeträge!$D:$D,Einzelbeträge!$C:$C,'Ausgaben 2026'!$C384,Einzelbeträge!$E:$E,'Ausgaben 2026'!I$6)</f>
        <v>0</v>
      </c>
      <c r="J384" s="21">
        <f>SUMIFS(Einzelbeträge!$D:$D,Einzelbeträge!$C:$C,'Ausgaben 2026'!$C384,Einzelbeträge!$E:$E,'Ausgaben 2026'!J$6)</f>
        <v>0</v>
      </c>
      <c r="K384" s="21">
        <f>SUMIFS(Einzelbeträge!$D:$D,Einzelbeträge!$C:$C,'Ausgaben 2026'!$C384,Einzelbeträge!$E:$E,'Ausgaben 2026'!K$6)</f>
        <v>0</v>
      </c>
      <c r="L384" s="21">
        <f>SUMIFS(Einzelbeträge!$D:$D,Einzelbeträge!$C:$C,'Ausgaben 2026'!$C384,Einzelbeträge!$E:$E,'Ausgaben 2026'!L$6)</f>
        <v>0</v>
      </c>
      <c r="M384" s="21">
        <f>SUMIFS(Einzelbeträge!$D:$D,Einzelbeträge!$C:$C,'Ausgaben 2026'!$C384,Einzelbeträge!$E:$E,'Ausgaben 2026'!M$6)</f>
        <v>0</v>
      </c>
      <c r="N384" s="35">
        <f>SUMIFS(Einzelbeträge!$D:$D,Einzelbeträge!$C:$C,'Ausgaben 2026'!$C384,Einzelbeträge!$E:$E,'Ausgaben 2026'!N$6)</f>
        <v>0</v>
      </c>
      <c r="O384" s="6"/>
    </row>
    <row r="385" spans="2:15" x14ac:dyDescent="0.35">
      <c r="B385" s="5"/>
      <c r="C385" s="40">
        <f t="shared" si="27"/>
        <v>46367</v>
      </c>
      <c r="D385" s="46">
        <f>SUMIFS(Einzelbeträge!$D:$D,Einzelbeträge!$C:$C,'Ausgaben 2026'!$C385)</f>
        <v>0</v>
      </c>
      <c r="E385" s="21">
        <f>SUMIFS(Einzelbeträge!$D:$D,Einzelbeträge!$C:$C,'Ausgaben 2026'!$C385,Einzelbeträge!$E:$E,'Ausgaben 2026'!E$6)</f>
        <v>0</v>
      </c>
      <c r="F385" s="21">
        <f>SUMIFS(Einzelbeträge!$D:$D,Einzelbeträge!$C:$C,'Ausgaben 2026'!$C385,Einzelbeträge!$E:$E,'Ausgaben 2026'!F$6)</f>
        <v>0</v>
      </c>
      <c r="G385" s="21">
        <f>SUMIFS(Einzelbeträge!$D:$D,Einzelbeträge!$C:$C,'Ausgaben 2026'!$C385,Einzelbeträge!$E:$E,'Ausgaben 2026'!G$6)</f>
        <v>0</v>
      </c>
      <c r="H385" s="21">
        <f>SUMIFS(Einzelbeträge!$D:$D,Einzelbeträge!$C:$C,'Ausgaben 2026'!$C385,Einzelbeträge!$E:$E,'Ausgaben 2026'!H$6)</f>
        <v>0</v>
      </c>
      <c r="I385" s="21">
        <f>SUMIFS(Einzelbeträge!$D:$D,Einzelbeträge!$C:$C,'Ausgaben 2026'!$C385,Einzelbeträge!$E:$E,'Ausgaben 2026'!I$6)</f>
        <v>0</v>
      </c>
      <c r="J385" s="21">
        <f>SUMIFS(Einzelbeträge!$D:$D,Einzelbeträge!$C:$C,'Ausgaben 2026'!$C385,Einzelbeträge!$E:$E,'Ausgaben 2026'!J$6)</f>
        <v>0</v>
      </c>
      <c r="K385" s="21">
        <f>SUMIFS(Einzelbeträge!$D:$D,Einzelbeträge!$C:$C,'Ausgaben 2026'!$C385,Einzelbeträge!$E:$E,'Ausgaben 2026'!K$6)</f>
        <v>0</v>
      </c>
      <c r="L385" s="21">
        <f>SUMIFS(Einzelbeträge!$D:$D,Einzelbeträge!$C:$C,'Ausgaben 2026'!$C385,Einzelbeträge!$E:$E,'Ausgaben 2026'!L$6)</f>
        <v>0</v>
      </c>
      <c r="M385" s="21">
        <f>SUMIFS(Einzelbeträge!$D:$D,Einzelbeträge!$C:$C,'Ausgaben 2026'!$C385,Einzelbeträge!$E:$E,'Ausgaben 2026'!M$6)</f>
        <v>0</v>
      </c>
      <c r="N385" s="35">
        <f>SUMIFS(Einzelbeträge!$D:$D,Einzelbeträge!$C:$C,'Ausgaben 2026'!$C385,Einzelbeträge!$E:$E,'Ausgaben 2026'!N$6)</f>
        <v>0</v>
      </c>
      <c r="O385" s="6"/>
    </row>
    <row r="386" spans="2:15" x14ac:dyDescent="0.35">
      <c r="B386" s="5"/>
      <c r="C386" s="40">
        <f t="shared" si="27"/>
        <v>46368</v>
      </c>
      <c r="D386" s="46">
        <f>SUMIFS(Einzelbeträge!$D:$D,Einzelbeträge!$C:$C,'Ausgaben 2026'!$C386)</f>
        <v>0</v>
      </c>
      <c r="E386" s="21">
        <f>SUMIFS(Einzelbeträge!$D:$D,Einzelbeträge!$C:$C,'Ausgaben 2026'!$C386,Einzelbeträge!$E:$E,'Ausgaben 2026'!E$6)</f>
        <v>0</v>
      </c>
      <c r="F386" s="21">
        <f>SUMIFS(Einzelbeträge!$D:$D,Einzelbeträge!$C:$C,'Ausgaben 2026'!$C386,Einzelbeträge!$E:$E,'Ausgaben 2026'!F$6)</f>
        <v>0</v>
      </c>
      <c r="G386" s="21">
        <f>SUMIFS(Einzelbeträge!$D:$D,Einzelbeträge!$C:$C,'Ausgaben 2026'!$C386,Einzelbeträge!$E:$E,'Ausgaben 2026'!G$6)</f>
        <v>0</v>
      </c>
      <c r="H386" s="21">
        <f>SUMIFS(Einzelbeträge!$D:$D,Einzelbeträge!$C:$C,'Ausgaben 2026'!$C386,Einzelbeträge!$E:$E,'Ausgaben 2026'!H$6)</f>
        <v>0</v>
      </c>
      <c r="I386" s="21">
        <f>SUMIFS(Einzelbeträge!$D:$D,Einzelbeträge!$C:$C,'Ausgaben 2026'!$C386,Einzelbeträge!$E:$E,'Ausgaben 2026'!I$6)</f>
        <v>0</v>
      </c>
      <c r="J386" s="21">
        <f>SUMIFS(Einzelbeträge!$D:$D,Einzelbeträge!$C:$C,'Ausgaben 2026'!$C386,Einzelbeträge!$E:$E,'Ausgaben 2026'!J$6)</f>
        <v>0</v>
      </c>
      <c r="K386" s="21">
        <f>SUMIFS(Einzelbeträge!$D:$D,Einzelbeträge!$C:$C,'Ausgaben 2026'!$C386,Einzelbeträge!$E:$E,'Ausgaben 2026'!K$6)</f>
        <v>0</v>
      </c>
      <c r="L386" s="21">
        <f>SUMIFS(Einzelbeträge!$D:$D,Einzelbeträge!$C:$C,'Ausgaben 2026'!$C386,Einzelbeträge!$E:$E,'Ausgaben 2026'!L$6)</f>
        <v>0</v>
      </c>
      <c r="M386" s="21">
        <f>SUMIFS(Einzelbeträge!$D:$D,Einzelbeträge!$C:$C,'Ausgaben 2026'!$C386,Einzelbeträge!$E:$E,'Ausgaben 2026'!M$6)</f>
        <v>0</v>
      </c>
      <c r="N386" s="35">
        <f>SUMIFS(Einzelbeträge!$D:$D,Einzelbeträge!$C:$C,'Ausgaben 2026'!$C386,Einzelbeträge!$E:$E,'Ausgaben 2026'!N$6)</f>
        <v>0</v>
      </c>
      <c r="O386" s="6"/>
    </row>
    <row r="387" spans="2:15" x14ac:dyDescent="0.35">
      <c r="B387" s="5"/>
      <c r="C387" s="40">
        <f t="shared" si="27"/>
        <v>46369</v>
      </c>
      <c r="D387" s="46">
        <f>SUMIFS(Einzelbeträge!$D:$D,Einzelbeträge!$C:$C,'Ausgaben 2026'!$C387)</f>
        <v>0</v>
      </c>
      <c r="E387" s="21">
        <f>SUMIFS(Einzelbeträge!$D:$D,Einzelbeträge!$C:$C,'Ausgaben 2026'!$C387,Einzelbeträge!$E:$E,'Ausgaben 2026'!E$6)</f>
        <v>0</v>
      </c>
      <c r="F387" s="21">
        <f>SUMIFS(Einzelbeträge!$D:$D,Einzelbeträge!$C:$C,'Ausgaben 2026'!$C387,Einzelbeträge!$E:$E,'Ausgaben 2026'!F$6)</f>
        <v>0</v>
      </c>
      <c r="G387" s="21">
        <f>SUMIFS(Einzelbeträge!$D:$D,Einzelbeträge!$C:$C,'Ausgaben 2026'!$C387,Einzelbeträge!$E:$E,'Ausgaben 2026'!G$6)</f>
        <v>0</v>
      </c>
      <c r="H387" s="21">
        <f>SUMIFS(Einzelbeträge!$D:$D,Einzelbeträge!$C:$C,'Ausgaben 2026'!$C387,Einzelbeträge!$E:$E,'Ausgaben 2026'!H$6)</f>
        <v>0</v>
      </c>
      <c r="I387" s="21">
        <f>SUMIFS(Einzelbeträge!$D:$D,Einzelbeträge!$C:$C,'Ausgaben 2026'!$C387,Einzelbeträge!$E:$E,'Ausgaben 2026'!I$6)</f>
        <v>0</v>
      </c>
      <c r="J387" s="21">
        <f>SUMIFS(Einzelbeträge!$D:$D,Einzelbeträge!$C:$C,'Ausgaben 2026'!$C387,Einzelbeträge!$E:$E,'Ausgaben 2026'!J$6)</f>
        <v>0</v>
      </c>
      <c r="K387" s="21">
        <f>SUMIFS(Einzelbeträge!$D:$D,Einzelbeträge!$C:$C,'Ausgaben 2026'!$C387,Einzelbeträge!$E:$E,'Ausgaben 2026'!K$6)</f>
        <v>0</v>
      </c>
      <c r="L387" s="21">
        <f>SUMIFS(Einzelbeträge!$D:$D,Einzelbeträge!$C:$C,'Ausgaben 2026'!$C387,Einzelbeträge!$E:$E,'Ausgaben 2026'!L$6)</f>
        <v>0</v>
      </c>
      <c r="M387" s="21">
        <f>SUMIFS(Einzelbeträge!$D:$D,Einzelbeträge!$C:$C,'Ausgaben 2026'!$C387,Einzelbeträge!$E:$E,'Ausgaben 2026'!M$6)</f>
        <v>0</v>
      </c>
      <c r="N387" s="35">
        <f>SUMIFS(Einzelbeträge!$D:$D,Einzelbeträge!$C:$C,'Ausgaben 2026'!$C387,Einzelbeträge!$E:$E,'Ausgaben 2026'!N$6)</f>
        <v>0</v>
      </c>
      <c r="O387" s="6"/>
    </row>
    <row r="388" spans="2:15" x14ac:dyDescent="0.35">
      <c r="B388" s="5"/>
      <c r="C388" s="40">
        <f t="shared" si="27"/>
        <v>46370</v>
      </c>
      <c r="D388" s="46">
        <f>SUMIFS(Einzelbeträge!$D:$D,Einzelbeträge!$C:$C,'Ausgaben 2026'!$C388)</f>
        <v>0</v>
      </c>
      <c r="E388" s="21">
        <f>SUMIFS(Einzelbeträge!$D:$D,Einzelbeträge!$C:$C,'Ausgaben 2026'!$C388,Einzelbeträge!$E:$E,'Ausgaben 2026'!E$6)</f>
        <v>0</v>
      </c>
      <c r="F388" s="21">
        <f>SUMIFS(Einzelbeträge!$D:$D,Einzelbeträge!$C:$C,'Ausgaben 2026'!$C388,Einzelbeträge!$E:$E,'Ausgaben 2026'!F$6)</f>
        <v>0</v>
      </c>
      <c r="G388" s="21">
        <f>SUMIFS(Einzelbeträge!$D:$D,Einzelbeträge!$C:$C,'Ausgaben 2026'!$C388,Einzelbeträge!$E:$E,'Ausgaben 2026'!G$6)</f>
        <v>0</v>
      </c>
      <c r="H388" s="21">
        <f>SUMIFS(Einzelbeträge!$D:$D,Einzelbeträge!$C:$C,'Ausgaben 2026'!$C388,Einzelbeträge!$E:$E,'Ausgaben 2026'!H$6)</f>
        <v>0</v>
      </c>
      <c r="I388" s="21">
        <f>SUMIFS(Einzelbeträge!$D:$D,Einzelbeträge!$C:$C,'Ausgaben 2026'!$C388,Einzelbeträge!$E:$E,'Ausgaben 2026'!I$6)</f>
        <v>0</v>
      </c>
      <c r="J388" s="21">
        <f>SUMIFS(Einzelbeträge!$D:$D,Einzelbeträge!$C:$C,'Ausgaben 2026'!$C388,Einzelbeträge!$E:$E,'Ausgaben 2026'!J$6)</f>
        <v>0</v>
      </c>
      <c r="K388" s="21">
        <f>SUMIFS(Einzelbeträge!$D:$D,Einzelbeträge!$C:$C,'Ausgaben 2026'!$C388,Einzelbeträge!$E:$E,'Ausgaben 2026'!K$6)</f>
        <v>0</v>
      </c>
      <c r="L388" s="21">
        <f>SUMIFS(Einzelbeträge!$D:$D,Einzelbeträge!$C:$C,'Ausgaben 2026'!$C388,Einzelbeträge!$E:$E,'Ausgaben 2026'!L$6)</f>
        <v>0</v>
      </c>
      <c r="M388" s="21">
        <f>SUMIFS(Einzelbeträge!$D:$D,Einzelbeträge!$C:$C,'Ausgaben 2026'!$C388,Einzelbeträge!$E:$E,'Ausgaben 2026'!M$6)</f>
        <v>0</v>
      </c>
      <c r="N388" s="35">
        <f>SUMIFS(Einzelbeträge!$D:$D,Einzelbeträge!$C:$C,'Ausgaben 2026'!$C388,Einzelbeträge!$E:$E,'Ausgaben 2026'!N$6)</f>
        <v>0</v>
      </c>
      <c r="O388" s="6"/>
    </row>
    <row r="389" spans="2:15" x14ac:dyDescent="0.35">
      <c r="B389" s="5"/>
      <c r="C389" s="40">
        <f t="shared" si="27"/>
        <v>46371</v>
      </c>
      <c r="D389" s="46">
        <f>SUMIFS(Einzelbeträge!$D:$D,Einzelbeträge!$C:$C,'Ausgaben 2026'!$C389)</f>
        <v>0</v>
      </c>
      <c r="E389" s="21">
        <f>SUMIFS(Einzelbeträge!$D:$D,Einzelbeträge!$C:$C,'Ausgaben 2026'!$C389,Einzelbeträge!$E:$E,'Ausgaben 2026'!E$6)</f>
        <v>0</v>
      </c>
      <c r="F389" s="21">
        <f>SUMIFS(Einzelbeträge!$D:$D,Einzelbeträge!$C:$C,'Ausgaben 2026'!$C389,Einzelbeträge!$E:$E,'Ausgaben 2026'!F$6)</f>
        <v>0</v>
      </c>
      <c r="G389" s="21">
        <f>SUMIFS(Einzelbeträge!$D:$D,Einzelbeträge!$C:$C,'Ausgaben 2026'!$C389,Einzelbeträge!$E:$E,'Ausgaben 2026'!G$6)</f>
        <v>0</v>
      </c>
      <c r="H389" s="21">
        <f>SUMIFS(Einzelbeträge!$D:$D,Einzelbeträge!$C:$C,'Ausgaben 2026'!$C389,Einzelbeträge!$E:$E,'Ausgaben 2026'!H$6)</f>
        <v>0</v>
      </c>
      <c r="I389" s="21">
        <f>SUMIFS(Einzelbeträge!$D:$D,Einzelbeträge!$C:$C,'Ausgaben 2026'!$C389,Einzelbeträge!$E:$E,'Ausgaben 2026'!I$6)</f>
        <v>0</v>
      </c>
      <c r="J389" s="21">
        <f>SUMIFS(Einzelbeträge!$D:$D,Einzelbeträge!$C:$C,'Ausgaben 2026'!$C389,Einzelbeträge!$E:$E,'Ausgaben 2026'!J$6)</f>
        <v>0</v>
      </c>
      <c r="K389" s="21">
        <f>SUMIFS(Einzelbeträge!$D:$D,Einzelbeträge!$C:$C,'Ausgaben 2026'!$C389,Einzelbeträge!$E:$E,'Ausgaben 2026'!K$6)</f>
        <v>0</v>
      </c>
      <c r="L389" s="21">
        <f>SUMIFS(Einzelbeträge!$D:$D,Einzelbeträge!$C:$C,'Ausgaben 2026'!$C389,Einzelbeträge!$E:$E,'Ausgaben 2026'!L$6)</f>
        <v>0</v>
      </c>
      <c r="M389" s="21">
        <f>SUMIFS(Einzelbeträge!$D:$D,Einzelbeträge!$C:$C,'Ausgaben 2026'!$C389,Einzelbeträge!$E:$E,'Ausgaben 2026'!M$6)</f>
        <v>0</v>
      </c>
      <c r="N389" s="35">
        <f>SUMIFS(Einzelbeträge!$D:$D,Einzelbeträge!$C:$C,'Ausgaben 2026'!$C389,Einzelbeträge!$E:$E,'Ausgaben 2026'!N$6)</f>
        <v>0</v>
      </c>
      <c r="O389" s="6"/>
    </row>
    <row r="390" spans="2:15" x14ac:dyDescent="0.35">
      <c r="B390" s="5"/>
      <c r="C390" s="40">
        <f t="shared" si="27"/>
        <v>46372</v>
      </c>
      <c r="D390" s="46">
        <f>SUMIFS(Einzelbeträge!$D:$D,Einzelbeträge!$C:$C,'Ausgaben 2026'!$C390)</f>
        <v>0</v>
      </c>
      <c r="E390" s="21">
        <f>SUMIFS(Einzelbeträge!$D:$D,Einzelbeträge!$C:$C,'Ausgaben 2026'!$C390,Einzelbeträge!$E:$E,'Ausgaben 2026'!E$6)</f>
        <v>0</v>
      </c>
      <c r="F390" s="21">
        <f>SUMIFS(Einzelbeträge!$D:$D,Einzelbeträge!$C:$C,'Ausgaben 2026'!$C390,Einzelbeträge!$E:$E,'Ausgaben 2026'!F$6)</f>
        <v>0</v>
      </c>
      <c r="G390" s="21">
        <f>SUMIFS(Einzelbeträge!$D:$D,Einzelbeträge!$C:$C,'Ausgaben 2026'!$C390,Einzelbeträge!$E:$E,'Ausgaben 2026'!G$6)</f>
        <v>0</v>
      </c>
      <c r="H390" s="21">
        <f>SUMIFS(Einzelbeträge!$D:$D,Einzelbeträge!$C:$C,'Ausgaben 2026'!$C390,Einzelbeträge!$E:$E,'Ausgaben 2026'!H$6)</f>
        <v>0</v>
      </c>
      <c r="I390" s="21">
        <f>SUMIFS(Einzelbeträge!$D:$D,Einzelbeträge!$C:$C,'Ausgaben 2026'!$C390,Einzelbeträge!$E:$E,'Ausgaben 2026'!I$6)</f>
        <v>0</v>
      </c>
      <c r="J390" s="21">
        <f>SUMIFS(Einzelbeträge!$D:$D,Einzelbeträge!$C:$C,'Ausgaben 2026'!$C390,Einzelbeträge!$E:$E,'Ausgaben 2026'!J$6)</f>
        <v>0</v>
      </c>
      <c r="K390" s="21">
        <f>SUMIFS(Einzelbeträge!$D:$D,Einzelbeträge!$C:$C,'Ausgaben 2026'!$C390,Einzelbeträge!$E:$E,'Ausgaben 2026'!K$6)</f>
        <v>0</v>
      </c>
      <c r="L390" s="21">
        <f>SUMIFS(Einzelbeträge!$D:$D,Einzelbeträge!$C:$C,'Ausgaben 2026'!$C390,Einzelbeträge!$E:$E,'Ausgaben 2026'!L$6)</f>
        <v>0</v>
      </c>
      <c r="M390" s="21">
        <f>SUMIFS(Einzelbeträge!$D:$D,Einzelbeträge!$C:$C,'Ausgaben 2026'!$C390,Einzelbeträge!$E:$E,'Ausgaben 2026'!M$6)</f>
        <v>0</v>
      </c>
      <c r="N390" s="35">
        <f>SUMIFS(Einzelbeträge!$D:$D,Einzelbeträge!$C:$C,'Ausgaben 2026'!$C390,Einzelbeträge!$E:$E,'Ausgaben 2026'!N$6)</f>
        <v>0</v>
      </c>
      <c r="O390" s="6"/>
    </row>
    <row r="391" spans="2:15" x14ac:dyDescent="0.35">
      <c r="B391" s="5"/>
      <c r="C391" s="40">
        <f t="shared" si="27"/>
        <v>46373</v>
      </c>
      <c r="D391" s="46">
        <f>SUMIFS(Einzelbeträge!$D:$D,Einzelbeträge!$C:$C,'Ausgaben 2026'!$C391)</f>
        <v>0</v>
      </c>
      <c r="E391" s="21">
        <f>SUMIFS(Einzelbeträge!$D:$D,Einzelbeträge!$C:$C,'Ausgaben 2026'!$C391,Einzelbeträge!$E:$E,'Ausgaben 2026'!E$6)</f>
        <v>0</v>
      </c>
      <c r="F391" s="21">
        <f>SUMIFS(Einzelbeträge!$D:$D,Einzelbeträge!$C:$C,'Ausgaben 2026'!$C391,Einzelbeträge!$E:$E,'Ausgaben 2026'!F$6)</f>
        <v>0</v>
      </c>
      <c r="G391" s="21">
        <f>SUMIFS(Einzelbeträge!$D:$D,Einzelbeträge!$C:$C,'Ausgaben 2026'!$C391,Einzelbeträge!$E:$E,'Ausgaben 2026'!G$6)</f>
        <v>0</v>
      </c>
      <c r="H391" s="21">
        <f>SUMIFS(Einzelbeträge!$D:$D,Einzelbeträge!$C:$C,'Ausgaben 2026'!$C391,Einzelbeträge!$E:$E,'Ausgaben 2026'!H$6)</f>
        <v>0</v>
      </c>
      <c r="I391" s="21">
        <f>SUMIFS(Einzelbeträge!$D:$D,Einzelbeträge!$C:$C,'Ausgaben 2026'!$C391,Einzelbeträge!$E:$E,'Ausgaben 2026'!I$6)</f>
        <v>0</v>
      </c>
      <c r="J391" s="21">
        <f>SUMIFS(Einzelbeträge!$D:$D,Einzelbeträge!$C:$C,'Ausgaben 2026'!$C391,Einzelbeträge!$E:$E,'Ausgaben 2026'!J$6)</f>
        <v>0</v>
      </c>
      <c r="K391" s="21">
        <f>SUMIFS(Einzelbeträge!$D:$D,Einzelbeträge!$C:$C,'Ausgaben 2026'!$C391,Einzelbeträge!$E:$E,'Ausgaben 2026'!K$6)</f>
        <v>0</v>
      </c>
      <c r="L391" s="21">
        <f>SUMIFS(Einzelbeträge!$D:$D,Einzelbeträge!$C:$C,'Ausgaben 2026'!$C391,Einzelbeträge!$E:$E,'Ausgaben 2026'!L$6)</f>
        <v>0</v>
      </c>
      <c r="M391" s="21">
        <f>SUMIFS(Einzelbeträge!$D:$D,Einzelbeträge!$C:$C,'Ausgaben 2026'!$C391,Einzelbeträge!$E:$E,'Ausgaben 2026'!M$6)</f>
        <v>0</v>
      </c>
      <c r="N391" s="35">
        <f>SUMIFS(Einzelbeträge!$D:$D,Einzelbeträge!$C:$C,'Ausgaben 2026'!$C391,Einzelbeträge!$E:$E,'Ausgaben 2026'!N$6)</f>
        <v>0</v>
      </c>
      <c r="O391" s="6"/>
    </row>
    <row r="392" spans="2:15" x14ac:dyDescent="0.35">
      <c r="B392" s="5"/>
      <c r="C392" s="40">
        <f t="shared" si="27"/>
        <v>46374</v>
      </c>
      <c r="D392" s="46">
        <f>SUMIFS(Einzelbeträge!$D:$D,Einzelbeträge!$C:$C,'Ausgaben 2026'!$C392)</f>
        <v>0</v>
      </c>
      <c r="E392" s="21">
        <f>SUMIFS(Einzelbeträge!$D:$D,Einzelbeträge!$C:$C,'Ausgaben 2026'!$C392,Einzelbeträge!$E:$E,'Ausgaben 2026'!E$6)</f>
        <v>0</v>
      </c>
      <c r="F392" s="21">
        <f>SUMIFS(Einzelbeträge!$D:$D,Einzelbeträge!$C:$C,'Ausgaben 2026'!$C392,Einzelbeträge!$E:$E,'Ausgaben 2026'!F$6)</f>
        <v>0</v>
      </c>
      <c r="G392" s="21">
        <f>SUMIFS(Einzelbeträge!$D:$D,Einzelbeträge!$C:$C,'Ausgaben 2026'!$C392,Einzelbeträge!$E:$E,'Ausgaben 2026'!G$6)</f>
        <v>0</v>
      </c>
      <c r="H392" s="21">
        <f>SUMIFS(Einzelbeträge!$D:$D,Einzelbeträge!$C:$C,'Ausgaben 2026'!$C392,Einzelbeträge!$E:$E,'Ausgaben 2026'!H$6)</f>
        <v>0</v>
      </c>
      <c r="I392" s="21">
        <f>SUMIFS(Einzelbeträge!$D:$D,Einzelbeträge!$C:$C,'Ausgaben 2026'!$C392,Einzelbeträge!$E:$E,'Ausgaben 2026'!I$6)</f>
        <v>0</v>
      </c>
      <c r="J392" s="21">
        <f>SUMIFS(Einzelbeträge!$D:$D,Einzelbeträge!$C:$C,'Ausgaben 2026'!$C392,Einzelbeträge!$E:$E,'Ausgaben 2026'!J$6)</f>
        <v>0</v>
      </c>
      <c r="K392" s="21">
        <f>SUMIFS(Einzelbeträge!$D:$D,Einzelbeträge!$C:$C,'Ausgaben 2026'!$C392,Einzelbeträge!$E:$E,'Ausgaben 2026'!K$6)</f>
        <v>0</v>
      </c>
      <c r="L392" s="21">
        <f>SUMIFS(Einzelbeträge!$D:$D,Einzelbeträge!$C:$C,'Ausgaben 2026'!$C392,Einzelbeträge!$E:$E,'Ausgaben 2026'!L$6)</f>
        <v>0</v>
      </c>
      <c r="M392" s="21">
        <f>SUMIFS(Einzelbeträge!$D:$D,Einzelbeträge!$C:$C,'Ausgaben 2026'!$C392,Einzelbeträge!$E:$E,'Ausgaben 2026'!M$6)</f>
        <v>0</v>
      </c>
      <c r="N392" s="35">
        <f>SUMIFS(Einzelbeträge!$D:$D,Einzelbeträge!$C:$C,'Ausgaben 2026'!$C392,Einzelbeträge!$E:$E,'Ausgaben 2026'!N$6)</f>
        <v>0</v>
      </c>
      <c r="O392" s="6"/>
    </row>
    <row r="393" spans="2:15" x14ac:dyDescent="0.35">
      <c r="B393" s="5"/>
      <c r="C393" s="40">
        <f t="shared" si="27"/>
        <v>46375</v>
      </c>
      <c r="D393" s="46">
        <f>SUMIFS(Einzelbeträge!$D:$D,Einzelbeträge!$C:$C,'Ausgaben 2026'!$C393)</f>
        <v>0</v>
      </c>
      <c r="E393" s="21">
        <f>SUMIFS(Einzelbeträge!$D:$D,Einzelbeträge!$C:$C,'Ausgaben 2026'!$C393,Einzelbeträge!$E:$E,'Ausgaben 2026'!E$6)</f>
        <v>0</v>
      </c>
      <c r="F393" s="21">
        <f>SUMIFS(Einzelbeträge!$D:$D,Einzelbeträge!$C:$C,'Ausgaben 2026'!$C393,Einzelbeträge!$E:$E,'Ausgaben 2026'!F$6)</f>
        <v>0</v>
      </c>
      <c r="G393" s="21">
        <f>SUMIFS(Einzelbeträge!$D:$D,Einzelbeträge!$C:$C,'Ausgaben 2026'!$C393,Einzelbeträge!$E:$E,'Ausgaben 2026'!G$6)</f>
        <v>0</v>
      </c>
      <c r="H393" s="21">
        <f>SUMIFS(Einzelbeträge!$D:$D,Einzelbeträge!$C:$C,'Ausgaben 2026'!$C393,Einzelbeträge!$E:$E,'Ausgaben 2026'!H$6)</f>
        <v>0</v>
      </c>
      <c r="I393" s="21">
        <f>SUMIFS(Einzelbeträge!$D:$D,Einzelbeträge!$C:$C,'Ausgaben 2026'!$C393,Einzelbeträge!$E:$E,'Ausgaben 2026'!I$6)</f>
        <v>0</v>
      </c>
      <c r="J393" s="21">
        <f>SUMIFS(Einzelbeträge!$D:$D,Einzelbeträge!$C:$C,'Ausgaben 2026'!$C393,Einzelbeträge!$E:$E,'Ausgaben 2026'!J$6)</f>
        <v>0</v>
      </c>
      <c r="K393" s="21">
        <f>SUMIFS(Einzelbeträge!$D:$D,Einzelbeträge!$C:$C,'Ausgaben 2026'!$C393,Einzelbeträge!$E:$E,'Ausgaben 2026'!K$6)</f>
        <v>0</v>
      </c>
      <c r="L393" s="21">
        <f>SUMIFS(Einzelbeträge!$D:$D,Einzelbeträge!$C:$C,'Ausgaben 2026'!$C393,Einzelbeträge!$E:$E,'Ausgaben 2026'!L$6)</f>
        <v>0</v>
      </c>
      <c r="M393" s="21">
        <f>SUMIFS(Einzelbeträge!$D:$D,Einzelbeträge!$C:$C,'Ausgaben 2026'!$C393,Einzelbeträge!$E:$E,'Ausgaben 2026'!M$6)</f>
        <v>0</v>
      </c>
      <c r="N393" s="35">
        <f>SUMIFS(Einzelbeträge!$D:$D,Einzelbeträge!$C:$C,'Ausgaben 2026'!$C393,Einzelbeträge!$E:$E,'Ausgaben 2026'!N$6)</f>
        <v>0</v>
      </c>
      <c r="O393" s="6"/>
    </row>
    <row r="394" spans="2:15" x14ac:dyDescent="0.35">
      <c r="B394" s="5"/>
      <c r="C394" s="40">
        <f t="shared" si="27"/>
        <v>46376</v>
      </c>
      <c r="D394" s="46">
        <f>SUMIFS(Einzelbeträge!$D:$D,Einzelbeträge!$C:$C,'Ausgaben 2026'!$C394)</f>
        <v>0</v>
      </c>
      <c r="E394" s="21">
        <f>SUMIFS(Einzelbeträge!$D:$D,Einzelbeträge!$C:$C,'Ausgaben 2026'!$C394,Einzelbeträge!$E:$E,'Ausgaben 2026'!E$6)</f>
        <v>0</v>
      </c>
      <c r="F394" s="21">
        <f>SUMIFS(Einzelbeträge!$D:$D,Einzelbeträge!$C:$C,'Ausgaben 2026'!$C394,Einzelbeträge!$E:$E,'Ausgaben 2026'!F$6)</f>
        <v>0</v>
      </c>
      <c r="G394" s="21">
        <f>SUMIFS(Einzelbeträge!$D:$D,Einzelbeträge!$C:$C,'Ausgaben 2026'!$C394,Einzelbeträge!$E:$E,'Ausgaben 2026'!G$6)</f>
        <v>0</v>
      </c>
      <c r="H394" s="21">
        <f>SUMIFS(Einzelbeträge!$D:$D,Einzelbeträge!$C:$C,'Ausgaben 2026'!$C394,Einzelbeträge!$E:$E,'Ausgaben 2026'!H$6)</f>
        <v>0</v>
      </c>
      <c r="I394" s="21">
        <f>SUMIFS(Einzelbeträge!$D:$D,Einzelbeträge!$C:$C,'Ausgaben 2026'!$C394,Einzelbeträge!$E:$E,'Ausgaben 2026'!I$6)</f>
        <v>0</v>
      </c>
      <c r="J394" s="21">
        <f>SUMIFS(Einzelbeträge!$D:$D,Einzelbeträge!$C:$C,'Ausgaben 2026'!$C394,Einzelbeträge!$E:$E,'Ausgaben 2026'!J$6)</f>
        <v>0</v>
      </c>
      <c r="K394" s="21">
        <f>SUMIFS(Einzelbeträge!$D:$D,Einzelbeträge!$C:$C,'Ausgaben 2026'!$C394,Einzelbeträge!$E:$E,'Ausgaben 2026'!K$6)</f>
        <v>0</v>
      </c>
      <c r="L394" s="21">
        <f>SUMIFS(Einzelbeträge!$D:$D,Einzelbeträge!$C:$C,'Ausgaben 2026'!$C394,Einzelbeträge!$E:$E,'Ausgaben 2026'!L$6)</f>
        <v>0</v>
      </c>
      <c r="M394" s="21">
        <f>SUMIFS(Einzelbeträge!$D:$D,Einzelbeträge!$C:$C,'Ausgaben 2026'!$C394,Einzelbeträge!$E:$E,'Ausgaben 2026'!M$6)</f>
        <v>0</v>
      </c>
      <c r="N394" s="35">
        <f>SUMIFS(Einzelbeträge!$D:$D,Einzelbeträge!$C:$C,'Ausgaben 2026'!$C394,Einzelbeträge!$E:$E,'Ausgaben 2026'!N$6)</f>
        <v>0</v>
      </c>
      <c r="O394" s="6"/>
    </row>
    <row r="395" spans="2:15" x14ac:dyDescent="0.35">
      <c r="B395" s="5"/>
      <c r="C395" s="40">
        <f t="shared" si="27"/>
        <v>46377</v>
      </c>
      <c r="D395" s="46">
        <f>SUMIFS(Einzelbeträge!$D:$D,Einzelbeträge!$C:$C,'Ausgaben 2026'!$C395)</f>
        <v>0</v>
      </c>
      <c r="E395" s="21">
        <f>SUMIFS(Einzelbeträge!$D:$D,Einzelbeträge!$C:$C,'Ausgaben 2026'!$C395,Einzelbeträge!$E:$E,'Ausgaben 2026'!E$6)</f>
        <v>0</v>
      </c>
      <c r="F395" s="21">
        <f>SUMIFS(Einzelbeträge!$D:$D,Einzelbeträge!$C:$C,'Ausgaben 2026'!$C395,Einzelbeträge!$E:$E,'Ausgaben 2026'!F$6)</f>
        <v>0</v>
      </c>
      <c r="G395" s="21">
        <f>SUMIFS(Einzelbeträge!$D:$D,Einzelbeträge!$C:$C,'Ausgaben 2026'!$C395,Einzelbeträge!$E:$E,'Ausgaben 2026'!G$6)</f>
        <v>0</v>
      </c>
      <c r="H395" s="21">
        <f>SUMIFS(Einzelbeträge!$D:$D,Einzelbeträge!$C:$C,'Ausgaben 2026'!$C395,Einzelbeträge!$E:$E,'Ausgaben 2026'!H$6)</f>
        <v>0</v>
      </c>
      <c r="I395" s="21">
        <f>SUMIFS(Einzelbeträge!$D:$D,Einzelbeträge!$C:$C,'Ausgaben 2026'!$C395,Einzelbeträge!$E:$E,'Ausgaben 2026'!I$6)</f>
        <v>0</v>
      </c>
      <c r="J395" s="21">
        <f>SUMIFS(Einzelbeträge!$D:$D,Einzelbeträge!$C:$C,'Ausgaben 2026'!$C395,Einzelbeträge!$E:$E,'Ausgaben 2026'!J$6)</f>
        <v>0</v>
      </c>
      <c r="K395" s="21">
        <f>SUMIFS(Einzelbeträge!$D:$D,Einzelbeträge!$C:$C,'Ausgaben 2026'!$C395,Einzelbeträge!$E:$E,'Ausgaben 2026'!K$6)</f>
        <v>0</v>
      </c>
      <c r="L395" s="21">
        <f>SUMIFS(Einzelbeträge!$D:$D,Einzelbeträge!$C:$C,'Ausgaben 2026'!$C395,Einzelbeträge!$E:$E,'Ausgaben 2026'!L$6)</f>
        <v>0</v>
      </c>
      <c r="M395" s="21">
        <f>SUMIFS(Einzelbeträge!$D:$D,Einzelbeträge!$C:$C,'Ausgaben 2026'!$C395,Einzelbeträge!$E:$E,'Ausgaben 2026'!M$6)</f>
        <v>0</v>
      </c>
      <c r="N395" s="35">
        <f>SUMIFS(Einzelbeträge!$D:$D,Einzelbeträge!$C:$C,'Ausgaben 2026'!$C395,Einzelbeträge!$E:$E,'Ausgaben 2026'!N$6)</f>
        <v>0</v>
      </c>
      <c r="O395" s="6"/>
    </row>
    <row r="396" spans="2:15" x14ac:dyDescent="0.35">
      <c r="B396" s="5"/>
      <c r="C396" s="40">
        <f t="shared" si="27"/>
        <v>46378</v>
      </c>
      <c r="D396" s="46">
        <f>SUMIFS(Einzelbeträge!$D:$D,Einzelbeträge!$C:$C,'Ausgaben 2026'!$C396)</f>
        <v>0</v>
      </c>
      <c r="E396" s="21">
        <f>SUMIFS(Einzelbeträge!$D:$D,Einzelbeträge!$C:$C,'Ausgaben 2026'!$C396,Einzelbeträge!$E:$E,'Ausgaben 2026'!E$6)</f>
        <v>0</v>
      </c>
      <c r="F396" s="21">
        <f>SUMIFS(Einzelbeträge!$D:$D,Einzelbeträge!$C:$C,'Ausgaben 2026'!$C396,Einzelbeträge!$E:$E,'Ausgaben 2026'!F$6)</f>
        <v>0</v>
      </c>
      <c r="G396" s="21">
        <f>SUMIFS(Einzelbeträge!$D:$D,Einzelbeträge!$C:$C,'Ausgaben 2026'!$C396,Einzelbeträge!$E:$E,'Ausgaben 2026'!G$6)</f>
        <v>0</v>
      </c>
      <c r="H396" s="21">
        <f>SUMIFS(Einzelbeträge!$D:$D,Einzelbeträge!$C:$C,'Ausgaben 2026'!$C396,Einzelbeträge!$E:$E,'Ausgaben 2026'!H$6)</f>
        <v>0</v>
      </c>
      <c r="I396" s="21">
        <f>SUMIFS(Einzelbeträge!$D:$D,Einzelbeträge!$C:$C,'Ausgaben 2026'!$C396,Einzelbeträge!$E:$E,'Ausgaben 2026'!I$6)</f>
        <v>0</v>
      </c>
      <c r="J396" s="21">
        <f>SUMIFS(Einzelbeträge!$D:$D,Einzelbeträge!$C:$C,'Ausgaben 2026'!$C396,Einzelbeträge!$E:$E,'Ausgaben 2026'!J$6)</f>
        <v>0</v>
      </c>
      <c r="K396" s="21">
        <f>SUMIFS(Einzelbeträge!$D:$D,Einzelbeträge!$C:$C,'Ausgaben 2026'!$C396,Einzelbeträge!$E:$E,'Ausgaben 2026'!K$6)</f>
        <v>0</v>
      </c>
      <c r="L396" s="21">
        <f>SUMIFS(Einzelbeträge!$D:$D,Einzelbeträge!$C:$C,'Ausgaben 2026'!$C396,Einzelbeträge!$E:$E,'Ausgaben 2026'!L$6)</f>
        <v>0</v>
      </c>
      <c r="M396" s="21">
        <f>SUMIFS(Einzelbeträge!$D:$D,Einzelbeträge!$C:$C,'Ausgaben 2026'!$C396,Einzelbeträge!$E:$E,'Ausgaben 2026'!M$6)</f>
        <v>0</v>
      </c>
      <c r="N396" s="35">
        <f>SUMIFS(Einzelbeträge!$D:$D,Einzelbeträge!$C:$C,'Ausgaben 2026'!$C396,Einzelbeträge!$E:$E,'Ausgaben 2026'!N$6)</f>
        <v>0</v>
      </c>
      <c r="O396" s="6"/>
    </row>
    <row r="397" spans="2:15" x14ac:dyDescent="0.35">
      <c r="B397" s="5"/>
      <c r="C397" s="40">
        <f t="shared" si="27"/>
        <v>46379</v>
      </c>
      <c r="D397" s="46">
        <f>SUMIFS(Einzelbeträge!$D:$D,Einzelbeträge!$C:$C,'Ausgaben 2026'!$C397)</f>
        <v>0</v>
      </c>
      <c r="E397" s="21">
        <f>SUMIFS(Einzelbeträge!$D:$D,Einzelbeträge!$C:$C,'Ausgaben 2026'!$C397,Einzelbeträge!$E:$E,'Ausgaben 2026'!E$6)</f>
        <v>0</v>
      </c>
      <c r="F397" s="21">
        <f>SUMIFS(Einzelbeträge!$D:$D,Einzelbeträge!$C:$C,'Ausgaben 2026'!$C397,Einzelbeträge!$E:$E,'Ausgaben 2026'!F$6)</f>
        <v>0</v>
      </c>
      <c r="G397" s="21">
        <f>SUMIFS(Einzelbeträge!$D:$D,Einzelbeträge!$C:$C,'Ausgaben 2026'!$C397,Einzelbeträge!$E:$E,'Ausgaben 2026'!G$6)</f>
        <v>0</v>
      </c>
      <c r="H397" s="21">
        <f>SUMIFS(Einzelbeträge!$D:$D,Einzelbeträge!$C:$C,'Ausgaben 2026'!$C397,Einzelbeträge!$E:$E,'Ausgaben 2026'!H$6)</f>
        <v>0</v>
      </c>
      <c r="I397" s="21">
        <f>SUMIFS(Einzelbeträge!$D:$D,Einzelbeträge!$C:$C,'Ausgaben 2026'!$C397,Einzelbeträge!$E:$E,'Ausgaben 2026'!I$6)</f>
        <v>0</v>
      </c>
      <c r="J397" s="21">
        <f>SUMIFS(Einzelbeträge!$D:$D,Einzelbeträge!$C:$C,'Ausgaben 2026'!$C397,Einzelbeträge!$E:$E,'Ausgaben 2026'!J$6)</f>
        <v>0</v>
      </c>
      <c r="K397" s="21">
        <f>SUMIFS(Einzelbeträge!$D:$D,Einzelbeträge!$C:$C,'Ausgaben 2026'!$C397,Einzelbeträge!$E:$E,'Ausgaben 2026'!K$6)</f>
        <v>0</v>
      </c>
      <c r="L397" s="21">
        <f>SUMIFS(Einzelbeträge!$D:$D,Einzelbeträge!$C:$C,'Ausgaben 2026'!$C397,Einzelbeträge!$E:$E,'Ausgaben 2026'!L$6)</f>
        <v>0</v>
      </c>
      <c r="M397" s="21">
        <f>SUMIFS(Einzelbeträge!$D:$D,Einzelbeträge!$C:$C,'Ausgaben 2026'!$C397,Einzelbeträge!$E:$E,'Ausgaben 2026'!M$6)</f>
        <v>0</v>
      </c>
      <c r="N397" s="35">
        <f>SUMIFS(Einzelbeträge!$D:$D,Einzelbeträge!$C:$C,'Ausgaben 2026'!$C397,Einzelbeträge!$E:$E,'Ausgaben 2026'!N$6)</f>
        <v>0</v>
      </c>
      <c r="O397" s="6"/>
    </row>
    <row r="398" spans="2:15" x14ac:dyDescent="0.35">
      <c r="B398" s="5"/>
      <c r="C398" s="40">
        <f t="shared" si="27"/>
        <v>46380</v>
      </c>
      <c r="D398" s="46">
        <f>SUMIFS(Einzelbeträge!$D:$D,Einzelbeträge!$C:$C,'Ausgaben 2026'!$C398)</f>
        <v>0</v>
      </c>
      <c r="E398" s="21">
        <f>SUMIFS(Einzelbeträge!$D:$D,Einzelbeträge!$C:$C,'Ausgaben 2026'!$C398,Einzelbeträge!$E:$E,'Ausgaben 2026'!E$6)</f>
        <v>0</v>
      </c>
      <c r="F398" s="21">
        <f>SUMIFS(Einzelbeträge!$D:$D,Einzelbeträge!$C:$C,'Ausgaben 2026'!$C398,Einzelbeträge!$E:$E,'Ausgaben 2026'!F$6)</f>
        <v>0</v>
      </c>
      <c r="G398" s="21">
        <f>SUMIFS(Einzelbeträge!$D:$D,Einzelbeträge!$C:$C,'Ausgaben 2026'!$C398,Einzelbeträge!$E:$E,'Ausgaben 2026'!G$6)</f>
        <v>0</v>
      </c>
      <c r="H398" s="21">
        <f>SUMIFS(Einzelbeträge!$D:$D,Einzelbeträge!$C:$C,'Ausgaben 2026'!$C398,Einzelbeträge!$E:$E,'Ausgaben 2026'!H$6)</f>
        <v>0</v>
      </c>
      <c r="I398" s="21">
        <f>SUMIFS(Einzelbeträge!$D:$D,Einzelbeträge!$C:$C,'Ausgaben 2026'!$C398,Einzelbeträge!$E:$E,'Ausgaben 2026'!I$6)</f>
        <v>0</v>
      </c>
      <c r="J398" s="21">
        <f>SUMIFS(Einzelbeträge!$D:$D,Einzelbeträge!$C:$C,'Ausgaben 2026'!$C398,Einzelbeträge!$E:$E,'Ausgaben 2026'!J$6)</f>
        <v>0</v>
      </c>
      <c r="K398" s="21">
        <f>SUMIFS(Einzelbeträge!$D:$D,Einzelbeträge!$C:$C,'Ausgaben 2026'!$C398,Einzelbeträge!$E:$E,'Ausgaben 2026'!K$6)</f>
        <v>0</v>
      </c>
      <c r="L398" s="21">
        <f>SUMIFS(Einzelbeträge!$D:$D,Einzelbeträge!$C:$C,'Ausgaben 2026'!$C398,Einzelbeträge!$E:$E,'Ausgaben 2026'!L$6)</f>
        <v>0</v>
      </c>
      <c r="M398" s="21">
        <f>SUMIFS(Einzelbeträge!$D:$D,Einzelbeträge!$C:$C,'Ausgaben 2026'!$C398,Einzelbeträge!$E:$E,'Ausgaben 2026'!M$6)</f>
        <v>0</v>
      </c>
      <c r="N398" s="35">
        <f>SUMIFS(Einzelbeträge!$D:$D,Einzelbeträge!$C:$C,'Ausgaben 2026'!$C398,Einzelbeträge!$E:$E,'Ausgaben 2026'!N$6)</f>
        <v>0</v>
      </c>
      <c r="O398" s="6"/>
    </row>
    <row r="399" spans="2:15" x14ac:dyDescent="0.35">
      <c r="B399" s="5"/>
      <c r="C399" s="40">
        <f t="shared" si="27"/>
        <v>46381</v>
      </c>
      <c r="D399" s="46">
        <f>SUMIFS(Einzelbeträge!$D:$D,Einzelbeträge!$C:$C,'Ausgaben 2026'!$C399)</f>
        <v>0</v>
      </c>
      <c r="E399" s="21">
        <f>SUMIFS(Einzelbeträge!$D:$D,Einzelbeträge!$C:$C,'Ausgaben 2026'!$C399,Einzelbeträge!$E:$E,'Ausgaben 2026'!E$6)</f>
        <v>0</v>
      </c>
      <c r="F399" s="21">
        <f>SUMIFS(Einzelbeträge!$D:$D,Einzelbeträge!$C:$C,'Ausgaben 2026'!$C399,Einzelbeträge!$E:$E,'Ausgaben 2026'!F$6)</f>
        <v>0</v>
      </c>
      <c r="G399" s="21">
        <f>SUMIFS(Einzelbeträge!$D:$D,Einzelbeträge!$C:$C,'Ausgaben 2026'!$C399,Einzelbeträge!$E:$E,'Ausgaben 2026'!G$6)</f>
        <v>0</v>
      </c>
      <c r="H399" s="21">
        <f>SUMIFS(Einzelbeträge!$D:$D,Einzelbeträge!$C:$C,'Ausgaben 2026'!$C399,Einzelbeträge!$E:$E,'Ausgaben 2026'!H$6)</f>
        <v>0</v>
      </c>
      <c r="I399" s="21">
        <f>SUMIFS(Einzelbeträge!$D:$D,Einzelbeträge!$C:$C,'Ausgaben 2026'!$C399,Einzelbeträge!$E:$E,'Ausgaben 2026'!I$6)</f>
        <v>0</v>
      </c>
      <c r="J399" s="21">
        <f>SUMIFS(Einzelbeträge!$D:$D,Einzelbeträge!$C:$C,'Ausgaben 2026'!$C399,Einzelbeträge!$E:$E,'Ausgaben 2026'!J$6)</f>
        <v>0</v>
      </c>
      <c r="K399" s="21">
        <f>SUMIFS(Einzelbeträge!$D:$D,Einzelbeträge!$C:$C,'Ausgaben 2026'!$C399,Einzelbeträge!$E:$E,'Ausgaben 2026'!K$6)</f>
        <v>0</v>
      </c>
      <c r="L399" s="21">
        <f>SUMIFS(Einzelbeträge!$D:$D,Einzelbeträge!$C:$C,'Ausgaben 2026'!$C399,Einzelbeträge!$E:$E,'Ausgaben 2026'!L$6)</f>
        <v>0</v>
      </c>
      <c r="M399" s="21">
        <f>SUMIFS(Einzelbeträge!$D:$D,Einzelbeträge!$C:$C,'Ausgaben 2026'!$C399,Einzelbeträge!$E:$E,'Ausgaben 2026'!M$6)</f>
        <v>0</v>
      </c>
      <c r="N399" s="35">
        <f>SUMIFS(Einzelbeträge!$D:$D,Einzelbeträge!$C:$C,'Ausgaben 2026'!$C399,Einzelbeträge!$E:$E,'Ausgaben 2026'!N$6)</f>
        <v>0</v>
      </c>
      <c r="O399" s="6"/>
    </row>
    <row r="400" spans="2:15" x14ac:dyDescent="0.35">
      <c r="B400" s="5"/>
      <c r="C400" s="40">
        <f t="shared" si="27"/>
        <v>46382</v>
      </c>
      <c r="D400" s="46">
        <f>SUMIFS(Einzelbeträge!$D:$D,Einzelbeträge!$C:$C,'Ausgaben 2026'!$C400)</f>
        <v>0</v>
      </c>
      <c r="E400" s="21">
        <f>SUMIFS(Einzelbeträge!$D:$D,Einzelbeträge!$C:$C,'Ausgaben 2026'!$C400,Einzelbeträge!$E:$E,'Ausgaben 2026'!E$6)</f>
        <v>0</v>
      </c>
      <c r="F400" s="21">
        <f>SUMIFS(Einzelbeträge!$D:$D,Einzelbeträge!$C:$C,'Ausgaben 2026'!$C400,Einzelbeträge!$E:$E,'Ausgaben 2026'!F$6)</f>
        <v>0</v>
      </c>
      <c r="G400" s="21">
        <f>SUMIFS(Einzelbeträge!$D:$D,Einzelbeträge!$C:$C,'Ausgaben 2026'!$C400,Einzelbeträge!$E:$E,'Ausgaben 2026'!G$6)</f>
        <v>0</v>
      </c>
      <c r="H400" s="21">
        <f>SUMIFS(Einzelbeträge!$D:$D,Einzelbeträge!$C:$C,'Ausgaben 2026'!$C400,Einzelbeträge!$E:$E,'Ausgaben 2026'!H$6)</f>
        <v>0</v>
      </c>
      <c r="I400" s="21">
        <f>SUMIFS(Einzelbeträge!$D:$D,Einzelbeträge!$C:$C,'Ausgaben 2026'!$C400,Einzelbeträge!$E:$E,'Ausgaben 2026'!I$6)</f>
        <v>0</v>
      </c>
      <c r="J400" s="21">
        <f>SUMIFS(Einzelbeträge!$D:$D,Einzelbeträge!$C:$C,'Ausgaben 2026'!$C400,Einzelbeträge!$E:$E,'Ausgaben 2026'!J$6)</f>
        <v>0</v>
      </c>
      <c r="K400" s="21">
        <f>SUMIFS(Einzelbeträge!$D:$D,Einzelbeträge!$C:$C,'Ausgaben 2026'!$C400,Einzelbeträge!$E:$E,'Ausgaben 2026'!K$6)</f>
        <v>0</v>
      </c>
      <c r="L400" s="21">
        <f>SUMIFS(Einzelbeträge!$D:$D,Einzelbeträge!$C:$C,'Ausgaben 2026'!$C400,Einzelbeträge!$E:$E,'Ausgaben 2026'!L$6)</f>
        <v>0</v>
      </c>
      <c r="M400" s="21">
        <f>SUMIFS(Einzelbeträge!$D:$D,Einzelbeträge!$C:$C,'Ausgaben 2026'!$C400,Einzelbeträge!$E:$E,'Ausgaben 2026'!M$6)</f>
        <v>0</v>
      </c>
      <c r="N400" s="35">
        <f>SUMIFS(Einzelbeträge!$D:$D,Einzelbeträge!$C:$C,'Ausgaben 2026'!$C400,Einzelbeträge!$E:$E,'Ausgaben 2026'!N$6)</f>
        <v>0</v>
      </c>
      <c r="O400" s="6"/>
    </row>
    <row r="401" spans="2:15" x14ac:dyDescent="0.35">
      <c r="B401" s="5"/>
      <c r="C401" s="40">
        <f t="shared" si="27"/>
        <v>46383</v>
      </c>
      <c r="D401" s="46">
        <f>SUMIFS(Einzelbeträge!$D:$D,Einzelbeträge!$C:$C,'Ausgaben 2026'!$C401)</f>
        <v>0</v>
      </c>
      <c r="E401" s="21">
        <f>SUMIFS(Einzelbeträge!$D:$D,Einzelbeträge!$C:$C,'Ausgaben 2026'!$C401,Einzelbeträge!$E:$E,'Ausgaben 2026'!E$6)</f>
        <v>0</v>
      </c>
      <c r="F401" s="21">
        <f>SUMIFS(Einzelbeträge!$D:$D,Einzelbeträge!$C:$C,'Ausgaben 2026'!$C401,Einzelbeträge!$E:$E,'Ausgaben 2026'!F$6)</f>
        <v>0</v>
      </c>
      <c r="G401" s="21">
        <f>SUMIFS(Einzelbeträge!$D:$D,Einzelbeträge!$C:$C,'Ausgaben 2026'!$C401,Einzelbeträge!$E:$E,'Ausgaben 2026'!G$6)</f>
        <v>0</v>
      </c>
      <c r="H401" s="21">
        <f>SUMIFS(Einzelbeträge!$D:$D,Einzelbeträge!$C:$C,'Ausgaben 2026'!$C401,Einzelbeträge!$E:$E,'Ausgaben 2026'!H$6)</f>
        <v>0</v>
      </c>
      <c r="I401" s="21">
        <f>SUMIFS(Einzelbeträge!$D:$D,Einzelbeträge!$C:$C,'Ausgaben 2026'!$C401,Einzelbeträge!$E:$E,'Ausgaben 2026'!I$6)</f>
        <v>0</v>
      </c>
      <c r="J401" s="21">
        <f>SUMIFS(Einzelbeträge!$D:$D,Einzelbeträge!$C:$C,'Ausgaben 2026'!$C401,Einzelbeträge!$E:$E,'Ausgaben 2026'!J$6)</f>
        <v>0</v>
      </c>
      <c r="K401" s="21">
        <f>SUMIFS(Einzelbeträge!$D:$D,Einzelbeträge!$C:$C,'Ausgaben 2026'!$C401,Einzelbeträge!$E:$E,'Ausgaben 2026'!K$6)</f>
        <v>0</v>
      </c>
      <c r="L401" s="21">
        <f>SUMIFS(Einzelbeträge!$D:$D,Einzelbeträge!$C:$C,'Ausgaben 2026'!$C401,Einzelbeträge!$E:$E,'Ausgaben 2026'!L$6)</f>
        <v>0</v>
      </c>
      <c r="M401" s="21">
        <f>SUMIFS(Einzelbeträge!$D:$D,Einzelbeträge!$C:$C,'Ausgaben 2026'!$C401,Einzelbeträge!$E:$E,'Ausgaben 2026'!M$6)</f>
        <v>0</v>
      </c>
      <c r="N401" s="35">
        <f>SUMIFS(Einzelbeträge!$D:$D,Einzelbeträge!$C:$C,'Ausgaben 2026'!$C401,Einzelbeträge!$E:$E,'Ausgaben 2026'!N$6)</f>
        <v>0</v>
      </c>
      <c r="O401" s="6"/>
    </row>
    <row r="402" spans="2:15" x14ac:dyDescent="0.35">
      <c r="B402" s="5"/>
      <c r="C402" s="40">
        <f t="shared" si="27"/>
        <v>46384</v>
      </c>
      <c r="D402" s="46">
        <f>SUMIFS(Einzelbeträge!$D:$D,Einzelbeträge!$C:$C,'Ausgaben 2026'!$C402)</f>
        <v>0</v>
      </c>
      <c r="E402" s="21">
        <f>SUMIFS(Einzelbeträge!$D:$D,Einzelbeträge!$C:$C,'Ausgaben 2026'!$C402,Einzelbeträge!$E:$E,'Ausgaben 2026'!E$6)</f>
        <v>0</v>
      </c>
      <c r="F402" s="21">
        <f>SUMIFS(Einzelbeträge!$D:$D,Einzelbeträge!$C:$C,'Ausgaben 2026'!$C402,Einzelbeträge!$E:$E,'Ausgaben 2026'!F$6)</f>
        <v>0</v>
      </c>
      <c r="G402" s="21">
        <f>SUMIFS(Einzelbeträge!$D:$D,Einzelbeträge!$C:$C,'Ausgaben 2026'!$C402,Einzelbeträge!$E:$E,'Ausgaben 2026'!G$6)</f>
        <v>0</v>
      </c>
      <c r="H402" s="21">
        <f>SUMIFS(Einzelbeträge!$D:$D,Einzelbeträge!$C:$C,'Ausgaben 2026'!$C402,Einzelbeträge!$E:$E,'Ausgaben 2026'!H$6)</f>
        <v>0</v>
      </c>
      <c r="I402" s="21">
        <f>SUMIFS(Einzelbeträge!$D:$D,Einzelbeträge!$C:$C,'Ausgaben 2026'!$C402,Einzelbeträge!$E:$E,'Ausgaben 2026'!I$6)</f>
        <v>0</v>
      </c>
      <c r="J402" s="21">
        <f>SUMIFS(Einzelbeträge!$D:$D,Einzelbeträge!$C:$C,'Ausgaben 2026'!$C402,Einzelbeträge!$E:$E,'Ausgaben 2026'!J$6)</f>
        <v>0</v>
      </c>
      <c r="K402" s="21">
        <f>SUMIFS(Einzelbeträge!$D:$D,Einzelbeträge!$C:$C,'Ausgaben 2026'!$C402,Einzelbeträge!$E:$E,'Ausgaben 2026'!K$6)</f>
        <v>0</v>
      </c>
      <c r="L402" s="21">
        <f>SUMIFS(Einzelbeträge!$D:$D,Einzelbeträge!$C:$C,'Ausgaben 2026'!$C402,Einzelbeträge!$E:$E,'Ausgaben 2026'!L$6)</f>
        <v>0</v>
      </c>
      <c r="M402" s="21">
        <f>SUMIFS(Einzelbeträge!$D:$D,Einzelbeträge!$C:$C,'Ausgaben 2026'!$C402,Einzelbeträge!$E:$E,'Ausgaben 2026'!M$6)</f>
        <v>0</v>
      </c>
      <c r="N402" s="35">
        <f>SUMIFS(Einzelbeträge!$D:$D,Einzelbeträge!$C:$C,'Ausgaben 2026'!$C402,Einzelbeträge!$E:$E,'Ausgaben 2026'!N$6)</f>
        <v>0</v>
      </c>
      <c r="O402" s="6"/>
    </row>
    <row r="403" spans="2:15" x14ac:dyDescent="0.35">
      <c r="B403" s="5"/>
      <c r="C403" s="40">
        <f t="shared" si="27"/>
        <v>46385</v>
      </c>
      <c r="D403" s="46">
        <f>SUMIFS(Einzelbeträge!$D:$D,Einzelbeträge!$C:$C,'Ausgaben 2026'!$C403)</f>
        <v>0</v>
      </c>
      <c r="E403" s="21">
        <f>SUMIFS(Einzelbeträge!$D:$D,Einzelbeträge!$C:$C,'Ausgaben 2026'!$C403,Einzelbeträge!$E:$E,'Ausgaben 2026'!E$6)</f>
        <v>0</v>
      </c>
      <c r="F403" s="21">
        <f>SUMIFS(Einzelbeträge!$D:$D,Einzelbeträge!$C:$C,'Ausgaben 2026'!$C403,Einzelbeträge!$E:$E,'Ausgaben 2026'!F$6)</f>
        <v>0</v>
      </c>
      <c r="G403" s="21">
        <f>SUMIFS(Einzelbeträge!$D:$D,Einzelbeträge!$C:$C,'Ausgaben 2026'!$C403,Einzelbeträge!$E:$E,'Ausgaben 2026'!G$6)</f>
        <v>0</v>
      </c>
      <c r="H403" s="21">
        <f>SUMIFS(Einzelbeträge!$D:$D,Einzelbeträge!$C:$C,'Ausgaben 2026'!$C403,Einzelbeträge!$E:$E,'Ausgaben 2026'!H$6)</f>
        <v>0</v>
      </c>
      <c r="I403" s="21">
        <f>SUMIFS(Einzelbeträge!$D:$D,Einzelbeträge!$C:$C,'Ausgaben 2026'!$C403,Einzelbeträge!$E:$E,'Ausgaben 2026'!I$6)</f>
        <v>0</v>
      </c>
      <c r="J403" s="21">
        <f>SUMIFS(Einzelbeträge!$D:$D,Einzelbeträge!$C:$C,'Ausgaben 2026'!$C403,Einzelbeträge!$E:$E,'Ausgaben 2026'!J$6)</f>
        <v>0</v>
      </c>
      <c r="K403" s="21">
        <f>SUMIFS(Einzelbeträge!$D:$D,Einzelbeträge!$C:$C,'Ausgaben 2026'!$C403,Einzelbeträge!$E:$E,'Ausgaben 2026'!K$6)</f>
        <v>0</v>
      </c>
      <c r="L403" s="21">
        <f>SUMIFS(Einzelbeträge!$D:$D,Einzelbeträge!$C:$C,'Ausgaben 2026'!$C403,Einzelbeträge!$E:$E,'Ausgaben 2026'!L$6)</f>
        <v>0</v>
      </c>
      <c r="M403" s="21">
        <f>SUMIFS(Einzelbeträge!$D:$D,Einzelbeträge!$C:$C,'Ausgaben 2026'!$C403,Einzelbeträge!$E:$E,'Ausgaben 2026'!M$6)</f>
        <v>0</v>
      </c>
      <c r="N403" s="35">
        <f>SUMIFS(Einzelbeträge!$D:$D,Einzelbeträge!$C:$C,'Ausgaben 2026'!$C403,Einzelbeträge!$E:$E,'Ausgaben 2026'!N$6)</f>
        <v>0</v>
      </c>
      <c r="O403" s="6"/>
    </row>
    <row r="404" spans="2:15" x14ac:dyDescent="0.35">
      <c r="B404" s="5"/>
      <c r="C404" s="40">
        <f t="shared" si="27"/>
        <v>46386</v>
      </c>
      <c r="D404" s="46">
        <f>SUMIFS(Einzelbeträge!$D:$D,Einzelbeträge!$C:$C,'Ausgaben 2026'!$C404)</f>
        <v>0</v>
      </c>
      <c r="E404" s="21">
        <f>SUMIFS(Einzelbeträge!$D:$D,Einzelbeträge!$C:$C,'Ausgaben 2026'!$C404,Einzelbeträge!$E:$E,'Ausgaben 2026'!E$6)</f>
        <v>0</v>
      </c>
      <c r="F404" s="21">
        <f>SUMIFS(Einzelbeträge!$D:$D,Einzelbeträge!$C:$C,'Ausgaben 2026'!$C404,Einzelbeträge!$E:$E,'Ausgaben 2026'!F$6)</f>
        <v>0</v>
      </c>
      <c r="G404" s="21">
        <f>SUMIFS(Einzelbeträge!$D:$D,Einzelbeträge!$C:$C,'Ausgaben 2026'!$C404,Einzelbeträge!$E:$E,'Ausgaben 2026'!G$6)</f>
        <v>0</v>
      </c>
      <c r="H404" s="21">
        <f>SUMIFS(Einzelbeträge!$D:$D,Einzelbeträge!$C:$C,'Ausgaben 2026'!$C404,Einzelbeträge!$E:$E,'Ausgaben 2026'!H$6)</f>
        <v>0</v>
      </c>
      <c r="I404" s="21">
        <f>SUMIFS(Einzelbeträge!$D:$D,Einzelbeträge!$C:$C,'Ausgaben 2026'!$C404,Einzelbeträge!$E:$E,'Ausgaben 2026'!I$6)</f>
        <v>0</v>
      </c>
      <c r="J404" s="21">
        <f>SUMIFS(Einzelbeträge!$D:$D,Einzelbeträge!$C:$C,'Ausgaben 2026'!$C404,Einzelbeträge!$E:$E,'Ausgaben 2026'!J$6)</f>
        <v>0</v>
      </c>
      <c r="K404" s="21">
        <f>SUMIFS(Einzelbeträge!$D:$D,Einzelbeträge!$C:$C,'Ausgaben 2026'!$C404,Einzelbeträge!$E:$E,'Ausgaben 2026'!K$6)</f>
        <v>0</v>
      </c>
      <c r="L404" s="21">
        <f>SUMIFS(Einzelbeträge!$D:$D,Einzelbeträge!$C:$C,'Ausgaben 2026'!$C404,Einzelbeträge!$E:$E,'Ausgaben 2026'!L$6)</f>
        <v>0</v>
      </c>
      <c r="M404" s="21">
        <f>SUMIFS(Einzelbeträge!$D:$D,Einzelbeträge!$C:$C,'Ausgaben 2026'!$C404,Einzelbeträge!$E:$E,'Ausgaben 2026'!M$6)</f>
        <v>0</v>
      </c>
      <c r="N404" s="35">
        <f>SUMIFS(Einzelbeträge!$D:$D,Einzelbeträge!$C:$C,'Ausgaben 2026'!$C404,Einzelbeträge!$E:$E,'Ausgaben 2026'!N$6)</f>
        <v>0</v>
      </c>
      <c r="O404" s="6"/>
    </row>
    <row r="405" spans="2:15" x14ac:dyDescent="0.35">
      <c r="B405" s="5"/>
      <c r="C405" s="31">
        <f t="shared" si="27"/>
        <v>46387</v>
      </c>
      <c r="D405" s="47">
        <f>SUMIFS(Einzelbeträge!$D:$D,Einzelbeträge!$C:$C,'Ausgaben 2026'!$C405)</f>
        <v>0</v>
      </c>
      <c r="E405" s="37">
        <f>SUMIFS(Einzelbeträge!$D:$D,Einzelbeträge!$C:$C,'Ausgaben 2026'!$C405,Einzelbeträge!$E:$E,'Ausgaben 2026'!E$6)</f>
        <v>0</v>
      </c>
      <c r="F405" s="37">
        <f>SUMIFS(Einzelbeträge!$D:$D,Einzelbeträge!$C:$C,'Ausgaben 2026'!$C405,Einzelbeträge!$E:$E,'Ausgaben 2026'!F$6)</f>
        <v>0</v>
      </c>
      <c r="G405" s="37">
        <f>SUMIFS(Einzelbeträge!$D:$D,Einzelbeträge!$C:$C,'Ausgaben 2026'!$C405,Einzelbeträge!$E:$E,'Ausgaben 2026'!G$6)</f>
        <v>0</v>
      </c>
      <c r="H405" s="37">
        <f>SUMIFS(Einzelbeträge!$D:$D,Einzelbeträge!$C:$C,'Ausgaben 2026'!$C405,Einzelbeträge!$E:$E,'Ausgaben 2026'!H$6)</f>
        <v>0</v>
      </c>
      <c r="I405" s="37">
        <f>SUMIFS(Einzelbeträge!$D:$D,Einzelbeträge!$C:$C,'Ausgaben 2026'!$C405,Einzelbeträge!$E:$E,'Ausgaben 2026'!I$6)</f>
        <v>0</v>
      </c>
      <c r="J405" s="37">
        <f>SUMIFS(Einzelbeträge!$D:$D,Einzelbeträge!$C:$C,'Ausgaben 2026'!$C405,Einzelbeträge!$E:$E,'Ausgaben 2026'!J$6)</f>
        <v>0</v>
      </c>
      <c r="K405" s="37">
        <f>SUMIFS(Einzelbeträge!$D:$D,Einzelbeträge!$C:$C,'Ausgaben 2026'!$C405,Einzelbeträge!$E:$E,'Ausgaben 2026'!K$6)</f>
        <v>0</v>
      </c>
      <c r="L405" s="37">
        <f>SUMIFS(Einzelbeträge!$D:$D,Einzelbeträge!$C:$C,'Ausgaben 2026'!$C405,Einzelbeträge!$E:$E,'Ausgaben 2026'!L$6)</f>
        <v>0</v>
      </c>
      <c r="M405" s="37">
        <f>SUMIFS(Einzelbeträge!$D:$D,Einzelbeträge!$C:$C,'Ausgaben 2026'!$C405,Einzelbeträge!$E:$E,'Ausgaben 2026'!M$6)</f>
        <v>0</v>
      </c>
      <c r="N405" s="38">
        <f>SUMIFS(Einzelbeträge!$D:$D,Einzelbeträge!$C:$C,'Ausgaben 2026'!$C405,Einzelbeträge!$E:$E,'Ausgaben 2026'!N$6)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157" priority="2">
      <formula>LEN(TRIM(C69))=0</formula>
    </cfRule>
  </conditionalFormatting>
  <conditionalFormatting sqref="D69:N69">
    <cfRule type="expression" dxfId="156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2" operator="equal" id="{D91B0828-B8BF-48FF-B582-28A0133A1C90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7961CCC2-0879-4A99-958F-159743E50BB0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B90B0E54-DD79-46D4-B2D3-A255BBE13BBA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15" operator="equal" id="{4E181576-8E72-482A-AB4A-5D9D0FE2E5A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82E76A5C-5293-437B-A9C7-8F964316C2C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A2B4B052-D375-4F39-844B-18904F72193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D41:N69 D73:N103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1" operator="greaterThan" id="{E5DD7DA5-7A24-4A23-85F0-60C90AFBA7BB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6" operator="equal" id="{34DE0922-20F9-4BD1-A1D8-93F01AF54EC0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6925233E-8034-49B6-B701-58BE2B3DCB5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500DE1DD-77B9-48DA-A407-37CACA83CB09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9" operator="equal" id="{B3F41A9D-D205-4B61-AB43-994CD7C31787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0" operator="lessThan" id="{06775EE6-10E5-453F-95C6-582F424BA66D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3" operator="equal" id="{F06FE6F2-1AAD-431C-99CD-9614BD467649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A2F4DD11-ABE6-4E86-AF62-BCD920DD89A8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4F7D2F25-0F11-43AA-ACC6-366C0A2F9039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9D673-459F-47B2-8AC4-163821277D38}">
  <sheetPr codeName="Sheet9"/>
  <dimension ref="B1:AD87"/>
  <sheetViews>
    <sheetView zoomScale="49" workbookViewId="0">
      <selection activeCell="AC45" sqref="AC4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1.36328125" style="63" bestFit="1" customWidth="1"/>
    <col min="5" max="7" width="2.81640625" customWidth="1"/>
    <col min="8" max="8" width="20.1796875" bestFit="1" customWidth="1"/>
    <col min="9" max="9" width="9.08984375" style="63" bestFit="1" customWidth="1"/>
    <col min="10" max="12" width="2.81640625" customWidth="1"/>
    <col min="13" max="13" width="20.1796875" bestFit="1" customWidth="1"/>
    <col min="14" max="14" width="9.08984375" style="63" bestFit="1" customWidth="1"/>
    <col min="15" max="17" width="2.81640625" customWidth="1"/>
    <col min="18" max="18" width="20.1796875" bestFit="1" customWidth="1"/>
    <col min="19" max="19" width="9.54296875" style="63" bestFit="1" customWidth="1"/>
    <col min="20" max="22" width="2.81640625" customWidth="1"/>
    <col min="23" max="23" width="17.54296875" bestFit="1" customWidth="1"/>
    <col min="24" max="24" width="9.54296875" style="63" bestFit="1" customWidth="1"/>
    <col min="25" max="27" width="2.81640625" customWidth="1"/>
    <col min="28" max="28" width="20.1796875" bestFit="1" customWidth="1"/>
    <col min="29" max="29" width="9.5429687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2025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 t="shared" ref="D9" si="0"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65</v>
      </c>
      <c r="D21" s="67">
        <f t="shared" si="1"/>
        <v>0</v>
      </c>
      <c r="E21" s="6"/>
    </row>
    <row r="22" spans="2:30" x14ac:dyDescent="0.35">
      <c r="B22" s="5"/>
      <c r="C22" s="13" t="s">
        <v>64</v>
      </c>
      <c r="D22" s="67">
        <f t="shared" si="1"/>
        <v>0</v>
      </c>
      <c r="E22" s="6"/>
    </row>
    <row r="23" spans="2:30" x14ac:dyDescent="0.35">
      <c r="B23" s="5"/>
      <c r="C23" s="13" t="s">
        <v>63</v>
      </c>
      <c r="D23" s="67">
        <f t="shared" si="1"/>
        <v>0</v>
      </c>
      <c r="E23" s="6"/>
    </row>
    <row r="24" spans="2:30" x14ac:dyDescent="0.35">
      <c r="B24" s="5"/>
      <c r="C24" s="13" t="s">
        <v>62</v>
      </c>
      <c r="D24" s="67">
        <f t="shared" si="1"/>
        <v>0</v>
      </c>
      <c r="E24" s="6"/>
    </row>
    <row r="25" spans="2:30" x14ac:dyDescent="0.35">
      <c r="B25" s="5"/>
      <c r="C25" s="13" t="s">
        <v>61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2025'!$AI$5:$AR$5,'Ausgaben 2025'!$AI$6:$AR$6)</f>
        <v>0</v>
      </c>
      <c r="E45" s="6"/>
      <c r="G45" s="5"/>
      <c r="H45" s="13" t="s">
        <v>0</v>
      </c>
      <c r="I45" s="67">
        <f>_xlfn.XLOOKUP(H45,'Ausgaben 2025'!$AI$5:$AR$5,'Ausgaben 2025'!$AI$7:$AR$7)</f>
        <v>0</v>
      </c>
      <c r="J45" s="6"/>
      <c r="L45" s="5"/>
      <c r="M45" s="13" t="s">
        <v>0</v>
      </c>
      <c r="N45" s="67">
        <f>_xlfn.XLOOKUP(M45,'Ausgaben 2025'!$AI$5:$AR$5,'Ausgaben 2025'!$AI$8:$AR$8)</f>
        <v>0</v>
      </c>
      <c r="O45" s="6"/>
      <c r="Q45" s="5"/>
      <c r="R45" s="13" t="s">
        <v>0</v>
      </c>
      <c r="S45" s="67">
        <f>_xlfn.XLOOKUP(R45,'Ausgaben 2025'!$AI$5:$AR$5,'Ausgaben 2025'!$AI$9:$AR$9)</f>
        <v>0</v>
      </c>
      <c r="T45" s="6"/>
      <c r="V45" s="5"/>
      <c r="W45" s="13" t="s">
        <v>0</v>
      </c>
      <c r="X45" s="67">
        <f>_xlfn.XLOOKUP(W45,'Ausgaben 2025'!$AI$5:$AR$5,'Ausgaben 2025'!$AI$10:$AR$10)</f>
        <v>0</v>
      </c>
      <c r="Y45" s="6"/>
      <c r="AA45" s="5"/>
      <c r="AB45" s="13" t="s">
        <v>0</v>
      </c>
      <c r="AC45" s="67">
        <f>_xlfn.XLOOKUP(AB45,'Ausgaben 2025'!$AI$5:$AR$5,'Ausgaben 2025'!$AI$11:$AR$11)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2025'!$AI$5:$AR$5,'Ausgaben 2025'!$AI$6:$AR$6)</f>
        <v>0</v>
      </c>
      <c r="E46" s="6"/>
      <c r="G46" s="5"/>
      <c r="H46" s="13" t="s">
        <v>1</v>
      </c>
      <c r="I46" s="67">
        <f>_xlfn.XLOOKUP(H46,'Ausgaben 2025'!$AI$5:$AR$5,'Ausgaben 2025'!$AI$7:$AR$7)</f>
        <v>0</v>
      </c>
      <c r="J46" s="6"/>
      <c r="L46" s="5"/>
      <c r="M46" s="13" t="s">
        <v>1</v>
      </c>
      <c r="N46" s="67">
        <f>_xlfn.XLOOKUP(M46,'Ausgaben 2025'!$AI$5:$AR$5,'Ausgaben 2025'!$AI$8:$AR$8)</f>
        <v>0</v>
      </c>
      <c r="O46" s="6"/>
      <c r="Q46" s="5"/>
      <c r="R46" s="13" t="s">
        <v>1</v>
      </c>
      <c r="S46" s="67">
        <f>_xlfn.XLOOKUP(R46,'Ausgaben 2025'!$AI$5:$AR$5,'Ausgaben 2025'!$AI$9:$AR$9)</f>
        <v>0</v>
      </c>
      <c r="T46" s="6"/>
      <c r="V46" s="5"/>
      <c r="W46" s="13" t="s">
        <v>1</v>
      </c>
      <c r="X46" s="67">
        <f>_xlfn.XLOOKUP(W46,'Ausgaben 2025'!$AI$5:$AR$5,'Ausgaben 2025'!$AI$10:$AR$10)</f>
        <v>0</v>
      </c>
      <c r="Y46" s="6"/>
      <c r="AA46" s="5"/>
      <c r="AB46" s="13" t="s">
        <v>1</v>
      </c>
      <c r="AC46" s="67">
        <f>_xlfn.XLOOKUP(AB46,'Ausgaben 2025'!$AI$5:$AR$5,'Ausgaben 2025'!$AI$11:$AR$11)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2025'!$AI$5:$AR$5,'Ausgaben 2025'!$AI$6:$AR$6)</f>
        <v>0</v>
      </c>
      <c r="E47" s="6"/>
      <c r="G47" s="5"/>
      <c r="H47" s="13" t="s">
        <v>3</v>
      </c>
      <c r="I47" s="67">
        <f>_xlfn.XLOOKUP(H47,'Ausgaben 2025'!$AI$5:$AR$5,'Ausgaben 2025'!$AI$7:$AR$7)</f>
        <v>0</v>
      </c>
      <c r="J47" s="6"/>
      <c r="L47" s="5"/>
      <c r="M47" s="13" t="s">
        <v>3</v>
      </c>
      <c r="N47" s="67">
        <f>_xlfn.XLOOKUP(M47,'Ausgaben 2025'!$AI$5:$AR$5,'Ausgaben 2025'!$AI$8:$AR$8)</f>
        <v>0</v>
      </c>
      <c r="O47" s="6"/>
      <c r="Q47" s="5"/>
      <c r="R47" s="13" t="s">
        <v>3</v>
      </c>
      <c r="S47" s="67">
        <f>_xlfn.XLOOKUP(R47,'Ausgaben 2025'!$AI$5:$AR$5,'Ausgaben 2025'!$AI$9:$AR$9)</f>
        <v>0</v>
      </c>
      <c r="T47" s="6"/>
      <c r="V47" s="5"/>
      <c r="W47" s="13" t="s">
        <v>3</v>
      </c>
      <c r="X47" s="67">
        <f>_xlfn.XLOOKUP(W47,'Ausgaben 2025'!$AI$5:$AR$5,'Ausgaben 2025'!$AI$10:$AR$10)</f>
        <v>0</v>
      </c>
      <c r="Y47" s="6"/>
      <c r="AA47" s="5"/>
      <c r="AB47" s="13" t="s">
        <v>3</v>
      </c>
      <c r="AC47" s="67">
        <f>_xlfn.XLOOKUP(AB47,'Ausgaben 2025'!$AI$5:$AR$5,'Ausgaben 2025'!$AI$11:$AR$11)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2025'!$AI$5:$AR$5,'Ausgaben 2025'!$AI$6:$AR$6)</f>
        <v>0</v>
      </c>
      <c r="E48" s="6"/>
      <c r="G48" s="5"/>
      <c r="H48" s="13" t="s">
        <v>2</v>
      </c>
      <c r="I48" s="67">
        <f>_xlfn.XLOOKUP(H48,'Ausgaben 2025'!$AI$5:$AR$5,'Ausgaben 2025'!$AI$7:$AR$7)</f>
        <v>0</v>
      </c>
      <c r="J48" s="6"/>
      <c r="L48" s="5"/>
      <c r="M48" s="13" t="s">
        <v>2</v>
      </c>
      <c r="N48" s="67">
        <f>_xlfn.XLOOKUP(M48,'Ausgaben 2025'!$AI$5:$AR$5,'Ausgaben 2025'!$AI$8:$AR$8)</f>
        <v>0</v>
      </c>
      <c r="O48" s="6"/>
      <c r="Q48" s="5"/>
      <c r="R48" s="13" t="s">
        <v>2</v>
      </c>
      <c r="S48" s="67">
        <f>_xlfn.XLOOKUP(R48,'Ausgaben 2025'!$AI$5:$AR$5,'Ausgaben 2025'!$AI$9:$AR$9)</f>
        <v>0</v>
      </c>
      <c r="T48" s="6"/>
      <c r="V48" s="5"/>
      <c r="W48" s="13" t="s">
        <v>2</v>
      </c>
      <c r="X48" s="67">
        <f>_xlfn.XLOOKUP(W48,'Ausgaben 2025'!$AI$5:$AR$5,'Ausgaben 2025'!$AI$10:$AR$10)</f>
        <v>0</v>
      </c>
      <c r="Y48" s="6"/>
      <c r="AA48" s="5"/>
      <c r="AB48" s="13" t="s">
        <v>2</v>
      </c>
      <c r="AC48" s="67">
        <f>_xlfn.XLOOKUP(AB48,'Ausgaben 2025'!$AI$5:$AR$5,'Ausgaben 2025'!$AI$11:$AR$11)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2025'!$AI$5:$AR$5,'Ausgaben 2025'!$AI$6:$AR$6)</f>
        <v>0</v>
      </c>
      <c r="E49" s="6"/>
      <c r="G49" s="5"/>
      <c r="H49" s="13" t="s">
        <v>42</v>
      </c>
      <c r="I49" s="67">
        <f>_xlfn.XLOOKUP(H49,'Ausgaben 2025'!$AI$5:$AR$5,'Ausgaben 2025'!$AI$7:$AR$7)</f>
        <v>0</v>
      </c>
      <c r="J49" s="6"/>
      <c r="L49" s="5"/>
      <c r="M49" s="13" t="s">
        <v>42</v>
      </c>
      <c r="N49" s="67">
        <f>_xlfn.XLOOKUP(M49,'Ausgaben 2025'!$AI$5:$AR$5,'Ausgaben 2025'!$AI$8:$AR$8)</f>
        <v>0</v>
      </c>
      <c r="O49" s="6"/>
      <c r="Q49" s="5"/>
      <c r="R49" s="13" t="s">
        <v>42</v>
      </c>
      <c r="S49" s="67">
        <f>_xlfn.XLOOKUP(R49,'Ausgaben 2025'!$AI$5:$AR$5,'Ausgaben 2025'!$AI$9:$AR$9)</f>
        <v>0</v>
      </c>
      <c r="T49" s="6"/>
      <c r="V49" s="5"/>
      <c r="W49" s="13" t="s">
        <v>42</v>
      </c>
      <c r="X49" s="67">
        <f>_xlfn.XLOOKUP(W49,'Ausgaben 2025'!$AI$5:$AR$5,'Ausgaben 2025'!$AI$10:$AR$10)</f>
        <v>0</v>
      </c>
      <c r="Y49" s="6"/>
      <c r="AA49" s="5"/>
      <c r="AB49" s="13" t="s">
        <v>42</v>
      </c>
      <c r="AC49" s="67">
        <f>_xlfn.XLOOKUP(AB49,'Ausgaben 2025'!$AI$5:$AR$5,'Ausgaben 2025'!$AI$11:$AR$11)</f>
        <v>0</v>
      </c>
      <c r="AD49" s="6"/>
    </row>
    <row r="50" spans="2:30" x14ac:dyDescent="0.35">
      <c r="B50" s="5"/>
      <c r="C50" s="13" t="s">
        <v>65</v>
      </c>
      <c r="D50" s="67">
        <f>_xlfn.XLOOKUP(C50,'Ausgaben 2025'!$AI$5:$AR$5,'Ausgaben 2025'!$AI$6:$AR$6)</f>
        <v>0</v>
      </c>
      <c r="E50" s="6"/>
      <c r="G50" s="5"/>
      <c r="H50" s="13" t="s">
        <v>65</v>
      </c>
      <c r="I50" s="67">
        <f>_xlfn.XLOOKUP(H50,'Ausgaben 2025'!$AI$5:$AR$5,'Ausgaben 2025'!$AI$7:$AR$7)</f>
        <v>0</v>
      </c>
      <c r="J50" s="6"/>
      <c r="L50" s="5"/>
      <c r="M50" s="13" t="s">
        <v>65</v>
      </c>
      <c r="N50" s="67">
        <f>_xlfn.XLOOKUP(M50,'Ausgaben 2025'!$AI$5:$AR$5,'Ausgaben 2025'!$AI$8:$AR$8)</f>
        <v>0</v>
      </c>
      <c r="O50" s="6"/>
      <c r="Q50" s="5"/>
      <c r="R50" s="13" t="s">
        <v>65</v>
      </c>
      <c r="S50" s="67">
        <f>_xlfn.XLOOKUP(R50,'Ausgaben 2025'!$AI$5:$AR$5,'Ausgaben 2025'!$AI$9:$AR$9)</f>
        <v>0</v>
      </c>
      <c r="T50" s="6"/>
      <c r="V50" s="5"/>
      <c r="W50" s="13" t="s">
        <v>65</v>
      </c>
      <c r="X50" s="67">
        <f>_xlfn.XLOOKUP(W50,'Ausgaben 2025'!$AI$5:$AR$5,'Ausgaben 2025'!$AI$10:$AR$10)</f>
        <v>0</v>
      </c>
      <c r="Y50" s="6"/>
      <c r="AA50" s="5"/>
      <c r="AB50" s="13" t="s">
        <v>65</v>
      </c>
      <c r="AC50" s="67">
        <f>_xlfn.XLOOKUP(AB50,'Ausgaben 2025'!$AI$5:$AR$5,'Ausgaben 2025'!$AI$11:$AR$11)</f>
        <v>0</v>
      </c>
      <c r="AD50" s="6"/>
    </row>
    <row r="51" spans="2:30" x14ac:dyDescent="0.35">
      <c r="B51" s="5"/>
      <c r="C51" s="13" t="s">
        <v>64</v>
      </c>
      <c r="D51" s="67">
        <f>_xlfn.XLOOKUP(C51,'Ausgaben 2025'!$AI$5:$AR$5,'Ausgaben 2025'!$AI$6:$AR$6)</f>
        <v>0</v>
      </c>
      <c r="E51" s="6"/>
      <c r="G51" s="5"/>
      <c r="H51" s="13" t="s">
        <v>64</v>
      </c>
      <c r="I51" s="67">
        <f>_xlfn.XLOOKUP(H51,'Ausgaben 2025'!$AI$5:$AR$5,'Ausgaben 2025'!$AI$7:$AR$7)</f>
        <v>0</v>
      </c>
      <c r="J51" s="6"/>
      <c r="L51" s="5"/>
      <c r="M51" s="13" t="s">
        <v>64</v>
      </c>
      <c r="N51" s="67">
        <f>_xlfn.XLOOKUP(M51,'Ausgaben 2025'!$AI$5:$AR$5,'Ausgaben 2025'!$AI$8:$AR$8)</f>
        <v>0</v>
      </c>
      <c r="O51" s="6"/>
      <c r="Q51" s="5"/>
      <c r="R51" s="13" t="s">
        <v>64</v>
      </c>
      <c r="S51" s="67">
        <f>_xlfn.XLOOKUP(R51,'Ausgaben 2025'!$AI$5:$AR$5,'Ausgaben 2025'!$AI$9:$AR$9)</f>
        <v>0</v>
      </c>
      <c r="T51" s="6"/>
      <c r="V51" s="5"/>
      <c r="W51" s="13" t="s">
        <v>64</v>
      </c>
      <c r="X51" s="67">
        <f>_xlfn.XLOOKUP(W51,'Ausgaben 2025'!$AI$5:$AR$5,'Ausgaben 2025'!$AI$10:$AR$10)</f>
        <v>0</v>
      </c>
      <c r="Y51" s="6"/>
      <c r="AA51" s="5"/>
      <c r="AB51" s="13" t="s">
        <v>64</v>
      </c>
      <c r="AC51" s="67">
        <f>_xlfn.XLOOKUP(AB51,'Ausgaben 2025'!$AI$5:$AR$5,'Ausgaben 2025'!$AI$11:$AR$11)</f>
        <v>0</v>
      </c>
      <c r="AD51" s="6"/>
    </row>
    <row r="52" spans="2:30" x14ac:dyDescent="0.35">
      <c r="B52" s="5"/>
      <c r="C52" s="13" t="s">
        <v>63</v>
      </c>
      <c r="D52" s="67">
        <f>_xlfn.XLOOKUP(C52,'Ausgaben 2025'!$AI$5:$AR$5,'Ausgaben 2025'!$AI$6:$AR$6)</f>
        <v>0</v>
      </c>
      <c r="E52" s="6"/>
      <c r="G52" s="5"/>
      <c r="H52" s="13" t="s">
        <v>63</v>
      </c>
      <c r="I52" s="67">
        <f>_xlfn.XLOOKUP(H52,'Ausgaben 2025'!$AI$5:$AR$5,'Ausgaben 2025'!$AI$7:$AR$7)</f>
        <v>0</v>
      </c>
      <c r="J52" s="6"/>
      <c r="L52" s="5"/>
      <c r="M52" s="13" t="s">
        <v>63</v>
      </c>
      <c r="N52" s="67">
        <f>_xlfn.XLOOKUP(M52,'Ausgaben 2025'!$AI$5:$AR$5,'Ausgaben 2025'!$AI$8:$AR$8)</f>
        <v>0</v>
      </c>
      <c r="O52" s="6"/>
      <c r="Q52" s="5"/>
      <c r="R52" s="13" t="s">
        <v>63</v>
      </c>
      <c r="S52" s="67">
        <f>_xlfn.XLOOKUP(R52,'Ausgaben 2025'!$AI$5:$AR$5,'Ausgaben 2025'!$AI$9:$AR$9)</f>
        <v>0</v>
      </c>
      <c r="T52" s="6"/>
      <c r="V52" s="5"/>
      <c r="W52" s="13" t="s">
        <v>63</v>
      </c>
      <c r="X52" s="67">
        <f>_xlfn.XLOOKUP(W52,'Ausgaben 2025'!$AI$5:$AR$5,'Ausgaben 2025'!$AI$10:$AR$10)</f>
        <v>0</v>
      </c>
      <c r="Y52" s="6"/>
      <c r="AA52" s="5"/>
      <c r="AB52" s="13" t="s">
        <v>63</v>
      </c>
      <c r="AC52" s="67">
        <f>_xlfn.XLOOKUP(AB52,'Ausgaben 2025'!$AI$5:$AR$5,'Ausgaben 2025'!$AI$11:$AR$11)</f>
        <v>0</v>
      </c>
      <c r="AD52" s="6"/>
    </row>
    <row r="53" spans="2:30" x14ac:dyDescent="0.35">
      <c r="B53" s="5"/>
      <c r="C53" s="13" t="s">
        <v>62</v>
      </c>
      <c r="D53" s="67">
        <f>_xlfn.XLOOKUP(C53,'Ausgaben 2025'!$AI$5:$AR$5,'Ausgaben 2025'!$AI$6:$AR$6)</f>
        <v>0</v>
      </c>
      <c r="E53" s="6"/>
      <c r="G53" s="5"/>
      <c r="H53" s="13" t="s">
        <v>62</v>
      </c>
      <c r="I53" s="67">
        <f>_xlfn.XLOOKUP(H53,'Ausgaben 2025'!$AI$5:$AR$5,'Ausgaben 2025'!$AI$7:$AR$7)</f>
        <v>0</v>
      </c>
      <c r="J53" s="6"/>
      <c r="L53" s="5"/>
      <c r="M53" s="13" t="s">
        <v>62</v>
      </c>
      <c r="N53" s="67">
        <f>_xlfn.XLOOKUP(M53,'Ausgaben 2025'!$AI$5:$AR$5,'Ausgaben 2025'!$AI$8:$AR$8)</f>
        <v>0</v>
      </c>
      <c r="O53" s="6"/>
      <c r="Q53" s="5"/>
      <c r="R53" s="13" t="s">
        <v>62</v>
      </c>
      <c r="S53" s="67">
        <f>_xlfn.XLOOKUP(R53,'Ausgaben 2025'!$AI$5:$AR$5,'Ausgaben 2025'!$AI$9:$AR$9)</f>
        <v>0</v>
      </c>
      <c r="T53" s="6"/>
      <c r="V53" s="5"/>
      <c r="W53" s="13" t="s">
        <v>62</v>
      </c>
      <c r="X53" s="67">
        <f>_xlfn.XLOOKUP(W53,'Ausgaben 2025'!$AI$5:$AR$5,'Ausgaben 2025'!$AI$10:$AR$10)</f>
        <v>0</v>
      </c>
      <c r="Y53" s="6"/>
      <c r="AA53" s="5"/>
      <c r="AB53" s="13" t="s">
        <v>62</v>
      </c>
      <c r="AC53" s="67">
        <f>_xlfn.XLOOKUP(AB53,'Ausgaben 2025'!$AI$5:$AR$5,'Ausgaben 2025'!$AI$11:$AR$11)</f>
        <v>0</v>
      </c>
      <c r="AD53" s="6"/>
    </row>
    <row r="54" spans="2:30" x14ac:dyDescent="0.35">
      <c r="B54" s="5"/>
      <c r="C54" s="13" t="s">
        <v>61</v>
      </c>
      <c r="D54" s="67">
        <f>_xlfn.XLOOKUP(C54,'Ausgaben 2025'!$AI$5:$AR$5,'Ausgaben 2025'!$AI$6:$AR$6)</f>
        <v>0</v>
      </c>
      <c r="E54" s="6"/>
      <c r="G54" s="5"/>
      <c r="H54" s="13" t="s">
        <v>61</v>
      </c>
      <c r="I54" s="67">
        <f>_xlfn.XLOOKUP(H54,'Ausgaben 2025'!$AI$5:$AR$5,'Ausgaben 2025'!$AI$7:$AR$7)</f>
        <v>0</v>
      </c>
      <c r="J54" s="6"/>
      <c r="L54" s="5"/>
      <c r="M54" s="13" t="s">
        <v>61</v>
      </c>
      <c r="N54" s="67">
        <f>_xlfn.XLOOKUP(M54,'Ausgaben 2025'!$AI$5:$AR$5,'Ausgaben 2025'!$AI$8:$AR$8)</f>
        <v>0</v>
      </c>
      <c r="O54" s="6"/>
      <c r="Q54" s="5"/>
      <c r="R54" s="13" t="s">
        <v>61</v>
      </c>
      <c r="S54" s="67">
        <f>_xlfn.XLOOKUP(R54,'Ausgaben 2025'!$AI$5:$AR$5,'Ausgaben 2025'!$AI$9:$AR$9)</f>
        <v>0</v>
      </c>
      <c r="T54" s="6"/>
      <c r="V54" s="5"/>
      <c r="W54" s="13" t="s">
        <v>61</v>
      </c>
      <c r="X54" s="67">
        <f>_xlfn.XLOOKUP(W54,'Ausgaben 2025'!$AI$5:$AR$5,'Ausgaben 2025'!$AI$10:$AR$10)</f>
        <v>0</v>
      </c>
      <c r="Y54" s="6"/>
      <c r="AA54" s="5"/>
      <c r="AB54" s="13" t="s">
        <v>61</v>
      </c>
      <c r="AC54" s="67">
        <f>_xlfn.XLOOKUP(AB54,'Ausgaben 2025'!$AI$5:$AR$5,'Ausgaben 2025'!$AI$11:$AR$11)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2025'!$AI$5:$AR$5,'Ausgaben 2025'!$AI$12:$AR$12)</f>
        <v>0</v>
      </c>
      <c r="E74" s="6"/>
      <c r="G74" s="5"/>
      <c r="H74" s="13" t="s">
        <v>0</v>
      </c>
      <c r="I74" s="67">
        <f>_xlfn.XLOOKUP(H74,'Ausgaben 2025'!$AI$5:$AR$5,'Ausgaben 2025'!$AI$13:$AR$13)</f>
        <v>0</v>
      </c>
      <c r="J74" s="6"/>
      <c r="L74" s="5"/>
      <c r="M74" s="13" t="s">
        <v>0</v>
      </c>
      <c r="N74" s="67">
        <f>_xlfn.XLOOKUP(M74,'Ausgaben 2025'!$AI$5:$AR$5,'Ausgaben 2025'!$AI$14:$AR$14)</f>
        <v>0</v>
      </c>
      <c r="O74" s="6"/>
      <c r="Q74" s="5"/>
      <c r="R74" s="13" t="s">
        <v>0</v>
      </c>
      <c r="S74" s="67">
        <f>_xlfn.XLOOKUP(R74,'Ausgaben 2025'!$AI$5:$AR$5,'Ausgaben 2025'!$AI$15:$AR$15)</f>
        <v>0</v>
      </c>
      <c r="T74" s="6"/>
      <c r="V74" s="5"/>
      <c r="W74" s="13" t="s">
        <v>0</v>
      </c>
      <c r="X74" s="67">
        <f>_xlfn.XLOOKUP(W74,'Ausgaben 2025'!$AI$5:$AR$5,'Ausgaben 2025'!$AI$16:$AR$16)</f>
        <v>0</v>
      </c>
      <c r="Y74" s="6"/>
      <c r="AA74" s="5"/>
      <c r="AB74" s="13" t="s">
        <v>0</v>
      </c>
      <c r="AC74" s="67">
        <f>_xlfn.XLOOKUP(AB74,'Ausgaben 2025'!$AI$5:$AR$5,'Ausgaben 2025'!$AI$17:$AR$17)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2025'!$AI$5:$AR$5,'Ausgaben 2025'!$AI$12:$AR$12)</f>
        <v>0</v>
      </c>
      <c r="E75" s="6"/>
      <c r="G75" s="5"/>
      <c r="H75" s="13" t="s">
        <v>1</v>
      </c>
      <c r="I75" s="67">
        <f>_xlfn.XLOOKUP(H75,'Ausgaben 2025'!$AI$5:$AR$5,'Ausgaben 2025'!$AI$13:$AR$13)</f>
        <v>0</v>
      </c>
      <c r="J75" s="6"/>
      <c r="L75" s="5"/>
      <c r="M75" s="13" t="s">
        <v>1</v>
      </c>
      <c r="N75" s="67">
        <f>_xlfn.XLOOKUP(M75,'Ausgaben 2025'!$AI$5:$AR$5,'Ausgaben 2025'!$AI$14:$AR$14)</f>
        <v>0</v>
      </c>
      <c r="O75" s="6"/>
      <c r="Q75" s="5"/>
      <c r="R75" s="13" t="s">
        <v>1</v>
      </c>
      <c r="S75" s="67">
        <f>_xlfn.XLOOKUP(R75,'Ausgaben 2025'!$AI$5:$AR$5,'Ausgaben 2025'!$AI$15:$AR$15)</f>
        <v>0</v>
      </c>
      <c r="T75" s="6"/>
      <c r="V75" s="5"/>
      <c r="W75" s="13" t="s">
        <v>1</v>
      </c>
      <c r="X75" s="67">
        <f>_xlfn.XLOOKUP(W75,'Ausgaben 2025'!$AI$5:$AR$5,'Ausgaben 2025'!$AI$16:$AR$16)</f>
        <v>0</v>
      </c>
      <c r="Y75" s="6"/>
      <c r="AA75" s="5"/>
      <c r="AB75" s="13" t="s">
        <v>1</v>
      </c>
      <c r="AC75" s="67">
        <f>_xlfn.XLOOKUP(AB75,'Ausgaben 2025'!$AI$5:$AR$5,'Ausgaben 2025'!$AI$17:$AR$17)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2025'!$AI$5:$AR$5,'Ausgaben 2025'!$AI$12:$AR$12)</f>
        <v>0</v>
      </c>
      <c r="E76" s="6"/>
      <c r="G76" s="5"/>
      <c r="H76" s="13" t="s">
        <v>3</v>
      </c>
      <c r="I76" s="67">
        <f>_xlfn.XLOOKUP(H76,'Ausgaben 2025'!$AI$5:$AR$5,'Ausgaben 2025'!$AI$13:$AR$13)</f>
        <v>0</v>
      </c>
      <c r="J76" s="6"/>
      <c r="L76" s="5"/>
      <c r="M76" s="13" t="s">
        <v>3</v>
      </c>
      <c r="N76" s="67">
        <f>_xlfn.XLOOKUP(M76,'Ausgaben 2025'!$AI$5:$AR$5,'Ausgaben 2025'!$AI$14:$AR$14)</f>
        <v>0</v>
      </c>
      <c r="O76" s="6"/>
      <c r="Q76" s="5"/>
      <c r="R76" s="13" t="s">
        <v>3</v>
      </c>
      <c r="S76" s="67">
        <f>_xlfn.XLOOKUP(R76,'Ausgaben 2025'!$AI$5:$AR$5,'Ausgaben 2025'!$AI$15:$AR$15)</f>
        <v>0</v>
      </c>
      <c r="T76" s="6"/>
      <c r="V76" s="5"/>
      <c r="W76" s="13" t="s">
        <v>3</v>
      </c>
      <c r="X76" s="67">
        <f>_xlfn.XLOOKUP(W76,'Ausgaben 2025'!$AI$5:$AR$5,'Ausgaben 2025'!$AI$16:$AR$16)</f>
        <v>0</v>
      </c>
      <c r="Y76" s="6"/>
      <c r="AA76" s="5"/>
      <c r="AB76" s="13" t="s">
        <v>3</v>
      </c>
      <c r="AC76" s="67">
        <f>_xlfn.XLOOKUP(AB76,'Ausgaben 2025'!$AI$5:$AR$5,'Ausgaben 2025'!$AI$17:$AR$17)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2025'!$AI$5:$AR$5,'Ausgaben 2025'!$AI$12:$AR$12)</f>
        <v>0</v>
      </c>
      <c r="E77" s="6"/>
      <c r="G77" s="5"/>
      <c r="H77" s="13" t="s">
        <v>2</v>
      </c>
      <c r="I77" s="67">
        <f>_xlfn.XLOOKUP(H77,'Ausgaben 2025'!$AI$5:$AR$5,'Ausgaben 2025'!$AI$13:$AR$13)</f>
        <v>0</v>
      </c>
      <c r="J77" s="6"/>
      <c r="L77" s="5"/>
      <c r="M77" s="13" t="s">
        <v>2</v>
      </c>
      <c r="N77" s="67">
        <f>_xlfn.XLOOKUP(M77,'Ausgaben 2025'!$AI$5:$AR$5,'Ausgaben 2025'!$AI$14:$AR$14)</f>
        <v>0</v>
      </c>
      <c r="O77" s="6"/>
      <c r="Q77" s="5"/>
      <c r="R77" s="13" t="s">
        <v>2</v>
      </c>
      <c r="S77" s="67">
        <f>_xlfn.XLOOKUP(R77,'Ausgaben 2025'!$AI$5:$AR$5,'Ausgaben 2025'!$AI$15:$AR$15)</f>
        <v>0</v>
      </c>
      <c r="T77" s="6"/>
      <c r="V77" s="5"/>
      <c r="W77" s="13" t="s">
        <v>2</v>
      </c>
      <c r="X77" s="67">
        <f>_xlfn.XLOOKUP(W77,'Ausgaben 2025'!$AI$5:$AR$5,'Ausgaben 2025'!$AI$16:$AR$16)</f>
        <v>0</v>
      </c>
      <c r="Y77" s="6"/>
      <c r="AA77" s="5"/>
      <c r="AB77" s="13" t="s">
        <v>2</v>
      </c>
      <c r="AC77" s="67">
        <f>_xlfn.XLOOKUP(AB77,'Ausgaben 2025'!$AI$5:$AR$5,'Ausgaben 2025'!$AI$17:$AR$17)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2025'!$AI$5:$AR$5,'Ausgaben 2025'!$AI$12:$AR$12)</f>
        <v>0</v>
      </c>
      <c r="E78" s="6"/>
      <c r="G78" s="5"/>
      <c r="H78" s="13" t="s">
        <v>42</v>
      </c>
      <c r="I78" s="67">
        <f>_xlfn.XLOOKUP(H78,'Ausgaben 2025'!$AI$5:$AR$5,'Ausgaben 2025'!$AI$13:$AR$13)</f>
        <v>0</v>
      </c>
      <c r="J78" s="6"/>
      <c r="L78" s="5"/>
      <c r="M78" s="13" t="s">
        <v>42</v>
      </c>
      <c r="N78" s="67">
        <f>_xlfn.XLOOKUP(M78,'Ausgaben 2025'!$AI$5:$AR$5,'Ausgaben 2025'!$AI$14:$AR$14)</f>
        <v>0</v>
      </c>
      <c r="O78" s="6"/>
      <c r="Q78" s="5"/>
      <c r="R78" s="13" t="s">
        <v>42</v>
      </c>
      <c r="S78" s="67">
        <f>_xlfn.XLOOKUP(R78,'Ausgaben 2025'!$AI$5:$AR$5,'Ausgaben 2025'!$AI$15:$AR$15)</f>
        <v>0</v>
      </c>
      <c r="T78" s="6"/>
      <c r="V78" s="5"/>
      <c r="W78" s="13" t="s">
        <v>42</v>
      </c>
      <c r="X78" s="67">
        <f>_xlfn.XLOOKUP(W78,'Ausgaben 2025'!$AI$5:$AR$5,'Ausgaben 2025'!$AI$16:$AR$16)</f>
        <v>0</v>
      </c>
      <c r="Y78" s="6"/>
      <c r="AA78" s="5"/>
      <c r="AB78" s="13" t="s">
        <v>42</v>
      </c>
      <c r="AC78" s="67">
        <f>_xlfn.XLOOKUP(AB78,'Ausgaben 2025'!$AI$5:$AR$5,'Ausgaben 2025'!$AI$17:$AR$17)</f>
        <v>0</v>
      </c>
      <c r="AD78" s="6"/>
    </row>
    <row r="79" spans="2:30" x14ac:dyDescent="0.35">
      <c r="B79" s="5"/>
      <c r="C79" s="13" t="s">
        <v>65</v>
      </c>
      <c r="D79" s="67">
        <f>_xlfn.XLOOKUP(C79,'Ausgaben 2025'!$AI$5:$AR$5,'Ausgaben 2025'!$AI$12:$AR$12)</f>
        <v>0</v>
      </c>
      <c r="E79" s="6"/>
      <c r="G79" s="5"/>
      <c r="H79" s="13" t="s">
        <v>65</v>
      </c>
      <c r="I79" s="67">
        <f>_xlfn.XLOOKUP(H79,'Ausgaben 2025'!$AI$5:$AR$5,'Ausgaben 2025'!$AI$13:$AR$13)</f>
        <v>0</v>
      </c>
      <c r="J79" s="6"/>
      <c r="L79" s="5"/>
      <c r="M79" s="13" t="s">
        <v>65</v>
      </c>
      <c r="N79" s="67">
        <f>_xlfn.XLOOKUP(M79,'Ausgaben 2025'!$AI$5:$AR$5,'Ausgaben 2025'!$AI$14:$AR$14)</f>
        <v>0</v>
      </c>
      <c r="O79" s="6"/>
      <c r="Q79" s="5"/>
      <c r="R79" s="13" t="s">
        <v>65</v>
      </c>
      <c r="S79" s="67">
        <f>_xlfn.XLOOKUP(R79,'Ausgaben 2025'!$AI$5:$AR$5,'Ausgaben 2025'!$AI$15:$AR$15)</f>
        <v>0</v>
      </c>
      <c r="T79" s="6"/>
      <c r="V79" s="5"/>
      <c r="W79" s="13" t="s">
        <v>65</v>
      </c>
      <c r="X79" s="67">
        <f>_xlfn.XLOOKUP(W79,'Ausgaben 2025'!$AI$5:$AR$5,'Ausgaben 2025'!$AI$16:$AR$16)</f>
        <v>0</v>
      </c>
      <c r="Y79" s="6"/>
      <c r="AA79" s="5"/>
      <c r="AB79" s="13" t="s">
        <v>65</v>
      </c>
      <c r="AC79" s="67">
        <f>_xlfn.XLOOKUP(AB79,'Ausgaben 2025'!$AI$5:$AR$5,'Ausgaben 2025'!$AI$17:$AR$17)</f>
        <v>0</v>
      </c>
      <c r="AD79" s="6"/>
    </row>
    <row r="80" spans="2:30" x14ac:dyDescent="0.35">
      <c r="B80" s="5"/>
      <c r="C80" s="13" t="s">
        <v>64</v>
      </c>
      <c r="D80" s="67">
        <f>_xlfn.XLOOKUP(C80,'Ausgaben 2025'!$AI$5:$AR$5,'Ausgaben 2025'!$AI$12:$AR$12)</f>
        <v>0</v>
      </c>
      <c r="E80" s="6"/>
      <c r="G80" s="5"/>
      <c r="H80" s="13" t="s">
        <v>64</v>
      </c>
      <c r="I80" s="67">
        <f>_xlfn.XLOOKUP(H80,'Ausgaben 2025'!$AI$5:$AR$5,'Ausgaben 2025'!$AI$13:$AR$13)</f>
        <v>0</v>
      </c>
      <c r="J80" s="6"/>
      <c r="L80" s="5"/>
      <c r="M80" s="13" t="s">
        <v>64</v>
      </c>
      <c r="N80" s="67">
        <f>_xlfn.XLOOKUP(M80,'Ausgaben 2025'!$AI$5:$AR$5,'Ausgaben 2025'!$AI$14:$AR$14)</f>
        <v>0</v>
      </c>
      <c r="O80" s="6"/>
      <c r="Q80" s="5"/>
      <c r="R80" s="13" t="s">
        <v>64</v>
      </c>
      <c r="S80" s="67">
        <f>_xlfn.XLOOKUP(R80,'Ausgaben 2025'!$AI$5:$AR$5,'Ausgaben 2025'!$AI$15:$AR$15)</f>
        <v>0</v>
      </c>
      <c r="T80" s="6"/>
      <c r="V80" s="5"/>
      <c r="W80" s="13" t="s">
        <v>64</v>
      </c>
      <c r="X80" s="67">
        <f>_xlfn.XLOOKUP(W80,'Ausgaben 2025'!$AI$5:$AR$5,'Ausgaben 2025'!$AI$16:$AR$16)</f>
        <v>0</v>
      </c>
      <c r="Y80" s="6"/>
      <c r="AA80" s="5"/>
      <c r="AB80" s="13" t="s">
        <v>64</v>
      </c>
      <c r="AC80" s="67">
        <f>_xlfn.XLOOKUP(AB80,'Ausgaben 2025'!$AI$5:$AR$5,'Ausgaben 2025'!$AI$17:$AR$17)</f>
        <v>0</v>
      </c>
      <c r="AD80" s="6"/>
    </row>
    <row r="81" spans="2:30" x14ac:dyDescent="0.35">
      <c r="B81" s="5"/>
      <c r="C81" s="13" t="s">
        <v>63</v>
      </c>
      <c r="D81" s="67">
        <f>_xlfn.XLOOKUP(C81,'Ausgaben 2025'!$AI$5:$AR$5,'Ausgaben 2025'!$AI$12:$AR$12)</f>
        <v>0</v>
      </c>
      <c r="E81" s="6"/>
      <c r="G81" s="5"/>
      <c r="H81" s="13" t="s">
        <v>63</v>
      </c>
      <c r="I81" s="67">
        <f>_xlfn.XLOOKUP(H81,'Ausgaben 2025'!$AI$5:$AR$5,'Ausgaben 2025'!$AI$13:$AR$13)</f>
        <v>0</v>
      </c>
      <c r="J81" s="6"/>
      <c r="L81" s="5"/>
      <c r="M81" s="13" t="s">
        <v>63</v>
      </c>
      <c r="N81" s="67">
        <f>_xlfn.XLOOKUP(M81,'Ausgaben 2025'!$AI$5:$AR$5,'Ausgaben 2025'!$AI$14:$AR$14)</f>
        <v>0</v>
      </c>
      <c r="O81" s="6"/>
      <c r="Q81" s="5"/>
      <c r="R81" s="13" t="s">
        <v>63</v>
      </c>
      <c r="S81" s="67">
        <f>_xlfn.XLOOKUP(R81,'Ausgaben 2025'!$AI$5:$AR$5,'Ausgaben 2025'!$AI$15:$AR$15)</f>
        <v>0</v>
      </c>
      <c r="T81" s="6"/>
      <c r="V81" s="5"/>
      <c r="W81" s="13" t="s">
        <v>63</v>
      </c>
      <c r="X81" s="67">
        <f>_xlfn.XLOOKUP(W81,'Ausgaben 2025'!$AI$5:$AR$5,'Ausgaben 2025'!$AI$16:$AR$16)</f>
        <v>0</v>
      </c>
      <c r="Y81" s="6"/>
      <c r="AA81" s="5"/>
      <c r="AB81" s="13" t="s">
        <v>63</v>
      </c>
      <c r="AC81" s="67">
        <f>_xlfn.XLOOKUP(AB81,'Ausgaben 2025'!$AI$5:$AR$5,'Ausgaben 2025'!$AI$17:$AR$17)</f>
        <v>0</v>
      </c>
      <c r="AD81" s="6"/>
    </row>
    <row r="82" spans="2:30" x14ac:dyDescent="0.35">
      <c r="B82" s="5"/>
      <c r="C82" s="13" t="s">
        <v>62</v>
      </c>
      <c r="D82" s="67">
        <f>_xlfn.XLOOKUP(C82,'Ausgaben 2025'!$AI$5:$AR$5,'Ausgaben 2025'!$AI$12:$AR$12)</f>
        <v>0</v>
      </c>
      <c r="E82" s="6"/>
      <c r="G82" s="5"/>
      <c r="H82" s="13" t="s">
        <v>62</v>
      </c>
      <c r="I82" s="67">
        <f>_xlfn.XLOOKUP(H82,'Ausgaben 2025'!$AI$5:$AR$5,'Ausgaben 2025'!$AI$13:$AR$13)</f>
        <v>0</v>
      </c>
      <c r="J82" s="6"/>
      <c r="L82" s="5"/>
      <c r="M82" s="13" t="s">
        <v>62</v>
      </c>
      <c r="N82" s="67">
        <f>_xlfn.XLOOKUP(M82,'Ausgaben 2025'!$AI$5:$AR$5,'Ausgaben 2025'!$AI$14:$AR$14)</f>
        <v>0</v>
      </c>
      <c r="O82" s="6"/>
      <c r="Q82" s="5"/>
      <c r="R82" s="13" t="s">
        <v>62</v>
      </c>
      <c r="S82" s="67">
        <f>_xlfn.XLOOKUP(R82,'Ausgaben 2025'!$AI$5:$AR$5,'Ausgaben 2025'!$AI$15:$AR$15)</f>
        <v>0</v>
      </c>
      <c r="T82" s="6"/>
      <c r="V82" s="5"/>
      <c r="W82" s="13" t="s">
        <v>62</v>
      </c>
      <c r="X82" s="67">
        <f>_xlfn.XLOOKUP(W82,'Ausgaben 2025'!$AI$5:$AR$5,'Ausgaben 2025'!$AI$16:$AR$16)</f>
        <v>0</v>
      </c>
      <c r="Y82" s="6"/>
      <c r="AA82" s="5"/>
      <c r="AB82" s="13" t="s">
        <v>62</v>
      </c>
      <c r="AC82" s="67">
        <f>_xlfn.XLOOKUP(AB82,'Ausgaben 2025'!$AI$5:$AR$5,'Ausgaben 2025'!$AI$17:$AR$17)</f>
        <v>0</v>
      </c>
      <c r="AD82" s="6"/>
    </row>
    <row r="83" spans="2:30" x14ac:dyDescent="0.35">
      <c r="B83" s="5"/>
      <c r="C83" s="13" t="s">
        <v>61</v>
      </c>
      <c r="D83" s="67">
        <f>_xlfn.XLOOKUP(C83,'Ausgaben 2025'!$AI$5:$AR$5,'Ausgaben 2025'!$AI$12:$AR$12)</f>
        <v>0</v>
      </c>
      <c r="E83" s="6"/>
      <c r="G83" s="5"/>
      <c r="H83" s="13" t="s">
        <v>61</v>
      </c>
      <c r="I83" s="67">
        <f>_xlfn.XLOOKUP(H83,'Ausgaben 2025'!$AI$5:$AR$5,'Ausgaben 2025'!$AI$13:$AR$13)</f>
        <v>0</v>
      </c>
      <c r="J83" s="6"/>
      <c r="L83" s="5"/>
      <c r="M83" s="13" t="s">
        <v>61</v>
      </c>
      <c r="N83" s="67">
        <f>_xlfn.XLOOKUP(M83,'Ausgaben 2025'!$AI$5:$AR$5,'Ausgaben 2025'!$AI$14:$AR$14)</f>
        <v>0</v>
      </c>
      <c r="O83" s="6"/>
      <c r="Q83" s="5"/>
      <c r="R83" s="13" t="s">
        <v>61</v>
      </c>
      <c r="S83" s="67">
        <f>_xlfn.XLOOKUP(R83,'Ausgaben 2025'!$AI$5:$AR$5,'Ausgaben 2025'!$AI$15:$AR$15)</f>
        <v>0</v>
      </c>
      <c r="T83" s="6"/>
      <c r="V83" s="5"/>
      <c r="W83" s="13" t="s">
        <v>61</v>
      </c>
      <c r="X83" s="67"/>
      <c r="Y83" s="6"/>
      <c r="AA83" s="5"/>
      <c r="AB83" s="13" t="s">
        <v>61</v>
      </c>
      <c r="AC83" s="67">
        <f>_xlfn.XLOOKUP(AB83,'Ausgaben 2025'!$AI$5:$AR$5,'Ausgaben 2025'!$AI$17:$AR$17)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0740A-3B24-4642-BCF2-153402A99D84}">
  <sheetPr codeName="Sheet11"/>
  <dimension ref="B1:AS406"/>
  <sheetViews>
    <sheetView topLeftCell="R1" zoomScale="57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3.90625" bestFit="1" customWidth="1"/>
    <col min="4" max="4" width="7.7265625" bestFit="1" customWidth="1"/>
    <col min="5" max="5" width="12.7265625" bestFit="1" customWidth="1"/>
    <col min="6" max="6" width="8.54296875" bestFit="1" customWidth="1"/>
    <col min="7" max="7" width="9.54296875" bestFit="1" customWidth="1"/>
    <col min="8" max="8" width="6.81640625" bestFit="1" customWidth="1"/>
    <col min="9" max="9" width="7.54296875" bestFit="1" customWidth="1"/>
    <col min="10" max="14" width="10.6328125" bestFit="1" customWidth="1"/>
    <col min="15" max="17" width="2.81640625" customWidth="1"/>
    <col min="18" max="18" width="22.1796875" bestFit="1" customWidth="1"/>
    <col min="19" max="19" width="7.7265625" bestFit="1" customWidth="1"/>
    <col min="20" max="20" width="12.7265625" bestFit="1" customWidth="1"/>
    <col min="21" max="21" width="8.54296875" bestFit="1" customWidth="1"/>
    <col min="22" max="22" width="9.54296875" bestFit="1" customWidth="1"/>
    <col min="23" max="23" width="6.81640625" bestFit="1" customWidth="1"/>
    <col min="24" max="24" width="7.54296875" bestFit="1" customWidth="1"/>
    <col min="25" max="29" width="10.6328125" bestFit="1" customWidth="1"/>
    <col min="30" max="32" width="2.81640625" customWidth="1"/>
    <col min="33" max="33" width="15.6328125" bestFit="1" customWidth="1"/>
    <col min="34" max="34" width="7.7265625" bestFit="1" customWidth="1"/>
    <col min="35" max="35" width="12.7265625" bestFit="1" customWidth="1"/>
    <col min="36" max="36" width="8.54296875" bestFit="1" customWidth="1"/>
    <col min="37" max="37" width="9.54296875" bestFit="1" customWidth="1"/>
    <col min="38" max="38" width="6.81640625" bestFit="1" customWidth="1"/>
    <col min="39" max="39" width="7.54296875" bestFit="1" customWidth="1"/>
    <col min="40" max="44" width="10.63281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30.12.2024 - 05.01.2025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45658</v>
      </c>
      <c r="D7" s="45">
        <f>SUMIFS(Einzelbeträge!$D:$D,Einzelbeträge!$C:$C,'Ausgaben 2025'!$C7)</f>
        <v>0</v>
      </c>
      <c r="E7" s="32">
        <f>SUMIFS(Einzelbeträge!$D:$D,Einzelbeträge!$C:$C,'Ausgaben 2025'!$C7,Einzelbeträge!$E:$E,'Ausgaben 2025'!E$6)</f>
        <v>0</v>
      </c>
      <c r="F7" s="32">
        <f>SUMIFS(Einzelbeträge!$D:$D,Einzelbeträge!$C:$C,'Ausgaben 2025'!$C7,Einzelbeträge!$E:$E,'Ausgaben 2025'!F$6)</f>
        <v>0</v>
      </c>
      <c r="G7" s="32">
        <f>SUMIFS(Einzelbeträge!$D:$D,Einzelbeträge!$C:$C,'Ausgaben 2025'!$C7,Einzelbeträge!$E:$E,'Ausgaben 2025'!G$6)</f>
        <v>0</v>
      </c>
      <c r="H7" s="32">
        <f>SUMIFS(Einzelbeträge!$D:$D,Einzelbeträge!$C:$C,'Ausgaben 2025'!$C7,Einzelbeträge!$E:$E,'Ausgaben 2025'!H$6)</f>
        <v>0</v>
      </c>
      <c r="I7" s="32">
        <f>SUMIFS(Einzelbeträge!$D:$D,Einzelbeträge!$C:$C,'Ausgaben 2025'!$C7,Einzelbeträge!$E:$E,'Ausgaben 2025'!I$6)</f>
        <v>0</v>
      </c>
      <c r="J7" s="32">
        <f>SUMIFS(Einzelbeträge!$D:$D,Einzelbeträge!$C:$C,'Ausgaben 2025'!$C7,Einzelbeträge!$E:$E,'Ausgaben 2025'!J$6)</f>
        <v>0</v>
      </c>
      <c r="K7" s="32">
        <f>SUMIFS(Einzelbeträge!$D:$D,Einzelbeträge!$C:$C,'Ausgaben 2025'!$C7,Einzelbeträge!$E:$E,'Ausgaben 2025'!K$6)</f>
        <v>0</v>
      </c>
      <c r="L7" s="32">
        <f>SUMIFS(Einzelbeträge!$D:$D,Einzelbeträge!$C:$C,'Ausgaben 2025'!$C7,Einzelbeträge!$E:$E,'Ausgaben 2025'!L$6)</f>
        <v>0</v>
      </c>
      <c r="M7" s="32">
        <f>SUMIFS(Einzelbeträge!$D:$D,Einzelbeträge!$C:$C,'Ausgaben 2025'!$C7,Einzelbeträge!$E:$E,'Ausgaben 2025'!M$6)</f>
        <v>0</v>
      </c>
      <c r="N7" s="33">
        <f>SUMIFS(Einzelbeträge!$D:$D,Einzelbeträge!$C:$C,'Ausgaben 2025'!$C7,Einzelbeträge!$E:$E,'Ausgaben 2025'!N$6)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06.01.2025 - 12.01.2025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45659</v>
      </c>
      <c r="D8" s="46">
        <f>SUMIFS(Einzelbeträge!$D:$D,Einzelbeträge!$C:$C,'Ausgaben 2025'!$C8)</f>
        <v>0</v>
      </c>
      <c r="E8" s="21">
        <f>SUMIFS(Einzelbeträge!$D:$D,Einzelbeträge!$C:$C,'Ausgaben 2025'!$C8,Einzelbeträge!$E:$E,'Ausgaben 2025'!E$6)</f>
        <v>0</v>
      </c>
      <c r="F8" s="21">
        <f>SUMIFS(Einzelbeträge!$D:$D,Einzelbeträge!$C:$C,'Ausgaben 2025'!$C8,Einzelbeträge!$E:$E,'Ausgaben 2025'!F$6)</f>
        <v>0</v>
      </c>
      <c r="G8" s="21">
        <f>SUMIFS(Einzelbeträge!$D:$D,Einzelbeträge!$C:$C,'Ausgaben 2025'!$C8,Einzelbeträge!$E:$E,'Ausgaben 2025'!G$6)</f>
        <v>0</v>
      </c>
      <c r="H8" s="21">
        <f>SUMIFS(Einzelbeträge!$D:$D,Einzelbeträge!$C:$C,'Ausgaben 2025'!$C8,Einzelbeträge!$E:$E,'Ausgaben 2025'!H$6)</f>
        <v>0</v>
      </c>
      <c r="I8" s="21">
        <f>SUMIFS(Einzelbeträge!$D:$D,Einzelbeträge!$C:$C,'Ausgaben 2025'!$C8,Einzelbeträge!$E:$E,'Ausgaben 2025'!I$6)</f>
        <v>0</v>
      </c>
      <c r="J8" s="21">
        <f>SUMIFS(Einzelbeträge!$D:$D,Einzelbeträge!$C:$C,'Ausgaben 2025'!$C8,Einzelbeträge!$E:$E,'Ausgaben 2025'!J$6)</f>
        <v>0</v>
      </c>
      <c r="K8" s="21">
        <f>SUMIFS(Einzelbeträge!$D:$D,Einzelbeträge!$C:$C,'Ausgaben 2025'!$C8,Einzelbeträge!$E:$E,'Ausgaben 2025'!K$6)</f>
        <v>0</v>
      </c>
      <c r="L8" s="21">
        <f>SUMIFS(Einzelbeträge!$D:$D,Einzelbeträge!$C:$C,'Ausgaben 2025'!$C8,Einzelbeträge!$E:$E,'Ausgaben 2025'!L$6)</f>
        <v>0</v>
      </c>
      <c r="M8" s="21">
        <f>SUMIFS(Einzelbeträge!$D:$D,Einzelbeträge!$C:$C,'Ausgaben 2025'!$C8,Einzelbeträge!$E:$E,'Ausgaben 2025'!M$6)</f>
        <v>0</v>
      </c>
      <c r="N8" s="35">
        <f>SUMIFS(Einzelbeträge!$D:$D,Einzelbeträge!$C:$C,'Ausgaben 2025'!$C8,Einzelbeträge!$E:$E,'Ausgaben 2025'!N$6)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13.01.2025 - 19.01.2025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45660</v>
      </c>
      <c r="D9" s="46">
        <f>SUMIFS(Einzelbeträge!$D:$D,Einzelbeträge!$C:$C,'Ausgaben 2025'!$C9)</f>
        <v>0</v>
      </c>
      <c r="E9" s="21">
        <f>SUMIFS(Einzelbeträge!$D:$D,Einzelbeträge!$C:$C,'Ausgaben 2025'!$C9,Einzelbeträge!$E:$E,'Ausgaben 2025'!E$6)</f>
        <v>0</v>
      </c>
      <c r="F9" s="21">
        <f>SUMIFS(Einzelbeträge!$D:$D,Einzelbeträge!$C:$C,'Ausgaben 2025'!$C9,Einzelbeträge!$E:$E,'Ausgaben 2025'!F$6)</f>
        <v>0</v>
      </c>
      <c r="G9" s="21">
        <f>SUMIFS(Einzelbeträge!$D:$D,Einzelbeträge!$C:$C,'Ausgaben 2025'!$C9,Einzelbeträge!$E:$E,'Ausgaben 2025'!G$6)</f>
        <v>0</v>
      </c>
      <c r="H9" s="21">
        <f>SUMIFS(Einzelbeträge!$D:$D,Einzelbeträge!$C:$C,'Ausgaben 2025'!$C9,Einzelbeträge!$E:$E,'Ausgaben 2025'!H$6)</f>
        <v>0</v>
      </c>
      <c r="I9" s="21">
        <f>SUMIFS(Einzelbeträge!$D:$D,Einzelbeträge!$C:$C,'Ausgaben 2025'!$C9,Einzelbeträge!$E:$E,'Ausgaben 2025'!I$6)</f>
        <v>0</v>
      </c>
      <c r="J9" s="21">
        <f>SUMIFS(Einzelbeträge!$D:$D,Einzelbeträge!$C:$C,'Ausgaben 2025'!$C9,Einzelbeträge!$E:$E,'Ausgaben 2025'!J$6)</f>
        <v>0</v>
      </c>
      <c r="K9" s="21">
        <f>SUMIFS(Einzelbeträge!$D:$D,Einzelbeträge!$C:$C,'Ausgaben 2025'!$C9,Einzelbeträge!$E:$E,'Ausgaben 2025'!K$6)</f>
        <v>0</v>
      </c>
      <c r="L9" s="21">
        <f>SUMIFS(Einzelbeträge!$D:$D,Einzelbeträge!$C:$C,'Ausgaben 2025'!$C9,Einzelbeträge!$E:$E,'Ausgaben 2025'!L$6)</f>
        <v>0</v>
      </c>
      <c r="M9" s="21">
        <f>SUMIFS(Einzelbeträge!$D:$D,Einzelbeträge!$C:$C,'Ausgaben 2025'!$C9,Einzelbeträge!$E:$E,'Ausgaben 2025'!M$6)</f>
        <v>0</v>
      </c>
      <c r="N9" s="35">
        <f>SUMIFS(Einzelbeträge!$D:$D,Einzelbeträge!$C:$C,'Ausgaben 2025'!$C9,Einzelbeträge!$E:$E,'Ausgaben 2025'!N$6)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20.01.2025 - 26.01.2025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45661</v>
      </c>
      <c r="D10" s="46">
        <f>SUMIFS(Einzelbeträge!$D:$D,Einzelbeträge!$C:$C,'Ausgaben 2025'!$C10)</f>
        <v>0</v>
      </c>
      <c r="E10" s="21">
        <f>SUMIFS(Einzelbeträge!$D:$D,Einzelbeträge!$C:$C,'Ausgaben 2025'!$C10,Einzelbeträge!$E:$E,'Ausgaben 2025'!E$6)</f>
        <v>0</v>
      </c>
      <c r="F10" s="21">
        <f>SUMIFS(Einzelbeträge!$D:$D,Einzelbeträge!$C:$C,'Ausgaben 2025'!$C10,Einzelbeträge!$E:$E,'Ausgaben 2025'!F$6)</f>
        <v>0</v>
      </c>
      <c r="G10" s="21">
        <f>SUMIFS(Einzelbeträge!$D:$D,Einzelbeträge!$C:$C,'Ausgaben 2025'!$C10,Einzelbeträge!$E:$E,'Ausgaben 2025'!G$6)</f>
        <v>0</v>
      </c>
      <c r="H10" s="21">
        <f>SUMIFS(Einzelbeträge!$D:$D,Einzelbeträge!$C:$C,'Ausgaben 2025'!$C10,Einzelbeträge!$E:$E,'Ausgaben 2025'!H$6)</f>
        <v>0</v>
      </c>
      <c r="I10" s="21">
        <f>SUMIFS(Einzelbeträge!$D:$D,Einzelbeträge!$C:$C,'Ausgaben 2025'!$C10,Einzelbeträge!$E:$E,'Ausgaben 2025'!I$6)</f>
        <v>0</v>
      </c>
      <c r="J10" s="21">
        <f>SUMIFS(Einzelbeträge!$D:$D,Einzelbeträge!$C:$C,'Ausgaben 2025'!$C10,Einzelbeträge!$E:$E,'Ausgaben 2025'!J$6)</f>
        <v>0</v>
      </c>
      <c r="K10" s="21">
        <f>SUMIFS(Einzelbeträge!$D:$D,Einzelbeträge!$C:$C,'Ausgaben 2025'!$C10,Einzelbeträge!$E:$E,'Ausgaben 2025'!K$6)</f>
        <v>0</v>
      </c>
      <c r="L10" s="21">
        <f>SUMIFS(Einzelbeträge!$D:$D,Einzelbeträge!$C:$C,'Ausgaben 2025'!$C10,Einzelbeträge!$E:$E,'Ausgaben 2025'!L$6)</f>
        <v>0</v>
      </c>
      <c r="M10" s="21">
        <f>SUMIFS(Einzelbeträge!$D:$D,Einzelbeträge!$C:$C,'Ausgaben 2025'!$C10,Einzelbeträge!$E:$E,'Ausgaben 2025'!M$6)</f>
        <v>0</v>
      </c>
      <c r="N10" s="35">
        <f>SUMIFS(Einzelbeträge!$D:$D,Einzelbeträge!$C:$C,'Ausgaben 2025'!$C10,Einzelbeträge!$E:$E,'Ausgaben 2025'!N$6)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27.01.2025 - 02.02.2025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45662</v>
      </c>
      <c r="D11" s="46">
        <f>SUMIFS(Einzelbeträge!$D:$D,Einzelbeträge!$C:$C,'Ausgaben 2025'!$C11)</f>
        <v>0</v>
      </c>
      <c r="E11" s="21">
        <f>SUMIFS(Einzelbeträge!$D:$D,Einzelbeträge!$C:$C,'Ausgaben 2025'!$C11,Einzelbeträge!$E:$E,'Ausgaben 2025'!E$6)</f>
        <v>0</v>
      </c>
      <c r="F11" s="21">
        <f>SUMIFS(Einzelbeträge!$D:$D,Einzelbeträge!$C:$C,'Ausgaben 2025'!$C11,Einzelbeträge!$E:$E,'Ausgaben 2025'!F$6)</f>
        <v>0</v>
      </c>
      <c r="G11" s="21">
        <f>SUMIFS(Einzelbeträge!$D:$D,Einzelbeträge!$C:$C,'Ausgaben 2025'!$C11,Einzelbeträge!$E:$E,'Ausgaben 2025'!G$6)</f>
        <v>0</v>
      </c>
      <c r="H11" s="21">
        <f>SUMIFS(Einzelbeträge!$D:$D,Einzelbeträge!$C:$C,'Ausgaben 2025'!$C11,Einzelbeträge!$E:$E,'Ausgaben 2025'!H$6)</f>
        <v>0</v>
      </c>
      <c r="I11" s="21">
        <f>SUMIFS(Einzelbeträge!$D:$D,Einzelbeträge!$C:$C,'Ausgaben 2025'!$C11,Einzelbeträge!$E:$E,'Ausgaben 2025'!I$6)</f>
        <v>0</v>
      </c>
      <c r="J11" s="21">
        <f>SUMIFS(Einzelbeträge!$D:$D,Einzelbeträge!$C:$C,'Ausgaben 2025'!$C11,Einzelbeträge!$E:$E,'Ausgaben 2025'!J$6)</f>
        <v>0</v>
      </c>
      <c r="K11" s="21">
        <f>SUMIFS(Einzelbeträge!$D:$D,Einzelbeträge!$C:$C,'Ausgaben 2025'!$C11,Einzelbeträge!$E:$E,'Ausgaben 2025'!K$6)</f>
        <v>0</v>
      </c>
      <c r="L11" s="21">
        <f>SUMIFS(Einzelbeträge!$D:$D,Einzelbeträge!$C:$C,'Ausgaben 2025'!$C11,Einzelbeträge!$E:$E,'Ausgaben 2025'!L$6)</f>
        <v>0</v>
      </c>
      <c r="M11" s="21">
        <f>SUMIFS(Einzelbeträge!$D:$D,Einzelbeträge!$C:$C,'Ausgaben 2025'!$C11,Einzelbeträge!$E:$E,'Ausgaben 2025'!M$6)</f>
        <v>0</v>
      </c>
      <c r="N11" s="35">
        <f>SUMIFS(Einzelbeträge!$D:$D,Einzelbeträge!$C:$C,'Ausgaben 2025'!$C11,Einzelbeträge!$E:$E,'Ausgaben 2025'!N$6)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03.02.2025 - 09.02.2025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45663</v>
      </c>
      <c r="D12" s="46">
        <f>SUMIFS(Einzelbeträge!$D:$D,Einzelbeträge!$C:$C,'Ausgaben 2025'!$C12)</f>
        <v>0</v>
      </c>
      <c r="E12" s="21">
        <f>SUMIFS(Einzelbeträge!$D:$D,Einzelbeträge!$C:$C,'Ausgaben 2025'!$C12,Einzelbeträge!$E:$E,'Ausgaben 2025'!E$6)</f>
        <v>0</v>
      </c>
      <c r="F12" s="21">
        <f>SUMIFS(Einzelbeträge!$D:$D,Einzelbeträge!$C:$C,'Ausgaben 2025'!$C12,Einzelbeträge!$E:$E,'Ausgaben 2025'!F$6)</f>
        <v>0</v>
      </c>
      <c r="G12" s="21">
        <f>SUMIFS(Einzelbeträge!$D:$D,Einzelbeträge!$C:$C,'Ausgaben 2025'!$C12,Einzelbeträge!$E:$E,'Ausgaben 2025'!G$6)</f>
        <v>0</v>
      </c>
      <c r="H12" s="21">
        <f>SUMIFS(Einzelbeträge!$D:$D,Einzelbeträge!$C:$C,'Ausgaben 2025'!$C12,Einzelbeträge!$E:$E,'Ausgaben 2025'!H$6)</f>
        <v>0</v>
      </c>
      <c r="I12" s="21">
        <f>SUMIFS(Einzelbeträge!$D:$D,Einzelbeträge!$C:$C,'Ausgaben 2025'!$C12,Einzelbeträge!$E:$E,'Ausgaben 2025'!I$6)</f>
        <v>0</v>
      </c>
      <c r="J12" s="21">
        <f>SUMIFS(Einzelbeträge!$D:$D,Einzelbeträge!$C:$C,'Ausgaben 2025'!$C12,Einzelbeträge!$E:$E,'Ausgaben 2025'!J$6)</f>
        <v>0</v>
      </c>
      <c r="K12" s="21">
        <f>SUMIFS(Einzelbeträge!$D:$D,Einzelbeträge!$C:$C,'Ausgaben 2025'!$C12,Einzelbeträge!$E:$E,'Ausgaben 2025'!K$6)</f>
        <v>0</v>
      </c>
      <c r="L12" s="21">
        <f>SUMIFS(Einzelbeträge!$D:$D,Einzelbeträge!$C:$C,'Ausgaben 2025'!$C12,Einzelbeträge!$E:$E,'Ausgaben 2025'!L$6)</f>
        <v>0</v>
      </c>
      <c r="M12" s="21">
        <f>SUMIFS(Einzelbeträge!$D:$D,Einzelbeträge!$C:$C,'Ausgaben 2025'!$C12,Einzelbeträge!$E:$E,'Ausgaben 2025'!M$6)</f>
        <v>0</v>
      </c>
      <c r="N12" s="35">
        <f>SUMIFS(Einzelbeträge!$D:$D,Einzelbeträge!$C:$C,'Ausgaben 2025'!$C12,Einzelbeträge!$E:$E,'Ausgaben 2025'!N$6)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10.02.2025 - 16.02.2025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45664</v>
      </c>
      <c r="D13" s="46">
        <f>SUMIFS(Einzelbeträge!$D:$D,Einzelbeträge!$C:$C,'Ausgaben 2025'!$C13)</f>
        <v>0</v>
      </c>
      <c r="E13" s="21">
        <f>SUMIFS(Einzelbeträge!$D:$D,Einzelbeträge!$C:$C,'Ausgaben 2025'!$C13,Einzelbeträge!$E:$E,'Ausgaben 2025'!E$6)</f>
        <v>0</v>
      </c>
      <c r="F13" s="21">
        <f>SUMIFS(Einzelbeträge!$D:$D,Einzelbeträge!$C:$C,'Ausgaben 2025'!$C13,Einzelbeträge!$E:$E,'Ausgaben 2025'!F$6)</f>
        <v>0</v>
      </c>
      <c r="G13" s="21">
        <f>SUMIFS(Einzelbeträge!$D:$D,Einzelbeträge!$C:$C,'Ausgaben 2025'!$C13,Einzelbeträge!$E:$E,'Ausgaben 2025'!G$6)</f>
        <v>0</v>
      </c>
      <c r="H13" s="21">
        <f>SUMIFS(Einzelbeträge!$D:$D,Einzelbeträge!$C:$C,'Ausgaben 2025'!$C13,Einzelbeträge!$E:$E,'Ausgaben 2025'!H$6)</f>
        <v>0</v>
      </c>
      <c r="I13" s="21">
        <f>SUMIFS(Einzelbeträge!$D:$D,Einzelbeträge!$C:$C,'Ausgaben 2025'!$C13,Einzelbeträge!$E:$E,'Ausgaben 2025'!I$6)</f>
        <v>0</v>
      </c>
      <c r="J13" s="21">
        <f>SUMIFS(Einzelbeträge!$D:$D,Einzelbeträge!$C:$C,'Ausgaben 2025'!$C13,Einzelbeträge!$E:$E,'Ausgaben 2025'!J$6)</f>
        <v>0</v>
      </c>
      <c r="K13" s="21">
        <f>SUMIFS(Einzelbeträge!$D:$D,Einzelbeträge!$C:$C,'Ausgaben 2025'!$C13,Einzelbeträge!$E:$E,'Ausgaben 2025'!K$6)</f>
        <v>0</v>
      </c>
      <c r="L13" s="21">
        <f>SUMIFS(Einzelbeträge!$D:$D,Einzelbeträge!$C:$C,'Ausgaben 2025'!$C13,Einzelbeträge!$E:$E,'Ausgaben 2025'!L$6)</f>
        <v>0</v>
      </c>
      <c r="M13" s="21">
        <f>SUMIFS(Einzelbeträge!$D:$D,Einzelbeträge!$C:$C,'Ausgaben 2025'!$C13,Einzelbeträge!$E:$E,'Ausgaben 2025'!M$6)</f>
        <v>0</v>
      </c>
      <c r="N13" s="35">
        <f>SUMIFS(Einzelbeträge!$D:$D,Einzelbeträge!$C:$C,'Ausgaben 2025'!$C13,Einzelbeträge!$E:$E,'Ausgaben 2025'!N$6)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17.02.2025 - 23.02.2025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45665</v>
      </c>
      <c r="D14" s="46">
        <f>SUMIFS(Einzelbeträge!$D:$D,Einzelbeträge!$C:$C,'Ausgaben 2025'!$C14)</f>
        <v>0</v>
      </c>
      <c r="E14" s="21">
        <f>SUMIFS(Einzelbeträge!$D:$D,Einzelbeträge!$C:$C,'Ausgaben 2025'!$C14,Einzelbeträge!$E:$E,'Ausgaben 2025'!E$6)</f>
        <v>0</v>
      </c>
      <c r="F14" s="21">
        <f>SUMIFS(Einzelbeträge!$D:$D,Einzelbeträge!$C:$C,'Ausgaben 2025'!$C14,Einzelbeträge!$E:$E,'Ausgaben 2025'!F$6)</f>
        <v>0</v>
      </c>
      <c r="G14" s="21">
        <f>SUMIFS(Einzelbeträge!$D:$D,Einzelbeträge!$C:$C,'Ausgaben 2025'!$C14,Einzelbeträge!$E:$E,'Ausgaben 2025'!G$6)</f>
        <v>0</v>
      </c>
      <c r="H14" s="21">
        <f>SUMIFS(Einzelbeträge!$D:$D,Einzelbeträge!$C:$C,'Ausgaben 2025'!$C14,Einzelbeträge!$E:$E,'Ausgaben 2025'!H$6)</f>
        <v>0</v>
      </c>
      <c r="I14" s="21">
        <f>SUMIFS(Einzelbeträge!$D:$D,Einzelbeträge!$C:$C,'Ausgaben 2025'!$C14,Einzelbeträge!$E:$E,'Ausgaben 2025'!I$6)</f>
        <v>0</v>
      </c>
      <c r="J14" s="21">
        <f>SUMIFS(Einzelbeträge!$D:$D,Einzelbeträge!$C:$C,'Ausgaben 2025'!$C14,Einzelbeträge!$E:$E,'Ausgaben 2025'!J$6)</f>
        <v>0</v>
      </c>
      <c r="K14" s="21">
        <f>SUMIFS(Einzelbeträge!$D:$D,Einzelbeträge!$C:$C,'Ausgaben 2025'!$C14,Einzelbeträge!$E:$E,'Ausgaben 2025'!K$6)</f>
        <v>0</v>
      </c>
      <c r="L14" s="21">
        <f>SUMIFS(Einzelbeträge!$D:$D,Einzelbeträge!$C:$C,'Ausgaben 2025'!$C14,Einzelbeträge!$E:$E,'Ausgaben 2025'!L$6)</f>
        <v>0</v>
      </c>
      <c r="M14" s="21">
        <f>SUMIFS(Einzelbeträge!$D:$D,Einzelbeträge!$C:$C,'Ausgaben 2025'!$C14,Einzelbeträge!$E:$E,'Ausgaben 2025'!M$6)</f>
        <v>0</v>
      </c>
      <c r="N14" s="35">
        <f>SUMIFS(Einzelbeträge!$D:$D,Einzelbeträge!$C:$C,'Ausgaben 2025'!$C14,Einzelbeträge!$E:$E,'Ausgaben 2025'!N$6)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24.02.2025 - 02.03.2025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45666</v>
      </c>
      <c r="D15" s="46">
        <f>SUMIFS(Einzelbeträge!$D:$D,Einzelbeträge!$C:$C,'Ausgaben 2025'!$C15)</f>
        <v>0</v>
      </c>
      <c r="E15" s="21">
        <f>SUMIFS(Einzelbeträge!$D:$D,Einzelbeträge!$C:$C,'Ausgaben 2025'!$C15,Einzelbeträge!$E:$E,'Ausgaben 2025'!E$6)</f>
        <v>0</v>
      </c>
      <c r="F15" s="21">
        <f>SUMIFS(Einzelbeträge!$D:$D,Einzelbeträge!$C:$C,'Ausgaben 2025'!$C15,Einzelbeträge!$E:$E,'Ausgaben 2025'!F$6)</f>
        <v>0</v>
      </c>
      <c r="G15" s="21">
        <f>SUMIFS(Einzelbeträge!$D:$D,Einzelbeträge!$C:$C,'Ausgaben 2025'!$C15,Einzelbeträge!$E:$E,'Ausgaben 2025'!G$6)</f>
        <v>0</v>
      </c>
      <c r="H15" s="21">
        <f>SUMIFS(Einzelbeträge!$D:$D,Einzelbeträge!$C:$C,'Ausgaben 2025'!$C15,Einzelbeträge!$E:$E,'Ausgaben 2025'!H$6)</f>
        <v>0</v>
      </c>
      <c r="I15" s="21">
        <f>SUMIFS(Einzelbeträge!$D:$D,Einzelbeträge!$C:$C,'Ausgaben 2025'!$C15,Einzelbeträge!$E:$E,'Ausgaben 2025'!I$6)</f>
        <v>0</v>
      </c>
      <c r="J15" s="21">
        <f>SUMIFS(Einzelbeträge!$D:$D,Einzelbeträge!$C:$C,'Ausgaben 2025'!$C15,Einzelbeträge!$E:$E,'Ausgaben 2025'!J$6)</f>
        <v>0</v>
      </c>
      <c r="K15" s="21">
        <f>SUMIFS(Einzelbeträge!$D:$D,Einzelbeträge!$C:$C,'Ausgaben 2025'!$C15,Einzelbeträge!$E:$E,'Ausgaben 2025'!K$6)</f>
        <v>0</v>
      </c>
      <c r="L15" s="21">
        <f>SUMIFS(Einzelbeträge!$D:$D,Einzelbeträge!$C:$C,'Ausgaben 2025'!$C15,Einzelbeträge!$E:$E,'Ausgaben 2025'!L$6)</f>
        <v>0</v>
      </c>
      <c r="M15" s="21">
        <f>SUMIFS(Einzelbeträge!$D:$D,Einzelbeträge!$C:$C,'Ausgaben 2025'!$C15,Einzelbeträge!$E:$E,'Ausgaben 2025'!M$6)</f>
        <v>0</v>
      </c>
      <c r="N15" s="35">
        <f>SUMIFS(Einzelbeträge!$D:$D,Einzelbeträge!$C:$C,'Ausgaben 2025'!$C15,Einzelbeträge!$E:$E,'Ausgaben 2025'!N$6)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03.03.2025 - 09.03.2025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45667</v>
      </c>
      <c r="D16" s="46">
        <f>SUMIFS(Einzelbeträge!$D:$D,Einzelbeträge!$C:$C,'Ausgaben 2025'!$C16)</f>
        <v>0</v>
      </c>
      <c r="E16" s="21">
        <f>SUMIFS(Einzelbeträge!$D:$D,Einzelbeträge!$C:$C,'Ausgaben 2025'!$C16,Einzelbeträge!$E:$E,'Ausgaben 2025'!E$6)</f>
        <v>0</v>
      </c>
      <c r="F16" s="21">
        <f>SUMIFS(Einzelbeträge!$D:$D,Einzelbeträge!$C:$C,'Ausgaben 2025'!$C16,Einzelbeträge!$E:$E,'Ausgaben 2025'!F$6)</f>
        <v>0</v>
      </c>
      <c r="G16" s="21">
        <f>SUMIFS(Einzelbeträge!$D:$D,Einzelbeträge!$C:$C,'Ausgaben 2025'!$C16,Einzelbeträge!$E:$E,'Ausgaben 2025'!G$6)</f>
        <v>0</v>
      </c>
      <c r="H16" s="21">
        <f>SUMIFS(Einzelbeträge!$D:$D,Einzelbeträge!$C:$C,'Ausgaben 2025'!$C16,Einzelbeträge!$E:$E,'Ausgaben 2025'!H$6)</f>
        <v>0</v>
      </c>
      <c r="I16" s="21">
        <f>SUMIFS(Einzelbeträge!$D:$D,Einzelbeträge!$C:$C,'Ausgaben 2025'!$C16,Einzelbeträge!$E:$E,'Ausgaben 2025'!I$6)</f>
        <v>0</v>
      </c>
      <c r="J16" s="21">
        <f>SUMIFS(Einzelbeträge!$D:$D,Einzelbeträge!$C:$C,'Ausgaben 2025'!$C16,Einzelbeträge!$E:$E,'Ausgaben 2025'!J$6)</f>
        <v>0</v>
      </c>
      <c r="K16" s="21">
        <f>SUMIFS(Einzelbeträge!$D:$D,Einzelbeträge!$C:$C,'Ausgaben 2025'!$C16,Einzelbeträge!$E:$E,'Ausgaben 2025'!K$6)</f>
        <v>0</v>
      </c>
      <c r="L16" s="21">
        <f>SUMIFS(Einzelbeträge!$D:$D,Einzelbeträge!$C:$C,'Ausgaben 2025'!$C16,Einzelbeträge!$E:$E,'Ausgaben 2025'!L$6)</f>
        <v>0</v>
      </c>
      <c r="M16" s="21">
        <f>SUMIFS(Einzelbeträge!$D:$D,Einzelbeträge!$C:$C,'Ausgaben 2025'!$C16,Einzelbeträge!$E:$E,'Ausgaben 2025'!M$6)</f>
        <v>0</v>
      </c>
      <c r="N16" s="35">
        <f>SUMIFS(Einzelbeträge!$D:$D,Einzelbeträge!$C:$C,'Ausgaben 2025'!$C16,Einzelbeträge!$E:$E,'Ausgaben 2025'!N$6)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10.03.2025 - 16.03.2025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45668</v>
      </c>
      <c r="D17" s="46">
        <f>SUMIFS(Einzelbeträge!$D:$D,Einzelbeträge!$C:$C,'Ausgaben 2025'!$C17)</f>
        <v>0</v>
      </c>
      <c r="E17" s="21">
        <f>SUMIFS(Einzelbeträge!$D:$D,Einzelbeträge!$C:$C,'Ausgaben 2025'!$C17,Einzelbeträge!$E:$E,'Ausgaben 2025'!E$6)</f>
        <v>0</v>
      </c>
      <c r="F17" s="21">
        <f>SUMIFS(Einzelbeträge!$D:$D,Einzelbeträge!$C:$C,'Ausgaben 2025'!$C17,Einzelbeträge!$E:$E,'Ausgaben 2025'!F$6)</f>
        <v>0</v>
      </c>
      <c r="G17" s="21">
        <f>SUMIFS(Einzelbeträge!$D:$D,Einzelbeträge!$C:$C,'Ausgaben 2025'!$C17,Einzelbeträge!$E:$E,'Ausgaben 2025'!G$6)</f>
        <v>0</v>
      </c>
      <c r="H17" s="21">
        <f>SUMIFS(Einzelbeträge!$D:$D,Einzelbeträge!$C:$C,'Ausgaben 2025'!$C17,Einzelbeträge!$E:$E,'Ausgaben 2025'!H$6)</f>
        <v>0</v>
      </c>
      <c r="I17" s="21">
        <f>SUMIFS(Einzelbeträge!$D:$D,Einzelbeträge!$C:$C,'Ausgaben 2025'!$C17,Einzelbeträge!$E:$E,'Ausgaben 2025'!I$6)</f>
        <v>0</v>
      </c>
      <c r="J17" s="21">
        <f>SUMIFS(Einzelbeträge!$D:$D,Einzelbeträge!$C:$C,'Ausgaben 2025'!$C17,Einzelbeträge!$E:$E,'Ausgaben 2025'!J$6)</f>
        <v>0</v>
      </c>
      <c r="K17" s="21">
        <f>SUMIFS(Einzelbeträge!$D:$D,Einzelbeträge!$C:$C,'Ausgaben 2025'!$C17,Einzelbeträge!$E:$E,'Ausgaben 2025'!K$6)</f>
        <v>0</v>
      </c>
      <c r="L17" s="21">
        <f>SUMIFS(Einzelbeträge!$D:$D,Einzelbeträge!$C:$C,'Ausgaben 2025'!$C17,Einzelbeträge!$E:$E,'Ausgaben 2025'!L$6)</f>
        <v>0</v>
      </c>
      <c r="M17" s="21">
        <f>SUMIFS(Einzelbeträge!$D:$D,Einzelbeträge!$C:$C,'Ausgaben 2025'!$C17,Einzelbeträge!$E:$E,'Ausgaben 2025'!M$6)</f>
        <v>0</v>
      </c>
      <c r="N17" s="35">
        <f>SUMIFS(Einzelbeträge!$D:$D,Einzelbeträge!$C:$C,'Ausgaben 2025'!$C17,Einzelbeträge!$E:$E,'Ausgaben 2025'!N$6)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17.03.2025 - 23.03.2025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45669</v>
      </c>
      <c r="D18" s="46">
        <f>SUMIFS(Einzelbeträge!$D:$D,Einzelbeträge!$C:$C,'Ausgaben 2025'!$C18)</f>
        <v>0</v>
      </c>
      <c r="E18" s="21">
        <f>SUMIFS(Einzelbeträge!$D:$D,Einzelbeträge!$C:$C,'Ausgaben 2025'!$C18,Einzelbeträge!$E:$E,'Ausgaben 2025'!E$6)</f>
        <v>0</v>
      </c>
      <c r="F18" s="21">
        <f>SUMIFS(Einzelbeträge!$D:$D,Einzelbeträge!$C:$C,'Ausgaben 2025'!$C18,Einzelbeträge!$E:$E,'Ausgaben 2025'!F$6)</f>
        <v>0</v>
      </c>
      <c r="G18" s="21">
        <f>SUMIFS(Einzelbeträge!$D:$D,Einzelbeträge!$C:$C,'Ausgaben 2025'!$C18,Einzelbeträge!$E:$E,'Ausgaben 2025'!G$6)</f>
        <v>0</v>
      </c>
      <c r="H18" s="21">
        <f>SUMIFS(Einzelbeträge!$D:$D,Einzelbeträge!$C:$C,'Ausgaben 2025'!$C18,Einzelbeträge!$E:$E,'Ausgaben 2025'!H$6)</f>
        <v>0</v>
      </c>
      <c r="I18" s="21">
        <f>SUMIFS(Einzelbeträge!$D:$D,Einzelbeträge!$C:$C,'Ausgaben 2025'!$C18,Einzelbeträge!$E:$E,'Ausgaben 2025'!I$6)</f>
        <v>0</v>
      </c>
      <c r="J18" s="21">
        <f>SUMIFS(Einzelbeträge!$D:$D,Einzelbeträge!$C:$C,'Ausgaben 2025'!$C18,Einzelbeträge!$E:$E,'Ausgaben 2025'!J$6)</f>
        <v>0</v>
      </c>
      <c r="K18" s="21">
        <f>SUMIFS(Einzelbeträge!$D:$D,Einzelbeträge!$C:$C,'Ausgaben 2025'!$C18,Einzelbeträge!$E:$E,'Ausgaben 2025'!K$6)</f>
        <v>0</v>
      </c>
      <c r="L18" s="21">
        <f>SUMIFS(Einzelbeträge!$D:$D,Einzelbeträge!$C:$C,'Ausgaben 2025'!$C18,Einzelbeträge!$E:$E,'Ausgaben 2025'!L$6)</f>
        <v>0</v>
      </c>
      <c r="M18" s="21">
        <f>SUMIFS(Einzelbeträge!$D:$D,Einzelbeträge!$C:$C,'Ausgaben 2025'!$C18,Einzelbeträge!$E:$E,'Ausgaben 2025'!M$6)</f>
        <v>0</v>
      </c>
      <c r="N18" s="35">
        <f>SUMIFS(Einzelbeträge!$D:$D,Einzelbeträge!$C:$C,'Ausgaben 2025'!$C18,Einzelbeträge!$E:$E,'Ausgaben 2025'!N$6)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24.03.2025 - 30.03.2025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45670</v>
      </c>
      <c r="D19" s="46">
        <f>SUMIFS(Einzelbeträge!$D:$D,Einzelbeträge!$C:$C,'Ausgaben 2025'!$C19)</f>
        <v>0</v>
      </c>
      <c r="E19" s="21">
        <f>SUMIFS(Einzelbeträge!$D:$D,Einzelbeträge!$C:$C,'Ausgaben 2025'!$C19,Einzelbeträge!$E:$E,'Ausgaben 2025'!E$6)</f>
        <v>0</v>
      </c>
      <c r="F19" s="21">
        <f>SUMIFS(Einzelbeträge!$D:$D,Einzelbeträge!$C:$C,'Ausgaben 2025'!$C19,Einzelbeträge!$E:$E,'Ausgaben 2025'!F$6)</f>
        <v>0</v>
      </c>
      <c r="G19" s="21">
        <f>SUMIFS(Einzelbeträge!$D:$D,Einzelbeträge!$C:$C,'Ausgaben 2025'!$C19,Einzelbeträge!$E:$E,'Ausgaben 2025'!G$6)</f>
        <v>0</v>
      </c>
      <c r="H19" s="21">
        <f>SUMIFS(Einzelbeträge!$D:$D,Einzelbeträge!$C:$C,'Ausgaben 2025'!$C19,Einzelbeträge!$E:$E,'Ausgaben 2025'!H$6)</f>
        <v>0</v>
      </c>
      <c r="I19" s="21">
        <f>SUMIFS(Einzelbeträge!$D:$D,Einzelbeträge!$C:$C,'Ausgaben 2025'!$C19,Einzelbeträge!$E:$E,'Ausgaben 2025'!I$6)</f>
        <v>0</v>
      </c>
      <c r="J19" s="21">
        <f>SUMIFS(Einzelbeträge!$D:$D,Einzelbeträge!$C:$C,'Ausgaben 2025'!$C19,Einzelbeträge!$E:$E,'Ausgaben 2025'!J$6)</f>
        <v>0</v>
      </c>
      <c r="K19" s="21">
        <f>SUMIFS(Einzelbeträge!$D:$D,Einzelbeträge!$C:$C,'Ausgaben 2025'!$C19,Einzelbeträge!$E:$E,'Ausgaben 2025'!K$6)</f>
        <v>0</v>
      </c>
      <c r="L19" s="21">
        <f>SUMIFS(Einzelbeträge!$D:$D,Einzelbeträge!$C:$C,'Ausgaben 2025'!$C19,Einzelbeträge!$E:$E,'Ausgaben 2025'!L$6)</f>
        <v>0</v>
      </c>
      <c r="M19" s="21">
        <f>SUMIFS(Einzelbeträge!$D:$D,Einzelbeträge!$C:$C,'Ausgaben 2025'!$C19,Einzelbeträge!$E:$E,'Ausgaben 2025'!M$6)</f>
        <v>0</v>
      </c>
      <c r="N19" s="35">
        <f>SUMIFS(Einzelbeträge!$D:$D,Einzelbeträge!$C:$C,'Ausgaben 2025'!$C19,Einzelbeträge!$E:$E,'Ausgaben 2025'!N$6)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31.03.2025 - 06.04.2025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45671</v>
      </c>
      <c r="D20" s="46">
        <f>SUMIFS(Einzelbeträge!$D:$D,Einzelbeträge!$C:$C,'Ausgaben 2025'!$C20)</f>
        <v>0</v>
      </c>
      <c r="E20" s="21">
        <f>SUMIFS(Einzelbeträge!$D:$D,Einzelbeträge!$C:$C,'Ausgaben 2025'!$C20,Einzelbeträge!$E:$E,'Ausgaben 2025'!E$6)</f>
        <v>0</v>
      </c>
      <c r="F20" s="21">
        <f>SUMIFS(Einzelbeträge!$D:$D,Einzelbeträge!$C:$C,'Ausgaben 2025'!$C20,Einzelbeträge!$E:$E,'Ausgaben 2025'!F$6)</f>
        <v>0</v>
      </c>
      <c r="G20" s="21">
        <f>SUMIFS(Einzelbeträge!$D:$D,Einzelbeträge!$C:$C,'Ausgaben 2025'!$C20,Einzelbeträge!$E:$E,'Ausgaben 2025'!G$6)</f>
        <v>0</v>
      </c>
      <c r="H20" s="21">
        <f>SUMIFS(Einzelbeträge!$D:$D,Einzelbeträge!$C:$C,'Ausgaben 2025'!$C20,Einzelbeträge!$E:$E,'Ausgaben 2025'!H$6)</f>
        <v>0</v>
      </c>
      <c r="I20" s="21">
        <f>SUMIFS(Einzelbeträge!$D:$D,Einzelbeträge!$C:$C,'Ausgaben 2025'!$C20,Einzelbeträge!$E:$E,'Ausgaben 2025'!I$6)</f>
        <v>0</v>
      </c>
      <c r="J20" s="21">
        <f>SUMIFS(Einzelbeträge!$D:$D,Einzelbeträge!$C:$C,'Ausgaben 2025'!$C20,Einzelbeträge!$E:$E,'Ausgaben 2025'!J$6)</f>
        <v>0</v>
      </c>
      <c r="K20" s="21">
        <f>SUMIFS(Einzelbeträge!$D:$D,Einzelbeträge!$C:$C,'Ausgaben 2025'!$C20,Einzelbeträge!$E:$E,'Ausgaben 2025'!K$6)</f>
        <v>0</v>
      </c>
      <c r="L20" s="21">
        <f>SUMIFS(Einzelbeträge!$D:$D,Einzelbeträge!$C:$C,'Ausgaben 2025'!$C20,Einzelbeträge!$E:$E,'Ausgaben 2025'!L$6)</f>
        <v>0</v>
      </c>
      <c r="M20" s="21">
        <f>SUMIFS(Einzelbeträge!$D:$D,Einzelbeträge!$C:$C,'Ausgaben 2025'!$C20,Einzelbeträge!$E:$E,'Ausgaben 2025'!M$6)</f>
        <v>0</v>
      </c>
      <c r="N20" s="35">
        <f>SUMIFS(Einzelbeträge!$D:$D,Einzelbeträge!$C:$C,'Ausgaben 2025'!$C20,Einzelbeträge!$E:$E,'Ausgaben 2025'!N$6)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07.04.2025 - 13.04.2025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45672</v>
      </c>
      <c r="D21" s="46">
        <f>SUMIFS(Einzelbeträge!$D:$D,Einzelbeträge!$C:$C,'Ausgaben 2025'!$C21)</f>
        <v>0</v>
      </c>
      <c r="E21" s="21">
        <f>SUMIFS(Einzelbeträge!$D:$D,Einzelbeträge!$C:$C,'Ausgaben 2025'!$C21,Einzelbeträge!$E:$E,'Ausgaben 2025'!E$6)</f>
        <v>0</v>
      </c>
      <c r="F21" s="21">
        <f>SUMIFS(Einzelbeträge!$D:$D,Einzelbeträge!$C:$C,'Ausgaben 2025'!$C21,Einzelbeträge!$E:$E,'Ausgaben 2025'!F$6)</f>
        <v>0</v>
      </c>
      <c r="G21" s="21">
        <f>SUMIFS(Einzelbeträge!$D:$D,Einzelbeträge!$C:$C,'Ausgaben 2025'!$C21,Einzelbeträge!$E:$E,'Ausgaben 2025'!G$6)</f>
        <v>0</v>
      </c>
      <c r="H21" s="21">
        <f>SUMIFS(Einzelbeträge!$D:$D,Einzelbeträge!$C:$C,'Ausgaben 2025'!$C21,Einzelbeträge!$E:$E,'Ausgaben 2025'!H$6)</f>
        <v>0</v>
      </c>
      <c r="I21" s="21">
        <f>SUMIFS(Einzelbeträge!$D:$D,Einzelbeträge!$C:$C,'Ausgaben 2025'!$C21,Einzelbeträge!$E:$E,'Ausgaben 2025'!I$6)</f>
        <v>0</v>
      </c>
      <c r="J21" s="21">
        <f>SUMIFS(Einzelbeträge!$D:$D,Einzelbeträge!$C:$C,'Ausgaben 2025'!$C21,Einzelbeträge!$E:$E,'Ausgaben 2025'!J$6)</f>
        <v>0</v>
      </c>
      <c r="K21" s="21">
        <f>SUMIFS(Einzelbeträge!$D:$D,Einzelbeträge!$C:$C,'Ausgaben 2025'!$C21,Einzelbeträge!$E:$E,'Ausgaben 2025'!K$6)</f>
        <v>0</v>
      </c>
      <c r="L21" s="21">
        <f>SUMIFS(Einzelbeträge!$D:$D,Einzelbeträge!$C:$C,'Ausgaben 2025'!$C21,Einzelbeträge!$E:$E,'Ausgaben 2025'!L$6)</f>
        <v>0</v>
      </c>
      <c r="M21" s="21">
        <f>SUMIFS(Einzelbeträge!$D:$D,Einzelbeträge!$C:$C,'Ausgaben 2025'!$C21,Einzelbeträge!$E:$E,'Ausgaben 2025'!M$6)</f>
        <v>0</v>
      </c>
      <c r="N21" s="35">
        <f>SUMIFS(Einzelbeträge!$D:$D,Einzelbeträge!$C:$C,'Ausgaben 2025'!$C21,Einzelbeträge!$E:$E,'Ausgaben 2025'!N$6)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14.04.2025 - 20.04.2025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45673</v>
      </c>
      <c r="D22" s="46">
        <f>SUMIFS(Einzelbeträge!$D:$D,Einzelbeträge!$C:$C,'Ausgaben 2025'!$C22)</f>
        <v>0</v>
      </c>
      <c r="E22" s="21">
        <f>SUMIFS(Einzelbeträge!$D:$D,Einzelbeträge!$C:$C,'Ausgaben 2025'!$C22,Einzelbeträge!$E:$E,'Ausgaben 2025'!E$6)</f>
        <v>0</v>
      </c>
      <c r="F22" s="21">
        <f>SUMIFS(Einzelbeträge!$D:$D,Einzelbeträge!$C:$C,'Ausgaben 2025'!$C22,Einzelbeträge!$E:$E,'Ausgaben 2025'!F$6)</f>
        <v>0</v>
      </c>
      <c r="G22" s="21">
        <f>SUMIFS(Einzelbeträge!$D:$D,Einzelbeträge!$C:$C,'Ausgaben 2025'!$C22,Einzelbeträge!$E:$E,'Ausgaben 2025'!G$6)</f>
        <v>0</v>
      </c>
      <c r="H22" s="21">
        <f>SUMIFS(Einzelbeträge!$D:$D,Einzelbeträge!$C:$C,'Ausgaben 2025'!$C22,Einzelbeträge!$E:$E,'Ausgaben 2025'!H$6)</f>
        <v>0</v>
      </c>
      <c r="I22" s="21">
        <f>SUMIFS(Einzelbeträge!$D:$D,Einzelbeträge!$C:$C,'Ausgaben 2025'!$C22,Einzelbeträge!$E:$E,'Ausgaben 2025'!I$6)</f>
        <v>0</v>
      </c>
      <c r="J22" s="21">
        <f>SUMIFS(Einzelbeträge!$D:$D,Einzelbeträge!$C:$C,'Ausgaben 2025'!$C22,Einzelbeträge!$E:$E,'Ausgaben 2025'!J$6)</f>
        <v>0</v>
      </c>
      <c r="K22" s="21">
        <f>SUMIFS(Einzelbeträge!$D:$D,Einzelbeträge!$C:$C,'Ausgaben 2025'!$C22,Einzelbeträge!$E:$E,'Ausgaben 2025'!K$6)</f>
        <v>0</v>
      </c>
      <c r="L22" s="21">
        <f>SUMIFS(Einzelbeträge!$D:$D,Einzelbeträge!$C:$C,'Ausgaben 2025'!$C22,Einzelbeträge!$E:$E,'Ausgaben 2025'!L$6)</f>
        <v>0</v>
      </c>
      <c r="M22" s="21">
        <f>SUMIFS(Einzelbeträge!$D:$D,Einzelbeträge!$C:$C,'Ausgaben 2025'!$C22,Einzelbeträge!$E:$E,'Ausgaben 2025'!M$6)</f>
        <v>0</v>
      </c>
      <c r="N22" s="35">
        <f>SUMIFS(Einzelbeträge!$D:$D,Einzelbeträge!$C:$C,'Ausgaben 2025'!$C22,Einzelbeträge!$E:$E,'Ausgaben 2025'!N$6)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21.04.2025 - 27.04.2025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45674</v>
      </c>
      <c r="D23" s="46">
        <f>SUMIFS(Einzelbeträge!$D:$D,Einzelbeträge!$C:$C,'Ausgaben 2025'!$C23)</f>
        <v>0</v>
      </c>
      <c r="E23" s="21">
        <f>SUMIFS(Einzelbeträge!$D:$D,Einzelbeträge!$C:$C,'Ausgaben 2025'!$C23,Einzelbeträge!$E:$E,'Ausgaben 2025'!E$6)</f>
        <v>0</v>
      </c>
      <c r="F23" s="21">
        <f>SUMIFS(Einzelbeträge!$D:$D,Einzelbeträge!$C:$C,'Ausgaben 2025'!$C23,Einzelbeträge!$E:$E,'Ausgaben 2025'!F$6)</f>
        <v>0</v>
      </c>
      <c r="G23" s="21">
        <f>SUMIFS(Einzelbeträge!$D:$D,Einzelbeträge!$C:$C,'Ausgaben 2025'!$C23,Einzelbeträge!$E:$E,'Ausgaben 2025'!G$6)</f>
        <v>0</v>
      </c>
      <c r="H23" s="21">
        <f>SUMIFS(Einzelbeträge!$D:$D,Einzelbeträge!$C:$C,'Ausgaben 2025'!$C23,Einzelbeträge!$E:$E,'Ausgaben 2025'!H$6)</f>
        <v>0</v>
      </c>
      <c r="I23" s="21">
        <f>SUMIFS(Einzelbeträge!$D:$D,Einzelbeträge!$C:$C,'Ausgaben 2025'!$C23,Einzelbeträge!$E:$E,'Ausgaben 2025'!I$6)</f>
        <v>0</v>
      </c>
      <c r="J23" s="21">
        <f>SUMIFS(Einzelbeträge!$D:$D,Einzelbeträge!$C:$C,'Ausgaben 2025'!$C23,Einzelbeträge!$E:$E,'Ausgaben 2025'!J$6)</f>
        <v>0</v>
      </c>
      <c r="K23" s="21">
        <f>SUMIFS(Einzelbeträge!$D:$D,Einzelbeträge!$C:$C,'Ausgaben 2025'!$C23,Einzelbeträge!$E:$E,'Ausgaben 2025'!K$6)</f>
        <v>0</v>
      </c>
      <c r="L23" s="21">
        <f>SUMIFS(Einzelbeträge!$D:$D,Einzelbeträge!$C:$C,'Ausgaben 2025'!$C23,Einzelbeträge!$E:$E,'Ausgaben 2025'!L$6)</f>
        <v>0</v>
      </c>
      <c r="M23" s="21">
        <f>SUMIFS(Einzelbeträge!$D:$D,Einzelbeträge!$C:$C,'Ausgaben 2025'!$C23,Einzelbeträge!$E:$E,'Ausgaben 2025'!M$6)</f>
        <v>0</v>
      </c>
      <c r="N23" s="35">
        <f>SUMIFS(Einzelbeträge!$D:$D,Einzelbeträge!$C:$C,'Ausgaben 2025'!$C23,Einzelbeträge!$E:$E,'Ausgaben 2025'!N$6)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28.04.2025 - 04.05.2025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45675</v>
      </c>
      <c r="D24" s="46">
        <f>SUMIFS(Einzelbeträge!$D:$D,Einzelbeträge!$C:$C,'Ausgaben 2025'!$C24)</f>
        <v>0</v>
      </c>
      <c r="E24" s="21">
        <f>SUMIFS(Einzelbeträge!$D:$D,Einzelbeträge!$C:$C,'Ausgaben 2025'!$C24,Einzelbeträge!$E:$E,'Ausgaben 2025'!E$6)</f>
        <v>0</v>
      </c>
      <c r="F24" s="21">
        <f>SUMIFS(Einzelbeträge!$D:$D,Einzelbeträge!$C:$C,'Ausgaben 2025'!$C24,Einzelbeträge!$E:$E,'Ausgaben 2025'!F$6)</f>
        <v>0</v>
      </c>
      <c r="G24" s="21">
        <f>SUMIFS(Einzelbeträge!$D:$D,Einzelbeträge!$C:$C,'Ausgaben 2025'!$C24,Einzelbeträge!$E:$E,'Ausgaben 2025'!G$6)</f>
        <v>0</v>
      </c>
      <c r="H24" s="21">
        <f>SUMIFS(Einzelbeträge!$D:$D,Einzelbeträge!$C:$C,'Ausgaben 2025'!$C24,Einzelbeträge!$E:$E,'Ausgaben 2025'!H$6)</f>
        <v>0</v>
      </c>
      <c r="I24" s="21">
        <f>SUMIFS(Einzelbeträge!$D:$D,Einzelbeträge!$C:$C,'Ausgaben 2025'!$C24,Einzelbeträge!$E:$E,'Ausgaben 2025'!I$6)</f>
        <v>0</v>
      </c>
      <c r="J24" s="21">
        <f>SUMIFS(Einzelbeträge!$D:$D,Einzelbeträge!$C:$C,'Ausgaben 2025'!$C24,Einzelbeträge!$E:$E,'Ausgaben 2025'!J$6)</f>
        <v>0</v>
      </c>
      <c r="K24" s="21">
        <f>SUMIFS(Einzelbeträge!$D:$D,Einzelbeträge!$C:$C,'Ausgaben 2025'!$C24,Einzelbeträge!$E:$E,'Ausgaben 2025'!K$6)</f>
        <v>0</v>
      </c>
      <c r="L24" s="21">
        <f>SUMIFS(Einzelbeträge!$D:$D,Einzelbeträge!$C:$C,'Ausgaben 2025'!$C24,Einzelbeträge!$E:$E,'Ausgaben 2025'!L$6)</f>
        <v>0</v>
      </c>
      <c r="M24" s="21">
        <f>SUMIFS(Einzelbeträge!$D:$D,Einzelbeträge!$C:$C,'Ausgaben 2025'!$C24,Einzelbeträge!$E:$E,'Ausgaben 2025'!M$6)</f>
        <v>0</v>
      </c>
      <c r="N24" s="35">
        <f>SUMIFS(Einzelbeträge!$D:$D,Einzelbeträge!$C:$C,'Ausgaben 2025'!$C24,Einzelbeträge!$E:$E,'Ausgaben 2025'!N$6)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05.05.2025 - 11.05.2025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45676</v>
      </c>
      <c r="D25" s="46">
        <f>SUMIFS(Einzelbeträge!$D:$D,Einzelbeträge!$C:$C,'Ausgaben 2025'!$C25)</f>
        <v>0</v>
      </c>
      <c r="E25" s="21">
        <f>SUMIFS(Einzelbeträge!$D:$D,Einzelbeträge!$C:$C,'Ausgaben 2025'!$C25,Einzelbeträge!$E:$E,'Ausgaben 2025'!E$6)</f>
        <v>0</v>
      </c>
      <c r="F25" s="21">
        <f>SUMIFS(Einzelbeträge!$D:$D,Einzelbeträge!$C:$C,'Ausgaben 2025'!$C25,Einzelbeträge!$E:$E,'Ausgaben 2025'!F$6)</f>
        <v>0</v>
      </c>
      <c r="G25" s="21">
        <f>SUMIFS(Einzelbeträge!$D:$D,Einzelbeträge!$C:$C,'Ausgaben 2025'!$C25,Einzelbeträge!$E:$E,'Ausgaben 2025'!G$6)</f>
        <v>0</v>
      </c>
      <c r="H25" s="21">
        <f>SUMIFS(Einzelbeträge!$D:$D,Einzelbeträge!$C:$C,'Ausgaben 2025'!$C25,Einzelbeträge!$E:$E,'Ausgaben 2025'!H$6)</f>
        <v>0</v>
      </c>
      <c r="I25" s="21">
        <f>SUMIFS(Einzelbeträge!$D:$D,Einzelbeträge!$C:$C,'Ausgaben 2025'!$C25,Einzelbeträge!$E:$E,'Ausgaben 2025'!I$6)</f>
        <v>0</v>
      </c>
      <c r="J25" s="21">
        <f>SUMIFS(Einzelbeträge!$D:$D,Einzelbeträge!$C:$C,'Ausgaben 2025'!$C25,Einzelbeträge!$E:$E,'Ausgaben 2025'!J$6)</f>
        <v>0</v>
      </c>
      <c r="K25" s="21">
        <f>SUMIFS(Einzelbeträge!$D:$D,Einzelbeträge!$C:$C,'Ausgaben 2025'!$C25,Einzelbeträge!$E:$E,'Ausgaben 2025'!K$6)</f>
        <v>0</v>
      </c>
      <c r="L25" s="21">
        <f>SUMIFS(Einzelbeträge!$D:$D,Einzelbeträge!$C:$C,'Ausgaben 2025'!$C25,Einzelbeträge!$E:$E,'Ausgaben 2025'!L$6)</f>
        <v>0</v>
      </c>
      <c r="M25" s="21">
        <f>SUMIFS(Einzelbeträge!$D:$D,Einzelbeträge!$C:$C,'Ausgaben 2025'!$C25,Einzelbeträge!$E:$E,'Ausgaben 2025'!M$6)</f>
        <v>0</v>
      </c>
      <c r="N25" s="35">
        <f>SUMIFS(Einzelbeträge!$D:$D,Einzelbeträge!$C:$C,'Ausgaben 2025'!$C25,Einzelbeträge!$E:$E,'Ausgaben 2025'!N$6)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12.05.2025 - 18.05.2025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45677</v>
      </c>
      <c r="D26" s="46">
        <f>SUMIFS(Einzelbeträge!$D:$D,Einzelbeträge!$C:$C,'Ausgaben 2025'!$C26)</f>
        <v>0</v>
      </c>
      <c r="E26" s="21">
        <f>SUMIFS(Einzelbeträge!$D:$D,Einzelbeträge!$C:$C,'Ausgaben 2025'!$C26,Einzelbeträge!$E:$E,'Ausgaben 2025'!E$6)</f>
        <v>0</v>
      </c>
      <c r="F26" s="21">
        <f>SUMIFS(Einzelbeträge!$D:$D,Einzelbeträge!$C:$C,'Ausgaben 2025'!$C26,Einzelbeträge!$E:$E,'Ausgaben 2025'!F$6)</f>
        <v>0</v>
      </c>
      <c r="G26" s="21">
        <f>SUMIFS(Einzelbeträge!$D:$D,Einzelbeträge!$C:$C,'Ausgaben 2025'!$C26,Einzelbeträge!$E:$E,'Ausgaben 2025'!G$6)</f>
        <v>0</v>
      </c>
      <c r="H26" s="21">
        <f>SUMIFS(Einzelbeträge!$D:$D,Einzelbeträge!$C:$C,'Ausgaben 2025'!$C26,Einzelbeträge!$E:$E,'Ausgaben 2025'!H$6)</f>
        <v>0</v>
      </c>
      <c r="I26" s="21">
        <f>SUMIFS(Einzelbeträge!$D:$D,Einzelbeträge!$C:$C,'Ausgaben 2025'!$C26,Einzelbeträge!$E:$E,'Ausgaben 2025'!I$6)</f>
        <v>0</v>
      </c>
      <c r="J26" s="21">
        <f>SUMIFS(Einzelbeträge!$D:$D,Einzelbeträge!$C:$C,'Ausgaben 2025'!$C26,Einzelbeträge!$E:$E,'Ausgaben 2025'!J$6)</f>
        <v>0</v>
      </c>
      <c r="K26" s="21">
        <f>SUMIFS(Einzelbeträge!$D:$D,Einzelbeträge!$C:$C,'Ausgaben 2025'!$C26,Einzelbeträge!$E:$E,'Ausgaben 2025'!K$6)</f>
        <v>0</v>
      </c>
      <c r="L26" s="21">
        <f>SUMIFS(Einzelbeträge!$D:$D,Einzelbeträge!$C:$C,'Ausgaben 2025'!$C26,Einzelbeträge!$E:$E,'Ausgaben 2025'!L$6)</f>
        <v>0</v>
      </c>
      <c r="M26" s="21">
        <f>SUMIFS(Einzelbeträge!$D:$D,Einzelbeträge!$C:$C,'Ausgaben 2025'!$C26,Einzelbeträge!$E:$E,'Ausgaben 2025'!M$6)</f>
        <v>0</v>
      </c>
      <c r="N26" s="35">
        <f>SUMIFS(Einzelbeträge!$D:$D,Einzelbeträge!$C:$C,'Ausgaben 2025'!$C26,Einzelbeträge!$E:$E,'Ausgaben 2025'!N$6)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19.05.2025 - 25.05.2025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45678</v>
      </c>
      <c r="D27" s="46">
        <f>SUMIFS(Einzelbeträge!$D:$D,Einzelbeträge!$C:$C,'Ausgaben 2025'!$C27)</f>
        <v>0</v>
      </c>
      <c r="E27" s="21">
        <f>SUMIFS(Einzelbeträge!$D:$D,Einzelbeträge!$C:$C,'Ausgaben 2025'!$C27,Einzelbeträge!$E:$E,'Ausgaben 2025'!E$6)</f>
        <v>0</v>
      </c>
      <c r="F27" s="21">
        <f>SUMIFS(Einzelbeträge!$D:$D,Einzelbeträge!$C:$C,'Ausgaben 2025'!$C27,Einzelbeträge!$E:$E,'Ausgaben 2025'!F$6)</f>
        <v>0</v>
      </c>
      <c r="G27" s="21">
        <f>SUMIFS(Einzelbeträge!$D:$D,Einzelbeträge!$C:$C,'Ausgaben 2025'!$C27,Einzelbeträge!$E:$E,'Ausgaben 2025'!G$6)</f>
        <v>0</v>
      </c>
      <c r="H27" s="21">
        <f>SUMIFS(Einzelbeträge!$D:$D,Einzelbeträge!$C:$C,'Ausgaben 2025'!$C27,Einzelbeträge!$E:$E,'Ausgaben 2025'!H$6)</f>
        <v>0</v>
      </c>
      <c r="I27" s="21">
        <f>SUMIFS(Einzelbeträge!$D:$D,Einzelbeträge!$C:$C,'Ausgaben 2025'!$C27,Einzelbeträge!$E:$E,'Ausgaben 2025'!I$6)</f>
        <v>0</v>
      </c>
      <c r="J27" s="21">
        <f>SUMIFS(Einzelbeträge!$D:$D,Einzelbeträge!$C:$C,'Ausgaben 2025'!$C27,Einzelbeträge!$E:$E,'Ausgaben 2025'!J$6)</f>
        <v>0</v>
      </c>
      <c r="K27" s="21">
        <f>SUMIFS(Einzelbeträge!$D:$D,Einzelbeträge!$C:$C,'Ausgaben 2025'!$C27,Einzelbeträge!$E:$E,'Ausgaben 2025'!K$6)</f>
        <v>0</v>
      </c>
      <c r="L27" s="21">
        <f>SUMIFS(Einzelbeträge!$D:$D,Einzelbeträge!$C:$C,'Ausgaben 2025'!$C27,Einzelbeträge!$E:$E,'Ausgaben 2025'!L$6)</f>
        <v>0</v>
      </c>
      <c r="M27" s="21">
        <f>SUMIFS(Einzelbeträge!$D:$D,Einzelbeträge!$C:$C,'Ausgaben 2025'!$C27,Einzelbeträge!$E:$E,'Ausgaben 2025'!M$6)</f>
        <v>0</v>
      </c>
      <c r="N27" s="35">
        <f>SUMIFS(Einzelbeträge!$D:$D,Einzelbeträge!$C:$C,'Ausgaben 2025'!$C27,Einzelbeträge!$E:$E,'Ausgaben 2025'!N$6)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26.05.2025 - 01.06.2025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45679</v>
      </c>
      <c r="D28" s="46">
        <f>SUMIFS(Einzelbeträge!$D:$D,Einzelbeträge!$C:$C,'Ausgaben 2025'!$C28)</f>
        <v>0</v>
      </c>
      <c r="E28" s="21">
        <f>SUMIFS(Einzelbeträge!$D:$D,Einzelbeträge!$C:$C,'Ausgaben 2025'!$C28,Einzelbeträge!$E:$E,'Ausgaben 2025'!E$6)</f>
        <v>0</v>
      </c>
      <c r="F28" s="21">
        <f>SUMIFS(Einzelbeträge!$D:$D,Einzelbeträge!$C:$C,'Ausgaben 2025'!$C28,Einzelbeträge!$E:$E,'Ausgaben 2025'!F$6)</f>
        <v>0</v>
      </c>
      <c r="G28" s="21">
        <f>SUMIFS(Einzelbeträge!$D:$D,Einzelbeträge!$C:$C,'Ausgaben 2025'!$C28,Einzelbeträge!$E:$E,'Ausgaben 2025'!G$6)</f>
        <v>0</v>
      </c>
      <c r="H28" s="21">
        <f>SUMIFS(Einzelbeträge!$D:$D,Einzelbeträge!$C:$C,'Ausgaben 2025'!$C28,Einzelbeträge!$E:$E,'Ausgaben 2025'!H$6)</f>
        <v>0</v>
      </c>
      <c r="I28" s="21">
        <f>SUMIFS(Einzelbeträge!$D:$D,Einzelbeträge!$C:$C,'Ausgaben 2025'!$C28,Einzelbeträge!$E:$E,'Ausgaben 2025'!I$6)</f>
        <v>0</v>
      </c>
      <c r="J28" s="21">
        <f>SUMIFS(Einzelbeträge!$D:$D,Einzelbeträge!$C:$C,'Ausgaben 2025'!$C28,Einzelbeträge!$E:$E,'Ausgaben 2025'!J$6)</f>
        <v>0</v>
      </c>
      <c r="K28" s="21">
        <f>SUMIFS(Einzelbeträge!$D:$D,Einzelbeträge!$C:$C,'Ausgaben 2025'!$C28,Einzelbeträge!$E:$E,'Ausgaben 2025'!K$6)</f>
        <v>0</v>
      </c>
      <c r="L28" s="21">
        <f>SUMIFS(Einzelbeträge!$D:$D,Einzelbeträge!$C:$C,'Ausgaben 2025'!$C28,Einzelbeträge!$E:$E,'Ausgaben 2025'!L$6)</f>
        <v>0</v>
      </c>
      <c r="M28" s="21">
        <f>SUMIFS(Einzelbeträge!$D:$D,Einzelbeträge!$C:$C,'Ausgaben 2025'!$C28,Einzelbeträge!$E:$E,'Ausgaben 2025'!M$6)</f>
        <v>0</v>
      </c>
      <c r="N28" s="35">
        <f>SUMIFS(Einzelbeträge!$D:$D,Einzelbeträge!$C:$C,'Ausgaben 2025'!$C28,Einzelbeträge!$E:$E,'Ausgaben 2025'!N$6)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02.06.2025 - 08.06.2025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45680</v>
      </c>
      <c r="D29" s="46">
        <f>SUMIFS(Einzelbeträge!$D:$D,Einzelbeträge!$C:$C,'Ausgaben 2025'!$C29)</f>
        <v>0</v>
      </c>
      <c r="E29" s="21">
        <f>SUMIFS(Einzelbeträge!$D:$D,Einzelbeträge!$C:$C,'Ausgaben 2025'!$C29,Einzelbeträge!$E:$E,'Ausgaben 2025'!E$6)</f>
        <v>0</v>
      </c>
      <c r="F29" s="21">
        <f>SUMIFS(Einzelbeträge!$D:$D,Einzelbeträge!$C:$C,'Ausgaben 2025'!$C29,Einzelbeträge!$E:$E,'Ausgaben 2025'!F$6)</f>
        <v>0</v>
      </c>
      <c r="G29" s="21">
        <f>SUMIFS(Einzelbeträge!$D:$D,Einzelbeträge!$C:$C,'Ausgaben 2025'!$C29,Einzelbeträge!$E:$E,'Ausgaben 2025'!G$6)</f>
        <v>0</v>
      </c>
      <c r="H29" s="21">
        <f>SUMIFS(Einzelbeträge!$D:$D,Einzelbeträge!$C:$C,'Ausgaben 2025'!$C29,Einzelbeträge!$E:$E,'Ausgaben 2025'!H$6)</f>
        <v>0</v>
      </c>
      <c r="I29" s="21">
        <f>SUMIFS(Einzelbeträge!$D:$D,Einzelbeträge!$C:$C,'Ausgaben 2025'!$C29,Einzelbeträge!$E:$E,'Ausgaben 2025'!I$6)</f>
        <v>0</v>
      </c>
      <c r="J29" s="21">
        <f>SUMIFS(Einzelbeträge!$D:$D,Einzelbeträge!$C:$C,'Ausgaben 2025'!$C29,Einzelbeträge!$E:$E,'Ausgaben 2025'!J$6)</f>
        <v>0</v>
      </c>
      <c r="K29" s="21">
        <f>SUMIFS(Einzelbeträge!$D:$D,Einzelbeträge!$C:$C,'Ausgaben 2025'!$C29,Einzelbeträge!$E:$E,'Ausgaben 2025'!K$6)</f>
        <v>0</v>
      </c>
      <c r="L29" s="21">
        <f>SUMIFS(Einzelbeträge!$D:$D,Einzelbeträge!$C:$C,'Ausgaben 2025'!$C29,Einzelbeträge!$E:$E,'Ausgaben 2025'!L$6)</f>
        <v>0</v>
      </c>
      <c r="M29" s="21">
        <f>SUMIFS(Einzelbeträge!$D:$D,Einzelbeträge!$C:$C,'Ausgaben 2025'!$C29,Einzelbeträge!$E:$E,'Ausgaben 2025'!M$6)</f>
        <v>0</v>
      </c>
      <c r="N29" s="35">
        <f>SUMIFS(Einzelbeträge!$D:$D,Einzelbeträge!$C:$C,'Ausgaben 2025'!$C29,Einzelbeträge!$E:$E,'Ausgaben 2025'!N$6)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09.06.2025 - 15.06.2025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45681</v>
      </c>
      <c r="D30" s="46">
        <f>SUMIFS(Einzelbeträge!$D:$D,Einzelbeträge!$C:$C,'Ausgaben 2025'!$C30)</f>
        <v>0</v>
      </c>
      <c r="E30" s="21">
        <f>SUMIFS(Einzelbeträge!$D:$D,Einzelbeträge!$C:$C,'Ausgaben 2025'!$C30,Einzelbeträge!$E:$E,'Ausgaben 2025'!E$6)</f>
        <v>0</v>
      </c>
      <c r="F30" s="21">
        <f>SUMIFS(Einzelbeträge!$D:$D,Einzelbeträge!$C:$C,'Ausgaben 2025'!$C30,Einzelbeträge!$E:$E,'Ausgaben 2025'!F$6)</f>
        <v>0</v>
      </c>
      <c r="G30" s="21">
        <f>SUMIFS(Einzelbeträge!$D:$D,Einzelbeträge!$C:$C,'Ausgaben 2025'!$C30,Einzelbeträge!$E:$E,'Ausgaben 2025'!G$6)</f>
        <v>0</v>
      </c>
      <c r="H30" s="21">
        <f>SUMIFS(Einzelbeträge!$D:$D,Einzelbeträge!$C:$C,'Ausgaben 2025'!$C30,Einzelbeträge!$E:$E,'Ausgaben 2025'!H$6)</f>
        <v>0</v>
      </c>
      <c r="I30" s="21">
        <f>SUMIFS(Einzelbeträge!$D:$D,Einzelbeträge!$C:$C,'Ausgaben 2025'!$C30,Einzelbeträge!$E:$E,'Ausgaben 2025'!I$6)</f>
        <v>0</v>
      </c>
      <c r="J30" s="21">
        <f>SUMIFS(Einzelbeträge!$D:$D,Einzelbeträge!$C:$C,'Ausgaben 2025'!$C30,Einzelbeträge!$E:$E,'Ausgaben 2025'!J$6)</f>
        <v>0</v>
      </c>
      <c r="K30" s="21">
        <f>SUMIFS(Einzelbeträge!$D:$D,Einzelbeträge!$C:$C,'Ausgaben 2025'!$C30,Einzelbeträge!$E:$E,'Ausgaben 2025'!K$6)</f>
        <v>0</v>
      </c>
      <c r="L30" s="21">
        <f>SUMIFS(Einzelbeträge!$D:$D,Einzelbeträge!$C:$C,'Ausgaben 2025'!$C30,Einzelbeträge!$E:$E,'Ausgaben 2025'!L$6)</f>
        <v>0</v>
      </c>
      <c r="M30" s="21">
        <f>SUMIFS(Einzelbeträge!$D:$D,Einzelbeträge!$C:$C,'Ausgaben 2025'!$C30,Einzelbeträge!$E:$E,'Ausgaben 2025'!M$6)</f>
        <v>0</v>
      </c>
      <c r="N30" s="35">
        <f>SUMIFS(Einzelbeträge!$D:$D,Einzelbeträge!$C:$C,'Ausgaben 2025'!$C30,Einzelbeträge!$E:$E,'Ausgaben 2025'!N$6)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16.06.2025 - 22.06.2025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45682</v>
      </c>
      <c r="D31" s="46">
        <f>SUMIFS(Einzelbeträge!$D:$D,Einzelbeträge!$C:$C,'Ausgaben 2025'!$C31)</f>
        <v>0</v>
      </c>
      <c r="E31" s="21">
        <f>SUMIFS(Einzelbeträge!$D:$D,Einzelbeträge!$C:$C,'Ausgaben 2025'!$C31,Einzelbeträge!$E:$E,'Ausgaben 2025'!E$6)</f>
        <v>0</v>
      </c>
      <c r="F31" s="21">
        <f>SUMIFS(Einzelbeträge!$D:$D,Einzelbeträge!$C:$C,'Ausgaben 2025'!$C31,Einzelbeträge!$E:$E,'Ausgaben 2025'!F$6)</f>
        <v>0</v>
      </c>
      <c r="G31" s="21">
        <f>SUMIFS(Einzelbeträge!$D:$D,Einzelbeträge!$C:$C,'Ausgaben 2025'!$C31,Einzelbeträge!$E:$E,'Ausgaben 2025'!G$6)</f>
        <v>0</v>
      </c>
      <c r="H31" s="21">
        <f>SUMIFS(Einzelbeträge!$D:$D,Einzelbeträge!$C:$C,'Ausgaben 2025'!$C31,Einzelbeträge!$E:$E,'Ausgaben 2025'!H$6)</f>
        <v>0</v>
      </c>
      <c r="I31" s="21">
        <f>SUMIFS(Einzelbeträge!$D:$D,Einzelbeträge!$C:$C,'Ausgaben 2025'!$C31,Einzelbeträge!$E:$E,'Ausgaben 2025'!I$6)</f>
        <v>0</v>
      </c>
      <c r="J31" s="21">
        <f>SUMIFS(Einzelbeträge!$D:$D,Einzelbeträge!$C:$C,'Ausgaben 2025'!$C31,Einzelbeträge!$E:$E,'Ausgaben 2025'!J$6)</f>
        <v>0</v>
      </c>
      <c r="K31" s="21">
        <f>SUMIFS(Einzelbeträge!$D:$D,Einzelbeträge!$C:$C,'Ausgaben 2025'!$C31,Einzelbeträge!$E:$E,'Ausgaben 2025'!K$6)</f>
        <v>0</v>
      </c>
      <c r="L31" s="21">
        <f>SUMIFS(Einzelbeträge!$D:$D,Einzelbeträge!$C:$C,'Ausgaben 2025'!$C31,Einzelbeträge!$E:$E,'Ausgaben 2025'!L$6)</f>
        <v>0</v>
      </c>
      <c r="M31" s="21">
        <f>SUMIFS(Einzelbeträge!$D:$D,Einzelbeträge!$C:$C,'Ausgaben 2025'!$C31,Einzelbeträge!$E:$E,'Ausgaben 2025'!M$6)</f>
        <v>0</v>
      </c>
      <c r="N31" s="35">
        <f>SUMIFS(Einzelbeträge!$D:$D,Einzelbeträge!$C:$C,'Ausgaben 2025'!$C31,Einzelbeträge!$E:$E,'Ausgaben 2025'!N$6)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23.06.2025 - 29.06.2025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45683</v>
      </c>
      <c r="D32" s="46">
        <f>SUMIFS(Einzelbeträge!$D:$D,Einzelbeträge!$C:$C,'Ausgaben 2025'!$C32)</f>
        <v>0</v>
      </c>
      <c r="E32" s="21">
        <f>SUMIFS(Einzelbeträge!$D:$D,Einzelbeträge!$C:$C,'Ausgaben 2025'!$C32,Einzelbeträge!$E:$E,'Ausgaben 2025'!E$6)</f>
        <v>0</v>
      </c>
      <c r="F32" s="21">
        <f>SUMIFS(Einzelbeträge!$D:$D,Einzelbeträge!$C:$C,'Ausgaben 2025'!$C32,Einzelbeträge!$E:$E,'Ausgaben 2025'!F$6)</f>
        <v>0</v>
      </c>
      <c r="G32" s="21">
        <f>SUMIFS(Einzelbeträge!$D:$D,Einzelbeträge!$C:$C,'Ausgaben 2025'!$C32,Einzelbeträge!$E:$E,'Ausgaben 2025'!G$6)</f>
        <v>0</v>
      </c>
      <c r="H32" s="21">
        <f>SUMIFS(Einzelbeträge!$D:$D,Einzelbeträge!$C:$C,'Ausgaben 2025'!$C32,Einzelbeträge!$E:$E,'Ausgaben 2025'!H$6)</f>
        <v>0</v>
      </c>
      <c r="I32" s="21">
        <f>SUMIFS(Einzelbeträge!$D:$D,Einzelbeträge!$C:$C,'Ausgaben 2025'!$C32,Einzelbeträge!$E:$E,'Ausgaben 2025'!I$6)</f>
        <v>0</v>
      </c>
      <c r="J32" s="21">
        <f>SUMIFS(Einzelbeträge!$D:$D,Einzelbeträge!$C:$C,'Ausgaben 2025'!$C32,Einzelbeträge!$E:$E,'Ausgaben 2025'!J$6)</f>
        <v>0</v>
      </c>
      <c r="K32" s="21">
        <f>SUMIFS(Einzelbeträge!$D:$D,Einzelbeträge!$C:$C,'Ausgaben 2025'!$C32,Einzelbeträge!$E:$E,'Ausgaben 2025'!K$6)</f>
        <v>0</v>
      </c>
      <c r="L32" s="21">
        <f>SUMIFS(Einzelbeträge!$D:$D,Einzelbeträge!$C:$C,'Ausgaben 2025'!$C32,Einzelbeträge!$E:$E,'Ausgaben 2025'!L$6)</f>
        <v>0</v>
      </c>
      <c r="M32" s="21">
        <f>SUMIFS(Einzelbeträge!$D:$D,Einzelbeträge!$C:$C,'Ausgaben 2025'!$C32,Einzelbeträge!$E:$E,'Ausgaben 2025'!M$6)</f>
        <v>0</v>
      </c>
      <c r="N32" s="35">
        <f>SUMIFS(Einzelbeträge!$D:$D,Einzelbeträge!$C:$C,'Ausgaben 2025'!$C32,Einzelbeträge!$E:$E,'Ausgaben 2025'!N$6)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30.06.2025 - 06.07.2025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45684</v>
      </c>
      <c r="D33" s="46">
        <f>SUMIFS(Einzelbeträge!$D:$D,Einzelbeträge!$C:$C,'Ausgaben 2025'!$C33)</f>
        <v>0</v>
      </c>
      <c r="E33" s="21">
        <f>SUMIFS(Einzelbeträge!$D:$D,Einzelbeträge!$C:$C,'Ausgaben 2025'!$C33,Einzelbeträge!$E:$E,'Ausgaben 2025'!E$6)</f>
        <v>0</v>
      </c>
      <c r="F33" s="21">
        <f>SUMIFS(Einzelbeträge!$D:$D,Einzelbeträge!$C:$C,'Ausgaben 2025'!$C33,Einzelbeträge!$E:$E,'Ausgaben 2025'!F$6)</f>
        <v>0</v>
      </c>
      <c r="G33" s="21">
        <f>SUMIFS(Einzelbeträge!$D:$D,Einzelbeträge!$C:$C,'Ausgaben 2025'!$C33,Einzelbeträge!$E:$E,'Ausgaben 2025'!G$6)</f>
        <v>0</v>
      </c>
      <c r="H33" s="21">
        <f>SUMIFS(Einzelbeträge!$D:$D,Einzelbeträge!$C:$C,'Ausgaben 2025'!$C33,Einzelbeträge!$E:$E,'Ausgaben 2025'!H$6)</f>
        <v>0</v>
      </c>
      <c r="I33" s="21">
        <f>SUMIFS(Einzelbeträge!$D:$D,Einzelbeträge!$C:$C,'Ausgaben 2025'!$C33,Einzelbeträge!$E:$E,'Ausgaben 2025'!I$6)</f>
        <v>0</v>
      </c>
      <c r="J33" s="21">
        <f>SUMIFS(Einzelbeträge!$D:$D,Einzelbeträge!$C:$C,'Ausgaben 2025'!$C33,Einzelbeträge!$E:$E,'Ausgaben 2025'!J$6)</f>
        <v>0</v>
      </c>
      <c r="K33" s="21">
        <f>SUMIFS(Einzelbeträge!$D:$D,Einzelbeträge!$C:$C,'Ausgaben 2025'!$C33,Einzelbeträge!$E:$E,'Ausgaben 2025'!K$6)</f>
        <v>0</v>
      </c>
      <c r="L33" s="21">
        <f>SUMIFS(Einzelbeträge!$D:$D,Einzelbeträge!$C:$C,'Ausgaben 2025'!$C33,Einzelbeträge!$E:$E,'Ausgaben 2025'!L$6)</f>
        <v>0</v>
      </c>
      <c r="M33" s="21">
        <f>SUMIFS(Einzelbeträge!$D:$D,Einzelbeträge!$C:$C,'Ausgaben 2025'!$C33,Einzelbeträge!$E:$E,'Ausgaben 2025'!M$6)</f>
        <v>0</v>
      </c>
      <c r="N33" s="35">
        <f>SUMIFS(Einzelbeträge!$D:$D,Einzelbeträge!$C:$C,'Ausgaben 2025'!$C33,Einzelbeträge!$E:$E,'Ausgaben 2025'!N$6)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07.07.2025 - 13.07.2025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45685</v>
      </c>
      <c r="D34" s="46">
        <f>SUMIFS(Einzelbeträge!$D:$D,Einzelbeträge!$C:$C,'Ausgaben 2025'!$C34)</f>
        <v>0</v>
      </c>
      <c r="E34" s="21">
        <f>SUMIFS(Einzelbeträge!$D:$D,Einzelbeträge!$C:$C,'Ausgaben 2025'!$C34,Einzelbeträge!$E:$E,'Ausgaben 2025'!E$6)</f>
        <v>0</v>
      </c>
      <c r="F34" s="21">
        <f>SUMIFS(Einzelbeträge!$D:$D,Einzelbeträge!$C:$C,'Ausgaben 2025'!$C34,Einzelbeträge!$E:$E,'Ausgaben 2025'!F$6)</f>
        <v>0</v>
      </c>
      <c r="G34" s="21">
        <f>SUMIFS(Einzelbeträge!$D:$D,Einzelbeträge!$C:$C,'Ausgaben 2025'!$C34,Einzelbeträge!$E:$E,'Ausgaben 2025'!G$6)</f>
        <v>0</v>
      </c>
      <c r="H34" s="21">
        <f>SUMIFS(Einzelbeträge!$D:$D,Einzelbeträge!$C:$C,'Ausgaben 2025'!$C34,Einzelbeträge!$E:$E,'Ausgaben 2025'!H$6)</f>
        <v>0</v>
      </c>
      <c r="I34" s="21">
        <f>SUMIFS(Einzelbeträge!$D:$D,Einzelbeträge!$C:$C,'Ausgaben 2025'!$C34,Einzelbeträge!$E:$E,'Ausgaben 2025'!I$6)</f>
        <v>0</v>
      </c>
      <c r="J34" s="21">
        <f>SUMIFS(Einzelbeträge!$D:$D,Einzelbeträge!$C:$C,'Ausgaben 2025'!$C34,Einzelbeträge!$E:$E,'Ausgaben 2025'!J$6)</f>
        <v>0</v>
      </c>
      <c r="K34" s="21">
        <f>SUMIFS(Einzelbeträge!$D:$D,Einzelbeträge!$C:$C,'Ausgaben 2025'!$C34,Einzelbeträge!$E:$E,'Ausgaben 2025'!K$6)</f>
        <v>0</v>
      </c>
      <c r="L34" s="21">
        <f>SUMIFS(Einzelbeträge!$D:$D,Einzelbeträge!$C:$C,'Ausgaben 2025'!$C34,Einzelbeträge!$E:$E,'Ausgaben 2025'!L$6)</f>
        <v>0</v>
      </c>
      <c r="M34" s="21">
        <f>SUMIFS(Einzelbeträge!$D:$D,Einzelbeträge!$C:$C,'Ausgaben 2025'!$C34,Einzelbeträge!$E:$E,'Ausgaben 2025'!M$6)</f>
        <v>0</v>
      </c>
      <c r="N34" s="35">
        <f>SUMIFS(Einzelbeträge!$D:$D,Einzelbeträge!$C:$C,'Ausgaben 2025'!$C34,Einzelbeträge!$E:$E,'Ausgaben 2025'!N$6)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14.07.2025 - 20.07.2025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45686</v>
      </c>
      <c r="D35" s="46">
        <f>SUMIFS(Einzelbeträge!$D:$D,Einzelbeträge!$C:$C,'Ausgaben 2025'!$C35)</f>
        <v>0</v>
      </c>
      <c r="E35" s="21">
        <f>SUMIFS(Einzelbeträge!$D:$D,Einzelbeträge!$C:$C,'Ausgaben 2025'!$C35,Einzelbeträge!$E:$E,'Ausgaben 2025'!E$6)</f>
        <v>0</v>
      </c>
      <c r="F35" s="21">
        <f>SUMIFS(Einzelbeträge!$D:$D,Einzelbeträge!$C:$C,'Ausgaben 2025'!$C35,Einzelbeträge!$E:$E,'Ausgaben 2025'!F$6)</f>
        <v>0</v>
      </c>
      <c r="G35" s="21">
        <f>SUMIFS(Einzelbeträge!$D:$D,Einzelbeträge!$C:$C,'Ausgaben 2025'!$C35,Einzelbeträge!$E:$E,'Ausgaben 2025'!G$6)</f>
        <v>0</v>
      </c>
      <c r="H35" s="21">
        <f>SUMIFS(Einzelbeträge!$D:$D,Einzelbeträge!$C:$C,'Ausgaben 2025'!$C35,Einzelbeträge!$E:$E,'Ausgaben 2025'!H$6)</f>
        <v>0</v>
      </c>
      <c r="I35" s="21">
        <f>SUMIFS(Einzelbeträge!$D:$D,Einzelbeträge!$C:$C,'Ausgaben 2025'!$C35,Einzelbeträge!$E:$E,'Ausgaben 2025'!I$6)</f>
        <v>0</v>
      </c>
      <c r="J35" s="21">
        <f>SUMIFS(Einzelbeträge!$D:$D,Einzelbeträge!$C:$C,'Ausgaben 2025'!$C35,Einzelbeträge!$E:$E,'Ausgaben 2025'!J$6)</f>
        <v>0</v>
      </c>
      <c r="K35" s="21">
        <f>SUMIFS(Einzelbeträge!$D:$D,Einzelbeträge!$C:$C,'Ausgaben 2025'!$C35,Einzelbeträge!$E:$E,'Ausgaben 2025'!K$6)</f>
        <v>0</v>
      </c>
      <c r="L35" s="21">
        <f>SUMIFS(Einzelbeträge!$D:$D,Einzelbeträge!$C:$C,'Ausgaben 2025'!$C35,Einzelbeträge!$E:$E,'Ausgaben 2025'!L$6)</f>
        <v>0</v>
      </c>
      <c r="M35" s="21">
        <f>SUMIFS(Einzelbeträge!$D:$D,Einzelbeträge!$C:$C,'Ausgaben 2025'!$C35,Einzelbeträge!$E:$E,'Ausgaben 2025'!M$6)</f>
        <v>0</v>
      </c>
      <c r="N35" s="35">
        <f>SUMIFS(Einzelbeträge!$D:$D,Einzelbeträge!$C:$C,'Ausgaben 2025'!$C35,Einzelbeträge!$E:$E,'Ausgaben 2025'!N$6)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21.07.2025 - 27.07.2025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45687</v>
      </c>
      <c r="D36" s="46">
        <f>SUMIFS(Einzelbeträge!$D:$D,Einzelbeträge!$C:$C,'Ausgaben 2025'!$C36)</f>
        <v>0</v>
      </c>
      <c r="E36" s="21">
        <f>SUMIFS(Einzelbeträge!$D:$D,Einzelbeträge!$C:$C,'Ausgaben 2025'!$C36,Einzelbeträge!$E:$E,'Ausgaben 2025'!E$6)</f>
        <v>0</v>
      </c>
      <c r="F36" s="21">
        <f>SUMIFS(Einzelbeträge!$D:$D,Einzelbeträge!$C:$C,'Ausgaben 2025'!$C36,Einzelbeträge!$E:$E,'Ausgaben 2025'!F$6)</f>
        <v>0</v>
      </c>
      <c r="G36" s="21">
        <f>SUMIFS(Einzelbeträge!$D:$D,Einzelbeträge!$C:$C,'Ausgaben 2025'!$C36,Einzelbeträge!$E:$E,'Ausgaben 2025'!G$6)</f>
        <v>0</v>
      </c>
      <c r="H36" s="21">
        <f>SUMIFS(Einzelbeträge!$D:$D,Einzelbeträge!$C:$C,'Ausgaben 2025'!$C36,Einzelbeträge!$E:$E,'Ausgaben 2025'!H$6)</f>
        <v>0</v>
      </c>
      <c r="I36" s="21">
        <f>SUMIFS(Einzelbeträge!$D:$D,Einzelbeträge!$C:$C,'Ausgaben 2025'!$C36,Einzelbeträge!$E:$E,'Ausgaben 2025'!I$6)</f>
        <v>0</v>
      </c>
      <c r="J36" s="21">
        <f>SUMIFS(Einzelbeträge!$D:$D,Einzelbeträge!$C:$C,'Ausgaben 2025'!$C36,Einzelbeträge!$E:$E,'Ausgaben 2025'!J$6)</f>
        <v>0</v>
      </c>
      <c r="K36" s="21">
        <f>SUMIFS(Einzelbeträge!$D:$D,Einzelbeträge!$C:$C,'Ausgaben 2025'!$C36,Einzelbeträge!$E:$E,'Ausgaben 2025'!K$6)</f>
        <v>0</v>
      </c>
      <c r="L36" s="21">
        <f>SUMIFS(Einzelbeträge!$D:$D,Einzelbeträge!$C:$C,'Ausgaben 2025'!$C36,Einzelbeträge!$E:$E,'Ausgaben 2025'!L$6)</f>
        <v>0</v>
      </c>
      <c r="M36" s="21">
        <f>SUMIFS(Einzelbeträge!$D:$D,Einzelbeträge!$C:$C,'Ausgaben 2025'!$C36,Einzelbeträge!$E:$E,'Ausgaben 2025'!M$6)</f>
        <v>0</v>
      </c>
      <c r="N36" s="35">
        <f>SUMIFS(Einzelbeträge!$D:$D,Einzelbeträge!$C:$C,'Ausgaben 2025'!$C36,Einzelbeträge!$E:$E,'Ausgaben 2025'!N$6)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28.07.2025 - 03.08.2025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45688</v>
      </c>
      <c r="D37" s="47">
        <f>SUMIFS(Einzelbeträge!$D:$D,Einzelbeträge!$C:$C,'Ausgaben 2025'!$C37)</f>
        <v>0</v>
      </c>
      <c r="E37" s="37">
        <f>SUMIFS(Einzelbeträge!$D:$D,Einzelbeträge!$C:$C,'Ausgaben 2025'!$C37,Einzelbeträge!$E:$E,'Ausgaben 2025'!E$6)</f>
        <v>0</v>
      </c>
      <c r="F37" s="37">
        <f>SUMIFS(Einzelbeträge!$D:$D,Einzelbeträge!$C:$C,'Ausgaben 2025'!$C37,Einzelbeträge!$E:$E,'Ausgaben 2025'!F$6)</f>
        <v>0</v>
      </c>
      <c r="G37" s="37">
        <f>SUMIFS(Einzelbeträge!$D:$D,Einzelbeträge!$C:$C,'Ausgaben 2025'!$C37,Einzelbeträge!$E:$E,'Ausgaben 2025'!G$6)</f>
        <v>0</v>
      </c>
      <c r="H37" s="37">
        <f>SUMIFS(Einzelbeträge!$D:$D,Einzelbeträge!$C:$C,'Ausgaben 2025'!$C37,Einzelbeträge!$E:$E,'Ausgaben 2025'!H$6)</f>
        <v>0</v>
      </c>
      <c r="I37" s="37">
        <f>SUMIFS(Einzelbeträge!$D:$D,Einzelbeträge!$C:$C,'Ausgaben 2025'!$C37,Einzelbeträge!$E:$E,'Ausgaben 2025'!I$6)</f>
        <v>0</v>
      </c>
      <c r="J37" s="37">
        <f>SUMIFS(Einzelbeträge!$D:$D,Einzelbeträge!$C:$C,'Ausgaben 2025'!$C37,Einzelbeträge!$E:$E,'Ausgaben 2025'!J$6)</f>
        <v>0</v>
      </c>
      <c r="K37" s="37">
        <f>SUMIFS(Einzelbeträge!$D:$D,Einzelbeträge!$C:$C,'Ausgaben 2025'!$C37,Einzelbeträge!$E:$E,'Ausgaben 2025'!K$6)</f>
        <v>0</v>
      </c>
      <c r="L37" s="37">
        <f>SUMIFS(Einzelbeträge!$D:$D,Einzelbeträge!$C:$C,'Ausgaben 2025'!$C37,Einzelbeträge!$E:$E,'Ausgaben 2025'!L$6)</f>
        <v>0</v>
      </c>
      <c r="M37" s="37">
        <f>SUMIFS(Einzelbeträge!$D:$D,Einzelbeträge!$C:$C,'Ausgaben 2025'!$C37,Einzelbeträge!$E:$E,'Ausgaben 2025'!M$6)</f>
        <v>0</v>
      </c>
      <c r="N37" s="38">
        <f>SUMIFS(Einzelbeträge!$D:$D,Einzelbeträge!$C:$C,'Ausgaben 2025'!$C37,Einzelbeträge!$E:$E,'Ausgaben 2025'!N$6)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04.08.2025 - 10.08.2025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11.08.2025 - 17.08.2025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18.08.2025 - 24.08.2025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25.08.2025 - 31.08.2025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45689</v>
      </c>
      <c r="D41" s="45">
        <f>SUMIFS(Einzelbeträge!$D:$D,Einzelbeträge!$C:$C,'Ausgaben 2025'!$C41)</f>
        <v>0</v>
      </c>
      <c r="E41" s="88">
        <f>SUMIFS(Einzelbeträge!$D:$D,Einzelbeträge!$C:$C,'Ausgaben 2025'!$C41,Einzelbeträge!$E:$E,'Ausgaben 2025'!E$6)</f>
        <v>0</v>
      </c>
      <c r="F41" s="32">
        <f>SUMIFS(Einzelbeträge!$D:$D,Einzelbeträge!$C:$C,'Ausgaben 2025'!$C41,Einzelbeträge!$E:$E,'Ausgaben 2025'!F$6)</f>
        <v>0</v>
      </c>
      <c r="G41" s="32">
        <f>SUMIFS(Einzelbeträge!$D:$D,Einzelbeträge!$C:$C,'Ausgaben 2025'!$C41,Einzelbeträge!$E:$E,'Ausgaben 2025'!G$6)</f>
        <v>0</v>
      </c>
      <c r="H41" s="32">
        <f>SUMIFS(Einzelbeträge!$D:$D,Einzelbeträge!$C:$C,'Ausgaben 2025'!$C41,Einzelbeträge!$E:$E,'Ausgaben 2025'!H$6)</f>
        <v>0</v>
      </c>
      <c r="I41" s="32">
        <f>SUMIFS(Einzelbeträge!$D:$D,Einzelbeträge!$C:$C,'Ausgaben 2025'!$C41,Einzelbeträge!$E:$E,'Ausgaben 2025'!I$6)</f>
        <v>0</v>
      </c>
      <c r="J41" s="32">
        <f>SUMIFS(Einzelbeträge!$D:$D,Einzelbeträge!$C:$C,'Ausgaben 2025'!$C41,Einzelbeträge!$E:$E,'Ausgaben 2025'!J$6)</f>
        <v>0</v>
      </c>
      <c r="K41" s="32">
        <f>SUMIFS(Einzelbeträge!$D:$D,Einzelbeträge!$C:$C,'Ausgaben 2025'!$C41,Einzelbeträge!$E:$E,'Ausgaben 2025'!K$6)</f>
        <v>0</v>
      </c>
      <c r="L41" s="32">
        <f>SUMIFS(Einzelbeträge!$D:$D,Einzelbeträge!$C:$C,'Ausgaben 2025'!$C41,Einzelbeträge!$E:$E,'Ausgaben 2025'!L$6)</f>
        <v>0</v>
      </c>
      <c r="M41" s="32">
        <f>SUMIFS(Einzelbeträge!$D:$D,Einzelbeträge!$C:$C,'Ausgaben 2025'!$C41,Einzelbeträge!$E:$E,'Ausgaben 2025'!M$6)</f>
        <v>0</v>
      </c>
      <c r="N41" s="33">
        <f>SUMIFS(Einzelbeträge!$D:$D,Einzelbeträge!$C:$C,'Ausgaben 2025'!$C41,Einzelbeträge!$E:$E,'Ausgaben 2025'!N$6)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01.09.2025 - 07.09.2025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45690</v>
      </c>
      <c r="D42" s="46">
        <f>SUMIFS(Einzelbeträge!$D:$D,Einzelbeträge!$C:$C,'Ausgaben 2025'!$C42)</f>
        <v>0</v>
      </c>
      <c r="E42" s="34">
        <f>SUMIFS(Einzelbeträge!$D:$D,Einzelbeträge!$C:$C,'Ausgaben 2025'!$C42,Einzelbeträge!$E:$E,'Ausgaben 2025'!E$6)</f>
        <v>0</v>
      </c>
      <c r="F42" s="21">
        <f>SUMIFS(Einzelbeträge!$D:$D,Einzelbeträge!$C:$C,'Ausgaben 2025'!$C42,Einzelbeträge!$E:$E,'Ausgaben 2025'!F$6)</f>
        <v>0</v>
      </c>
      <c r="G42" s="21">
        <f>SUMIFS(Einzelbeträge!$D:$D,Einzelbeträge!$C:$C,'Ausgaben 2025'!$C42,Einzelbeträge!$E:$E,'Ausgaben 2025'!G$6)</f>
        <v>0</v>
      </c>
      <c r="H42" s="21">
        <f>SUMIFS(Einzelbeträge!$D:$D,Einzelbeträge!$C:$C,'Ausgaben 2025'!$C42,Einzelbeträge!$E:$E,'Ausgaben 2025'!H$6)</f>
        <v>0</v>
      </c>
      <c r="I42" s="21">
        <f>SUMIFS(Einzelbeträge!$D:$D,Einzelbeträge!$C:$C,'Ausgaben 2025'!$C42,Einzelbeträge!$E:$E,'Ausgaben 2025'!I$6)</f>
        <v>0</v>
      </c>
      <c r="J42" s="21">
        <f>SUMIFS(Einzelbeträge!$D:$D,Einzelbeträge!$C:$C,'Ausgaben 2025'!$C42,Einzelbeträge!$E:$E,'Ausgaben 2025'!J$6)</f>
        <v>0</v>
      </c>
      <c r="K42" s="21">
        <f>SUMIFS(Einzelbeträge!$D:$D,Einzelbeträge!$C:$C,'Ausgaben 2025'!$C42,Einzelbeträge!$E:$E,'Ausgaben 2025'!K$6)</f>
        <v>0</v>
      </c>
      <c r="L42" s="21">
        <f>SUMIFS(Einzelbeträge!$D:$D,Einzelbeträge!$C:$C,'Ausgaben 2025'!$C42,Einzelbeträge!$E:$E,'Ausgaben 2025'!L$6)</f>
        <v>0</v>
      </c>
      <c r="M42" s="21">
        <f>SUMIFS(Einzelbeträge!$D:$D,Einzelbeträge!$C:$C,'Ausgaben 2025'!$C42,Einzelbeträge!$E:$E,'Ausgaben 2025'!M$6)</f>
        <v>0</v>
      </c>
      <c r="N42" s="35">
        <f>SUMIFS(Einzelbeträge!$D:$D,Einzelbeträge!$C:$C,'Ausgaben 2025'!$C42,Einzelbeträge!$E:$E,'Ausgaben 2025'!N$6)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08.09.2025 - 14.09.2025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45691</v>
      </c>
      <c r="D43" s="46">
        <f>SUMIFS(Einzelbeträge!$D:$D,Einzelbeträge!$C:$C,'Ausgaben 2025'!$C43)</f>
        <v>0</v>
      </c>
      <c r="E43" s="34">
        <f>SUMIFS(Einzelbeträge!$D:$D,Einzelbeträge!$C:$C,'Ausgaben 2025'!$C43,Einzelbeträge!$E:$E,'Ausgaben 2025'!E$6)</f>
        <v>0</v>
      </c>
      <c r="F43" s="21">
        <f>SUMIFS(Einzelbeträge!$D:$D,Einzelbeträge!$C:$C,'Ausgaben 2025'!$C43,Einzelbeträge!$E:$E,'Ausgaben 2025'!F$6)</f>
        <v>0</v>
      </c>
      <c r="G43" s="21">
        <f>SUMIFS(Einzelbeträge!$D:$D,Einzelbeträge!$C:$C,'Ausgaben 2025'!$C43,Einzelbeträge!$E:$E,'Ausgaben 2025'!G$6)</f>
        <v>0</v>
      </c>
      <c r="H43" s="21">
        <f>SUMIFS(Einzelbeträge!$D:$D,Einzelbeträge!$C:$C,'Ausgaben 2025'!$C43,Einzelbeträge!$E:$E,'Ausgaben 2025'!H$6)</f>
        <v>0</v>
      </c>
      <c r="I43" s="21">
        <f>SUMIFS(Einzelbeträge!$D:$D,Einzelbeträge!$C:$C,'Ausgaben 2025'!$C43,Einzelbeträge!$E:$E,'Ausgaben 2025'!I$6)</f>
        <v>0</v>
      </c>
      <c r="J43" s="21">
        <f>SUMIFS(Einzelbeträge!$D:$D,Einzelbeträge!$C:$C,'Ausgaben 2025'!$C43,Einzelbeträge!$E:$E,'Ausgaben 2025'!J$6)</f>
        <v>0</v>
      </c>
      <c r="K43" s="21">
        <f>SUMIFS(Einzelbeträge!$D:$D,Einzelbeträge!$C:$C,'Ausgaben 2025'!$C43,Einzelbeträge!$E:$E,'Ausgaben 2025'!K$6)</f>
        <v>0</v>
      </c>
      <c r="L43" s="21">
        <f>SUMIFS(Einzelbeträge!$D:$D,Einzelbeträge!$C:$C,'Ausgaben 2025'!$C43,Einzelbeträge!$E:$E,'Ausgaben 2025'!L$6)</f>
        <v>0</v>
      </c>
      <c r="M43" s="21">
        <f>SUMIFS(Einzelbeträge!$D:$D,Einzelbeträge!$C:$C,'Ausgaben 2025'!$C43,Einzelbeträge!$E:$E,'Ausgaben 2025'!M$6)</f>
        <v>0</v>
      </c>
      <c r="N43" s="35">
        <f>SUMIFS(Einzelbeträge!$D:$D,Einzelbeträge!$C:$C,'Ausgaben 2025'!$C43,Einzelbeträge!$E:$E,'Ausgaben 2025'!N$6)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15.09.2025 - 21.09.2025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45692</v>
      </c>
      <c r="D44" s="46">
        <f>SUMIFS(Einzelbeträge!$D:$D,Einzelbeträge!$C:$C,'Ausgaben 2025'!$C44)</f>
        <v>0</v>
      </c>
      <c r="E44" s="34">
        <f>SUMIFS(Einzelbeträge!$D:$D,Einzelbeträge!$C:$C,'Ausgaben 2025'!$C44,Einzelbeträge!$E:$E,'Ausgaben 2025'!E$6)</f>
        <v>0</v>
      </c>
      <c r="F44" s="21">
        <f>SUMIFS(Einzelbeträge!$D:$D,Einzelbeträge!$C:$C,'Ausgaben 2025'!$C44,Einzelbeträge!$E:$E,'Ausgaben 2025'!F$6)</f>
        <v>0</v>
      </c>
      <c r="G44" s="21">
        <f>SUMIFS(Einzelbeträge!$D:$D,Einzelbeträge!$C:$C,'Ausgaben 2025'!$C44,Einzelbeträge!$E:$E,'Ausgaben 2025'!G$6)</f>
        <v>0</v>
      </c>
      <c r="H44" s="21">
        <f>SUMIFS(Einzelbeträge!$D:$D,Einzelbeträge!$C:$C,'Ausgaben 2025'!$C44,Einzelbeträge!$E:$E,'Ausgaben 2025'!H$6)</f>
        <v>0</v>
      </c>
      <c r="I44" s="21">
        <f>SUMIFS(Einzelbeträge!$D:$D,Einzelbeträge!$C:$C,'Ausgaben 2025'!$C44,Einzelbeträge!$E:$E,'Ausgaben 2025'!I$6)</f>
        <v>0</v>
      </c>
      <c r="J44" s="21">
        <f>SUMIFS(Einzelbeträge!$D:$D,Einzelbeträge!$C:$C,'Ausgaben 2025'!$C44,Einzelbeträge!$E:$E,'Ausgaben 2025'!J$6)</f>
        <v>0</v>
      </c>
      <c r="K44" s="21">
        <f>SUMIFS(Einzelbeträge!$D:$D,Einzelbeträge!$C:$C,'Ausgaben 2025'!$C44,Einzelbeträge!$E:$E,'Ausgaben 2025'!K$6)</f>
        <v>0</v>
      </c>
      <c r="L44" s="21">
        <f>SUMIFS(Einzelbeträge!$D:$D,Einzelbeträge!$C:$C,'Ausgaben 2025'!$C44,Einzelbeträge!$E:$E,'Ausgaben 2025'!L$6)</f>
        <v>0</v>
      </c>
      <c r="M44" s="21">
        <f>SUMIFS(Einzelbeträge!$D:$D,Einzelbeträge!$C:$C,'Ausgaben 2025'!$C44,Einzelbeträge!$E:$E,'Ausgaben 2025'!M$6)</f>
        <v>0</v>
      </c>
      <c r="N44" s="35">
        <f>SUMIFS(Einzelbeträge!$D:$D,Einzelbeträge!$C:$C,'Ausgaben 2025'!$C44,Einzelbeträge!$E:$E,'Ausgaben 2025'!N$6)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22.09.2025 - 28.09.2025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45693</v>
      </c>
      <c r="D45" s="46">
        <f>SUMIFS(Einzelbeträge!$D:$D,Einzelbeträge!$C:$C,'Ausgaben 2025'!$C45)</f>
        <v>0</v>
      </c>
      <c r="E45" s="34">
        <f>SUMIFS(Einzelbeträge!$D:$D,Einzelbeträge!$C:$C,'Ausgaben 2025'!$C45,Einzelbeträge!$E:$E,'Ausgaben 2025'!E$6)</f>
        <v>0</v>
      </c>
      <c r="F45" s="21">
        <f>SUMIFS(Einzelbeträge!$D:$D,Einzelbeträge!$C:$C,'Ausgaben 2025'!$C45,Einzelbeträge!$E:$E,'Ausgaben 2025'!F$6)</f>
        <v>0</v>
      </c>
      <c r="G45" s="21">
        <f>SUMIFS(Einzelbeträge!$D:$D,Einzelbeträge!$C:$C,'Ausgaben 2025'!$C45,Einzelbeträge!$E:$E,'Ausgaben 2025'!G$6)</f>
        <v>0</v>
      </c>
      <c r="H45" s="21">
        <f>SUMIFS(Einzelbeträge!$D:$D,Einzelbeträge!$C:$C,'Ausgaben 2025'!$C45,Einzelbeträge!$E:$E,'Ausgaben 2025'!H$6)</f>
        <v>0</v>
      </c>
      <c r="I45" s="21">
        <f>SUMIFS(Einzelbeträge!$D:$D,Einzelbeträge!$C:$C,'Ausgaben 2025'!$C45,Einzelbeträge!$E:$E,'Ausgaben 2025'!I$6)</f>
        <v>0</v>
      </c>
      <c r="J45" s="21">
        <f>SUMIFS(Einzelbeträge!$D:$D,Einzelbeträge!$C:$C,'Ausgaben 2025'!$C45,Einzelbeträge!$E:$E,'Ausgaben 2025'!J$6)</f>
        <v>0</v>
      </c>
      <c r="K45" s="21">
        <f>SUMIFS(Einzelbeträge!$D:$D,Einzelbeträge!$C:$C,'Ausgaben 2025'!$C45,Einzelbeträge!$E:$E,'Ausgaben 2025'!K$6)</f>
        <v>0</v>
      </c>
      <c r="L45" s="21">
        <f>SUMIFS(Einzelbeträge!$D:$D,Einzelbeträge!$C:$C,'Ausgaben 2025'!$C45,Einzelbeträge!$E:$E,'Ausgaben 2025'!L$6)</f>
        <v>0</v>
      </c>
      <c r="M45" s="21">
        <f>SUMIFS(Einzelbeträge!$D:$D,Einzelbeträge!$C:$C,'Ausgaben 2025'!$C45,Einzelbeträge!$E:$E,'Ausgaben 2025'!M$6)</f>
        <v>0</v>
      </c>
      <c r="N45" s="35">
        <f>SUMIFS(Einzelbeträge!$D:$D,Einzelbeträge!$C:$C,'Ausgaben 2025'!$C45,Einzelbeträge!$E:$E,'Ausgaben 2025'!N$6)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29.09.2025 - 05.10.2025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45694</v>
      </c>
      <c r="D46" s="46">
        <f>SUMIFS(Einzelbeträge!$D:$D,Einzelbeträge!$C:$C,'Ausgaben 2025'!$C46)</f>
        <v>0</v>
      </c>
      <c r="E46" s="34">
        <f>SUMIFS(Einzelbeträge!$D:$D,Einzelbeträge!$C:$C,'Ausgaben 2025'!$C46,Einzelbeträge!$E:$E,'Ausgaben 2025'!E$6)</f>
        <v>0</v>
      </c>
      <c r="F46" s="21">
        <f>SUMIFS(Einzelbeträge!$D:$D,Einzelbeträge!$C:$C,'Ausgaben 2025'!$C46,Einzelbeträge!$E:$E,'Ausgaben 2025'!F$6)</f>
        <v>0</v>
      </c>
      <c r="G46" s="21">
        <f>SUMIFS(Einzelbeträge!$D:$D,Einzelbeträge!$C:$C,'Ausgaben 2025'!$C46,Einzelbeträge!$E:$E,'Ausgaben 2025'!G$6)</f>
        <v>0</v>
      </c>
      <c r="H46" s="21">
        <f>SUMIFS(Einzelbeträge!$D:$D,Einzelbeträge!$C:$C,'Ausgaben 2025'!$C46,Einzelbeträge!$E:$E,'Ausgaben 2025'!H$6)</f>
        <v>0</v>
      </c>
      <c r="I46" s="21">
        <f>SUMIFS(Einzelbeträge!$D:$D,Einzelbeträge!$C:$C,'Ausgaben 2025'!$C46,Einzelbeträge!$E:$E,'Ausgaben 2025'!I$6)</f>
        <v>0</v>
      </c>
      <c r="J46" s="21">
        <f>SUMIFS(Einzelbeträge!$D:$D,Einzelbeträge!$C:$C,'Ausgaben 2025'!$C46,Einzelbeträge!$E:$E,'Ausgaben 2025'!J$6)</f>
        <v>0</v>
      </c>
      <c r="K46" s="21">
        <f>SUMIFS(Einzelbeträge!$D:$D,Einzelbeträge!$C:$C,'Ausgaben 2025'!$C46,Einzelbeträge!$E:$E,'Ausgaben 2025'!K$6)</f>
        <v>0</v>
      </c>
      <c r="L46" s="21">
        <f>SUMIFS(Einzelbeträge!$D:$D,Einzelbeträge!$C:$C,'Ausgaben 2025'!$C46,Einzelbeträge!$E:$E,'Ausgaben 2025'!L$6)</f>
        <v>0</v>
      </c>
      <c r="M46" s="21">
        <f>SUMIFS(Einzelbeträge!$D:$D,Einzelbeträge!$C:$C,'Ausgaben 2025'!$C46,Einzelbeträge!$E:$E,'Ausgaben 2025'!M$6)</f>
        <v>0</v>
      </c>
      <c r="N46" s="35">
        <f>SUMIFS(Einzelbeträge!$D:$D,Einzelbeträge!$C:$C,'Ausgaben 2025'!$C46,Einzelbeträge!$E:$E,'Ausgaben 2025'!N$6)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06.10.2025 - 12.10.2025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45695</v>
      </c>
      <c r="D47" s="46">
        <f>SUMIFS(Einzelbeträge!$D:$D,Einzelbeträge!$C:$C,'Ausgaben 2025'!$C47)</f>
        <v>0</v>
      </c>
      <c r="E47" s="34">
        <f>SUMIFS(Einzelbeträge!$D:$D,Einzelbeträge!$C:$C,'Ausgaben 2025'!$C47,Einzelbeträge!$E:$E,'Ausgaben 2025'!E$6)</f>
        <v>0</v>
      </c>
      <c r="F47" s="21">
        <f>SUMIFS(Einzelbeträge!$D:$D,Einzelbeträge!$C:$C,'Ausgaben 2025'!$C47,Einzelbeträge!$E:$E,'Ausgaben 2025'!F$6)</f>
        <v>0</v>
      </c>
      <c r="G47" s="21">
        <f>SUMIFS(Einzelbeträge!$D:$D,Einzelbeträge!$C:$C,'Ausgaben 2025'!$C47,Einzelbeträge!$E:$E,'Ausgaben 2025'!G$6)</f>
        <v>0</v>
      </c>
      <c r="H47" s="21">
        <f>SUMIFS(Einzelbeträge!$D:$D,Einzelbeträge!$C:$C,'Ausgaben 2025'!$C47,Einzelbeträge!$E:$E,'Ausgaben 2025'!H$6)</f>
        <v>0</v>
      </c>
      <c r="I47" s="21">
        <f>SUMIFS(Einzelbeträge!$D:$D,Einzelbeträge!$C:$C,'Ausgaben 2025'!$C47,Einzelbeträge!$E:$E,'Ausgaben 2025'!I$6)</f>
        <v>0</v>
      </c>
      <c r="J47" s="21">
        <f>SUMIFS(Einzelbeträge!$D:$D,Einzelbeträge!$C:$C,'Ausgaben 2025'!$C47,Einzelbeträge!$E:$E,'Ausgaben 2025'!J$6)</f>
        <v>0</v>
      </c>
      <c r="K47" s="21">
        <f>SUMIFS(Einzelbeträge!$D:$D,Einzelbeträge!$C:$C,'Ausgaben 2025'!$C47,Einzelbeträge!$E:$E,'Ausgaben 2025'!K$6)</f>
        <v>0</v>
      </c>
      <c r="L47" s="21">
        <f>SUMIFS(Einzelbeträge!$D:$D,Einzelbeträge!$C:$C,'Ausgaben 2025'!$C47,Einzelbeträge!$E:$E,'Ausgaben 2025'!L$6)</f>
        <v>0</v>
      </c>
      <c r="M47" s="21">
        <f>SUMIFS(Einzelbeträge!$D:$D,Einzelbeträge!$C:$C,'Ausgaben 2025'!$C47,Einzelbeträge!$E:$E,'Ausgaben 2025'!M$6)</f>
        <v>0</v>
      </c>
      <c r="N47" s="35">
        <f>SUMIFS(Einzelbeträge!$D:$D,Einzelbeträge!$C:$C,'Ausgaben 2025'!$C47,Einzelbeträge!$E:$E,'Ausgaben 2025'!N$6)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13.10.2025 - 19.10.2025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45696</v>
      </c>
      <c r="D48" s="46">
        <f>SUMIFS(Einzelbeträge!$D:$D,Einzelbeträge!$C:$C,'Ausgaben 2025'!$C48)</f>
        <v>0</v>
      </c>
      <c r="E48" s="34">
        <f>SUMIFS(Einzelbeträge!$D:$D,Einzelbeträge!$C:$C,'Ausgaben 2025'!$C48,Einzelbeträge!$E:$E,'Ausgaben 2025'!E$6)</f>
        <v>0</v>
      </c>
      <c r="F48" s="21">
        <f>SUMIFS(Einzelbeträge!$D:$D,Einzelbeträge!$C:$C,'Ausgaben 2025'!$C48,Einzelbeträge!$E:$E,'Ausgaben 2025'!F$6)</f>
        <v>0</v>
      </c>
      <c r="G48" s="21">
        <f>SUMIFS(Einzelbeträge!$D:$D,Einzelbeträge!$C:$C,'Ausgaben 2025'!$C48,Einzelbeträge!$E:$E,'Ausgaben 2025'!G$6)</f>
        <v>0</v>
      </c>
      <c r="H48" s="21">
        <f>SUMIFS(Einzelbeträge!$D:$D,Einzelbeträge!$C:$C,'Ausgaben 2025'!$C48,Einzelbeträge!$E:$E,'Ausgaben 2025'!H$6)</f>
        <v>0</v>
      </c>
      <c r="I48" s="21">
        <f>SUMIFS(Einzelbeträge!$D:$D,Einzelbeträge!$C:$C,'Ausgaben 2025'!$C48,Einzelbeträge!$E:$E,'Ausgaben 2025'!I$6)</f>
        <v>0</v>
      </c>
      <c r="J48" s="21">
        <f>SUMIFS(Einzelbeträge!$D:$D,Einzelbeträge!$C:$C,'Ausgaben 2025'!$C48,Einzelbeträge!$E:$E,'Ausgaben 2025'!J$6)</f>
        <v>0</v>
      </c>
      <c r="K48" s="21">
        <f>SUMIFS(Einzelbeträge!$D:$D,Einzelbeträge!$C:$C,'Ausgaben 2025'!$C48,Einzelbeträge!$E:$E,'Ausgaben 2025'!K$6)</f>
        <v>0</v>
      </c>
      <c r="L48" s="21">
        <f>SUMIFS(Einzelbeträge!$D:$D,Einzelbeträge!$C:$C,'Ausgaben 2025'!$C48,Einzelbeträge!$E:$E,'Ausgaben 2025'!L$6)</f>
        <v>0</v>
      </c>
      <c r="M48" s="21">
        <f>SUMIFS(Einzelbeträge!$D:$D,Einzelbeträge!$C:$C,'Ausgaben 2025'!$C48,Einzelbeträge!$E:$E,'Ausgaben 2025'!M$6)</f>
        <v>0</v>
      </c>
      <c r="N48" s="35">
        <f>SUMIFS(Einzelbeträge!$D:$D,Einzelbeträge!$C:$C,'Ausgaben 2025'!$C48,Einzelbeträge!$E:$E,'Ausgaben 2025'!N$6)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20.10.2025 - 26.10.2025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45697</v>
      </c>
      <c r="D49" s="46">
        <f>SUMIFS(Einzelbeträge!$D:$D,Einzelbeträge!$C:$C,'Ausgaben 2025'!$C49)</f>
        <v>0</v>
      </c>
      <c r="E49" s="34">
        <f>SUMIFS(Einzelbeträge!$D:$D,Einzelbeträge!$C:$C,'Ausgaben 2025'!$C49,Einzelbeträge!$E:$E,'Ausgaben 2025'!E$6)</f>
        <v>0</v>
      </c>
      <c r="F49" s="21">
        <f>SUMIFS(Einzelbeträge!$D:$D,Einzelbeträge!$C:$C,'Ausgaben 2025'!$C49,Einzelbeträge!$E:$E,'Ausgaben 2025'!F$6)</f>
        <v>0</v>
      </c>
      <c r="G49" s="21">
        <f>SUMIFS(Einzelbeträge!$D:$D,Einzelbeträge!$C:$C,'Ausgaben 2025'!$C49,Einzelbeträge!$E:$E,'Ausgaben 2025'!G$6)</f>
        <v>0</v>
      </c>
      <c r="H49" s="21">
        <f>SUMIFS(Einzelbeträge!$D:$D,Einzelbeträge!$C:$C,'Ausgaben 2025'!$C49,Einzelbeträge!$E:$E,'Ausgaben 2025'!H$6)</f>
        <v>0</v>
      </c>
      <c r="I49" s="21">
        <f>SUMIFS(Einzelbeträge!$D:$D,Einzelbeträge!$C:$C,'Ausgaben 2025'!$C49,Einzelbeträge!$E:$E,'Ausgaben 2025'!I$6)</f>
        <v>0</v>
      </c>
      <c r="J49" s="21">
        <f>SUMIFS(Einzelbeträge!$D:$D,Einzelbeträge!$C:$C,'Ausgaben 2025'!$C49,Einzelbeträge!$E:$E,'Ausgaben 2025'!J$6)</f>
        <v>0</v>
      </c>
      <c r="K49" s="21">
        <f>SUMIFS(Einzelbeträge!$D:$D,Einzelbeträge!$C:$C,'Ausgaben 2025'!$C49,Einzelbeträge!$E:$E,'Ausgaben 2025'!K$6)</f>
        <v>0</v>
      </c>
      <c r="L49" s="21">
        <f>SUMIFS(Einzelbeträge!$D:$D,Einzelbeträge!$C:$C,'Ausgaben 2025'!$C49,Einzelbeträge!$E:$E,'Ausgaben 2025'!L$6)</f>
        <v>0</v>
      </c>
      <c r="M49" s="21">
        <f>SUMIFS(Einzelbeträge!$D:$D,Einzelbeträge!$C:$C,'Ausgaben 2025'!$C49,Einzelbeträge!$E:$E,'Ausgaben 2025'!M$6)</f>
        <v>0</v>
      </c>
      <c r="N49" s="35">
        <f>SUMIFS(Einzelbeträge!$D:$D,Einzelbeträge!$C:$C,'Ausgaben 2025'!$C49,Einzelbeträge!$E:$E,'Ausgaben 2025'!N$6)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27.10.2025 - 02.11.2025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45698</v>
      </c>
      <c r="D50" s="46">
        <f>SUMIFS(Einzelbeträge!$D:$D,Einzelbeträge!$C:$C,'Ausgaben 2025'!$C50)</f>
        <v>0</v>
      </c>
      <c r="E50" s="34">
        <f>SUMIFS(Einzelbeträge!$D:$D,Einzelbeträge!$C:$C,'Ausgaben 2025'!$C50,Einzelbeträge!$E:$E,'Ausgaben 2025'!E$6)</f>
        <v>0</v>
      </c>
      <c r="F50" s="21">
        <f>SUMIFS(Einzelbeträge!$D:$D,Einzelbeträge!$C:$C,'Ausgaben 2025'!$C50,Einzelbeträge!$E:$E,'Ausgaben 2025'!F$6)</f>
        <v>0</v>
      </c>
      <c r="G50" s="21">
        <f>SUMIFS(Einzelbeträge!$D:$D,Einzelbeträge!$C:$C,'Ausgaben 2025'!$C50,Einzelbeträge!$E:$E,'Ausgaben 2025'!G$6)</f>
        <v>0</v>
      </c>
      <c r="H50" s="21">
        <f>SUMIFS(Einzelbeträge!$D:$D,Einzelbeträge!$C:$C,'Ausgaben 2025'!$C50,Einzelbeträge!$E:$E,'Ausgaben 2025'!H$6)</f>
        <v>0</v>
      </c>
      <c r="I50" s="21">
        <f>SUMIFS(Einzelbeträge!$D:$D,Einzelbeträge!$C:$C,'Ausgaben 2025'!$C50,Einzelbeträge!$E:$E,'Ausgaben 2025'!I$6)</f>
        <v>0</v>
      </c>
      <c r="J50" s="21">
        <f>SUMIFS(Einzelbeträge!$D:$D,Einzelbeträge!$C:$C,'Ausgaben 2025'!$C50,Einzelbeträge!$E:$E,'Ausgaben 2025'!J$6)</f>
        <v>0</v>
      </c>
      <c r="K50" s="21">
        <f>SUMIFS(Einzelbeträge!$D:$D,Einzelbeträge!$C:$C,'Ausgaben 2025'!$C50,Einzelbeträge!$E:$E,'Ausgaben 2025'!K$6)</f>
        <v>0</v>
      </c>
      <c r="L50" s="21">
        <f>SUMIFS(Einzelbeträge!$D:$D,Einzelbeträge!$C:$C,'Ausgaben 2025'!$C50,Einzelbeträge!$E:$E,'Ausgaben 2025'!L$6)</f>
        <v>0</v>
      </c>
      <c r="M50" s="21">
        <f>SUMIFS(Einzelbeträge!$D:$D,Einzelbeträge!$C:$C,'Ausgaben 2025'!$C50,Einzelbeträge!$E:$E,'Ausgaben 2025'!M$6)</f>
        <v>0</v>
      </c>
      <c r="N50" s="35">
        <f>SUMIFS(Einzelbeträge!$D:$D,Einzelbeträge!$C:$C,'Ausgaben 2025'!$C50,Einzelbeträge!$E:$E,'Ausgaben 2025'!N$6)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03.11.2025 - 09.11.2025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45699</v>
      </c>
      <c r="D51" s="46">
        <f>SUMIFS(Einzelbeträge!$D:$D,Einzelbeträge!$C:$C,'Ausgaben 2025'!$C51)</f>
        <v>0</v>
      </c>
      <c r="E51" s="34">
        <f>SUMIFS(Einzelbeträge!$D:$D,Einzelbeträge!$C:$C,'Ausgaben 2025'!$C51,Einzelbeträge!$E:$E,'Ausgaben 2025'!E$6)</f>
        <v>0</v>
      </c>
      <c r="F51" s="21">
        <f>SUMIFS(Einzelbeträge!$D:$D,Einzelbeträge!$C:$C,'Ausgaben 2025'!$C51,Einzelbeträge!$E:$E,'Ausgaben 2025'!F$6)</f>
        <v>0</v>
      </c>
      <c r="G51" s="21">
        <f>SUMIFS(Einzelbeträge!$D:$D,Einzelbeträge!$C:$C,'Ausgaben 2025'!$C51,Einzelbeträge!$E:$E,'Ausgaben 2025'!G$6)</f>
        <v>0</v>
      </c>
      <c r="H51" s="21">
        <f>SUMIFS(Einzelbeträge!$D:$D,Einzelbeträge!$C:$C,'Ausgaben 2025'!$C51,Einzelbeträge!$E:$E,'Ausgaben 2025'!H$6)</f>
        <v>0</v>
      </c>
      <c r="I51" s="21">
        <f>SUMIFS(Einzelbeträge!$D:$D,Einzelbeträge!$C:$C,'Ausgaben 2025'!$C51,Einzelbeträge!$E:$E,'Ausgaben 2025'!I$6)</f>
        <v>0</v>
      </c>
      <c r="J51" s="21">
        <f>SUMIFS(Einzelbeträge!$D:$D,Einzelbeträge!$C:$C,'Ausgaben 2025'!$C51,Einzelbeträge!$E:$E,'Ausgaben 2025'!J$6)</f>
        <v>0</v>
      </c>
      <c r="K51" s="21">
        <f>SUMIFS(Einzelbeträge!$D:$D,Einzelbeträge!$C:$C,'Ausgaben 2025'!$C51,Einzelbeträge!$E:$E,'Ausgaben 2025'!K$6)</f>
        <v>0</v>
      </c>
      <c r="L51" s="21">
        <f>SUMIFS(Einzelbeträge!$D:$D,Einzelbeträge!$C:$C,'Ausgaben 2025'!$C51,Einzelbeträge!$E:$E,'Ausgaben 2025'!L$6)</f>
        <v>0</v>
      </c>
      <c r="M51" s="21">
        <f>SUMIFS(Einzelbeträge!$D:$D,Einzelbeträge!$C:$C,'Ausgaben 2025'!$C51,Einzelbeträge!$E:$E,'Ausgaben 2025'!M$6)</f>
        <v>0</v>
      </c>
      <c r="N51" s="35">
        <f>SUMIFS(Einzelbeträge!$D:$D,Einzelbeträge!$C:$C,'Ausgaben 2025'!$C51,Einzelbeträge!$E:$E,'Ausgaben 2025'!N$6)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10.11.2025 - 16.11.2025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45700</v>
      </c>
      <c r="D52" s="46">
        <f>SUMIFS(Einzelbeträge!$D:$D,Einzelbeträge!$C:$C,'Ausgaben 2025'!$C52)</f>
        <v>0</v>
      </c>
      <c r="E52" s="34">
        <f>SUMIFS(Einzelbeträge!$D:$D,Einzelbeträge!$C:$C,'Ausgaben 2025'!$C52,Einzelbeträge!$E:$E,'Ausgaben 2025'!E$6)</f>
        <v>0</v>
      </c>
      <c r="F52" s="21">
        <f>SUMIFS(Einzelbeträge!$D:$D,Einzelbeträge!$C:$C,'Ausgaben 2025'!$C52,Einzelbeträge!$E:$E,'Ausgaben 2025'!F$6)</f>
        <v>0</v>
      </c>
      <c r="G52" s="21">
        <f>SUMIFS(Einzelbeträge!$D:$D,Einzelbeträge!$C:$C,'Ausgaben 2025'!$C52,Einzelbeträge!$E:$E,'Ausgaben 2025'!G$6)</f>
        <v>0</v>
      </c>
      <c r="H52" s="21">
        <f>SUMIFS(Einzelbeträge!$D:$D,Einzelbeträge!$C:$C,'Ausgaben 2025'!$C52,Einzelbeträge!$E:$E,'Ausgaben 2025'!H$6)</f>
        <v>0</v>
      </c>
      <c r="I52" s="21">
        <f>SUMIFS(Einzelbeträge!$D:$D,Einzelbeträge!$C:$C,'Ausgaben 2025'!$C52,Einzelbeträge!$E:$E,'Ausgaben 2025'!I$6)</f>
        <v>0</v>
      </c>
      <c r="J52" s="21">
        <f>SUMIFS(Einzelbeträge!$D:$D,Einzelbeträge!$C:$C,'Ausgaben 2025'!$C52,Einzelbeträge!$E:$E,'Ausgaben 2025'!J$6)</f>
        <v>0</v>
      </c>
      <c r="K52" s="21">
        <f>SUMIFS(Einzelbeträge!$D:$D,Einzelbeträge!$C:$C,'Ausgaben 2025'!$C52,Einzelbeträge!$E:$E,'Ausgaben 2025'!K$6)</f>
        <v>0</v>
      </c>
      <c r="L52" s="21">
        <f>SUMIFS(Einzelbeträge!$D:$D,Einzelbeträge!$C:$C,'Ausgaben 2025'!$C52,Einzelbeträge!$E:$E,'Ausgaben 2025'!L$6)</f>
        <v>0</v>
      </c>
      <c r="M52" s="21">
        <f>SUMIFS(Einzelbeträge!$D:$D,Einzelbeträge!$C:$C,'Ausgaben 2025'!$C52,Einzelbeträge!$E:$E,'Ausgaben 2025'!M$6)</f>
        <v>0</v>
      </c>
      <c r="N52" s="35">
        <f>SUMIFS(Einzelbeträge!$D:$D,Einzelbeträge!$C:$C,'Ausgaben 2025'!$C52,Einzelbeträge!$E:$E,'Ausgaben 2025'!N$6)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17.11.2025 - 23.11.2025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45701</v>
      </c>
      <c r="D53" s="46">
        <f>SUMIFS(Einzelbeträge!$D:$D,Einzelbeträge!$C:$C,'Ausgaben 2025'!$C53)</f>
        <v>0</v>
      </c>
      <c r="E53" s="34">
        <f>SUMIFS(Einzelbeträge!$D:$D,Einzelbeträge!$C:$C,'Ausgaben 2025'!$C53,Einzelbeträge!$E:$E,'Ausgaben 2025'!E$6)</f>
        <v>0</v>
      </c>
      <c r="F53" s="21">
        <f>SUMIFS(Einzelbeträge!$D:$D,Einzelbeträge!$C:$C,'Ausgaben 2025'!$C53,Einzelbeträge!$E:$E,'Ausgaben 2025'!F$6)</f>
        <v>0</v>
      </c>
      <c r="G53" s="21">
        <f>SUMIFS(Einzelbeträge!$D:$D,Einzelbeträge!$C:$C,'Ausgaben 2025'!$C53,Einzelbeträge!$E:$E,'Ausgaben 2025'!G$6)</f>
        <v>0</v>
      </c>
      <c r="H53" s="21">
        <f>SUMIFS(Einzelbeträge!$D:$D,Einzelbeträge!$C:$C,'Ausgaben 2025'!$C53,Einzelbeträge!$E:$E,'Ausgaben 2025'!H$6)</f>
        <v>0</v>
      </c>
      <c r="I53" s="21">
        <f>SUMIFS(Einzelbeträge!$D:$D,Einzelbeträge!$C:$C,'Ausgaben 2025'!$C53,Einzelbeträge!$E:$E,'Ausgaben 2025'!I$6)</f>
        <v>0</v>
      </c>
      <c r="J53" s="21">
        <f>SUMIFS(Einzelbeträge!$D:$D,Einzelbeträge!$C:$C,'Ausgaben 2025'!$C53,Einzelbeträge!$E:$E,'Ausgaben 2025'!J$6)</f>
        <v>0</v>
      </c>
      <c r="K53" s="21">
        <f>SUMIFS(Einzelbeträge!$D:$D,Einzelbeträge!$C:$C,'Ausgaben 2025'!$C53,Einzelbeträge!$E:$E,'Ausgaben 2025'!K$6)</f>
        <v>0</v>
      </c>
      <c r="L53" s="21">
        <f>SUMIFS(Einzelbeträge!$D:$D,Einzelbeträge!$C:$C,'Ausgaben 2025'!$C53,Einzelbeträge!$E:$E,'Ausgaben 2025'!L$6)</f>
        <v>0</v>
      </c>
      <c r="M53" s="21">
        <f>SUMIFS(Einzelbeträge!$D:$D,Einzelbeträge!$C:$C,'Ausgaben 2025'!$C53,Einzelbeträge!$E:$E,'Ausgaben 2025'!M$6)</f>
        <v>0</v>
      </c>
      <c r="N53" s="35">
        <f>SUMIFS(Einzelbeträge!$D:$D,Einzelbeträge!$C:$C,'Ausgaben 2025'!$C53,Einzelbeträge!$E:$E,'Ausgaben 2025'!N$6)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24.11.2025 - 30.11.2025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45702</v>
      </c>
      <c r="D54" s="46">
        <f>SUMIFS(Einzelbeträge!$D:$D,Einzelbeträge!$C:$C,'Ausgaben 2025'!$C54)</f>
        <v>0</v>
      </c>
      <c r="E54" s="34">
        <f>SUMIFS(Einzelbeträge!$D:$D,Einzelbeträge!$C:$C,'Ausgaben 2025'!$C54,Einzelbeträge!$E:$E,'Ausgaben 2025'!E$6)</f>
        <v>0</v>
      </c>
      <c r="F54" s="21">
        <f>SUMIFS(Einzelbeträge!$D:$D,Einzelbeträge!$C:$C,'Ausgaben 2025'!$C54,Einzelbeträge!$E:$E,'Ausgaben 2025'!F$6)</f>
        <v>0</v>
      </c>
      <c r="G54" s="21">
        <f>SUMIFS(Einzelbeträge!$D:$D,Einzelbeträge!$C:$C,'Ausgaben 2025'!$C54,Einzelbeträge!$E:$E,'Ausgaben 2025'!G$6)</f>
        <v>0</v>
      </c>
      <c r="H54" s="21">
        <f>SUMIFS(Einzelbeträge!$D:$D,Einzelbeträge!$C:$C,'Ausgaben 2025'!$C54,Einzelbeträge!$E:$E,'Ausgaben 2025'!H$6)</f>
        <v>0</v>
      </c>
      <c r="I54" s="21">
        <f>SUMIFS(Einzelbeträge!$D:$D,Einzelbeträge!$C:$C,'Ausgaben 2025'!$C54,Einzelbeträge!$E:$E,'Ausgaben 2025'!I$6)</f>
        <v>0</v>
      </c>
      <c r="J54" s="21">
        <f>SUMIFS(Einzelbeträge!$D:$D,Einzelbeträge!$C:$C,'Ausgaben 2025'!$C54,Einzelbeträge!$E:$E,'Ausgaben 2025'!J$6)</f>
        <v>0</v>
      </c>
      <c r="K54" s="21">
        <f>SUMIFS(Einzelbeträge!$D:$D,Einzelbeträge!$C:$C,'Ausgaben 2025'!$C54,Einzelbeträge!$E:$E,'Ausgaben 2025'!K$6)</f>
        <v>0</v>
      </c>
      <c r="L54" s="21">
        <f>SUMIFS(Einzelbeträge!$D:$D,Einzelbeträge!$C:$C,'Ausgaben 2025'!$C54,Einzelbeträge!$E:$E,'Ausgaben 2025'!L$6)</f>
        <v>0</v>
      </c>
      <c r="M54" s="21">
        <f>SUMIFS(Einzelbeträge!$D:$D,Einzelbeträge!$C:$C,'Ausgaben 2025'!$C54,Einzelbeträge!$E:$E,'Ausgaben 2025'!M$6)</f>
        <v>0</v>
      </c>
      <c r="N54" s="35">
        <f>SUMIFS(Einzelbeträge!$D:$D,Einzelbeträge!$C:$C,'Ausgaben 2025'!$C54,Einzelbeträge!$E:$E,'Ausgaben 2025'!N$6)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01.12.2025 - 07.12.2025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45703</v>
      </c>
      <c r="D55" s="46">
        <f>SUMIFS(Einzelbeträge!$D:$D,Einzelbeträge!$C:$C,'Ausgaben 2025'!$C55)</f>
        <v>0</v>
      </c>
      <c r="E55" s="34">
        <f>SUMIFS(Einzelbeträge!$D:$D,Einzelbeträge!$C:$C,'Ausgaben 2025'!$C55,Einzelbeträge!$E:$E,'Ausgaben 2025'!E$6)</f>
        <v>0</v>
      </c>
      <c r="F55" s="21">
        <f>SUMIFS(Einzelbeträge!$D:$D,Einzelbeträge!$C:$C,'Ausgaben 2025'!$C55,Einzelbeträge!$E:$E,'Ausgaben 2025'!F$6)</f>
        <v>0</v>
      </c>
      <c r="G55" s="21">
        <f>SUMIFS(Einzelbeträge!$D:$D,Einzelbeträge!$C:$C,'Ausgaben 2025'!$C55,Einzelbeträge!$E:$E,'Ausgaben 2025'!G$6)</f>
        <v>0</v>
      </c>
      <c r="H55" s="21">
        <f>SUMIFS(Einzelbeträge!$D:$D,Einzelbeträge!$C:$C,'Ausgaben 2025'!$C55,Einzelbeträge!$E:$E,'Ausgaben 2025'!H$6)</f>
        <v>0</v>
      </c>
      <c r="I55" s="21">
        <f>SUMIFS(Einzelbeträge!$D:$D,Einzelbeträge!$C:$C,'Ausgaben 2025'!$C55,Einzelbeträge!$E:$E,'Ausgaben 2025'!I$6)</f>
        <v>0</v>
      </c>
      <c r="J55" s="21">
        <f>SUMIFS(Einzelbeträge!$D:$D,Einzelbeträge!$C:$C,'Ausgaben 2025'!$C55,Einzelbeträge!$E:$E,'Ausgaben 2025'!J$6)</f>
        <v>0</v>
      </c>
      <c r="K55" s="21">
        <f>SUMIFS(Einzelbeträge!$D:$D,Einzelbeträge!$C:$C,'Ausgaben 2025'!$C55,Einzelbeträge!$E:$E,'Ausgaben 2025'!K$6)</f>
        <v>0</v>
      </c>
      <c r="L55" s="21">
        <f>SUMIFS(Einzelbeträge!$D:$D,Einzelbeträge!$C:$C,'Ausgaben 2025'!$C55,Einzelbeträge!$E:$E,'Ausgaben 2025'!L$6)</f>
        <v>0</v>
      </c>
      <c r="M55" s="21">
        <f>SUMIFS(Einzelbeträge!$D:$D,Einzelbeträge!$C:$C,'Ausgaben 2025'!$C55,Einzelbeträge!$E:$E,'Ausgaben 2025'!M$6)</f>
        <v>0</v>
      </c>
      <c r="N55" s="35">
        <f>SUMIFS(Einzelbeträge!$D:$D,Einzelbeträge!$C:$C,'Ausgaben 2025'!$C55,Einzelbeträge!$E:$E,'Ausgaben 2025'!N$6)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08.12.2025 - 14.12.2025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45704</v>
      </c>
      <c r="D56" s="46">
        <f>SUMIFS(Einzelbeträge!$D:$D,Einzelbeträge!$C:$C,'Ausgaben 2025'!$C56)</f>
        <v>0</v>
      </c>
      <c r="E56" s="34">
        <f>SUMIFS(Einzelbeträge!$D:$D,Einzelbeträge!$C:$C,'Ausgaben 2025'!$C56,Einzelbeträge!$E:$E,'Ausgaben 2025'!E$6)</f>
        <v>0</v>
      </c>
      <c r="F56" s="21">
        <f>SUMIFS(Einzelbeträge!$D:$D,Einzelbeträge!$C:$C,'Ausgaben 2025'!$C56,Einzelbeträge!$E:$E,'Ausgaben 2025'!F$6)</f>
        <v>0</v>
      </c>
      <c r="G56" s="21">
        <f>SUMIFS(Einzelbeträge!$D:$D,Einzelbeträge!$C:$C,'Ausgaben 2025'!$C56,Einzelbeträge!$E:$E,'Ausgaben 2025'!G$6)</f>
        <v>0</v>
      </c>
      <c r="H56" s="21">
        <f>SUMIFS(Einzelbeträge!$D:$D,Einzelbeträge!$C:$C,'Ausgaben 2025'!$C56,Einzelbeträge!$E:$E,'Ausgaben 2025'!H$6)</f>
        <v>0</v>
      </c>
      <c r="I56" s="21">
        <f>SUMIFS(Einzelbeträge!$D:$D,Einzelbeträge!$C:$C,'Ausgaben 2025'!$C56,Einzelbeträge!$E:$E,'Ausgaben 2025'!I$6)</f>
        <v>0</v>
      </c>
      <c r="J56" s="21">
        <f>SUMIFS(Einzelbeträge!$D:$D,Einzelbeträge!$C:$C,'Ausgaben 2025'!$C56,Einzelbeträge!$E:$E,'Ausgaben 2025'!J$6)</f>
        <v>0</v>
      </c>
      <c r="K56" s="21">
        <f>SUMIFS(Einzelbeträge!$D:$D,Einzelbeträge!$C:$C,'Ausgaben 2025'!$C56,Einzelbeträge!$E:$E,'Ausgaben 2025'!K$6)</f>
        <v>0</v>
      </c>
      <c r="L56" s="21">
        <f>SUMIFS(Einzelbeträge!$D:$D,Einzelbeträge!$C:$C,'Ausgaben 2025'!$C56,Einzelbeträge!$E:$E,'Ausgaben 2025'!L$6)</f>
        <v>0</v>
      </c>
      <c r="M56" s="21">
        <f>SUMIFS(Einzelbeträge!$D:$D,Einzelbeträge!$C:$C,'Ausgaben 2025'!$C56,Einzelbeträge!$E:$E,'Ausgaben 2025'!M$6)</f>
        <v>0</v>
      </c>
      <c r="N56" s="35">
        <f>SUMIFS(Einzelbeträge!$D:$D,Einzelbeträge!$C:$C,'Ausgaben 2025'!$C56,Einzelbeträge!$E:$E,'Ausgaben 2025'!N$6)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15.12.2025 - 21.12.2025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45705</v>
      </c>
      <c r="D57" s="46">
        <f>SUMIFS(Einzelbeträge!$D:$D,Einzelbeträge!$C:$C,'Ausgaben 2025'!$C57)</f>
        <v>0</v>
      </c>
      <c r="E57" s="34">
        <f>SUMIFS(Einzelbeträge!$D:$D,Einzelbeträge!$C:$C,'Ausgaben 2025'!$C57,Einzelbeträge!$E:$E,'Ausgaben 2025'!E$6)</f>
        <v>0</v>
      </c>
      <c r="F57" s="21">
        <f>SUMIFS(Einzelbeträge!$D:$D,Einzelbeträge!$C:$C,'Ausgaben 2025'!$C57,Einzelbeträge!$E:$E,'Ausgaben 2025'!F$6)</f>
        <v>0</v>
      </c>
      <c r="G57" s="21">
        <f>SUMIFS(Einzelbeträge!$D:$D,Einzelbeträge!$C:$C,'Ausgaben 2025'!$C57,Einzelbeträge!$E:$E,'Ausgaben 2025'!G$6)</f>
        <v>0</v>
      </c>
      <c r="H57" s="21">
        <f>SUMIFS(Einzelbeträge!$D:$D,Einzelbeträge!$C:$C,'Ausgaben 2025'!$C57,Einzelbeträge!$E:$E,'Ausgaben 2025'!H$6)</f>
        <v>0</v>
      </c>
      <c r="I57" s="21">
        <f>SUMIFS(Einzelbeträge!$D:$D,Einzelbeträge!$C:$C,'Ausgaben 2025'!$C57,Einzelbeträge!$E:$E,'Ausgaben 2025'!I$6)</f>
        <v>0</v>
      </c>
      <c r="J57" s="21">
        <f>SUMIFS(Einzelbeträge!$D:$D,Einzelbeträge!$C:$C,'Ausgaben 2025'!$C57,Einzelbeträge!$E:$E,'Ausgaben 2025'!J$6)</f>
        <v>0</v>
      </c>
      <c r="K57" s="21">
        <f>SUMIFS(Einzelbeträge!$D:$D,Einzelbeträge!$C:$C,'Ausgaben 2025'!$C57,Einzelbeträge!$E:$E,'Ausgaben 2025'!K$6)</f>
        <v>0</v>
      </c>
      <c r="L57" s="21">
        <f>SUMIFS(Einzelbeträge!$D:$D,Einzelbeträge!$C:$C,'Ausgaben 2025'!$C57,Einzelbeträge!$E:$E,'Ausgaben 2025'!L$6)</f>
        <v>0</v>
      </c>
      <c r="M57" s="21">
        <f>SUMIFS(Einzelbeträge!$D:$D,Einzelbeträge!$C:$C,'Ausgaben 2025'!$C57,Einzelbeträge!$E:$E,'Ausgaben 2025'!M$6)</f>
        <v>0</v>
      </c>
      <c r="N57" s="35">
        <f>SUMIFS(Einzelbeträge!$D:$D,Einzelbeträge!$C:$C,'Ausgaben 2025'!$C57,Einzelbeträge!$E:$E,'Ausgaben 2025'!N$6)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22.12.2025 - 28.12.2025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45706</v>
      </c>
      <c r="D58" s="46">
        <f>SUMIFS(Einzelbeträge!$D:$D,Einzelbeträge!$C:$C,'Ausgaben 2025'!$C58)</f>
        <v>0</v>
      </c>
      <c r="E58" s="34">
        <f>SUMIFS(Einzelbeträge!$D:$D,Einzelbeträge!$C:$C,'Ausgaben 2025'!$C58,Einzelbeträge!$E:$E,'Ausgaben 2025'!E$6)</f>
        <v>0</v>
      </c>
      <c r="F58" s="21">
        <f>SUMIFS(Einzelbeträge!$D:$D,Einzelbeträge!$C:$C,'Ausgaben 2025'!$C58,Einzelbeträge!$E:$E,'Ausgaben 2025'!F$6)</f>
        <v>0</v>
      </c>
      <c r="G58" s="21">
        <f>SUMIFS(Einzelbeträge!$D:$D,Einzelbeträge!$C:$C,'Ausgaben 2025'!$C58,Einzelbeträge!$E:$E,'Ausgaben 2025'!G$6)</f>
        <v>0</v>
      </c>
      <c r="H58" s="21">
        <f>SUMIFS(Einzelbeträge!$D:$D,Einzelbeträge!$C:$C,'Ausgaben 2025'!$C58,Einzelbeträge!$E:$E,'Ausgaben 2025'!H$6)</f>
        <v>0</v>
      </c>
      <c r="I58" s="21">
        <f>SUMIFS(Einzelbeträge!$D:$D,Einzelbeträge!$C:$C,'Ausgaben 2025'!$C58,Einzelbeträge!$E:$E,'Ausgaben 2025'!I$6)</f>
        <v>0</v>
      </c>
      <c r="J58" s="21">
        <f>SUMIFS(Einzelbeträge!$D:$D,Einzelbeträge!$C:$C,'Ausgaben 2025'!$C58,Einzelbeträge!$E:$E,'Ausgaben 2025'!J$6)</f>
        <v>0</v>
      </c>
      <c r="K58" s="21">
        <f>SUMIFS(Einzelbeträge!$D:$D,Einzelbeträge!$C:$C,'Ausgaben 2025'!$C58,Einzelbeträge!$E:$E,'Ausgaben 2025'!K$6)</f>
        <v>0</v>
      </c>
      <c r="L58" s="21">
        <f>SUMIFS(Einzelbeträge!$D:$D,Einzelbeträge!$C:$C,'Ausgaben 2025'!$C58,Einzelbeträge!$E:$E,'Ausgaben 2025'!L$6)</f>
        <v>0</v>
      </c>
      <c r="M58" s="21">
        <f>SUMIFS(Einzelbeträge!$D:$D,Einzelbeträge!$C:$C,'Ausgaben 2025'!$C58,Einzelbeträge!$E:$E,'Ausgaben 2025'!M$6)</f>
        <v>0</v>
      </c>
      <c r="N58" s="35">
        <f>SUMIFS(Einzelbeträge!$D:$D,Einzelbeträge!$C:$C,'Ausgaben 2025'!$C58,Einzelbeträge!$E:$E,'Ausgaben 2025'!N$6)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29.12.2025 - 04.01.2026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45707</v>
      </c>
      <c r="D59" s="46">
        <f>SUMIFS(Einzelbeträge!$D:$D,Einzelbeträge!$C:$C,'Ausgaben 2025'!$C59)</f>
        <v>0</v>
      </c>
      <c r="E59" s="34">
        <f>SUMIFS(Einzelbeträge!$D:$D,Einzelbeträge!$C:$C,'Ausgaben 2025'!$C59,Einzelbeträge!$E:$E,'Ausgaben 2025'!E$6)</f>
        <v>0</v>
      </c>
      <c r="F59" s="21">
        <f>SUMIFS(Einzelbeträge!$D:$D,Einzelbeträge!$C:$C,'Ausgaben 2025'!$C59,Einzelbeträge!$E:$E,'Ausgaben 2025'!F$6)</f>
        <v>0</v>
      </c>
      <c r="G59" s="21">
        <f>SUMIFS(Einzelbeträge!$D:$D,Einzelbeträge!$C:$C,'Ausgaben 2025'!$C59,Einzelbeträge!$E:$E,'Ausgaben 2025'!G$6)</f>
        <v>0</v>
      </c>
      <c r="H59" s="21">
        <f>SUMIFS(Einzelbeträge!$D:$D,Einzelbeträge!$C:$C,'Ausgaben 2025'!$C59,Einzelbeträge!$E:$E,'Ausgaben 2025'!H$6)</f>
        <v>0</v>
      </c>
      <c r="I59" s="21">
        <f>SUMIFS(Einzelbeträge!$D:$D,Einzelbeträge!$C:$C,'Ausgaben 2025'!$C59,Einzelbeträge!$E:$E,'Ausgaben 2025'!I$6)</f>
        <v>0</v>
      </c>
      <c r="J59" s="21">
        <f>SUMIFS(Einzelbeträge!$D:$D,Einzelbeträge!$C:$C,'Ausgaben 2025'!$C59,Einzelbeträge!$E:$E,'Ausgaben 2025'!J$6)</f>
        <v>0</v>
      </c>
      <c r="K59" s="21">
        <f>SUMIFS(Einzelbeträge!$D:$D,Einzelbeträge!$C:$C,'Ausgaben 2025'!$C59,Einzelbeträge!$E:$E,'Ausgaben 2025'!K$6)</f>
        <v>0</v>
      </c>
      <c r="L59" s="21">
        <f>SUMIFS(Einzelbeträge!$D:$D,Einzelbeträge!$C:$C,'Ausgaben 2025'!$C59,Einzelbeträge!$E:$E,'Ausgaben 2025'!L$6)</f>
        <v>0</v>
      </c>
      <c r="M59" s="21">
        <f>SUMIFS(Einzelbeträge!$D:$D,Einzelbeträge!$C:$C,'Ausgaben 2025'!$C59,Einzelbeträge!$E:$E,'Ausgaben 2025'!M$6)</f>
        <v>0</v>
      </c>
      <c r="N59" s="35">
        <f>SUMIFS(Einzelbeträge!$D:$D,Einzelbeträge!$C:$C,'Ausgaben 2025'!$C59,Einzelbeträge!$E:$E,'Ausgaben 2025'!N$6)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45708</v>
      </c>
      <c r="D60" s="46">
        <f>SUMIFS(Einzelbeträge!$D:$D,Einzelbeträge!$C:$C,'Ausgaben 2025'!$C60)</f>
        <v>0</v>
      </c>
      <c r="E60" s="34">
        <f>SUMIFS(Einzelbeträge!$D:$D,Einzelbeträge!$C:$C,'Ausgaben 2025'!$C60,Einzelbeträge!$E:$E,'Ausgaben 2025'!E$6)</f>
        <v>0</v>
      </c>
      <c r="F60" s="21">
        <f>SUMIFS(Einzelbeträge!$D:$D,Einzelbeträge!$C:$C,'Ausgaben 2025'!$C60,Einzelbeträge!$E:$E,'Ausgaben 2025'!F$6)</f>
        <v>0</v>
      </c>
      <c r="G60" s="21">
        <f>SUMIFS(Einzelbeträge!$D:$D,Einzelbeträge!$C:$C,'Ausgaben 2025'!$C60,Einzelbeträge!$E:$E,'Ausgaben 2025'!G$6)</f>
        <v>0</v>
      </c>
      <c r="H60" s="21">
        <f>SUMIFS(Einzelbeträge!$D:$D,Einzelbeträge!$C:$C,'Ausgaben 2025'!$C60,Einzelbeträge!$E:$E,'Ausgaben 2025'!H$6)</f>
        <v>0</v>
      </c>
      <c r="I60" s="21">
        <f>SUMIFS(Einzelbeträge!$D:$D,Einzelbeträge!$C:$C,'Ausgaben 2025'!$C60,Einzelbeträge!$E:$E,'Ausgaben 2025'!I$6)</f>
        <v>0</v>
      </c>
      <c r="J60" s="21">
        <f>SUMIFS(Einzelbeträge!$D:$D,Einzelbeträge!$C:$C,'Ausgaben 2025'!$C60,Einzelbeträge!$E:$E,'Ausgaben 2025'!J$6)</f>
        <v>0</v>
      </c>
      <c r="K60" s="21">
        <f>SUMIFS(Einzelbeträge!$D:$D,Einzelbeträge!$C:$C,'Ausgaben 2025'!$C60,Einzelbeträge!$E:$E,'Ausgaben 2025'!K$6)</f>
        <v>0</v>
      </c>
      <c r="L60" s="21">
        <f>SUMIFS(Einzelbeträge!$D:$D,Einzelbeträge!$C:$C,'Ausgaben 2025'!$C60,Einzelbeträge!$E:$E,'Ausgaben 2025'!L$6)</f>
        <v>0</v>
      </c>
      <c r="M60" s="21">
        <f>SUMIFS(Einzelbeträge!$D:$D,Einzelbeträge!$C:$C,'Ausgaben 2025'!$C60,Einzelbeträge!$E:$E,'Ausgaben 2025'!M$6)</f>
        <v>0</v>
      </c>
      <c r="N60" s="35">
        <f>SUMIFS(Einzelbeträge!$D:$D,Einzelbeträge!$C:$C,'Ausgaben 2025'!$C60,Einzelbeträge!$E:$E,'Ausgaben 2025'!N$6)</f>
        <v>0</v>
      </c>
      <c r="O60" s="6"/>
    </row>
    <row r="61" spans="2:30" x14ac:dyDescent="0.35">
      <c r="B61" s="5"/>
      <c r="C61" s="40">
        <f t="shared" si="15"/>
        <v>45709</v>
      </c>
      <c r="D61" s="46">
        <f>SUMIFS(Einzelbeträge!$D:$D,Einzelbeträge!$C:$C,'Ausgaben 2025'!$C61)</f>
        <v>0</v>
      </c>
      <c r="E61" s="34">
        <f>SUMIFS(Einzelbeträge!$D:$D,Einzelbeträge!$C:$C,'Ausgaben 2025'!$C61,Einzelbeträge!$E:$E,'Ausgaben 2025'!E$6)</f>
        <v>0</v>
      </c>
      <c r="F61" s="21">
        <f>SUMIFS(Einzelbeträge!$D:$D,Einzelbeträge!$C:$C,'Ausgaben 2025'!$C61,Einzelbeträge!$E:$E,'Ausgaben 2025'!F$6)</f>
        <v>0</v>
      </c>
      <c r="G61" s="21">
        <f>SUMIFS(Einzelbeträge!$D:$D,Einzelbeträge!$C:$C,'Ausgaben 2025'!$C61,Einzelbeträge!$E:$E,'Ausgaben 2025'!G$6)</f>
        <v>0</v>
      </c>
      <c r="H61" s="21">
        <f>SUMIFS(Einzelbeträge!$D:$D,Einzelbeträge!$C:$C,'Ausgaben 2025'!$C61,Einzelbeträge!$E:$E,'Ausgaben 2025'!H$6)</f>
        <v>0</v>
      </c>
      <c r="I61" s="21">
        <f>SUMIFS(Einzelbeträge!$D:$D,Einzelbeträge!$C:$C,'Ausgaben 2025'!$C61,Einzelbeträge!$E:$E,'Ausgaben 2025'!I$6)</f>
        <v>0</v>
      </c>
      <c r="J61" s="21">
        <f>SUMIFS(Einzelbeträge!$D:$D,Einzelbeträge!$C:$C,'Ausgaben 2025'!$C61,Einzelbeträge!$E:$E,'Ausgaben 2025'!J$6)</f>
        <v>0</v>
      </c>
      <c r="K61" s="21">
        <f>SUMIFS(Einzelbeträge!$D:$D,Einzelbeträge!$C:$C,'Ausgaben 2025'!$C61,Einzelbeträge!$E:$E,'Ausgaben 2025'!K$6)</f>
        <v>0</v>
      </c>
      <c r="L61" s="21">
        <f>SUMIFS(Einzelbeträge!$D:$D,Einzelbeträge!$C:$C,'Ausgaben 2025'!$C61,Einzelbeträge!$E:$E,'Ausgaben 2025'!L$6)</f>
        <v>0</v>
      </c>
      <c r="M61" s="21">
        <f>SUMIFS(Einzelbeträge!$D:$D,Einzelbeträge!$C:$C,'Ausgaben 2025'!$C61,Einzelbeträge!$E:$E,'Ausgaben 2025'!M$6)</f>
        <v>0</v>
      </c>
      <c r="N61" s="35">
        <f>SUMIFS(Einzelbeträge!$D:$D,Einzelbeträge!$C:$C,'Ausgaben 2025'!$C61,Einzelbeträge!$E:$E,'Ausgaben 2025'!N$6)</f>
        <v>0</v>
      </c>
      <c r="O61" s="6"/>
    </row>
    <row r="62" spans="2:30" x14ac:dyDescent="0.35">
      <c r="B62" s="5"/>
      <c r="C62" s="40">
        <f t="shared" si="15"/>
        <v>45710</v>
      </c>
      <c r="D62" s="46">
        <f>SUMIFS(Einzelbeträge!$D:$D,Einzelbeträge!$C:$C,'Ausgaben 2025'!$C62)</f>
        <v>0</v>
      </c>
      <c r="E62" s="34">
        <f>SUMIFS(Einzelbeträge!$D:$D,Einzelbeträge!$C:$C,'Ausgaben 2025'!$C62,Einzelbeträge!$E:$E,'Ausgaben 2025'!E$6)</f>
        <v>0</v>
      </c>
      <c r="F62" s="21">
        <f>SUMIFS(Einzelbeträge!$D:$D,Einzelbeträge!$C:$C,'Ausgaben 2025'!$C62,Einzelbeträge!$E:$E,'Ausgaben 2025'!F$6)</f>
        <v>0</v>
      </c>
      <c r="G62" s="21">
        <f>SUMIFS(Einzelbeträge!$D:$D,Einzelbeträge!$C:$C,'Ausgaben 2025'!$C62,Einzelbeträge!$E:$E,'Ausgaben 2025'!G$6)</f>
        <v>0</v>
      </c>
      <c r="H62" s="21">
        <f>SUMIFS(Einzelbeträge!$D:$D,Einzelbeträge!$C:$C,'Ausgaben 2025'!$C62,Einzelbeträge!$E:$E,'Ausgaben 2025'!H$6)</f>
        <v>0</v>
      </c>
      <c r="I62" s="21">
        <f>SUMIFS(Einzelbeträge!$D:$D,Einzelbeträge!$C:$C,'Ausgaben 2025'!$C62,Einzelbeträge!$E:$E,'Ausgaben 2025'!I$6)</f>
        <v>0</v>
      </c>
      <c r="J62" s="21">
        <f>SUMIFS(Einzelbeträge!$D:$D,Einzelbeträge!$C:$C,'Ausgaben 2025'!$C62,Einzelbeträge!$E:$E,'Ausgaben 2025'!J$6)</f>
        <v>0</v>
      </c>
      <c r="K62" s="21">
        <f>SUMIFS(Einzelbeträge!$D:$D,Einzelbeträge!$C:$C,'Ausgaben 2025'!$C62,Einzelbeträge!$E:$E,'Ausgaben 2025'!K$6)</f>
        <v>0</v>
      </c>
      <c r="L62" s="21">
        <f>SUMIFS(Einzelbeträge!$D:$D,Einzelbeträge!$C:$C,'Ausgaben 2025'!$C62,Einzelbeträge!$E:$E,'Ausgaben 2025'!L$6)</f>
        <v>0</v>
      </c>
      <c r="M62" s="21">
        <f>SUMIFS(Einzelbeträge!$D:$D,Einzelbeträge!$C:$C,'Ausgaben 2025'!$C62,Einzelbeträge!$E:$E,'Ausgaben 2025'!M$6)</f>
        <v>0</v>
      </c>
      <c r="N62" s="35">
        <f>SUMIFS(Einzelbeträge!$D:$D,Einzelbeträge!$C:$C,'Ausgaben 2025'!$C62,Einzelbeträge!$E:$E,'Ausgaben 2025'!N$6)</f>
        <v>0</v>
      </c>
      <c r="O62" s="6"/>
    </row>
    <row r="63" spans="2:30" x14ac:dyDescent="0.35">
      <c r="B63" s="5"/>
      <c r="C63" s="40">
        <f t="shared" si="15"/>
        <v>45711</v>
      </c>
      <c r="D63" s="46">
        <f>SUMIFS(Einzelbeträge!$D:$D,Einzelbeträge!$C:$C,'Ausgaben 2025'!$C63)</f>
        <v>0</v>
      </c>
      <c r="E63" s="34">
        <f>SUMIFS(Einzelbeträge!$D:$D,Einzelbeträge!$C:$C,'Ausgaben 2025'!$C63,Einzelbeträge!$E:$E,'Ausgaben 2025'!E$6)</f>
        <v>0</v>
      </c>
      <c r="F63" s="21">
        <f>SUMIFS(Einzelbeträge!$D:$D,Einzelbeträge!$C:$C,'Ausgaben 2025'!$C63,Einzelbeträge!$E:$E,'Ausgaben 2025'!F$6)</f>
        <v>0</v>
      </c>
      <c r="G63" s="21">
        <f>SUMIFS(Einzelbeträge!$D:$D,Einzelbeträge!$C:$C,'Ausgaben 2025'!$C63,Einzelbeträge!$E:$E,'Ausgaben 2025'!G$6)</f>
        <v>0</v>
      </c>
      <c r="H63" s="21">
        <f>SUMIFS(Einzelbeträge!$D:$D,Einzelbeträge!$C:$C,'Ausgaben 2025'!$C63,Einzelbeträge!$E:$E,'Ausgaben 2025'!H$6)</f>
        <v>0</v>
      </c>
      <c r="I63" s="21">
        <f>SUMIFS(Einzelbeträge!$D:$D,Einzelbeträge!$C:$C,'Ausgaben 2025'!$C63,Einzelbeträge!$E:$E,'Ausgaben 2025'!I$6)</f>
        <v>0</v>
      </c>
      <c r="J63" s="21">
        <f>SUMIFS(Einzelbeträge!$D:$D,Einzelbeträge!$C:$C,'Ausgaben 2025'!$C63,Einzelbeträge!$E:$E,'Ausgaben 2025'!J$6)</f>
        <v>0</v>
      </c>
      <c r="K63" s="21">
        <f>SUMIFS(Einzelbeträge!$D:$D,Einzelbeträge!$C:$C,'Ausgaben 2025'!$C63,Einzelbeträge!$E:$E,'Ausgaben 2025'!K$6)</f>
        <v>0</v>
      </c>
      <c r="L63" s="21">
        <f>SUMIFS(Einzelbeträge!$D:$D,Einzelbeträge!$C:$C,'Ausgaben 2025'!$C63,Einzelbeträge!$E:$E,'Ausgaben 2025'!L$6)</f>
        <v>0</v>
      </c>
      <c r="M63" s="21">
        <f>SUMIFS(Einzelbeträge!$D:$D,Einzelbeträge!$C:$C,'Ausgaben 2025'!$C63,Einzelbeträge!$E:$E,'Ausgaben 2025'!M$6)</f>
        <v>0</v>
      </c>
      <c r="N63" s="35">
        <f>SUMIFS(Einzelbeträge!$D:$D,Einzelbeträge!$C:$C,'Ausgaben 2025'!$C63,Einzelbeträge!$E:$E,'Ausgaben 2025'!N$6)</f>
        <v>0</v>
      </c>
      <c r="O63" s="6"/>
    </row>
    <row r="64" spans="2:30" x14ac:dyDescent="0.35">
      <c r="B64" s="5"/>
      <c r="C64" s="40">
        <f t="shared" si="15"/>
        <v>45712</v>
      </c>
      <c r="D64" s="46">
        <f>SUMIFS(Einzelbeträge!$D:$D,Einzelbeträge!$C:$C,'Ausgaben 2025'!$C64)</f>
        <v>0</v>
      </c>
      <c r="E64" s="34">
        <f>SUMIFS(Einzelbeträge!$D:$D,Einzelbeträge!$C:$C,'Ausgaben 2025'!$C64,Einzelbeträge!$E:$E,'Ausgaben 2025'!E$6)</f>
        <v>0</v>
      </c>
      <c r="F64" s="21">
        <f>SUMIFS(Einzelbeträge!$D:$D,Einzelbeträge!$C:$C,'Ausgaben 2025'!$C64,Einzelbeträge!$E:$E,'Ausgaben 2025'!F$6)</f>
        <v>0</v>
      </c>
      <c r="G64" s="21">
        <f>SUMIFS(Einzelbeträge!$D:$D,Einzelbeträge!$C:$C,'Ausgaben 2025'!$C64,Einzelbeträge!$E:$E,'Ausgaben 2025'!G$6)</f>
        <v>0</v>
      </c>
      <c r="H64" s="21">
        <f>SUMIFS(Einzelbeträge!$D:$D,Einzelbeträge!$C:$C,'Ausgaben 2025'!$C64,Einzelbeträge!$E:$E,'Ausgaben 2025'!H$6)</f>
        <v>0</v>
      </c>
      <c r="I64" s="21">
        <f>SUMIFS(Einzelbeträge!$D:$D,Einzelbeträge!$C:$C,'Ausgaben 2025'!$C64,Einzelbeträge!$E:$E,'Ausgaben 2025'!I$6)</f>
        <v>0</v>
      </c>
      <c r="J64" s="21">
        <f>SUMIFS(Einzelbeträge!$D:$D,Einzelbeträge!$C:$C,'Ausgaben 2025'!$C64,Einzelbeträge!$E:$E,'Ausgaben 2025'!J$6)</f>
        <v>0</v>
      </c>
      <c r="K64" s="21">
        <f>SUMIFS(Einzelbeträge!$D:$D,Einzelbeträge!$C:$C,'Ausgaben 2025'!$C64,Einzelbeträge!$E:$E,'Ausgaben 2025'!K$6)</f>
        <v>0</v>
      </c>
      <c r="L64" s="21">
        <f>SUMIFS(Einzelbeträge!$D:$D,Einzelbeträge!$C:$C,'Ausgaben 2025'!$C64,Einzelbeträge!$E:$E,'Ausgaben 2025'!L$6)</f>
        <v>0</v>
      </c>
      <c r="M64" s="21">
        <f>SUMIFS(Einzelbeträge!$D:$D,Einzelbeträge!$C:$C,'Ausgaben 2025'!$C64,Einzelbeträge!$E:$E,'Ausgaben 2025'!M$6)</f>
        <v>0</v>
      </c>
      <c r="N64" s="35">
        <f>SUMIFS(Einzelbeträge!$D:$D,Einzelbeträge!$C:$C,'Ausgaben 2025'!$C64,Einzelbeträge!$E:$E,'Ausgaben 2025'!N$6)</f>
        <v>0</v>
      </c>
      <c r="O64" s="6"/>
    </row>
    <row r="65" spans="2:15" x14ac:dyDescent="0.35">
      <c r="B65" s="5"/>
      <c r="C65" s="40">
        <f t="shared" si="15"/>
        <v>45713</v>
      </c>
      <c r="D65" s="46">
        <f>SUMIFS(Einzelbeträge!$D:$D,Einzelbeträge!$C:$C,'Ausgaben 2025'!$C65)</f>
        <v>0</v>
      </c>
      <c r="E65" s="34">
        <f>SUMIFS(Einzelbeträge!$D:$D,Einzelbeträge!$C:$C,'Ausgaben 2025'!$C65,Einzelbeträge!$E:$E,'Ausgaben 2025'!E$6)</f>
        <v>0</v>
      </c>
      <c r="F65" s="21">
        <f>SUMIFS(Einzelbeträge!$D:$D,Einzelbeträge!$C:$C,'Ausgaben 2025'!$C65,Einzelbeträge!$E:$E,'Ausgaben 2025'!F$6)</f>
        <v>0</v>
      </c>
      <c r="G65" s="21">
        <f>SUMIFS(Einzelbeträge!$D:$D,Einzelbeträge!$C:$C,'Ausgaben 2025'!$C65,Einzelbeträge!$E:$E,'Ausgaben 2025'!G$6)</f>
        <v>0</v>
      </c>
      <c r="H65" s="21">
        <f>SUMIFS(Einzelbeträge!$D:$D,Einzelbeträge!$C:$C,'Ausgaben 2025'!$C65,Einzelbeträge!$E:$E,'Ausgaben 2025'!H$6)</f>
        <v>0</v>
      </c>
      <c r="I65" s="21">
        <f>SUMIFS(Einzelbeträge!$D:$D,Einzelbeträge!$C:$C,'Ausgaben 2025'!$C65,Einzelbeträge!$E:$E,'Ausgaben 2025'!I$6)</f>
        <v>0</v>
      </c>
      <c r="J65" s="21">
        <f>SUMIFS(Einzelbeträge!$D:$D,Einzelbeträge!$C:$C,'Ausgaben 2025'!$C65,Einzelbeträge!$E:$E,'Ausgaben 2025'!J$6)</f>
        <v>0</v>
      </c>
      <c r="K65" s="21">
        <f>SUMIFS(Einzelbeträge!$D:$D,Einzelbeträge!$C:$C,'Ausgaben 2025'!$C65,Einzelbeträge!$E:$E,'Ausgaben 2025'!K$6)</f>
        <v>0</v>
      </c>
      <c r="L65" s="21">
        <f>SUMIFS(Einzelbeträge!$D:$D,Einzelbeträge!$C:$C,'Ausgaben 2025'!$C65,Einzelbeträge!$E:$E,'Ausgaben 2025'!L$6)</f>
        <v>0</v>
      </c>
      <c r="M65" s="21">
        <f>SUMIFS(Einzelbeträge!$D:$D,Einzelbeträge!$C:$C,'Ausgaben 2025'!$C65,Einzelbeträge!$E:$E,'Ausgaben 2025'!M$6)</f>
        <v>0</v>
      </c>
      <c r="N65" s="35">
        <f>SUMIFS(Einzelbeträge!$D:$D,Einzelbeträge!$C:$C,'Ausgaben 2025'!$C65,Einzelbeträge!$E:$E,'Ausgaben 2025'!N$6)</f>
        <v>0</v>
      </c>
      <c r="O65" s="6"/>
    </row>
    <row r="66" spans="2:15" x14ac:dyDescent="0.35">
      <c r="B66" s="5"/>
      <c r="C66" s="40">
        <f t="shared" si="15"/>
        <v>45714</v>
      </c>
      <c r="D66" s="46">
        <f>SUMIFS(Einzelbeträge!$D:$D,Einzelbeträge!$C:$C,'Ausgaben 2025'!$C66)</f>
        <v>0</v>
      </c>
      <c r="E66" s="34">
        <f>SUMIFS(Einzelbeträge!$D:$D,Einzelbeträge!$C:$C,'Ausgaben 2025'!$C66,Einzelbeträge!$E:$E,'Ausgaben 2025'!E$6)</f>
        <v>0</v>
      </c>
      <c r="F66" s="21">
        <f>SUMIFS(Einzelbeträge!$D:$D,Einzelbeträge!$C:$C,'Ausgaben 2025'!$C66,Einzelbeträge!$E:$E,'Ausgaben 2025'!F$6)</f>
        <v>0</v>
      </c>
      <c r="G66" s="21">
        <f>SUMIFS(Einzelbeträge!$D:$D,Einzelbeträge!$C:$C,'Ausgaben 2025'!$C66,Einzelbeträge!$E:$E,'Ausgaben 2025'!G$6)</f>
        <v>0</v>
      </c>
      <c r="H66" s="21">
        <f>SUMIFS(Einzelbeträge!$D:$D,Einzelbeträge!$C:$C,'Ausgaben 2025'!$C66,Einzelbeträge!$E:$E,'Ausgaben 2025'!H$6)</f>
        <v>0</v>
      </c>
      <c r="I66" s="21">
        <f>SUMIFS(Einzelbeträge!$D:$D,Einzelbeträge!$C:$C,'Ausgaben 2025'!$C66,Einzelbeträge!$E:$E,'Ausgaben 2025'!I$6)</f>
        <v>0</v>
      </c>
      <c r="J66" s="21">
        <f>SUMIFS(Einzelbeträge!$D:$D,Einzelbeträge!$C:$C,'Ausgaben 2025'!$C66,Einzelbeträge!$E:$E,'Ausgaben 2025'!J$6)</f>
        <v>0</v>
      </c>
      <c r="K66" s="21">
        <f>SUMIFS(Einzelbeträge!$D:$D,Einzelbeträge!$C:$C,'Ausgaben 2025'!$C66,Einzelbeträge!$E:$E,'Ausgaben 2025'!K$6)</f>
        <v>0</v>
      </c>
      <c r="L66" s="21">
        <f>SUMIFS(Einzelbeträge!$D:$D,Einzelbeträge!$C:$C,'Ausgaben 2025'!$C66,Einzelbeträge!$E:$E,'Ausgaben 2025'!L$6)</f>
        <v>0</v>
      </c>
      <c r="M66" s="21">
        <f>SUMIFS(Einzelbeträge!$D:$D,Einzelbeträge!$C:$C,'Ausgaben 2025'!$C66,Einzelbeträge!$E:$E,'Ausgaben 2025'!M$6)</f>
        <v>0</v>
      </c>
      <c r="N66" s="35">
        <f>SUMIFS(Einzelbeträge!$D:$D,Einzelbeträge!$C:$C,'Ausgaben 2025'!$C66,Einzelbeträge!$E:$E,'Ausgaben 2025'!N$6)</f>
        <v>0</v>
      </c>
      <c r="O66" s="6"/>
    </row>
    <row r="67" spans="2:15" x14ac:dyDescent="0.35">
      <c r="B67" s="5"/>
      <c r="C67" s="40">
        <f t="shared" si="15"/>
        <v>45715</v>
      </c>
      <c r="D67" s="46">
        <f>SUMIFS(Einzelbeträge!$D:$D,Einzelbeträge!$C:$C,'Ausgaben 2025'!$C67)</f>
        <v>0</v>
      </c>
      <c r="E67" s="34">
        <f>SUMIFS(Einzelbeträge!$D:$D,Einzelbeträge!$C:$C,'Ausgaben 2025'!$C67,Einzelbeträge!$E:$E,'Ausgaben 2025'!E$6)</f>
        <v>0</v>
      </c>
      <c r="F67" s="21">
        <f>SUMIFS(Einzelbeträge!$D:$D,Einzelbeträge!$C:$C,'Ausgaben 2025'!$C67,Einzelbeträge!$E:$E,'Ausgaben 2025'!F$6)</f>
        <v>0</v>
      </c>
      <c r="G67" s="21">
        <f>SUMIFS(Einzelbeträge!$D:$D,Einzelbeträge!$C:$C,'Ausgaben 2025'!$C67,Einzelbeträge!$E:$E,'Ausgaben 2025'!G$6)</f>
        <v>0</v>
      </c>
      <c r="H67" s="21">
        <f>SUMIFS(Einzelbeträge!$D:$D,Einzelbeträge!$C:$C,'Ausgaben 2025'!$C67,Einzelbeträge!$E:$E,'Ausgaben 2025'!H$6)</f>
        <v>0</v>
      </c>
      <c r="I67" s="21">
        <f>SUMIFS(Einzelbeträge!$D:$D,Einzelbeträge!$C:$C,'Ausgaben 2025'!$C67,Einzelbeträge!$E:$E,'Ausgaben 2025'!I$6)</f>
        <v>0</v>
      </c>
      <c r="J67" s="21">
        <f>SUMIFS(Einzelbeträge!$D:$D,Einzelbeträge!$C:$C,'Ausgaben 2025'!$C67,Einzelbeträge!$E:$E,'Ausgaben 2025'!J$6)</f>
        <v>0</v>
      </c>
      <c r="K67" s="21">
        <f>SUMIFS(Einzelbeträge!$D:$D,Einzelbeträge!$C:$C,'Ausgaben 2025'!$C67,Einzelbeträge!$E:$E,'Ausgaben 2025'!K$6)</f>
        <v>0</v>
      </c>
      <c r="L67" s="21">
        <f>SUMIFS(Einzelbeträge!$D:$D,Einzelbeträge!$C:$C,'Ausgaben 2025'!$C67,Einzelbeträge!$E:$E,'Ausgaben 2025'!L$6)</f>
        <v>0</v>
      </c>
      <c r="M67" s="21">
        <f>SUMIFS(Einzelbeträge!$D:$D,Einzelbeträge!$C:$C,'Ausgaben 2025'!$C67,Einzelbeträge!$E:$E,'Ausgaben 2025'!M$6)</f>
        <v>0</v>
      </c>
      <c r="N67" s="35">
        <f>SUMIFS(Einzelbeträge!$D:$D,Einzelbeträge!$C:$C,'Ausgaben 2025'!$C67,Einzelbeträge!$E:$E,'Ausgaben 2025'!N$6)</f>
        <v>0</v>
      </c>
      <c r="O67" s="6"/>
    </row>
    <row r="68" spans="2:15" x14ac:dyDescent="0.35">
      <c r="B68" s="5"/>
      <c r="C68" s="40">
        <f t="shared" si="15"/>
        <v>45716</v>
      </c>
      <c r="D68" s="46">
        <f>SUMIFS(Einzelbeträge!$D:$D,Einzelbeträge!$C:$C,'Ausgaben 2025'!$C68)</f>
        <v>0</v>
      </c>
      <c r="E68" s="34">
        <f>SUMIFS(Einzelbeträge!$D:$D,Einzelbeträge!$C:$C,'Ausgaben 2025'!$C68,Einzelbeträge!$E:$E,'Ausgaben 2025'!E$6)</f>
        <v>0</v>
      </c>
      <c r="F68" s="21">
        <f>SUMIFS(Einzelbeträge!$D:$D,Einzelbeträge!$C:$C,'Ausgaben 2025'!$C68,Einzelbeträge!$E:$E,'Ausgaben 2025'!F$6)</f>
        <v>0</v>
      </c>
      <c r="G68" s="21">
        <f>SUMIFS(Einzelbeträge!$D:$D,Einzelbeträge!$C:$C,'Ausgaben 2025'!$C68,Einzelbeträge!$E:$E,'Ausgaben 2025'!G$6)</f>
        <v>0</v>
      </c>
      <c r="H68" s="21">
        <f>SUMIFS(Einzelbeträge!$D:$D,Einzelbeträge!$C:$C,'Ausgaben 2025'!$C68,Einzelbeträge!$E:$E,'Ausgaben 2025'!H$6)</f>
        <v>0</v>
      </c>
      <c r="I68" s="21">
        <f>SUMIFS(Einzelbeträge!$D:$D,Einzelbeträge!$C:$C,'Ausgaben 2025'!$C68,Einzelbeträge!$E:$E,'Ausgaben 2025'!I$6)</f>
        <v>0</v>
      </c>
      <c r="J68" s="21">
        <f>SUMIFS(Einzelbeträge!$D:$D,Einzelbeträge!$C:$C,'Ausgaben 2025'!$C68,Einzelbeträge!$E:$E,'Ausgaben 2025'!J$6)</f>
        <v>0</v>
      </c>
      <c r="K68" s="21">
        <f>SUMIFS(Einzelbeträge!$D:$D,Einzelbeträge!$C:$C,'Ausgaben 2025'!$C68,Einzelbeträge!$E:$E,'Ausgaben 2025'!K$6)</f>
        <v>0</v>
      </c>
      <c r="L68" s="21">
        <f>SUMIFS(Einzelbeträge!$D:$D,Einzelbeträge!$C:$C,'Ausgaben 2025'!$C68,Einzelbeträge!$E:$E,'Ausgaben 2025'!L$6)</f>
        <v>0</v>
      </c>
      <c r="M68" s="21">
        <f>SUMIFS(Einzelbeträge!$D:$D,Einzelbeträge!$C:$C,'Ausgaben 2025'!$C68,Einzelbeträge!$E:$E,'Ausgaben 2025'!M$6)</f>
        <v>0</v>
      </c>
      <c r="N68" s="35">
        <f>SUMIFS(Einzelbeträge!$D:$D,Einzelbeträge!$C:$C,'Ausgaben 2025'!$C68,Einzelbeträge!$E:$E,'Ausgaben 2025'!N$6)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2025'!$C69)</f>
        <v>0</v>
      </c>
      <c r="E69" s="36">
        <f>SUMIFS(Einzelbeträge!$D:$D,Einzelbeträge!$C:$C,'Ausgaben 2025'!$C69,Einzelbeträge!$E:$E,'Ausgaben 2025'!E$6)</f>
        <v>0</v>
      </c>
      <c r="F69" s="37">
        <f>SUMIFS(Einzelbeträge!$D:$D,Einzelbeträge!$C:$C,'Ausgaben 2025'!$C69,Einzelbeträge!$E:$E,'Ausgaben 2025'!F$6)</f>
        <v>0</v>
      </c>
      <c r="G69" s="37">
        <f>SUMIFS(Einzelbeträge!$D:$D,Einzelbeträge!$C:$C,'Ausgaben 2025'!$C69,Einzelbeträge!$E:$E,'Ausgaben 2025'!G$6)</f>
        <v>0</v>
      </c>
      <c r="H69" s="37">
        <f>SUMIFS(Einzelbeträge!$D:$D,Einzelbeträge!$C:$C,'Ausgaben 2025'!$C69,Einzelbeträge!$E:$E,'Ausgaben 2025'!H$6)</f>
        <v>0</v>
      </c>
      <c r="I69" s="37">
        <f>SUMIFS(Einzelbeträge!$D:$D,Einzelbeträge!$C:$C,'Ausgaben 2025'!$C69,Einzelbeträge!$E:$E,'Ausgaben 2025'!I$6)</f>
        <v>0</v>
      </c>
      <c r="J69" s="37">
        <f>SUMIFS(Einzelbeträge!$D:$D,Einzelbeträge!$C:$C,'Ausgaben 2025'!$C69,Einzelbeträge!$E:$E,'Ausgaben 2025'!J$6)</f>
        <v>0</v>
      </c>
      <c r="K69" s="37">
        <f>SUMIFS(Einzelbeträge!$D:$D,Einzelbeträge!$C:$C,'Ausgaben 2025'!$C69,Einzelbeträge!$E:$E,'Ausgaben 2025'!K$6)</f>
        <v>0</v>
      </c>
      <c r="L69" s="37">
        <f>SUMIFS(Einzelbeträge!$D:$D,Einzelbeträge!$C:$C,'Ausgaben 2025'!$C69,Einzelbeträge!$E:$E,'Ausgaben 2025'!L$6)</f>
        <v>0</v>
      </c>
      <c r="M69" s="37">
        <f>SUMIFS(Einzelbeträge!$D:$D,Einzelbeträge!$C:$C,'Ausgaben 2025'!$C69,Einzelbeträge!$E:$E,'Ausgaben 2025'!M$6)</f>
        <v>0</v>
      </c>
      <c r="N69" s="38">
        <f>SUMIFS(Einzelbeträge!$D:$D,Einzelbeträge!$C:$C,'Ausgaben 2025'!$C69,Einzelbeträge!$E:$E,'Ausgaben 2025'!N$6)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45717</v>
      </c>
      <c r="D73" s="45">
        <f>SUMIFS(Einzelbeträge!$D:$D,Einzelbeträge!$C:$C,'Ausgaben 2025'!$C73)</f>
        <v>0</v>
      </c>
      <c r="E73" s="88">
        <f>SUMIFS(Einzelbeträge!$D:$D,Einzelbeträge!$C:$C,'Ausgaben 2025'!$C73,Einzelbeträge!$E:$E,'Ausgaben 2025'!E$6)</f>
        <v>0</v>
      </c>
      <c r="F73" s="32">
        <f>SUMIFS(Einzelbeträge!$D:$D,Einzelbeträge!$C:$C,'Ausgaben 2025'!$C73,Einzelbeträge!$E:$E,'Ausgaben 2025'!F$6)</f>
        <v>0</v>
      </c>
      <c r="G73" s="32">
        <f>SUMIFS(Einzelbeträge!$D:$D,Einzelbeträge!$C:$C,'Ausgaben 2025'!$C73,Einzelbeträge!$E:$E,'Ausgaben 2025'!G$6)</f>
        <v>0</v>
      </c>
      <c r="H73" s="32">
        <f>SUMIFS(Einzelbeträge!$D:$D,Einzelbeträge!$C:$C,'Ausgaben 2025'!$C73,Einzelbeträge!$E:$E,'Ausgaben 2025'!H$6)</f>
        <v>0</v>
      </c>
      <c r="I73" s="32">
        <f>SUMIFS(Einzelbeträge!$D:$D,Einzelbeträge!$C:$C,'Ausgaben 2025'!$C73,Einzelbeträge!$E:$E,'Ausgaben 2025'!I$6)</f>
        <v>0</v>
      </c>
      <c r="J73" s="32">
        <f>SUMIFS(Einzelbeträge!$D:$D,Einzelbeträge!$C:$C,'Ausgaben 2025'!$C73,Einzelbeträge!$E:$E,'Ausgaben 2025'!J$6)</f>
        <v>0</v>
      </c>
      <c r="K73" s="32">
        <f>SUMIFS(Einzelbeträge!$D:$D,Einzelbeträge!$C:$C,'Ausgaben 2025'!$C73,Einzelbeträge!$E:$E,'Ausgaben 2025'!K$6)</f>
        <v>0</v>
      </c>
      <c r="L73" s="32">
        <f>SUMIFS(Einzelbeträge!$D:$D,Einzelbeträge!$C:$C,'Ausgaben 2025'!$C73,Einzelbeträge!$E:$E,'Ausgaben 2025'!L$6)</f>
        <v>0</v>
      </c>
      <c r="M73" s="32">
        <f>SUMIFS(Einzelbeträge!$D:$D,Einzelbeträge!$C:$C,'Ausgaben 2025'!$C73,Einzelbeträge!$E:$E,'Ausgaben 2025'!M$6)</f>
        <v>0</v>
      </c>
      <c r="N73" s="33">
        <f>SUMIFS(Einzelbeträge!$D:$D,Einzelbeträge!$C:$C,'Ausgaben 2025'!$C73,Einzelbeträge!$E:$E,'Ausgaben 2025'!N$6)</f>
        <v>0</v>
      </c>
      <c r="O73" s="6"/>
    </row>
    <row r="74" spans="2:15" x14ac:dyDescent="0.35">
      <c r="B74" s="5"/>
      <c r="C74" s="40">
        <f>C73+1</f>
        <v>45718</v>
      </c>
      <c r="D74" s="46">
        <f>SUMIFS(Einzelbeträge!$D:$D,Einzelbeträge!$C:$C,'Ausgaben 2025'!$C74)</f>
        <v>0</v>
      </c>
      <c r="E74" s="34">
        <f>SUMIFS(Einzelbeträge!$D:$D,Einzelbeträge!$C:$C,'Ausgaben 2025'!$C74,Einzelbeträge!$E:$E,'Ausgaben 2025'!E$6)</f>
        <v>0</v>
      </c>
      <c r="F74" s="21">
        <f>SUMIFS(Einzelbeträge!$D:$D,Einzelbeträge!$C:$C,'Ausgaben 2025'!$C74,Einzelbeträge!$E:$E,'Ausgaben 2025'!F$6)</f>
        <v>0</v>
      </c>
      <c r="G74" s="21">
        <f>SUMIFS(Einzelbeträge!$D:$D,Einzelbeträge!$C:$C,'Ausgaben 2025'!$C74,Einzelbeträge!$E:$E,'Ausgaben 2025'!G$6)</f>
        <v>0</v>
      </c>
      <c r="H74" s="21">
        <f>SUMIFS(Einzelbeträge!$D:$D,Einzelbeträge!$C:$C,'Ausgaben 2025'!$C74,Einzelbeträge!$E:$E,'Ausgaben 2025'!H$6)</f>
        <v>0</v>
      </c>
      <c r="I74" s="21">
        <f>SUMIFS(Einzelbeträge!$D:$D,Einzelbeträge!$C:$C,'Ausgaben 2025'!$C74,Einzelbeträge!$E:$E,'Ausgaben 2025'!I$6)</f>
        <v>0</v>
      </c>
      <c r="J74" s="21">
        <f>SUMIFS(Einzelbeträge!$D:$D,Einzelbeträge!$C:$C,'Ausgaben 2025'!$C74,Einzelbeträge!$E:$E,'Ausgaben 2025'!J$6)</f>
        <v>0</v>
      </c>
      <c r="K74" s="21">
        <f>SUMIFS(Einzelbeträge!$D:$D,Einzelbeträge!$C:$C,'Ausgaben 2025'!$C74,Einzelbeträge!$E:$E,'Ausgaben 2025'!K$6)</f>
        <v>0</v>
      </c>
      <c r="L74" s="21">
        <f>SUMIFS(Einzelbeträge!$D:$D,Einzelbeträge!$C:$C,'Ausgaben 2025'!$C74,Einzelbeträge!$E:$E,'Ausgaben 2025'!L$6)</f>
        <v>0</v>
      </c>
      <c r="M74" s="21">
        <f>SUMIFS(Einzelbeträge!$D:$D,Einzelbeträge!$C:$C,'Ausgaben 2025'!$C74,Einzelbeträge!$E:$E,'Ausgaben 2025'!M$6)</f>
        <v>0</v>
      </c>
      <c r="N74" s="35">
        <f>SUMIFS(Einzelbeträge!$D:$D,Einzelbeträge!$C:$C,'Ausgaben 2025'!$C74,Einzelbeträge!$E:$E,'Ausgaben 2025'!N$6)</f>
        <v>0</v>
      </c>
      <c r="O74" s="6"/>
    </row>
    <row r="75" spans="2:15" x14ac:dyDescent="0.35">
      <c r="B75" s="5"/>
      <c r="C75" s="40">
        <f t="shared" ref="C75:C103" si="18">C74+1</f>
        <v>45719</v>
      </c>
      <c r="D75" s="46">
        <f>SUMIFS(Einzelbeträge!$D:$D,Einzelbeträge!$C:$C,'Ausgaben 2025'!$C75)</f>
        <v>0</v>
      </c>
      <c r="E75" s="34">
        <f>SUMIFS(Einzelbeträge!$D:$D,Einzelbeträge!$C:$C,'Ausgaben 2025'!$C75,Einzelbeträge!$E:$E,'Ausgaben 2025'!E$6)</f>
        <v>0</v>
      </c>
      <c r="F75" s="21">
        <f>SUMIFS(Einzelbeträge!$D:$D,Einzelbeträge!$C:$C,'Ausgaben 2025'!$C75,Einzelbeträge!$E:$E,'Ausgaben 2025'!F$6)</f>
        <v>0</v>
      </c>
      <c r="G75" s="21">
        <f>SUMIFS(Einzelbeträge!$D:$D,Einzelbeträge!$C:$C,'Ausgaben 2025'!$C75,Einzelbeträge!$E:$E,'Ausgaben 2025'!G$6)</f>
        <v>0</v>
      </c>
      <c r="H75" s="21">
        <f>SUMIFS(Einzelbeträge!$D:$D,Einzelbeträge!$C:$C,'Ausgaben 2025'!$C75,Einzelbeträge!$E:$E,'Ausgaben 2025'!H$6)</f>
        <v>0</v>
      </c>
      <c r="I75" s="21">
        <f>SUMIFS(Einzelbeträge!$D:$D,Einzelbeträge!$C:$C,'Ausgaben 2025'!$C75,Einzelbeträge!$E:$E,'Ausgaben 2025'!I$6)</f>
        <v>0</v>
      </c>
      <c r="J75" s="21">
        <f>SUMIFS(Einzelbeträge!$D:$D,Einzelbeträge!$C:$C,'Ausgaben 2025'!$C75,Einzelbeträge!$E:$E,'Ausgaben 2025'!J$6)</f>
        <v>0</v>
      </c>
      <c r="K75" s="21">
        <f>SUMIFS(Einzelbeträge!$D:$D,Einzelbeträge!$C:$C,'Ausgaben 2025'!$C75,Einzelbeträge!$E:$E,'Ausgaben 2025'!K$6)</f>
        <v>0</v>
      </c>
      <c r="L75" s="21">
        <f>SUMIFS(Einzelbeträge!$D:$D,Einzelbeträge!$C:$C,'Ausgaben 2025'!$C75,Einzelbeträge!$E:$E,'Ausgaben 2025'!L$6)</f>
        <v>0</v>
      </c>
      <c r="M75" s="21">
        <f>SUMIFS(Einzelbeträge!$D:$D,Einzelbeträge!$C:$C,'Ausgaben 2025'!$C75,Einzelbeträge!$E:$E,'Ausgaben 2025'!M$6)</f>
        <v>0</v>
      </c>
      <c r="N75" s="35">
        <f>SUMIFS(Einzelbeträge!$D:$D,Einzelbeträge!$C:$C,'Ausgaben 2025'!$C75,Einzelbeträge!$E:$E,'Ausgaben 2025'!N$6)</f>
        <v>0</v>
      </c>
      <c r="O75" s="6"/>
    </row>
    <row r="76" spans="2:15" x14ac:dyDescent="0.35">
      <c r="B76" s="5"/>
      <c r="C76" s="40">
        <f t="shared" si="18"/>
        <v>45720</v>
      </c>
      <c r="D76" s="46">
        <f>SUMIFS(Einzelbeträge!$D:$D,Einzelbeträge!$C:$C,'Ausgaben 2025'!$C76)</f>
        <v>0</v>
      </c>
      <c r="E76" s="34">
        <f>SUMIFS(Einzelbeträge!$D:$D,Einzelbeträge!$C:$C,'Ausgaben 2025'!$C76,Einzelbeträge!$E:$E,'Ausgaben 2025'!E$6)</f>
        <v>0</v>
      </c>
      <c r="F76" s="21">
        <f>SUMIFS(Einzelbeträge!$D:$D,Einzelbeträge!$C:$C,'Ausgaben 2025'!$C76,Einzelbeträge!$E:$E,'Ausgaben 2025'!F$6)</f>
        <v>0</v>
      </c>
      <c r="G76" s="21">
        <f>SUMIFS(Einzelbeträge!$D:$D,Einzelbeträge!$C:$C,'Ausgaben 2025'!$C76,Einzelbeträge!$E:$E,'Ausgaben 2025'!G$6)</f>
        <v>0</v>
      </c>
      <c r="H76" s="21">
        <f>SUMIFS(Einzelbeträge!$D:$D,Einzelbeträge!$C:$C,'Ausgaben 2025'!$C76,Einzelbeträge!$E:$E,'Ausgaben 2025'!H$6)</f>
        <v>0</v>
      </c>
      <c r="I76" s="21">
        <f>SUMIFS(Einzelbeträge!$D:$D,Einzelbeträge!$C:$C,'Ausgaben 2025'!$C76,Einzelbeträge!$E:$E,'Ausgaben 2025'!I$6)</f>
        <v>0</v>
      </c>
      <c r="J76" s="21">
        <f>SUMIFS(Einzelbeträge!$D:$D,Einzelbeträge!$C:$C,'Ausgaben 2025'!$C76,Einzelbeträge!$E:$E,'Ausgaben 2025'!J$6)</f>
        <v>0</v>
      </c>
      <c r="K76" s="21">
        <f>SUMIFS(Einzelbeträge!$D:$D,Einzelbeträge!$C:$C,'Ausgaben 2025'!$C76,Einzelbeträge!$E:$E,'Ausgaben 2025'!K$6)</f>
        <v>0</v>
      </c>
      <c r="L76" s="21">
        <f>SUMIFS(Einzelbeträge!$D:$D,Einzelbeträge!$C:$C,'Ausgaben 2025'!$C76,Einzelbeträge!$E:$E,'Ausgaben 2025'!L$6)</f>
        <v>0</v>
      </c>
      <c r="M76" s="21">
        <f>SUMIFS(Einzelbeträge!$D:$D,Einzelbeträge!$C:$C,'Ausgaben 2025'!$C76,Einzelbeträge!$E:$E,'Ausgaben 2025'!M$6)</f>
        <v>0</v>
      </c>
      <c r="N76" s="35">
        <f>SUMIFS(Einzelbeträge!$D:$D,Einzelbeträge!$C:$C,'Ausgaben 2025'!$C76,Einzelbeträge!$E:$E,'Ausgaben 2025'!N$6)</f>
        <v>0</v>
      </c>
      <c r="O76" s="6"/>
    </row>
    <row r="77" spans="2:15" x14ac:dyDescent="0.35">
      <c r="B77" s="5"/>
      <c r="C77" s="40">
        <f t="shared" si="18"/>
        <v>45721</v>
      </c>
      <c r="D77" s="46">
        <f>SUMIFS(Einzelbeträge!$D:$D,Einzelbeträge!$C:$C,'Ausgaben 2025'!$C77)</f>
        <v>0</v>
      </c>
      <c r="E77" s="34">
        <f>SUMIFS(Einzelbeträge!$D:$D,Einzelbeträge!$C:$C,'Ausgaben 2025'!$C77,Einzelbeträge!$E:$E,'Ausgaben 2025'!E$6)</f>
        <v>0</v>
      </c>
      <c r="F77" s="21">
        <f>SUMIFS(Einzelbeträge!$D:$D,Einzelbeträge!$C:$C,'Ausgaben 2025'!$C77,Einzelbeträge!$E:$E,'Ausgaben 2025'!F$6)</f>
        <v>0</v>
      </c>
      <c r="G77" s="21">
        <f>SUMIFS(Einzelbeträge!$D:$D,Einzelbeträge!$C:$C,'Ausgaben 2025'!$C77,Einzelbeträge!$E:$E,'Ausgaben 2025'!G$6)</f>
        <v>0</v>
      </c>
      <c r="H77" s="21">
        <f>SUMIFS(Einzelbeträge!$D:$D,Einzelbeträge!$C:$C,'Ausgaben 2025'!$C77,Einzelbeträge!$E:$E,'Ausgaben 2025'!H$6)</f>
        <v>0</v>
      </c>
      <c r="I77" s="21">
        <f>SUMIFS(Einzelbeträge!$D:$D,Einzelbeträge!$C:$C,'Ausgaben 2025'!$C77,Einzelbeträge!$E:$E,'Ausgaben 2025'!I$6)</f>
        <v>0</v>
      </c>
      <c r="J77" s="21">
        <f>SUMIFS(Einzelbeträge!$D:$D,Einzelbeträge!$C:$C,'Ausgaben 2025'!$C77,Einzelbeträge!$E:$E,'Ausgaben 2025'!J$6)</f>
        <v>0</v>
      </c>
      <c r="K77" s="21">
        <f>SUMIFS(Einzelbeträge!$D:$D,Einzelbeträge!$C:$C,'Ausgaben 2025'!$C77,Einzelbeträge!$E:$E,'Ausgaben 2025'!K$6)</f>
        <v>0</v>
      </c>
      <c r="L77" s="21">
        <f>SUMIFS(Einzelbeträge!$D:$D,Einzelbeträge!$C:$C,'Ausgaben 2025'!$C77,Einzelbeträge!$E:$E,'Ausgaben 2025'!L$6)</f>
        <v>0</v>
      </c>
      <c r="M77" s="21">
        <f>SUMIFS(Einzelbeträge!$D:$D,Einzelbeträge!$C:$C,'Ausgaben 2025'!$C77,Einzelbeträge!$E:$E,'Ausgaben 2025'!M$6)</f>
        <v>0</v>
      </c>
      <c r="N77" s="35">
        <f>SUMIFS(Einzelbeträge!$D:$D,Einzelbeträge!$C:$C,'Ausgaben 2025'!$C77,Einzelbeträge!$E:$E,'Ausgaben 2025'!N$6)</f>
        <v>0</v>
      </c>
      <c r="O77" s="6"/>
    </row>
    <row r="78" spans="2:15" x14ac:dyDescent="0.35">
      <c r="B78" s="5"/>
      <c r="C78" s="40">
        <f t="shared" si="18"/>
        <v>45722</v>
      </c>
      <c r="D78" s="46">
        <f>SUMIFS(Einzelbeträge!$D:$D,Einzelbeträge!$C:$C,'Ausgaben 2025'!$C78)</f>
        <v>0</v>
      </c>
      <c r="E78" s="34">
        <f>SUMIFS(Einzelbeträge!$D:$D,Einzelbeträge!$C:$C,'Ausgaben 2025'!$C78,Einzelbeträge!$E:$E,'Ausgaben 2025'!E$6)</f>
        <v>0</v>
      </c>
      <c r="F78" s="21">
        <f>SUMIFS(Einzelbeträge!$D:$D,Einzelbeträge!$C:$C,'Ausgaben 2025'!$C78,Einzelbeträge!$E:$E,'Ausgaben 2025'!F$6)</f>
        <v>0</v>
      </c>
      <c r="G78" s="21">
        <f>SUMIFS(Einzelbeträge!$D:$D,Einzelbeträge!$C:$C,'Ausgaben 2025'!$C78,Einzelbeträge!$E:$E,'Ausgaben 2025'!G$6)</f>
        <v>0</v>
      </c>
      <c r="H78" s="21">
        <f>SUMIFS(Einzelbeträge!$D:$D,Einzelbeträge!$C:$C,'Ausgaben 2025'!$C78,Einzelbeträge!$E:$E,'Ausgaben 2025'!H$6)</f>
        <v>0</v>
      </c>
      <c r="I78" s="21">
        <f>SUMIFS(Einzelbeträge!$D:$D,Einzelbeträge!$C:$C,'Ausgaben 2025'!$C78,Einzelbeträge!$E:$E,'Ausgaben 2025'!I$6)</f>
        <v>0</v>
      </c>
      <c r="J78" s="21">
        <f>SUMIFS(Einzelbeträge!$D:$D,Einzelbeträge!$C:$C,'Ausgaben 2025'!$C78,Einzelbeträge!$E:$E,'Ausgaben 2025'!J$6)</f>
        <v>0</v>
      </c>
      <c r="K78" s="21">
        <f>SUMIFS(Einzelbeträge!$D:$D,Einzelbeträge!$C:$C,'Ausgaben 2025'!$C78,Einzelbeträge!$E:$E,'Ausgaben 2025'!K$6)</f>
        <v>0</v>
      </c>
      <c r="L78" s="21">
        <f>SUMIFS(Einzelbeträge!$D:$D,Einzelbeträge!$C:$C,'Ausgaben 2025'!$C78,Einzelbeträge!$E:$E,'Ausgaben 2025'!L$6)</f>
        <v>0</v>
      </c>
      <c r="M78" s="21">
        <f>SUMIFS(Einzelbeträge!$D:$D,Einzelbeträge!$C:$C,'Ausgaben 2025'!$C78,Einzelbeträge!$E:$E,'Ausgaben 2025'!M$6)</f>
        <v>0</v>
      </c>
      <c r="N78" s="35">
        <f>SUMIFS(Einzelbeträge!$D:$D,Einzelbeträge!$C:$C,'Ausgaben 2025'!$C78,Einzelbeträge!$E:$E,'Ausgaben 2025'!N$6)</f>
        <v>0</v>
      </c>
      <c r="O78" s="6"/>
    </row>
    <row r="79" spans="2:15" x14ac:dyDescent="0.35">
      <c r="B79" s="5"/>
      <c r="C79" s="40">
        <f t="shared" si="18"/>
        <v>45723</v>
      </c>
      <c r="D79" s="46">
        <f>SUMIFS(Einzelbeträge!$D:$D,Einzelbeträge!$C:$C,'Ausgaben 2025'!$C79)</f>
        <v>0</v>
      </c>
      <c r="E79" s="34">
        <f>SUMIFS(Einzelbeträge!$D:$D,Einzelbeträge!$C:$C,'Ausgaben 2025'!$C79,Einzelbeträge!$E:$E,'Ausgaben 2025'!E$6)</f>
        <v>0</v>
      </c>
      <c r="F79" s="21">
        <f>SUMIFS(Einzelbeträge!$D:$D,Einzelbeträge!$C:$C,'Ausgaben 2025'!$C79,Einzelbeträge!$E:$E,'Ausgaben 2025'!F$6)</f>
        <v>0</v>
      </c>
      <c r="G79" s="21">
        <f>SUMIFS(Einzelbeträge!$D:$D,Einzelbeträge!$C:$C,'Ausgaben 2025'!$C79,Einzelbeträge!$E:$E,'Ausgaben 2025'!G$6)</f>
        <v>0</v>
      </c>
      <c r="H79" s="21">
        <f>SUMIFS(Einzelbeträge!$D:$D,Einzelbeträge!$C:$C,'Ausgaben 2025'!$C79,Einzelbeträge!$E:$E,'Ausgaben 2025'!H$6)</f>
        <v>0</v>
      </c>
      <c r="I79" s="21">
        <f>SUMIFS(Einzelbeträge!$D:$D,Einzelbeträge!$C:$C,'Ausgaben 2025'!$C79,Einzelbeträge!$E:$E,'Ausgaben 2025'!I$6)</f>
        <v>0</v>
      </c>
      <c r="J79" s="21">
        <f>SUMIFS(Einzelbeträge!$D:$D,Einzelbeträge!$C:$C,'Ausgaben 2025'!$C79,Einzelbeträge!$E:$E,'Ausgaben 2025'!J$6)</f>
        <v>0</v>
      </c>
      <c r="K79" s="21">
        <f>SUMIFS(Einzelbeträge!$D:$D,Einzelbeträge!$C:$C,'Ausgaben 2025'!$C79,Einzelbeträge!$E:$E,'Ausgaben 2025'!K$6)</f>
        <v>0</v>
      </c>
      <c r="L79" s="21">
        <f>SUMIFS(Einzelbeträge!$D:$D,Einzelbeträge!$C:$C,'Ausgaben 2025'!$C79,Einzelbeträge!$E:$E,'Ausgaben 2025'!L$6)</f>
        <v>0</v>
      </c>
      <c r="M79" s="21">
        <f>SUMIFS(Einzelbeträge!$D:$D,Einzelbeträge!$C:$C,'Ausgaben 2025'!$C79,Einzelbeträge!$E:$E,'Ausgaben 2025'!M$6)</f>
        <v>0</v>
      </c>
      <c r="N79" s="35">
        <f>SUMIFS(Einzelbeträge!$D:$D,Einzelbeträge!$C:$C,'Ausgaben 2025'!$C79,Einzelbeträge!$E:$E,'Ausgaben 2025'!N$6)</f>
        <v>0</v>
      </c>
      <c r="O79" s="6"/>
    </row>
    <row r="80" spans="2:15" x14ac:dyDescent="0.35">
      <c r="B80" s="5"/>
      <c r="C80" s="40">
        <f t="shared" si="18"/>
        <v>45724</v>
      </c>
      <c r="D80" s="46">
        <f>SUMIFS(Einzelbeträge!$D:$D,Einzelbeträge!$C:$C,'Ausgaben 2025'!$C80)</f>
        <v>0</v>
      </c>
      <c r="E80" s="34">
        <f>SUMIFS(Einzelbeträge!$D:$D,Einzelbeträge!$C:$C,'Ausgaben 2025'!$C80,Einzelbeträge!$E:$E,'Ausgaben 2025'!E$6)</f>
        <v>0</v>
      </c>
      <c r="F80" s="21">
        <f>SUMIFS(Einzelbeträge!$D:$D,Einzelbeträge!$C:$C,'Ausgaben 2025'!$C80,Einzelbeträge!$E:$E,'Ausgaben 2025'!F$6)</f>
        <v>0</v>
      </c>
      <c r="G80" s="21">
        <f>SUMIFS(Einzelbeträge!$D:$D,Einzelbeträge!$C:$C,'Ausgaben 2025'!$C80,Einzelbeträge!$E:$E,'Ausgaben 2025'!G$6)</f>
        <v>0</v>
      </c>
      <c r="H80" s="21">
        <f>SUMIFS(Einzelbeträge!$D:$D,Einzelbeträge!$C:$C,'Ausgaben 2025'!$C80,Einzelbeträge!$E:$E,'Ausgaben 2025'!H$6)</f>
        <v>0</v>
      </c>
      <c r="I80" s="21">
        <f>SUMIFS(Einzelbeträge!$D:$D,Einzelbeträge!$C:$C,'Ausgaben 2025'!$C80,Einzelbeträge!$E:$E,'Ausgaben 2025'!I$6)</f>
        <v>0</v>
      </c>
      <c r="J80" s="21">
        <f>SUMIFS(Einzelbeträge!$D:$D,Einzelbeträge!$C:$C,'Ausgaben 2025'!$C80,Einzelbeträge!$E:$E,'Ausgaben 2025'!J$6)</f>
        <v>0</v>
      </c>
      <c r="K80" s="21">
        <f>SUMIFS(Einzelbeträge!$D:$D,Einzelbeträge!$C:$C,'Ausgaben 2025'!$C80,Einzelbeträge!$E:$E,'Ausgaben 2025'!K$6)</f>
        <v>0</v>
      </c>
      <c r="L80" s="21">
        <f>SUMIFS(Einzelbeträge!$D:$D,Einzelbeträge!$C:$C,'Ausgaben 2025'!$C80,Einzelbeträge!$E:$E,'Ausgaben 2025'!L$6)</f>
        <v>0</v>
      </c>
      <c r="M80" s="21">
        <f>SUMIFS(Einzelbeträge!$D:$D,Einzelbeträge!$C:$C,'Ausgaben 2025'!$C80,Einzelbeträge!$E:$E,'Ausgaben 2025'!M$6)</f>
        <v>0</v>
      </c>
      <c r="N80" s="35">
        <f>SUMIFS(Einzelbeträge!$D:$D,Einzelbeträge!$C:$C,'Ausgaben 2025'!$C80,Einzelbeträge!$E:$E,'Ausgaben 2025'!N$6)</f>
        <v>0</v>
      </c>
      <c r="O80" s="6"/>
    </row>
    <row r="81" spans="2:15" x14ac:dyDescent="0.35">
      <c r="B81" s="5"/>
      <c r="C81" s="40">
        <f t="shared" si="18"/>
        <v>45725</v>
      </c>
      <c r="D81" s="46">
        <f>SUMIFS(Einzelbeträge!$D:$D,Einzelbeträge!$C:$C,'Ausgaben 2025'!$C81)</f>
        <v>0</v>
      </c>
      <c r="E81" s="34">
        <f>SUMIFS(Einzelbeträge!$D:$D,Einzelbeträge!$C:$C,'Ausgaben 2025'!$C81,Einzelbeträge!$E:$E,'Ausgaben 2025'!E$6)</f>
        <v>0</v>
      </c>
      <c r="F81" s="21">
        <f>SUMIFS(Einzelbeträge!$D:$D,Einzelbeträge!$C:$C,'Ausgaben 2025'!$C81,Einzelbeträge!$E:$E,'Ausgaben 2025'!F$6)</f>
        <v>0</v>
      </c>
      <c r="G81" s="21">
        <f>SUMIFS(Einzelbeträge!$D:$D,Einzelbeträge!$C:$C,'Ausgaben 2025'!$C81,Einzelbeträge!$E:$E,'Ausgaben 2025'!G$6)</f>
        <v>0</v>
      </c>
      <c r="H81" s="21">
        <f>SUMIFS(Einzelbeträge!$D:$D,Einzelbeträge!$C:$C,'Ausgaben 2025'!$C81,Einzelbeträge!$E:$E,'Ausgaben 2025'!H$6)</f>
        <v>0</v>
      </c>
      <c r="I81" s="21">
        <f>SUMIFS(Einzelbeträge!$D:$D,Einzelbeträge!$C:$C,'Ausgaben 2025'!$C81,Einzelbeträge!$E:$E,'Ausgaben 2025'!I$6)</f>
        <v>0</v>
      </c>
      <c r="J81" s="21">
        <f>SUMIFS(Einzelbeträge!$D:$D,Einzelbeträge!$C:$C,'Ausgaben 2025'!$C81,Einzelbeträge!$E:$E,'Ausgaben 2025'!J$6)</f>
        <v>0</v>
      </c>
      <c r="K81" s="21">
        <f>SUMIFS(Einzelbeträge!$D:$D,Einzelbeträge!$C:$C,'Ausgaben 2025'!$C81,Einzelbeträge!$E:$E,'Ausgaben 2025'!K$6)</f>
        <v>0</v>
      </c>
      <c r="L81" s="21">
        <f>SUMIFS(Einzelbeträge!$D:$D,Einzelbeträge!$C:$C,'Ausgaben 2025'!$C81,Einzelbeträge!$E:$E,'Ausgaben 2025'!L$6)</f>
        <v>0</v>
      </c>
      <c r="M81" s="21">
        <f>SUMIFS(Einzelbeträge!$D:$D,Einzelbeträge!$C:$C,'Ausgaben 2025'!$C81,Einzelbeträge!$E:$E,'Ausgaben 2025'!M$6)</f>
        <v>0</v>
      </c>
      <c r="N81" s="35">
        <f>SUMIFS(Einzelbeträge!$D:$D,Einzelbeträge!$C:$C,'Ausgaben 2025'!$C81,Einzelbeträge!$E:$E,'Ausgaben 2025'!N$6)</f>
        <v>0</v>
      </c>
      <c r="O81" s="6"/>
    </row>
    <row r="82" spans="2:15" x14ac:dyDescent="0.35">
      <c r="B82" s="5"/>
      <c r="C82" s="40">
        <f t="shared" si="18"/>
        <v>45726</v>
      </c>
      <c r="D82" s="46">
        <f>SUMIFS(Einzelbeträge!$D:$D,Einzelbeträge!$C:$C,'Ausgaben 2025'!$C82)</f>
        <v>0</v>
      </c>
      <c r="E82" s="34">
        <f>SUMIFS(Einzelbeträge!$D:$D,Einzelbeträge!$C:$C,'Ausgaben 2025'!$C82,Einzelbeträge!$E:$E,'Ausgaben 2025'!E$6)</f>
        <v>0</v>
      </c>
      <c r="F82" s="21">
        <f>SUMIFS(Einzelbeträge!$D:$D,Einzelbeträge!$C:$C,'Ausgaben 2025'!$C82,Einzelbeträge!$E:$E,'Ausgaben 2025'!F$6)</f>
        <v>0</v>
      </c>
      <c r="G82" s="21">
        <f>SUMIFS(Einzelbeträge!$D:$D,Einzelbeträge!$C:$C,'Ausgaben 2025'!$C82,Einzelbeträge!$E:$E,'Ausgaben 2025'!G$6)</f>
        <v>0</v>
      </c>
      <c r="H82" s="21">
        <f>SUMIFS(Einzelbeträge!$D:$D,Einzelbeträge!$C:$C,'Ausgaben 2025'!$C82,Einzelbeträge!$E:$E,'Ausgaben 2025'!H$6)</f>
        <v>0</v>
      </c>
      <c r="I82" s="21">
        <f>SUMIFS(Einzelbeträge!$D:$D,Einzelbeträge!$C:$C,'Ausgaben 2025'!$C82,Einzelbeträge!$E:$E,'Ausgaben 2025'!I$6)</f>
        <v>0</v>
      </c>
      <c r="J82" s="21">
        <f>SUMIFS(Einzelbeträge!$D:$D,Einzelbeträge!$C:$C,'Ausgaben 2025'!$C82,Einzelbeträge!$E:$E,'Ausgaben 2025'!J$6)</f>
        <v>0</v>
      </c>
      <c r="K82" s="21">
        <f>SUMIFS(Einzelbeträge!$D:$D,Einzelbeträge!$C:$C,'Ausgaben 2025'!$C82,Einzelbeträge!$E:$E,'Ausgaben 2025'!K$6)</f>
        <v>0</v>
      </c>
      <c r="L82" s="21">
        <f>SUMIFS(Einzelbeträge!$D:$D,Einzelbeträge!$C:$C,'Ausgaben 2025'!$C82,Einzelbeträge!$E:$E,'Ausgaben 2025'!L$6)</f>
        <v>0</v>
      </c>
      <c r="M82" s="21">
        <f>SUMIFS(Einzelbeträge!$D:$D,Einzelbeträge!$C:$C,'Ausgaben 2025'!$C82,Einzelbeträge!$E:$E,'Ausgaben 2025'!M$6)</f>
        <v>0</v>
      </c>
      <c r="N82" s="35">
        <f>SUMIFS(Einzelbeträge!$D:$D,Einzelbeträge!$C:$C,'Ausgaben 2025'!$C82,Einzelbeträge!$E:$E,'Ausgaben 2025'!N$6)</f>
        <v>0</v>
      </c>
      <c r="O82" s="6"/>
    </row>
    <row r="83" spans="2:15" x14ac:dyDescent="0.35">
      <c r="B83" s="5"/>
      <c r="C83" s="40">
        <f t="shared" si="18"/>
        <v>45727</v>
      </c>
      <c r="D83" s="46">
        <f>SUMIFS(Einzelbeträge!$D:$D,Einzelbeträge!$C:$C,'Ausgaben 2025'!$C83)</f>
        <v>0</v>
      </c>
      <c r="E83" s="34">
        <f>SUMIFS(Einzelbeträge!$D:$D,Einzelbeträge!$C:$C,'Ausgaben 2025'!$C83,Einzelbeträge!$E:$E,'Ausgaben 2025'!E$6)</f>
        <v>0</v>
      </c>
      <c r="F83" s="21">
        <f>SUMIFS(Einzelbeträge!$D:$D,Einzelbeträge!$C:$C,'Ausgaben 2025'!$C83,Einzelbeträge!$E:$E,'Ausgaben 2025'!F$6)</f>
        <v>0</v>
      </c>
      <c r="G83" s="21">
        <f>SUMIFS(Einzelbeträge!$D:$D,Einzelbeträge!$C:$C,'Ausgaben 2025'!$C83,Einzelbeträge!$E:$E,'Ausgaben 2025'!G$6)</f>
        <v>0</v>
      </c>
      <c r="H83" s="21">
        <f>SUMIFS(Einzelbeträge!$D:$D,Einzelbeträge!$C:$C,'Ausgaben 2025'!$C83,Einzelbeträge!$E:$E,'Ausgaben 2025'!H$6)</f>
        <v>0</v>
      </c>
      <c r="I83" s="21">
        <f>SUMIFS(Einzelbeträge!$D:$D,Einzelbeträge!$C:$C,'Ausgaben 2025'!$C83,Einzelbeträge!$E:$E,'Ausgaben 2025'!I$6)</f>
        <v>0</v>
      </c>
      <c r="J83" s="21">
        <f>SUMIFS(Einzelbeträge!$D:$D,Einzelbeträge!$C:$C,'Ausgaben 2025'!$C83,Einzelbeträge!$E:$E,'Ausgaben 2025'!J$6)</f>
        <v>0</v>
      </c>
      <c r="K83" s="21">
        <f>SUMIFS(Einzelbeträge!$D:$D,Einzelbeträge!$C:$C,'Ausgaben 2025'!$C83,Einzelbeträge!$E:$E,'Ausgaben 2025'!K$6)</f>
        <v>0</v>
      </c>
      <c r="L83" s="21">
        <f>SUMIFS(Einzelbeträge!$D:$D,Einzelbeträge!$C:$C,'Ausgaben 2025'!$C83,Einzelbeträge!$E:$E,'Ausgaben 2025'!L$6)</f>
        <v>0</v>
      </c>
      <c r="M83" s="21">
        <f>SUMIFS(Einzelbeträge!$D:$D,Einzelbeträge!$C:$C,'Ausgaben 2025'!$C83,Einzelbeträge!$E:$E,'Ausgaben 2025'!M$6)</f>
        <v>0</v>
      </c>
      <c r="N83" s="35">
        <f>SUMIFS(Einzelbeträge!$D:$D,Einzelbeträge!$C:$C,'Ausgaben 2025'!$C83,Einzelbeträge!$E:$E,'Ausgaben 2025'!N$6)</f>
        <v>0</v>
      </c>
      <c r="O83" s="6"/>
    </row>
    <row r="84" spans="2:15" x14ac:dyDescent="0.35">
      <c r="B84" s="5"/>
      <c r="C84" s="40">
        <f t="shared" si="18"/>
        <v>45728</v>
      </c>
      <c r="D84" s="46">
        <f>SUMIFS(Einzelbeträge!$D:$D,Einzelbeträge!$C:$C,'Ausgaben 2025'!$C84)</f>
        <v>0</v>
      </c>
      <c r="E84" s="34">
        <f>SUMIFS(Einzelbeträge!$D:$D,Einzelbeträge!$C:$C,'Ausgaben 2025'!$C84,Einzelbeträge!$E:$E,'Ausgaben 2025'!E$6)</f>
        <v>0</v>
      </c>
      <c r="F84" s="21">
        <f>SUMIFS(Einzelbeträge!$D:$D,Einzelbeträge!$C:$C,'Ausgaben 2025'!$C84,Einzelbeträge!$E:$E,'Ausgaben 2025'!F$6)</f>
        <v>0</v>
      </c>
      <c r="G84" s="21">
        <f>SUMIFS(Einzelbeträge!$D:$D,Einzelbeträge!$C:$C,'Ausgaben 2025'!$C84,Einzelbeträge!$E:$E,'Ausgaben 2025'!G$6)</f>
        <v>0</v>
      </c>
      <c r="H84" s="21">
        <f>SUMIFS(Einzelbeträge!$D:$D,Einzelbeträge!$C:$C,'Ausgaben 2025'!$C84,Einzelbeträge!$E:$E,'Ausgaben 2025'!H$6)</f>
        <v>0</v>
      </c>
      <c r="I84" s="21">
        <f>SUMIFS(Einzelbeträge!$D:$D,Einzelbeträge!$C:$C,'Ausgaben 2025'!$C84,Einzelbeträge!$E:$E,'Ausgaben 2025'!I$6)</f>
        <v>0</v>
      </c>
      <c r="J84" s="21">
        <f>SUMIFS(Einzelbeträge!$D:$D,Einzelbeträge!$C:$C,'Ausgaben 2025'!$C84,Einzelbeträge!$E:$E,'Ausgaben 2025'!J$6)</f>
        <v>0</v>
      </c>
      <c r="K84" s="21">
        <f>SUMIFS(Einzelbeträge!$D:$D,Einzelbeträge!$C:$C,'Ausgaben 2025'!$C84,Einzelbeträge!$E:$E,'Ausgaben 2025'!K$6)</f>
        <v>0</v>
      </c>
      <c r="L84" s="21">
        <f>SUMIFS(Einzelbeträge!$D:$D,Einzelbeträge!$C:$C,'Ausgaben 2025'!$C84,Einzelbeträge!$E:$E,'Ausgaben 2025'!L$6)</f>
        <v>0</v>
      </c>
      <c r="M84" s="21">
        <f>SUMIFS(Einzelbeträge!$D:$D,Einzelbeträge!$C:$C,'Ausgaben 2025'!$C84,Einzelbeträge!$E:$E,'Ausgaben 2025'!M$6)</f>
        <v>0</v>
      </c>
      <c r="N84" s="35">
        <f>SUMIFS(Einzelbeträge!$D:$D,Einzelbeträge!$C:$C,'Ausgaben 2025'!$C84,Einzelbeträge!$E:$E,'Ausgaben 2025'!N$6)</f>
        <v>0</v>
      </c>
      <c r="O84" s="6"/>
    </row>
    <row r="85" spans="2:15" x14ac:dyDescent="0.35">
      <c r="B85" s="5"/>
      <c r="C85" s="40">
        <f t="shared" si="18"/>
        <v>45729</v>
      </c>
      <c r="D85" s="46">
        <f>SUMIFS(Einzelbeträge!$D:$D,Einzelbeträge!$C:$C,'Ausgaben 2025'!$C85)</f>
        <v>0</v>
      </c>
      <c r="E85" s="34">
        <f>SUMIFS(Einzelbeträge!$D:$D,Einzelbeträge!$C:$C,'Ausgaben 2025'!$C85,Einzelbeträge!$E:$E,'Ausgaben 2025'!E$6)</f>
        <v>0</v>
      </c>
      <c r="F85" s="21">
        <f>SUMIFS(Einzelbeträge!$D:$D,Einzelbeträge!$C:$C,'Ausgaben 2025'!$C85,Einzelbeträge!$E:$E,'Ausgaben 2025'!F$6)</f>
        <v>0</v>
      </c>
      <c r="G85" s="21">
        <f>SUMIFS(Einzelbeträge!$D:$D,Einzelbeträge!$C:$C,'Ausgaben 2025'!$C85,Einzelbeträge!$E:$E,'Ausgaben 2025'!G$6)</f>
        <v>0</v>
      </c>
      <c r="H85" s="21">
        <f>SUMIFS(Einzelbeträge!$D:$D,Einzelbeträge!$C:$C,'Ausgaben 2025'!$C85,Einzelbeträge!$E:$E,'Ausgaben 2025'!H$6)</f>
        <v>0</v>
      </c>
      <c r="I85" s="21">
        <f>SUMIFS(Einzelbeträge!$D:$D,Einzelbeträge!$C:$C,'Ausgaben 2025'!$C85,Einzelbeträge!$E:$E,'Ausgaben 2025'!I$6)</f>
        <v>0</v>
      </c>
      <c r="J85" s="21">
        <f>SUMIFS(Einzelbeträge!$D:$D,Einzelbeträge!$C:$C,'Ausgaben 2025'!$C85,Einzelbeträge!$E:$E,'Ausgaben 2025'!J$6)</f>
        <v>0</v>
      </c>
      <c r="K85" s="21">
        <f>SUMIFS(Einzelbeträge!$D:$D,Einzelbeträge!$C:$C,'Ausgaben 2025'!$C85,Einzelbeträge!$E:$E,'Ausgaben 2025'!K$6)</f>
        <v>0</v>
      </c>
      <c r="L85" s="21">
        <f>SUMIFS(Einzelbeträge!$D:$D,Einzelbeträge!$C:$C,'Ausgaben 2025'!$C85,Einzelbeträge!$E:$E,'Ausgaben 2025'!L$6)</f>
        <v>0</v>
      </c>
      <c r="M85" s="21">
        <f>SUMIFS(Einzelbeträge!$D:$D,Einzelbeträge!$C:$C,'Ausgaben 2025'!$C85,Einzelbeträge!$E:$E,'Ausgaben 2025'!M$6)</f>
        <v>0</v>
      </c>
      <c r="N85" s="35">
        <f>SUMIFS(Einzelbeträge!$D:$D,Einzelbeträge!$C:$C,'Ausgaben 2025'!$C85,Einzelbeträge!$E:$E,'Ausgaben 2025'!N$6)</f>
        <v>0</v>
      </c>
      <c r="O85" s="6"/>
    </row>
    <row r="86" spans="2:15" x14ac:dyDescent="0.35">
      <c r="B86" s="5"/>
      <c r="C86" s="40">
        <f t="shared" si="18"/>
        <v>45730</v>
      </c>
      <c r="D86" s="46">
        <f>SUMIFS(Einzelbeträge!$D:$D,Einzelbeträge!$C:$C,'Ausgaben 2025'!$C86)</f>
        <v>0</v>
      </c>
      <c r="E86" s="34">
        <f>SUMIFS(Einzelbeträge!$D:$D,Einzelbeträge!$C:$C,'Ausgaben 2025'!$C86,Einzelbeträge!$E:$E,'Ausgaben 2025'!E$6)</f>
        <v>0</v>
      </c>
      <c r="F86" s="21">
        <f>SUMIFS(Einzelbeträge!$D:$D,Einzelbeträge!$C:$C,'Ausgaben 2025'!$C86,Einzelbeträge!$E:$E,'Ausgaben 2025'!F$6)</f>
        <v>0</v>
      </c>
      <c r="G86" s="21">
        <f>SUMIFS(Einzelbeträge!$D:$D,Einzelbeträge!$C:$C,'Ausgaben 2025'!$C86,Einzelbeträge!$E:$E,'Ausgaben 2025'!G$6)</f>
        <v>0</v>
      </c>
      <c r="H86" s="21">
        <f>SUMIFS(Einzelbeträge!$D:$D,Einzelbeträge!$C:$C,'Ausgaben 2025'!$C86,Einzelbeträge!$E:$E,'Ausgaben 2025'!H$6)</f>
        <v>0</v>
      </c>
      <c r="I86" s="21">
        <f>SUMIFS(Einzelbeträge!$D:$D,Einzelbeträge!$C:$C,'Ausgaben 2025'!$C86,Einzelbeträge!$E:$E,'Ausgaben 2025'!I$6)</f>
        <v>0</v>
      </c>
      <c r="J86" s="21">
        <f>SUMIFS(Einzelbeträge!$D:$D,Einzelbeträge!$C:$C,'Ausgaben 2025'!$C86,Einzelbeträge!$E:$E,'Ausgaben 2025'!J$6)</f>
        <v>0</v>
      </c>
      <c r="K86" s="21">
        <f>SUMIFS(Einzelbeträge!$D:$D,Einzelbeträge!$C:$C,'Ausgaben 2025'!$C86,Einzelbeträge!$E:$E,'Ausgaben 2025'!K$6)</f>
        <v>0</v>
      </c>
      <c r="L86" s="21">
        <f>SUMIFS(Einzelbeträge!$D:$D,Einzelbeträge!$C:$C,'Ausgaben 2025'!$C86,Einzelbeträge!$E:$E,'Ausgaben 2025'!L$6)</f>
        <v>0</v>
      </c>
      <c r="M86" s="21">
        <f>SUMIFS(Einzelbeträge!$D:$D,Einzelbeträge!$C:$C,'Ausgaben 2025'!$C86,Einzelbeträge!$E:$E,'Ausgaben 2025'!M$6)</f>
        <v>0</v>
      </c>
      <c r="N86" s="35">
        <f>SUMIFS(Einzelbeträge!$D:$D,Einzelbeträge!$C:$C,'Ausgaben 2025'!$C86,Einzelbeträge!$E:$E,'Ausgaben 2025'!N$6)</f>
        <v>0</v>
      </c>
      <c r="O86" s="6"/>
    </row>
    <row r="87" spans="2:15" x14ac:dyDescent="0.35">
      <c r="B87" s="5"/>
      <c r="C87" s="40">
        <f t="shared" si="18"/>
        <v>45731</v>
      </c>
      <c r="D87" s="46">
        <f>SUMIFS(Einzelbeträge!$D:$D,Einzelbeträge!$C:$C,'Ausgaben 2025'!$C87)</f>
        <v>0</v>
      </c>
      <c r="E87" s="34">
        <f>SUMIFS(Einzelbeträge!$D:$D,Einzelbeträge!$C:$C,'Ausgaben 2025'!$C87,Einzelbeträge!$E:$E,'Ausgaben 2025'!E$6)</f>
        <v>0</v>
      </c>
      <c r="F87" s="21">
        <f>SUMIFS(Einzelbeträge!$D:$D,Einzelbeträge!$C:$C,'Ausgaben 2025'!$C87,Einzelbeträge!$E:$E,'Ausgaben 2025'!F$6)</f>
        <v>0</v>
      </c>
      <c r="G87" s="21">
        <f>SUMIFS(Einzelbeträge!$D:$D,Einzelbeträge!$C:$C,'Ausgaben 2025'!$C87,Einzelbeträge!$E:$E,'Ausgaben 2025'!G$6)</f>
        <v>0</v>
      </c>
      <c r="H87" s="21">
        <f>SUMIFS(Einzelbeträge!$D:$D,Einzelbeträge!$C:$C,'Ausgaben 2025'!$C87,Einzelbeträge!$E:$E,'Ausgaben 2025'!H$6)</f>
        <v>0</v>
      </c>
      <c r="I87" s="21">
        <f>SUMIFS(Einzelbeträge!$D:$D,Einzelbeträge!$C:$C,'Ausgaben 2025'!$C87,Einzelbeträge!$E:$E,'Ausgaben 2025'!I$6)</f>
        <v>0</v>
      </c>
      <c r="J87" s="21">
        <f>SUMIFS(Einzelbeträge!$D:$D,Einzelbeträge!$C:$C,'Ausgaben 2025'!$C87,Einzelbeträge!$E:$E,'Ausgaben 2025'!J$6)</f>
        <v>0</v>
      </c>
      <c r="K87" s="21">
        <f>SUMIFS(Einzelbeträge!$D:$D,Einzelbeträge!$C:$C,'Ausgaben 2025'!$C87,Einzelbeträge!$E:$E,'Ausgaben 2025'!K$6)</f>
        <v>0</v>
      </c>
      <c r="L87" s="21">
        <f>SUMIFS(Einzelbeträge!$D:$D,Einzelbeträge!$C:$C,'Ausgaben 2025'!$C87,Einzelbeträge!$E:$E,'Ausgaben 2025'!L$6)</f>
        <v>0</v>
      </c>
      <c r="M87" s="21">
        <f>SUMIFS(Einzelbeträge!$D:$D,Einzelbeträge!$C:$C,'Ausgaben 2025'!$C87,Einzelbeträge!$E:$E,'Ausgaben 2025'!M$6)</f>
        <v>0</v>
      </c>
      <c r="N87" s="35">
        <f>SUMIFS(Einzelbeträge!$D:$D,Einzelbeträge!$C:$C,'Ausgaben 2025'!$C87,Einzelbeträge!$E:$E,'Ausgaben 2025'!N$6)</f>
        <v>0</v>
      </c>
      <c r="O87" s="6"/>
    </row>
    <row r="88" spans="2:15" x14ac:dyDescent="0.35">
      <c r="B88" s="5"/>
      <c r="C88" s="40">
        <f t="shared" si="18"/>
        <v>45732</v>
      </c>
      <c r="D88" s="46">
        <f>SUMIFS(Einzelbeträge!$D:$D,Einzelbeträge!$C:$C,'Ausgaben 2025'!$C88)</f>
        <v>0</v>
      </c>
      <c r="E88" s="34">
        <f>SUMIFS(Einzelbeträge!$D:$D,Einzelbeträge!$C:$C,'Ausgaben 2025'!$C88,Einzelbeträge!$E:$E,'Ausgaben 2025'!E$6)</f>
        <v>0</v>
      </c>
      <c r="F88" s="21">
        <f>SUMIFS(Einzelbeträge!$D:$D,Einzelbeträge!$C:$C,'Ausgaben 2025'!$C88,Einzelbeträge!$E:$E,'Ausgaben 2025'!F$6)</f>
        <v>0</v>
      </c>
      <c r="G88" s="21">
        <f>SUMIFS(Einzelbeträge!$D:$D,Einzelbeträge!$C:$C,'Ausgaben 2025'!$C88,Einzelbeträge!$E:$E,'Ausgaben 2025'!G$6)</f>
        <v>0</v>
      </c>
      <c r="H88" s="21">
        <f>SUMIFS(Einzelbeträge!$D:$D,Einzelbeträge!$C:$C,'Ausgaben 2025'!$C88,Einzelbeträge!$E:$E,'Ausgaben 2025'!H$6)</f>
        <v>0</v>
      </c>
      <c r="I88" s="21">
        <f>SUMIFS(Einzelbeträge!$D:$D,Einzelbeträge!$C:$C,'Ausgaben 2025'!$C88,Einzelbeträge!$E:$E,'Ausgaben 2025'!I$6)</f>
        <v>0</v>
      </c>
      <c r="J88" s="21">
        <f>SUMIFS(Einzelbeträge!$D:$D,Einzelbeträge!$C:$C,'Ausgaben 2025'!$C88,Einzelbeträge!$E:$E,'Ausgaben 2025'!J$6)</f>
        <v>0</v>
      </c>
      <c r="K88" s="21">
        <f>SUMIFS(Einzelbeträge!$D:$D,Einzelbeträge!$C:$C,'Ausgaben 2025'!$C88,Einzelbeträge!$E:$E,'Ausgaben 2025'!K$6)</f>
        <v>0</v>
      </c>
      <c r="L88" s="21">
        <f>SUMIFS(Einzelbeträge!$D:$D,Einzelbeträge!$C:$C,'Ausgaben 2025'!$C88,Einzelbeträge!$E:$E,'Ausgaben 2025'!L$6)</f>
        <v>0</v>
      </c>
      <c r="M88" s="21">
        <f>SUMIFS(Einzelbeträge!$D:$D,Einzelbeträge!$C:$C,'Ausgaben 2025'!$C88,Einzelbeträge!$E:$E,'Ausgaben 2025'!M$6)</f>
        <v>0</v>
      </c>
      <c r="N88" s="35">
        <f>SUMIFS(Einzelbeträge!$D:$D,Einzelbeträge!$C:$C,'Ausgaben 2025'!$C88,Einzelbeträge!$E:$E,'Ausgaben 2025'!N$6)</f>
        <v>0</v>
      </c>
      <c r="O88" s="6"/>
    </row>
    <row r="89" spans="2:15" x14ac:dyDescent="0.35">
      <c r="B89" s="5"/>
      <c r="C89" s="40">
        <f t="shared" si="18"/>
        <v>45733</v>
      </c>
      <c r="D89" s="46">
        <f>SUMIFS(Einzelbeträge!$D:$D,Einzelbeträge!$C:$C,'Ausgaben 2025'!$C89)</f>
        <v>0</v>
      </c>
      <c r="E89" s="34">
        <f>SUMIFS(Einzelbeträge!$D:$D,Einzelbeträge!$C:$C,'Ausgaben 2025'!$C89,Einzelbeträge!$E:$E,'Ausgaben 2025'!E$6)</f>
        <v>0</v>
      </c>
      <c r="F89" s="21">
        <f>SUMIFS(Einzelbeträge!$D:$D,Einzelbeträge!$C:$C,'Ausgaben 2025'!$C89,Einzelbeträge!$E:$E,'Ausgaben 2025'!F$6)</f>
        <v>0</v>
      </c>
      <c r="G89" s="21">
        <f>SUMIFS(Einzelbeträge!$D:$D,Einzelbeträge!$C:$C,'Ausgaben 2025'!$C89,Einzelbeträge!$E:$E,'Ausgaben 2025'!G$6)</f>
        <v>0</v>
      </c>
      <c r="H89" s="21">
        <f>SUMIFS(Einzelbeträge!$D:$D,Einzelbeträge!$C:$C,'Ausgaben 2025'!$C89,Einzelbeträge!$E:$E,'Ausgaben 2025'!H$6)</f>
        <v>0</v>
      </c>
      <c r="I89" s="21">
        <f>SUMIFS(Einzelbeträge!$D:$D,Einzelbeträge!$C:$C,'Ausgaben 2025'!$C89,Einzelbeträge!$E:$E,'Ausgaben 2025'!I$6)</f>
        <v>0</v>
      </c>
      <c r="J89" s="21">
        <f>SUMIFS(Einzelbeträge!$D:$D,Einzelbeträge!$C:$C,'Ausgaben 2025'!$C89,Einzelbeträge!$E:$E,'Ausgaben 2025'!J$6)</f>
        <v>0</v>
      </c>
      <c r="K89" s="21">
        <f>SUMIFS(Einzelbeträge!$D:$D,Einzelbeträge!$C:$C,'Ausgaben 2025'!$C89,Einzelbeträge!$E:$E,'Ausgaben 2025'!K$6)</f>
        <v>0</v>
      </c>
      <c r="L89" s="21">
        <f>SUMIFS(Einzelbeträge!$D:$D,Einzelbeträge!$C:$C,'Ausgaben 2025'!$C89,Einzelbeträge!$E:$E,'Ausgaben 2025'!L$6)</f>
        <v>0</v>
      </c>
      <c r="M89" s="21">
        <f>SUMIFS(Einzelbeträge!$D:$D,Einzelbeträge!$C:$C,'Ausgaben 2025'!$C89,Einzelbeträge!$E:$E,'Ausgaben 2025'!M$6)</f>
        <v>0</v>
      </c>
      <c r="N89" s="35">
        <f>SUMIFS(Einzelbeträge!$D:$D,Einzelbeträge!$C:$C,'Ausgaben 2025'!$C89,Einzelbeträge!$E:$E,'Ausgaben 2025'!N$6)</f>
        <v>0</v>
      </c>
      <c r="O89" s="6"/>
    </row>
    <row r="90" spans="2:15" x14ac:dyDescent="0.35">
      <c r="B90" s="5"/>
      <c r="C90" s="40">
        <f t="shared" si="18"/>
        <v>45734</v>
      </c>
      <c r="D90" s="46">
        <f>SUMIFS(Einzelbeträge!$D:$D,Einzelbeträge!$C:$C,'Ausgaben 2025'!$C90)</f>
        <v>0</v>
      </c>
      <c r="E90" s="34">
        <f>SUMIFS(Einzelbeträge!$D:$D,Einzelbeträge!$C:$C,'Ausgaben 2025'!$C90,Einzelbeträge!$E:$E,'Ausgaben 2025'!E$6)</f>
        <v>0</v>
      </c>
      <c r="F90" s="21">
        <f>SUMIFS(Einzelbeträge!$D:$D,Einzelbeträge!$C:$C,'Ausgaben 2025'!$C90,Einzelbeträge!$E:$E,'Ausgaben 2025'!F$6)</f>
        <v>0</v>
      </c>
      <c r="G90" s="21">
        <f>SUMIFS(Einzelbeträge!$D:$D,Einzelbeträge!$C:$C,'Ausgaben 2025'!$C90,Einzelbeträge!$E:$E,'Ausgaben 2025'!G$6)</f>
        <v>0</v>
      </c>
      <c r="H90" s="21">
        <f>SUMIFS(Einzelbeträge!$D:$D,Einzelbeträge!$C:$C,'Ausgaben 2025'!$C90,Einzelbeträge!$E:$E,'Ausgaben 2025'!H$6)</f>
        <v>0</v>
      </c>
      <c r="I90" s="21">
        <f>SUMIFS(Einzelbeträge!$D:$D,Einzelbeträge!$C:$C,'Ausgaben 2025'!$C90,Einzelbeträge!$E:$E,'Ausgaben 2025'!I$6)</f>
        <v>0</v>
      </c>
      <c r="J90" s="21">
        <f>SUMIFS(Einzelbeträge!$D:$D,Einzelbeträge!$C:$C,'Ausgaben 2025'!$C90,Einzelbeträge!$E:$E,'Ausgaben 2025'!J$6)</f>
        <v>0</v>
      </c>
      <c r="K90" s="21">
        <f>SUMIFS(Einzelbeträge!$D:$D,Einzelbeträge!$C:$C,'Ausgaben 2025'!$C90,Einzelbeträge!$E:$E,'Ausgaben 2025'!K$6)</f>
        <v>0</v>
      </c>
      <c r="L90" s="21">
        <f>SUMIFS(Einzelbeträge!$D:$D,Einzelbeträge!$C:$C,'Ausgaben 2025'!$C90,Einzelbeträge!$E:$E,'Ausgaben 2025'!L$6)</f>
        <v>0</v>
      </c>
      <c r="M90" s="21">
        <f>SUMIFS(Einzelbeträge!$D:$D,Einzelbeträge!$C:$C,'Ausgaben 2025'!$C90,Einzelbeträge!$E:$E,'Ausgaben 2025'!M$6)</f>
        <v>0</v>
      </c>
      <c r="N90" s="35">
        <f>SUMIFS(Einzelbeträge!$D:$D,Einzelbeträge!$C:$C,'Ausgaben 2025'!$C90,Einzelbeträge!$E:$E,'Ausgaben 2025'!N$6)</f>
        <v>0</v>
      </c>
      <c r="O90" s="6"/>
    </row>
    <row r="91" spans="2:15" x14ac:dyDescent="0.35">
      <c r="B91" s="5"/>
      <c r="C91" s="40">
        <f t="shared" si="18"/>
        <v>45735</v>
      </c>
      <c r="D91" s="46">
        <f>SUMIFS(Einzelbeträge!$D:$D,Einzelbeträge!$C:$C,'Ausgaben 2025'!$C91)</f>
        <v>0</v>
      </c>
      <c r="E91" s="34">
        <f>SUMIFS(Einzelbeträge!$D:$D,Einzelbeträge!$C:$C,'Ausgaben 2025'!$C91,Einzelbeträge!$E:$E,'Ausgaben 2025'!E$6)</f>
        <v>0</v>
      </c>
      <c r="F91" s="21">
        <f>SUMIFS(Einzelbeträge!$D:$D,Einzelbeträge!$C:$C,'Ausgaben 2025'!$C91,Einzelbeträge!$E:$E,'Ausgaben 2025'!F$6)</f>
        <v>0</v>
      </c>
      <c r="G91" s="21">
        <f>SUMIFS(Einzelbeträge!$D:$D,Einzelbeträge!$C:$C,'Ausgaben 2025'!$C91,Einzelbeträge!$E:$E,'Ausgaben 2025'!G$6)</f>
        <v>0</v>
      </c>
      <c r="H91" s="21">
        <f>SUMIFS(Einzelbeträge!$D:$D,Einzelbeträge!$C:$C,'Ausgaben 2025'!$C91,Einzelbeträge!$E:$E,'Ausgaben 2025'!H$6)</f>
        <v>0</v>
      </c>
      <c r="I91" s="21">
        <f>SUMIFS(Einzelbeträge!$D:$D,Einzelbeträge!$C:$C,'Ausgaben 2025'!$C91,Einzelbeträge!$E:$E,'Ausgaben 2025'!I$6)</f>
        <v>0</v>
      </c>
      <c r="J91" s="21">
        <f>SUMIFS(Einzelbeträge!$D:$D,Einzelbeträge!$C:$C,'Ausgaben 2025'!$C91,Einzelbeträge!$E:$E,'Ausgaben 2025'!J$6)</f>
        <v>0</v>
      </c>
      <c r="K91" s="21">
        <f>SUMIFS(Einzelbeträge!$D:$D,Einzelbeträge!$C:$C,'Ausgaben 2025'!$C91,Einzelbeträge!$E:$E,'Ausgaben 2025'!K$6)</f>
        <v>0</v>
      </c>
      <c r="L91" s="21">
        <f>SUMIFS(Einzelbeträge!$D:$D,Einzelbeträge!$C:$C,'Ausgaben 2025'!$C91,Einzelbeträge!$E:$E,'Ausgaben 2025'!L$6)</f>
        <v>0</v>
      </c>
      <c r="M91" s="21">
        <f>SUMIFS(Einzelbeträge!$D:$D,Einzelbeträge!$C:$C,'Ausgaben 2025'!$C91,Einzelbeträge!$E:$E,'Ausgaben 2025'!M$6)</f>
        <v>0</v>
      </c>
      <c r="N91" s="35">
        <f>SUMIFS(Einzelbeträge!$D:$D,Einzelbeträge!$C:$C,'Ausgaben 2025'!$C91,Einzelbeträge!$E:$E,'Ausgaben 2025'!N$6)</f>
        <v>0</v>
      </c>
      <c r="O91" s="6"/>
    </row>
    <row r="92" spans="2:15" x14ac:dyDescent="0.35">
      <c r="B92" s="5"/>
      <c r="C92" s="40">
        <f t="shared" si="18"/>
        <v>45736</v>
      </c>
      <c r="D92" s="46">
        <f>SUMIFS(Einzelbeträge!$D:$D,Einzelbeträge!$C:$C,'Ausgaben 2025'!$C92)</f>
        <v>0</v>
      </c>
      <c r="E92" s="34">
        <f>SUMIFS(Einzelbeträge!$D:$D,Einzelbeträge!$C:$C,'Ausgaben 2025'!$C92,Einzelbeträge!$E:$E,'Ausgaben 2025'!E$6)</f>
        <v>0</v>
      </c>
      <c r="F92" s="21">
        <f>SUMIFS(Einzelbeträge!$D:$D,Einzelbeträge!$C:$C,'Ausgaben 2025'!$C92,Einzelbeträge!$E:$E,'Ausgaben 2025'!F$6)</f>
        <v>0</v>
      </c>
      <c r="G92" s="21">
        <f>SUMIFS(Einzelbeträge!$D:$D,Einzelbeträge!$C:$C,'Ausgaben 2025'!$C92,Einzelbeträge!$E:$E,'Ausgaben 2025'!G$6)</f>
        <v>0</v>
      </c>
      <c r="H92" s="21">
        <f>SUMIFS(Einzelbeträge!$D:$D,Einzelbeträge!$C:$C,'Ausgaben 2025'!$C92,Einzelbeträge!$E:$E,'Ausgaben 2025'!H$6)</f>
        <v>0</v>
      </c>
      <c r="I92" s="21">
        <f>SUMIFS(Einzelbeträge!$D:$D,Einzelbeträge!$C:$C,'Ausgaben 2025'!$C92,Einzelbeträge!$E:$E,'Ausgaben 2025'!I$6)</f>
        <v>0</v>
      </c>
      <c r="J92" s="21">
        <f>SUMIFS(Einzelbeträge!$D:$D,Einzelbeträge!$C:$C,'Ausgaben 2025'!$C92,Einzelbeträge!$E:$E,'Ausgaben 2025'!J$6)</f>
        <v>0</v>
      </c>
      <c r="K92" s="21">
        <f>SUMIFS(Einzelbeträge!$D:$D,Einzelbeträge!$C:$C,'Ausgaben 2025'!$C92,Einzelbeträge!$E:$E,'Ausgaben 2025'!K$6)</f>
        <v>0</v>
      </c>
      <c r="L92" s="21">
        <f>SUMIFS(Einzelbeträge!$D:$D,Einzelbeträge!$C:$C,'Ausgaben 2025'!$C92,Einzelbeträge!$E:$E,'Ausgaben 2025'!L$6)</f>
        <v>0</v>
      </c>
      <c r="M92" s="21">
        <f>SUMIFS(Einzelbeträge!$D:$D,Einzelbeträge!$C:$C,'Ausgaben 2025'!$C92,Einzelbeträge!$E:$E,'Ausgaben 2025'!M$6)</f>
        <v>0</v>
      </c>
      <c r="N92" s="35">
        <f>SUMIFS(Einzelbeträge!$D:$D,Einzelbeträge!$C:$C,'Ausgaben 2025'!$C92,Einzelbeträge!$E:$E,'Ausgaben 2025'!N$6)</f>
        <v>0</v>
      </c>
      <c r="O92" s="6"/>
    </row>
    <row r="93" spans="2:15" x14ac:dyDescent="0.35">
      <c r="B93" s="5"/>
      <c r="C93" s="40">
        <f t="shared" si="18"/>
        <v>45737</v>
      </c>
      <c r="D93" s="46">
        <f>SUMIFS(Einzelbeträge!$D:$D,Einzelbeträge!$C:$C,'Ausgaben 2025'!$C93)</f>
        <v>0</v>
      </c>
      <c r="E93" s="34">
        <f>SUMIFS(Einzelbeträge!$D:$D,Einzelbeträge!$C:$C,'Ausgaben 2025'!$C93,Einzelbeträge!$E:$E,'Ausgaben 2025'!E$6)</f>
        <v>0</v>
      </c>
      <c r="F93" s="21">
        <f>SUMIFS(Einzelbeträge!$D:$D,Einzelbeträge!$C:$C,'Ausgaben 2025'!$C93,Einzelbeträge!$E:$E,'Ausgaben 2025'!F$6)</f>
        <v>0</v>
      </c>
      <c r="G93" s="21">
        <f>SUMIFS(Einzelbeträge!$D:$D,Einzelbeträge!$C:$C,'Ausgaben 2025'!$C93,Einzelbeträge!$E:$E,'Ausgaben 2025'!G$6)</f>
        <v>0</v>
      </c>
      <c r="H93" s="21">
        <f>SUMIFS(Einzelbeträge!$D:$D,Einzelbeträge!$C:$C,'Ausgaben 2025'!$C93,Einzelbeträge!$E:$E,'Ausgaben 2025'!H$6)</f>
        <v>0</v>
      </c>
      <c r="I93" s="21">
        <f>SUMIFS(Einzelbeträge!$D:$D,Einzelbeträge!$C:$C,'Ausgaben 2025'!$C93,Einzelbeträge!$E:$E,'Ausgaben 2025'!I$6)</f>
        <v>0</v>
      </c>
      <c r="J93" s="21">
        <f>SUMIFS(Einzelbeträge!$D:$D,Einzelbeträge!$C:$C,'Ausgaben 2025'!$C93,Einzelbeträge!$E:$E,'Ausgaben 2025'!J$6)</f>
        <v>0</v>
      </c>
      <c r="K93" s="21">
        <f>SUMIFS(Einzelbeträge!$D:$D,Einzelbeträge!$C:$C,'Ausgaben 2025'!$C93,Einzelbeträge!$E:$E,'Ausgaben 2025'!K$6)</f>
        <v>0</v>
      </c>
      <c r="L93" s="21">
        <f>SUMIFS(Einzelbeträge!$D:$D,Einzelbeträge!$C:$C,'Ausgaben 2025'!$C93,Einzelbeträge!$E:$E,'Ausgaben 2025'!L$6)</f>
        <v>0</v>
      </c>
      <c r="M93" s="21">
        <f>SUMIFS(Einzelbeträge!$D:$D,Einzelbeträge!$C:$C,'Ausgaben 2025'!$C93,Einzelbeträge!$E:$E,'Ausgaben 2025'!M$6)</f>
        <v>0</v>
      </c>
      <c r="N93" s="35">
        <f>SUMIFS(Einzelbeträge!$D:$D,Einzelbeträge!$C:$C,'Ausgaben 2025'!$C93,Einzelbeträge!$E:$E,'Ausgaben 2025'!N$6)</f>
        <v>0</v>
      </c>
      <c r="O93" s="6"/>
    </row>
    <row r="94" spans="2:15" x14ac:dyDescent="0.35">
      <c r="B94" s="5"/>
      <c r="C94" s="40">
        <f t="shared" si="18"/>
        <v>45738</v>
      </c>
      <c r="D94" s="46">
        <f>SUMIFS(Einzelbeträge!$D:$D,Einzelbeträge!$C:$C,'Ausgaben 2025'!$C94)</f>
        <v>0</v>
      </c>
      <c r="E94" s="34">
        <f>SUMIFS(Einzelbeträge!$D:$D,Einzelbeträge!$C:$C,'Ausgaben 2025'!$C94,Einzelbeträge!$E:$E,'Ausgaben 2025'!E$6)</f>
        <v>0</v>
      </c>
      <c r="F94" s="21">
        <f>SUMIFS(Einzelbeträge!$D:$D,Einzelbeträge!$C:$C,'Ausgaben 2025'!$C94,Einzelbeträge!$E:$E,'Ausgaben 2025'!F$6)</f>
        <v>0</v>
      </c>
      <c r="G94" s="21">
        <f>SUMIFS(Einzelbeträge!$D:$D,Einzelbeträge!$C:$C,'Ausgaben 2025'!$C94,Einzelbeträge!$E:$E,'Ausgaben 2025'!G$6)</f>
        <v>0</v>
      </c>
      <c r="H94" s="21">
        <f>SUMIFS(Einzelbeträge!$D:$D,Einzelbeträge!$C:$C,'Ausgaben 2025'!$C94,Einzelbeträge!$E:$E,'Ausgaben 2025'!H$6)</f>
        <v>0</v>
      </c>
      <c r="I94" s="21">
        <f>SUMIFS(Einzelbeträge!$D:$D,Einzelbeträge!$C:$C,'Ausgaben 2025'!$C94,Einzelbeträge!$E:$E,'Ausgaben 2025'!I$6)</f>
        <v>0</v>
      </c>
      <c r="J94" s="21">
        <f>SUMIFS(Einzelbeträge!$D:$D,Einzelbeträge!$C:$C,'Ausgaben 2025'!$C94,Einzelbeträge!$E:$E,'Ausgaben 2025'!J$6)</f>
        <v>0</v>
      </c>
      <c r="K94" s="21">
        <f>SUMIFS(Einzelbeträge!$D:$D,Einzelbeträge!$C:$C,'Ausgaben 2025'!$C94,Einzelbeträge!$E:$E,'Ausgaben 2025'!K$6)</f>
        <v>0</v>
      </c>
      <c r="L94" s="21">
        <f>SUMIFS(Einzelbeträge!$D:$D,Einzelbeträge!$C:$C,'Ausgaben 2025'!$C94,Einzelbeträge!$E:$E,'Ausgaben 2025'!L$6)</f>
        <v>0</v>
      </c>
      <c r="M94" s="21">
        <f>SUMIFS(Einzelbeträge!$D:$D,Einzelbeträge!$C:$C,'Ausgaben 2025'!$C94,Einzelbeträge!$E:$E,'Ausgaben 2025'!M$6)</f>
        <v>0</v>
      </c>
      <c r="N94" s="35">
        <f>SUMIFS(Einzelbeträge!$D:$D,Einzelbeträge!$C:$C,'Ausgaben 2025'!$C94,Einzelbeträge!$E:$E,'Ausgaben 2025'!N$6)</f>
        <v>0</v>
      </c>
      <c r="O94" s="6"/>
    </row>
    <row r="95" spans="2:15" x14ac:dyDescent="0.35">
      <c r="B95" s="5"/>
      <c r="C95" s="40">
        <f t="shared" si="18"/>
        <v>45739</v>
      </c>
      <c r="D95" s="46">
        <f>SUMIFS(Einzelbeträge!$D:$D,Einzelbeträge!$C:$C,'Ausgaben 2025'!$C95)</f>
        <v>0</v>
      </c>
      <c r="E95" s="34">
        <f>SUMIFS(Einzelbeträge!$D:$D,Einzelbeträge!$C:$C,'Ausgaben 2025'!$C95,Einzelbeträge!$E:$E,'Ausgaben 2025'!E$6)</f>
        <v>0</v>
      </c>
      <c r="F95" s="21">
        <f>SUMIFS(Einzelbeträge!$D:$D,Einzelbeträge!$C:$C,'Ausgaben 2025'!$C95,Einzelbeträge!$E:$E,'Ausgaben 2025'!F$6)</f>
        <v>0</v>
      </c>
      <c r="G95" s="21">
        <f>SUMIFS(Einzelbeträge!$D:$D,Einzelbeträge!$C:$C,'Ausgaben 2025'!$C95,Einzelbeträge!$E:$E,'Ausgaben 2025'!G$6)</f>
        <v>0</v>
      </c>
      <c r="H95" s="21">
        <f>SUMIFS(Einzelbeträge!$D:$D,Einzelbeträge!$C:$C,'Ausgaben 2025'!$C95,Einzelbeträge!$E:$E,'Ausgaben 2025'!H$6)</f>
        <v>0</v>
      </c>
      <c r="I95" s="21">
        <f>SUMIFS(Einzelbeträge!$D:$D,Einzelbeträge!$C:$C,'Ausgaben 2025'!$C95,Einzelbeträge!$E:$E,'Ausgaben 2025'!I$6)</f>
        <v>0</v>
      </c>
      <c r="J95" s="21">
        <f>SUMIFS(Einzelbeträge!$D:$D,Einzelbeträge!$C:$C,'Ausgaben 2025'!$C95,Einzelbeträge!$E:$E,'Ausgaben 2025'!J$6)</f>
        <v>0</v>
      </c>
      <c r="K95" s="21">
        <f>SUMIFS(Einzelbeträge!$D:$D,Einzelbeträge!$C:$C,'Ausgaben 2025'!$C95,Einzelbeträge!$E:$E,'Ausgaben 2025'!K$6)</f>
        <v>0</v>
      </c>
      <c r="L95" s="21">
        <f>SUMIFS(Einzelbeträge!$D:$D,Einzelbeträge!$C:$C,'Ausgaben 2025'!$C95,Einzelbeträge!$E:$E,'Ausgaben 2025'!L$6)</f>
        <v>0</v>
      </c>
      <c r="M95" s="21">
        <f>SUMIFS(Einzelbeträge!$D:$D,Einzelbeträge!$C:$C,'Ausgaben 2025'!$C95,Einzelbeträge!$E:$E,'Ausgaben 2025'!M$6)</f>
        <v>0</v>
      </c>
      <c r="N95" s="35">
        <f>SUMIFS(Einzelbeträge!$D:$D,Einzelbeträge!$C:$C,'Ausgaben 2025'!$C95,Einzelbeträge!$E:$E,'Ausgaben 2025'!N$6)</f>
        <v>0</v>
      </c>
      <c r="O95" s="6"/>
    </row>
    <row r="96" spans="2:15" x14ac:dyDescent="0.35">
      <c r="B96" s="5"/>
      <c r="C96" s="40">
        <f t="shared" si="18"/>
        <v>45740</v>
      </c>
      <c r="D96" s="46">
        <f>SUMIFS(Einzelbeträge!$D:$D,Einzelbeträge!$C:$C,'Ausgaben 2025'!$C96)</f>
        <v>0</v>
      </c>
      <c r="E96" s="34">
        <f>SUMIFS(Einzelbeträge!$D:$D,Einzelbeträge!$C:$C,'Ausgaben 2025'!$C96,Einzelbeträge!$E:$E,'Ausgaben 2025'!E$6)</f>
        <v>0</v>
      </c>
      <c r="F96" s="21">
        <f>SUMIFS(Einzelbeträge!$D:$D,Einzelbeträge!$C:$C,'Ausgaben 2025'!$C96,Einzelbeträge!$E:$E,'Ausgaben 2025'!F$6)</f>
        <v>0</v>
      </c>
      <c r="G96" s="21">
        <f>SUMIFS(Einzelbeträge!$D:$D,Einzelbeträge!$C:$C,'Ausgaben 2025'!$C96,Einzelbeträge!$E:$E,'Ausgaben 2025'!G$6)</f>
        <v>0</v>
      </c>
      <c r="H96" s="21">
        <f>SUMIFS(Einzelbeträge!$D:$D,Einzelbeträge!$C:$C,'Ausgaben 2025'!$C96,Einzelbeträge!$E:$E,'Ausgaben 2025'!H$6)</f>
        <v>0</v>
      </c>
      <c r="I96" s="21">
        <f>SUMIFS(Einzelbeträge!$D:$D,Einzelbeträge!$C:$C,'Ausgaben 2025'!$C96,Einzelbeträge!$E:$E,'Ausgaben 2025'!I$6)</f>
        <v>0</v>
      </c>
      <c r="J96" s="21">
        <f>SUMIFS(Einzelbeträge!$D:$D,Einzelbeträge!$C:$C,'Ausgaben 2025'!$C96,Einzelbeträge!$E:$E,'Ausgaben 2025'!J$6)</f>
        <v>0</v>
      </c>
      <c r="K96" s="21">
        <f>SUMIFS(Einzelbeträge!$D:$D,Einzelbeträge!$C:$C,'Ausgaben 2025'!$C96,Einzelbeträge!$E:$E,'Ausgaben 2025'!K$6)</f>
        <v>0</v>
      </c>
      <c r="L96" s="21">
        <f>SUMIFS(Einzelbeträge!$D:$D,Einzelbeträge!$C:$C,'Ausgaben 2025'!$C96,Einzelbeträge!$E:$E,'Ausgaben 2025'!L$6)</f>
        <v>0</v>
      </c>
      <c r="M96" s="21">
        <f>SUMIFS(Einzelbeträge!$D:$D,Einzelbeträge!$C:$C,'Ausgaben 2025'!$C96,Einzelbeträge!$E:$E,'Ausgaben 2025'!M$6)</f>
        <v>0</v>
      </c>
      <c r="N96" s="35">
        <f>SUMIFS(Einzelbeträge!$D:$D,Einzelbeträge!$C:$C,'Ausgaben 2025'!$C96,Einzelbeträge!$E:$E,'Ausgaben 2025'!N$6)</f>
        <v>0</v>
      </c>
      <c r="O96" s="6"/>
    </row>
    <row r="97" spans="2:15" x14ac:dyDescent="0.35">
      <c r="B97" s="5"/>
      <c r="C97" s="40">
        <f t="shared" si="18"/>
        <v>45741</v>
      </c>
      <c r="D97" s="46">
        <f>SUMIFS(Einzelbeträge!$D:$D,Einzelbeträge!$C:$C,'Ausgaben 2025'!$C97)</f>
        <v>0</v>
      </c>
      <c r="E97" s="34">
        <f>SUMIFS(Einzelbeträge!$D:$D,Einzelbeträge!$C:$C,'Ausgaben 2025'!$C97,Einzelbeträge!$E:$E,'Ausgaben 2025'!E$6)</f>
        <v>0</v>
      </c>
      <c r="F97" s="21">
        <f>SUMIFS(Einzelbeträge!$D:$D,Einzelbeträge!$C:$C,'Ausgaben 2025'!$C97,Einzelbeträge!$E:$E,'Ausgaben 2025'!F$6)</f>
        <v>0</v>
      </c>
      <c r="G97" s="21">
        <f>SUMIFS(Einzelbeträge!$D:$D,Einzelbeträge!$C:$C,'Ausgaben 2025'!$C97,Einzelbeträge!$E:$E,'Ausgaben 2025'!G$6)</f>
        <v>0</v>
      </c>
      <c r="H97" s="21">
        <f>SUMIFS(Einzelbeträge!$D:$D,Einzelbeträge!$C:$C,'Ausgaben 2025'!$C97,Einzelbeträge!$E:$E,'Ausgaben 2025'!H$6)</f>
        <v>0</v>
      </c>
      <c r="I97" s="21">
        <f>SUMIFS(Einzelbeträge!$D:$D,Einzelbeträge!$C:$C,'Ausgaben 2025'!$C97,Einzelbeträge!$E:$E,'Ausgaben 2025'!I$6)</f>
        <v>0</v>
      </c>
      <c r="J97" s="21">
        <f>SUMIFS(Einzelbeträge!$D:$D,Einzelbeträge!$C:$C,'Ausgaben 2025'!$C97,Einzelbeträge!$E:$E,'Ausgaben 2025'!J$6)</f>
        <v>0</v>
      </c>
      <c r="K97" s="21">
        <f>SUMIFS(Einzelbeträge!$D:$D,Einzelbeträge!$C:$C,'Ausgaben 2025'!$C97,Einzelbeträge!$E:$E,'Ausgaben 2025'!K$6)</f>
        <v>0</v>
      </c>
      <c r="L97" s="21">
        <f>SUMIFS(Einzelbeträge!$D:$D,Einzelbeträge!$C:$C,'Ausgaben 2025'!$C97,Einzelbeträge!$E:$E,'Ausgaben 2025'!L$6)</f>
        <v>0</v>
      </c>
      <c r="M97" s="21">
        <f>SUMIFS(Einzelbeträge!$D:$D,Einzelbeträge!$C:$C,'Ausgaben 2025'!$C97,Einzelbeträge!$E:$E,'Ausgaben 2025'!M$6)</f>
        <v>0</v>
      </c>
      <c r="N97" s="35">
        <f>SUMIFS(Einzelbeträge!$D:$D,Einzelbeträge!$C:$C,'Ausgaben 2025'!$C97,Einzelbeträge!$E:$E,'Ausgaben 2025'!N$6)</f>
        <v>0</v>
      </c>
      <c r="O97" s="6"/>
    </row>
    <row r="98" spans="2:15" x14ac:dyDescent="0.35">
      <c r="B98" s="5"/>
      <c r="C98" s="40">
        <f t="shared" si="18"/>
        <v>45742</v>
      </c>
      <c r="D98" s="46">
        <f>SUMIFS(Einzelbeträge!$D:$D,Einzelbeträge!$C:$C,'Ausgaben 2025'!$C98)</f>
        <v>0</v>
      </c>
      <c r="E98" s="34">
        <f>SUMIFS(Einzelbeträge!$D:$D,Einzelbeträge!$C:$C,'Ausgaben 2025'!$C98,Einzelbeträge!$E:$E,'Ausgaben 2025'!E$6)</f>
        <v>0</v>
      </c>
      <c r="F98" s="21">
        <f>SUMIFS(Einzelbeträge!$D:$D,Einzelbeträge!$C:$C,'Ausgaben 2025'!$C98,Einzelbeträge!$E:$E,'Ausgaben 2025'!F$6)</f>
        <v>0</v>
      </c>
      <c r="G98" s="21">
        <f>SUMIFS(Einzelbeträge!$D:$D,Einzelbeträge!$C:$C,'Ausgaben 2025'!$C98,Einzelbeträge!$E:$E,'Ausgaben 2025'!G$6)</f>
        <v>0</v>
      </c>
      <c r="H98" s="21">
        <f>SUMIFS(Einzelbeträge!$D:$D,Einzelbeträge!$C:$C,'Ausgaben 2025'!$C98,Einzelbeträge!$E:$E,'Ausgaben 2025'!H$6)</f>
        <v>0</v>
      </c>
      <c r="I98" s="21">
        <f>SUMIFS(Einzelbeträge!$D:$D,Einzelbeträge!$C:$C,'Ausgaben 2025'!$C98,Einzelbeträge!$E:$E,'Ausgaben 2025'!I$6)</f>
        <v>0</v>
      </c>
      <c r="J98" s="21">
        <f>SUMIFS(Einzelbeträge!$D:$D,Einzelbeträge!$C:$C,'Ausgaben 2025'!$C98,Einzelbeträge!$E:$E,'Ausgaben 2025'!J$6)</f>
        <v>0</v>
      </c>
      <c r="K98" s="21">
        <f>SUMIFS(Einzelbeträge!$D:$D,Einzelbeträge!$C:$C,'Ausgaben 2025'!$C98,Einzelbeträge!$E:$E,'Ausgaben 2025'!K$6)</f>
        <v>0</v>
      </c>
      <c r="L98" s="21">
        <f>SUMIFS(Einzelbeträge!$D:$D,Einzelbeträge!$C:$C,'Ausgaben 2025'!$C98,Einzelbeträge!$E:$E,'Ausgaben 2025'!L$6)</f>
        <v>0</v>
      </c>
      <c r="M98" s="21">
        <f>SUMIFS(Einzelbeträge!$D:$D,Einzelbeträge!$C:$C,'Ausgaben 2025'!$C98,Einzelbeträge!$E:$E,'Ausgaben 2025'!M$6)</f>
        <v>0</v>
      </c>
      <c r="N98" s="35">
        <f>SUMIFS(Einzelbeträge!$D:$D,Einzelbeträge!$C:$C,'Ausgaben 2025'!$C98,Einzelbeträge!$E:$E,'Ausgaben 2025'!N$6)</f>
        <v>0</v>
      </c>
      <c r="O98" s="6"/>
    </row>
    <row r="99" spans="2:15" x14ac:dyDescent="0.35">
      <c r="B99" s="5"/>
      <c r="C99" s="40">
        <f t="shared" si="18"/>
        <v>45743</v>
      </c>
      <c r="D99" s="46">
        <f>SUMIFS(Einzelbeträge!$D:$D,Einzelbeträge!$C:$C,'Ausgaben 2025'!$C99)</f>
        <v>0</v>
      </c>
      <c r="E99" s="34">
        <f>SUMIFS(Einzelbeträge!$D:$D,Einzelbeträge!$C:$C,'Ausgaben 2025'!$C99,Einzelbeträge!$E:$E,'Ausgaben 2025'!E$6)</f>
        <v>0</v>
      </c>
      <c r="F99" s="21">
        <f>SUMIFS(Einzelbeträge!$D:$D,Einzelbeträge!$C:$C,'Ausgaben 2025'!$C99,Einzelbeträge!$E:$E,'Ausgaben 2025'!F$6)</f>
        <v>0</v>
      </c>
      <c r="G99" s="21">
        <f>SUMIFS(Einzelbeträge!$D:$D,Einzelbeträge!$C:$C,'Ausgaben 2025'!$C99,Einzelbeträge!$E:$E,'Ausgaben 2025'!G$6)</f>
        <v>0</v>
      </c>
      <c r="H99" s="21">
        <f>SUMIFS(Einzelbeträge!$D:$D,Einzelbeträge!$C:$C,'Ausgaben 2025'!$C99,Einzelbeträge!$E:$E,'Ausgaben 2025'!H$6)</f>
        <v>0</v>
      </c>
      <c r="I99" s="21">
        <f>SUMIFS(Einzelbeträge!$D:$D,Einzelbeträge!$C:$C,'Ausgaben 2025'!$C99,Einzelbeträge!$E:$E,'Ausgaben 2025'!I$6)</f>
        <v>0</v>
      </c>
      <c r="J99" s="21">
        <f>SUMIFS(Einzelbeträge!$D:$D,Einzelbeträge!$C:$C,'Ausgaben 2025'!$C99,Einzelbeträge!$E:$E,'Ausgaben 2025'!J$6)</f>
        <v>0</v>
      </c>
      <c r="K99" s="21">
        <f>SUMIFS(Einzelbeträge!$D:$D,Einzelbeträge!$C:$C,'Ausgaben 2025'!$C99,Einzelbeträge!$E:$E,'Ausgaben 2025'!K$6)</f>
        <v>0</v>
      </c>
      <c r="L99" s="21">
        <f>SUMIFS(Einzelbeträge!$D:$D,Einzelbeträge!$C:$C,'Ausgaben 2025'!$C99,Einzelbeträge!$E:$E,'Ausgaben 2025'!L$6)</f>
        <v>0</v>
      </c>
      <c r="M99" s="21">
        <f>SUMIFS(Einzelbeträge!$D:$D,Einzelbeträge!$C:$C,'Ausgaben 2025'!$C99,Einzelbeträge!$E:$E,'Ausgaben 2025'!M$6)</f>
        <v>0</v>
      </c>
      <c r="N99" s="35">
        <f>SUMIFS(Einzelbeträge!$D:$D,Einzelbeträge!$C:$C,'Ausgaben 2025'!$C99,Einzelbeträge!$E:$E,'Ausgaben 2025'!N$6)</f>
        <v>0</v>
      </c>
      <c r="O99" s="6"/>
    </row>
    <row r="100" spans="2:15" x14ac:dyDescent="0.35">
      <c r="B100" s="5"/>
      <c r="C100" s="40">
        <f t="shared" si="18"/>
        <v>45744</v>
      </c>
      <c r="D100" s="46">
        <f>SUMIFS(Einzelbeträge!$D:$D,Einzelbeträge!$C:$C,'Ausgaben 2025'!$C100)</f>
        <v>0</v>
      </c>
      <c r="E100" s="34">
        <f>SUMIFS(Einzelbeträge!$D:$D,Einzelbeträge!$C:$C,'Ausgaben 2025'!$C100,Einzelbeträge!$E:$E,'Ausgaben 2025'!E$6)</f>
        <v>0</v>
      </c>
      <c r="F100" s="21">
        <f>SUMIFS(Einzelbeträge!$D:$D,Einzelbeträge!$C:$C,'Ausgaben 2025'!$C100,Einzelbeträge!$E:$E,'Ausgaben 2025'!F$6)</f>
        <v>0</v>
      </c>
      <c r="G100" s="21">
        <f>SUMIFS(Einzelbeträge!$D:$D,Einzelbeträge!$C:$C,'Ausgaben 2025'!$C100,Einzelbeträge!$E:$E,'Ausgaben 2025'!G$6)</f>
        <v>0</v>
      </c>
      <c r="H100" s="21">
        <f>SUMIFS(Einzelbeträge!$D:$D,Einzelbeträge!$C:$C,'Ausgaben 2025'!$C100,Einzelbeträge!$E:$E,'Ausgaben 2025'!H$6)</f>
        <v>0</v>
      </c>
      <c r="I100" s="21">
        <f>SUMIFS(Einzelbeträge!$D:$D,Einzelbeträge!$C:$C,'Ausgaben 2025'!$C100,Einzelbeträge!$E:$E,'Ausgaben 2025'!I$6)</f>
        <v>0</v>
      </c>
      <c r="J100" s="21">
        <f>SUMIFS(Einzelbeträge!$D:$D,Einzelbeträge!$C:$C,'Ausgaben 2025'!$C100,Einzelbeträge!$E:$E,'Ausgaben 2025'!J$6)</f>
        <v>0</v>
      </c>
      <c r="K100" s="21">
        <f>SUMIFS(Einzelbeträge!$D:$D,Einzelbeträge!$C:$C,'Ausgaben 2025'!$C100,Einzelbeträge!$E:$E,'Ausgaben 2025'!K$6)</f>
        <v>0</v>
      </c>
      <c r="L100" s="21">
        <f>SUMIFS(Einzelbeträge!$D:$D,Einzelbeträge!$C:$C,'Ausgaben 2025'!$C100,Einzelbeträge!$E:$E,'Ausgaben 2025'!L$6)</f>
        <v>0</v>
      </c>
      <c r="M100" s="21">
        <f>SUMIFS(Einzelbeträge!$D:$D,Einzelbeträge!$C:$C,'Ausgaben 2025'!$C100,Einzelbeträge!$E:$E,'Ausgaben 2025'!M$6)</f>
        <v>0</v>
      </c>
      <c r="N100" s="35">
        <f>SUMIFS(Einzelbeträge!$D:$D,Einzelbeträge!$C:$C,'Ausgaben 2025'!$C100,Einzelbeträge!$E:$E,'Ausgaben 2025'!N$6)</f>
        <v>0</v>
      </c>
      <c r="O100" s="6"/>
    </row>
    <row r="101" spans="2:15" x14ac:dyDescent="0.35">
      <c r="B101" s="5"/>
      <c r="C101" s="40">
        <f t="shared" si="18"/>
        <v>45745</v>
      </c>
      <c r="D101" s="46">
        <f>SUMIFS(Einzelbeträge!$D:$D,Einzelbeträge!$C:$C,'Ausgaben 2025'!$C101)</f>
        <v>0</v>
      </c>
      <c r="E101" s="34">
        <f>SUMIFS(Einzelbeträge!$D:$D,Einzelbeträge!$C:$C,'Ausgaben 2025'!$C101,Einzelbeträge!$E:$E,'Ausgaben 2025'!E$6)</f>
        <v>0</v>
      </c>
      <c r="F101" s="21">
        <f>SUMIFS(Einzelbeträge!$D:$D,Einzelbeträge!$C:$C,'Ausgaben 2025'!$C101,Einzelbeträge!$E:$E,'Ausgaben 2025'!F$6)</f>
        <v>0</v>
      </c>
      <c r="G101" s="21">
        <f>SUMIFS(Einzelbeträge!$D:$D,Einzelbeträge!$C:$C,'Ausgaben 2025'!$C101,Einzelbeträge!$E:$E,'Ausgaben 2025'!G$6)</f>
        <v>0</v>
      </c>
      <c r="H101" s="21">
        <f>SUMIFS(Einzelbeträge!$D:$D,Einzelbeträge!$C:$C,'Ausgaben 2025'!$C101,Einzelbeträge!$E:$E,'Ausgaben 2025'!H$6)</f>
        <v>0</v>
      </c>
      <c r="I101" s="21">
        <f>SUMIFS(Einzelbeträge!$D:$D,Einzelbeträge!$C:$C,'Ausgaben 2025'!$C101,Einzelbeträge!$E:$E,'Ausgaben 2025'!I$6)</f>
        <v>0</v>
      </c>
      <c r="J101" s="21">
        <f>SUMIFS(Einzelbeträge!$D:$D,Einzelbeträge!$C:$C,'Ausgaben 2025'!$C101,Einzelbeträge!$E:$E,'Ausgaben 2025'!J$6)</f>
        <v>0</v>
      </c>
      <c r="K101" s="21">
        <f>SUMIFS(Einzelbeträge!$D:$D,Einzelbeträge!$C:$C,'Ausgaben 2025'!$C101,Einzelbeträge!$E:$E,'Ausgaben 2025'!K$6)</f>
        <v>0</v>
      </c>
      <c r="L101" s="21">
        <f>SUMIFS(Einzelbeträge!$D:$D,Einzelbeträge!$C:$C,'Ausgaben 2025'!$C101,Einzelbeträge!$E:$E,'Ausgaben 2025'!L$6)</f>
        <v>0</v>
      </c>
      <c r="M101" s="21">
        <f>SUMIFS(Einzelbeträge!$D:$D,Einzelbeträge!$C:$C,'Ausgaben 2025'!$C101,Einzelbeträge!$E:$E,'Ausgaben 2025'!M$6)</f>
        <v>0</v>
      </c>
      <c r="N101" s="35">
        <f>SUMIFS(Einzelbeträge!$D:$D,Einzelbeträge!$C:$C,'Ausgaben 2025'!$C101,Einzelbeträge!$E:$E,'Ausgaben 2025'!N$6)</f>
        <v>0</v>
      </c>
      <c r="O101" s="6"/>
    </row>
    <row r="102" spans="2:15" x14ac:dyDescent="0.35">
      <c r="B102" s="5"/>
      <c r="C102" s="40">
        <f t="shared" si="18"/>
        <v>45746</v>
      </c>
      <c r="D102" s="46">
        <f>SUMIFS(Einzelbeträge!$D:$D,Einzelbeträge!$C:$C,'Ausgaben 2025'!$C102)</f>
        <v>0</v>
      </c>
      <c r="E102" s="34">
        <f>SUMIFS(Einzelbeträge!$D:$D,Einzelbeträge!$C:$C,'Ausgaben 2025'!$C102,Einzelbeträge!$E:$E,'Ausgaben 2025'!E$6)</f>
        <v>0</v>
      </c>
      <c r="F102" s="21">
        <f>SUMIFS(Einzelbeträge!$D:$D,Einzelbeträge!$C:$C,'Ausgaben 2025'!$C102,Einzelbeträge!$E:$E,'Ausgaben 2025'!F$6)</f>
        <v>0</v>
      </c>
      <c r="G102" s="21">
        <f>SUMIFS(Einzelbeträge!$D:$D,Einzelbeträge!$C:$C,'Ausgaben 2025'!$C102,Einzelbeträge!$E:$E,'Ausgaben 2025'!G$6)</f>
        <v>0</v>
      </c>
      <c r="H102" s="21">
        <f>SUMIFS(Einzelbeträge!$D:$D,Einzelbeträge!$C:$C,'Ausgaben 2025'!$C102,Einzelbeträge!$E:$E,'Ausgaben 2025'!H$6)</f>
        <v>0</v>
      </c>
      <c r="I102" s="21">
        <f>SUMIFS(Einzelbeträge!$D:$D,Einzelbeträge!$C:$C,'Ausgaben 2025'!$C102,Einzelbeträge!$E:$E,'Ausgaben 2025'!I$6)</f>
        <v>0</v>
      </c>
      <c r="J102" s="21">
        <f>SUMIFS(Einzelbeträge!$D:$D,Einzelbeträge!$C:$C,'Ausgaben 2025'!$C102,Einzelbeträge!$E:$E,'Ausgaben 2025'!J$6)</f>
        <v>0</v>
      </c>
      <c r="K102" s="21">
        <f>SUMIFS(Einzelbeträge!$D:$D,Einzelbeträge!$C:$C,'Ausgaben 2025'!$C102,Einzelbeträge!$E:$E,'Ausgaben 2025'!K$6)</f>
        <v>0</v>
      </c>
      <c r="L102" s="21">
        <f>SUMIFS(Einzelbeträge!$D:$D,Einzelbeträge!$C:$C,'Ausgaben 2025'!$C102,Einzelbeträge!$E:$E,'Ausgaben 2025'!L$6)</f>
        <v>0</v>
      </c>
      <c r="M102" s="21">
        <f>SUMIFS(Einzelbeträge!$D:$D,Einzelbeträge!$C:$C,'Ausgaben 2025'!$C102,Einzelbeträge!$E:$E,'Ausgaben 2025'!M$6)</f>
        <v>0</v>
      </c>
      <c r="N102" s="35">
        <f>SUMIFS(Einzelbeträge!$D:$D,Einzelbeträge!$C:$C,'Ausgaben 2025'!$C102,Einzelbeträge!$E:$E,'Ausgaben 2025'!N$6)</f>
        <v>0</v>
      </c>
      <c r="O102" s="6"/>
    </row>
    <row r="103" spans="2:15" x14ac:dyDescent="0.35">
      <c r="B103" s="5"/>
      <c r="C103" s="31">
        <f t="shared" si="18"/>
        <v>45747</v>
      </c>
      <c r="D103" s="47">
        <f>SUMIFS(Einzelbeträge!$D:$D,Einzelbeträge!$C:$C,'Ausgaben 2025'!$C103)</f>
        <v>0</v>
      </c>
      <c r="E103" s="36">
        <f>SUMIFS(Einzelbeträge!$D:$D,Einzelbeträge!$C:$C,'Ausgaben 2025'!$C103,Einzelbeträge!$E:$E,'Ausgaben 2025'!E$6)</f>
        <v>0</v>
      </c>
      <c r="F103" s="37">
        <f>SUMIFS(Einzelbeträge!$D:$D,Einzelbeträge!$C:$C,'Ausgaben 2025'!$C103,Einzelbeträge!$E:$E,'Ausgaben 2025'!F$6)</f>
        <v>0</v>
      </c>
      <c r="G103" s="37">
        <f>SUMIFS(Einzelbeträge!$D:$D,Einzelbeträge!$C:$C,'Ausgaben 2025'!$C103,Einzelbeträge!$E:$E,'Ausgaben 2025'!G$6)</f>
        <v>0</v>
      </c>
      <c r="H103" s="37">
        <f>SUMIFS(Einzelbeträge!$D:$D,Einzelbeträge!$C:$C,'Ausgaben 2025'!$C103,Einzelbeträge!$E:$E,'Ausgaben 2025'!H$6)</f>
        <v>0</v>
      </c>
      <c r="I103" s="37">
        <f>SUMIFS(Einzelbeträge!$D:$D,Einzelbeträge!$C:$C,'Ausgaben 2025'!$C103,Einzelbeträge!$E:$E,'Ausgaben 2025'!I$6)</f>
        <v>0</v>
      </c>
      <c r="J103" s="37">
        <f>SUMIFS(Einzelbeträge!$D:$D,Einzelbeträge!$C:$C,'Ausgaben 2025'!$C103,Einzelbeträge!$E:$E,'Ausgaben 2025'!J$6)</f>
        <v>0</v>
      </c>
      <c r="K103" s="37">
        <f>SUMIFS(Einzelbeträge!$D:$D,Einzelbeträge!$C:$C,'Ausgaben 2025'!$C103,Einzelbeträge!$E:$E,'Ausgaben 2025'!K$6)</f>
        <v>0</v>
      </c>
      <c r="L103" s="37">
        <f>SUMIFS(Einzelbeträge!$D:$D,Einzelbeträge!$C:$C,'Ausgaben 2025'!$C103,Einzelbeträge!$E:$E,'Ausgaben 2025'!L$6)</f>
        <v>0</v>
      </c>
      <c r="M103" s="37">
        <f>SUMIFS(Einzelbeträge!$D:$D,Einzelbeträge!$C:$C,'Ausgaben 2025'!$C103,Einzelbeträge!$E:$E,'Ausgaben 2025'!M$6)</f>
        <v>0</v>
      </c>
      <c r="N103" s="38">
        <f>SUMIFS(Einzelbeträge!$D:$D,Einzelbeträge!$C:$C,'Ausgaben 2025'!$C103,Einzelbeträge!$E:$E,'Ausgaben 2025'!N$6)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45748</v>
      </c>
      <c r="D107" s="45">
        <f>SUMIFS(Einzelbeträge!$D:$D,Einzelbeträge!$C:$C,'Ausgaben 2025'!$C107)</f>
        <v>0</v>
      </c>
      <c r="E107" s="32">
        <f>SUMIFS(Einzelbeträge!$D:$D,Einzelbeträge!$C:$C,'Ausgaben 2025'!$C107,Einzelbeträge!$E:$E,'Ausgaben 2025'!E$6)</f>
        <v>0</v>
      </c>
      <c r="F107" s="32">
        <f>SUMIFS(Einzelbeträge!$D:$D,Einzelbeträge!$C:$C,'Ausgaben 2025'!$C107,Einzelbeträge!$E:$E,'Ausgaben 2025'!F$6)</f>
        <v>0</v>
      </c>
      <c r="G107" s="32">
        <f>SUMIFS(Einzelbeträge!$D:$D,Einzelbeträge!$C:$C,'Ausgaben 2025'!$C107,Einzelbeträge!$E:$E,'Ausgaben 2025'!G$6)</f>
        <v>0</v>
      </c>
      <c r="H107" s="32">
        <f>SUMIFS(Einzelbeträge!$D:$D,Einzelbeträge!$C:$C,'Ausgaben 2025'!$C107,Einzelbeträge!$E:$E,'Ausgaben 2025'!H$6)</f>
        <v>0</v>
      </c>
      <c r="I107" s="32">
        <f>SUMIFS(Einzelbeträge!$D:$D,Einzelbeträge!$C:$C,'Ausgaben 2025'!$C107,Einzelbeträge!$E:$E,'Ausgaben 2025'!I$6)</f>
        <v>0</v>
      </c>
      <c r="J107" s="32">
        <f>SUMIFS(Einzelbeträge!$D:$D,Einzelbeträge!$C:$C,'Ausgaben 2025'!$C107,Einzelbeträge!$E:$E,'Ausgaben 2025'!J$6)</f>
        <v>0</v>
      </c>
      <c r="K107" s="32">
        <f>SUMIFS(Einzelbeträge!$D:$D,Einzelbeträge!$C:$C,'Ausgaben 2025'!$C107,Einzelbeträge!$E:$E,'Ausgaben 2025'!K$6)</f>
        <v>0</v>
      </c>
      <c r="L107" s="32">
        <f>SUMIFS(Einzelbeträge!$D:$D,Einzelbeträge!$C:$C,'Ausgaben 2025'!$C107,Einzelbeträge!$E:$E,'Ausgaben 2025'!L$6)</f>
        <v>0</v>
      </c>
      <c r="M107" s="32">
        <f>SUMIFS(Einzelbeträge!$D:$D,Einzelbeträge!$C:$C,'Ausgaben 2025'!$C107,Einzelbeträge!$E:$E,'Ausgaben 2025'!M$6)</f>
        <v>0</v>
      </c>
      <c r="N107" s="33">
        <f>SUMIFS(Einzelbeträge!$D:$D,Einzelbeträge!$C:$C,'Ausgaben 2025'!$C107,Einzelbeträge!$E:$E,'Ausgaben 2025'!N$6)</f>
        <v>0</v>
      </c>
      <c r="O107" s="6"/>
    </row>
    <row r="108" spans="2:15" x14ac:dyDescent="0.35">
      <c r="B108" s="5"/>
      <c r="C108" s="30">
        <f>C107+1</f>
        <v>45749</v>
      </c>
      <c r="D108" s="46">
        <f>SUMIFS(Einzelbeträge!$D:$D,Einzelbeträge!$C:$C,'Ausgaben 2025'!$C108)</f>
        <v>0</v>
      </c>
      <c r="E108" s="21">
        <f>SUMIFS(Einzelbeträge!$D:$D,Einzelbeträge!$C:$C,'Ausgaben 2025'!$C108,Einzelbeträge!$E:$E,'Ausgaben 2025'!E$6)</f>
        <v>0</v>
      </c>
      <c r="F108" s="21">
        <f>SUMIFS(Einzelbeträge!$D:$D,Einzelbeträge!$C:$C,'Ausgaben 2025'!$C108,Einzelbeträge!$E:$E,'Ausgaben 2025'!F$6)</f>
        <v>0</v>
      </c>
      <c r="G108" s="21">
        <f>SUMIFS(Einzelbeträge!$D:$D,Einzelbeträge!$C:$C,'Ausgaben 2025'!$C108,Einzelbeträge!$E:$E,'Ausgaben 2025'!G$6)</f>
        <v>0</v>
      </c>
      <c r="H108" s="21">
        <f>SUMIFS(Einzelbeträge!$D:$D,Einzelbeträge!$C:$C,'Ausgaben 2025'!$C108,Einzelbeträge!$E:$E,'Ausgaben 2025'!H$6)</f>
        <v>0</v>
      </c>
      <c r="I108" s="21">
        <f>SUMIFS(Einzelbeträge!$D:$D,Einzelbeträge!$C:$C,'Ausgaben 2025'!$C108,Einzelbeträge!$E:$E,'Ausgaben 2025'!I$6)</f>
        <v>0</v>
      </c>
      <c r="J108" s="21">
        <f>SUMIFS(Einzelbeträge!$D:$D,Einzelbeträge!$C:$C,'Ausgaben 2025'!$C108,Einzelbeträge!$E:$E,'Ausgaben 2025'!J$6)</f>
        <v>0</v>
      </c>
      <c r="K108" s="21">
        <f>SUMIFS(Einzelbeträge!$D:$D,Einzelbeträge!$C:$C,'Ausgaben 2025'!$C108,Einzelbeträge!$E:$E,'Ausgaben 2025'!K$6)</f>
        <v>0</v>
      </c>
      <c r="L108" s="21">
        <f>SUMIFS(Einzelbeträge!$D:$D,Einzelbeträge!$C:$C,'Ausgaben 2025'!$C108,Einzelbeträge!$E:$E,'Ausgaben 2025'!L$6)</f>
        <v>0</v>
      </c>
      <c r="M108" s="21">
        <f>SUMIFS(Einzelbeträge!$D:$D,Einzelbeträge!$C:$C,'Ausgaben 2025'!$C108,Einzelbeträge!$E:$E,'Ausgaben 2025'!M$6)</f>
        <v>0</v>
      </c>
      <c r="N108" s="35">
        <f>SUMIFS(Einzelbeträge!$D:$D,Einzelbeträge!$C:$C,'Ausgaben 2025'!$C108,Einzelbeträge!$E:$E,'Ausgaben 2025'!N$6)</f>
        <v>0</v>
      </c>
      <c r="O108" s="6"/>
    </row>
    <row r="109" spans="2:15" x14ac:dyDescent="0.35">
      <c r="B109" s="5"/>
      <c r="C109" s="30">
        <f t="shared" ref="C109:C136" si="19">C108+1</f>
        <v>45750</v>
      </c>
      <c r="D109" s="46">
        <f>SUMIFS(Einzelbeträge!$D:$D,Einzelbeträge!$C:$C,'Ausgaben 2025'!$C109)</f>
        <v>0</v>
      </c>
      <c r="E109" s="21">
        <f>SUMIFS(Einzelbeträge!$D:$D,Einzelbeträge!$C:$C,'Ausgaben 2025'!$C109,Einzelbeträge!$E:$E,'Ausgaben 2025'!E$6)</f>
        <v>0</v>
      </c>
      <c r="F109" s="21">
        <f>SUMIFS(Einzelbeträge!$D:$D,Einzelbeträge!$C:$C,'Ausgaben 2025'!$C109,Einzelbeträge!$E:$E,'Ausgaben 2025'!F$6)</f>
        <v>0</v>
      </c>
      <c r="G109" s="21">
        <f>SUMIFS(Einzelbeträge!$D:$D,Einzelbeträge!$C:$C,'Ausgaben 2025'!$C109,Einzelbeträge!$E:$E,'Ausgaben 2025'!G$6)</f>
        <v>0</v>
      </c>
      <c r="H109" s="21">
        <f>SUMIFS(Einzelbeträge!$D:$D,Einzelbeträge!$C:$C,'Ausgaben 2025'!$C109,Einzelbeträge!$E:$E,'Ausgaben 2025'!H$6)</f>
        <v>0</v>
      </c>
      <c r="I109" s="21">
        <f>SUMIFS(Einzelbeträge!$D:$D,Einzelbeträge!$C:$C,'Ausgaben 2025'!$C109,Einzelbeträge!$E:$E,'Ausgaben 2025'!I$6)</f>
        <v>0</v>
      </c>
      <c r="J109" s="21">
        <f>SUMIFS(Einzelbeträge!$D:$D,Einzelbeträge!$C:$C,'Ausgaben 2025'!$C109,Einzelbeträge!$E:$E,'Ausgaben 2025'!J$6)</f>
        <v>0</v>
      </c>
      <c r="K109" s="21">
        <f>SUMIFS(Einzelbeträge!$D:$D,Einzelbeträge!$C:$C,'Ausgaben 2025'!$C109,Einzelbeträge!$E:$E,'Ausgaben 2025'!K$6)</f>
        <v>0</v>
      </c>
      <c r="L109" s="21">
        <f>SUMIFS(Einzelbeträge!$D:$D,Einzelbeträge!$C:$C,'Ausgaben 2025'!$C109,Einzelbeträge!$E:$E,'Ausgaben 2025'!L$6)</f>
        <v>0</v>
      </c>
      <c r="M109" s="21">
        <f>SUMIFS(Einzelbeträge!$D:$D,Einzelbeträge!$C:$C,'Ausgaben 2025'!$C109,Einzelbeträge!$E:$E,'Ausgaben 2025'!M$6)</f>
        <v>0</v>
      </c>
      <c r="N109" s="35">
        <f>SUMIFS(Einzelbeträge!$D:$D,Einzelbeträge!$C:$C,'Ausgaben 2025'!$C109,Einzelbeträge!$E:$E,'Ausgaben 2025'!N$6)</f>
        <v>0</v>
      </c>
      <c r="O109" s="6"/>
    </row>
    <row r="110" spans="2:15" x14ac:dyDescent="0.35">
      <c r="B110" s="5"/>
      <c r="C110" s="30">
        <f t="shared" si="19"/>
        <v>45751</v>
      </c>
      <c r="D110" s="46">
        <f>SUMIFS(Einzelbeträge!$D:$D,Einzelbeträge!$C:$C,'Ausgaben 2025'!$C110)</f>
        <v>0</v>
      </c>
      <c r="E110" s="21">
        <f>SUMIFS(Einzelbeträge!$D:$D,Einzelbeträge!$C:$C,'Ausgaben 2025'!$C110,Einzelbeträge!$E:$E,'Ausgaben 2025'!E$6)</f>
        <v>0</v>
      </c>
      <c r="F110" s="21">
        <f>SUMIFS(Einzelbeträge!$D:$D,Einzelbeträge!$C:$C,'Ausgaben 2025'!$C110,Einzelbeträge!$E:$E,'Ausgaben 2025'!F$6)</f>
        <v>0</v>
      </c>
      <c r="G110" s="21">
        <f>SUMIFS(Einzelbeträge!$D:$D,Einzelbeträge!$C:$C,'Ausgaben 2025'!$C110,Einzelbeträge!$E:$E,'Ausgaben 2025'!G$6)</f>
        <v>0</v>
      </c>
      <c r="H110" s="21">
        <f>SUMIFS(Einzelbeträge!$D:$D,Einzelbeträge!$C:$C,'Ausgaben 2025'!$C110,Einzelbeträge!$E:$E,'Ausgaben 2025'!H$6)</f>
        <v>0</v>
      </c>
      <c r="I110" s="21">
        <f>SUMIFS(Einzelbeträge!$D:$D,Einzelbeträge!$C:$C,'Ausgaben 2025'!$C110,Einzelbeträge!$E:$E,'Ausgaben 2025'!I$6)</f>
        <v>0</v>
      </c>
      <c r="J110" s="21">
        <f>SUMIFS(Einzelbeträge!$D:$D,Einzelbeträge!$C:$C,'Ausgaben 2025'!$C110,Einzelbeträge!$E:$E,'Ausgaben 2025'!J$6)</f>
        <v>0</v>
      </c>
      <c r="K110" s="21">
        <f>SUMIFS(Einzelbeträge!$D:$D,Einzelbeträge!$C:$C,'Ausgaben 2025'!$C110,Einzelbeträge!$E:$E,'Ausgaben 2025'!K$6)</f>
        <v>0</v>
      </c>
      <c r="L110" s="21">
        <f>SUMIFS(Einzelbeträge!$D:$D,Einzelbeträge!$C:$C,'Ausgaben 2025'!$C110,Einzelbeträge!$E:$E,'Ausgaben 2025'!L$6)</f>
        <v>0</v>
      </c>
      <c r="M110" s="21">
        <f>SUMIFS(Einzelbeträge!$D:$D,Einzelbeträge!$C:$C,'Ausgaben 2025'!$C110,Einzelbeträge!$E:$E,'Ausgaben 2025'!M$6)</f>
        <v>0</v>
      </c>
      <c r="N110" s="35">
        <f>SUMIFS(Einzelbeträge!$D:$D,Einzelbeträge!$C:$C,'Ausgaben 2025'!$C110,Einzelbeträge!$E:$E,'Ausgaben 2025'!N$6)</f>
        <v>0</v>
      </c>
      <c r="O110" s="6"/>
    </row>
    <row r="111" spans="2:15" x14ac:dyDescent="0.35">
      <c r="B111" s="5"/>
      <c r="C111" s="30">
        <f t="shared" si="19"/>
        <v>45752</v>
      </c>
      <c r="D111" s="46">
        <f>SUMIFS(Einzelbeträge!$D:$D,Einzelbeträge!$C:$C,'Ausgaben 2025'!$C111)</f>
        <v>0</v>
      </c>
      <c r="E111" s="21">
        <f>SUMIFS(Einzelbeträge!$D:$D,Einzelbeträge!$C:$C,'Ausgaben 2025'!$C111,Einzelbeträge!$E:$E,'Ausgaben 2025'!E$6)</f>
        <v>0</v>
      </c>
      <c r="F111" s="21">
        <f>SUMIFS(Einzelbeträge!$D:$D,Einzelbeträge!$C:$C,'Ausgaben 2025'!$C111,Einzelbeträge!$E:$E,'Ausgaben 2025'!F$6)</f>
        <v>0</v>
      </c>
      <c r="G111" s="21">
        <f>SUMIFS(Einzelbeträge!$D:$D,Einzelbeträge!$C:$C,'Ausgaben 2025'!$C111,Einzelbeträge!$E:$E,'Ausgaben 2025'!G$6)</f>
        <v>0</v>
      </c>
      <c r="H111" s="21">
        <f>SUMIFS(Einzelbeträge!$D:$D,Einzelbeträge!$C:$C,'Ausgaben 2025'!$C111,Einzelbeträge!$E:$E,'Ausgaben 2025'!H$6)</f>
        <v>0</v>
      </c>
      <c r="I111" s="21">
        <f>SUMIFS(Einzelbeträge!$D:$D,Einzelbeträge!$C:$C,'Ausgaben 2025'!$C111,Einzelbeträge!$E:$E,'Ausgaben 2025'!I$6)</f>
        <v>0</v>
      </c>
      <c r="J111" s="21">
        <f>SUMIFS(Einzelbeträge!$D:$D,Einzelbeträge!$C:$C,'Ausgaben 2025'!$C111,Einzelbeträge!$E:$E,'Ausgaben 2025'!J$6)</f>
        <v>0</v>
      </c>
      <c r="K111" s="21">
        <f>SUMIFS(Einzelbeträge!$D:$D,Einzelbeträge!$C:$C,'Ausgaben 2025'!$C111,Einzelbeträge!$E:$E,'Ausgaben 2025'!K$6)</f>
        <v>0</v>
      </c>
      <c r="L111" s="21">
        <f>SUMIFS(Einzelbeträge!$D:$D,Einzelbeträge!$C:$C,'Ausgaben 2025'!$C111,Einzelbeträge!$E:$E,'Ausgaben 2025'!L$6)</f>
        <v>0</v>
      </c>
      <c r="M111" s="21">
        <f>SUMIFS(Einzelbeträge!$D:$D,Einzelbeträge!$C:$C,'Ausgaben 2025'!$C111,Einzelbeträge!$E:$E,'Ausgaben 2025'!M$6)</f>
        <v>0</v>
      </c>
      <c r="N111" s="35">
        <f>SUMIFS(Einzelbeträge!$D:$D,Einzelbeträge!$C:$C,'Ausgaben 2025'!$C111,Einzelbeträge!$E:$E,'Ausgaben 2025'!N$6)</f>
        <v>0</v>
      </c>
      <c r="O111" s="6"/>
    </row>
    <row r="112" spans="2:15" x14ac:dyDescent="0.35">
      <c r="B112" s="5"/>
      <c r="C112" s="30">
        <f t="shared" si="19"/>
        <v>45753</v>
      </c>
      <c r="D112" s="46">
        <f>SUMIFS(Einzelbeträge!$D:$D,Einzelbeträge!$C:$C,'Ausgaben 2025'!$C112)</f>
        <v>0</v>
      </c>
      <c r="E112" s="21">
        <f>SUMIFS(Einzelbeträge!$D:$D,Einzelbeträge!$C:$C,'Ausgaben 2025'!$C112,Einzelbeträge!$E:$E,'Ausgaben 2025'!E$6)</f>
        <v>0</v>
      </c>
      <c r="F112" s="21">
        <f>SUMIFS(Einzelbeträge!$D:$D,Einzelbeträge!$C:$C,'Ausgaben 2025'!$C112,Einzelbeträge!$E:$E,'Ausgaben 2025'!F$6)</f>
        <v>0</v>
      </c>
      <c r="G112" s="21">
        <f>SUMIFS(Einzelbeträge!$D:$D,Einzelbeträge!$C:$C,'Ausgaben 2025'!$C112,Einzelbeträge!$E:$E,'Ausgaben 2025'!G$6)</f>
        <v>0</v>
      </c>
      <c r="H112" s="21">
        <f>SUMIFS(Einzelbeträge!$D:$D,Einzelbeträge!$C:$C,'Ausgaben 2025'!$C112,Einzelbeträge!$E:$E,'Ausgaben 2025'!H$6)</f>
        <v>0</v>
      </c>
      <c r="I112" s="21">
        <f>SUMIFS(Einzelbeträge!$D:$D,Einzelbeträge!$C:$C,'Ausgaben 2025'!$C112,Einzelbeträge!$E:$E,'Ausgaben 2025'!I$6)</f>
        <v>0</v>
      </c>
      <c r="J112" s="21">
        <f>SUMIFS(Einzelbeträge!$D:$D,Einzelbeträge!$C:$C,'Ausgaben 2025'!$C112,Einzelbeträge!$E:$E,'Ausgaben 2025'!J$6)</f>
        <v>0</v>
      </c>
      <c r="K112" s="21">
        <f>SUMIFS(Einzelbeträge!$D:$D,Einzelbeträge!$C:$C,'Ausgaben 2025'!$C112,Einzelbeträge!$E:$E,'Ausgaben 2025'!K$6)</f>
        <v>0</v>
      </c>
      <c r="L112" s="21">
        <f>SUMIFS(Einzelbeträge!$D:$D,Einzelbeträge!$C:$C,'Ausgaben 2025'!$C112,Einzelbeträge!$E:$E,'Ausgaben 2025'!L$6)</f>
        <v>0</v>
      </c>
      <c r="M112" s="21">
        <f>SUMIFS(Einzelbeträge!$D:$D,Einzelbeträge!$C:$C,'Ausgaben 2025'!$C112,Einzelbeträge!$E:$E,'Ausgaben 2025'!M$6)</f>
        <v>0</v>
      </c>
      <c r="N112" s="35">
        <f>SUMIFS(Einzelbeträge!$D:$D,Einzelbeträge!$C:$C,'Ausgaben 2025'!$C112,Einzelbeträge!$E:$E,'Ausgaben 2025'!N$6)</f>
        <v>0</v>
      </c>
      <c r="O112" s="6"/>
    </row>
    <row r="113" spans="2:15" x14ac:dyDescent="0.35">
      <c r="B113" s="5"/>
      <c r="C113" s="30">
        <f t="shared" si="19"/>
        <v>45754</v>
      </c>
      <c r="D113" s="46">
        <f>SUMIFS(Einzelbeträge!$D:$D,Einzelbeträge!$C:$C,'Ausgaben 2025'!$C113)</f>
        <v>0</v>
      </c>
      <c r="E113" s="21">
        <f>SUMIFS(Einzelbeträge!$D:$D,Einzelbeträge!$C:$C,'Ausgaben 2025'!$C113,Einzelbeträge!$E:$E,'Ausgaben 2025'!E$6)</f>
        <v>0</v>
      </c>
      <c r="F113" s="21">
        <f>SUMIFS(Einzelbeträge!$D:$D,Einzelbeträge!$C:$C,'Ausgaben 2025'!$C113,Einzelbeträge!$E:$E,'Ausgaben 2025'!F$6)</f>
        <v>0</v>
      </c>
      <c r="G113" s="21">
        <f>SUMIFS(Einzelbeträge!$D:$D,Einzelbeträge!$C:$C,'Ausgaben 2025'!$C113,Einzelbeträge!$E:$E,'Ausgaben 2025'!G$6)</f>
        <v>0</v>
      </c>
      <c r="H113" s="21">
        <f>SUMIFS(Einzelbeträge!$D:$D,Einzelbeträge!$C:$C,'Ausgaben 2025'!$C113,Einzelbeträge!$E:$E,'Ausgaben 2025'!H$6)</f>
        <v>0</v>
      </c>
      <c r="I113" s="21">
        <f>SUMIFS(Einzelbeträge!$D:$D,Einzelbeträge!$C:$C,'Ausgaben 2025'!$C113,Einzelbeträge!$E:$E,'Ausgaben 2025'!I$6)</f>
        <v>0</v>
      </c>
      <c r="J113" s="21">
        <f>SUMIFS(Einzelbeträge!$D:$D,Einzelbeträge!$C:$C,'Ausgaben 2025'!$C113,Einzelbeträge!$E:$E,'Ausgaben 2025'!J$6)</f>
        <v>0</v>
      </c>
      <c r="K113" s="21">
        <f>SUMIFS(Einzelbeträge!$D:$D,Einzelbeträge!$C:$C,'Ausgaben 2025'!$C113,Einzelbeträge!$E:$E,'Ausgaben 2025'!K$6)</f>
        <v>0</v>
      </c>
      <c r="L113" s="21">
        <f>SUMIFS(Einzelbeträge!$D:$D,Einzelbeträge!$C:$C,'Ausgaben 2025'!$C113,Einzelbeträge!$E:$E,'Ausgaben 2025'!L$6)</f>
        <v>0</v>
      </c>
      <c r="M113" s="21">
        <f>SUMIFS(Einzelbeträge!$D:$D,Einzelbeträge!$C:$C,'Ausgaben 2025'!$C113,Einzelbeträge!$E:$E,'Ausgaben 2025'!M$6)</f>
        <v>0</v>
      </c>
      <c r="N113" s="35">
        <f>SUMIFS(Einzelbeträge!$D:$D,Einzelbeträge!$C:$C,'Ausgaben 2025'!$C113,Einzelbeträge!$E:$E,'Ausgaben 2025'!N$6)</f>
        <v>0</v>
      </c>
      <c r="O113" s="6"/>
    </row>
    <row r="114" spans="2:15" x14ac:dyDescent="0.35">
      <c r="B114" s="5"/>
      <c r="C114" s="30">
        <f t="shared" si="19"/>
        <v>45755</v>
      </c>
      <c r="D114" s="46">
        <f>SUMIFS(Einzelbeträge!$D:$D,Einzelbeträge!$C:$C,'Ausgaben 2025'!$C114)</f>
        <v>0</v>
      </c>
      <c r="E114" s="21">
        <f>SUMIFS(Einzelbeträge!$D:$D,Einzelbeträge!$C:$C,'Ausgaben 2025'!$C114,Einzelbeträge!$E:$E,'Ausgaben 2025'!E$6)</f>
        <v>0</v>
      </c>
      <c r="F114" s="21">
        <f>SUMIFS(Einzelbeträge!$D:$D,Einzelbeträge!$C:$C,'Ausgaben 2025'!$C114,Einzelbeträge!$E:$E,'Ausgaben 2025'!F$6)</f>
        <v>0</v>
      </c>
      <c r="G114" s="21">
        <f>SUMIFS(Einzelbeträge!$D:$D,Einzelbeträge!$C:$C,'Ausgaben 2025'!$C114,Einzelbeträge!$E:$E,'Ausgaben 2025'!G$6)</f>
        <v>0</v>
      </c>
      <c r="H114" s="21">
        <f>SUMIFS(Einzelbeträge!$D:$D,Einzelbeträge!$C:$C,'Ausgaben 2025'!$C114,Einzelbeträge!$E:$E,'Ausgaben 2025'!H$6)</f>
        <v>0</v>
      </c>
      <c r="I114" s="21">
        <f>SUMIFS(Einzelbeträge!$D:$D,Einzelbeträge!$C:$C,'Ausgaben 2025'!$C114,Einzelbeträge!$E:$E,'Ausgaben 2025'!I$6)</f>
        <v>0</v>
      </c>
      <c r="J114" s="21">
        <f>SUMIFS(Einzelbeträge!$D:$D,Einzelbeträge!$C:$C,'Ausgaben 2025'!$C114,Einzelbeträge!$E:$E,'Ausgaben 2025'!J$6)</f>
        <v>0</v>
      </c>
      <c r="K114" s="21">
        <f>SUMIFS(Einzelbeträge!$D:$D,Einzelbeträge!$C:$C,'Ausgaben 2025'!$C114,Einzelbeträge!$E:$E,'Ausgaben 2025'!K$6)</f>
        <v>0</v>
      </c>
      <c r="L114" s="21">
        <f>SUMIFS(Einzelbeträge!$D:$D,Einzelbeträge!$C:$C,'Ausgaben 2025'!$C114,Einzelbeträge!$E:$E,'Ausgaben 2025'!L$6)</f>
        <v>0</v>
      </c>
      <c r="M114" s="21">
        <f>SUMIFS(Einzelbeträge!$D:$D,Einzelbeträge!$C:$C,'Ausgaben 2025'!$C114,Einzelbeträge!$E:$E,'Ausgaben 2025'!M$6)</f>
        <v>0</v>
      </c>
      <c r="N114" s="35">
        <f>SUMIFS(Einzelbeträge!$D:$D,Einzelbeträge!$C:$C,'Ausgaben 2025'!$C114,Einzelbeträge!$E:$E,'Ausgaben 2025'!N$6)</f>
        <v>0</v>
      </c>
      <c r="O114" s="6"/>
    </row>
    <row r="115" spans="2:15" x14ac:dyDescent="0.35">
      <c r="B115" s="5"/>
      <c r="C115" s="30">
        <f t="shared" si="19"/>
        <v>45756</v>
      </c>
      <c r="D115" s="46">
        <f>SUMIFS(Einzelbeträge!$D:$D,Einzelbeträge!$C:$C,'Ausgaben 2025'!$C115)</f>
        <v>0</v>
      </c>
      <c r="E115" s="21">
        <f>SUMIFS(Einzelbeträge!$D:$D,Einzelbeträge!$C:$C,'Ausgaben 2025'!$C115,Einzelbeträge!$E:$E,'Ausgaben 2025'!E$6)</f>
        <v>0</v>
      </c>
      <c r="F115" s="21">
        <f>SUMIFS(Einzelbeträge!$D:$D,Einzelbeträge!$C:$C,'Ausgaben 2025'!$C115,Einzelbeträge!$E:$E,'Ausgaben 2025'!F$6)</f>
        <v>0</v>
      </c>
      <c r="G115" s="21">
        <f>SUMIFS(Einzelbeträge!$D:$D,Einzelbeträge!$C:$C,'Ausgaben 2025'!$C115,Einzelbeträge!$E:$E,'Ausgaben 2025'!G$6)</f>
        <v>0</v>
      </c>
      <c r="H115" s="21">
        <f>SUMIFS(Einzelbeträge!$D:$D,Einzelbeträge!$C:$C,'Ausgaben 2025'!$C115,Einzelbeträge!$E:$E,'Ausgaben 2025'!H$6)</f>
        <v>0</v>
      </c>
      <c r="I115" s="21">
        <f>SUMIFS(Einzelbeträge!$D:$D,Einzelbeträge!$C:$C,'Ausgaben 2025'!$C115,Einzelbeträge!$E:$E,'Ausgaben 2025'!I$6)</f>
        <v>0</v>
      </c>
      <c r="J115" s="21">
        <f>SUMIFS(Einzelbeträge!$D:$D,Einzelbeträge!$C:$C,'Ausgaben 2025'!$C115,Einzelbeträge!$E:$E,'Ausgaben 2025'!J$6)</f>
        <v>0</v>
      </c>
      <c r="K115" s="21">
        <f>SUMIFS(Einzelbeträge!$D:$D,Einzelbeträge!$C:$C,'Ausgaben 2025'!$C115,Einzelbeträge!$E:$E,'Ausgaben 2025'!K$6)</f>
        <v>0</v>
      </c>
      <c r="L115" s="21">
        <f>SUMIFS(Einzelbeträge!$D:$D,Einzelbeträge!$C:$C,'Ausgaben 2025'!$C115,Einzelbeträge!$E:$E,'Ausgaben 2025'!L$6)</f>
        <v>0</v>
      </c>
      <c r="M115" s="21">
        <f>SUMIFS(Einzelbeträge!$D:$D,Einzelbeträge!$C:$C,'Ausgaben 2025'!$C115,Einzelbeträge!$E:$E,'Ausgaben 2025'!M$6)</f>
        <v>0</v>
      </c>
      <c r="N115" s="35">
        <f>SUMIFS(Einzelbeträge!$D:$D,Einzelbeträge!$C:$C,'Ausgaben 2025'!$C115,Einzelbeträge!$E:$E,'Ausgaben 2025'!N$6)</f>
        <v>0</v>
      </c>
      <c r="O115" s="6"/>
    </row>
    <row r="116" spans="2:15" x14ac:dyDescent="0.35">
      <c r="B116" s="5"/>
      <c r="C116" s="30">
        <f t="shared" si="19"/>
        <v>45757</v>
      </c>
      <c r="D116" s="46">
        <f>SUMIFS(Einzelbeträge!$D:$D,Einzelbeträge!$C:$C,'Ausgaben 2025'!$C116)</f>
        <v>0</v>
      </c>
      <c r="E116" s="21">
        <f>SUMIFS(Einzelbeträge!$D:$D,Einzelbeträge!$C:$C,'Ausgaben 2025'!$C116,Einzelbeträge!$E:$E,'Ausgaben 2025'!E$6)</f>
        <v>0</v>
      </c>
      <c r="F116" s="21">
        <f>SUMIFS(Einzelbeträge!$D:$D,Einzelbeträge!$C:$C,'Ausgaben 2025'!$C116,Einzelbeträge!$E:$E,'Ausgaben 2025'!F$6)</f>
        <v>0</v>
      </c>
      <c r="G116" s="21">
        <f>SUMIFS(Einzelbeträge!$D:$D,Einzelbeträge!$C:$C,'Ausgaben 2025'!$C116,Einzelbeträge!$E:$E,'Ausgaben 2025'!G$6)</f>
        <v>0</v>
      </c>
      <c r="H116" s="21">
        <f>SUMIFS(Einzelbeträge!$D:$D,Einzelbeträge!$C:$C,'Ausgaben 2025'!$C116,Einzelbeträge!$E:$E,'Ausgaben 2025'!H$6)</f>
        <v>0</v>
      </c>
      <c r="I116" s="21">
        <f>SUMIFS(Einzelbeträge!$D:$D,Einzelbeträge!$C:$C,'Ausgaben 2025'!$C116,Einzelbeträge!$E:$E,'Ausgaben 2025'!I$6)</f>
        <v>0</v>
      </c>
      <c r="J116" s="21">
        <f>SUMIFS(Einzelbeträge!$D:$D,Einzelbeträge!$C:$C,'Ausgaben 2025'!$C116,Einzelbeträge!$E:$E,'Ausgaben 2025'!J$6)</f>
        <v>0</v>
      </c>
      <c r="K116" s="21">
        <f>SUMIFS(Einzelbeträge!$D:$D,Einzelbeträge!$C:$C,'Ausgaben 2025'!$C116,Einzelbeträge!$E:$E,'Ausgaben 2025'!K$6)</f>
        <v>0</v>
      </c>
      <c r="L116" s="21">
        <f>SUMIFS(Einzelbeträge!$D:$D,Einzelbeträge!$C:$C,'Ausgaben 2025'!$C116,Einzelbeträge!$E:$E,'Ausgaben 2025'!L$6)</f>
        <v>0</v>
      </c>
      <c r="M116" s="21">
        <f>SUMIFS(Einzelbeträge!$D:$D,Einzelbeträge!$C:$C,'Ausgaben 2025'!$C116,Einzelbeträge!$E:$E,'Ausgaben 2025'!M$6)</f>
        <v>0</v>
      </c>
      <c r="N116" s="35">
        <f>SUMIFS(Einzelbeträge!$D:$D,Einzelbeträge!$C:$C,'Ausgaben 2025'!$C116,Einzelbeträge!$E:$E,'Ausgaben 2025'!N$6)</f>
        <v>0</v>
      </c>
      <c r="O116" s="6"/>
    </row>
    <row r="117" spans="2:15" x14ac:dyDescent="0.35">
      <c r="B117" s="5"/>
      <c r="C117" s="30">
        <f t="shared" si="19"/>
        <v>45758</v>
      </c>
      <c r="D117" s="46">
        <f>SUMIFS(Einzelbeträge!$D:$D,Einzelbeträge!$C:$C,'Ausgaben 2025'!$C117)</f>
        <v>0</v>
      </c>
      <c r="E117" s="21">
        <f>SUMIFS(Einzelbeträge!$D:$D,Einzelbeträge!$C:$C,'Ausgaben 2025'!$C117,Einzelbeträge!$E:$E,'Ausgaben 2025'!E$6)</f>
        <v>0</v>
      </c>
      <c r="F117" s="21">
        <f>SUMIFS(Einzelbeträge!$D:$D,Einzelbeträge!$C:$C,'Ausgaben 2025'!$C117,Einzelbeträge!$E:$E,'Ausgaben 2025'!F$6)</f>
        <v>0</v>
      </c>
      <c r="G117" s="21">
        <f>SUMIFS(Einzelbeträge!$D:$D,Einzelbeträge!$C:$C,'Ausgaben 2025'!$C117,Einzelbeträge!$E:$E,'Ausgaben 2025'!G$6)</f>
        <v>0</v>
      </c>
      <c r="H117" s="21">
        <f>SUMIFS(Einzelbeträge!$D:$D,Einzelbeträge!$C:$C,'Ausgaben 2025'!$C117,Einzelbeträge!$E:$E,'Ausgaben 2025'!H$6)</f>
        <v>0</v>
      </c>
      <c r="I117" s="21">
        <f>SUMIFS(Einzelbeträge!$D:$D,Einzelbeträge!$C:$C,'Ausgaben 2025'!$C117,Einzelbeträge!$E:$E,'Ausgaben 2025'!I$6)</f>
        <v>0</v>
      </c>
      <c r="J117" s="21">
        <f>SUMIFS(Einzelbeträge!$D:$D,Einzelbeträge!$C:$C,'Ausgaben 2025'!$C117,Einzelbeträge!$E:$E,'Ausgaben 2025'!J$6)</f>
        <v>0</v>
      </c>
      <c r="K117" s="21">
        <f>SUMIFS(Einzelbeträge!$D:$D,Einzelbeträge!$C:$C,'Ausgaben 2025'!$C117,Einzelbeträge!$E:$E,'Ausgaben 2025'!K$6)</f>
        <v>0</v>
      </c>
      <c r="L117" s="21">
        <f>SUMIFS(Einzelbeträge!$D:$D,Einzelbeträge!$C:$C,'Ausgaben 2025'!$C117,Einzelbeträge!$E:$E,'Ausgaben 2025'!L$6)</f>
        <v>0</v>
      </c>
      <c r="M117" s="21">
        <f>SUMIFS(Einzelbeträge!$D:$D,Einzelbeträge!$C:$C,'Ausgaben 2025'!$C117,Einzelbeträge!$E:$E,'Ausgaben 2025'!M$6)</f>
        <v>0</v>
      </c>
      <c r="N117" s="35">
        <f>SUMIFS(Einzelbeträge!$D:$D,Einzelbeträge!$C:$C,'Ausgaben 2025'!$C117,Einzelbeträge!$E:$E,'Ausgaben 2025'!N$6)</f>
        <v>0</v>
      </c>
      <c r="O117" s="6"/>
    </row>
    <row r="118" spans="2:15" x14ac:dyDescent="0.35">
      <c r="B118" s="5"/>
      <c r="C118" s="30">
        <f t="shared" si="19"/>
        <v>45759</v>
      </c>
      <c r="D118" s="46">
        <f>SUMIFS(Einzelbeträge!$D:$D,Einzelbeträge!$C:$C,'Ausgaben 2025'!$C118)</f>
        <v>0</v>
      </c>
      <c r="E118" s="21">
        <f>SUMIFS(Einzelbeträge!$D:$D,Einzelbeträge!$C:$C,'Ausgaben 2025'!$C118,Einzelbeträge!$E:$E,'Ausgaben 2025'!E$6)</f>
        <v>0</v>
      </c>
      <c r="F118" s="21">
        <f>SUMIFS(Einzelbeträge!$D:$D,Einzelbeträge!$C:$C,'Ausgaben 2025'!$C118,Einzelbeträge!$E:$E,'Ausgaben 2025'!F$6)</f>
        <v>0</v>
      </c>
      <c r="G118" s="21">
        <f>SUMIFS(Einzelbeträge!$D:$D,Einzelbeträge!$C:$C,'Ausgaben 2025'!$C118,Einzelbeträge!$E:$E,'Ausgaben 2025'!G$6)</f>
        <v>0</v>
      </c>
      <c r="H118" s="21">
        <f>SUMIFS(Einzelbeträge!$D:$D,Einzelbeträge!$C:$C,'Ausgaben 2025'!$C118,Einzelbeträge!$E:$E,'Ausgaben 2025'!H$6)</f>
        <v>0</v>
      </c>
      <c r="I118" s="21">
        <f>SUMIFS(Einzelbeträge!$D:$D,Einzelbeträge!$C:$C,'Ausgaben 2025'!$C118,Einzelbeträge!$E:$E,'Ausgaben 2025'!I$6)</f>
        <v>0</v>
      </c>
      <c r="J118" s="21">
        <f>SUMIFS(Einzelbeträge!$D:$D,Einzelbeträge!$C:$C,'Ausgaben 2025'!$C118,Einzelbeträge!$E:$E,'Ausgaben 2025'!J$6)</f>
        <v>0</v>
      </c>
      <c r="K118" s="21">
        <f>SUMIFS(Einzelbeträge!$D:$D,Einzelbeträge!$C:$C,'Ausgaben 2025'!$C118,Einzelbeträge!$E:$E,'Ausgaben 2025'!K$6)</f>
        <v>0</v>
      </c>
      <c r="L118" s="21">
        <f>SUMIFS(Einzelbeträge!$D:$D,Einzelbeträge!$C:$C,'Ausgaben 2025'!$C118,Einzelbeträge!$E:$E,'Ausgaben 2025'!L$6)</f>
        <v>0</v>
      </c>
      <c r="M118" s="21">
        <f>SUMIFS(Einzelbeträge!$D:$D,Einzelbeträge!$C:$C,'Ausgaben 2025'!$C118,Einzelbeträge!$E:$E,'Ausgaben 2025'!M$6)</f>
        <v>0</v>
      </c>
      <c r="N118" s="35">
        <f>SUMIFS(Einzelbeträge!$D:$D,Einzelbeträge!$C:$C,'Ausgaben 2025'!$C118,Einzelbeträge!$E:$E,'Ausgaben 2025'!N$6)</f>
        <v>0</v>
      </c>
      <c r="O118" s="6"/>
    </row>
    <row r="119" spans="2:15" x14ac:dyDescent="0.35">
      <c r="B119" s="5"/>
      <c r="C119" s="30">
        <f t="shared" si="19"/>
        <v>45760</v>
      </c>
      <c r="D119" s="46">
        <f>SUMIFS(Einzelbeträge!$D:$D,Einzelbeträge!$C:$C,'Ausgaben 2025'!$C119)</f>
        <v>0</v>
      </c>
      <c r="E119" s="21">
        <f>SUMIFS(Einzelbeträge!$D:$D,Einzelbeträge!$C:$C,'Ausgaben 2025'!$C119,Einzelbeträge!$E:$E,'Ausgaben 2025'!E$6)</f>
        <v>0</v>
      </c>
      <c r="F119" s="21">
        <f>SUMIFS(Einzelbeträge!$D:$D,Einzelbeträge!$C:$C,'Ausgaben 2025'!$C119,Einzelbeträge!$E:$E,'Ausgaben 2025'!F$6)</f>
        <v>0</v>
      </c>
      <c r="G119" s="21">
        <f>SUMIFS(Einzelbeträge!$D:$D,Einzelbeträge!$C:$C,'Ausgaben 2025'!$C119,Einzelbeträge!$E:$E,'Ausgaben 2025'!G$6)</f>
        <v>0</v>
      </c>
      <c r="H119" s="21">
        <f>SUMIFS(Einzelbeträge!$D:$D,Einzelbeträge!$C:$C,'Ausgaben 2025'!$C119,Einzelbeträge!$E:$E,'Ausgaben 2025'!H$6)</f>
        <v>0</v>
      </c>
      <c r="I119" s="21">
        <f>SUMIFS(Einzelbeträge!$D:$D,Einzelbeträge!$C:$C,'Ausgaben 2025'!$C119,Einzelbeträge!$E:$E,'Ausgaben 2025'!I$6)</f>
        <v>0</v>
      </c>
      <c r="J119" s="21">
        <f>SUMIFS(Einzelbeträge!$D:$D,Einzelbeträge!$C:$C,'Ausgaben 2025'!$C119,Einzelbeträge!$E:$E,'Ausgaben 2025'!J$6)</f>
        <v>0</v>
      </c>
      <c r="K119" s="21">
        <f>SUMIFS(Einzelbeträge!$D:$D,Einzelbeträge!$C:$C,'Ausgaben 2025'!$C119,Einzelbeträge!$E:$E,'Ausgaben 2025'!K$6)</f>
        <v>0</v>
      </c>
      <c r="L119" s="21">
        <f>SUMIFS(Einzelbeträge!$D:$D,Einzelbeträge!$C:$C,'Ausgaben 2025'!$C119,Einzelbeträge!$E:$E,'Ausgaben 2025'!L$6)</f>
        <v>0</v>
      </c>
      <c r="M119" s="21">
        <f>SUMIFS(Einzelbeträge!$D:$D,Einzelbeträge!$C:$C,'Ausgaben 2025'!$C119,Einzelbeträge!$E:$E,'Ausgaben 2025'!M$6)</f>
        <v>0</v>
      </c>
      <c r="N119" s="35">
        <f>SUMIFS(Einzelbeträge!$D:$D,Einzelbeträge!$C:$C,'Ausgaben 2025'!$C119,Einzelbeträge!$E:$E,'Ausgaben 2025'!N$6)</f>
        <v>0</v>
      </c>
      <c r="O119" s="6"/>
    </row>
    <row r="120" spans="2:15" x14ac:dyDescent="0.35">
      <c r="B120" s="5"/>
      <c r="C120" s="30">
        <f t="shared" si="19"/>
        <v>45761</v>
      </c>
      <c r="D120" s="46">
        <f>SUMIFS(Einzelbeträge!$D:$D,Einzelbeträge!$C:$C,'Ausgaben 2025'!$C120)</f>
        <v>0</v>
      </c>
      <c r="E120" s="21">
        <f>SUMIFS(Einzelbeträge!$D:$D,Einzelbeträge!$C:$C,'Ausgaben 2025'!$C120,Einzelbeträge!$E:$E,'Ausgaben 2025'!E$6)</f>
        <v>0</v>
      </c>
      <c r="F120" s="21">
        <f>SUMIFS(Einzelbeträge!$D:$D,Einzelbeträge!$C:$C,'Ausgaben 2025'!$C120,Einzelbeträge!$E:$E,'Ausgaben 2025'!F$6)</f>
        <v>0</v>
      </c>
      <c r="G120" s="21">
        <f>SUMIFS(Einzelbeträge!$D:$D,Einzelbeträge!$C:$C,'Ausgaben 2025'!$C120,Einzelbeträge!$E:$E,'Ausgaben 2025'!G$6)</f>
        <v>0</v>
      </c>
      <c r="H120" s="21">
        <f>SUMIFS(Einzelbeträge!$D:$D,Einzelbeträge!$C:$C,'Ausgaben 2025'!$C120,Einzelbeträge!$E:$E,'Ausgaben 2025'!H$6)</f>
        <v>0</v>
      </c>
      <c r="I120" s="21">
        <f>SUMIFS(Einzelbeträge!$D:$D,Einzelbeträge!$C:$C,'Ausgaben 2025'!$C120,Einzelbeträge!$E:$E,'Ausgaben 2025'!I$6)</f>
        <v>0</v>
      </c>
      <c r="J120" s="21">
        <f>SUMIFS(Einzelbeträge!$D:$D,Einzelbeträge!$C:$C,'Ausgaben 2025'!$C120,Einzelbeträge!$E:$E,'Ausgaben 2025'!J$6)</f>
        <v>0</v>
      </c>
      <c r="K120" s="21">
        <f>SUMIFS(Einzelbeträge!$D:$D,Einzelbeträge!$C:$C,'Ausgaben 2025'!$C120,Einzelbeträge!$E:$E,'Ausgaben 2025'!K$6)</f>
        <v>0</v>
      </c>
      <c r="L120" s="21">
        <f>SUMIFS(Einzelbeträge!$D:$D,Einzelbeträge!$C:$C,'Ausgaben 2025'!$C120,Einzelbeträge!$E:$E,'Ausgaben 2025'!L$6)</f>
        <v>0</v>
      </c>
      <c r="M120" s="21">
        <f>SUMIFS(Einzelbeträge!$D:$D,Einzelbeträge!$C:$C,'Ausgaben 2025'!$C120,Einzelbeträge!$E:$E,'Ausgaben 2025'!M$6)</f>
        <v>0</v>
      </c>
      <c r="N120" s="35">
        <f>SUMIFS(Einzelbeträge!$D:$D,Einzelbeträge!$C:$C,'Ausgaben 2025'!$C120,Einzelbeträge!$E:$E,'Ausgaben 2025'!N$6)</f>
        <v>0</v>
      </c>
      <c r="O120" s="6"/>
    </row>
    <row r="121" spans="2:15" x14ac:dyDescent="0.35">
      <c r="B121" s="5"/>
      <c r="C121" s="30">
        <f t="shared" si="19"/>
        <v>45762</v>
      </c>
      <c r="D121" s="46">
        <f>SUMIFS(Einzelbeträge!$D:$D,Einzelbeträge!$C:$C,'Ausgaben 2025'!$C121)</f>
        <v>0</v>
      </c>
      <c r="E121" s="21">
        <f>SUMIFS(Einzelbeträge!$D:$D,Einzelbeträge!$C:$C,'Ausgaben 2025'!$C121,Einzelbeträge!$E:$E,'Ausgaben 2025'!E$6)</f>
        <v>0</v>
      </c>
      <c r="F121" s="21">
        <f>SUMIFS(Einzelbeträge!$D:$D,Einzelbeträge!$C:$C,'Ausgaben 2025'!$C121,Einzelbeträge!$E:$E,'Ausgaben 2025'!F$6)</f>
        <v>0</v>
      </c>
      <c r="G121" s="21">
        <f>SUMIFS(Einzelbeträge!$D:$D,Einzelbeträge!$C:$C,'Ausgaben 2025'!$C121,Einzelbeträge!$E:$E,'Ausgaben 2025'!G$6)</f>
        <v>0</v>
      </c>
      <c r="H121" s="21">
        <f>SUMIFS(Einzelbeträge!$D:$D,Einzelbeträge!$C:$C,'Ausgaben 2025'!$C121,Einzelbeträge!$E:$E,'Ausgaben 2025'!H$6)</f>
        <v>0</v>
      </c>
      <c r="I121" s="21">
        <f>SUMIFS(Einzelbeträge!$D:$D,Einzelbeträge!$C:$C,'Ausgaben 2025'!$C121,Einzelbeträge!$E:$E,'Ausgaben 2025'!I$6)</f>
        <v>0</v>
      </c>
      <c r="J121" s="21">
        <f>SUMIFS(Einzelbeträge!$D:$D,Einzelbeträge!$C:$C,'Ausgaben 2025'!$C121,Einzelbeträge!$E:$E,'Ausgaben 2025'!J$6)</f>
        <v>0</v>
      </c>
      <c r="K121" s="21">
        <f>SUMIFS(Einzelbeträge!$D:$D,Einzelbeträge!$C:$C,'Ausgaben 2025'!$C121,Einzelbeträge!$E:$E,'Ausgaben 2025'!K$6)</f>
        <v>0</v>
      </c>
      <c r="L121" s="21">
        <f>SUMIFS(Einzelbeträge!$D:$D,Einzelbeträge!$C:$C,'Ausgaben 2025'!$C121,Einzelbeträge!$E:$E,'Ausgaben 2025'!L$6)</f>
        <v>0</v>
      </c>
      <c r="M121" s="21">
        <f>SUMIFS(Einzelbeträge!$D:$D,Einzelbeträge!$C:$C,'Ausgaben 2025'!$C121,Einzelbeträge!$E:$E,'Ausgaben 2025'!M$6)</f>
        <v>0</v>
      </c>
      <c r="N121" s="35">
        <f>SUMIFS(Einzelbeträge!$D:$D,Einzelbeträge!$C:$C,'Ausgaben 2025'!$C121,Einzelbeträge!$E:$E,'Ausgaben 2025'!N$6)</f>
        <v>0</v>
      </c>
      <c r="O121" s="6"/>
    </row>
    <row r="122" spans="2:15" x14ac:dyDescent="0.35">
      <c r="B122" s="5"/>
      <c r="C122" s="30">
        <f t="shared" si="19"/>
        <v>45763</v>
      </c>
      <c r="D122" s="46">
        <f>SUMIFS(Einzelbeträge!$D:$D,Einzelbeträge!$C:$C,'Ausgaben 2025'!$C122)</f>
        <v>0</v>
      </c>
      <c r="E122" s="21">
        <f>SUMIFS(Einzelbeträge!$D:$D,Einzelbeträge!$C:$C,'Ausgaben 2025'!$C122,Einzelbeträge!$E:$E,'Ausgaben 2025'!E$6)</f>
        <v>0</v>
      </c>
      <c r="F122" s="21">
        <f>SUMIFS(Einzelbeträge!$D:$D,Einzelbeträge!$C:$C,'Ausgaben 2025'!$C122,Einzelbeträge!$E:$E,'Ausgaben 2025'!F$6)</f>
        <v>0</v>
      </c>
      <c r="G122" s="21">
        <f>SUMIFS(Einzelbeträge!$D:$D,Einzelbeträge!$C:$C,'Ausgaben 2025'!$C122,Einzelbeträge!$E:$E,'Ausgaben 2025'!G$6)</f>
        <v>0</v>
      </c>
      <c r="H122" s="21">
        <f>SUMIFS(Einzelbeträge!$D:$D,Einzelbeträge!$C:$C,'Ausgaben 2025'!$C122,Einzelbeträge!$E:$E,'Ausgaben 2025'!H$6)</f>
        <v>0</v>
      </c>
      <c r="I122" s="21">
        <f>SUMIFS(Einzelbeträge!$D:$D,Einzelbeträge!$C:$C,'Ausgaben 2025'!$C122,Einzelbeträge!$E:$E,'Ausgaben 2025'!I$6)</f>
        <v>0</v>
      </c>
      <c r="J122" s="21">
        <f>SUMIFS(Einzelbeträge!$D:$D,Einzelbeträge!$C:$C,'Ausgaben 2025'!$C122,Einzelbeträge!$E:$E,'Ausgaben 2025'!J$6)</f>
        <v>0</v>
      </c>
      <c r="K122" s="21">
        <f>SUMIFS(Einzelbeträge!$D:$D,Einzelbeträge!$C:$C,'Ausgaben 2025'!$C122,Einzelbeträge!$E:$E,'Ausgaben 2025'!K$6)</f>
        <v>0</v>
      </c>
      <c r="L122" s="21">
        <f>SUMIFS(Einzelbeträge!$D:$D,Einzelbeträge!$C:$C,'Ausgaben 2025'!$C122,Einzelbeträge!$E:$E,'Ausgaben 2025'!L$6)</f>
        <v>0</v>
      </c>
      <c r="M122" s="21">
        <f>SUMIFS(Einzelbeträge!$D:$D,Einzelbeträge!$C:$C,'Ausgaben 2025'!$C122,Einzelbeträge!$E:$E,'Ausgaben 2025'!M$6)</f>
        <v>0</v>
      </c>
      <c r="N122" s="35">
        <f>SUMIFS(Einzelbeträge!$D:$D,Einzelbeträge!$C:$C,'Ausgaben 2025'!$C122,Einzelbeträge!$E:$E,'Ausgaben 2025'!N$6)</f>
        <v>0</v>
      </c>
      <c r="O122" s="6"/>
    </row>
    <row r="123" spans="2:15" x14ac:dyDescent="0.35">
      <c r="B123" s="5"/>
      <c r="C123" s="30">
        <f t="shared" si="19"/>
        <v>45764</v>
      </c>
      <c r="D123" s="46">
        <f>SUMIFS(Einzelbeträge!$D:$D,Einzelbeträge!$C:$C,'Ausgaben 2025'!$C123)</f>
        <v>0</v>
      </c>
      <c r="E123" s="21">
        <f>SUMIFS(Einzelbeträge!$D:$D,Einzelbeträge!$C:$C,'Ausgaben 2025'!$C123,Einzelbeträge!$E:$E,'Ausgaben 2025'!E$6)</f>
        <v>0</v>
      </c>
      <c r="F123" s="21">
        <f>SUMIFS(Einzelbeträge!$D:$D,Einzelbeträge!$C:$C,'Ausgaben 2025'!$C123,Einzelbeträge!$E:$E,'Ausgaben 2025'!F$6)</f>
        <v>0</v>
      </c>
      <c r="G123" s="21">
        <f>SUMIFS(Einzelbeträge!$D:$D,Einzelbeträge!$C:$C,'Ausgaben 2025'!$C123,Einzelbeträge!$E:$E,'Ausgaben 2025'!G$6)</f>
        <v>0</v>
      </c>
      <c r="H123" s="21">
        <f>SUMIFS(Einzelbeträge!$D:$D,Einzelbeträge!$C:$C,'Ausgaben 2025'!$C123,Einzelbeträge!$E:$E,'Ausgaben 2025'!H$6)</f>
        <v>0</v>
      </c>
      <c r="I123" s="21">
        <f>SUMIFS(Einzelbeträge!$D:$D,Einzelbeträge!$C:$C,'Ausgaben 2025'!$C123,Einzelbeträge!$E:$E,'Ausgaben 2025'!I$6)</f>
        <v>0</v>
      </c>
      <c r="J123" s="21">
        <f>SUMIFS(Einzelbeträge!$D:$D,Einzelbeträge!$C:$C,'Ausgaben 2025'!$C123,Einzelbeträge!$E:$E,'Ausgaben 2025'!J$6)</f>
        <v>0</v>
      </c>
      <c r="K123" s="21">
        <f>SUMIFS(Einzelbeträge!$D:$D,Einzelbeträge!$C:$C,'Ausgaben 2025'!$C123,Einzelbeträge!$E:$E,'Ausgaben 2025'!K$6)</f>
        <v>0</v>
      </c>
      <c r="L123" s="21">
        <f>SUMIFS(Einzelbeträge!$D:$D,Einzelbeträge!$C:$C,'Ausgaben 2025'!$C123,Einzelbeträge!$E:$E,'Ausgaben 2025'!L$6)</f>
        <v>0</v>
      </c>
      <c r="M123" s="21">
        <f>SUMIFS(Einzelbeträge!$D:$D,Einzelbeträge!$C:$C,'Ausgaben 2025'!$C123,Einzelbeträge!$E:$E,'Ausgaben 2025'!M$6)</f>
        <v>0</v>
      </c>
      <c r="N123" s="35">
        <f>SUMIFS(Einzelbeträge!$D:$D,Einzelbeträge!$C:$C,'Ausgaben 2025'!$C123,Einzelbeträge!$E:$E,'Ausgaben 2025'!N$6)</f>
        <v>0</v>
      </c>
      <c r="O123" s="6"/>
    </row>
    <row r="124" spans="2:15" x14ac:dyDescent="0.35">
      <c r="B124" s="5"/>
      <c r="C124" s="30">
        <f t="shared" si="19"/>
        <v>45765</v>
      </c>
      <c r="D124" s="46">
        <f>SUMIFS(Einzelbeträge!$D:$D,Einzelbeträge!$C:$C,'Ausgaben 2025'!$C124)</f>
        <v>0</v>
      </c>
      <c r="E124" s="21">
        <f>SUMIFS(Einzelbeträge!$D:$D,Einzelbeträge!$C:$C,'Ausgaben 2025'!$C124,Einzelbeträge!$E:$E,'Ausgaben 2025'!E$6)</f>
        <v>0</v>
      </c>
      <c r="F124" s="21">
        <f>SUMIFS(Einzelbeträge!$D:$D,Einzelbeträge!$C:$C,'Ausgaben 2025'!$C124,Einzelbeträge!$E:$E,'Ausgaben 2025'!F$6)</f>
        <v>0</v>
      </c>
      <c r="G124" s="21">
        <f>SUMIFS(Einzelbeträge!$D:$D,Einzelbeträge!$C:$C,'Ausgaben 2025'!$C124,Einzelbeträge!$E:$E,'Ausgaben 2025'!G$6)</f>
        <v>0</v>
      </c>
      <c r="H124" s="21">
        <f>SUMIFS(Einzelbeträge!$D:$D,Einzelbeträge!$C:$C,'Ausgaben 2025'!$C124,Einzelbeträge!$E:$E,'Ausgaben 2025'!H$6)</f>
        <v>0</v>
      </c>
      <c r="I124" s="21">
        <f>SUMIFS(Einzelbeträge!$D:$D,Einzelbeträge!$C:$C,'Ausgaben 2025'!$C124,Einzelbeträge!$E:$E,'Ausgaben 2025'!I$6)</f>
        <v>0</v>
      </c>
      <c r="J124" s="21">
        <f>SUMIFS(Einzelbeträge!$D:$D,Einzelbeträge!$C:$C,'Ausgaben 2025'!$C124,Einzelbeträge!$E:$E,'Ausgaben 2025'!J$6)</f>
        <v>0</v>
      </c>
      <c r="K124" s="21">
        <f>SUMIFS(Einzelbeträge!$D:$D,Einzelbeträge!$C:$C,'Ausgaben 2025'!$C124,Einzelbeträge!$E:$E,'Ausgaben 2025'!K$6)</f>
        <v>0</v>
      </c>
      <c r="L124" s="21">
        <f>SUMIFS(Einzelbeträge!$D:$D,Einzelbeträge!$C:$C,'Ausgaben 2025'!$C124,Einzelbeträge!$E:$E,'Ausgaben 2025'!L$6)</f>
        <v>0</v>
      </c>
      <c r="M124" s="21">
        <f>SUMIFS(Einzelbeträge!$D:$D,Einzelbeträge!$C:$C,'Ausgaben 2025'!$C124,Einzelbeträge!$E:$E,'Ausgaben 2025'!M$6)</f>
        <v>0</v>
      </c>
      <c r="N124" s="35">
        <f>SUMIFS(Einzelbeträge!$D:$D,Einzelbeträge!$C:$C,'Ausgaben 2025'!$C124,Einzelbeträge!$E:$E,'Ausgaben 2025'!N$6)</f>
        <v>0</v>
      </c>
      <c r="O124" s="6"/>
    </row>
    <row r="125" spans="2:15" x14ac:dyDescent="0.35">
      <c r="B125" s="5"/>
      <c r="C125" s="30">
        <f t="shared" si="19"/>
        <v>45766</v>
      </c>
      <c r="D125" s="46">
        <f>SUMIFS(Einzelbeträge!$D:$D,Einzelbeträge!$C:$C,'Ausgaben 2025'!$C125)</f>
        <v>0</v>
      </c>
      <c r="E125" s="21">
        <f>SUMIFS(Einzelbeträge!$D:$D,Einzelbeträge!$C:$C,'Ausgaben 2025'!$C125,Einzelbeträge!$E:$E,'Ausgaben 2025'!E$6)</f>
        <v>0</v>
      </c>
      <c r="F125" s="21">
        <f>SUMIFS(Einzelbeträge!$D:$D,Einzelbeträge!$C:$C,'Ausgaben 2025'!$C125,Einzelbeträge!$E:$E,'Ausgaben 2025'!F$6)</f>
        <v>0</v>
      </c>
      <c r="G125" s="21">
        <f>SUMIFS(Einzelbeträge!$D:$D,Einzelbeträge!$C:$C,'Ausgaben 2025'!$C125,Einzelbeträge!$E:$E,'Ausgaben 2025'!G$6)</f>
        <v>0</v>
      </c>
      <c r="H125" s="21">
        <f>SUMIFS(Einzelbeträge!$D:$D,Einzelbeträge!$C:$C,'Ausgaben 2025'!$C125,Einzelbeträge!$E:$E,'Ausgaben 2025'!H$6)</f>
        <v>0</v>
      </c>
      <c r="I125" s="21">
        <f>SUMIFS(Einzelbeträge!$D:$D,Einzelbeträge!$C:$C,'Ausgaben 2025'!$C125,Einzelbeträge!$E:$E,'Ausgaben 2025'!I$6)</f>
        <v>0</v>
      </c>
      <c r="J125" s="21">
        <f>SUMIFS(Einzelbeträge!$D:$D,Einzelbeträge!$C:$C,'Ausgaben 2025'!$C125,Einzelbeträge!$E:$E,'Ausgaben 2025'!J$6)</f>
        <v>0</v>
      </c>
      <c r="K125" s="21">
        <f>SUMIFS(Einzelbeträge!$D:$D,Einzelbeträge!$C:$C,'Ausgaben 2025'!$C125,Einzelbeträge!$E:$E,'Ausgaben 2025'!K$6)</f>
        <v>0</v>
      </c>
      <c r="L125" s="21">
        <f>SUMIFS(Einzelbeträge!$D:$D,Einzelbeträge!$C:$C,'Ausgaben 2025'!$C125,Einzelbeträge!$E:$E,'Ausgaben 2025'!L$6)</f>
        <v>0</v>
      </c>
      <c r="M125" s="21">
        <f>SUMIFS(Einzelbeträge!$D:$D,Einzelbeträge!$C:$C,'Ausgaben 2025'!$C125,Einzelbeträge!$E:$E,'Ausgaben 2025'!M$6)</f>
        <v>0</v>
      </c>
      <c r="N125" s="35">
        <f>SUMIFS(Einzelbeträge!$D:$D,Einzelbeträge!$C:$C,'Ausgaben 2025'!$C125,Einzelbeträge!$E:$E,'Ausgaben 2025'!N$6)</f>
        <v>0</v>
      </c>
      <c r="O125" s="6"/>
    </row>
    <row r="126" spans="2:15" x14ac:dyDescent="0.35">
      <c r="B126" s="5"/>
      <c r="C126" s="30">
        <f t="shared" si="19"/>
        <v>45767</v>
      </c>
      <c r="D126" s="46">
        <f>SUMIFS(Einzelbeträge!$D:$D,Einzelbeträge!$C:$C,'Ausgaben 2025'!$C126)</f>
        <v>0</v>
      </c>
      <c r="E126" s="21">
        <f>SUMIFS(Einzelbeträge!$D:$D,Einzelbeträge!$C:$C,'Ausgaben 2025'!$C126,Einzelbeträge!$E:$E,'Ausgaben 2025'!E$6)</f>
        <v>0</v>
      </c>
      <c r="F126" s="21">
        <f>SUMIFS(Einzelbeträge!$D:$D,Einzelbeträge!$C:$C,'Ausgaben 2025'!$C126,Einzelbeträge!$E:$E,'Ausgaben 2025'!F$6)</f>
        <v>0</v>
      </c>
      <c r="G126" s="21">
        <f>SUMIFS(Einzelbeträge!$D:$D,Einzelbeträge!$C:$C,'Ausgaben 2025'!$C126,Einzelbeträge!$E:$E,'Ausgaben 2025'!G$6)</f>
        <v>0</v>
      </c>
      <c r="H126" s="21">
        <f>SUMIFS(Einzelbeträge!$D:$D,Einzelbeträge!$C:$C,'Ausgaben 2025'!$C126,Einzelbeträge!$E:$E,'Ausgaben 2025'!H$6)</f>
        <v>0</v>
      </c>
      <c r="I126" s="21">
        <f>SUMIFS(Einzelbeträge!$D:$D,Einzelbeträge!$C:$C,'Ausgaben 2025'!$C126,Einzelbeträge!$E:$E,'Ausgaben 2025'!I$6)</f>
        <v>0</v>
      </c>
      <c r="J126" s="21">
        <f>SUMIFS(Einzelbeträge!$D:$D,Einzelbeträge!$C:$C,'Ausgaben 2025'!$C126,Einzelbeträge!$E:$E,'Ausgaben 2025'!J$6)</f>
        <v>0</v>
      </c>
      <c r="K126" s="21">
        <f>SUMIFS(Einzelbeträge!$D:$D,Einzelbeträge!$C:$C,'Ausgaben 2025'!$C126,Einzelbeträge!$E:$E,'Ausgaben 2025'!K$6)</f>
        <v>0</v>
      </c>
      <c r="L126" s="21">
        <f>SUMIFS(Einzelbeträge!$D:$D,Einzelbeträge!$C:$C,'Ausgaben 2025'!$C126,Einzelbeträge!$E:$E,'Ausgaben 2025'!L$6)</f>
        <v>0</v>
      </c>
      <c r="M126" s="21">
        <f>SUMIFS(Einzelbeträge!$D:$D,Einzelbeträge!$C:$C,'Ausgaben 2025'!$C126,Einzelbeträge!$E:$E,'Ausgaben 2025'!M$6)</f>
        <v>0</v>
      </c>
      <c r="N126" s="35">
        <f>SUMIFS(Einzelbeträge!$D:$D,Einzelbeträge!$C:$C,'Ausgaben 2025'!$C126,Einzelbeträge!$E:$E,'Ausgaben 2025'!N$6)</f>
        <v>0</v>
      </c>
      <c r="O126" s="6"/>
    </row>
    <row r="127" spans="2:15" x14ac:dyDescent="0.35">
      <c r="B127" s="5"/>
      <c r="C127" s="30">
        <f t="shared" si="19"/>
        <v>45768</v>
      </c>
      <c r="D127" s="46">
        <f>SUMIFS(Einzelbeträge!$D:$D,Einzelbeträge!$C:$C,'Ausgaben 2025'!$C127)</f>
        <v>0</v>
      </c>
      <c r="E127" s="21">
        <f>SUMIFS(Einzelbeträge!$D:$D,Einzelbeträge!$C:$C,'Ausgaben 2025'!$C127,Einzelbeträge!$E:$E,'Ausgaben 2025'!E$6)</f>
        <v>0</v>
      </c>
      <c r="F127" s="21">
        <f>SUMIFS(Einzelbeträge!$D:$D,Einzelbeträge!$C:$C,'Ausgaben 2025'!$C127,Einzelbeträge!$E:$E,'Ausgaben 2025'!F$6)</f>
        <v>0</v>
      </c>
      <c r="G127" s="21">
        <f>SUMIFS(Einzelbeträge!$D:$D,Einzelbeträge!$C:$C,'Ausgaben 2025'!$C127,Einzelbeträge!$E:$E,'Ausgaben 2025'!G$6)</f>
        <v>0</v>
      </c>
      <c r="H127" s="21">
        <f>SUMIFS(Einzelbeträge!$D:$D,Einzelbeträge!$C:$C,'Ausgaben 2025'!$C127,Einzelbeträge!$E:$E,'Ausgaben 2025'!H$6)</f>
        <v>0</v>
      </c>
      <c r="I127" s="21">
        <f>SUMIFS(Einzelbeträge!$D:$D,Einzelbeträge!$C:$C,'Ausgaben 2025'!$C127,Einzelbeträge!$E:$E,'Ausgaben 2025'!I$6)</f>
        <v>0</v>
      </c>
      <c r="J127" s="21">
        <f>SUMIFS(Einzelbeträge!$D:$D,Einzelbeträge!$C:$C,'Ausgaben 2025'!$C127,Einzelbeträge!$E:$E,'Ausgaben 2025'!J$6)</f>
        <v>0</v>
      </c>
      <c r="K127" s="21">
        <f>SUMIFS(Einzelbeträge!$D:$D,Einzelbeträge!$C:$C,'Ausgaben 2025'!$C127,Einzelbeträge!$E:$E,'Ausgaben 2025'!K$6)</f>
        <v>0</v>
      </c>
      <c r="L127" s="21">
        <f>SUMIFS(Einzelbeträge!$D:$D,Einzelbeträge!$C:$C,'Ausgaben 2025'!$C127,Einzelbeträge!$E:$E,'Ausgaben 2025'!L$6)</f>
        <v>0</v>
      </c>
      <c r="M127" s="21">
        <f>SUMIFS(Einzelbeträge!$D:$D,Einzelbeträge!$C:$C,'Ausgaben 2025'!$C127,Einzelbeträge!$E:$E,'Ausgaben 2025'!M$6)</f>
        <v>0</v>
      </c>
      <c r="N127" s="35">
        <f>SUMIFS(Einzelbeträge!$D:$D,Einzelbeträge!$C:$C,'Ausgaben 2025'!$C127,Einzelbeträge!$E:$E,'Ausgaben 2025'!N$6)</f>
        <v>0</v>
      </c>
      <c r="O127" s="6"/>
    </row>
    <row r="128" spans="2:15" x14ac:dyDescent="0.35">
      <c r="B128" s="5"/>
      <c r="C128" s="30">
        <f t="shared" si="19"/>
        <v>45769</v>
      </c>
      <c r="D128" s="46">
        <f>SUMIFS(Einzelbeträge!$D:$D,Einzelbeträge!$C:$C,'Ausgaben 2025'!$C128)</f>
        <v>0</v>
      </c>
      <c r="E128" s="21">
        <f>SUMIFS(Einzelbeträge!$D:$D,Einzelbeträge!$C:$C,'Ausgaben 2025'!$C128,Einzelbeträge!$E:$E,'Ausgaben 2025'!E$6)</f>
        <v>0</v>
      </c>
      <c r="F128" s="21">
        <f>SUMIFS(Einzelbeträge!$D:$D,Einzelbeträge!$C:$C,'Ausgaben 2025'!$C128,Einzelbeträge!$E:$E,'Ausgaben 2025'!F$6)</f>
        <v>0</v>
      </c>
      <c r="G128" s="21">
        <f>SUMIFS(Einzelbeträge!$D:$D,Einzelbeträge!$C:$C,'Ausgaben 2025'!$C128,Einzelbeträge!$E:$E,'Ausgaben 2025'!G$6)</f>
        <v>0</v>
      </c>
      <c r="H128" s="21">
        <f>SUMIFS(Einzelbeträge!$D:$D,Einzelbeträge!$C:$C,'Ausgaben 2025'!$C128,Einzelbeträge!$E:$E,'Ausgaben 2025'!H$6)</f>
        <v>0</v>
      </c>
      <c r="I128" s="21">
        <f>SUMIFS(Einzelbeträge!$D:$D,Einzelbeträge!$C:$C,'Ausgaben 2025'!$C128,Einzelbeträge!$E:$E,'Ausgaben 2025'!I$6)</f>
        <v>0</v>
      </c>
      <c r="J128" s="21">
        <f>SUMIFS(Einzelbeträge!$D:$D,Einzelbeträge!$C:$C,'Ausgaben 2025'!$C128,Einzelbeträge!$E:$E,'Ausgaben 2025'!J$6)</f>
        <v>0</v>
      </c>
      <c r="K128" s="21">
        <f>SUMIFS(Einzelbeträge!$D:$D,Einzelbeträge!$C:$C,'Ausgaben 2025'!$C128,Einzelbeträge!$E:$E,'Ausgaben 2025'!K$6)</f>
        <v>0</v>
      </c>
      <c r="L128" s="21">
        <f>SUMIFS(Einzelbeträge!$D:$D,Einzelbeträge!$C:$C,'Ausgaben 2025'!$C128,Einzelbeträge!$E:$E,'Ausgaben 2025'!L$6)</f>
        <v>0</v>
      </c>
      <c r="M128" s="21">
        <f>SUMIFS(Einzelbeträge!$D:$D,Einzelbeträge!$C:$C,'Ausgaben 2025'!$C128,Einzelbeträge!$E:$E,'Ausgaben 2025'!M$6)</f>
        <v>0</v>
      </c>
      <c r="N128" s="35">
        <f>SUMIFS(Einzelbeträge!$D:$D,Einzelbeträge!$C:$C,'Ausgaben 2025'!$C128,Einzelbeträge!$E:$E,'Ausgaben 2025'!N$6)</f>
        <v>0</v>
      </c>
      <c r="O128" s="6"/>
    </row>
    <row r="129" spans="2:15" x14ac:dyDescent="0.35">
      <c r="B129" s="5"/>
      <c r="C129" s="30">
        <f t="shared" si="19"/>
        <v>45770</v>
      </c>
      <c r="D129" s="46">
        <f>SUMIFS(Einzelbeträge!$D:$D,Einzelbeträge!$C:$C,'Ausgaben 2025'!$C129)</f>
        <v>0</v>
      </c>
      <c r="E129" s="21">
        <f>SUMIFS(Einzelbeträge!$D:$D,Einzelbeträge!$C:$C,'Ausgaben 2025'!$C129,Einzelbeträge!$E:$E,'Ausgaben 2025'!E$6)</f>
        <v>0</v>
      </c>
      <c r="F129" s="21">
        <f>SUMIFS(Einzelbeträge!$D:$D,Einzelbeträge!$C:$C,'Ausgaben 2025'!$C129,Einzelbeträge!$E:$E,'Ausgaben 2025'!F$6)</f>
        <v>0</v>
      </c>
      <c r="G129" s="21">
        <f>SUMIFS(Einzelbeträge!$D:$D,Einzelbeträge!$C:$C,'Ausgaben 2025'!$C129,Einzelbeträge!$E:$E,'Ausgaben 2025'!G$6)</f>
        <v>0</v>
      </c>
      <c r="H129" s="21">
        <f>SUMIFS(Einzelbeträge!$D:$D,Einzelbeträge!$C:$C,'Ausgaben 2025'!$C129,Einzelbeträge!$E:$E,'Ausgaben 2025'!H$6)</f>
        <v>0</v>
      </c>
      <c r="I129" s="21">
        <f>SUMIFS(Einzelbeträge!$D:$D,Einzelbeträge!$C:$C,'Ausgaben 2025'!$C129,Einzelbeträge!$E:$E,'Ausgaben 2025'!I$6)</f>
        <v>0</v>
      </c>
      <c r="J129" s="21">
        <f>SUMIFS(Einzelbeträge!$D:$D,Einzelbeträge!$C:$C,'Ausgaben 2025'!$C129,Einzelbeträge!$E:$E,'Ausgaben 2025'!J$6)</f>
        <v>0</v>
      </c>
      <c r="K129" s="21">
        <f>SUMIFS(Einzelbeträge!$D:$D,Einzelbeträge!$C:$C,'Ausgaben 2025'!$C129,Einzelbeträge!$E:$E,'Ausgaben 2025'!K$6)</f>
        <v>0</v>
      </c>
      <c r="L129" s="21">
        <f>SUMIFS(Einzelbeträge!$D:$D,Einzelbeträge!$C:$C,'Ausgaben 2025'!$C129,Einzelbeträge!$E:$E,'Ausgaben 2025'!L$6)</f>
        <v>0</v>
      </c>
      <c r="M129" s="21">
        <f>SUMIFS(Einzelbeträge!$D:$D,Einzelbeträge!$C:$C,'Ausgaben 2025'!$C129,Einzelbeträge!$E:$E,'Ausgaben 2025'!M$6)</f>
        <v>0</v>
      </c>
      <c r="N129" s="35">
        <f>SUMIFS(Einzelbeträge!$D:$D,Einzelbeträge!$C:$C,'Ausgaben 2025'!$C129,Einzelbeträge!$E:$E,'Ausgaben 2025'!N$6)</f>
        <v>0</v>
      </c>
      <c r="O129" s="6"/>
    </row>
    <row r="130" spans="2:15" x14ac:dyDescent="0.35">
      <c r="B130" s="5"/>
      <c r="C130" s="30">
        <f t="shared" si="19"/>
        <v>45771</v>
      </c>
      <c r="D130" s="46">
        <f>SUMIFS(Einzelbeträge!$D:$D,Einzelbeträge!$C:$C,'Ausgaben 2025'!$C130)</f>
        <v>0</v>
      </c>
      <c r="E130" s="21">
        <f>SUMIFS(Einzelbeträge!$D:$D,Einzelbeträge!$C:$C,'Ausgaben 2025'!$C130,Einzelbeträge!$E:$E,'Ausgaben 2025'!E$6)</f>
        <v>0</v>
      </c>
      <c r="F130" s="21">
        <f>SUMIFS(Einzelbeträge!$D:$D,Einzelbeträge!$C:$C,'Ausgaben 2025'!$C130,Einzelbeträge!$E:$E,'Ausgaben 2025'!F$6)</f>
        <v>0</v>
      </c>
      <c r="G130" s="21">
        <f>SUMIFS(Einzelbeträge!$D:$D,Einzelbeträge!$C:$C,'Ausgaben 2025'!$C130,Einzelbeträge!$E:$E,'Ausgaben 2025'!G$6)</f>
        <v>0</v>
      </c>
      <c r="H130" s="21">
        <f>SUMIFS(Einzelbeträge!$D:$D,Einzelbeträge!$C:$C,'Ausgaben 2025'!$C130,Einzelbeträge!$E:$E,'Ausgaben 2025'!H$6)</f>
        <v>0</v>
      </c>
      <c r="I130" s="21">
        <f>SUMIFS(Einzelbeträge!$D:$D,Einzelbeträge!$C:$C,'Ausgaben 2025'!$C130,Einzelbeträge!$E:$E,'Ausgaben 2025'!I$6)</f>
        <v>0</v>
      </c>
      <c r="J130" s="21">
        <f>SUMIFS(Einzelbeträge!$D:$D,Einzelbeträge!$C:$C,'Ausgaben 2025'!$C130,Einzelbeträge!$E:$E,'Ausgaben 2025'!J$6)</f>
        <v>0</v>
      </c>
      <c r="K130" s="21">
        <f>SUMIFS(Einzelbeträge!$D:$D,Einzelbeträge!$C:$C,'Ausgaben 2025'!$C130,Einzelbeträge!$E:$E,'Ausgaben 2025'!K$6)</f>
        <v>0</v>
      </c>
      <c r="L130" s="21">
        <f>SUMIFS(Einzelbeträge!$D:$D,Einzelbeträge!$C:$C,'Ausgaben 2025'!$C130,Einzelbeträge!$E:$E,'Ausgaben 2025'!L$6)</f>
        <v>0</v>
      </c>
      <c r="M130" s="21">
        <f>SUMIFS(Einzelbeträge!$D:$D,Einzelbeträge!$C:$C,'Ausgaben 2025'!$C130,Einzelbeträge!$E:$E,'Ausgaben 2025'!M$6)</f>
        <v>0</v>
      </c>
      <c r="N130" s="35">
        <f>SUMIFS(Einzelbeträge!$D:$D,Einzelbeträge!$C:$C,'Ausgaben 2025'!$C130,Einzelbeträge!$E:$E,'Ausgaben 2025'!N$6)</f>
        <v>0</v>
      </c>
      <c r="O130" s="6"/>
    </row>
    <row r="131" spans="2:15" x14ac:dyDescent="0.35">
      <c r="B131" s="5"/>
      <c r="C131" s="30">
        <f t="shared" si="19"/>
        <v>45772</v>
      </c>
      <c r="D131" s="46">
        <f>SUMIFS(Einzelbeträge!$D:$D,Einzelbeträge!$C:$C,'Ausgaben 2025'!$C131)</f>
        <v>0</v>
      </c>
      <c r="E131" s="21">
        <f>SUMIFS(Einzelbeträge!$D:$D,Einzelbeträge!$C:$C,'Ausgaben 2025'!$C131,Einzelbeträge!$E:$E,'Ausgaben 2025'!E$6)</f>
        <v>0</v>
      </c>
      <c r="F131" s="21">
        <f>SUMIFS(Einzelbeträge!$D:$D,Einzelbeträge!$C:$C,'Ausgaben 2025'!$C131,Einzelbeträge!$E:$E,'Ausgaben 2025'!F$6)</f>
        <v>0</v>
      </c>
      <c r="G131" s="21">
        <f>SUMIFS(Einzelbeträge!$D:$D,Einzelbeträge!$C:$C,'Ausgaben 2025'!$C131,Einzelbeträge!$E:$E,'Ausgaben 2025'!G$6)</f>
        <v>0</v>
      </c>
      <c r="H131" s="21">
        <f>SUMIFS(Einzelbeträge!$D:$D,Einzelbeträge!$C:$C,'Ausgaben 2025'!$C131,Einzelbeträge!$E:$E,'Ausgaben 2025'!H$6)</f>
        <v>0</v>
      </c>
      <c r="I131" s="21">
        <f>SUMIFS(Einzelbeträge!$D:$D,Einzelbeträge!$C:$C,'Ausgaben 2025'!$C131,Einzelbeträge!$E:$E,'Ausgaben 2025'!I$6)</f>
        <v>0</v>
      </c>
      <c r="J131" s="21">
        <f>SUMIFS(Einzelbeträge!$D:$D,Einzelbeträge!$C:$C,'Ausgaben 2025'!$C131,Einzelbeträge!$E:$E,'Ausgaben 2025'!J$6)</f>
        <v>0</v>
      </c>
      <c r="K131" s="21">
        <f>SUMIFS(Einzelbeträge!$D:$D,Einzelbeträge!$C:$C,'Ausgaben 2025'!$C131,Einzelbeträge!$E:$E,'Ausgaben 2025'!K$6)</f>
        <v>0</v>
      </c>
      <c r="L131" s="21">
        <f>SUMIFS(Einzelbeträge!$D:$D,Einzelbeträge!$C:$C,'Ausgaben 2025'!$C131,Einzelbeträge!$E:$E,'Ausgaben 2025'!L$6)</f>
        <v>0</v>
      </c>
      <c r="M131" s="21">
        <f>SUMIFS(Einzelbeträge!$D:$D,Einzelbeträge!$C:$C,'Ausgaben 2025'!$C131,Einzelbeträge!$E:$E,'Ausgaben 2025'!M$6)</f>
        <v>0</v>
      </c>
      <c r="N131" s="35">
        <f>SUMIFS(Einzelbeträge!$D:$D,Einzelbeträge!$C:$C,'Ausgaben 2025'!$C131,Einzelbeträge!$E:$E,'Ausgaben 2025'!N$6)</f>
        <v>0</v>
      </c>
      <c r="O131" s="6"/>
    </row>
    <row r="132" spans="2:15" x14ac:dyDescent="0.35">
      <c r="B132" s="5"/>
      <c r="C132" s="30">
        <f t="shared" si="19"/>
        <v>45773</v>
      </c>
      <c r="D132" s="46">
        <f>SUMIFS(Einzelbeträge!$D:$D,Einzelbeträge!$C:$C,'Ausgaben 2025'!$C132)</f>
        <v>0</v>
      </c>
      <c r="E132" s="21">
        <f>SUMIFS(Einzelbeträge!$D:$D,Einzelbeträge!$C:$C,'Ausgaben 2025'!$C132,Einzelbeträge!$E:$E,'Ausgaben 2025'!E$6)</f>
        <v>0</v>
      </c>
      <c r="F132" s="21">
        <f>SUMIFS(Einzelbeträge!$D:$D,Einzelbeträge!$C:$C,'Ausgaben 2025'!$C132,Einzelbeträge!$E:$E,'Ausgaben 2025'!F$6)</f>
        <v>0</v>
      </c>
      <c r="G132" s="21">
        <f>SUMIFS(Einzelbeträge!$D:$D,Einzelbeträge!$C:$C,'Ausgaben 2025'!$C132,Einzelbeträge!$E:$E,'Ausgaben 2025'!G$6)</f>
        <v>0</v>
      </c>
      <c r="H132" s="21">
        <f>SUMIFS(Einzelbeträge!$D:$D,Einzelbeträge!$C:$C,'Ausgaben 2025'!$C132,Einzelbeträge!$E:$E,'Ausgaben 2025'!H$6)</f>
        <v>0</v>
      </c>
      <c r="I132" s="21">
        <f>SUMIFS(Einzelbeträge!$D:$D,Einzelbeträge!$C:$C,'Ausgaben 2025'!$C132,Einzelbeträge!$E:$E,'Ausgaben 2025'!I$6)</f>
        <v>0</v>
      </c>
      <c r="J132" s="21">
        <f>SUMIFS(Einzelbeträge!$D:$D,Einzelbeträge!$C:$C,'Ausgaben 2025'!$C132,Einzelbeträge!$E:$E,'Ausgaben 2025'!J$6)</f>
        <v>0</v>
      </c>
      <c r="K132" s="21">
        <f>SUMIFS(Einzelbeträge!$D:$D,Einzelbeträge!$C:$C,'Ausgaben 2025'!$C132,Einzelbeträge!$E:$E,'Ausgaben 2025'!K$6)</f>
        <v>0</v>
      </c>
      <c r="L132" s="21">
        <f>SUMIFS(Einzelbeträge!$D:$D,Einzelbeträge!$C:$C,'Ausgaben 2025'!$C132,Einzelbeträge!$E:$E,'Ausgaben 2025'!L$6)</f>
        <v>0</v>
      </c>
      <c r="M132" s="21">
        <f>SUMIFS(Einzelbeträge!$D:$D,Einzelbeträge!$C:$C,'Ausgaben 2025'!$C132,Einzelbeträge!$E:$E,'Ausgaben 2025'!M$6)</f>
        <v>0</v>
      </c>
      <c r="N132" s="35">
        <f>SUMIFS(Einzelbeträge!$D:$D,Einzelbeträge!$C:$C,'Ausgaben 2025'!$C132,Einzelbeträge!$E:$E,'Ausgaben 2025'!N$6)</f>
        <v>0</v>
      </c>
      <c r="O132" s="6"/>
    </row>
    <row r="133" spans="2:15" x14ac:dyDescent="0.35">
      <c r="B133" s="5"/>
      <c r="C133" s="30">
        <f t="shared" si="19"/>
        <v>45774</v>
      </c>
      <c r="D133" s="46">
        <f>SUMIFS(Einzelbeträge!$D:$D,Einzelbeträge!$C:$C,'Ausgaben 2025'!$C133)</f>
        <v>0</v>
      </c>
      <c r="E133" s="21">
        <f>SUMIFS(Einzelbeträge!$D:$D,Einzelbeträge!$C:$C,'Ausgaben 2025'!$C133,Einzelbeträge!$E:$E,'Ausgaben 2025'!E$6)</f>
        <v>0</v>
      </c>
      <c r="F133" s="21">
        <f>SUMIFS(Einzelbeträge!$D:$D,Einzelbeträge!$C:$C,'Ausgaben 2025'!$C133,Einzelbeträge!$E:$E,'Ausgaben 2025'!F$6)</f>
        <v>0</v>
      </c>
      <c r="G133" s="21">
        <f>SUMIFS(Einzelbeträge!$D:$D,Einzelbeträge!$C:$C,'Ausgaben 2025'!$C133,Einzelbeträge!$E:$E,'Ausgaben 2025'!G$6)</f>
        <v>0</v>
      </c>
      <c r="H133" s="21">
        <f>SUMIFS(Einzelbeträge!$D:$D,Einzelbeträge!$C:$C,'Ausgaben 2025'!$C133,Einzelbeträge!$E:$E,'Ausgaben 2025'!H$6)</f>
        <v>0</v>
      </c>
      <c r="I133" s="21">
        <f>SUMIFS(Einzelbeträge!$D:$D,Einzelbeträge!$C:$C,'Ausgaben 2025'!$C133,Einzelbeträge!$E:$E,'Ausgaben 2025'!I$6)</f>
        <v>0</v>
      </c>
      <c r="J133" s="21">
        <f>SUMIFS(Einzelbeträge!$D:$D,Einzelbeträge!$C:$C,'Ausgaben 2025'!$C133,Einzelbeträge!$E:$E,'Ausgaben 2025'!J$6)</f>
        <v>0</v>
      </c>
      <c r="K133" s="21">
        <f>SUMIFS(Einzelbeträge!$D:$D,Einzelbeträge!$C:$C,'Ausgaben 2025'!$C133,Einzelbeträge!$E:$E,'Ausgaben 2025'!K$6)</f>
        <v>0</v>
      </c>
      <c r="L133" s="21">
        <f>SUMIFS(Einzelbeträge!$D:$D,Einzelbeträge!$C:$C,'Ausgaben 2025'!$C133,Einzelbeträge!$E:$E,'Ausgaben 2025'!L$6)</f>
        <v>0</v>
      </c>
      <c r="M133" s="21">
        <f>SUMIFS(Einzelbeträge!$D:$D,Einzelbeträge!$C:$C,'Ausgaben 2025'!$C133,Einzelbeträge!$E:$E,'Ausgaben 2025'!M$6)</f>
        <v>0</v>
      </c>
      <c r="N133" s="35">
        <f>SUMIFS(Einzelbeträge!$D:$D,Einzelbeträge!$C:$C,'Ausgaben 2025'!$C133,Einzelbeträge!$E:$E,'Ausgaben 2025'!N$6)</f>
        <v>0</v>
      </c>
      <c r="O133" s="6"/>
    </row>
    <row r="134" spans="2:15" x14ac:dyDescent="0.35">
      <c r="B134" s="5"/>
      <c r="C134" s="30">
        <f t="shared" si="19"/>
        <v>45775</v>
      </c>
      <c r="D134" s="46">
        <f>SUMIFS(Einzelbeträge!$D:$D,Einzelbeträge!$C:$C,'Ausgaben 2025'!$C134)</f>
        <v>0</v>
      </c>
      <c r="E134" s="21">
        <f>SUMIFS(Einzelbeträge!$D:$D,Einzelbeträge!$C:$C,'Ausgaben 2025'!$C134,Einzelbeträge!$E:$E,'Ausgaben 2025'!E$6)</f>
        <v>0</v>
      </c>
      <c r="F134" s="21">
        <f>SUMIFS(Einzelbeträge!$D:$D,Einzelbeträge!$C:$C,'Ausgaben 2025'!$C134,Einzelbeträge!$E:$E,'Ausgaben 2025'!F$6)</f>
        <v>0</v>
      </c>
      <c r="G134" s="21">
        <f>SUMIFS(Einzelbeträge!$D:$D,Einzelbeträge!$C:$C,'Ausgaben 2025'!$C134,Einzelbeträge!$E:$E,'Ausgaben 2025'!G$6)</f>
        <v>0</v>
      </c>
      <c r="H134" s="21">
        <f>SUMIFS(Einzelbeträge!$D:$D,Einzelbeträge!$C:$C,'Ausgaben 2025'!$C134,Einzelbeträge!$E:$E,'Ausgaben 2025'!H$6)</f>
        <v>0</v>
      </c>
      <c r="I134" s="21">
        <f>SUMIFS(Einzelbeträge!$D:$D,Einzelbeträge!$C:$C,'Ausgaben 2025'!$C134,Einzelbeträge!$E:$E,'Ausgaben 2025'!I$6)</f>
        <v>0</v>
      </c>
      <c r="J134" s="21">
        <f>SUMIFS(Einzelbeträge!$D:$D,Einzelbeträge!$C:$C,'Ausgaben 2025'!$C134,Einzelbeträge!$E:$E,'Ausgaben 2025'!J$6)</f>
        <v>0</v>
      </c>
      <c r="K134" s="21">
        <f>SUMIFS(Einzelbeträge!$D:$D,Einzelbeträge!$C:$C,'Ausgaben 2025'!$C134,Einzelbeträge!$E:$E,'Ausgaben 2025'!K$6)</f>
        <v>0</v>
      </c>
      <c r="L134" s="21">
        <f>SUMIFS(Einzelbeträge!$D:$D,Einzelbeträge!$C:$C,'Ausgaben 2025'!$C134,Einzelbeträge!$E:$E,'Ausgaben 2025'!L$6)</f>
        <v>0</v>
      </c>
      <c r="M134" s="21">
        <f>SUMIFS(Einzelbeträge!$D:$D,Einzelbeträge!$C:$C,'Ausgaben 2025'!$C134,Einzelbeträge!$E:$E,'Ausgaben 2025'!M$6)</f>
        <v>0</v>
      </c>
      <c r="N134" s="35">
        <f>SUMIFS(Einzelbeträge!$D:$D,Einzelbeträge!$C:$C,'Ausgaben 2025'!$C134,Einzelbeträge!$E:$E,'Ausgaben 2025'!N$6)</f>
        <v>0</v>
      </c>
      <c r="O134" s="6"/>
    </row>
    <row r="135" spans="2:15" x14ac:dyDescent="0.35">
      <c r="B135" s="5"/>
      <c r="C135" s="30">
        <f t="shared" si="19"/>
        <v>45776</v>
      </c>
      <c r="D135" s="46">
        <f>SUMIFS(Einzelbeträge!$D:$D,Einzelbeträge!$C:$C,'Ausgaben 2025'!$C135)</f>
        <v>0</v>
      </c>
      <c r="E135" s="21">
        <f>SUMIFS(Einzelbeträge!$D:$D,Einzelbeträge!$C:$C,'Ausgaben 2025'!$C135,Einzelbeträge!$E:$E,'Ausgaben 2025'!E$6)</f>
        <v>0</v>
      </c>
      <c r="F135" s="21">
        <f>SUMIFS(Einzelbeträge!$D:$D,Einzelbeträge!$C:$C,'Ausgaben 2025'!$C135,Einzelbeträge!$E:$E,'Ausgaben 2025'!F$6)</f>
        <v>0</v>
      </c>
      <c r="G135" s="21">
        <f>SUMIFS(Einzelbeträge!$D:$D,Einzelbeträge!$C:$C,'Ausgaben 2025'!$C135,Einzelbeträge!$E:$E,'Ausgaben 2025'!G$6)</f>
        <v>0</v>
      </c>
      <c r="H135" s="21">
        <f>SUMIFS(Einzelbeträge!$D:$D,Einzelbeträge!$C:$C,'Ausgaben 2025'!$C135,Einzelbeträge!$E:$E,'Ausgaben 2025'!H$6)</f>
        <v>0</v>
      </c>
      <c r="I135" s="21">
        <f>SUMIFS(Einzelbeträge!$D:$D,Einzelbeträge!$C:$C,'Ausgaben 2025'!$C135,Einzelbeträge!$E:$E,'Ausgaben 2025'!I$6)</f>
        <v>0</v>
      </c>
      <c r="J135" s="21">
        <f>SUMIFS(Einzelbeträge!$D:$D,Einzelbeträge!$C:$C,'Ausgaben 2025'!$C135,Einzelbeträge!$E:$E,'Ausgaben 2025'!J$6)</f>
        <v>0</v>
      </c>
      <c r="K135" s="21">
        <f>SUMIFS(Einzelbeträge!$D:$D,Einzelbeträge!$C:$C,'Ausgaben 2025'!$C135,Einzelbeträge!$E:$E,'Ausgaben 2025'!K$6)</f>
        <v>0</v>
      </c>
      <c r="L135" s="21">
        <f>SUMIFS(Einzelbeträge!$D:$D,Einzelbeträge!$C:$C,'Ausgaben 2025'!$C135,Einzelbeträge!$E:$E,'Ausgaben 2025'!L$6)</f>
        <v>0</v>
      </c>
      <c r="M135" s="21">
        <f>SUMIFS(Einzelbeträge!$D:$D,Einzelbeträge!$C:$C,'Ausgaben 2025'!$C135,Einzelbeträge!$E:$E,'Ausgaben 2025'!M$6)</f>
        <v>0</v>
      </c>
      <c r="N135" s="35">
        <f>SUMIFS(Einzelbeträge!$D:$D,Einzelbeträge!$C:$C,'Ausgaben 2025'!$C135,Einzelbeträge!$E:$E,'Ausgaben 2025'!N$6)</f>
        <v>0</v>
      </c>
      <c r="O135" s="6"/>
    </row>
    <row r="136" spans="2:15" x14ac:dyDescent="0.35">
      <c r="B136" s="5"/>
      <c r="C136" s="31">
        <f t="shared" si="19"/>
        <v>45777</v>
      </c>
      <c r="D136" s="47">
        <f>SUMIFS(Einzelbeträge!$D:$D,Einzelbeträge!$C:$C,'Ausgaben 2025'!$C136)</f>
        <v>0</v>
      </c>
      <c r="E136" s="37">
        <f>SUMIFS(Einzelbeträge!$D:$D,Einzelbeträge!$C:$C,'Ausgaben 2025'!$C136,Einzelbeträge!$E:$E,'Ausgaben 2025'!E$6)</f>
        <v>0</v>
      </c>
      <c r="F136" s="37">
        <f>SUMIFS(Einzelbeträge!$D:$D,Einzelbeträge!$C:$C,'Ausgaben 2025'!$C136,Einzelbeträge!$E:$E,'Ausgaben 2025'!F$6)</f>
        <v>0</v>
      </c>
      <c r="G136" s="37">
        <f>SUMIFS(Einzelbeträge!$D:$D,Einzelbeträge!$C:$C,'Ausgaben 2025'!$C136,Einzelbeträge!$E:$E,'Ausgaben 2025'!G$6)</f>
        <v>0</v>
      </c>
      <c r="H136" s="37">
        <f>SUMIFS(Einzelbeträge!$D:$D,Einzelbeträge!$C:$C,'Ausgaben 2025'!$C136,Einzelbeträge!$E:$E,'Ausgaben 2025'!H$6)</f>
        <v>0</v>
      </c>
      <c r="I136" s="37">
        <f>SUMIFS(Einzelbeträge!$D:$D,Einzelbeträge!$C:$C,'Ausgaben 2025'!$C136,Einzelbeträge!$E:$E,'Ausgaben 2025'!I$6)</f>
        <v>0</v>
      </c>
      <c r="J136" s="37">
        <f>SUMIFS(Einzelbeträge!$D:$D,Einzelbeträge!$C:$C,'Ausgaben 2025'!$C136,Einzelbeträge!$E:$E,'Ausgaben 2025'!J$6)</f>
        <v>0</v>
      </c>
      <c r="K136" s="37">
        <f>SUMIFS(Einzelbeträge!$D:$D,Einzelbeträge!$C:$C,'Ausgaben 2025'!$C136,Einzelbeträge!$E:$E,'Ausgaben 2025'!K$6)</f>
        <v>0</v>
      </c>
      <c r="L136" s="37">
        <f>SUMIFS(Einzelbeträge!$D:$D,Einzelbeträge!$C:$C,'Ausgaben 2025'!$C136,Einzelbeträge!$E:$E,'Ausgaben 2025'!L$6)</f>
        <v>0</v>
      </c>
      <c r="M136" s="37">
        <f>SUMIFS(Einzelbeträge!$D:$D,Einzelbeträge!$C:$C,'Ausgaben 2025'!$C136,Einzelbeträge!$E:$E,'Ausgaben 2025'!M$6)</f>
        <v>0</v>
      </c>
      <c r="N136" s="38">
        <f>SUMIFS(Einzelbeträge!$D:$D,Einzelbeträge!$C:$C,'Ausgaben 2025'!$C136,Einzelbeträge!$E:$E,'Ausgaben 2025'!N$6)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45778</v>
      </c>
      <c r="D140" s="45">
        <f>SUMIFS(Einzelbeträge!$D:$D,Einzelbeträge!$C:$C,'Ausgaben 2025'!$C140)</f>
        <v>0</v>
      </c>
      <c r="E140" s="32">
        <f>SUMIFS(Einzelbeträge!$D:$D,Einzelbeträge!$C:$C,'Ausgaben 2025'!$C140,Einzelbeträge!$E:$E,'Ausgaben 2025'!E$6)</f>
        <v>0</v>
      </c>
      <c r="F140" s="32">
        <f>SUMIFS(Einzelbeträge!$D:$D,Einzelbeträge!$C:$C,'Ausgaben 2025'!$C140,Einzelbeträge!$E:$E,'Ausgaben 2025'!F$6)</f>
        <v>0</v>
      </c>
      <c r="G140" s="32">
        <f>SUMIFS(Einzelbeträge!$D:$D,Einzelbeträge!$C:$C,'Ausgaben 2025'!$C140,Einzelbeträge!$E:$E,'Ausgaben 2025'!G$6)</f>
        <v>0</v>
      </c>
      <c r="H140" s="32">
        <f>SUMIFS(Einzelbeträge!$D:$D,Einzelbeträge!$C:$C,'Ausgaben 2025'!$C140,Einzelbeträge!$E:$E,'Ausgaben 2025'!H$6)</f>
        <v>0</v>
      </c>
      <c r="I140" s="32">
        <f>SUMIFS(Einzelbeträge!$D:$D,Einzelbeträge!$C:$C,'Ausgaben 2025'!$C140,Einzelbeträge!$E:$E,'Ausgaben 2025'!I$6)</f>
        <v>0</v>
      </c>
      <c r="J140" s="32">
        <f>SUMIFS(Einzelbeträge!$D:$D,Einzelbeträge!$C:$C,'Ausgaben 2025'!$C140,Einzelbeträge!$E:$E,'Ausgaben 2025'!J$6)</f>
        <v>0</v>
      </c>
      <c r="K140" s="32">
        <f>SUMIFS(Einzelbeträge!$D:$D,Einzelbeträge!$C:$C,'Ausgaben 2025'!$C140,Einzelbeträge!$E:$E,'Ausgaben 2025'!K$6)</f>
        <v>0</v>
      </c>
      <c r="L140" s="32">
        <f>SUMIFS(Einzelbeträge!$D:$D,Einzelbeträge!$C:$C,'Ausgaben 2025'!$C140,Einzelbeträge!$E:$E,'Ausgaben 2025'!L$6)</f>
        <v>0</v>
      </c>
      <c r="M140" s="32">
        <f>SUMIFS(Einzelbeträge!$D:$D,Einzelbeträge!$C:$C,'Ausgaben 2025'!$C140,Einzelbeträge!$E:$E,'Ausgaben 2025'!M$6)</f>
        <v>0</v>
      </c>
      <c r="N140" s="33">
        <f>SUMIFS(Einzelbeträge!$D:$D,Einzelbeträge!$C:$C,'Ausgaben 2025'!$C140,Einzelbeträge!$E:$E,'Ausgaben 2025'!N$6)</f>
        <v>0</v>
      </c>
      <c r="O140" s="6"/>
    </row>
    <row r="141" spans="2:15" x14ac:dyDescent="0.35">
      <c r="B141" s="5"/>
      <c r="C141" s="40">
        <f>C140+1</f>
        <v>45779</v>
      </c>
      <c r="D141" s="46">
        <f>SUMIFS(Einzelbeträge!$D:$D,Einzelbeträge!$C:$C,'Ausgaben 2025'!$C141)</f>
        <v>0</v>
      </c>
      <c r="E141" s="21">
        <f>SUMIFS(Einzelbeträge!$D:$D,Einzelbeträge!$C:$C,'Ausgaben 2025'!$C141,Einzelbeträge!$E:$E,'Ausgaben 2025'!E$6)</f>
        <v>0</v>
      </c>
      <c r="F141" s="21">
        <f>SUMIFS(Einzelbeträge!$D:$D,Einzelbeträge!$C:$C,'Ausgaben 2025'!$C141,Einzelbeträge!$E:$E,'Ausgaben 2025'!F$6)</f>
        <v>0</v>
      </c>
      <c r="G141" s="21">
        <f>SUMIFS(Einzelbeträge!$D:$D,Einzelbeträge!$C:$C,'Ausgaben 2025'!$C141,Einzelbeträge!$E:$E,'Ausgaben 2025'!G$6)</f>
        <v>0</v>
      </c>
      <c r="H141" s="21">
        <f>SUMIFS(Einzelbeträge!$D:$D,Einzelbeträge!$C:$C,'Ausgaben 2025'!$C141,Einzelbeträge!$E:$E,'Ausgaben 2025'!H$6)</f>
        <v>0</v>
      </c>
      <c r="I141" s="21">
        <f>SUMIFS(Einzelbeträge!$D:$D,Einzelbeträge!$C:$C,'Ausgaben 2025'!$C141,Einzelbeträge!$E:$E,'Ausgaben 2025'!I$6)</f>
        <v>0</v>
      </c>
      <c r="J141" s="21">
        <f>SUMIFS(Einzelbeträge!$D:$D,Einzelbeträge!$C:$C,'Ausgaben 2025'!$C141,Einzelbeträge!$E:$E,'Ausgaben 2025'!J$6)</f>
        <v>0</v>
      </c>
      <c r="K141" s="21">
        <f>SUMIFS(Einzelbeträge!$D:$D,Einzelbeträge!$C:$C,'Ausgaben 2025'!$C141,Einzelbeträge!$E:$E,'Ausgaben 2025'!K$6)</f>
        <v>0</v>
      </c>
      <c r="L141" s="21">
        <f>SUMIFS(Einzelbeträge!$D:$D,Einzelbeträge!$C:$C,'Ausgaben 2025'!$C141,Einzelbeträge!$E:$E,'Ausgaben 2025'!L$6)</f>
        <v>0</v>
      </c>
      <c r="M141" s="21">
        <f>SUMIFS(Einzelbeträge!$D:$D,Einzelbeträge!$C:$C,'Ausgaben 2025'!$C141,Einzelbeträge!$E:$E,'Ausgaben 2025'!M$6)</f>
        <v>0</v>
      </c>
      <c r="N141" s="35">
        <f>SUMIFS(Einzelbeträge!$D:$D,Einzelbeträge!$C:$C,'Ausgaben 2025'!$C141,Einzelbeträge!$E:$E,'Ausgaben 2025'!N$6)</f>
        <v>0</v>
      </c>
      <c r="O141" s="6"/>
    </row>
    <row r="142" spans="2:15" x14ac:dyDescent="0.35">
      <c r="B142" s="5"/>
      <c r="C142" s="40">
        <f t="shared" ref="C142:C170" si="20">C141+1</f>
        <v>45780</v>
      </c>
      <c r="D142" s="46">
        <f>SUMIFS(Einzelbeträge!$D:$D,Einzelbeträge!$C:$C,'Ausgaben 2025'!$C142)</f>
        <v>0</v>
      </c>
      <c r="E142" s="21">
        <f>SUMIFS(Einzelbeträge!$D:$D,Einzelbeträge!$C:$C,'Ausgaben 2025'!$C142,Einzelbeträge!$E:$E,'Ausgaben 2025'!E$6)</f>
        <v>0</v>
      </c>
      <c r="F142" s="21">
        <f>SUMIFS(Einzelbeträge!$D:$D,Einzelbeträge!$C:$C,'Ausgaben 2025'!$C142,Einzelbeträge!$E:$E,'Ausgaben 2025'!F$6)</f>
        <v>0</v>
      </c>
      <c r="G142" s="21">
        <f>SUMIFS(Einzelbeträge!$D:$D,Einzelbeträge!$C:$C,'Ausgaben 2025'!$C142,Einzelbeträge!$E:$E,'Ausgaben 2025'!G$6)</f>
        <v>0</v>
      </c>
      <c r="H142" s="21">
        <f>SUMIFS(Einzelbeträge!$D:$D,Einzelbeträge!$C:$C,'Ausgaben 2025'!$C142,Einzelbeträge!$E:$E,'Ausgaben 2025'!H$6)</f>
        <v>0</v>
      </c>
      <c r="I142" s="21">
        <f>SUMIFS(Einzelbeträge!$D:$D,Einzelbeträge!$C:$C,'Ausgaben 2025'!$C142,Einzelbeträge!$E:$E,'Ausgaben 2025'!I$6)</f>
        <v>0</v>
      </c>
      <c r="J142" s="21">
        <f>SUMIFS(Einzelbeträge!$D:$D,Einzelbeträge!$C:$C,'Ausgaben 2025'!$C142,Einzelbeträge!$E:$E,'Ausgaben 2025'!J$6)</f>
        <v>0</v>
      </c>
      <c r="K142" s="21">
        <f>SUMIFS(Einzelbeträge!$D:$D,Einzelbeträge!$C:$C,'Ausgaben 2025'!$C142,Einzelbeträge!$E:$E,'Ausgaben 2025'!K$6)</f>
        <v>0</v>
      </c>
      <c r="L142" s="21">
        <f>SUMIFS(Einzelbeträge!$D:$D,Einzelbeträge!$C:$C,'Ausgaben 2025'!$C142,Einzelbeträge!$E:$E,'Ausgaben 2025'!L$6)</f>
        <v>0</v>
      </c>
      <c r="M142" s="21">
        <f>SUMIFS(Einzelbeträge!$D:$D,Einzelbeträge!$C:$C,'Ausgaben 2025'!$C142,Einzelbeträge!$E:$E,'Ausgaben 2025'!M$6)</f>
        <v>0</v>
      </c>
      <c r="N142" s="35">
        <f>SUMIFS(Einzelbeträge!$D:$D,Einzelbeträge!$C:$C,'Ausgaben 2025'!$C142,Einzelbeträge!$E:$E,'Ausgaben 2025'!N$6)</f>
        <v>0</v>
      </c>
      <c r="O142" s="6"/>
    </row>
    <row r="143" spans="2:15" x14ac:dyDescent="0.35">
      <c r="B143" s="5"/>
      <c r="C143" s="40">
        <f t="shared" si="20"/>
        <v>45781</v>
      </c>
      <c r="D143" s="46">
        <f>SUMIFS(Einzelbeträge!$D:$D,Einzelbeträge!$C:$C,'Ausgaben 2025'!$C143)</f>
        <v>0</v>
      </c>
      <c r="E143" s="21">
        <f>SUMIFS(Einzelbeträge!$D:$D,Einzelbeträge!$C:$C,'Ausgaben 2025'!$C143,Einzelbeträge!$E:$E,'Ausgaben 2025'!E$6)</f>
        <v>0</v>
      </c>
      <c r="F143" s="21">
        <f>SUMIFS(Einzelbeträge!$D:$D,Einzelbeträge!$C:$C,'Ausgaben 2025'!$C143,Einzelbeträge!$E:$E,'Ausgaben 2025'!F$6)</f>
        <v>0</v>
      </c>
      <c r="G143" s="21">
        <f>SUMIFS(Einzelbeträge!$D:$D,Einzelbeträge!$C:$C,'Ausgaben 2025'!$C143,Einzelbeträge!$E:$E,'Ausgaben 2025'!G$6)</f>
        <v>0</v>
      </c>
      <c r="H143" s="21">
        <f>SUMIFS(Einzelbeträge!$D:$D,Einzelbeträge!$C:$C,'Ausgaben 2025'!$C143,Einzelbeträge!$E:$E,'Ausgaben 2025'!H$6)</f>
        <v>0</v>
      </c>
      <c r="I143" s="21">
        <f>SUMIFS(Einzelbeträge!$D:$D,Einzelbeträge!$C:$C,'Ausgaben 2025'!$C143,Einzelbeträge!$E:$E,'Ausgaben 2025'!I$6)</f>
        <v>0</v>
      </c>
      <c r="J143" s="21">
        <f>SUMIFS(Einzelbeträge!$D:$D,Einzelbeträge!$C:$C,'Ausgaben 2025'!$C143,Einzelbeträge!$E:$E,'Ausgaben 2025'!J$6)</f>
        <v>0</v>
      </c>
      <c r="K143" s="21">
        <f>SUMIFS(Einzelbeträge!$D:$D,Einzelbeträge!$C:$C,'Ausgaben 2025'!$C143,Einzelbeträge!$E:$E,'Ausgaben 2025'!K$6)</f>
        <v>0</v>
      </c>
      <c r="L143" s="21">
        <f>SUMIFS(Einzelbeträge!$D:$D,Einzelbeträge!$C:$C,'Ausgaben 2025'!$C143,Einzelbeträge!$E:$E,'Ausgaben 2025'!L$6)</f>
        <v>0</v>
      </c>
      <c r="M143" s="21">
        <f>SUMIFS(Einzelbeträge!$D:$D,Einzelbeträge!$C:$C,'Ausgaben 2025'!$C143,Einzelbeträge!$E:$E,'Ausgaben 2025'!M$6)</f>
        <v>0</v>
      </c>
      <c r="N143" s="35">
        <f>SUMIFS(Einzelbeträge!$D:$D,Einzelbeträge!$C:$C,'Ausgaben 2025'!$C143,Einzelbeträge!$E:$E,'Ausgaben 2025'!N$6)</f>
        <v>0</v>
      </c>
      <c r="O143" s="6"/>
    </row>
    <row r="144" spans="2:15" x14ac:dyDescent="0.35">
      <c r="B144" s="5"/>
      <c r="C144" s="40">
        <f t="shared" si="20"/>
        <v>45782</v>
      </c>
      <c r="D144" s="46">
        <f>SUMIFS(Einzelbeträge!$D:$D,Einzelbeträge!$C:$C,'Ausgaben 2025'!$C144)</f>
        <v>0</v>
      </c>
      <c r="E144" s="21">
        <f>SUMIFS(Einzelbeträge!$D:$D,Einzelbeträge!$C:$C,'Ausgaben 2025'!$C144,Einzelbeträge!$E:$E,'Ausgaben 2025'!E$6)</f>
        <v>0</v>
      </c>
      <c r="F144" s="21">
        <f>SUMIFS(Einzelbeträge!$D:$D,Einzelbeträge!$C:$C,'Ausgaben 2025'!$C144,Einzelbeträge!$E:$E,'Ausgaben 2025'!F$6)</f>
        <v>0</v>
      </c>
      <c r="G144" s="21">
        <f>SUMIFS(Einzelbeträge!$D:$D,Einzelbeträge!$C:$C,'Ausgaben 2025'!$C144,Einzelbeträge!$E:$E,'Ausgaben 2025'!G$6)</f>
        <v>0</v>
      </c>
      <c r="H144" s="21">
        <f>SUMIFS(Einzelbeträge!$D:$D,Einzelbeträge!$C:$C,'Ausgaben 2025'!$C144,Einzelbeträge!$E:$E,'Ausgaben 2025'!H$6)</f>
        <v>0</v>
      </c>
      <c r="I144" s="21">
        <f>SUMIFS(Einzelbeträge!$D:$D,Einzelbeträge!$C:$C,'Ausgaben 2025'!$C144,Einzelbeträge!$E:$E,'Ausgaben 2025'!I$6)</f>
        <v>0</v>
      </c>
      <c r="J144" s="21">
        <f>SUMIFS(Einzelbeträge!$D:$D,Einzelbeträge!$C:$C,'Ausgaben 2025'!$C144,Einzelbeträge!$E:$E,'Ausgaben 2025'!J$6)</f>
        <v>0</v>
      </c>
      <c r="K144" s="21">
        <f>SUMIFS(Einzelbeträge!$D:$D,Einzelbeträge!$C:$C,'Ausgaben 2025'!$C144,Einzelbeträge!$E:$E,'Ausgaben 2025'!K$6)</f>
        <v>0</v>
      </c>
      <c r="L144" s="21">
        <f>SUMIFS(Einzelbeträge!$D:$D,Einzelbeträge!$C:$C,'Ausgaben 2025'!$C144,Einzelbeträge!$E:$E,'Ausgaben 2025'!L$6)</f>
        <v>0</v>
      </c>
      <c r="M144" s="21">
        <f>SUMIFS(Einzelbeträge!$D:$D,Einzelbeträge!$C:$C,'Ausgaben 2025'!$C144,Einzelbeträge!$E:$E,'Ausgaben 2025'!M$6)</f>
        <v>0</v>
      </c>
      <c r="N144" s="35">
        <f>SUMIFS(Einzelbeträge!$D:$D,Einzelbeträge!$C:$C,'Ausgaben 2025'!$C144,Einzelbeträge!$E:$E,'Ausgaben 2025'!N$6)</f>
        <v>0</v>
      </c>
      <c r="O144" s="6"/>
    </row>
    <row r="145" spans="2:15" x14ac:dyDescent="0.35">
      <c r="B145" s="5"/>
      <c r="C145" s="40">
        <f t="shared" si="20"/>
        <v>45783</v>
      </c>
      <c r="D145" s="46">
        <f>SUMIFS(Einzelbeträge!$D:$D,Einzelbeträge!$C:$C,'Ausgaben 2025'!$C145)</f>
        <v>0</v>
      </c>
      <c r="E145" s="21">
        <f>SUMIFS(Einzelbeträge!$D:$D,Einzelbeträge!$C:$C,'Ausgaben 2025'!$C145,Einzelbeträge!$E:$E,'Ausgaben 2025'!E$6)</f>
        <v>0</v>
      </c>
      <c r="F145" s="21">
        <f>SUMIFS(Einzelbeträge!$D:$D,Einzelbeträge!$C:$C,'Ausgaben 2025'!$C145,Einzelbeträge!$E:$E,'Ausgaben 2025'!F$6)</f>
        <v>0</v>
      </c>
      <c r="G145" s="21">
        <f>SUMIFS(Einzelbeträge!$D:$D,Einzelbeträge!$C:$C,'Ausgaben 2025'!$C145,Einzelbeträge!$E:$E,'Ausgaben 2025'!G$6)</f>
        <v>0</v>
      </c>
      <c r="H145" s="21">
        <f>SUMIFS(Einzelbeträge!$D:$D,Einzelbeträge!$C:$C,'Ausgaben 2025'!$C145,Einzelbeträge!$E:$E,'Ausgaben 2025'!H$6)</f>
        <v>0</v>
      </c>
      <c r="I145" s="21">
        <f>SUMIFS(Einzelbeträge!$D:$D,Einzelbeträge!$C:$C,'Ausgaben 2025'!$C145,Einzelbeträge!$E:$E,'Ausgaben 2025'!I$6)</f>
        <v>0</v>
      </c>
      <c r="J145" s="21">
        <f>SUMIFS(Einzelbeträge!$D:$D,Einzelbeträge!$C:$C,'Ausgaben 2025'!$C145,Einzelbeträge!$E:$E,'Ausgaben 2025'!J$6)</f>
        <v>0</v>
      </c>
      <c r="K145" s="21">
        <f>SUMIFS(Einzelbeträge!$D:$D,Einzelbeträge!$C:$C,'Ausgaben 2025'!$C145,Einzelbeträge!$E:$E,'Ausgaben 2025'!K$6)</f>
        <v>0</v>
      </c>
      <c r="L145" s="21">
        <f>SUMIFS(Einzelbeträge!$D:$D,Einzelbeträge!$C:$C,'Ausgaben 2025'!$C145,Einzelbeträge!$E:$E,'Ausgaben 2025'!L$6)</f>
        <v>0</v>
      </c>
      <c r="M145" s="21">
        <f>SUMIFS(Einzelbeträge!$D:$D,Einzelbeträge!$C:$C,'Ausgaben 2025'!$C145,Einzelbeträge!$E:$E,'Ausgaben 2025'!M$6)</f>
        <v>0</v>
      </c>
      <c r="N145" s="35">
        <f>SUMIFS(Einzelbeträge!$D:$D,Einzelbeträge!$C:$C,'Ausgaben 2025'!$C145,Einzelbeträge!$E:$E,'Ausgaben 2025'!N$6)</f>
        <v>0</v>
      </c>
      <c r="O145" s="6"/>
    </row>
    <row r="146" spans="2:15" x14ac:dyDescent="0.35">
      <c r="B146" s="5"/>
      <c r="C146" s="40">
        <f t="shared" si="20"/>
        <v>45784</v>
      </c>
      <c r="D146" s="46">
        <f>SUMIFS(Einzelbeträge!$D:$D,Einzelbeträge!$C:$C,'Ausgaben 2025'!$C146)</f>
        <v>0</v>
      </c>
      <c r="E146" s="21">
        <f>SUMIFS(Einzelbeträge!$D:$D,Einzelbeträge!$C:$C,'Ausgaben 2025'!$C146,Einzelbeträge!$E:$E,'Ausgaben 2025'!E$6)</f>
        <v>0</v>
      </c>
      <c r="F146" s="21">
        <f>SUMIFS(Einzelbeträge!$D:$D,Einzelbeträge!$C:$C,'Ausgaben 2025'!$C146,Einzelbeträge!$E:$E,'Ausgaben 2025'!F$6)</f>
        <v>0</v>
      </c>
      <c r="G146" s="21">
        <f>SUMIFS(Einzelbeträge!$D:$D,Einzelbeträge!$C:$C,'Ausgaben 2025'!$C146,Einzelbeträge!$E:$E,'Ausgaben 2025'!G$6)</f>
        <v>0</v>
      </c>
      <c r="H146" s="21">
        <f>SUMIFS(Einzelbeträge!$D:$D,Einzelbeträge!$C:$C,'Ausgaben 2025'!$C146,Einzelbeträge!$E:$E,'Ausgaben 2025'!H$6)</f>
        <v>0</v>
      </c>
      <c r="I146" s="21">
        <f>SUMIFS(Einzelbeträge!$D:$D,Einzelbeträge!$C:$C,'Ausgaben 2025'!$C146,Einzelbeträge!$E:$E,'Ausgaben 2025'!I$6)</f>
        <v>0</v>
      </c>
      <c r="J146" s="21">
        <f>SUMIFS(Einzelbeträge!$D:$D,Einzelbeträge!$C:$C,'Ausgaben 2025'!$C146,Einzelbeträge!$E:$E,'Ausgaben 2025'!J$6)</f>
        <v>0</v>
      </c>
      <c r="K146" s="21">
        <f>SUMIFS(Einzelbeträge!$D:$D,Einzelbeträge!$C:$C,'Ausgaben 2025'!$C146,Einzelbeträge!$E:$E,'Ausgaben 2025'!K$6)</f>
        <v>0</v>
      </c>
      <c r="L146" s="21">
        <f>SUMIFS(Einzelbeträge!$D:$D,Einzelbeträge!$C:$C,'Ausgaben 2025'!$C146,Einzelbeträge!$E:$E,'Ausgaben 2025'!L$6)</f>
        <v>0</v>
      </c>
      <c r="M146" s="21">
        <f>SUMIFS(Einzelbeträge!$D:$D,Einzelbeträge!$C:$C,'Ausgaben 2025'!$C146,Einzelbeträge!$E:$E,'Ausgaben 2025'!M$6)</f>
        <v>0</v>
      </c>
      <c r="N146" s="35">
        <f>SUMIFS(Einzelbeträge!$D:$D,Einzelbeträge!$C:$C,'Ausgaben 2025'!$C146,Einzelbeträge!$E:$E,'Ausgaben 2025'!N$6)</f>
        <v>0</v>
      </c>
      <c r="O146" s="6"/>
    </row>
    <row r="147" spans="2:15" x14ac:dyDescent="0.35">
      <c r="B147" s="5"/>
      <c r="C147" s="40">
        <f t="shared" si="20"/>
        <v>45785</v>
      </c>
      <c r="D147" s="46">
        <f>SUMIFS(Einzelbeträge!$D:$D,Einzelbeträge!$C:$C,'Ausgaben 2025'!$C147)</f>
        <v>0</v>
      </c>
      <c r="E147" s="21">
        <f>SUMIFS(Einzelbeträge!$D:$D,Einzelbeträge!$C:$C,'Ausgaben 2025'!$C147,Einzelbeträge!$E:$E,'Ausgaben 2025'!E$6)</f>
        <v>0</v>
      </c>
      <c r="F147" s="21">
        <f>SUMIFS(Einzelbeträge!$D:$D,Einzelbeträge!$C:$C,'Ausgaben 2025'!$C147,Einzelbeträge!$E:$E,'Ausgaben 2025'!F$6)</f>
        <v>0</v>
      </c>
      <c r="G147" s="21">
        <f>SUMIFS(Einzelbeträge!$D:$D,Einzelbeträge!$C:$C,'Ausgaben 2025'!$C147,Einzelbeträge!$E:$E,'Ausgaben 2025'!G$6)</f>
        <v>0</v>
      </c>
      <c r="H147" s="21">
        <f>SUMIFS(Einzelbeträge!$D:$D,Einzelbeträge!$C:$C,'Ausgaben 2025'!$C147,Einzelbeträge!$E:$E,'Ausgaben 2025'!H$6)</f>
        <v>0</v>
      </c>
      <c r="I147" s="21">
        <f>SUMIFS(Einzelbeträge!$D:$D,Einzelbeträge!$C:$C,'Ausgaben 2025'!$C147,Einzelbeträge!$E:$E,'Ausgaben 2025'!I$6)</f>
        <v>0</v>
      </c>
      <c r="J147" s="21">
        <f>SUMIFS(Einzelbeträge!$D:$D,Einzelbeträge!$C:$C,'Ausgaben 2025'!$C147,Einzelbeträge!$E:$E,'Ausgaben 2025'!J$6)</f>
        <v>0</v>
      </c>
      <c r="K147" s="21">
        <f>SUMIFS(Einzelbeträge!$D:$D,Einzelbeträge!$C:$C,'Ausgaben 2025'!$C147,Einzelbeträge!$E:$E,'Ausgaben 2025'!K$6)</f>
        <v>0</v>
      </c>
      <c r="L147" s="21">
        <f>SUMIFS(Einzelbeträge!$D:$D,Einzelbeträge!$C:$C,'Ausgaben 2025'!$C147,Einzelbeträge!$E:$E,'Ausgaben 2025'!L$6)</f>
        <v>0</v>
      </c>
      <c r="M147" s="21">
        <f>SUMIFS(Einzelbeträge!$D:$D,Einzelbeträge!$C:$C,'Ausgaben 2025'!$C147,Einzelbeträge!$E:$E,'Ausgaben 2025'!M$6)</f>
        <v>0</v>
      </c>
      <c r="N147" s="35">
        <f>SUMIFS(Einzelbeträge!$D:$D,Einzelbeträge!$C:$C,'Ausgaben 2025'!$C147,Einzelbeträge!$E:$E,'Ausgaben 2025'!N$6)</f>
        <v>0</v>
      </c>
      <c r="O147" s="6"/>
    </row>
    <row r="148" spans="2:15" x14ac:dyDescent="0.35">
      <c r="B148" s="5"/>
      <c r="C148" s="40">
        <f t="shared" si="20"/>
        <v>45786</v>
      </c>
      <c r="D148" s="46">
        <f>SUMIFS(Einzelbeträge!$D:$D,Einzelbeträge!$C:$C,'Ausgaben 2025'!$C148)</f>
        <v>0</v>
      </c>
      <c r="E148" s="21">
        <f>SUMIFS(Einzelbeträge!$D:$D,Einzelbeträge!$C:$C,'Ausgaben 2025'!$C148,Einzelbeträge!$E:$E,'Ausgaben 2025'!E$6)</f>
        <v>0</v>
      </c>
      <c r="F148" s="21">
        <f>SUMIFS(Einzelbeträge!$D:$D,Einzelbeträge!$C:$C,'Ausgaben 2025'!$C148,Einzelbeträge!$E:$E,'Ausgaben 2025'!F$6)</f>
        <v>0</v>
      </c>
      <c r="G148" s="21">
        <f>SUMIFS(Einzelbeträge!$D:$D,Einzelbeträge!$C:$C,'Ausgaben 2025'!$C148,Einzelbeträge!$E:$E,'Ausgaben 2025'!G$6)</f>
        <v>0</v>
      </c>
      <c r="H148" s="21">
        <f>SUMIFS(Einzelbeträge!$D:$D,Einzelbeträge!$C:$C,'Ausgaben 2025'!$C148,Einzelbeträge!$E:$E,'Ausgaben 2025'!H$6)</f>
        <v>0</v>
      </c>
      <c r="I148" s="21">
        <f>SUMIFS(Einzelbeträge!$D:$D,Einzelbeträge!$C:$C,'Ausgaben 2025'!$C148,Einzelbeträge!$E:$E,'Ausgaben 2025'!I$6)</f>
        <v>0</v>
      </c>
      <c r="J148" s="21">
        <f>SUMIFS(Einzelbeträge!$D:$D,Einzelbeträge!$C:$C,'Ausgaben 2025'!$C148,Einzelbeträge!$E:$E,'Ausgaben 2025'!J$6)</f>
        <v>0</v>
      </c>
      <c r="K148" s="21">
        <f>SUMIFS(Einzelbeträge!$D:$D,Einzelbeträge!$C:$C,'Ausgaben 2025'!$C148,Einzelbeträge!$E:$E,'Ausgaben 2025'!K$6)</f>
        <v>0</v>
      </c>
      <c r="L148" s="21">
        <f>SUMIFS(Einzelbeträge!$D:$D,Einzelbeträge!$C:$C,'Ausgaben 2025'!$C148,Einzelbeträge!$E:$E,'Ausgaben 2025'!L$6)</f>
        <v>0</v>
      </c>
      <c r="M148" s="21">
        <f>SUMIFS(Einzelbeträge!$D:$D,Einzelbeträge!$C:$C,'Ausgaben 2025'!$C148,Einzelbeträge!$E:$E,'Ausgaben 2025'!M$6)</f>
        <v>0</v>
      </c>
      <c r="N148" s="35">
        <f>SUMIFS(Einzelbeträge!$D:$D,Einzelbeträge!$C:$C,'Ausgaben 2025'!$C148,Einzelbeträge!$E:$E,'Ausgaben 2025'!N$6)</f>
        <v>0</v>
      </c>
      <c r="O148" s="6"/>
    </row>
    <row r="149" spans="2:15" x14ac:dyDescent="0.35">
      <c r="B149" s="5"/>
      <c r="C149" s="40">
        <f t="shared" si="20"/>
        <v>45787</v>
      </c>
      <c r="D149" s="46">
        <f>SUMIFS(Einzelbeträge!$D:$D,Einzelbeträge!$C:$C,'Ausgaben 2025'!$C149)</f>
        <v>0</v>
      </c>
      <c r="E149" s="21">
        <f>SUMIFS(Einzelbeträge!$D:$D,Einzelbeträge!$C:$C,'Ausgaben 2025'!$C149,Einzelbeträge!$E:$E,'Ausgaben 2025'!E$6)</f>
        <v>0</v>
      </c>
      <c r="F149" s="21">
        <f>SUMIFS(Einzelbeträge!$D:$D,Einzelbeträge!$C:$C,'Ausgaben 2025'!$C149,Einzelbeträge!$E:$E,'Ausgaben 2025'!F$6)</f>
        <v>0</v>
      </c>
      <c r="G149" s="21">
        <f>SUMIFS(Einzelbeträge!$D:$D,Einzelbeträge!$C:$C,'Ausgaben 2025'!$C149,Einzelbeträge!$E:$E,'Ausgaben 2025'!G$6)</f>
        <v>0</v>
      </c>
      <c r="H149" s="21">
        <f>SUMIFS(Einzelbeträge!$D:$D,Einzelbeträge!$C:$C,'Ausgaben 2025'!$C149,Einzelbeträge!$E:$E,'Ausgaben 2025'!H$6)</f>
        <v>0</v>
      </c>
      <c r="I149" s="21">
        <f>SUMIFS(Einzelbeträge!$D:$D,Einzelbeträge!$C:$C,'Ausgaben 2025'!$C149,Einzelbeträge!$E:$E,'Ausgaben 2025'!I$6)</f>
        <v>0</v>
      </c>
      <c r="J149" s="21">
        <f>SUMIFS(Einzelbeträge!$D:$D,Einzelbeträge!$C:$C,'Ausgaben 2025'!$C149,Einzelbeträge!$E:$E,'Ausgaben 2025'!J$6)</f>
        <v>0</v>
      </c>
      <c r="K149" s="21">
        <f>SUMIFS(Einzelbeträge!$D:$D,Einzelbeträge!$C:$C,'Ausgaben 2025'!$C149,Einzelbeträge!$E:$E,'Ausgaben 2025'!K$6)</f>
        <v>0</v>
      </c>
      <c r="L149" s="21">
        <f>SUMIFS(Einzelbeträge!$D:$D,Einzelbeträge!$C:$C,'Ausgaben 2025'!$C149,Einzelbeträge!$E:$E,'Ausgaben 2025'!L$6)</f>
        <v>0</v>
      </c>
      <c r="M149" s="21">
        <f>SUMIFS(Einzelbeträge!$D:$D,Einzelbeträge!$C:$C,'Ausgaben 2025'!$C149,Einzelbeträge!$E:$E,'Ausgaben 2025'!M$6)</f>
        <v>0</v>
      </c>
      <c r="N149" s="35">
        <f>SUMIFS(Einzelbeträge!$D:$D,Einzelbeträge!$C:$C,'Ausgaben 2025'!$C149,Einzelbeträge!$E:$E,'Ausgaben 2025'!N$6)</f>
        <v>0</v>
      </c>
      <c r="O149" s="6"/>
    </row>
    <row r="150" spans="2:15" x14ac:dyDescent="0.35">
      <c r="B150" s="5"/>
      <c r="C150" s="40">
        <f t="shared" si="20"/>
        <v>45788</v>
      </c>
      <c r="D150" s="46">
        <f>SUMIFS(Einzelbeträge!$D:$D,Einzelbeträge!$C:$C,'Ausgaben 2025'!$C150)</f>
        <v>0</v>
      </c>
      <c r="E150" s="21">
        <f>SUMIFS(Einzelbeträge!$D:$D,Einzelbeträge!$C:$C,'Ausgaben 2025'!$C150,Einzelbeträge!$E:$E,'Ausgaben 2025'!E$6)</f>
        <v>0</v>
      </c>
      <c r="F150" s="21">
        <f>SUMIFS(Einzelbeträge!$D:$D,Einzelbeträge!$C:$C,'Ausgaben 2025'!$C150,Einzelbeträge!$E:$E,'Ausgaben 2025'!F$6)</f>
        <v>0</v>
      </c>
      <c r="G150" s="21">
        <f>SUMIFS(Einzelbeträge!$D:$D,Einzelbeträge!$C:$C,'Ausgaben 2025'!$C150,Einzelbeträge!$E:$E,'Ausgaben 2025'!G$6)</f>
        <v>0</v>
      </c>
      <c r="H150" s="21">
        <f>SUMIFS(Einzelbeträge!$D:$D,Einzelbeträge!$C:$C,'Ausgaben 2025'!$C150,Einzelbeträge!$E:$E,'Ausgaben 2025'!H$6)</f>
        <v>0</v>
      </c>
      <c r="I150" s="21">
        <f>SUMIFS(Einzelbeträge!$D:$D,Einzelbeträge!$C:$C,'Ausgaben 2025'!$C150,Einzelbeträge!$E:$E,'Ausgaben 2025'!I$6)</f>
        <v>0</v>
      </c>
      <c r="J150" s="21">
        <f>SUMIFS(Einzelbeträge!$D:$D,Einzelbeträge!$C:$C,'Ausgaben 2025'!$C150,Einzelbeträge!$E:$E,'Ausgaben 2025'!J$6)</f>
        <v>0</v>
      </c>
      <c r="K150" s="21">
        <f>SUMIFS(Einzelbeträge!$D:$D,Einzelbeträge!$C:$C,'Ausgaben 2025'!$C150,Einzelbeträge!$E:$E,'Ausgaben 2025'!K$6)</f>
        <v>0</v>
      </c>
      <c r="L150" s="21">
        <f>SUMIFS(Einzelbeträge!$D:$D,Einzelbeträge!$C:$C,'Ausgaben 2025'!$C150,Einzelbeträge!$E:$E,'Ausgaben 2025'!L$6)</f>
        <v>0</v>
      </c>
      <c r="M150" s="21">
        <f>SUMIFS(Einzelbeträge!$D:$D,Einzelbeträge!$C:$C,'Ausgaben 2025'!$C150,Einzelbeträge!$E:$E,'Ausgaben 2025'!M$6)</f>
        <v>0</v>
      </c>
      <c r="N150" s="35">
        <f>SUMIFS(Einzelbeträge!$D:$D,Einzelbeträge!$C:$C,'Ausgaben 2025'!$C150,Einzelbeträge!$E:$E,'Ausgaben 2025'!N$6)</f>
        <v>0</v>
      </c>
      <c r="O150" s="6"/>
    </row>
    <row r="151" spans="2:15" x14ac:dyDescent="0.35">
      <c r="B151" s="5"/>
      <c r="C151" s="40">
        <f t="shared" si="20"/>
        <v>45789</v>
      </c>
      <c r="D151" s="46">
        <f>SUMIFS(Einzelbeträge!$D:$D,Einzelbeträge!$C:$C,'Ausgaben 2025'!$C151)</f>
        <v>0</v>
      </c>
      <c r="E151" s="21">
        <f>SUMIFS(Einzelbeträge!$D:$D,Einzelbeträge!$C:$C,'Ausgaben 2025'!$C151,Einzelbeträge!$E:$E,'Ausgaben 2025'!E$6)</f>
        <v>0</v>
      </c>
      <c r="F151" s="21">
        <f>SUMIFS(Einzelbeträge!$D:$D,Einzelbeträge!$C:$C,'Ausgaben 2025'!$C151,Einzelbeträge!$E:$E,'Ausgaben 2025'!F$6)</f>
        <v>0</v>
      </c>
      <c r="G151" s="21">
        <f>SUMIFS(Einzelbeträge!$D:$D,Einzelbeträge!$C:$C,'Ausgaben 2025'!$C151,Einzelbeträge!$E:$E,'Ausgaben 2025'!G$6)</f>
        <v>0</v>
      </c>
      <c r="H151" s="21">
        <f>SUMIFS(Einzelbeträge!$D:$D,Einzelbeträge!$C:$C,'Ausgaben 2025'!$C151,Einzelbeträge!$E:$E,'Ausgaben 2025'!H$6)</f>
        <v>0</v>
      </c>
      <c r="I151" s="21">
        <f>SUMIFS(Einzelbeträge!$D:$D,Einzelbeträge!$C:$C,'Ausgaben 2025'!$C151,Einzelbeträge!$E:$E,'Ausgaben 2025'!I$6)</f>
        <v>0</v>
      </c>
      <c r="J151" s="21">
        <f>SUMIFS(Einzelbeträge!$D:$D,Einzelbeträge!$C:$C,'Ausgaben 2025'!$C151,Einzelbeträge!$E:$E,'Ausgaben 2025'!J$6)</f>
        <v>0</v>
      </c>
      <c r="K151" s="21">
        <f>SUMIFS(Einzelbeträge!$D:$D,Einzelbeträge!$C:$C,'Ausgaben 2025'!$C151,Einzelbeträge!$E:$E,'Ausgaben 2025'!K$6)</f>
        <v>0</v>
      </c>
      <c r="L151" s="21">
        <f>SUMIFS(Einzelbeträge!$D:$D,Einzelbeträge!$C:$C,'Ausgaben 2025'!$C151,Einzelbeträge!$E:$E,'Ausgaben 2025'!L$6)</f>
        <v>0</v>
      </c>
      <c r="M151" s="21">
        <f>SUMIFS(Einzelbeträge!$D:$D,Einzelbeträge!$C:$C,'Ausgaben 2025'!$C151,Einzelbeträge!$E:$E,'Ausgaben 2025'!M$6)</f>
        <v>0</v>
      </c>
      <c r="N151" s="35">
        <f>SUMIFS(Einzelbeträge!$D:$D,Einzelbeträge!$C:$C,'Ausgaben 2025'!$C151,Einzelbeträge!$E:$E,'Ausgaben 2025'!N$6)</f>
        <v>0</v>
      </c>
      <c r="O151" s="6"/>
    </row>
    <row r="152" spans="2:15" x14ac:dyDescent="0.35">
      <c r="B152" s="5"/>
      <c r="C152" s="40">
        <f t="shared" si="20"/>
        <v>45790</v>
      </c>
      <c r="D152" s="46">
        <f>SUMIFS(Einzelbeträge!$D:$D,Einzelbeträge!$C:$C,'Ausgaben 2025'!$C152)</f>
        <v>0</v>
      </c>
      <c r="E152" s="21">
        <f>SUMIFS(Einzelbeträge!$D:$D,Einzelbeträge!$C:$C,'Ausgaben 2025'!$C152,Einzelbeträge!$E:$E,'Ausgaben 2025'!E$6)</f>
        <v>0</v>
      </c>
      <c r="F152" s="21">
        <f>SUMIFS(Einzelbeträge!$D:$D,Einzelbeträge!$C:$C,'Ausgaben 2025'!$C152,Einzelbeträge!$E:$E,'Ausgaben 2025'!F$6)</f>
        <v>0</v>
      </c>
      <c r="G152" s="21">
        <f>SUMIFS(Einzelbeträge!$D:$D,Einzelbeträge!$C:$C,'Ausgaben 2025'!$C152,Einzelbeträge!$E:$E,'Ausgaben 2025'!G$6)</f>
        <v>0</v>
      </c>
      <c r="H152" s="21">
        <f>SUMIFS(Einzelbeträge!$D:$D,Einzelbeträge!$C:$C,'Ausgaben 2025'!$C152,Einzelbeträge!$E:$E,'Ausgaben 2025'!H$6)</f>
        <v>0</v>
      </c>
      <c r="I152" s="21">
        <f>SUMIFS(Einzelbeträge!$D:$D,Einzelbeträge!$C:$C,'Ausgaben 2025'!$C152,Einzelbeträge!$E:$E,'Ausgaben 2025'!I$6)</f>
        <v>0</v>
      </c>
      <c r="J152" s="21">
        <f>SUMIFS(Einzelbeträge!$D:$D,Einzelbeträge!$C:$C,'Ausgaben 2025'!$C152,Einzelbeträge!$E:$E,'Ausgaben 2025'!J$6)</f>
        <v>0</v>
      </c>
      <c r="K152" s="21">
        <f>SUMIFS(Einzelbeträge!$D:$D,Einzelbeträge!$C:$C,'Ausgaben 2025'!$C152,Einzelbeträge!$E:$E,'Ausgaben 2025'!K$6)</f>
        <v>0</v>
      </c>
      <c r="L152" s="21">
        <f>SUMIFS(Einzelbeträge!$D:$D,Einzelbeträge!$C:$C,'Ausgaben 2025'!$C152,Einzelbeträge!$E:$E,'Ausgaben 2025'!L$6)</f>
        <v>0</v>
      </c>
      <c r="M152" s="21">
        <f>SUMIFS(Einzelbeträge!$D:$D,Einzelbeträge!$C:$C,'Ausgaben 2025'!$C152,Einzelbeträge!$E:$E,'Ausgaben 2025'!M$6)</f>
        <v>0</v>
      </c>
      <c r="N152" s="35">
        <f>SUMIFS(Einzelbeträge!$D:$D,Einzelbeträge!$C:$C,'Ausgaben 2025'!$C152,Einzelbeträge!$E:$E,'Ausgaben 2025'!N$6)</f>
        <v>0</v>
      </c>
      <c r="O152" s="6"/>
    </row>
    <row r="153" spans="2:15" x14ac:dyDescent="0.35">
      <c r="B153" s="5"/>
      <c r="C153" s="40">
        <f t="shared" si="20"/>
        <v>45791</v>
      </c>
      <c r="D153" s="46">
        <f>SUMIFS(Einzelbeträge!$D:$D,Einzelbeträge!$C:$C,'Ausgaben 2025'!$C153)</f>
        <v>0</v>
      </c>
      <c r="E153" s="21">
        <f>SUMIFS(Einzelbeträge!$D:$D,Einzelbeträge!$C:$C,'Ausgaben 2025'!$C153,Einzelbeträge!$E:$E,'Ausgaben 2025'!E$6)</f>
        <v>0</v>
      </c>
      <c r="F153" s="21">
        <f>SUMIFS(Einzelbeträge!$D:$D,Einzelbeträge!$C:$C,'Ausgaben 2025'!$C153,Einzelbeträge!$E:$E,'Ausgaben 2025'!F$6)</f>
        <v>0</v>
      </c>
      <c r="G153" s="21">
        <f>SUMIFS(Einzelbeträge!$D:$D,Einzelbeträge!$C:$C,'Ausgaben 2025'!$C153,Einzelbeträge!$E:$E,'Ausgaben 2025'!G$6)</f>
        <v>0</v>
      </c>
      <c r="H153" s="21">
        <f>SUMIFS(Einzelbeträge!$D:$D,Einzelbeträge!$C:$C,'Ausgaben 2025'!$C153,Einzelbeträge!$E:$E,'Ausgaben 2025'!H$6)</f>
        <v>0</v>
      </c>
      <c r="I153" s="21">
        <f>SUMIFS(Einzelbeträge!$D:$D,Einzelbeträge!$C:$C,'Ausgaben 2025'!$C153,Einzelbeträge!$E:$E,'Ausgaben 2025'!I$6)</f>
        <v>0</v>
      </c>
      <c r="J153" s="21">
        <f>SUMIFS(Einzelbeträge!$D:$D,Einzelbeträge!$C:$C,'Ausgaben 2025'!$C153,Einzelbeträge!$E:$E,'Ausgaben 2025'!J$6)</f>
        <v>0</v>
      </c>
      <c r="K153" s="21">
        <f>SUMIFS(Einzelbeträge!$D:$D,Einzelbeträge!$C:$C,'Ausgaben 2025'!$C153,Einzelbeträge!$E:$E,'Ausgaben 2025'!K$6)</f>
        <v>0</v>
      </c>
      <c r="L153" s="21">
        <f>SUMIFS(Einzelbeträge!$D:$D,Einzelbeträge!$C:$C,'Ausgaben 2025'!$C153,Einzelbeträge!$E:$E,'Ausgaben 2025'!L$6)</f>
        <v>0</v>
      </c>
      <c r="M153" s="21">
        <f>SUMIFS(Einzelbeträge!$D:$D,Einzelbeträge!$C:$C,'Ausgaben 2025'!$C153,Einzelbeträge!$E:$E,'Ausgaben 2025'!M$6)</f>
        <v>0</v>
      </c>
      <c r="N153" s="35">
        <f>SUMIFS(Einzelbeträge!$D:$D,Einzelbeträge!$C:$C,'Ausgaben 2025'!$C153,Einzelbeträge!$E:$E,'Ausgaben 2025'!N$6)</f>
        <v>0</v>
      </c>
      <c r="O153" s="6"/>
    </row>
    <row r="154" spans="2:15" x14ac:dyDescent="0.35">
      <c r="B154" s="5"/>
      <c r="C154" s="40">
        <f t="shared" si="20"/>
        <v>45792</v>
      </c>
      <c r="D154" s="46">
        <f>SUMIFS(Einzelbeträge!$D:$D,Einzelbeträge!$C:$C,'Ausgaben 2025'!$C154)</f>
        <v>0</v>
      </c>
      <c r="E154" s="21">
        <f>SUMIFS(Einzelbeträge!$D:$D,Einzelbeträge!$C:$C,'Ausgaben 2025'!$C154,Einzelbeträge!$E:$E,'Ausgaben 2025'!E$6)</f>
        <v>0</v>
      </c>
      <c r="F154" s="21">
        <f>SUMIFS(Einzelbeträge!$D:$D,Einzelbeträge!$C:$C,'Ausgaben 2025'!$C154,Einzelbeträge!$E:$E,'Ausgaben 2025'!F$6)</f>
        <v>0</v>
      </c>
      <c r="G154" s="21">
        <f>SUMIFS(Einzelbeträge!$D:$D,Einzelbeträge!$C:$C,'Ausgaben 2025'!$C154,Einzelbeträge!$E:$E,'Ausgaben 2025'!G$6)</f>
        <v>0</v>
      </c>
      <c r="H154" s="21">
        <f>SUMIFS(Einzelbeträge!$D:$D,Einzelbeträge!$C:$C,'Ausgaben 2025'!$C154,Einzelbeträge!$E:$E,'Ausgaben 2025'!H$6)</f>
        <v>0</v>
      </c>
      <c r="I154" s="21">
        <f>SUMIFS(Einzelbeträge!$D:$D,Einzelbeträge!$C:$C,'Ausgaben 2025'!$C154,Einzelbeträge!$E:$E,'Ausgaben 2025'!I$6)</f>
        <v>0</v>
      </c>
      <c r="J154" s="21">
        <f>SUMIFS(Einzelbeträge!$D:$D,Einzelbeträge!$C:$C,'Ausgaben 2025'!$C154,Einzelbeträge!$E:$E,'Ausgaben 2025'!J$6)</f>
        <v>0</v>
      </c>
      <c r="K154" s="21">
        <f>SUMIFS(Einzelbeträge!$D:$D,Einzelbeträge!$C:$C,'Ausgaben 2025'!$C154,Einzelbeträge!$E:$E,'Ausgaben 2025'!K$6)</f>
        <v>0</v>
      </c>
      <c r="L154" s="21">
        <f>SUMIFS(Einzelbeträge!$D:$D,Einzelbeträge!$C:$C,'Ausgaben 2025'!$C154,Einzelbeträge!$E:$E,'Ausgaben 2025'!L$6)</f>
        <v>0</v>
      </c>
      <c r="M154" s="21">
        <f>SUMIFS(Einzelbeträge!$D:$D,Einzelbeträge!$C:$C,'Ausgaben 2025'!$C154,Einzelbeträge!$E:$E,'Ausgaben 2025'!M$6)</f>
        <v>0</v>
      </c>
      <c r="N154" s="35">
        <f>SUMIFS(Einzelbeträge!$D:$D,Einzelbeträge!$C:$C,'Ausgaben 2025'!$C154,Einzelbeträge!$E:$E,'Ausgaben 2025'!N$6)</f>
        <v>0</v>
      </c>
      <c r="O154" s="6"/>
    </row>
    <row r="155" spans="2:15" x14ac:dyDescent="0.35">
      <c r="B155" s="5"/>
      <c r="C155" s="40">
        <f t="shared" si="20"/>
        <v>45793</v>
      </c>
      <c r="D155" s="46">
        <f>SUMIFS(Einzelbeträge!$D:$D,Einzelbeträge!$C:$C,'Ausgaben 2025'!$C155)</f>
        <v>0</v>
      </c>
      <c r="E155" s="21">
        <f>SUMIFS(Einzelbeträge!$D:$D,Einzelbeträge!$C:$C,'Ausgaben 2025'!$C155,Einzelbeträge!$E:$E,'Ausgaben 2025'!E$6)</f>
        <v>0</v>
      </c>
      <c r="F155" s="21">
        <f>SUMIFS(Einzelbeträge!$D:$D,Einzelbeträge!$C:$C,'Ausgaben 2025'!$C155,Einzelbeträge!$E:$E,'Ausgaben 2025'!F$6)</f>
        <v>0</v>
      </c>
      <c r="G155" s="21">
        <f>SUMIFS(Einzelbeträge!$D:$D,Einzelbeträge!$C:$C,'Ausgaben 2025'!$C155,Einzelbeträge!$E:$E,'Ausgaben 2025'!G$6)</f>
        <v>0</v>
      </c>
      <c r="H155" s="21">
        <f>SUMIFS(Einzelbeträge!$D:$D,Einzelbeträge!$C:$C,'Ausgaben 2025'!$C155,Einzelbeträge!$E:$E,'Ausgaben 2025'!H$6)</f>
        <v>0</v>
      </c>
      <c r="I155" s="21">
        <f>SUMIFS(Einzelbeträge!$D:$D,Einzelbeträge!$C:$C,'Ausgaben 2025'!$C155,Einzelbeträge!$E:$E,'Ausgaben 2025'!I$6)</f>
        <v>0</v>
      </c>
      <c r="J155" s="21">
        <f>SUMIFS(Einzelbeträge!$D:$D,Einzelbeträge!$C:$C,'Ausgaben 2025'!$C155,Einzelbeträge!$E:$E,'Ausgaben 2025'!J$6)</f>
        <v>0</v>
      </c>
      <c r="K155" s="21">
        <f>SUMIFS(Einzelbeträge!$D:$D,Einzelbeträge!$C:$C,'Ausgaben 2025'!$C155,Einzelbeträge!$E:$E,'Ausgaben 2025'!K$6)</f>
        <v>0</v>
      </c>
      <c r="L155" s="21">
        <f>SUMIFS(Einzelbeträge!$D:$D,Einzelbeträge!$C:$C,'Ausgaben 2025'!$C155,Einzelbeträge!$E:$E,'Ausgaben 2025'!L$6)</f>
        <v>0</v>
      </c>
      <c r="M155" s="21">
        <f>SUMIFS(Einzelbeträge!$D:$D,Einzelbeträge!$C:$C,'Ausgaben 2025'!$C155,Einzelbeträge!$E:$E,'Ausgaben 2025'!M$6)</f>
        <v>0</v>
      </c>
      <c r="N155" s="35">
        <f>SUMIFS(Einzelbeträge!$D:$D,Einzelbeträge!$C:$C,'Ausgaben 2025'!$C155,Einzelbeträge!$E:$E,'Ausgaben 2025'!N$6)</f>
        <v>0</v>
      </c>
      <c r="O155" s="6"/>
    </row>
    <row r="156" spans="2:15" x14ac:dyDescent="0.35">
      <c r="B156" s="5"/>
      <c r="C156" s="40">
        <f t="shared" si="20"/>
        <v>45794</v>
      </c>
      <c r="D156" s="46">
        <f>SUMIFS(Einzelbeträge!$D:$D,Einzelbeträge!$C:$C,'Ausgaben 2025'!$C156)</f>
        <v>0</v>
      </c>
      <c r="E156" s="21">
        <f>SUMIFS(Einzelbeträge!$D:$D,Einzelbeträge!$C:$C,'Ausgaben 2025'!$C156,Einzelbeträge!$E:$E,'Ausgaben 2025'!E$6)</f>
        <v>0</v>
      </c>
      <c r="F156" s="21">
        <f>SUMIFS(Einzelbeträge!$D:$D,Einzelbeträge!$C:$C,'Ausgaben 2025'!$C156,Einzelbeträge!$E:$E,'Ausgaben 2025'!F$6)</f>
        <v>0</v>
      </c>
      <c r="G156" s="21">
        <f>SUMIFS(Einzelbeträge!$D:$D,Einzelbeträge!$C:$C,'Ausgaben 2025'!$C156,Einzelbeträge!$E:$E,'Ausgaben 2025'!G$6)</f>
        <v>0</v>
      </c>
      <c r="H156" s="21">
        <f>SUMIFS(Einzelbeträge!$D:$D,Einzelbeträge!$C:$C,'Ausgaben 2025'!$C156,Einzelbeträge!$E:$E,'Ausgaben 2025'!H$6)</f>
        <v>0</v>
      </c>
      <c r="I156" s="21">
        <f>SUMIFS(Einzelbeträge!$D:$D,Einzelbeträge!$C:$C,'Ausgaben 2025'!$C156,Einzelbeträge!$E:$E,'Ausgaben 2025'!I$6)</f>
        <v>0</v>
      </c>
      <c r="J156" s="21">
        <f>SUMIFS(Einzelbeträge!$D:$D,Einzelbeträge!$C:$C,'Ausgaben 2025'!$C156,Einzelbeträge!$E:$E,'Ausgaben 2025'!J$6)</f>
        <v>0</v>
      </c>
      <c r="K156" s="21">
        <f>SUMIFS(Einzelbeträge!$D:$D,Einzelbeträge!$C:$C,'Ausgaben 2025'!$C156,Einzelbeträge!$E:$E,'Ausgaben 2025'!K$6)</f>
        <v>0</v>
      </c>
      <c r="L156" s="21">
        <f>SUMIFS(Einzelbeträge!$D:$D,Einzelbeträge!$C:$C,'Ausgaben 2025'!$C156,Einzelbeträge!$E:$E,'Ausgaben 2025'!L$6)</f>
        <v>0</v>
      </c>
      <c r="M156" s="21">
        <f>SUMIFS(Einzelbeträge!$D:$D,Einzelbeträge!$C:$C,'Ausgaben 2025'!$C156,Einzelbeträge!$E:$E,'Ausgaben 2025'!M$6)</f>
        <v>0</v>
      </c>
      <c r="N156" s="35">
        <f>SUMIFS(Einzelbeträge!$D:$D,Einzelbeträge!$C:$C,'Ausgaben 2025'!$C156,Einzelbeträge!$E:$E,'Ausgaben 2025'!N$6)</f>
        <v>0</v>
      </c>
      <c r="O156" s="6"/>
    </row>
    <row r="157" spans="2:15" x14ac:dyDescent="0.35">
      <c r="B157" s="5"/>
      <c r="C157" s="40">
        <f t="shared" si="20"/>
        <v>45795</v>
      </c>
      <c r="D157" s="46">
        <f>SUMIFS(Einzelbeträge!$D:$D,Einzelbeträge!$C:$C,'Ausgaben 2025'!$C157)</f>
        <v>0</v>
      </c>
      <c r="E157" s="21">
        <f>SUMIFS(Einzelbeträge!$D:$D,Einzelbeträge!$C:$C,'Ausgaben 2025'!$C157,Einzelbeträge!$E:$E,'Ausgaben 2025'!E$6)</f>
        <v>0</v>
      </c>
      <c r="F157" s="21">
        <f>SUMIFS(Einzelbeträge!$D:$D,Einzelbeträge!$C:$C,'Ausgaben 2025'!$C157,Einzelbeträge!$E:$E,'Ausgaben 2025'!F$6)</f>
        <v>0</v>
      </c>
      <c r="G157" s="21">
        <f>SUMIFS(Einzelbeträge!$D:$D,Einzelbeträge!$C:$C,'Ausgaben 2025'!$C157,Einzelbeträge!$E:$E,'Ausgaben 2025'!G$6)</f>
        <v>0</v>
      </c>
      <c r="H157" s="21">
        <f>SUMIFS(Einzelbeträge!$D:$D,Einzelbeträge!$C:$C,'Ausgaben 2025'!$C157,Einzelbeträge!$E:$E,'Ausgaben 2025'!H$6)</f>
        <v>0</v>
      </c>
      <c r="I157" s="21">
        <f>SUMIFS(Einzelbeträge!$D:$D,Einzelbeträge!$C:$C,'Ausgaben 2025'!$C157,Einzelbeträge!$E:$E,'Ausgaben 2025'!I$6)</f>
        <v>0</v>
      </c>
      <c r="J157" s="21">
        <f>SUMIFS(Einzelbeträge!$D:$D,Einzelbeträge!$C:$C,'Ausgaben 2025'!$C157,Einzelbeträge!$E:$E,'Ausgaben 2025'!J$6)</f>
        <v>0</v>
      </c>
      <c r="K157" s="21">
        <f>SUMIFS(Einzelbeträge!$D:$D,Einzelbeträge!$C:$C,'Ausgaben 2025'!$C157,Einzelbeträge!$E:$E,'Ausgaben 2025'!K$6)</f>
        <v>0</v>
      </c>
      <c r="L157" s="21">
        <f>SUMIFS(Einzelbeträge!$D:$D,Einzelbeträge!$C:$C,'Ausgaben 2025'!$C157,Einzelbeträge!$E:$E,'Ausgaben 2025'!L$6)</f>
        <v>0</v>
      </c>
      <c r="M157" s="21">
        <f>SUMIFS(Einzelbeträge!$D:$D,Einzelbeträge!$C:$C,'Ausgaben 2025'!$C157,Einzelbeträge!$E:$E,'Ausgaben 2025'!M$6)</f>
        <v>0</v>
      </c>
      <c r="N157" s="35">
        <f>SUMIFS(Einzelbeträge!$D:$D,Einzelbeträge!$C:$C,'Ausgaben 2025'!$C157,Einzelbeträge!$E:$E,'Ausgaben 2025'!N$6)</f>
        <v>0</v>
      </c>
      <c r="O157" s="6"/>
    </row>
    <row r="158" spans="2:15" x14ac:dyDescent="0.35">
      <c r="B158" s="5"/>
      <c r="C158" s="40">
        <f t="shared" si="20"/>
        <v>45796</v>
      </c>
      <c r="D158" s="46">
        <f>SUMIFS(Einzelbeträge!$D:$D,Einzelbeträge!$C:$C,'Ausgaben 2025'!$C158)</f>
        <v>0</v>
      </c>
      <c r="E158" s="21">
        <f>SUMIFS(Einzelbeträge!$D:$D,Einzelbeträge!$C:$C,'Ausgaben 2025'!$C158,Einzelbeträge!$E:$E,'Ausgaben 2025'!E$6)</f>
        <v>0</v>
      </c>
      <c r="F158" s="21">
        <f>SUMIFS(Einzelbeträge!$D:$D,Einzelbeträge!$C:$C,'Ausgaben 2025'!$C158,Einzelbeträge!$E:$E,'Ausgaben 2025'!F$6)</f>
        <v>0</v>
      </c>
      <c r="G158" s="21">
        <f>SUMIFS(Einzelbeträge!$D:$D,Einzelbeträge!$C:$C,'Ausgaben 2025'!$C158,Einzelbeträge!$E:$E,'Ausgaben 2025'!G$6)</f>
        <v>0</v>
      </c>
      <c r="H158" s="21">
        <f>SUMIFS(Einzelbeträge!$D:$D,Einzelbeträge!$C:$C,'Ausgaben 2025'!$C158,Einzelbeträge!$E:$E,'Ausgaben 2025'!H$6)</f>
        <v>0</v>
      </c>
      <c r="I158" s="21">
        <f>SUMIFS(Einzelbeträge!$D:$D,Einzelbeträge!$C:$C,'Ausgaben 2025'!$C158,Einzelbeträge!$E:$E,'Ausgaben 2025'!I$6)</f>
        <v>0</v>
      </c>
      <c r="J158" s="21">
        <f>SUMIFS(Einzelbeträge!$D:$D,Einzelbeträge!$C:$C,'Ausgaben 2025'!$C158,Einzelbeträge!$E:$E,'Ausgaben 2025'!J$6)</f>
        <v>0</v>
      </c>
      <c r="K158" s="21">
        <f>SUMIFS(Einzelbeträge!$D:$D,Einzelbeträge!$C:$C,'Ausgaben 2025'!$C158,Einzelbeträge!$E:$E,'Ausgaben 2025'!K$6)</f>
        <v>0</v>
      </c>
      <c r="L158" s="21">
        <f>SUMIFS(Einzelbeträge!$D:$D,Einzelbeträge!$C:$C,'Ausgaben 2025'!$C158,Einzelbeträge!$E:$E,'Ausgaben 2025'!L$6)</f>
        <v>0</v>
      </c>
      <c r="M158" s="21">
        <f>SUMIFS(Einzelbeträge!$D:$D,Einzelbeträge!$C:$C,'Ausgaben 2025'!$C158,Einzelbeträge!$E:$E,'Ausgaben 2025'!M$6)</f>
        <v>0</v>
      </c>
      <c r="N158" s="35">
        <f>SUMIFS(Einzelbeträge!$D:$D,Einzelbeträge!$C:$C,'Ausgaben 2025'!$C158,Einzelbeträge!$E:$E,'Ausgaben 2025'!N$6)</f>
        <v>0</v>
      </c>
      <c r="O158" s="6"/>
    </row>
    <row r="159" spans="2:15" x14ac:dyDescent="0.35">
      <c r="B159" s="5"/>
      <c r="C159" s="40">
        <f t="shared" si="20"/>
        <v>45797</v>
      </c>
      <c r="D159" s="46">
        <f>SUMIFS(Einzelbeträge!$D:$D,Einzelbeträge!$C:$C,'Ausgaben 2025'!$C159)</f>
        <v>0</v>
      </c>
      <c r="E159" s="21">
        <f>SUMIFS(Einzelbeträge!$D:$D,Einzelbeträge!$C:$C,'Ausgaben 2025'!$C159,Einzelbeträge!$E:$E,'Ausgaben 2025'!E$6)</f>
        <v>0</v>
      </c>
      <c r="F159" s="21">
        <f>SUMIFS(Einzelbeträge!$D:$D,Einzelbeträge!$C:$C,'Ausgaben 2025'!$C159,Einzelbeträge!$E:$E,'Ausgaben 2025'!F$6)</f>
        <v>0</v>
      </c>
      <c r="G159" s="21">
        <f>SUMIFS(Einzelbeträge!$D:$D,Einzelbeträge!$C:$C,'Ausgaben 2025'!$C159,Einzelbeträge!$E:$E,'Ausgaben 2025'!G$6)</f>
        <v>0</v>
      </c>
      <c r="H159" s="21">
        <f>SUMIFS(Einzelbeträge!$D:$D,Einzelbeträge!$C:$C,'Ausgaben 2025'!$C159,Einzelbeträge!$E:$E,'Ausgaben 2025'!H$6)</f>
        <v>0</v>
      </c>
      <c r="I159" s="21">
        <f>SUMIFS(Einzelbeträge!$D:$D,Einzelbeträge!$C:$C,'Ausgaben 2025'!$C159,Einzelbeträge!$E:$E,'Ausgaben 2025'!I$6)</f>
        <v>0</v>
      </c>
      <c r="J159" s="21">
        <f>SUMIFS(Einzelbeträge!$D:$D,Einzelbeträge!$C:$C,'Ausgaben 2025'!$C159,Einzelbeträge!$E:$E,'Ausgaben 2025'!J$6)</f>
        <v>0</v>
      </c>
      <c r="K159" s="21">
        <f>SUMIFS(Einzelbeträge!$D:$D,Einzelbeträge!$C:$C,'Ausgaben 2025'!$C159,Einzelbeträge!$E:$E,'Ausgaben 2025'!K$6)</f>
        <v>0</v>
      </c>
      <c r="L159" s="21">
        <f>SUMIFS(Einzelbeträge!$D:$D,Einzelbeträge!$C:$C,'Ausgaben 2025'!$C159,Einzelbeträge!$E:$E,'Ausgaben 2025'!L$6)</f>
        <v>0</v>
      </c>
      <c r="M159" s="21">
        <f>SUMIFS(Einzelbeträge!$D:$D,Einzelbeträge!$C:$C,'Ausgaben 2025'!$C159,Einzelbeträge!$E:$E,'Ausgaben 2025'!M$6)</f>
        <v>0</v>
      </c>
      <c r="N159" s="35">
        <f>SUMIFS(Einzelbeträge!$D:$D,Einzelbeträge!$C:$C,'Ausgaben 2025'!$C159,Einzelbeträge!$E:$E,'Ausgaben 2025'!N$6)</f>
        <v>0</v>
      </c>
      <c r="O159" s="6"/>
    </row>
    <row r="160" spans="2:15" x14ac:dyDescent="0.35">
      <c r="B160" s="5"/>
      <c r="C160" s="40">
        <f t="shared" si="20"/>
        <v>45798</v>
      </c>
      <c r="D160" s="46">
        <f>SUMIFS(Einzelbeträge!$D:$D,Einzelbeträge!$C:$C,'Ausgaben 2025'!$C160)</f>
        <v>0</v>
      </c>
      <c r="E160" s="21">
        <f>SUMIFS(Einzelbeträge!$D:$D,Einzelbeträge!$C:$C,'Ausgaben 2025'!$C160,Einzelbeträge!$E:$E,'Ausgaben 2025'!E$6)</f>
        <v>0</v>
      </c>
      <c r="F160" s="21">
        <f>SUMIFS(Einzelbeträge!$D:$D,Einzelbeträge!$C:$C,'Ausgaben 2025'!$C160,Einzelbeträge!$E:$E,'Ausgaben 2025'!F$6)</f>
        <v>0</v>
      </c>
      <c r="G160" s="21">
        <f>SUMIFS(Einzelbeträge!$D:$D,Einzelbeträge!$C:$C,'Ausgaben 2025'!$C160,Einzelbeträge!$E:$E,'Ausgaben 2025'!G$6)</f>
        <v>0</v>
      </c>
      <c r="H160" s="21">
        <f>SUMIFS(Einzelbeträge!$D:$D,Einzelbeträge!$C:$C,'Ausgaben 2025'!$C160,Einzelbeträge!$E:$E,'Ausgaben 2025'!H$6)</f>
        <v>0</v>
      </c>
      <c r="I160" s="21">
        <f>SUMIFS(Einzelbeträge!$D:$D,Einzelbeträge!$C:$C,'Ausgaben 2025'!$C160,Einzelbeträge!$E:$E,'Ausgaben 2025'!I$6)</f>
        <v>0</v>
      </c>
      <c r="J160" s="21">
        <f>SUMIFS(Einzelbeträge!$D:$D,Einzelbeträge!$C:$C,'Ausgaben 2025'!$C160,Einzelbeträge!$E:$E,'Ausgaben 2025'!J$6)</f>
        <v>0</v>
      </c>
      <c r="K160" s="21">
        <f>SUMIFS(Einzelbeträge!$D:$D,Einzelbeträge!$C:$C,'Ausgaben 2025'!$C160,Einzelbeträge!$E:$E,'Ausgaben 2025'!K$6)</f>
        <v>0</v>
      </c>
      <c r="L160" s="21">
        <f>SUMIFS(Einzelbeträge!$D:$D,Einzelbeträge!$C:$C,'Ausgaben 2025'!$C160,Einzelbeträge!$E:$E,'Ausgaben 2025'!L$6)</f>
        <v>0</v>
      </c>
      <c r="M160" s="21">
        <f>SUMIFS(Einzelbeträge!$D:$D,Einzelbeträge!$C:$C,'Ausgaben 2025'!$C160,Einzelbeträge!$E:$E,'Ausgaben 2025'!M$6)</f>
        <v>0</v>
      </c>
      <c r="N160" s="35">
        <f>SUMIFS(Einzelbeträge!$D:$D,Einzelbeträge!$C:$C,'Ausgaben 2025'!$C160,Einzelbeträge!$E:$E,'Ausgaben 2025'!N$6)</f>
        <v>0</v>
      </c>
      <c r="O160" s="6"/>
    </row>
    <row r="161" spans="2:15" x14ac:dyDescent="0.35">
      <c r="B161" s="5"/>
      <c r="C161" s="40">
        <f t="shared" si="20"/>
        <v>45799</v>
      </c>
      <c r="D161" s="46">
        <f>SUMIFS(Einzelbeträge!$D:$D,Einzelbeträge!$C:$C,'Ausgaben 2025'!$C161)</f>
        <v>0</v>
      </c>
      <c r="E161" s="21">
        <f>SUMIFS(Einzelbeträge!$D:$D,Einzelbeträge!$C:$C,'Ausgaben 2025'!$C161,Einzelbeträge!$E:$E,'Ausgaben 2025'!E$6)</f>
        <v>0</v>
      </c>
      <c r="F161" s="21">
        <f>SUMIFS(Einzelbeträge!$D:$D,Einzelbeträge!$C:$C,'Ausgaben 2025'!$C161,Einzelbeträge!$E:$E,'Ausgaben 2025'!F$6)</f>
        <v>0</v>
      </c>
      <c r="G161" s="21">
        <f>SUMIFS(Einzelbeträge!$D:$D,Einzelbeträge!$C:$C,'Ausgaben 2025'!$C161,Einzelbeträge!$E:$E,'Ausgaben 2025'!G$6)</f>
        <v>0</v>
      </c>
      <c r="H161" s="21">
        <f>SUMIFS(Einzelbeträge!$D:$D,Einzelbeträge!$C:$C,'Ausgaben 2025'!$C161,Einzelbeträge!$E:$E,'Ausgaben 2025'!H$6)</f>
        <v>0</v>
      </c>
      <c r="I161" s="21">
        <f>SUMIFS(Einzelbeträge!$D:$D,Einzelbeträge!$C:$C,'Ausgaben 2025'!$C161,Einzelbeträge!$E:$E,'Ausgaben 2025'!I$6)</f>
        <v>0</v>
      </c>
      <c r="J161" s="21">
        <f>SUMIFS(Einzelbeträge!$D:$D,Einzelbeträge!$C:$C,'Ausgaben 2025'!$C161,Einzelbeträge!$E:$E,'Ausgaben 2025'!J$6)</f>
        <v>0</v>
      </c>
      <c r="K161" s="21">
        <f>SUMIFS(Einzelbeträge!$D:$D,Einzelbeträge!$C:$C,'Ausgaben 2025'!$C161,Einzelbeträge!$E:$E,'Ausgaben 2025'!K$6)</f>
        <v>0</v>
      </c>
      <c r="L161" s="21">
        <f>SUMIFS(Einzelbeträge!$D:$D,Einzelbeträge!$C:$C,'Ausgaben 2025'!$C161,Einzelbeträge!$E:$E,'Ausgaben 2025'!L$6)</f>
        <v>0</v>
      </c>
      <c r="M161" s="21">
        <f>SUMIFS(Einzelbeträge!$D:$D,Einzelbeträge!$C:$C,'Ausgaben 2025'!$C161,Einzelbeträge!$E:$E,'Ausgaben 2025'!M$6)</f>
        <v>0</v>
      </c>
      <c r="N161" s="35">
        <f>SUMIFS(Einzelbeträge!$D:$D,Einzelbeträge!$C:$C,'Ausgaben 2025'!$C161,Einzelbeträge!$E:$E,'Ausgaben 2025'!N$6)</f>
        <v>0</v>
      </c>
      <c r="O161" s="6"/>
    </row>
    <row r="162" spans="2:15" x14ac:dyDescent="0.35">
      <c r="B162" s="5"/>
      <c r="C162" s="40">
        <f t="shared" si="20"/>
        <v>45800</v>
      </c>
      <c r="D162" s="46">
        <f>SUMIFS(Einzelbeträge!$D:$D,Einzelbeträge!$C:$C,'Ausgaben 2025'!$C162)</f>
        <v>0</v>
      </c>
      <c r="E162" s="21">
        <f>SUMIFS(Einzelbeträge!$D:$D,Einzelbeträge!$C:$C,'Ausgaben 2025'!$C162,Einzelbeträge!$E:$E,'Ausgaben 2025'!E$6)</f>
        <v>0</v>
      </c>
      <c r="F162" s="21">
        <f>SUMIFS(Einzelbeträge!$D:$D,Einzelbeträge!$C:$C,'Ausgaben 2025'!$C162,Einzelbeträge!$E:$E,'Ausgaben 2025'!F$6)</f>
        <v>0</v>
      </c>
      <c r="G162" s="21">
        <f>SUMIFS(Einzelbeträge!$D:$D,Einzelbeträge!$C:$C,'Ausgaben 2025'!$C162,Einzelbeträge!$E:$E,'Ausgaben 2025'!G$6)</f>
        <v>0</v>
      </c>
      <c r="H162" s="21">
        <f>SUMIFS(Einzelbeträge!$D:$D,Einzelbeträge!$C:$C,'Ausgaben 2025'!$C162,Einzelbeträge!$E:$E,'Ausgaben 2025'!H$6)</f>
        <v>0</v>
      </c>
      <c r="I162" s="21">
        <f>SUMIFS(Einzelbeträge!$D:$D,Einzelbeträge!$C:$C,'Ausgaben 2025'!$C162,Einzelbeträge!$E:$E,'Ausgaben 2025'!I$6)</f>
        <v>0</v>
      </c>
      <c r="J162" s="21">
        <f>SUMIFS(Einzelbeträge!$D:$D,Einzelbeträge!$C:$C,'Ausgaben 2025'!$C162,Einzelbeträge!$E:$E,'Ausgaben 2025'!J$6)</f>
        <v>0</v>
      </c>
      <c r="K162" s="21">
        <f>SUMIFS(Einzelbeträge!$D:$D,Einzelbeträge!$C:$C,'Ausgaben 2025'!$C162,Einzelbeträge!$E:$E,'Ausgaben 2025'!K$6)</f>
        <v>0</v>
      </c>
      <c r="L162" s="21">
        <f>SUMIFS(Einzelbeträge!$D:$D,Einzelbeträge!$C:$C,'Ausgaben 2025'!$C162,Einzelbeträge!$E:$E,'Ausgaben 2025'!L$6)</f>
        <v>0</v>
      </c>
      <c r="M162" s="21">
        <f>SUMIFS(Einzelbeträge!$D:$D,Einzelbeträge!$C:$C,'Ausgaben 2025'!$C162,Einzelbeträge!$E:$E,'Ausgaben 2025'!M$6)</f>
        <v>0</v>
      </c>
      <c r="N162" s="35">
        <f>SUMIFS(Einzelbeträge!$D:$D,Einzelbeträge!$C:$C,'Ausgaben 2025'!$C162,Einzelbeträge!$E:$E,'Ausgaben 2025'!N$6)</f>
        <v>0</v>
      </c>
      <c r="O162" s="6"/>
    </row>
    <row r="163" spans="2:15" x14ac:dyDescent="0.35">
      <c r="B163" s="5"/>
      <c r="C163" s="40">
        <f t="shared" si="20"/>
        <v>45801</v>
      </c>
      <c r="D163" s="46">
        <f>SUMIFS(Einzelbeträge!$D:$D,Einzelbeträge!$C:$C,'Ausgaben 2025'!$C163)</f>
        <v>0</v>
      </c>
      <c r="E163" s="21">
        <f>SUMIFS(Einzelbeträge!$D:$D,Einzelbeträge!$C:$C,'Ausgaben 2025'!$C163,Einzelbeträge!$E:$E,'Ausgaben 2025'!E$6)</f>
        <v>0</v>
      </c>
      <c r="F163" s="21">
        <f>SUMIFS(Einzelbeträge!$D:$D,Einzelbeträge!$C:$C,'Ausgaben 2025'!$C163,Einzelbeträge!$E:$E,'Ausgaben 2025'!F$6)</f>
        <v>0</v>
      </c>
      <c r="G163" s="21">
        <f>SUMIFS(Einzelbeträge!$D:$D,Einzelbeträge!$C:$C,'Ausgaben 2025'!$C163,Einzelbeträge!$E:$E,'Ausgaben 2025'!G$6)</f>
        <v>0</v>
      </c>
      <c r="H163" s="21">
        <f>SUMIFS(Einzelbeträge!$D:$D,Einzelbeträge!$C:$C,'Ausgaben 2025'!$C163,Einzelbeträge!$E:$E,'Ausgaben 2025'!H$6)</f>
        <v>0</v>
      </c>
      <c r="I163" s="21">
        <f>SUMIFS(Einzelbeträge!$D:$D,Einzelbeträge!$C:$C,'Ausgaben 2025'!$C163,Einzelbeträge!$E:$E,'Ausgaben 2025'!I$6)</f>
        <v>0</v>
      </c>
      <c r="J163" s="21">
        <f>SUMIFS(Einzelbeträge!$D:$D,Einzelbeträge!$C:$C,'Ausgaben 2025'!$C163,Einzelbeträge!$E:$E,'Ausgaben 2025'!J$6)</f>
        <v>0</v>
      </c>
      <c r="K163" s="21">
        <f>SUMIFS(Einzelbeträge!$D:$D,Einzelbeträge!$C:$C,'Ausgaben 2025'!$C163,Einzelbeträge!$E:$E,'Ausgaben 2025'!K$6)</f>
        <v>0</v>
      </c>
      <c r="L163" s="21">
        <f>SUMIFS(Einzelbeträge!$D:$D,Einzelbeträge!$C:$C,'Ausgaben 2025'!$C163,Einzelbeträge!$E:$E,'Ausgaben 2025'!L$6)</f>
        <v>0</v>
      </c>
      <c r="M163" s="21">
        <f>SUMIFS(Einzelbeträge!$D:$D,Einzelbeträge!$C:$C,'Ausgaben 2025'!$C163,Einzelbeträge!$E:$E,'Ausgaben 2025'!M$6)</f>
        <v>0</v>
      </c>
      <c r="N163" s="35">
        <f>SUMIFS(Einzelbeträge!$D:$D,Einzelbeträge!$C:$C,'Ausgaben 2025'!$C163,Einzelbeträge!$E:$E,'Ausgaben 2025'!N$6)</f>
        <v>0</v>
      </c>
      <c r="O163" s="6"/>
    </row>
    <row r="164" spans="2:15" x14ac:dyDescent="0.35">
      <c r="B164" s="5"/>
      <c r="C164" s="40">
        <f t="shared" si="20"/>
        <v>45802</v>
      </c>
      <c r="D164" s="46">
        <f>SUMIFS(Einzelbeträge!$D:$D,Einzelbeträge!$C:$C,'Ausgaben 2025'!$C164)</f>
        <v>0</v>
      </c>
      <c r="E164" s="21">
        <f>SUMIFS(Einzelbeträge!$D:$D,Einzelbeträge!$C:$C,'Ausgaben 2025'!$C164,Einzelbeträge!$E:$E,'Ausgaben 2025'!E$6)</f>
        <v>0</v>
      </c>
      <c r="F164" s="21">
        <f>SUMIFS(Einzelbeträge!$D:$D,Einzelbeträge!$C:$C,'Ausgaben 2025'!$C164,Einzelbeträge!$E:$E,'Ausgaben 2025'!F$6)</f>
        <v>0</v>
      </c>
      <c r="G164" s="21">
        <f>SUMIFS(Einzelbeträge!$D:$D,Einzelbeträge!$C:$C,'Ausgaben 2025'!$C164,Einzelbeträge!$E:$E,'Ausgaben 2025'!G$6)</f>
        <v>0</v>
      </c>
      <c r="H164" s="21">
        <f>SUMIFS(Einzelbeträge!$D:$D,Einzelbeträge!$C:$C,'Ausgaben 2025'!$C164,Einzelbeträge!$E:$E,'Ausgaben 2025'!H$6)</f>
        <v>0</v>
      </c>
      <c r="I164" s="21">
        <f>SUMIFS(Einzelbeträge!$D:$D,Einzelbeträge!$C:$C,'Ausgaben 2025'!$C164,Einzelbeträge!$E:$E,'Ausgaben 2025'!I$6)</f>
        <v>0</v>
      </c>
      <c r="J164" s="21">
        <f>SUMIFS(Einzelbeträge!$D:$D,Einzelbeträge!$C:$C,'Ausgaben 2025'!$C164,Einzelbeträge!$E:$E,'Ausgaben 2025'!J$6)</f>
        <v>0</v>
      </c>
      <c r="K164" s="21">
        <f>SUMIFS(Einzelbeträge!$D:$D,Einzelbeträge!$C:$C,'Ausgaben 2025'!$C164,Einzelbeträge!$E:$E,'Ausgaben 2025'!K$6)</f>
        <v>0</v>
      </c>
      <c r="L164" s="21">
        <f>SUMIFS(Einzelbeträge!$D:$D,Einzelbeträge!$C:$C,'Ausgaben 2025'!$C164,Einzelbeträge!$E:$E,'Ausgaben 2025'!L$6)</f>
        <v>0</v>
      </c>
      <c r="M164" s="21">
        <f>SUMIFS(Einzelbeträge!$D:$D,Einzelbeträge!$C:$C,'Ausgaben 2025'!$C164,Einzelbeträge!$E:$E,'Ausgaben 2025'!M$6)</f>
        <v>0</v>
      </c>
      <c r="N164" s="35">
        <f>SUMIFS(Einzelbeträge!$D:$D,Einzelbeträge!$C:$C,'Ausgaben 2025'!$C164,Einzelbeträge!$E:$E,'Ausgaben 2025'!N$6)</f>
        <v>0</v>
      </c>
      <c r="O164" s="6"/>
    </row>
    <row r="165" spans="2:15" x14ac:dyDescent="0.35">
      <c r="B165" s="5"/>
      <c r="C165" s="40">
        <f t="shared" si="20"/>
        <v>45803</v>
      </c>
      <c r="D165" s="46">
        <f>SUMIFS(Einzelbeträge!$D:$D,Einzelbeträge!$C:$C,'Ausgaben 2025'!$C165)</f>
        <v>0</v>
      </c>
      <c r="E165" s="21">
        <f>SUMIFS(Einzelbeträge!$D:$D,Einzelbeträge!$C:$C,'Ausgaben 2025'!$C165,Einzelbeträge!$E:$E,'Ausgaben 2025'!E$6)</f>
        <v>0</v>
      </c>
      <c r="F165" s="21">
        <f>SUMIFS(Einzelbeträge!$D:$D,Einzelbeträge!$C:$C,'Ausgaben 2025'!$C165,Einzelbeträge!$E:$E,'Ausgaben 2025'!F$6)</f>
        <v>0</v>
      </c>
      <c r="G165" s="21">
        <f>SUMIFS(Einzelbeträge!$D:$D,Einzelbeträge!$C:$C,'Ausgaben 2025'!$C165,Einzelbeträge!$E:$E,'Ausgaben 2025'!G$6)</f>
        <v>0</v>
      </c>
      <c r="H165" s="21">
        <f>SUMIFS(Einzelbeträge!$D:$D,Einzelbeträge!$C:$C,'Ausgaben 2025'!$C165,Einzelbeträge!$E:$E,'Ausgaben 2025'!H$6)</f>
        <v>0</v>
      </c>
      <c r="I165" s="21">
        <f>SUMIFS(Einzelbeträge!$D:$D,Einzelbeträge!$C:$C,'Ausgaben 2025'!$C165,Einzelbeträge!$E:$E,'Ausgaben 2025'!I$6)</f>
        <v>0</v>
      </c>
      <c r="J165" s="21">
        <f>SUMIFS(Einzelbeträge!$D:$D,Einzelbeträge!$C:$C,'Ausgaben 2025'!$C165,Einzelbeträge!$E:$E,'Ausgaben 2025'!J$6)</f>
        <v>0</v>
      </c>
      <c r="K165" s="21">
        <f>SUMIFS(Einzelbeträge!$D:$D,Einzelbeträge!$C:$C,'Ausgaben 2025'!$C165,Einzelbeträge!$E:$E,'Ausgaben 2025'!K$6)</f>
        <v>0</v>
      </c>
      <c r="L165" s="21">
        <f>SUMIFS(Einzelbeträge!$D:$D,Einzelbeträge!$C:$C,'Ausgaben 2025'!$C165,Einzelbeträge!$E:$E,'Ausgaben 2025'!L$6)</f>
        <v>0</v>
      </c>
      <c r="M165" s="21">
        <f>SUMIFS(Einzelbeträge!$D:$D,Einzelbeträge!$C:$C,'Ausgaben 2025'!$C165,Einzelbeträge!$E:$E,'Ausgaben 2025'!M$6)</f>
        <v>0</v>
      </c>
      <c r="N165" s="35">
        <f>SUMIFS(Einzelbeträge!$D:$D,Einzelbeträge!$C:$C,'Ausgaben 2025'!$C165,Einzelbeträge!$E:$E,'Ausgaben 2025'!N$6)</f>
        <v>0</v>
      </c>
      <c r="O165" s="6"/>
    </row>
    <row r="166" spans="2:15" x14ac:dyDescent="0.35">
      <c r="B166" s="5"/>
      <c r="C166" s="40">
        <f t="shared" si="20"/>
        <v>45804</v>
      </c>
      <c r="D166" s="46">
        <f>SUMIFS(Einzelbeträge!$D:$D,Einzelbeträge!$C:$C,'Ausgaben 2025'!$C166)</f>
        <v>0</v>
      </c>
      <c r="E166" s="21">
        <f>SUMIFS(Einzelbeträge!$D:$D,Einzelbeträge!$C:$C,'Ausgaben 2025'!$C166,Einzelbeträge!$E:$E,'Ausgaben 2025'!E$6)</f>
        <v>0</v>
      </c>
      <c r="F166" s="21">
        <f>SUMIFS(Einzelbeträge!$D:$D,Einzelbeträge!$C:$C,'Ausgaben 2025'!$C166,Einzelbeträge!$E:$E,'Ausgaben 2025'!F$6)</f>
        <v>0</v>
      </c>
      <c r="G166" s="21">
        <f>SUMIFS(Einzelbeträge!$D:$D,Einzelbeträge!$C:$C,'Ausgaben 2025'!$C166,Einzelbeträge!$E:$E,'Ausgaben 2025'!G$6)</f>
        <v>0</v>
      </c>
      <c r="H166" s="21">
        <f>SUMIFS(Einzelbeträge!$D:$D,Einzelbeträge!$C:$C,'Ausgaben 2025'!$C166,Einzelbeträge!$E:$E,'Ausgaben 2025'!H$6)</f>
        <v>0</v>
      </c>
      <c r="I166" s="21">
        <f>SUMIFS(Einzelbeträge!$D:$D,Einzelbeträge!$C:$C,'Ausgaben 2025'!$C166,Einzelbeträge!$E:$E,'Ausgaben 2025'!I$6)</f>
        <v>0</v>
      </c>
      <c r="J166" s="21">
        <f>SUMIFS(Einzelbeträge!$D:$D,Einzelbeträge!$C:$C,'Ausgaben 2025'!$C166,Einzelbeträge!$E:$E,'Ausgaben 2025'!J$6)</f>
        <v>0</v>
      </c>
      <c r="K166" s="21">
        <f>SUMIFS(Einzelbeträge!$D:$D,Einzelbeträge!$C:$C,'Ausgaben 2025'!$C166,Einzelbeträge!$E:$E,'Ausgaben 2025'!K$6)</f>
        <v>0</v>
      </c>
      <c r="L166" s="21">
        <f>SUMIFS(Einzelbeträge!$D:$D,Einzelbeträge!$C:$C,'Ausgaben 2025'!$C166,Einzelbeträge!$E:$E,'Ausgaben 2025'!L$6)</f>
        <v>0</v>
      </c>
      <c r="M166" s="21">
        <f>SUMIFS(Einzelbeträge!$D:$D,Einzelbeträge!$C:$C,'Ausgaben 2025'!$C166,Einzelbeträge!$E:$E,'Ausgaben 2025'!M$6)</f>
        <v>0</v>
      </c>
      <c r="N166" s="35">
        <f>SUMIFS(Einzelbeträge!$D:$D,Einzelbeträge!$C:$C,'Ausgaben 2025'!$C166,Einzelbeträge!$E:$E,'Ausgaben 2025'!N$6)</f>
        <v>0</v>
      </c>
      <c r="O166" s="6"/>
    </row>
    <row r="167" spans="2:15" x14ac:dyDescent="0.35">
      <c r="B167" s="5"/>
      <c r="C167" s="40">
        <f t="shared" si="20"/>
        <v>45805</v>
      </c>
      <c r="D167" s="46">
        <f>SUMIFS(Einzelbeträge!$D:$D,Einzelbeträge!$C:$C,'Ausgaben 2025'!$C167)</f>
        <v>0</v>
      </c>
      <c r="E167" s="21">
        <f>SUMIFS(Einzelbeträge!$D:$D,Einzelbeträge!$C:$C,'Ausgaben 2025'!$C167,Einzelbeträge!$E:$E,'Ausgaben 2025'!E$6)</f>
        <v>0</v>
      </c>
      <c r="F167" s="21">
        <f>SUMIFS(Einzelbeträge!$D:$D,Einzelbeträge!$C:$C,'Ausgaben 2025'!$C167,Einzelbeträge!$E:$E,'Ausgaben 2025'!F$6)</f>
        <v>0</v>
      </c>
      <c r="G167" s="21">
        <f>SUMIFS(Einzelbeträge!$D:$D,Einzelbeträge!$C:$C,'Ausgaben 2025'!$C167,Einzelbeträge!$E:$E,'Ausgaben 2025'!G$6)</f>
        <v>0</v>
      </c>
      <c r="H167" s="21">
        <f>SUMIFS(Einzelbeträge!$D:$D,Einzelbeträge!$C:$C,'Ausgaben 2025'!$C167,Einzelbeträge!$E:$E,'Ausgaben 2025'!H$6)</f>
        <v>0</v>
      </c>
      <c r="I167" s="21">
        <f>SUMIFS(Einzelbeträge!$D:$D,Einzelbeträge!$C:$C,'Ausgaben 2025'!$C167,Einzelbeträge!$E:$E,'Ausgaben 2025'!I$6)</f>
        <v>0</v>
      </c>
      <c r="J167" s="21">
        <f>SUMIFS(Einzelbeträge!$D:$D,Einzelbeträge!$C:$C,'Ausgaben 2025'!$C167,Einzelbeträge!$E:$E,'Ausgaben 2025'!J$6)</f>
        <v>0</v>
      </c>
      <c r="K167" s="21">
        <f>SUMIFS(Einzelbeträge!$D:$D,Einzelbeträge!$C:$C,'Ausgaben 2025'!$C167,Einzelbeträge!$E:$E,'Ausgaben 2025'!K$6)</f>
        <v>0</v>
      </c>
      <c r="L167" s="21">
        <f>SUMIFS(Einzelbeträge!$D:$D,Einzelbeträge!$C:$C,'Ausgaben 2025'!$C167,Einzelbeträge!$E:$E,'Ausgaben 2025'!L$6)</f>
        <v>0</v>
      </c>
      <c r="M167" s="21">
        <f>SUMIFS(Einzelbeträge!$D:$D,Einzelbeträge!$C:$C,'Ausgaben 2025'!$C167,Einzelbeträge!$E:$E,'Ausgaben 2025'!M$6)</f>
        <v>0</v>
      </c>
      <c r="N167" s="35">
        <f>SUMIFS(Einzelbeträge!$D:$D,Einzelbeträge!$C:$C,'Ausgaben 2025'!$C167,Einzelbeträge!$E:$E,'Ausgaben 2025'!N$6)</f>
        <v>0</v>
      </c>
      <c r="O167" s="6"/>
    </row>
    <row r="168" spans="2:15" x14ac:dyDescent="0.35">
      <c r="B168" s="5"/>
      <c r="C168" s="40">
        <f t="shared" si="20"/>
        <v>45806</v>
      </c>
      <c r="D168" s="46">
        <f>SUMIFS(Einzelbeträge!$D:$D,Einzelbeträge!$C:$C,'Ausgaben 2025'!$C168)</f>
        <v>0</v>
      </c>
      <c r="E168" s="21">
        <f>SUMIFS(Einzelbeträge!$D:$D,Einzelbeträge!$C:$C,'Ausgaben 2025'!$C168,Einzelbeträge!$E:$E,'Ausgaben 2025'!E$6)</f>
        <v>0</v>
      </c>
      <c r="F168" s="21">
        <f>SUMIFS(Einzelbeträge!$D:$D,Einzelbeträge!$C:$C,'Ausgaben 2025'!$C168,Einzelbeträge!$E:$E,'Ausgaben 2025'!F$6)</f>
        <v>0</v>
      </c>
      <c r="G168" s="21">
        <f>SUMIFS(Einzelbeträge!$D:$D,Einzelbeträge!$C:$C,'Ausgaben 2025'!$C168,Einzelbeträge!$E:$E,'Ausgaben 2025'!G$6)</f>
        <v>0</v>
      </c>
      <c r="H168" s="21">
        <f>SUMIFS(Einzelbeträge!$D:$D,Einzelbeträge!$C:$C,'Ausgaben 2025'!$C168,Einzelbeträge!$E:$E,'Ausgaben 2025'!H$6)</f>
        <v>0</v>
      </c>
      <c r="I168" s="21">
        <f>SUMIFS(Einzelbeträge!$D:$D,Einzelbeträge!$C:$C,'Ausgaben 2025'!$C168,Einzelbeträge!$E:$E,'Ausgaben 2025'!I$6)</f>
        <v>0</v>
      </c>
      <c r="J168" s="21">
        <f>SUMIFS(Einzelbeträge!$D:$D,Einzelbeträge!$C:$C,'Ausgaben 2025'!$C168,Einzelbeträge!$E:$E,'Ausgaben 2025'!J$6)</f>
        <v>0</v>
      </c>
      <c r="K168" s="21">
        <f>SUMIFS(Einzelbeträge!$D:$D,Einzelbeträge!$C:$C,'Ausgaben 2025'!$C168,Einzelbeträge!$E:$E,'Ausgaben 2025'!K$6)</f>
        <v>0</v>
      </c>
      <c r="L168" s="21">
        <f>SUMIFS(Einzelbeträge!$D:$D,Einzelbeträge!$C:$C,'Ausgaben 2025'!$C168,Einzelbeträge!$E:$E,'Ausgaben 2025'!L$6)</f>
        <v>0</v>
      </c>
      <c r="M168" s="21">
        <f>SUMIFS(Einzelbeträge!$D:$D,Einzelbeträge!$C:$C,'Ausgaben 2025'!$C168,Einzelbeträge!$E:$E,'Ausgaben 2025'!M$6)</f>
        <v>0</v>
      </c>
      <c r="N168" s="35">
        <f>SUMIFS(Einzelbeträge!$D:$D,Einzelbeträge!$C:$C,'Ausgaben 2025'!$C168,Einzelbeträge!$E:$E,'Ausgaben 2025'!N$6)</f>
        <v>0</v>
      </c>
      <c r="O168" s="6"/>
    </row>
    <row r="169" spans="2:15" x14ac:dyDescent="0.35">
      <c r="B169" s="5"/>
      <c r="C169" s="40">
        <f t="shared" si="20"/>
        <v>45807</v>
      </c>
      <c r="D169" s="46">
        <f>SUMIFS(Einzelbeträge!$D:$D,Einzelbeträge!$C:$C,'Ausgaben 2025'!$C169)</f>
        <v>0</v>
      </c>
      <c r="E169" s="21">
        <f>SUMIFS(Einzelbeträge!$D:$D,Einzelbeträge!$C:$C,'Ausgaben 2025'!$C169,Einzelbeträge!$E:$E,'Ausgaben 2025'!E$6)</f>
        <v>0</v>
      </c>
      <c r="F169" s="21">
        <f>SUMIFS(Einzelbeträge!$D:$D,Einzelbeträge!$C:$C,'Ausgaben 2025'!$C169,Einzelbeträge!$E:$E,'Ausgaben 2025'!F$6)</f>
        <v>0</v>
      </c>
      <c r="G169" s="21">
        <f>SUMIFS(Einzelbeträge!$D:$D,Einzelbeträge!$C:$C,'Ausgaben 2025'!$C169,Einzelbeträge!$E:$E,'Ausgaben 2025'!G$6)</f>
        <v>0</v>
      </c>
      <c r="H169" s="21">
        <f>SUMIFS(Einzelbeträge!$D:$D,Einzelbeträge!$C:$C,'Ausgaben 2025'!$C169,Einzelbeträge!$E:$E,'Ausgaben 2025'!H$6)</f>
        <v>0</v>
      </c>
      <c r="I169" s="21">
        <f>SUMIFS(Einzelbeträge!$D:$D,Einzelbeträge!$C:$C,'Ausgaben 2025'!$C169,Einzelbeträge!$E:$E,'Ausgaben 2025'!I$6)</f>
        <v>0</v>
      </c>
      <c r="J169" s="21">
        <f>SUMIFS(Einzelbeträge!$D:$D,Einzelbeträge!$C:$C,'Ausgaben 2025'!$C169,Einzelbeträge!$E:$E,'Ausgaben 2025'!J$6)</f>
        <v>0</v>
      </c>
      <c r="K169" s="21">
        <f>SUMIFS(Einzelbeträge!$D:$D,Einzelbeträge!$C:$C,'Ausgaben 2025'!$C169,Einzelbeträge!$E:$E,'Ausgaben 2025'!K$6)</f>
        <v>0</v>
      </c>
      <c r="L169" s="21">
        <f>SUMIFS(Einzelbeträge!$D:$D,Einzelbeträge!$C:$C,'Ausgaben 2025'!$C169,Einzelbeträge!$E:$E,'Ausgaben 2025'!L$6)</f>
        <v>0</v>
      </c>
      <c r="M169" s="21">
        <f>SUMIFS(Einzelbeträge!$D:$D,Einzelbeträge!$C:$C,'Ausgaben 2025'!$C169,Einzelbeträge!$E:$E,'Ausgaben 2025'!M$6)</f>
        <v>0</v>
      </c>
      <c r="N169" s="35">
        <f>SUMIFS(Einzelbeträge!$D:$D,Einzelbeträge!$C:$C,'Ausgaben 2025'!$C169,Einzelbeträge!$E:$E,'Ausgaben 2025'!N$6)</f>
        <v>0</v>
      </c>
      <c r="O169" s="6"/>
    </row>
    <row r="170" spans="2:15" x14ac:dyDescent="0.35">
      <c r="B170" s="5"/>
      <c r="C170" s="31">
        <f t="shared" si="20"/>
        <v>45808</v>
      </c>
      <c r="D170" s="47">
        <f>SUMIFS(Einzelbeträge!$D:$D,Einzelbeträge!$C:$C,'Ausgaben 2025'!$C170)</f>
        <v>0</v>
      </c>
      <c r="E170" s="37">
        <f>SUMIFS(Einzelbeträge!$D:$D,Einzelbeträge!$C:$C,'Ausgaben 2025'!$C170,Einzelbeträge!$E:$E,'Ausgaben 2025'!E$6)</f>
        <v>0</v>
      </c>
      <c r="F170" s="37">
        <f>SUMIFS(Einzelbeträge!$D:$D,Einzelbeträge!$C:$C,'Ausgaben 2025'!$C170,Einzelbeträge!$E:$E,'Ausgaben 2025'!F$6)</f>
        <v>0</v>
      </c>
      <c r="G170" s="37">
        <f>SUMIFS(Einzelbeträge!$D:$D,Einzelbeträge!$C:$C,'Ausgaben 2025'!$C170,Einzelbeträge!$E:$E,'Ausgaben 2025'!G$6)</f>
        <v>0</v>
      </c>
      <c r="H170" s="37">
        <f>SUMIFS(Einzelbeträge!$D:$D,Einzelbeträge!$C:$C,'Ausgaben 2025'!$C170,Einzelbeträge!$E:$E,'Ausgaben 2025'!H$6)</f>
        <v>0</v>
      </c>
      <c r="I170" s="37">
        <f>SUMIFS(Einzelbeträge!$D:$D,Einzelbeträge!$C:$C,'Ausgaben 2025'!$C170,Einzelbeträge!$E:$E,'Ausgaben 2025'!I$6)</f>
        <v>0</v>
      </c>
      <c r="J170" s="37">
        <f>SUMIFS(Einzelbeträge!$D:$D,Einzelbeträge!$C:$C,'Ausgaben 2025'!$C170,Einzelbeträge!$E:$E,'Ausgaben 2025'!J$6)</f>
        <v>0</v>
      </c>
      <c r="K170" s="37">
        <f>SUMIFS(Einzelbeträge!$D:$D,Einzelbeträge!$C:$C,'Ausgaben 2025'!$C170,Einzelbeträge!$E:$E,'Ausgaben 2025'!K$6)</f>
        <v>0</v>
      </c>
      <c r="L170" s="37">
        <f>SUMIFS(Einzelbeträge!$D:$D,Einzelbeträge!$C:$C,'Ausgaben 2025'!$C170,Einzelbeträge!$E:$E,'Ausgaben 2025'!L$6)</f>
        <v>0</v>
      </c>
      <c r="M170" s="37">
        <f>SUMIFS(Einzelbeträge!$D:$D,Einzelbeträge!$C:$C,'Ausgaben 2025'!$C170,Einzelbeträge!$E:$E,'Ausgaben 2025'!M$6)</f>
        <v>0</v>
      </c>
      <c r="N170" s="38">
        <f>SUMIFS(Einzelbeträge!$D:$D,Einzelbeträge!$C:$C,'Ausgaben 2025'!$C170,Einzelbeträge!$E:$E,'Ausgaben 2025'!N$6)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45809</v>
      </c>
      <c r="D174" s="45">
        <f>SUMIFS(Einzelbeträge!$D:$D,Einzelbeträge!$C:$C,'Ausgaben 2025'!$C174)</f>
        <v>0</v>
      </c>
      <c r="E174" s="32">
        <f>SUMIFS(Einzelbeträge!$D:$D,Einzelbeträge!$C:$C,'Ausgaben 2025'!$C174,Einzelbeträge!$E:$E,'Ausgaben 2025'!E$6)</f>
        <v>0</v>
      </c>
      <c r="F174" s="32">
        <f>SUMIFS(Einzelbeträge!$D:$D,Einzelbeträge!$C:$C,'Ausgaben 2025'!$C174,Einzelbeträge!$E:$E,'Ausgaben 2025'!F$6)</f>
        <v>0</v>
      </c>
      <c r="G174" s="32">
        <f>SUMIFS(Einzelbeträge!$D:$D,Einzelbeträge!$C:$C,'Ausgaben 2025'!$C174,Einzelbeträge!$E:$E,'Ausgaben 2025'!G$6)</f>
        <v>0</v>
      </c>
      <c r="H174" s="32">
        <f>SUMIFS(Einzelbeträge!$D:$D,Einzelbeträge!$C:$C,'Ausgaben 2025'!$C174,Einzelbeträge!$E:$E,'Ausgaben 2025'!H$6)</f>
        <v>0</v>
      </c>
      <c r="I174" s="32">
        <f>SUMIFS(Einzelbeträge!$D:$D,Einzelbeträge!$C:$C,'Ausgaben 2025'!$C174,Einzelbeträge!$E:$E,'Ausgaben 2025'!I$6)</f>
        <v>0</v>
      </c>
      <c r="J174" s="32">
        <f>SUMIFS(Einzelbeträge!$D:$D,Einzelbeträge!$C:$C,'Ausgaben 2025'!$C174,Einzelbeträge!$E:$E,'Ausgaben 2025'!J$6)</f>
        <v>0</v>
      </c>
      <c r="K174" s="32">
        <f>SUMIFS(Einzelbeträge!$D:$D,Einzelbeträge!$C:$C,'Ausgaben 2025'!$C174,Einzelbeträge!$E:$E,'Ausgaben 2025'!K$6)</f>
        <v>0</v>
      </c>
      <c r="L174" s="32">
        <f>SUMIFS(Einzelbeträge!$D:$D,Einzelbeträge!$C:$C,'Ausgaben 2025'!$C174,Einzelbeträge!$E:$E,'Ausgaben 2025'!L$6)</f>
        <v>0</v>
      </c>
      <c r="M174" s="32">
        <f>SUMIFS(Einzelbeträge!$D:$D,Einzelbeträge!$C:$C,'Ausgaben 2025'!$C174,Einzelbeträge!$E:$E,'Ausgaben 2025'!M$6)</f>
        <v>0</v>
      </c>
      <c r="N174" s="33">
        <f>SUMIFS(Einzelbeträge!$D:$D,Einzelbeträge!$C:$C,'Ausgaben 2025'!$C174,Einzelbeträge!$E:$E,'Ausgaben 2025'!N$6)</f>
        <v>0</v>
      </c>
      <c r="O174" s="6"/>
    </row>
    <row r="175" spans="2:15" x14ac:dyDescent="0.35">
      <c r="B175" s="5"/>
      <c r="C175" s="30">
        <f>C174+1</f>
        <v>45810</v>
      </c>
      <c r="D175" s="46">
        <f>SUMIFS(Einzelbeträge!$D:$D,Einzelbeträge!$C:$C,'Ausgaben 2025'!$C175)</f>
        <v>0</v>
      </c>
      <c r="E175" s="21">
        <f>SUMIFS(Einzelbeträge!$D:$D,Einzelbeträge!$C:$C,'Ausgaben 2025'!$C175,Einzelbeträge!$E:$E,'Ausgaben 2025'!E$6)</f>
        <v>0</v>
      </c>
      <c r="F175" s="21">
        <f>SUMIFS(Einzelbeträge!$D:$D,Einzelbeträge!$C:$C,'Ausgaben 2025'!$C175,Einzelbeträge!$E:$E,'Ausgaben 2025'!F$6)</f>
        <v>0</v>
      </c>
      <c r="G175" s="21">
        <f>SUMIFS(Einzelbeträge!$D:$D,Einzelbeträge!$C:$C,'Ausgaben 2025'!$C175,Einzelbeträge!$E:$E,'Ausgaben 2025'!G$6)</f>
        <v>0</v>
      </c>
      <c r="H175" s="21">
        <f>SUMIFS(Einzelbeträge!$D:$D,Einzelbeträge!$C:$C,'Ausgaben 2025'!$C175,Einzelbeträge!$E:$E,'Ausgaben 2025'!H$6)</f>
        <v>0</v>
      </c>
      <c r="I175" s="21">
        <f>SUMIFS(Einzelbeträge!$D:$D,Einzelbeträge!$C:$C,'Ausgaben 2025'!$C175,Einzelbeträge!$E:$E,'Ausgaben 2025'!I$6)</f>
        <v>0</v>
      </c>
      <c r="J175" s="21">
        <f>SUMIFS(Einzelbeträge!$D:$D,Einzelbeträge!$C:$C,'Ausgaben 2025'!$C175,Einzelbeträge!$E:$E,'Ausgaben 2025'!J$6)</f>
        <v>0</v>
      </c>
      <c r="K175" s="21">
        <f>SUMIFS(Einzelbeträge!$D:$D,Einzelbeträge!$C:$C,'Ausgaben 2025'!$C175,Einzelbeträge!$E:$E,'Ausgaben 2025'!K$6)</f>
        <v>0</v>
      </c>
      <c r="L175" s="21">
        <f>SUMIFS(Einzelbeträge!$D:$D,Einzelbeträge!$C:$C,'Ausgaben 2025'!$C175,Einzelbeträge!$E:$E,'Ausgaben 2025'!L$6)</f>
        <v>0</v>
      </c>
      <c r="M175" s="21">
        <f>SUMIFS(Einzelbeträge!$D:$D,Einzelbeträge!$C:$C,'Ausgaben 2025'!$C175,Einzelbeträge!$E:$E,'Ausgaben 2025'!M$6)</f>
        <v>0</v>
      </c>
      <c r="N175" s="35">
        <f>SUMIFS(Einzelbeträge!$D:$D,Einzelbeträge!$C:$C,'Ausgaben 2025'!$C175,Einzelbeträge!$E:$E,'Ausgaben 2025'!N$6)</f>
        <v>0</v>
      </c>
      <c r="O175" s="6"/>
    </row>
    <row r="176" spans="2:15" x14ac:dyDescent="0.35">
      <c r="B176" s="5"/>
      <c r="C176" s="30">
        <f t="shared" ref="C176:C203" si="21">C175+1</f>
        <v>45811</v>
      </c>
      <c r="D176" s="46">
        <f>SUMIFS(Einzelbeträge!$D:$D,Einzelbeträge!$C:$C,'Ausgaben 2025'!$C176)</f>
        <v>0</v>
      </c>
      <c r="E176" s="21">
        <f>SUMIFS(Einzelbeträge!$D:$D,Einzelbeträge!$C:$C,'Ausgaben 2025'!$C176,Einzelbeträge!$E:$E,'Ausgaben 2025'!E$6)</f>
        <v>0</v>
      </c>
      <c r="F176" s="21">
        <f>SUMIFS(Einzelbeträge!$D:$D,Einzelbeträge!$C:$C,'Ausgaben 2025'!$C176,Einzelbeträge!$E:$E,'Ausgaben 2025'!F$6)</f>
        <v>0</v>
      </c>
      <c r="G176" s="21">
        <f>SUMIFS(Einzelbeträge!$D:$D,Einzelbeträge!$C:$C,'Ausgaben 2025'!$C176,Einzelbeträge!$E:$E,'Ausgaben 2025'!G$6)</f>
        <v>0</v>
      </c>
      <c r="H176" s="21">
        <f>SUMIFS(Einzelbeträge!$D:$D,Einzelbeträge!$C:$C,'Ausgaben 2025'!$C176,Einzelbeträge!$E:$E,'Ausgaben 2025'!H$6)</f>
        <v>0</v>
      </c>
      <c r="I176" s="21">
        <f>SUMIFS(Einzelbeträge!$D:$D,Einzelbeträge!$C:$C,'Ausgaben 2025'!$C176,Einzelbeträge!$E:$E,'Ausgaben 2025'!I$6)</f>
        <v>0</v>
      </c>
      <c r="J176" s="21">
        <f>SUMIFS(Einzelbeträge!$D:$D,Einzelbeträge!$C:$C,'Ausgaben 2025'!$C176,Einzelbeträge!$E:$E,'Ausgaben 2025'!J$6)</f>
        <v>0</v>
      </c>
      <c r="K176" s="21">
        <f>SUMIFS(Einzelbeträge!$D:$D,Einzelbeträge!$C:$C,'Ausgaben 2025'!$C176,Einzelbeträge!$E:$E,'Ausgaben 2025'!K$6)</f>
        <v>0</v>
      </c>
      <c r="L176" s="21">
        <f>SUMIFS(Einzelbeträge!$D:$D,Einzelbeträge!$C:$C,'Ausgaben 2025'!$C176,Einzelbeträge!$E:$E,'Ausgaben 2025'!L$6)</f>
        <v>0</v>
      </c>
      <c r="M176" s="21">
        <f>SUMIFS(Einzelbeträge!$D:$D,Einzelbeträge!$C:$C,'Ausgaben 2025'!$C176,Einzelbeträge!$E:$E,'Ausgaben 2025'!M$6)</f>
        <v>0</v>
      </c>
      <c r="N176" s="35">
        <f>SUMIFS(Einzelbeträge!$D:$D,Einzelbeträge!$C:$C,'Ausgaben 2025'!$C176,Einzelbeträge!$E:$E,'Ausgaben 2025'!N$6)</f>
        <v>0</v>
      </c>
      <c r="O176" s="6"/>
    </row>
    <row r="177" spans="2:15" x14ac:dyDescent="0.35">
      <c r="B177" s="5"/>
      <c r="C177" s="30">
        <f t="shared" si="21"/>
        <v>45812</v>
      </c>
      <c r="D177" s="46">
        <f>SUMIFS(Einzelbeträge!$D:$D,Einzelbeträge!$C:$C,'Ausgaben 2025'!$C177)</f>
        <v>0</v>
      </c>
      <c r="E177" s="21">
        <f>SUMIFS(Einzelbeträge!$D:$D,Einzelbeträge!$C:$C,'Ausgaben 2025'!$C177,Einzelbeträge!$E:$E,'Ausgaben 2025'!E$6)</f>
        <v>0</v>
      </c>
      <c r="F177" s="21">
        <f>SUMIFS(Einzelbeträge!$D:$D,Einzelbeträge!$C:$C,'Ausgaben 2025'!$C177,Einzelbeträge!$E:$E,'Ausgaben 2025'!F$6)</f>
        <v>0</v>
      </c>
      <c r="G177" s="21">
        <f>SUMIFS(Einzelbeträge!$D:$D,Einzelbeträge!$C:$C,'Ausgaben 2025'!$C177,Einzelbeträge!$E:$E,'Ausgaben 2025'!G$6)</f>
        <v>0</v>
      </c>
      <c r="H177" s="21">
        <f>SUMIFS(Einzelbeträge!$D:$D,Einzelbeträge!$C:$C,'Ausgaben 2025'!$C177,Einzelbeträge!$E:$E,'Ausgaben 2025'!H$6)</f>
        <v>0</v>
      </c>
      <c r="I177" s="21">
        <f>SUMIFS(Einzelbeträge!$D:$D,Einzelbeträge!$C:$C,'Ausgaben 2025'!$C177,Einzelbeträge!$E:$E,'Ausgaben 2025'!I$6)</f>
        <v>0</v>
      </c>
      <c r="J177" s="21">
        <f>SUMIFS(Einzelbeträge!$D:$D,Einzelbeträge!$C:$C,'Ausgaben 2025'!$C177,Einzelbeträge!$E:$E,'Ausgaben 2025'!J$6)</f>
        <v>0</v>
      </c>
      <c r="K177" s="21">
        <f>SUMIFS(Einzelbeträge!$D:$D,Einzelbeträge!$C:$C,'Ausgaben 2025'!$C177,Einzelbeträge!$E:$E,'Ausgaben 2025'!K$6)</f>
        <v>0</v>
      </c>
      <c r="L177" s="21">
        <f>SUMIFS(Einzelbeträge!$D:$D,Einzelbeträge!$C:$C,'Ausgaben 2025'!$C177,Einzelbeträge!$E:$E,'Ausgaben 2025'!L$6)</f>
        <v>0</v>
      </c>
      <c r="M177" s="21">
        <f>SUMIFS(Einzelbeträge!$D:$D,Einzelbeträge!$C:$C,'Ausgaben 2025'!$C177,Einzelbeträge!$E:$E,'Ausgaben 2025'!M$6)</f>
        <v>0</v>
      </c>
      <c r="N177" s="35">
        <f>SUMIFS(Einzelbeträge!$D:$D,Einzelbeträge!$C:$C,'Ausgaben 2025'!$C177,Einzelbeträge!$E:$E,'Ausgaben 2025'!N$6)</f>
        <v>0</v>
      </c>
      <c r="O177" s="6"/>
    </row>
    <row r="178" spans="2:15" x14ac:dyDescent="0.35">
      <c r="B178" s="5"/>
      <c r="C178" s="30">
        <f t="shared" si="21"/>
        <v>45813</v>
      </c>
      <c r="D178" s="46">
        <f>SUMIFS(Einzelbeträge!$D:$D,Einzelbeträge!$C:$C,'Ausgaben 2025'!$C178)</f>
        <v>0</v>
      </c>
      <c r="E178" s="21">
        <f>SUMIFS(Einzelbeträge!$D:$D,Einzelbeträge!$C:$C,'Ausgaben 2025'!$C178,Einzelbeträge!$E:$E,'Ausgaben 2025'!E$6)</f>
        <v>0</v>
      </c>
      <c r="F178" s="21">
        <f>SUMIFS(Einzelbeträge!$D:$D,Einzelbeträge!$C:$C,'Ausgaben 2025'!$C178,Einzelbeträge!$E:$E,'Ausgaben 2025'!F$6)</f>
        <v>0</v>
      </c>
      <c r="G178" s="21">
        <f>SUMIFS(Einzelbeträge!$D:$D,Einzelbeträge!$C:$C,'Ausgaben 2025'!$C178,Einzelbeträge!$E:$E,'Ausgaben 2025'!G$6)</f>
        <v>0</v>
      </c>
      <c r="H178" s="21">
        <f>SUMIFS(Einzelbeträge!$D:$D,Einzelbeträge!$C:$C,'Ausgaben 2025'!$C178,Einzelbeträge!$E:$E,'Ausgaben 2025'!H$6)</f>
        <v>0</v>
      </c>
      <c r="I178" s="21">
        <f>SUMIFS(Einzelbeträge!$D:$D,Einzelbeträge!$C:$C,'Ausgaben 2025'!$C178,Einzelbeträge!$E:$E,'Ausgaben 2025'!I$6)</f>
        <v>0</v>
      </c>
      <c r="J178" s="21">
        <f>SUMIFS(Einzelbeträge!$D:$D,Einzelbeträge!$C:$C,'Ausgaben 2025'!$C178,Einzelbeträge!$E:$E,'Ausgaben 2025'!J$6)</f>
        <v>0</v>
      </c>
      <c r="K178" s="21">
        <f>SUMIFS(Einzelbeträge!$D:$D,Einzelbeträge!$C:$C,'Ausgaben 2025'!$C178,Einzelbeträge!$E:$E,'Ausgaben 2025'!K$6)</f>
        <v>0</v>
      </c>
      <c r="L178" s="21">
        <f>SUMIFS(Einzelbeträge!$D:$D,Einzelbeträge!$C:$C,'Ausgaben 2025'!$C178,Einzelbeträge!$E:$E,'Ausgaben 2025'!L$6)</f>
        <v>0</v>
      </c>
      <c r="M178" s="21">
        <f>SUMIFS(Einzelbeträge!$D:$D,Einzelbeträge!$C:$C,'Ausgaben 2025'!$C178,Einzelbeträge!$E:$E,'Ausgaben 2025'!M$6)</f>
        <v>0</v>
      </c>
      <c r="N178" s="35">
        <f>SUMIFS(Einzelbeträge!$D:$D,Einzelbeträge!$C:$C,'Ausgaben 2025'!$C178,Einzelbeträge!$E:$E,'Ausgaben 2025'!N$6)</f>
        <v>0</v>
      </c>
      <c r="O178" s="6"/>
    </row>
    <row r="179" spans="2:15" x14ac:dyDescent="0.35">
      <c r="B179" s="5"/>
      <c r="C179" s="30">
        <f t="shared" si="21"/>
        <v>45814</v>
      </c>
      <c r="D179" s="46">
        <f>SUMIFS(Einzelbeträge!$D:$D,Einzelbeträge!$C:$C,'Ausgaben 2025'!$C179)</f>
        <v>0</v>
      </c>
      <c r="E179" s="21">
        <f>SUMIFS(Einzelbeträge!$D:$D,Einzelbeträge!$C:$C,'Ausgaben 2025'!$C179,Einzelbeträge!$E:$E,'Ausgaben 2025'!E$6)</f>
        <v>0</v>
      </c>
      <c r="F179" s="21">
        <f>SUMIFS(Einzelbeträge!$D:$D,Einzelbeträge!$C:$C,'Ausgaben 2025'!$C179,Einzelbeträge!$E:$E,'Ausgaben 2025'!F$6)</f>
        <v>0</v>
      </c>
      <c r="G179" s="21">
        <f>SUMIFS(Einzelbeträge!$D:$D,Einzelbeträge!$C:$C,'Ausgaben 2025'!$C179,Einzelbeträge!$E:$E,'Ausgaben 2025'!G$6)</f>
        <v>0</v>
      </c>
      <c r="H179" s="21">
        <f>SUMIFS(Einzelbeträge!$D:$D,Einzelbeträge!$C:$C,'Ausgaben 2025'!$C179,Einzelbeträge!$E:$E,'Ausgaben 2025'!H$6)</f>
        <v>0</v>
      </c>
      <c r="I179" s="21">
        <f>SUMIFS(Einzelbeträge!$D:$D,Einzelbeträge!$C:$C,'Ausgaben 2025'!$C179,Einzelbeträge!$E:$E,'Ausgaben 2025'!I$6)</f>
        <v>0</v>
      </c>
      <c r="J179" s="21">
        <f>SUMIFS(Einzelbeträge!$D:$D,Einzelbeträge!$C:$C,'Ausgaben 2025'!$C179,Einzelbeträge!$E:$E,'Ausgaben 2025'!J$6)</f>
        <v>0</v>
      </c>
      <c r="K179" s="21">
        <f>SUMIFS(Einzelbeträge!$D:$D,Einzelbeträge!$C:$C,'Ausgaben 2025'!$C179,Einzelbeträge!$E:$E,'Ausgaben 2025'!K$6)</f>
        <v>0</v>
      </c>
      <c r="L179" s="21">
        <f>SUMIFS(Einzelbeträge!$D:$D,Einzelbeträge!$C:$C,'Ausgaben 2025'!$C179,Einzelbeträge!$E:$E,'Ausgaben 2025'!L$6)</f>
        <v>0</v>
      </c>
      <c r="M179" s="21">
        <f>SUMIFS(Einzelbeträge!$D:$D,Einzelbeträge!$C:$C,'Ausgaben 2025'!$C179,Einzelbeträge!$E:$E,'Ausgaben 2025'!M$6)</f>
        <v>0</v>
      </c>
      <c r="N179" s="35">
        <f>SUMIFS(Einzelbeträge!$D:$D,Einzelbeträge!$C:$C,'Ausgaben 2025'!$C179,Einzelbeträge!$E:$E,'Ausgaben 2025'!N$6)</f>
        <v>0</v>
      </c>
      <c r="O179" s="6"/>
    </row>
    <row r="180" spans="2:15" x14ac:dyDescent="0.35">
      <c r="B180" s="5"/>
      <c r="C180" s="30">
        <f t="shared" si="21"/>
        <v>45815</v>
      </c>
      <c r="D180" s="46">
        <f>SUMIFS(Einzelbeträge!$D:$D,Einzelbeträge!$C:$C,'Ausgaben 2025'!$C180)</f>
        <v>0</v>
      </c>
      <c r="E180" s="21">
        <f>SUMIFS(Einzelbeträge!$D:$D,Einzelbeträge!$C:$C,'Ausgaben 2025'!$C180,Einzelbeträge!$E:$E,'Ausgaben 2025'!E$6)</f>
        <v>0</v>
      </c>
      <c r="F180" s="21">
        <f>SUMIFS(Einzelbeträge!$D:$D,Einzelbeträge!$C:$C,'Ausgaben 2025'!$C180,Einzelbeträge!$E:$E,'Ausgaben 2025'!F$6)</f>
        <v>0</v>
      </c>
      <c r="G180" s="21">
        <f>SUMIFS(Einzelbeträge!$D:$D,Einzelbeträge!$C:$C,'Ausgaben 2025'!$C180,Einzelbeträge!$E:$E,'Ausgaben 2025'!G$6)</f>
        <v>0</v>
      </c>
      <c r="H180" s="21">
        <f>SUMIFS(Einzelbeträge!$D:$D,Einzelbeträge!$C:$C,'Ausgaben 2025'!$C180,Einzelbeträge!$E:$E,'Ausgaben 2025'!H$6)</f>
        <v>0</v>
      </c>
      <c r="I180" s="21">
        <f>SUMIFS(Einzelbeträge!$D:$D,Einzelbeträge!$C:$C,'Ausgaben 2025'!$C180,Einzelbeträge!$E:$E,'Ausgaben 2025'!I$6)</f>
        <v>0</v>
      </c>
      <c r="J180" s="21">
        <f>SUMIFS(Einzelbeträge!$D:$D,Einzelbeträge!$C:$C,'Ausgaben 2025'!$C180,Einzelbeträge!$E:$E,'Ausgaben 2025'!J$6)</f>
        <v>0</v>
      </c>
      <c r="K180" s="21">
        <f>SUMIFS(Einzelbeträge!$D:$D,Einzelbeträge!$C:$C,'Ausgaben 2025'!$C180,Einzelbeträge!$E:$E,'Ausgaben 2025'!K$6)</f>
        <v>0</v>
      </c>
      <c r="L180" s="21">
        <f>SUMIFS(Einzelbeträge!$D:$D,Einzelbeträge!$C:$C,'Ausgaben 2025'!$C180,Einzelbeträge!$E:$E,'Ausgaben 2025'!L$6)</f>
        <v>0</v>
      </c>
      <c r="M180" s="21">
        <f>SUMIFS(Einzelbeträge!$D:$D,Einzelbeträge!$C:$C,'Ausgaben 2025'!$C180,Einzelbeträge!$E:$E,'Ausgaben 2025'!M$6)</f>
        <v>0</v>
      </c>
      <c r="N180" s="35">
        <f>SUMIFS(Einzelbeträge!$D:$D,Einzelbeträge!$C:$C,'Ausgaben 2025'!$C180,Einzelbeträge!$E:$E,'Ausgaben 2025'!N$6)</f>
        <v>0</v>
      </c>
      <c r="O180" s="6"/>
    </row>
    <row r="181" spans="2:15" x14ac:dyDescent="0.35">
      <c r="B181" s="5"/>
      <c r="C181" s="30">
        <f t="shared" si="21"/>
        <v>45816</v>
      </c>
      <c r="D181" s="46">
        <f>SUMIFS(Einzelbeträge!$D:$D,Einzelbeträge!$C:$C,'Ausgaben 2025'!$C181)</f>
        <v>0</v>
      </c>
      <c r="E181" s="21">
        <f>SUMIFS(Einzelbeträge!$D:$D,Einzelbeträge!$C:$C,'Ausgaben 2025'!$C181,Einzelbeträge!$E:$E,'Ausgaben 2025'!E$6)</f>
        <v>0</v>
      </c>
      <c r="F181" s="21">
        <f>SUMIFS(Einzelbeträge!$D:$D,Einzelbeträge!$C:$C,'Ausgaben 2025'!$C181,Einzelbeträge!$E:$E,'Ausgaben 2025'!F$6)</f>
        <v>0</v>
      </c>
      <c r="G181" s="21">
        <f>SUMIFS(Einzelbeträge!$D:$D,Einzelbeträge!$C:$C,'Ausgaben 2025'!$C181,Einzelbeträge!$E:$E,'Ausgaben 2025'!G$6)</f>
        <v>0</v>
      </c>
      <c r="H181" s="21">
        <f>SUMIFS(Einzelbeträge!$D:$D,Einzelbeträge!$C:$C,'Ausgaben 2025'!$C181,Einzelbeträge!$E:$E,'Ausgaben 2025'!H$6)</f>
        <v>0</v>
      </c>
      <c r="I181" s="21">
        <f>SUMIFS(Einzelbeträge!$D:$D,Einzelbeträge!$C:$C,'Ausgaben 2025'!$C181,Einzelbeträge!$E:$E,'Ausgaben 2025'!I$6)</f>
        <v>0</v>
      </c>
      <c r="J181" s="21">
        <f>SUMIFS(Einzelbeträge!$D:$D,Einzelbeträge!$C:$C,'Ausgaben 2025'!$C181,Einzelbeträge!$E:$E,'Ausgaben 2025'!J$6)</f>
        <v>0</v>
      </c>
      <c r="K181" s="21">
        <f>SUMIFS(Einzelbeträge!$D:$D,Einzelbeträge!$C:$C,'Ausgaben 2025'!$C181,Einzelbeträge!$E:$E,'Ausgaben 2025'!K$6)</f>
        <v>0</v>
      </c>
      <c r="L181" s="21">
        <f>SUMIFS(Einzelbeträge!$D:$D,Einzelbeträge!$C:$C,'Ausgaben 2025'!$C181,Einzelbeträge!$E:$E,'Ausgaben 2025'!L$6)</f>
        <v>0</v>
      </c>
      <c r="M181" s="21">
        <f>SUMIFS(Einzelbeträge!$D:$D,Einzelbeträge!$C:$C,'Ausgaben 2025'!$C181,Einzelbeträge!$E:$E,'Ausgaben 2025'!M$6)</f>
        <v>0</v>
      </c>
      <c r="N181" s="35">
        <f>SUMIFS(Einzelbeträge!$D:$D,Einzelbeträge!$C:$C,'Ausgaben 2025'!$C181,Einzelbeträge!$E:$E,'Ausgaben 2025'!N$6)</f>
        <v>0</v>
      </c>
      <c r="O181" s="6"/>
    </row>
    <row r="182" spans="2:15" x14ac:dyDescent="0.35">
      <c r="B182" s="5"/>
      <c r="C182" s="30">
        <f t="shared" si="21"/>
        <v>45817</v>
      </c>
      <c r="D182" s="46">
        <f>SUMIFS(Einzelbeträge!$D:$D,Einzelbeträge!$C:$C,'Ausgaben 2025'!$C182)</f>
        <v>0</v>
      </c>
      <c r="E182" s="21">
        <f>SUMIFS(Einzelbeträge!$D:$D,Einzelbeträge!$C:$C,'Ausgaben 2025'!$C182,Einzelbeträge!$E:$E,'Ausgaben 2025'!E$6)</f>
        <v>0</v>
      </c>
      <c r="F182" s="21">
        <f>SUMIFS(Einzelbeträge!$D:$D,Einzelbeträge!$C:$C,'Ausgaben 2025'!$C182,Einzelbeträge!$E:$E,'Ausgaben 2025'!F$6)</f>
        <v>0</v>
      </c>
      <c r="G182" s="21">
        <f>SUMIFS(Einzelbeträge!$D:$D,Einzelbeträge!$C:$C,'Ausgaben 2025'!$C182,Einzelbeträge!$E:$E,'Ausgaben 2025'!G$6)</f>
        <v>0</v>
      </c>
      <c r="H182" s="21">
        <f>SUMIFS(Einzelbeträge!$D:$D,Einzelbeträge!$C:$C,'Ausgaben 2025'!$C182,Einzelbeträge!$E:$E,'Ausgaben 2025'!H$6)</f>
        <v>0</v>
      </c>
      <c r="I182" s="21">
        <f>SUMIFS(Einzelbeträge!$D:$D,Einzelbeträge!$C:$C,'Ausgaben 2025'!$C182,Einzelbeträge!$E:$E,'Ausgaben 2025'!I$6)</f>
        <v>0</v>
      </c>
      <c r="J182" s="21">
        <f>SUMIFS(Einzelbeträge!$D:$D,Einzelbeträge!$C:$C,'Ausgaben 2025'!$C182,Einzelbeträge!$E:$E,'Ausgaben 2025'!J$6)</f>
        <v>0</v>
      </c>
      <c r="K182" s="21">
        <f>SUMIFS(Einzelbeträge!$D:$D,Einzelbeträge!$C:$C,'Ausgaben 2025'!$C182,Einzelbeträge!$E:$E,'Ausgaben 2025'!K$6)</f>
        <v>0</v>
      </c>
      <c r="L182" s="21">
        <f>SUMIFS(Einzelbeträge!$D:$D,Einzelbeträge!$C:$C,'Ausgaben 2025'!$C182,Einzelbeträge!$E:$E,'Ausgaben 2025'!L$6)</f>
        <v>0</v>
      </c>
      <c r="M182" s="21">
        <f>SUMIFS(Einzelbeträge!$D:$D,Einzelbeträge!$C:$C,'Ausgaben 2025'!$C182,Einzelbeträge!$E:$E,'Ausgaben 2025'!M$6)</f>
        <v>0</v>
      </c>
      <c r="N182" s="35">
        <f>SUMIFS(Einzelbeträge!$D:$D,Einzelbeträge!$C:$C,'Ausgaben 2025'!$C182,Einzelbeträge!$E:$E,'Ausgaben 2025'!N$6)</f>
        <v>0</v>
      </c>
      <c r="O182" s="6"/>
    </row>
    <row r="183" spans="2:15" x14ac:dyDescent="0.35">
      <c r="B183" s="5"/>
      <c r="C183" s="30">
        <f t="shared" si="21"/>
        <v>45818</v>
      </c>
      <c r="D183" s="46">
        <f>SUMIFS(Einzelbeträge!$D:$D,Einzelbeträge!$C:$C,'Ausgaben 2025'!$C183)</f>
        <v>0</v>
      </c>
      <c r="E183" s="21">
        <f>SUMIFS(Einzelbeträge!$D:$D,Einzelbeträge!$C:$C,'Ausgaben 2025'!$C183,Einzelbeträge!$E:$E,'Ausgaben 2025'!E$6)</f>
        <v>0</v>
      </c>
      <c r="F183" s="21">
        <f>SUMIFS(Einzelbeträge!$D:$D,Einzelbeträge!$C:$C,'Ausgaben 2025'!$C183,Einzelbeträge!$E:$E,'Ausgaben 2025'!F$6)</f>
        <v>0</v>
      </c>
      <c r="G183" s="21">
        <f>SUMIFS(Einzelbeträge!$D:$D,Einzelbeträge!$C:$C,'Ausgaben 2025'!$C183,Einzelbeträge!$E:$E,'Ausgaben 2025'!G$6)</f>
        <v>0</v>
      </c>
      <c r="H183" s="21">
        <f>SUMIFS(Einzelbeträge!$D:$D,Einzelbeträge!$C:$C,'Ausgaben 2025'!$C183,Einzelbeträge!$E:$E,'Ausgaben 2025'!H$6)</f>
        <v>0</v>
      </c>
      <c r="I183" s="21">
        <f>SUMIFS(Einzelbeträge!$D:$D,Einzelbeträge!$C:$C,'Ausgaben 2025'!$C183,Einzelbeträge!$E:$E,'Ausgaben 2025'!I$6)</f>
        <v>0</v>
      </c>
      <c r="J183" s="21">
        <f>SUMIFS(Einzelbeträge!$D:$D,Einzelbeträge!$C:$C,'Ausgaben 2025'!$C183,Einzelbeträge!$E:$E,'Ausgaben 2025'!J$6)</f>
        <v>0</v>
      </c>
      <c r="K183" s="21">
        <f>SUMIFS(Einzelbeträge!$D:$D,Einzelbeträge!$C:$C,'Ausgaben 2025'!$C183,Einzelbeträge!$E:$E,'Ausgaben 2025'!K$6)</f>
        <v>0</v>
      </c>
      <c r="L183" s="21">
        <f>SUMIFS(Einzelbeträge!$D:$D,Einzelbeträge!$C:$C,'Ausgaben 2025'!$C183,Einzelbeträge!$E:$E,'Ausgaben 2025'!L$6)</f>
        <v>0</v>
      </c>
      <c r="M183" s="21">
        <f>SUMIFS(Einzelbeträge!$D:$D,Einzelbeträge!$C:$C,'Ausgaben 2025'!$C183,Einzelbeträge!$E:$E,'Ausgaben 2025'!M$6)</f>
        <v>0</v>
      </c>
      <c r="N183" s="35">
        <f>SUMIFS(Einzelbeträge!$D:$D,Einzelbeträge!$C:$C,'Ausgaben 2025'!$C183,Einzelbeträge!$E:$E,'Ausgaben 2025'!N$6)</f>
        <v>0</v>
      </c>
      <c r="O183" s="6"/>
    </row>
    <row r="184" spans="2:15" x14ac:dyDescent="0.35">
      <c r="B184" s="5"/>
      <c r="C184" s="30">
        <f t="shared" si="21"/>
        <v>45819</v>
      </c>
      <c r="D184" s="46">
        <f>SUMIFS(Einzelbeträge!$D:$D,Einzelbeträge!$C:$C,'Ausgaben 2025'!$C184)</f>
        <v>0</v>
      </c>
      <c r="E184" s="21">
        <f>SUMIFS(Einzelbeträge!$D:$D,Einzelbeträge!$C:$C,'Ausgaben 2025'!$C184,Einzelbeträge!$E:$E,'Ausgaben 2025'!E$6)</f>
        <v>0</v>
      </c>
      <c r="F184" s="21">
        <f>SUMIFS(Einzelbeträge!$D:$D,Einzelbeträge!$C:$C,'Ausgaben 2025'!$C184,Einzelbeträge!$E:$E,'Ausgaben 2025'!F$6)</f>
        <v>0</v>
      </c>
      <c r="G184" s="21">
        <f>SUMIFS(Einzelbeträge!$D:$D,Einzelbeträge!$C:$C,'Ausgaben 2025'!$C184,Einzelbeträge!$E:$E,'Ausgaben 2025'!G$6)</f>
        <v>0</v>
      </c>
      <c r="H184" s="21">
        <f>SUMIFS(Einzelbeträge!$D:$D,Einzelbeträge!$C:$C,'Ausgaben 2025'!$C184,Einzelbeträge!$E:$E,'Ausgaben 2025'!H$6)</f>
        <v>0</v>
      </c>
      <c r="I184" s="21">
        <f>SUMIFS(Einzelbeträge!$D:$D,Einzelbeträge!$C:$C,'Ausgaben 2025'!$C184,Einzelbeträge!$E:$E,'Ausgaben 2025'!I$6)</f>
        <v>0</v>
      </c>
      <c r="J184" s="21">
        <f>SUMIFS(Einzelbeträge!$D:$D,Einzelbeträge!$C:$C,'Ausgaben 2025'!$C184,Einzelbeträge!$E:$E,'Ausgaben 2025'!J$6)</f>
        <v>0</v>
      </c>
      <c r="K184" s="21">
        <f>SUMIFS(Einzelbeträge!$D:$D,Einzelbeträge!$C:$C,'Ausgaben 2025'!$C184,Einzelbeträge!$E:$E,'Ausgaben 2025'!K$6)</f>
        <v>0</v>
      </c>
      <c r="L184" s="21">
        <f>SUMIFS(Einzelbeträge!$D:$D,Einzelbeträge!$C:$C,'Ausgaben 2025'!$C184,Einzelbeträge!$E:$E,'Ausgaben 2025'!L$6)</f>
        <v>0</v>
      </c>
      <c r="M184" s="21">
        <f>SUMIFS(Einzelbeträge!$D:$D,Einzelbeträge!$C:$C,'Ausgaben 2025'!$C184,Einzelbeträge!$E:$E,'Ausgaben 2025'!M$6)</f>
        <v>0</v>
      </c>
      <c r="N184" s="35">
        <f>SUMIFS(Einzelbeträge!$D:$D,Einzelbeträge!$C:$C,'Ausgaben 2025'!$C184,Einzelbeträge!$E:$E,'Ausgaben 2025'!N$6)</f>
        <v>0</v>
      </c>
      <c r="O184" s="6"/>
    </row>
    <row r="185" spans="2:15" x14ac:dyDescent="0.35">
      <c r="B185" s="5"/>
      <c r="C185" s="30">
        <f t="shared" si="21"/>
        <v>45820</v>
      </c>
      <c r="D185" s="46">
        <f>SUMIFS(Einzelbeträge!$D:$D,Einzelbeträge!$C:$C,'Ausgaben 2025'!$C185)</f>
        <v>0</v>
      </c>
      <c r="E185" s="21">
        <f>SUMIFS(Einzelbeträge!$D:$D,Einzelbeträge!$C:$C,'Ausgaben 2025'!$C185,Einzelbeträge!$E:$E,'Ausgaben 2025'!E$6)</f>
        <v>0</v>
      </c>
      <c r="F185" s="21">
        <f>SUMIFS(Einzelbeträge!$D:$D,Einzelbeträge!$C:$C,'Ausgaben 2025'!$C185,Einzelbeträge!$E:$E,'Ausgaben 2025'!F$6)</f>
        <v>0</v>
      </c>
      <c r="G185" s="21">
        <f>SUMIFS(Einzelbeträge!$D:$D,Einzelbeträge!$C:$C,'Ausgaben 2025'!$C185,Einzelbeträge!$E:$E,'Ausgaben 2025'!G$6)</f>
        <v>0</v>
      </c>
      <c r="H185" s="21">
        <f>SUMIFS(Einzelbeträge!$D:$D,Einzelbeträge!$C:$C,'Ausgaben 2025'!$C185,Einzelbeträge!$E:$E,'Ausgaben 2025'!H$6)</f>
        <v>0</v>
      </c>
      <c r="I185" s="21">
        <f>SUMIFS(Einzelbeträge!$D:$D,Einzelbeträge!$C:$C,'Ausgaben 2025'!$C185,Einzelbeträge!$E:$E,'Ausgaben 2025'!I$6)</f>
        <v>0</v>
      </c>
      <c r="J185" s="21">
        <f>SUMIFS(Einzelbeträge!$D:$D,Einzelbeträge!$C:$C,'Ausgaben 2025'!$C185,Einzelbeträge!$E:$E,'Ausgaben 2025'!J$6)</f>
        <v>0</v>
      </c>
      <c r="K185" s="21">
        <f>SUMIFS(Einzelbeträge!$D:$D,Einzelbeträge!$C:$C,'Ausgaben 2025'!$C185,Einzelbeträge!$E:$E,'Ausgaben 2025'!K$6)</f>
        <v>0</v>
      </c>
      <c r="L185" s="21">
        <f>SUMIFS(Einzelbeträge!$D:$D,Einzelbeträge!$C:$C,'Ausgaben 2025'!$C185,Einzelbeträge!$E:$E,'Ausgaben 2025'!L$6)</f>
        <v>0</v>
      </c>
      <c r="M185" s="21">
        <f>SUMIFS(Einzelbeträge!$D:$D,Einzelbeträge!$C:$C,'Ausgaben 2025'!$C185,Einzelbeträge!$E:$E,'Ausgaben 2025'!M$6)</f>
        <v>0</v>
      </c>
      <c r="N185" s="35">
        <f>SUMIFS(Einzelbeträge!$D:$D,Einzelbeträge!$C:$C,'Ausgaben 2025'!$C185,Einzelbeträge!$E:$E,'Ausgaben 2025'!N$6)</f>
        <v>0</v>
      </c>
      <c r="O185" s="6"/>
    </row>
    <row r="186" spans="2:15" x14ac:dyDescent="0.35">
      <c r="B186" s="5"/>
      <c r="C186" s="30">
        <f t="shared" si="21"/>
        <v>45821</v>
      </c>
      <c r="D186" s="46">
        <f>SUMIFS(Einzelbeträge!$D:$D,Einzelbeträge!$C:$C,'Ausgaben 2025'!$C186)</f>
        <v>0</v>
      </c>
      <c r="E186" s="21">
        <f>SUMIFS(Einzelbeträge!$D:$D,Einzelbeträge!$C:$C,'Ausgaben 2025'!$C186,Einzelbeträge!$E:$E,'Ausgaben 2025'!E$6)</f>
        <v>0</v>
      </c>
      <c r="F186" s="21">
        <f>SUMIFS(Einzelbeträge!$D:$D,Einzelbeträge!$C:$C,'Ausgaben 2025'!$C186,Einzelbeträge!$E:$E,'Ausgaben 2025'!F$6)</f>
        <v>0</v>
      </c>
      <c r="G186" s="21">
        <f>SUMIFS(Einzelbeträge!$D:$D,Einzelbeträge!$C:$C,'Ausgaben 2025'!$C186,Einzelbeträge!$E:$E,'Ausgaben 2025'!G$6)</f>
        <v>0</v>
      </c>
      <c r="H186" s="21">
        <f>SUMIFS(Einzelbeträge!$D:$D,Einzelbeträge!$C:$C,'Ausgaben 2025'!$C186,Einzelbeträge!$E:$E,'Ausgaben 2025'!H$6)</f>
        <v>0</v>
      </c>
      <c r="I186" s="21">
        <f>SUMIFS(Einzelbeträge!$D:$D,Einzelbeträge!$C:$C,'Ausgaben 2025'!$C186,Einzelbeträge!$E:$E,'Ausgaben 2025'!I$6)</f>
        <v>0</v>
      </c>
      <c r="J186" s="21">
        <f>SUMIFS(Einzelbeträge!$D:$D,Einzelbeträge!$C:$C,'Ausgaben 2025'!$C186,Einzelbeträge!$E:$E,'Ausgaben 2025'!J$6)</f>
        <v>0</v>
      </c>
      <c r="K186" s="21">
        <f>SUMIFS(Einzelbeträge!$D:$D,Einzelbeträge!$C:$C,'Ausgaben 2025'!$C186,Einzelbeträge!$E:$E,'Ausgaben 2025'!K$6)</f>
        <v>0</v>
      </c>
      <c r="L186" s="21">
        <f>SUMIFS(Einzelbeträge!$D:$D,Einzelbeträge!$C:$C,'Ausgaben 2025'!$C186,Einzelbeträge!$E:$E,'Ausgaben 2025'!L$6)</f>
        <v>0</v>
      </c>
      <c r="M186" s="21">
        <f>SUMIFS(Einzelbeträge!$D:$D,Einzelbeträge!$C:$C,'Ausgaben 2025'!$C186,Einzelbeträge!$E:$E,'Ausgaben 2025'!M$6)</f>
        <v>0</v>
      </c>
      <c r="N186" s="35">
        <f>SUMIFS(Einzelbeträge!$D:$D,Einzelbeträge!$C:$C,'Ausgaben 2025'!$C186,Einzelbeträge!$E:$E,'Ausgaben 2025'!N$6)</f>
        <v>0</v>
      </c>
      <c r="O186" s="6"/>
    </row>
    <row r="187" spans="2:15" x14ac:dyDescent="0.35">
      <c r="B187" s="5"/>
      <c r="C187" s="30">
        <f t="shared" si="21"/>
        <v>45822</v>
      </c>
      <c r="D187" s="46">
        <f>SUMIFS(Einzelbeträge!$D:$D,Einzelbeträge!$C:$C,'Ausgaben 2025'!$C187)</f>
        <v>0</v>
      </c>
      <c r="E187" s="21">
        <f>SUMIFS(Einzelbeträge!$D:$D,Einzelbeträge!$C:$C,'Ausgaben 2025'!$C187,Einzelbeträge!$E:$E,'Ausgaben 2025'!E$6)</f>
        <v>0</v>
      </c>
      <c r="F187" s="21">
        <f>SUMIFS(Einzelbeträge!$D:$D,Einzelbeträge!$C:$C,'Ausgaben 2025'!$C187,Einzelbeträge!$E:$E,'Ausgaben 2025'!F$6)</f>
        <v>0</v>
      </c>
      <c r="G187" s="21">
        <f>SUMIFS(Einzelbeträge!$D:$D,Einzelbeträge!$C:$C,'Ausgaben 2025'!$C187,Einzelbeträge!$E:$E,'Ausgaben 2025'!G$6)</f>
        <v>0</v>
      </c>
      <c r="H187" s="21">
        <f>SUMIFS(Einzelbeträge!$D:$D,Einzelbeträge!$C:$C,'Ausgaben 2025'!$C187,Einzelbeträge!$E:$E,'Ausgaben 2025'!H$6)</f>
        <v>0</v>
      </c>
      <c r="I187" s="21">
        <f>SUMIFS(Einzelbeträge!$D:$D,Einzelbeträge!$C:$C,'Ausgaben 2025'!$C187,Einzelbeträge!$E:$E,'Ausgaben 2025'!I$6)</f>
        <v>0</v>
      </c>
      <c r="J187" s="21">
        <f>SUMIFS(Einzelbeträge!$D:$D,Einzelbeträge!$C:$C,'Ausgaben 2025'!$C187,Einzelbeträge!$E:$E,'Ausgaben 2025'!J$6)</f>
        <v>0</v>
      </c>
      <c r="K187" s="21">
        <f>SUMIFS(Einzelbeträge!$D:$D,Einzelbeträge!$C:$C,'Ausgaben 2025'!$C187,Einzelbeträge!$E:$E,'Ausgaben 2025'!K$6)</f>
        <v>0</v>
      </c>
      <c r="L187" s="21">
        <f>SUMIFS(Einzelbeträge!$D:$D,Einzelbeträge!$C:$C,'Ausgaben 2025'!$C187,Einzelbeträge!$E:$E,'Ausgaben 2025'!L$6)</f>
        <v>0</v>
      </c>
      <c r="M187" s="21">
        <f>SUMIFS(Einzelbeträge!$D:$D,Einzelbeträge!$C:$C,'Ausgaben 2025'!$C187,Einzelbeträge!$E:$E,'Ausgaben 2025'!M$6)</f>
        <v>0</v>
      </c>
      <c r="N187" s="35">
        <f>SUMIFS(Einzelbeträge!$D:$D,Einzelbeträge!$C:$C,'Ausgaben 2025'!$C187,Einzelbeträge!$E:$E,'Ausgaben 2025'!N$6)</f>
        <v>0</v>
      </c>
      <c r="O187" s="6"/>
    </row>
    <row r="188" spans="2:15" x14ac:dyDescent="0.35">
      <c r="B188" s="5"/>
      <c r="C188" s="30">
        <f t="shared" si="21"/>
        <v>45823</v>
      </c>
      <c r="D188" s="46">
        <f>SUMIFS(Einzelbeträge!$D:$D,Einzelbeträge!$C:$C,'Ausgaben 2025'!$C188)</f>
        <v>0</v>
      </c>
      <c r="E188" s="21">
        <f>SUMIFS(Einzelbeträge!$D:$D,Einzelbeträge!$C:$C,'Ausgaben 2025'!$C188,Einzelbeträge!$E:$E,'Ausgaben 2025'!E$6)</f>
        <v>0</v>
      </c>
      <c r="F188" s="21">
        <f>SUMIFS(Einzelbeträge!$D:$D,Einzelbeträge!$C:$C,'Ausgaben 2025'!$C188,Einzelbeträge!$E:$E,'Ausgaben 2025'!F$6)</f>
        <v>0</v>
      </c>
      <c r="G188" s="21">
        <f>SUMIFS(Einzelbeträge!$D:$D,Einzelbeträge!$C:$C,'Ausgaben 2025'!$C188,Einzelbeträge!$E:$E,'Ausgaben 2025'!G$6)</f>
        <v>0</v>
      </c>
      <c r="H188" s="21">
        <f>SUMIFS(Einzelbeträge!$D:$D,Einzelbeträge!$C:$C,'Ausgaben 2025'!$C188,Einzelbeträge!$E:$E,'Ausgaben 2025'!H$6)</f>
        <v>0</v>
      </c>
      <c r="I188" s="21">
        <f>SUMIFS(Einzelbeträge!$D:$D,Einzelbeträge!$C:$C,'Ausgaben 2025'!$C188,Einzelbeträge!$E:$E,'Ausgaben 2025'!I$6)</f>
        <v>0</v>
      </c>
      <c r="J188" s="21">
        <f>SUMIFS(Einzelbeträge!$D:$D,Einzelbeträge!$C:$C,'Ausgaben 2025'!$C188,Einzelbeträge!$E:$E,'Ausgaben 2025'!J$6)</f>
        <v>0</v>
      </c>
      <c r="K188" s="21">
        <f>SUMIFS(Einzelbeträge!$D:$D,Einzelbeträge!$C:$C,'Ausgaben 2025'!$C188,Einzelbeträge!$E:$E,'Ausgaben 2025'!K$6)</f>
        <v>0</v>
      </c>
      <c r="L188" s="21">
        <f>SUMIFS(Einzelbeträge!$D:$D,Einzelbeträge!$C:$C,'Ausgaben 2025'!$C188,Einzelbeträge!$E:$E,'Ausgaben 2025'!L$6)</f>
        <v>0</v>
      </c>
      <c r="M188" s="21">
        <f>SUMIFS(Einzelbeträge!$D:$D,Einzelbeträge!$C:$C,'Ausgaben 2025'!$C188,Einzelbeträge!$E:$E,'Ausgaben 2025'!M$6)</f>
        <v>0</v>
      </c>
      <c r="N188" s="35">
        <f>SUMIFS(Einzelbeträge!$D:$D,Einzelbeträge!$C:$C,'Ausgaben 2025'!$C188,Einzelbeträge!$E:$E,'Ausgaben 2025'!N$6)</f>
        <v>0</v>
      </c>
      <c r="O188" s="6"/>
    </row>
    <row r="189" spans="2:15" x14ac:dyDescent="0.35">
      <c r="B189" s="5"/>
      <c r="C189" s="30">
        <f t="shared" si="21"/>
        <v>45824</v>
      </c>
      <c r="D189" s="46">
        <f>SUMIFS(Einzelbeträge!$D:$D,Einzelbeträge!$C:$C,'Ausgaben 2025'!$C189)</f>
        <v>0</v>
      </c>
      <c r="E189" s="21">
        <f>SUMIFS(Einzelbeträge!$D:$D,Einzelbeträge!$C:$C,'Ausgaben 2025'!$C189,Einzelbeträge!$E:$E,'Ausgaben 2025'!E$6)</f>
        <v>0</v>
      </c>
      <c r="F189" s="21">
        <f>SUMIFS(Einzelbeträge!$D:$D,Einzelbeträge!$C:$C,'Ausgaben 2025'!$C189,Einzelbeträge!$E:$E,'Ausgaben 2025'!F$6)</f>
        <v>0</v>
      </c>
      <c r="G189" s="21">
        <f>SUMIFS(Einzelbeträge!$D:$D,Einzelbeträge!$C:$C,'Ausgaben 2025'!$C189,Einzelbeträge!$E:$E,'Ausgaben 2025'!G$6)</f>
        <v>0</v>
      </c>
      <c r="H189" s="21">
        <f>SUMIFS(Einzelbeträge!$D:$D,Einzelbeträge!$C:$C,'Ausgaben 2025'!$C189,Einzelbeträge!$E:$E,'Ausgaben 2025'!H$6)</f>
        <v>0</v>
      </c>
      <c r="I189" s="21">
        <f>SUMIFS(Einzelbeträge!$D:$D,Einzelbeträge!$C:$C,'Ausgaben 2025'!$C189,Einzelbeträge!$E:$E,'Ausgaben 2025'!I$6)</f>
        <v>0</v>
      </c>
      <c r="J189" s="21">
        <f>SUMIFS(Einzelbeträge!$D:$D,Einzelbeträge!$C:$C,'Ausgaben 2025'!$C189,Einzelbeträge!$E:$E,'Ausgaben 2025'!J$6)</f>
        <v>0</v>
      </c>
      <c r="K189" s="21">
        <f>SUMIFS(Einzelbeträge!$D:$D,Einzelbeträge!$C:$C,'Ausgaben 2025'!$C189,Einzelbeträge!$E:$E,'Ausgaben 2025'!K$6)</f>
        <v>0</v>
      </c>
      <c r="L189" s="21">
        <f>SUMIFS(Einzelbeträge!$D:$D,Einzelbeträge!$C:$C,'Ausgaben 2025'!$C189,Einzelbeträge!$E:$E,'Ausgaben 2025'!L$6)</f>
        <v>0</v>
      </c>
      <c r="M189" s="21">
        <f>SUMIFS(Einzelbeträge!$D:$D,Einzelbeträge!$C:$C,'Ausgaben 2025'!$C189,Einzelbeträge!$E:$E,'Ausgaben 2025'!M$6)</f>
        <v>0</v>
      </c>
      <c r="N189" s="35">
        <f>SUMIFS(Einzelbeträge!$D:$D,Einzelbeträge!$C:$C,'Ausgaben 2025'!$C189,Einzelbeträge!$E:$E,'Ausgaben 2025'!N$6)</f>
        <v>0</v>
      </c>
      <c r="O189" s="6"/>
    </row>
    <row r="190" spans="2:15" x14ac:dyDescent="0.35">
      <c r="B190" s="5"/>
      <c r="C190" s="30">
        <f t="shared" si="21"/>
        <v>45825</v>
      </c>
      <c r="D190" s="46">
        <f>SUMIFS(Einzelbeträge!$D:$D,Einzelbeträge!$C:$C,'Ausgaben 2025'!$C190)</f>
        <v>0</v>
      </c>
      <c r="E190" s="21">
        <f>SUMIFS(Einzelbeträge!$D:$D,Einzelbeträge!$C:$C,'Ausgaben 2025'!$C190,Einzelbeträge!$E:$E,'Ausgaben 2025'!E$6)</f>
        <v>0</v>
      </c>
      <c r="F190" s="21">
        <f>SUMIFS(Einzelbeträge!$D:$D,Einzelbeträge!$C:$C,'Ausgaben 2025'!$C190,Einzelbeträge!$E:$E,'Ausgaben 2025'!F$6)</f>
        <v>0</v>
      </c>
      <c r="G190" s="21">
        <f>SUMIFS(Einzelbeträge!$D:$D,Einzelbeträge!$C:$C,'Ausgaben 2025'!$C190,Einzelbeträge!$E:$E,'Ausgaben 2025'!G$6)</f>
        <v>0</v>
      </c>
      <c r="H190" s="21">
        <f>SUMIFS(Einzelbeträge!$D:$D,Einzelbeträge!$C:$C,'Ausgaben 2025'!$C190,Einzelbeträge!$E:$E,'Ausgaben 2025'!H$6)</f>
        <v>0</v>
      </c>
      <c r="I190" s="21">
        <f>SUMIFS(Einzelbeträge!$D:$D,Einzelbeträge!$C:$C,'Ausgaben 2025'!$C190,Einzelbeträge!$E:$E,'Ausgaben 2025'!I$6)</f>
        <v>0</v>
      </c>
      <c r="J190" s="21">
        <f>SUMIFS(Einzelbeträge!$D:$D,Einzelbeträge!$C:$C,'Ausgaben 2025'!$C190,Einzelbeträge!$E:$E,'Ausgaben 2025'!J$6)</f>
        <v>0</v>
      </c>
      <c r="K190" s="21">
        <f>SUMIFS(Einzelbeträge!$D:$D,Einzelbeträge!$C:$C,'Ausgaben 2025'!$C190,Einzelbeträge!$E:$E,'Ausgaben 2025'!K$6)</f>
        <v>0</v>
      </c>
      <c r="L190" s="21">
        <f>SUMIFS(Einzelbeträge!$D:$D,Einzelbeträge!$C:$C,'Ausgaben 2025'!$C190,Einzelbeträge!$E:$E,'Ausgaben 2025'!L$6)</f>
        <v>0</v>
      </c>
      <c r="M190" s="21">
        <f>SUMIFS(Einzelbeträge!$D:$D,Einzelbeträge!$C:$C,'Ausgaben 2025'!$C190,Einzelbeträge!$E:$E,'Ausgaben 2025'!M$6)</f>
        <v>0</v>
      </c>
      <c r="N190" s="35">
        <f>SUMIFS(Einzelbeträge!$D:$D,Einzelbeträge!$C:$C,'Ausgaben 2025'!$C190,Einzelbeträge!$E:$E,'Ausgaben 2025'!N$6)</f>
        <v>0</v>
      </c>
      <c r="O190" s="6"/>
    </row>
    <row r="191" spans="2:15" x14ac:dyDescent="0.35">
      <c r="B191" s="5"/>
      <c r="C191" s="30">
        <f t="shared" si="21"/>
        <v>45826</v>
      </c>
      <c r="D191" s="46">
        <f>SUMIFS(Einzelbeträge!$D:$D,Einzelbeträge!$C:$C,'Ausgaben 2025'!$C191)</f>
        <v>0</v>
      </c>
      <c r="E191" s="21">
        <f>SUMIFS(Einzelbeträge!$D:$D,Einzelbeträge!$C:$C,'Ausgaben 2025'!$C191,Einzelbeträge!$E:$E,'Ausgaben 2025'!E$6)</f>
        <v>0</v>
      </c>
      <c r="F191" s="21">
        <f>SUMIFS(Einzelbeträge!$D:$D,Einzelbeträge!$C:$C,'Ausgaben 2025'!$C191,Einzelbeträge!$E:$E,'Ausgaben 2025'!F$6)</f>
        <v>0</v>
      </c>
      <c r="G191" s="21">
        <f>SUMIFS(Einzelbeträge!$D:$D,Einzelbeträge!$C:$C,'Ausgaben 2025'!$C191,Einzelbeträge!$E:$E,'Ausgaben 2025'!G$6)</f>
        <v>0</v>
      </c>
      <c r="H191" s="21">
        <f>SUMIFS(Einzelbeträge!$D:$D,Einzelbeträge!$C:$C,'Ausgaben 2025'!$C191,Einzelbeträge!$E:$E,'Ausgaben 2025'!H$6)</f>
        <v>0</v>
      </c>
      <c r="I191" s="21">
        <f>SUMIFS(Einzelbeträge!$D:$D,Einzelbeträge!$C:$C,'Ausgaben 2025'!$C191,Einzelbeträge!$E:$E,'Ausgaben 2025'!I$6)</f>
        <v>0</v>
      </c>
      <c r="J191" s="21">
        <f>SUMIFS(Einzelbeträge!$D:$D,Einzelbeträge!$C:$C,'Ausgaben 2025'!$C191,Einzelbeträge!$E:$E,'Ausgaben 2025'!J$6)</f>
        <v>0</v>
      </c>
      <c r="K191" s="21">
        <f>SUMIFS(Einzelbeträge!$D:$D,Einzelbeträge!$C:$C,'Ausgaben 2025'!$C191,Einzelbeträge!$E:$E,'Ausgaben 2025'!K$6)</f>
        <v>0</v>
      </c>
      <c r="L191" s="21">
        <f>SUMIFS(Einzelbeträge!$D:$D,Einzelbeträge!$C:$C,'Ausgaben 2025'!$C191,Einzelbeträge!$E:$E,'Ausgaben 2025'!L$6)</f>
        <v>0</v>
      </c>
      <c r="M191" s="21">
        <f>SUMIFS(Einzelbeträge!$D:$D,Einzelbeträge!$C:$C,'Ausgaben 2025'!$C191,Einzelbeträge!$E:$E,'Ausgaben 2025'!M$6)</f>
        <v>0</v>
      </c>
      <c r="N191" s="35">
        <f>SUMIFS(Einzelbeträge!$D:$D,Einzelbeträge!$C:$C,'Ausgaben 2025'!$C191,Einzelbeträge!$E:$E,'Ausgaben 2025'!N$6)</f>
        <v>0</v>
      </c>
      <c r="O191" s="6"/>
    </row>
    <row r="192" spans="2:15" x14ac:dyDescent="0.35">
      <c r="B192" s="5"/>
      <c r="C192" s="30">
        <f t="shared" si="21"/>
        <v>45827</v>
      </c>
      <c r="D192" s="46">
        <f>SUMIFS(Einzelbeträge!$D:$D,Einzelbeträge!$C:$C,'Ausgaben 2025'!$C192)</f>
        <v>0</v>
      </c>
      <c r="E192" s="21">
        <f>SUMIFS(Einzelbeträge!$D:$D,Einzelbeträge!$C:$C,'Ausgaben 2025'!$C192,Einzelbeträge!$E:$E,'Ausgaben 2025'!E$6)</f>
        <v>0</v>
      </c>
      <c r="F192" s="21">
        <f>SUMIFS(Einzelbeträge!$D:$D,Einzelbeträge!$C:$C,'Ausgaben 2025'!$C192,Einzelbeträge!$E:$E,'Ausgaben 2025'!F$6)</f>
        <v>0</v>
      </c>
      <c r="G192" s="21">
        <f>SUMIFS(Einzelbeträge!$D:$D,Einzelbeträge!$C:$C,'Ausgaben 2025'!$C192,Einzelbeträge!$E:$E,'Ausgaben 2025'!G$6)</f>
        <v>0</v>
      </c>
      <c r="H192" s="21">
        <f>SUMIFS(Einzelbeträge!$D:$D,Einzelbeträge!$C:$C,'Ausgaben 2025'!$C192,Einzelbeträge!$E:$E,'Ausgaben 2025'!H$6)</f>
        <v>0</v>
      </c>
      <c r="I192" s="21">
        <f>SUMIFS(Einzelbeträge!$D:$D,Einzelbeträge!$C:$C,'Ausgaben 2025'!$C192,Einzelbeträge!$E:$E,'Ausgaben 2025'!I$6)</f>
        <v>0</v>
      </c>
      <c r="J192" s="21">
        <f>SUMIFS(Einzelbeträge!$D:$D,Einzelbeträge!$C:$C,'Ausgaben 2025'!$C192,Einzelbeträge!$E:$E,'Ausgaben 2025'!J$6)</f>
        <v>0</v>
      </c>
      <c r="K192" s="21">
        <f>SUMIFS(Einzelbeträge!$D:$D,Einzelbeträge!$C:$C,'Ausgaben 2025'!$C192,Einzelbeträge!$E:$E,'Ausgaben 2025'!K$6)</f>
        <v>0</v>
      </c>
      <c r="L192" s="21">
        <f>SUMIFS(Einzelbeträge!$D:$D,Einzelbeträge!$C:$C,'Ausgaben 2025'!$C192,Einzelbeträge!$E:$E,'Ausgaben 2025'!L$6)</f>
        <v>0</v>
      </c>
      <c r="M192" s="21">
        <f>SUMIFS(Einzelbeträge!$D:$D,Einzelbeträge!$C:$C,'Ausgaben 2025'!$C192,Einzelbeträge!$E:$E,'Ausgaben 2025'!M$6)</f>
        <v>0</v>
      </c>
      <c r="N192" s="35">
        <f>SUMIFS(Einzelbeträge!$D:$D,Einzelbeträge!$C:$C,'Ausgaben 2025'!$C192,Einzelbeträge!$E:$E,'Ausgaben 2025'!N$6)</f>
        <v>0</v>
      </c>
      <c r="O192" s="6"/>
    </row>
    <row r="193" spans="2:15" x14ac:dyDescent="0.35">
      <c r="B193" s="5"/>
      <c r="C193" s="30">
        <f t="shared" si="21"/>
        <v>45828</v>
      </c>
      <c r="D193" s="46">
        <f>SUMIFS(Einzelbeträge!$D:$D,Einzelbeträge!$C:$C,'Ausgaben 2025'!$C193)</f>
        <v>0</v>
      </c>
      <c r="E193" s="21">
        <f>SUMIFS(Einzelbeträge!$D:$D,Einzelbeträge!$C:$C,'Ausgaben 2025'!$C193,Einzelbeträge!$E:$E,'Ausgaben 2025'!E$6)</f>
        <v>0</v>
      </c>
      <c r="F193" s="21">
        <f>SUMIFS(Einzelbeträge!$D:$D,Einzelbeträge!$C:$C,'Ausgaben 2025'!$C193,Einzelbeträge!$E:$E,'Ausgaben 2025'!F$6)</f>
        <v>0</v>
      </c>
      <c r="G193" s="21">
        <f>SUMIFS(Einzelbeträge!$D:$D,Einzelbeträge!$C:$C,'Ausgaben 2025'!$C193,Einzelbeträge!$E:$E,'Ausgaben 2025'!G$6)</f>
        <v>0</v>
      </c>
      <c r="H193" s="21">
        <f>SUMIFS(Einzelbeträge!$D:$D,Einzelbeträge!$C:$C,'Ausgaben 2025'!$C193,Einzelbeträge!$E:$E,'Ausgaben 2025'!H$6)</f>
        <v>0</v>
      </c>
      <c r="I193" s="21">
        <f>SUMIFS(Einzelbeträge!$D:$D,Einzelbeträge!$C:$C,'Ausgaben 2025'!$C193,Einzelbeträge!$E:$E,'Ausgaben 2025'!I$6)</f>
        <v>0</v>
      </c>
      <c r="J193" s="21">
        <f>SUMIFS(Einzelbeträge!$D:$D,Einzelbeträge!$C:$C,'Ausgaben 2025'!$C193,Einzelbeträge!$E:$E,'Ausgaben 2025'!J$6)</f>
        <v>0</v>
      </c>
      <c r="K193" s="21">
        <f>SUMIFS(Einzelbeträge!$D:$D,Einzelbeträge!$C:$C,'Ausgaben 2025'!$C193,Einzelbeträge!$E:$E,'Ausgaben 2025'!K$6)</f>
        <v>0</v>
      </c>
      <c r="L193" s="21">
        <f>SUMIFS(Einzelbeträge!$D:$D,Einzelbeträge!$C:$C,'Ausgaben 2025'!$C193,Einzelbeträge!$E:$E,'Ausgaben 2025'!L$6)</f>
        <v>0</v>
      </c>
      <c r="M193" s="21">
        <f>SUMIFS(Einzelbeträge!$D:$D,Einzelbeträge!$C:$C,'Ausgaben 2025'!$C193,Einzelbeträge!$E:$E,'Ausgaben 2025'!M$6)</f>
        <v>0</v>
      </c>
      <c r="N193" s="35">
        <f>SUMIFS(Einzelbeträge!$D:$D,Einzelbeträge!$C:$C,'Ausgaben 2025'!$C193,Einzelbeträge!$E:$E,'Ausgaben 2025'!N$6)</f>
        <v>0</v>
      </c>
      <c r="O193" s="6"/>
    </row>
    <row r="194" spans="2:15" x14ac:dyDescent="0.35">
      <c r="B194" s="5"/>
      <c r="C194" s="30">
        <f t="shared" si="21"/>
        <v>45829</v>
      </c>
      <c r="D194" s="46">
        <f>SUMIFS(Einzelbeträge!$D:$D,Einzelbeträge!$C:$C,'Ausgaben 2025'!$C194)</f>
        <v>0</v>
      </c>
      <c r="E194" s="21">
        <f>SUMIFS(Einzelbeträge!$D:$D,Einzelbeträge!$C:$C,'Ausgaben 2025'!$C194,Einzelbeträge!$E:$E,'Ausgaben 2025'!E$6)</f>
        <v>0</v>
      </c>
      <c r="F194" s="21">
        <f>SUMIFS(Einzelbeträge!$D:$D,Einzelbeträge!$C:$C,'Ausgaben 2025'!$C194,Einzelbeträge!$E:$E,'Ausgaben 2025'!F$6)</f>
        <v>0</v>
      </c>
      <c r="G194" s="21">
        <f>SUMIFS(Einzelbeträge!$D:$D,Einzelbeträge!$C:$C,'Ausgaben 2025'!$C194,Einzelbeträge!$E:$E,'Ausgaben 2025'!G$6)</f>
        <v>0</v>
      </c>
      <c r="H194" s="21">
        <f>SUMIFS(Einzelbeträge!$D:$D,Einzelbeträge!$C:$C,'Ausgaben 2025'!$C194,Einzelbeträge!$E:$E,'Ausgaben 2025'!H$6)</f>
        <v>0</v>
      </c>
      <c r="I194" s="21">
        <f>SUMIFS(Einzelbeträge!$D:$D,Einzelbeträge!$C:$C,'Ausgaben 2025'!$C194,Einzelbeträge!$E:$E,'Ausgaben 2025'!I$6)</f>
        <v>0</v>
      </c>
      <c r="J194" s="21">
        <f>SUMIFS(Einzelbeträge!$D:$D,Einzelbeträge!$C:$C,'Ausgaben 2025'!$C194,Einzelbeträge!$E:$E,'Ausgaben 2025'!J$6)</f>
        <v>0</v>
      </c>
      <c r="K194" s="21">
        <f>SUMIFS(Einzelbeträge!$D:$D,Einzelbeträge!$C:$C,'Ausgaben 2025'!$C194,Einzelbeträge!$E:$E,'Ausgaben 2025'!K$6)</f>
        <v>0</v>
      </c>
      <c r="L194" s="21">
        <f>SUMIFS(Einzelbeträge!$D:$D,Einzelbeträge!$C:$C,'Ausgaben 2025'!$C194,Einzelbeträge!$E:$E,'Ausgaben 2025'!L$6)</f>
        <v>0</v>
      </c>
      <c r="M194" s="21">
        <f>SUMIFS(Einzelbeträge!$D:$D,Einzelbeträge!$C:$C,'Ausgaben 2025'!$C194,Einzelbeträge!$E:$E,'Ausgaben 2025'!M$6)</f>
        <v>0</v>
      </c>
      <c r="N194" s="35">
        <f>SUMIFS(Einzelbeträge!$D:$D,Einzelbeträge!$C:$C,'Ausgaben 2025'!$C194,Einzelbeträge!$E:$E,'Ausgaben 2025'!N$6)</f>
        <v>0</v>
      </c>
      <c r="O194" s="6"/>
    </row>
    <row r="195" spans="2:15" x14ac:dyDescent="0.35">
      <c r="B195" s="5"/>
      <c r="C195" s="30">
        <f t="shared" si="21"/>
        <v>45830</v>
      </c>
      <c r="D195" s="46">
        <f>SUMIFS(Einzelbeträge!$D:$D,Einzelbeträge!$C:$C,'Ausgaben 2025'!$C195)</f>
        <v>0</v>
      </c>
      <c r="E195" s="21">
        <f>SUMIFS(Einzelbeträge!$D:$D,Einzelbeträge!$C:$C,'Ausgaben 2025'!$C195,Einzelbeträge!$E:$E,'Ausgaben 2025'!E$6)</f>
        <v>0</v>
      </c>
      <c r="F195" s="21">
        <f>SUMIFS(Einzelbeträge!$D:$D,Einzelbeträge!$C:$C,'Ausgaben 2025'!$C195,Einzelbeträge!$E:$E,'Ausgaben 2025'!F$6)</f>
        <v>0</v>
      </c>
      <c r="G195" s="21">
        <f>SUMIFS(Einzelbeträge!$D:$D,Einzelbeträge!$C:$C,'Ausgaben 2025'!$C195,Einzelbeträge!$E:$E,'Ausgaben 2025'!G$6)</f>
        <v>0</v>
      </c>
      <c r="H195" s="21">
        <f>SUMIFS(Einzelbeträge!$D:$D,Einzelbeträge!$C:$C,'Ausgaben 2025'!$C195,Einzelbeträge!$E:$E,'Ausgaben 2025'!H$6)</f>
        <v>0</v>
      </c>
      <c r="I195" s="21">
        <f>SUMIFS(Einzelbeträge!$D:$D,Einzelbeträge!$C:$C,'Ausgaben 2025'!$C195,Einzelbeträge!$E:$E,'Ausgaben 2025'!I$6)</f>
        <v>0</v>
      </c>
      <c r="J195" s="21">
        <f>SUMIFS(Einzelbeträge!$D:$D,Einzelbeträge!$C:$C,'Ausgaben 2025'!$C195,Einzelbeträge!$E:$E,'Ausgaben 2025'!J$6)</f>
        <v>0</v>
      </c>
      <c r="K195" s="21">
        <f>SUMIFS(Einzelbeträge!$D:$D,Einzelbeträge!$C:$C,'Ausgaben 2025'!$C195,Einzelbeträge!$E:$E,'Ausgaben 2025'!K$6)</f>
        <v>0</v>
      </c>
      <c r="L195" s="21">
        <f>SUMIFS(Einzelbeträge!$D:$D,Einzelbeträge!$C:$C,'Ausgaben 2025'!$C195,Einzelbeträge!$E:$E,'Ausgaben 2025'!L$6)</f>
        <v>0</v>
      </c>
      <c r="M195" s="21">
        <f>SUMIFS(Einzelbeträge!$D:$D,Einzelbeträge!$C:$C,'Ausgaben 2025'!$C195,Einzelbeträge!$E:$E,'Ausgaben 2025'!M$6)</f>
        <v>0</v>
      </c>
      <c r="N195" s="35">
        <f>SUMIFS(Einzelbeträge!$D:$D,Einzelbeträge!$C:$C,'Ausgaben 2025'!$C195,Einzelbeträge!$E:$E,'Ausgaben 2025'!N$6)</f>
        <v>0</v>
      </c>
      <c r="O195" s="6"/>
    </row>
    <row r="196" spans="2:15" x14ac:dyDescent="0.35">
      <c r="B196" s="5"/>
      <c r="C196" s="30">
        <f t="shared" si="21"/>
        <v>45831</v>
      </c>
      <c r="D196" s="46">
        <f>SUMIFS(Einzelbeträge!$D:$D,Einzelbeträge!$C:$C,'Ausgaben 2025'!$C196)</f>
        <v>0</v>
      </c>
      <c r="E196" s="21">
        <f>SUMIFS(Einzelbeträge!$D:$D,Einzelbeträge!$C:$C,'Ausgaben 2025'!$C196,Einzelbeträge!$E:$E,'Ausgaben 2025'!E$6)</f>
        <v>0</v>
      </c>
      <c r="F196" s="21">
        <f>SUMIFS(Einzelbeträge!$D:$D,Einzelbeträge!$C:$C,'Ausgaben 2025'!$C196,Einzelbeträge!$E:$E,'Ausgaben 2025'!F$6)</f>
        <v>0</v>
      </c>
      <c r="G196" s="21">
        <f>SUMIFS(Einzelbeträge!$D:$D,Einzelbeträge!$C:$C,'Ausgaben 2025'!$C196,Einzelbeträge!$E:$E,'Ausgaben 2025'!G$6)</f>
        <v>0</v>
      </c>
      <c r="H196" s="21">
        <f>SUMIFS(Einzelbeträge!$D:$D,Einzelbeträge!$C:$C,'Ausgaben 2025'!$C196,Einzelbeträge!$E:$E,'Ausgaben 2025'!H$6)</f>
        <v>0</v>
      </c>
      <c r="I196" s="21">
        <f>SUMIFS(Einzelbeträge!$D:$D,Einzelbeträge!$C:$C,'Ausgaben 2025'!$C196,Einzelbeträge!$E:$E,'Ausgaben 2025'!I$6)</f>
        <v>0</v>
      </c>
      <c r="J196" s="21">
        <f>SUMIFS(Einzelbeträge!$D:$D,Einzelbeträge!$C:$C,'Ausgaben 2025'!$C196,Einzelbeträge!$E:$E,'Ausgaben 2025'!J$6)</f>
        <v>0</v>
      </c>
      <c r="K196" s="21">
        <f>SUMIFS(Einzelbeträge!$D:$D,Einzelbeträge!$C:$C,'Ausgaben 2025'!$C196,Einzelbeträge!$E:$E,'Ausgaben 2025'!K$6)</f>
        <v>0</v>
      </c>
      <c r="L196" s="21">
        <f>SUMIFS(Einzelbeträge!$D:$D,Einzelbeträge!$C:$C,'Ausgaben 2025'!$C196,Einzelbeträge!$E:$E,'Ausgaben 2025'!L$6)</f>
        <v>0</v>
      </c>
      <c r="M196" s="21">
        <f>SUMIFS(Einzelbeträge!$D:$D,Einzelbeträge!$C:$C,'Ausgaben 2025'!$C196,Einzelbeträge!$E:$E,'Ausgaben 2025'!M$6)</f>
        <v>0</v>
      </c>
      <c r="N196" s="35">
        <f>SUMIFS(Einzelbeträge!$D:$D,Einzelbeträge!$C:$C,'Ausgaben 2025'!$C196,Einzelbeträge!$E:$E,'Ausgaben 2025'!N$6)</f>
        <v>0</v>
      </c>
      <c r="O196" s="6"/>
    </row>
    <row r="197" spans="2:15" x14ac:dyDescent="0.35">
      <c r="B197" s="5"/>
      <c r="C197" s="30">
        <f t="shared" si="21"/>
        <v>45832</v>
      </c>
      <c r="D197" s="46">
        <f>SUMIFS(Einzelbeträge!$D:$D,Einzelbeträge!$C:$C,'Ausgaben 2025'!$C197)</f>
        <v>0</v>
      </c>
      <c r="E197" s="21">
        <f>SUMIFS(Einzelbeträge!$D:$D,Einzelbeträge!$C:$C,'Ausgaben 2025'!$C197,Einzelbeträge!$E:$E,'Ausgaben 2025'!E$6)</f>
        <v>0</v>
      </c>
      <c r="F197" s="21">
        <f>SUMIFS(Einzelbeträge!$D:$D,Einzelbeträge!$C:$C,'Ausgaben 2025'!$C197,Einzelbeträge!$E:$E,'Ausgaben 2025'!F$6)</f>
        <v>0</v>
      </c>
      <c r="G197" s="21">
        <f>SUMIFS(Einzelbeträge!$D:$D,Einzelbeträge!$C:$C,'Ausgaben 2025'!$C197,Einzelbeträge!$E:$E,'Ausgaben 2025'!G$6)</f>
        <v>0</v>
      </c>
      <c r="H197" s="21">
        <f>SUMIFS(Einzelbeträge!$D:$D,Einzelbeträge!$C:$C,'Ausgaben 2025'!$C197,Einzelbeträge!$E:$E,'Ausgaben 2025'!H$6)</f>
        <v>0</v>
      </c>
      <c r="I197" s="21">
        <f>SUMIFS(Einzelbeträge!$D:$D,Einzelbeträge!$C:$C,'Ausgaben 2025'!$C197,Einzelbeträge!$E:$E,'Ausgaben 2025'!I$6)</f>
        <v>0</v>
      </c>
      <c r="J197" s="21">
        <f>SUMIFS(Einzelbeträge!$D:$D,Einzelbeträge!$C:$C,'Ausgaben 2025'!$C197,Einzelbeträge!$E:$E,'Ausgaben 2025'!J$6)</f>
        <v>0</v>
      </c>
      <c r="K197" s="21">
        <f>SUMIFS(Einzelbeträge!$D:$D,Einzelbeträge!$C:$C,'Ausgaben 2025'!$C197,Einzelbeträge!$E:$E,'Ausgaben 2025'!K$6)</f>
        <v>0</v>
      </c>
      <c r="L197" s="21">
        <f>SUMIFS(Einzelbeträge!$D:$D,Einzelbeträge!$C:$C,'Ausgaben 2025'!$C197,Einzelbeträge!$E:$E,'Ausgaben 2025'!L$6)</f>
        <v>0</v>
      </c>
      <c r="M197" s="21">
        <f>SUMIFS(Einzelbeträge!$D:$D,Einzelbeträge!$C:$C,'Ausgaben 2025'!$C197,Einzelbeträge!$E:$E,'Ausgaben 2025'!M$6)</f>
        <v>0</v>
      </c>
      <c r="N197" s="35">
        <f>SUMIFS(Einzelbeträge!$D:$D,Einzelbeträge!$C:$C,'Ausgaben 2025'!$C197,Einzelbeträge!$E:$E,'Ausgaben 2025'!N$6)</f>
        <v>0</v>
      </c>
      <c r="O197" s="6"/>
    </row>
    <row r="198" spans="2:15" x14ac:dyDescent="0.35">
      <c r="B198" s="5"/>
      <c r="C198" s="30">
        <f t="shared" si="21"/>
        <v>45833</v>
      </c>
      <c r="D198" s="46">
        <f>SUMIFS(Einzelbeträge!$D:$D,Einzelbeträge!$C:$C,'Ausgaben 2025'!$C198)</f>
        <v>0</v>
      </c>
      <c r="E198" s="21">
        <f>SUMIFS(Einzelbeträge!$D:$D,Einzelbeträge!$C:$C,'Ausgaben 2025'!$C198,Einzelbeträge!$E:$E,'Ausgaben 2025'!E$6)</f>
        <v>0</v>
      </c>
      <c r="F198" s="21">
        <f>SUMIFS(Einzelbeträge!$D:$D,Einzelbeträge!$C:$C,'Ausgaben 2025'!$C198,Einzelbeträge!$E:$E,'Ausgaben 2025'!F$6)</f>
        <v>0</v>
      </c>
      <c r="G198" s="21">
        <f>SUMIFS(Einzelbeträge!$D:$D,Einzelbeträge!$C:$C,'Ausgaben 2025'!$C198,Einzelbeträge!$E:$E,'Ausgaben 2025'!G$6)</f>
        <v>0</v>
      </c>
      <c r="H198" s="21">
        <f>SUMIFS(Einzelbeträge!$D:$D,Einzelbeträge!$C:$C,'Ausgaben 2025'!$C198,Einzelbeträge!$E:$E,'Ausgaben 2025'!H$6)</f>
        <v>0</v>
      </c>
      <c r="I198" s="21">
        <f>SUMIFS(Einzelbeträge!$D:$D,Einzelbeträge!$C:$C,'Ausgaben 2025'!$C198,Einzelbeträge!$E:$E,'Ausgaben 2025'!I$6)</f>
        <v>0</v>
      </c>
      <c r="J198" s="21">
        <f>SUMIFS(Einzelbeträge!$D:$D,Einzelbeträge!$C:$C,'Ausgaben 2025'!$C198,Einzelbeträge!$E:$E,'Ausgaben 2025'!J$6)</f>
        <v>0</v>
      </c>
      <c r="K198" s="21">
        <f>SUMIFS(Einzelbeträge!$D:$D,Einzelbeträge!$C:$C,'Ausgaben 2025'!$C198,Einzelbeträge!$E:$E,'Ausgaben 2025'!K$6)</f>
        <v>0</v>
      </c>
      <c r="L198" s="21">
        <f>SUMIFS(Einzelbeträge!$D:$D,Einzelbeträge!$C:$C,'Ausgaben 2025'!$C198,Einzelbeträge!$E:$E,'Ausgaben 2025'!L$6)</f>
        <v>0</v>
      </c>
      <c r="M198" s="21">
        <f>SUMIFS(Einzelbeträge!$D:$D,Einzelbeträge!$C:$C,'Ausgaben 2025'!$C198,Einzelbeträge!$E:$E,'Ausgaben 2025'!M$6)</f>
        <v>0</v>
      </c>
      <c r="N198" s="35">
        <f>SUMIFS(Einzelbeträge!$D:$D,Einzelbeträge!$C:$C,'Ausgaben 2025'!$C198,Einzelbeträge!$E:$E,'Ausgaben 2025'!N$6)</f>
        <v>0</v>
      </c>
      <c r="O198" s="6"/>
    </row>
    <row r="199" spans="2:15" x14ac:dyDescent="0.35">
      <c r="B199" s="5"/>
      <c r="C199" s="30">
        <f t="shared" si="21"/>
        <v>45834</v>
      </c>
      <c r="D199" s="46">
        <f>SUMIFS(Einzelbeträge!$D:$D,Einzelbeträge!$C:$C,'Ausgaben 2025'!$C199)</f>
        <v>0</v>
      </c>
      <c r="E199" s="21">
        <f>SUMIFS(Einzelbeträge!$D:$D,Einzelbeträge!$C:$C,'Ausgaben 2025'!$C199,Einzelbeträge!$E:$E,'Ausgaben 2025'!E$6)</f>
        <v>0</v>
      </c>
      <c r="F199" s="21">
        <f>SUMIFS(Einzelbeträge!$D:$D,Einzelbeträge!$C:$C,'Ausgaben 2025'!$C199,Einzelbeträge!$E:$E,'Ausgaben 2025'!F$6)</f>
        <v>0</v>
      </c>
      <c r="G199" s="21">
        <f>SUMIFS(Einzelbeträge!$D:$D,Einzelbeträge!$C:$C,'Ausgaben 2025'!$C199,Einzelbeträge!$E:$E,'Ausgaben 2025'!G$6)</f>
        <v>0</v>
      </c>
      <c r="H199" s="21">
        <f>SUMIFS(Einzelbeträge!$D:$D,Einzelbeträge!$C:$C,'Ausgaben 2025'!$C199,Einzelbeträge!$E:$E,'Ausgaben 2025'!H$6)</f>
        <v>0</v>
      </c>
      <c r="I199" s="21">
        <f>SUMIFS(Einzelbeträge!$D:$D,Einzelbeträge!$C:$C,'Ausgaben 2025'!$C199,Einzelbeträge!$E:$E,'Ausgaben 2025'!I$6)</f>
        <v>0</v>
      </c>
      <c r="J199" s="21">
        <f>SUMIFS(Einzelbeträge!$D:$D,Einzelbeträge!$C:$C,'Ausgaben 2025'!$C199,Einzelbeträge!$E:$E,'Ausgaben 2025'!J$6)</f>
        <v>0</v>
      </c>
      <c r="K199" s="21">
        <f>SUMIFS(Einzelbeträge!$D:$D,Einzelbeträge!$C:$C,'Ausgaben 2025'!$C199,Einzelbeträge!$E:$E,'Ausgaben 2025'!K$6)</f>
        <v>0</v>
      </c>
      <c r="L199" s="21">
        <f>SUMIFS(Einzelbeträge!$D:$D,Einzelbeträge!$C:$C,'Ausgaben 2025'!$C199,Einzelbeträge!$E:$E,'Ausgaben 2025'!L$6)</f>
        <v>0</v>
      </c>
      <c r="M199" s="21">
        <f>SUMIFS(Einzelbeträge!$D:$D,Einzelbeträge!$C:$C,'Ausgaben 2025'!$C199,Einzelbeträge!$E:$E,'Ausgaben 2025'!M$6)</f>
        <v>0</v>
      </c>
      <c r="N199" s="35">
        <f>SUMIFS(Einzelbeträge!$D:$D,Einzelbeträge!$C:$C,'Ausgaben 2025'!$C199,Einzelbeträge!$E:$E,'Ausgaben 2025'!N$6)</f>
        <v>0</v>
      </c>
      <c r="O199" s="6"/>
    </row>
    <row r="200" spans="2:15" x14ac:dyDescent="0.35">
      <c r="B200" s="5"/>
      <c r="C200" s="30">
        <f t="shared" si="21"/>
        <v>45835</v>
      </c>
      <c r="D200" s="46">
        <f>SUMIFS(Einzelbeträge!$D:$D,Einzelbeträge!$C:$C,'Ausgaben 2025'!$C200)</f>
        <v>0</v>
      </c>
      <c r="E200" s="21">
        <f>SUMIFS(Einzelbeträge!$D:$D,Einzelbeträge!$C:$C,'Ausgaben 2025'!$C200,Einzelbeträge!$E:$E,'Ausgaben 2025'!E$6)</f>
        <v>0</v>
      </c>
      <c r="F200" s="21">
        <f>SUMIFS(Einzelbeträge!$D:$D,Einzelbeträge!$C:$C,'Ausgaben 2025'!$C200,Einzelbeträge!$E:$E,'Ausgaben 2025'!F$6)</f>
        <v>0</v>
      </c>
      <c r="G200" s="21">
        <f>SUMIFS(Einzelbeträge!$D:$D,Einzelbeträge!$C:$C,'Ausgaben 2025'!$C200,Einzelbeträge!$E:$E,'Ausgaben 2025'!G$6)</f>
        <v>0</v>
      </c>
      <c r="H200" s="21">
        <f>SUMIFS(Einzelbeträge!$D:$D,Einzelbeträge!$C:$C,'Ausgaben 2025'!$C200,Einzelbeträge!$E:$E,'Ausgaben 2025'!H$6)</f>
        <v>0</v>
      </c>
      <c r="I200" s="21">
        <f>SUMIFS(Einzelbeträge!$D:$D,Einzelbeträge!$C:$C,'Ausgaben 2025'!$C200,Einzelbeträge!$E:$E,'Ausgaben 2025'!I$6)</f>
        <v>0</v>
      </c>
      <c r="J200" s="21">
        <f>SUMIFS(Einzelbeträge!$D:$D,Einzelbeträge!$C:$C,'Ausgaben 2025'!$C200,Einzelbeträge!$E:$E,'Ausgaben 2025'!J$6)</f>
        <v>0</v>
      </c>
      <c r="K200" s="21">
        <f>SUMIFS(Einzelbeträge!$D:$D,Einzelbeträge!$C:$C,'Ausgaben 2025'!$C200,Einzelbeträge!$E:$E,'Ausgaben 2025'!K$6)</f>
        <v>0</v>
      </c>
      <c r="L200" s="21">
        <f>SUMIFS(Einzelbeträge!$D:$D,Einzelbeträge!$C:$C,'Ausgaben 2025'!$C200,Einzelbeträge!$E:$E,'Ausgaben 2025'!L$6)</f>
        <v>0</v>
      </c>
      <c r="M200" s="21">
        <f>SUMIFS(Einzelbeträge!$D:$D,Einzelbeträge!$C:$C,'Ausgaben 2025'!$C200,Einzelbeträge!$E:$E,'Ausgaben 2025'!M$6)</f>
        <v>0</v>
      </c>
      <c r="N200" s="35">
        <f>SUMIFS(Einzelbeträge!$D:$D,Einzelbeträge!$C:$C,'Ausgaben 2025'!$C200,Einzelbeträge!$E:$E,'Ausgaben 2025'!N$6)</f>
        <v>0</v>
      </c>
      <c r="O200" s="6"/>
    </row>
    <row r="201" spans="2:15" x14ac:dyDescent="0.35">
      <c r="B201" s="5"/>
      <c r="C201" s="30">
        <f t="shared" si="21"/>
        <v>45836</v>
      </c>
      <c r="D201" s="46">
        <f>SUMIFS(Einzelbeträge!$D:$D,Einzelbeträge!$C:$C,'Ausgaben 2025'!$C201)</f>
        <v>0</v>
      </c>
      <c r="E201" s="21">
        <f>SUMIFS(Einzelbeträge!$D:$D,Einzelbeträge!$C:$C,'Ausgaben 2025'!$C201,Einzelbeträge!$E:$E,'Ausgaben 2025'!E$6)</f>
        <v>0</v>
      </c>
      <c r="F201" s="21">
        <f>SUMIFS(Einzelbeträge!$D:$D,Einzelbeträge!$C:$C,'Ausgaben 2025'!$C201,Einzelbeträge!$E:$E,'Ausgaben 2025'!F$6)</f>
        <v>0</v>
      </c>
      <c r="G201" s="21">
        <f>SUMIFS(Einzelbeträge!$D:$D,Einzelbeträge!$C:$C,'Ausgaben 2025'!$C201,Einzelbeträge!$E:$E,'Ausgaben 2025'!G$6)</f>
        <v>0</v>
      </c>
      <c r="H201" s="21">
        <f>SUMIFS(Einzelbeträge!$D:$D,Einzelbeträge!$C:$C,'Ausgaben 2025'!$C201,Einzelbeträge!$E:$E,'Ausgaben 2025'!H$6)</f>
        <v>0</v>
      </c>
      <c r="I201" s="21">
        <f>SUMIFS(Einzelbeträge!$D:$D,Einzelbeträge!$C:$C,'Ausgaben 2025'!$C201,Einzelbeträge!$E:$E,'Ausgaben 2025'!I$6)</f>
        <v>0</v>
      </c>
      <c r="J201" s="21">
        <f>SUMIFS(Einzelbeträge!$D:$D,Einzelbeträge!$C:$C,'Ausgaben 2025'!$C201,Einzelbeträge!$E:$E,'Ausgaben 2025'!J$6)</f>
        <v>0</v>
      </c>
      <c r="K201" s="21">
        <f>SUMIFS(Einzelbeträge!$D:$D,Einzelbeträge!$C:$C,'Ausgaben 2025'!$C201,Einzelbeträge!$E:$E,'Ausgaben 2025'!K$6)</f>
        <v>0</v>
      </c>
      <c r="L201" s="21">
        <f>SUMIFS(Einzelbeträge!$D:$D,Einzelbeträge!$C:$C,'Ausgaben 2025'!$C201,Einzelbeträge!$E:$E,'Ausgaben 2025'!L$6)</f>
        <v>0</v>
      </c>
      <c r="M201" s="21">
        <f>SUMIFS(Einzelbeträge!$D:$D,Einzelbeträge!$C:$C,'Ausgaben 2025'!$C201,Einzelbeträge!$E:$E,'Ausgaben 2025'!M$6)</f>
        <v>0</v>
      </c>
      <c r="N201" s="35">
        <f>SUMIFS(Einzelbeträge!$D:$D,Einzelbeträge!$C:$C,'Ausgaben 2025'!$C201,Einzelbeträge!$E:$E,'Ausgaben 2025'!N$6)</f>
        <v>0</v>
      </c>
      <c r="O201" s="6"/>
    </row>
    <row r="202" spans="2:15" x14ac:dyDescent="0.35">
      <c r="B202" s="5"/>
      <c r="C202" s="30">
        <f t="shared" si="21"/>
        <v>45837</v>
      </c>
      <c r="D202" s="46">
        <f>SUMIFS(Einzelbeträge!$D:$D,Einzelbeträge!$C:$C,'Ausgaben 2025'!$C202)</f>
        <v>0</v>
      </c>
      <c r="E202" s="21">
        <f>SUMIFS(Einzelbeträge!$D:$D,Einzelbeträge!$C:$C,'Ausgaben 2025'!$C202,Einzelbeträge!$E:$E,'Ausgaben 2025'!E$6)</f>
        <v>0</v>
      </c>
      <c r="F202" s="21">
        <f>SUMIFS(Einzelbeträge!$D:$D,Einzelbeträge!$C:$C,'Ausgaben 2025'!$C202,Einzelbeträge!$E:$E,'Ausgaben 2025'!F$6)</f>
        <v>0</v>
      </c>
      <c r="G202" s="21">
        <f>SUMIFS(Einzelbeträge!$D:$D,Einzelbeträge!$C:$C,'Ausgaben 2025'!$C202,Einzelbeträge!$E:$E,'Ausgaben 2025'!G$6)</f>
        <v>0</v>
      </c>
      <c r="H202" s="21">
        <f>SUMIFS(Einzelbeträge!$D:$D,Einzelbeträge!$C:$C,'Ausgaben 2025'!$C202,Einzelbeträge!$E:$E,'Ausgaben 2025'!H$6)</f>
        <v>0</v>
      </c>
      <c r="I202" s="21">
        <f>SUMIFS(Einzelbeträge!$D:$D,Einzelbeträge!$C:$C,'Ausgaben 2025'!$C202,Einzelbeträge!$E:$E,'Ausgaben 2025'!I$6)</f>
        <v>0</v>
      </c>
      <c r="J202" s="21">
        <f>SUMIFS(Einzelbeträge!$D:$D,Einzelbeträge!$C:$C,'Ausgaben 2025'!$C202,Einzelbeträge!$E:$E,'Ausgaben 2025'!J$6)</f>
        <v>0</v>
      </c>
      <c r="K202" s="21">
        <f>SUMIFS(Einzelbeträge!$D:$D,Einzelbeträge!$C:$C,'Ausgaben 2025'!$C202,Einzelbeträge!$E:$E,'Ausgaben 2025'!K$6)</f>
        <v>0</v>
      </c>
      <c r="L202" s="21">
        <f>SUMIFS(Einzelbeträge!$D:$D,Einzelbeträge!$C:$C,'Ausgaben 2025'!$C202,Einzelbeträge!$E:$E,'Ausgaben 2025'!L$6)</f>
        <v>0</v>
      </c>
      <c r="M202" s="21">
        <f>SUMIFS(Einzelbeträge!$D:$D,Einzelbeträge!$C:$C,'Ausgaben 2025'!$C202,Einzelbeträge!$E:$E,'Ausgaben 2025'!M$6)</f>
        <v>0</v>
      </c>
      <c r="N202" s="35">
        <f>SUMIFS(Einzelbeträge!$D:$D,Einzelbeträge!$C:$C,'Ausgaben 2025'!$C202,Einzelbeträge!$E:$E,'Ausgaben 2025'!N$6)</f>
        <v>0</v>
      </c>
      <c r="O202" s="6"/>
    </row>
    <row r="203" spans="2:15" x14ac:dyDescent="0.35">
      <c r="B203" s="5"/>
      <c r="C203" s="31">
        <f t="shared" si="21"/>
        <v>45838</v>
      </c>
      <c r="D203" s="47">
        <f>SUMIFS(Einzelbeträge!$D:$D,Einzelbeträge!$C:$C,'Ausgaben 2025'!$C203)</f>
        <v>0</v>
      </c>
      <c r="E203" s="37">
        <f>SUMIFS(Einzelbeträge!$D:$D,Einzelbeträge!$C:$C,'Ausgaben 2025'!$C203,Einzelbeträge!$E:$E,'Ausgaben 2025'!E$6)</f>
        <v>0</v>
      </c>
      <c r="F203" s="37">
        <f>SUMIFS(Einzelbeträge!$D:$D,Einzelbeträge!$C:$C,'Ausgaben 2025'!$C203,Einzelbeträge!$E:$E,'Ausgaben 2025'!F$6)</f>
        <v>0</v>
      </c>
      <c r="G203" s="37">
        <f>SUMIFS(Einzelbeträge!$D:$D,Einzelbeträge!$C:$C,'Ausgaben 2025'!$C203,Einzelbeträge!$E:$E,'Ausgaben 2025'!G$6)</f>
        <v>0</v>
      </c>
      <c r="H203" s="37">
        <f>SUMIFS(Einzelbeträge!$D:$D,Einzelbeträge!$C:$C,'Ausgaben 2025'!$C203,Einzelbeträge!$E:$E,'Ausgaben 2025'!H$6)</f>
        <v>0</v>
      </c>
      <c r="I203" s="37">
        <f>SUMIFS(Einzelbeträge!$D:$D,Einzelbeträge!$C:$C,'Ausgaben 2025'!$C203,Einzelbeträge!$E:$E,'Ausgaben 2025'!I$6)</f>
        <v>0</v>
      </c>
      <c r="J203" s="37">
        <f>SUMIFS(Einzelbeträge!$D:$D,Einzelbeträge!$C:$C,'Ausgaben 2025'!$C203,Einzelbeträge!$E:$E,'Ausgaben 2025'!J$6)</f>
        <v>0</v>
      </c>
      <c r="K203" s="37">
        <f>SUMIFS(Einzelbeträge!$D:$D,Einzelbeträge!$C:$C,'Ausgaben 2025'!$C203,Einzelbeträge!$E:$E,'Ausgaben 2025'!K$6)</f>
        <v>0</v>
      </c>
      <c r="L203" s="37">
        <f>SUMIFS(Einzelbeträge!$D:$D,Einzelbeträge!$C:$C,'Ausgaben 2025'!$C203,Einzelbeträge!$E:$E,'Ausgaben 2025'!L$6)</f>
        <v>0</v>
      </c>
      <c r="M203" s="37">
        <f>SUMIFS(Einzelbeträge!$D:$D,Einzelbeträge!$C:$C,'Ausgaben 2025'!$C203,Einzelbeträge!$E:$E,'Ausgaben 2025'!M$6)</f>
        <v>0</v>
      </c>
      <c r="N203" s="38">
        <f>SUMIFS(Einzelbeträge!$D:$D,Einzelbeträge!$C:$C,'Ausgaben 2025'!$C203,Einzelbeträge!$E:$E,'Ausgaben 2025'!N$6)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45839</v>
      </c>
      <c r="D207" s="45">
        <f>SUMIFS(Einzelbeträge!$D:$D,Einzelbeträge!$C:$C,'Ausgaben 2025'!$C207)</f>
        <v>0</v>
      </c>
      <c r="E207" s="32">
        <f>SUMIFS(Einzelbeträge!$D:$D,Einzelbeträge!$C:$C,'Ausgaben 2025'!$C207,Einzelbeträge!$E:$E,'Ausgaben 2025'!E$6)</f>
        <v>0</v>
      </c>
      <c r="F207" s="32">
        <f>SUMIFS(Einzelbeträge!$D:$D,Einzelbeträge!$C:$C,'Ausgaben 2025'!$C207,Einzelbeträge!$E:$E,'Ausgaben 2025'!F$6)</f>
        <v>0</v>
      </c>
      <c r="G207" s="32">
        <f>SUMIFS(Einzelbeträge!$D:$D,Einzelbeträge!$C:$C,'Ausgaben 2025'!$C207,Einzelbeträge!$E:$E,'Ausgaben 2025'!G$6)</f>
        <v>0</v>
      </c>
      <c r="H207" s="32">
        <f>SUMIFS(Einzelbeträge!$D:$D,Einzelbeträge!$C:$C,'Ausgaben 2025'!$C207,Einzelbeträge!$E:$E,'Ausgaben 2025'!H$6)</f>
        <v>0</v>
      </c>
      <c r="I207" s="32">
        <f>SUMIFS(Einzelbeträge!$D:$D,Einzelbeträge!$C:$C,'Ausgaben 2025'!$C207,Einzelbeträge!$E:$E,'Ausgaben 2025'!I$6)</f>
        <v>0</v>
      </c>
      <c r="J207" s="32">
        <f>SUMIFS(Einzelbeträge!$D:$D,Einzelbeträge!$C:$C,'Ausgaben 2025'!$C207,Einzelbeträge!$E:$E,'Ausgaben 2025'!J$6)</f>
        <v>0</v>
      </c>
      <c r="K207" s="32">
        <f>SUMIFS(Einzelbeträge!$D:$D,Einzelbeträge!$C:$C,'Ausgaben 2025'!$C207,Einzelbeträge!$E:$E,'Ausgaben 2025'!K$6)</f>
        <v>0</v>
      </c>
      <c r="L207" s="32">
        <f>SUMIFS(Einzelbeträge!$D:$D,Einzelbeträge!$C:$C,'Ausgaben 2025'!$C207,Einzelbeträge!$E:$E,'Ausgaben 2025'!L$6)</f>
        <v>0</v>
      </c>
      <c r="M207" s="32">
        <f>SUMIFS(Einzelbeträge!$D:$D,Einzelbeträge!$C:$C,'Ausgaben 2025'!$C207,Einzelbeträge!$E:$E,'Ausgaben 2025'!M$6)</f>
        <v>0</v>
      </c>
      <c r="N207" s="33">
        <f>SUMIFS(Einzelbeträge!$D:$D,Einzelbeträge!$C:$C,'Ausgaben 2025'!$C207,Einzelbeträge!$E:$E,'Ausgaben 2025'!N$6)</f>
        <v>0</v>
      </c>
      <c r="O207" s="6"/>
    </row>
    <row r="208" spans="2:15" x14ac:dyDescent="0.35">
      <c r="B208" s="5"/>
      <c r="C208" s="40">
        <f>C207+1</f>
        <v>45840</v>
      </c>
      <c r="D208" s="46">
        <f>SUMIFS(Einzelbeträge!$D:$D,Einzelbeträge!$C:$C,'Ausgaben 2025'!$C208)</f>
        <v>0</v>
      </c>
      <c r="E208" s="21">
        <f>SUMIFS(Einzelbeträge!$D:$D,Einzelbeträge!$C:$C,'Ausgaben 2025'!$C208,Einzelbeträge!$E:$E,'Ausgaben 2025'!E$6)</f>
        <v>0</v>
      </c>
      <c r="F208" s="21">
        <f>SUMIFS(Einzelbeträge!$D:$D,Einzelbeträge!$C:$C,'Ausgaben 2025'!$C208,Einzelbeträge!$E:$E,'Ausgaben 2025'!F$6)</f>
        <v>0</v>
      </c>
      <c r="G208" s="21">
        <f>SUMIFS(Einzelbeträge!$D:$D,Einzelbeträge!$C:$C,'Ausgaben 2025'!$C208,Einzelbeträge!$E:$E,'Ausgaben 2025'!G$6)</f>
        <v>0</v>
      </c>
      <c r="H208" s="21">
        <f>SUMIFS(Einzelbeträge!$D:$D,Einzelbeträge!$C:$C,'Ausgaben 2025'!$C208,Einzelbeträge!$E:$E,'Ausgaben 2025'!H$6)</f>
        <v>0</v>
      </c>
      <c r="I208" s="21">
        <f>SUMIFS(Einzelbeträge!$D:$D,Einzelbeträge!$C:$C,'Ausgaben 2025'!$C208,Einzelbeträge!$E:$E,'Ausgaben 2025'!I$6)</f>
        <v>0</v>
      </c>
      <c r="J208" s="21">
        <f>SUMIFS(Einzelbeträge!$D:$D,Einzelbeträge!$C:$C,'Ausgaben 2025'!$C208,Einzelbeträge!$E:$E,'Ausgaben 2025'!J$6)</f>
        <v>0</v>
      </c>
      <c r="K208" s="21">
        <f>SUMIFS(Einzelbeträge!$D:$D,Einzelbeträge!$C:$C,'Ausgaben 2025'!$C208,Einzelbeträge!$E:$E,'Ausgaben 2025'!K$6)</f>
        <v>0</v>
      </c>
      <c r="L208" s="21">
        <f>SUMIFS(Einzelbeträge!$D:$D,Einzelbeträge!$C:$C,'Ausgaben 2025'!$C208,Einzelbeträge!$E:$E,'Ausgaben 2025'!L$6)</f>
        <v>0</v>
      </c>
      <c r="M208" s="21">
        <f>SUMIFS(Einzelbeträge!$D:$D,Einzelbeträge!$C:$C,'Ausgaben 2025'!$C208,Einzelbeträge!$E:$E,'Ausgaben 2025'!M$6)</f>
        <v>0</v>
      </c>
      <c r="N208" s="35">
        <f>SUMIFS(Einzelbeträge!$D:$D,Einzelbeträge!$C:$C,'Ausgaben 2025'!$C208,Einzelbeträge!$E:$E,'Ausgaben 2025'!N$6)</f>
        <v>0</v>
      </c>
      <c r="O208" s="6"/>
    </row>
    <row r="209" spans="2:15" x14ac:dyDescent="0.35">
      <c r="B209" s="5"/>
      <c r="C209" s="40">
        <f t="shared" ref="C209:C237" si="22">C208+1</f>
        <v>45841</v>
      </c>
      <c r="D209" s="46">
        <f>SUMIFS(Einzelbeträge!$D:$D,Einzelbeträge!$C:$C,'Ausgaben 2025'!$C209)</f>
        <v>0</v>
      </c>
      <c r="E209" s="21">
        <f>SUMIFS(Einzelbeträge!$D:$D,Einzelbeträge!$C:$C,'Ausgaben 2025'!$C209,Einzelbeträge!$E:$E,'Ausgaben 2025'!E$6)</f>
        <v>0</v>
      </c>
      <c r="F209" s="21">
        <f>SUMIFS(Einzelbeträge!$D:$D,Einzelbeträge!$C:$C,'Ausgaben 2025'!$C209,Einzelbeträge!$E:$E,'Ausgaben 2025'!F$6)</f>
        <v>0</v>
      </c>
      <c r="G209" s="21">
        <f>SUMIFS(Einzelbeträge!$D:$D,Einzelbeträge!$C:$C,'Ausgaben 2025'!$C209,Einzelbeträge!$E:$E,'Ausgaben 2025'!G$6)</f>
        <v>0</v>
      </c>
      <c r="H209" s="21">
        <f>SUMIFS(Einzelbeträge!$D:$D,Einzelbeträge!$C:$C,'Ausgaben 2025'!$C209,Einzelbeträge!$E:$E,'Ausgaben 2025'!H$6)</f>
        <v>0</v>
      </c>
      <c r="I209" s="21">
        <f>SUMIFS(Einzelbeträge!$D:$D,Einzelbeträge!$C:$C,'Ausgaben 2025'!$C209,Einzelbeträge!$E:$E,'Ausgaben 2025'!I$6)</f>
        <v>0</v>
      </c>
      <c r="J209" s="21">
        <f>SUMIFS(Einzelbeträge!$D:$D,Einzelbeträge!$C:$C,'Ausgaben 2025'!$C209,Einzelbeträge!$E:$E,'Ausgaben 2025'!J$6)</f>
        <v>0</v>
      </c>
      <c r="K209" s="21">
        <f>SUMIFS(Einzelbeträge!$D:$D,Einzelbeträge!$C:$C,'Ausgaben 2025'!$C209,Einzelbeträge!$E:$E,'Ausgaben 2025'!K$6)</f>
        <v>0</v>
      </c>
      <c r="L209" s="21">
        <f>SUMIFS(Einzelbeträge!$D:$D,Einzelbeträge!$C:$C,'Ausgaben 2025'!$C209,Einzelbeträge!$E:$E,'Ausgaben 2025'!L$6)</f>
        <v>0</v>
      </c>
      <c r="M209" s="21">
        <f>SUMIFS(Einzelbeträge!$D:$D,Einzelbeträge!$C:$C,'Ausgaben 2025'!$C209,Einzelbeträge!$E:$E,'Ausgaben 2025'!M$6)</f>
        <v>0</v>
      </c>
      <c r="N209" s="35">
        <f>SUMIFS(Einzelbeträge!$D:$D,Einzelbeträge!$C:$C,'Ausgaben 2025'!$C209,Einzelbeträge!$E:$E,'Ausgaben 2025'!N$6)</f>
        <v>0</v>
      </c>
      <c r="O209" s="6"/>
    </row>
    <row r="210" spans="2:15" x14ac:dyDescent="0.35">
      <c r="B210" s="5"/>
      <c r="C210" s="40">
        <f t="shared" si="22"/>
        <v>45842</v>
      </c>
      <c r="D210" s="46">
        <f>SUMIFS(Einzelbeträge!$D:$D,Einzelbeträge!$C:$C,'Ausgaben 2025'!$C210)</f>
        <v>0</v>
      </c>
      <c r="E210" s="21">
        <f>SUMIFS(Einzelbeträge!$D:$D,Einzelbeträge!$C:$C,'Ausgaben 2025'!$C210,Einzelbeträge!$E:$E,'Ausgaben 2025'!E$6)</f>
        <v>0</v>
      </c>
      <c r="F210" s="21">
        <f>SUMIFS(Einzelbeträge!$D:$D,Einzelbeträge!$C:$C,'Ausgaben 2025'!$C210,Einzelbeträge!$E:$E,'Ausgaben 2025'!F$6)</f>
        <v>0</v>
      </c>
      <c r="G210" s="21">
        <f>SUMIFS(Einzelbeträge!$D:$D,Einzelbeträge!$C:$C,'Ausgaben 2025'!$C210,Einzelbeträge!$E:$E,'Ausgaben 2025'!G$6)</f>
        <v>0</v>
      </c>
      <c r="H210" s="21">
        <f>SUMIFS(Einzelbeträge!$D:$D,Einzelbeträge!$C:$C,'Ausgaben 2025'!$C210,Einzelbeträge!$E:$E,'Ausgaben 2025'!H$6)</f>
        <v>0</v>
      </c>
      <c r="I210" s="21">
        <f>SUMIFS(Einzelbeträge!$D:$D,Einzelbeträge!$C:$C,'Ausgaben 2025'!$C210,Einzelbeträge!$E:$E,'Ausgaben 2025'!I$6)</f>
        <v>0</v>
      </c>
      <c r="J210" s="21">
        <f>SUMIFS(Einzelbeträge!$D:$D,Einzelbeträge!$C:$C,'Ausgaben 2025'!$C210,Einzelbeträge!$E:$E,'Ausgaben 2025'!J$6)</f>
        <v>0</v>
      </c>
      <c r="K210" s="21">
        <f>SUMIFS(Einzelbeträge!$D:$D,Einzelbeträge!$C:$C,'Ausgaben 2025'!$C210,Einzelbeträge!$E:$E,'Ausgaben 2025'!K$6)</f>
        <v>0</v>
      </c>
      <c r="L210" s="21">
        <f>SUMIFS(Einzelbeträge!$D:$D,Einzelbeträge!$C:$C,'Ausgaben 2025'!$C210,Einzelbeträge!$E:$E,'Ausgaben 2025'!L$6)</f>
        <v>0</v>
      </c>
      <c r="M210" s="21">
        <f>SUMIFS(Einzelbeträge!$D:$D,Einzelbeträge!$C:$C,'Ausgaben 2025'!$C210,Einzelbeträge!$E:$E,'Ausgaben 2025'!M$6)</f>
        <v>0</v>
      </c>
      <c r="N210" s="35">
        <f>SUMIFS(Einzelbeträge!$D:$D,Einzelbeträge!$C:$C,'Ausgaben 2025'!$C210,Einzelbeträge!$E:$E,'Ausgaben 2025'!N$6)</f>
        <v>0</v>
      </c>
      <c r="O210" s="6"/>
    </row>
    <row r="211" spans="2:15" x14ac:dyDescent="0.35">
      <c r="B211" s="5"/>
      <c r="C211" s="40">
        <f t="shared" si="22"/>
        <v>45843</v>
      </c>
      <c r="D211" s="46">
        <f>SUMIFS(Einzelbeträge!$D:$D,Einzelbeträge!$C:$C,'Ausgaben 2025'!$C211)</f>
        <v>0</v>
      </c>
      <c r="E211" s="21">
        <f>SUMIFS(Einzelbeträge!$D:$D,Einzelbeträge!$C:$C,'Ausgaben 2025'!$C211,Einzelbeträge!$E:$E,'Ausgaben 2025'!E$6)</f>
        <v>0</v>
      </c>
      <c r="F211" s="21">
        <f>SUMIFS(Einzelbeträge!$D:$D,Einzelbeträge!$C:$C,'Ausgaben 2025'!$C211,Einzelbeträge!$E:$E,'Ausgaben 2025'!F$6)</f>
        <v>0</v>
      </c>
      <c r="G211" s="21">
        <f>SUMIFS(Einzelbeträge!$D:$D,Einzelbeträge!$C:$C,'Ausgaben 2025'!$C211,Einzelbeträge!$E:$E,'Ausgaben 2025'!G$6)</f>
        <v>0</v>
      </c>
      <c r="H211" s="21">
        <f>SUMIFS(Einzelbeträge!$D:$D,Einzelbeträge!$C:$C,'Ausgaben 2025'!$C211,Einzelbeträge!$E:$E,'Ausgaben 2025'!H$6)</f>
        <v>0</v>
      </c>
      <c r="I211" s="21">
        <f>SUMIFS(Einzelbeträge!$D:$D,Einzelbeträge!$C:$C,'Ausgaben 2025'!$C211,Einzelbeträge!$E:$E,'Ausgaben 2025'!I$6)</f>
        <v>0</v>
      </c>
      <c r="J211" s="21">
        <f>SUMIFS(Einzelbeträge!$D:$D,Einzelbeträge!$C:$C,'Ausgaben 2025'!$C211,Einzelbeträge!$E:$E,'Ausgaben 2025'!J$6)</f>
        <v>0</v>
      </c>
      <c r="K211" s="21">
        <f>SUMIFS(Einzelbeträge!$D:$D,Einzelbeträge!$C:$C,'Ausgaben 2025'!$C211,Einzelbeträge!$E:$E,'Ausgaben 2025'!K$6)</f>
        <v>0</v>
      </c>
      <c r="L211" s="21">
        <f>SUMIFS(Einzelbeträge!$D:$D,Einzelbeträge!$C:$C,'Ausgaben 2025'!$C211,Einzelbeträge!$E:$E,'Ausgaben 2025'!L$6)</f>
        <v>0</v>
      </c>
      <c r="M211" s="21">
        <f>SUMIFS(Einzelbeträge!$D:$D,Einzelbeträge!$C:$C,'Ausgaben 2025'!$C211,Einzelbeträge!$E:$E,'Ausgaben 2025'!M$6)</f>
        <v>0</v>
      </c>
      <c r="N211" s="35">
        <f>SUMIFS(Einzelbeträge!$D:$D,Einzelbeträge!$C:$C,'Ausgaben 2025'!$C211,Einzelbeträge!$E:$E,'Ausgaben 2025'!N$6)</f>
        <v>0</v>
      </c>
      <c r="O211" s="6"/>
    </row>
    <row r="212" spans="2:15" x14ac:dyDescent="0.35">
      <c r="B212" s="5"/>
      <c r="C212" s="40">
        <f t="shared" si="22"/>
        <v>45844</v>
      </c>
      <c r="D212" s="46">
        <f>SUMIFS(Einzelbeträge!$D:$D,Einzelbeträge!$C:$C,'Ausgaben 2025'!$C212)</f>
        <v>0</v>
      </c>
      <c r="E212" s="21">
        <f>SUMIFS(Einzelbeträge!$D:$D,Einzelbeträge!$C:$C,'Ausgaben 2025'!$C212,Einzelbeträge!$E:$E,'Ausgaben 2025'!E$6)</f>
        <v>0</v>
      </c>
      <c r="F212" s="21">
        <f>SUMIFS(Einzelbeträge!$D:$D,Einzelbeträge!$C:$C,'Ausgaben 2025'!$C212,Einzelbeträge!$E:$E,'Ausgaben 2025'!F$6)</f>
        <v>0</v>
      </c>
      <c r="G212" s="21">
        <f>SUMIFS(Einzelbeträge!$D:$D,Einzelbeträge!$C:$C,'Ausgaben 2025'!$C212,Einzelbeträge!$E:$E,'Ausgaben 2025'!G$6)</f>
        <v>0</v>
      </c>
      <c r="H212" s="21">
        <f>SUMIFS(Einzelbeträge!$D:$D,Einzelbeträge!$C:$C,'Ausgaben 2025'!$C212,Einzelbeträge!$E:$E,'Ausgaben 2025'!H$6)</f>
        <v>0</v>
      </c>
      <c r="I212" s="21">
        <f>SUMIFS(Einzelbeträge!$D:$D,Einzelbeträge!$C:$C,'Ausgaben 2025'!$C212,Einzelbeträge!$E:$E,'Ausgaben 2025'!I$6)</f>
        <v>0</v>
      </c>
      <c r="J212" s="21">
        <f>SUMIFS(Einzelbeträge!$D:$D,Einzelbeträge!$C:$C,'Ausgaben 2025'!$C212,Einzelbeträge!$E:$E,'Ausgaben 2025'!J$6)</f>
        <v>0</v>
      </c>
      <c r="K212" s="21">
        <f>SUMIFS(Einzelbeträge!$D:$D,Einzelbeträge!$C:$C,'Ausgaben 2025'!$C212,Einzelbeträge!$E:$E,'Ausgaben 2025'!K$6)</f>
        <v>0</v>
      </c>
      <c r="L212" s="21">
        <f>SUMIFS(Einzelbeträge!$D:$D,Einzelbeträge!$C:$C,'Ausgaben 2025'!$C212,Einzelbeträge!$E:$E,'Ausgaben 2025'!L$6)</f>
        <v>0</v>
      </c>
      <c r="M212" s="21">
        <f>SUMIFS(Einzelbeträge!$D:$D,Einzelbeträge!$C:$C,'Ausgaben 2025'!$C212,Einzelbeträge!$E:$E,'Ausgaben 2025'!M$6)</f>
        <v>0</v>
      </c>
      <c r="N212" s="35">
        <f>SUMIFS(Einzelbeträge!$D:$D,Einzelbeträge!$C:$C,'Ausgaben 2025'!$C212,Einzelbeträge!$E:$E,'Ausgaben 2025'!N$6)</f>
        <v>0</v>
      </c>
      <c r="O212" s="6"/>
    </row>
    <row r="213" spans="2:15" x14ac:dyDescent="0.35">
      <c r="B213" s="5"/>
      <c r="C213" s="40">
        <f t="shared" si="22"/>
        <v>45845</v>
      </c>
      <c r="D213" s="46">
        <f>SUMIFS(Einzelbeträge!$D:$D,Einzelbeträge!$C:$C,'Ausgaben 2025'!$C213)</f>
        <v>0</v>
      </c>
      <c r="E213" s="21">
        <f>SUMIFS(Einzelbeträge!$D:$D,Einzelbeträge!$C:$C,'Ausgaben 2025'!$C213,Einzelbeträge!$E:$E,'Ausgaben 2025'!E$6)</f>
        <v>0</v>
      </c>
      <c r="F213" s="21">
        <f>SUMIFS(Einzelbeträge!$D:$D,Einzelbeträge!$C:$C,'Ausgaben 2025'!$C213,Einzelbeträge!$E:$E,'Ausgaben 2025'!F$6)</f>
        <v>0</v>
      </c>
      <c r="G213" s="21">
        <f>SUMIFS(Einzelbeträge!$D:$D,Einzelbeträge!$C:$C,'Ausgaben 2025'!$C213,Einzelbeträge!$E:$E,'Ausgaben 2025'!G$6)</f>
        <v>0</v>
      </c>
      <c r="H213" s="21">
        <f>SUMIFS(Einzelbeträge!$D:$D,Einzelbeträge!$C:$C,'Ausgaben 2025'!$C213,Einzelbeträge!$E:$E,'Ausgaben 2025'!H$6)</f>
        <v>0</v>
      </c>
      <c r="I213" s="21">
        <f>SUMIFS(Einzelbeträge!$D:$D,Einzelbeträge!$C:$C,'Ausgaben 2025'!$C213,Einzelbeträge!$E:$E,'Ausgaben 2025'!I$6)</f>
        <v>0</v>
      </c>
      <c r="J213" s="21">
        <f>SUMIFS(Einzelbeträge!$D:$D,Einzelbeträge!$C:$C,'Ausgaben 2025'!$C213,Einzelbeträge!$E:$E,'Ausgaben 2025'!J$6)</f>
        <v>0</v>
      </c>
      <c r="K213" s="21">
        <f>SUMIFS(Einzelbeträge!$D:$D,Einzelbeträge!$C:$C,'Ausgaben 2025'!$C213,Einzelbeträge!$E:$E,'Ausgaben 2025'!K$6)</f>
        <v>0</v>
      </c>
      <c r="L213" s="21">
        <f>SUMIFS(Einzelbeträge!$D:$D,Einzelbeträge!$C:$C,'Ausgaben 2025'!$C213,Einzelbeträge!$E:$E,'Ausgaben 2025'!L$6)</f>
        <v>0</v>
      </c>
      <c r="M213" s="21">
        <f>SUMIFS(Einzelbeträge!$D:$D,Einzelbeträge!$C:$C,'Ausgaben 2025'!$C213,Einzelbeträge!$E:$E,'Ausgaben 2025'!M$6)</f>
        <v>0</v>
      </c>
      <c r="N213" s="35">
        <f>SUMIFS(Einzelbeträge!$D:$D,Einzelbeträge!$C:$C,'Ausgaben 2025'!$C213,Einzelbeträge!$E:$E,'Ausgaben 2025'!N$6)</f>
        <v>0</v>
      </c>
      <c r="O213" s="6"/>
    </row>
    <row r="214" spans="2:15" x14ac:dyDescent="0.35">
      <c r="B214" s="5"/>
      <c r="C214" s="40">
        <f t="shared" si="22"/>
        <v>45846</v>
      </c>
      <c r="D214" s="46">
        <f>SUMIFS(Einzelbeträge!$D:$D,Einzelbeträge!$C:$C,'Ausgaben 2025'!$C214)</f>
        <v>0</v>
      </c>
      <c r="E214" s="21">
        <f>SUMIFS(Einzelbeträge!$D:$D,Einzelbeträge!$C:$C,'Ausgaben 2025'!$C214,Einzelbeträge!$E:$E,'Ausgaben 2025'!E$6)</f>
        <v>0</v>
      </c>
      <c r="F214" s="21">
        <f>SUMIFS(Einzelbeträge!$D:$D,Einzelbeträge!$C:$C,'Ausgaben 2025'!$C214,Einzelbeträge!$E:$E,'Ausgaben 2025'!F$6)</f>
        <v>0</v>
      </c>
      <c r="G214" s="21">
        <f>SUMIFS(Einzelbeträge!$D:$D,Einzelbeträge!$C:$C,'Ausgaben 2025'!$C214,Einzelbeträge!$E:$E,'Ausgaben 2025'!G$6)</f>
        <v>0</v>
      </c>
      <c r="H214" s="21">
        <f>SUMIFS(Einzelbeträge!$D:$D,Einzelbeträge!$C:$C,'Ausgaben 2025'!$C214,Einzelbeträge!$E:$E,'Ausgaben 2025'!H$6)</f>
        <v>0</v>
      </c>
      <c r="I214" s="21">
        <f>SUMIFS(Einzelbeträge!$D:$D,Einzelbeträge!$C:$C,'Ausgaben 2025'!$C214,Einzelbeträge!$E:$E,'Ausgaben 2025'!I$6)</f>
        <v>0</v>
      </c>
      <c r="J214" s="21">
        <f>SUMIFS(Einzelbeträge!$D:$D,Einzelbeträge!$C:$C,'Ausgaben 2025'!$C214,Einzelbeträge!$E:$E,'Ausgaben 2025'!J$6)</f>
        <v>0</v>
      </c>
      <c r="K214" s="21">
        <f>SUMIFS(Einzelbeträge!$D:$D,Einzelbeträge!$C:$C,'Ausgaben 2025'!$C214,Einzelbeträge!$E:$E,'Ausgaben 2025'!K$6)</f>
        <v>0</v>
      </c>
      <c r="L214" s="21">
        <f>SUMIFS(Einzelbeträge!$D:$D,Einzelbeträge!$C:$C,'Ausgaben 2025'!$C214,Einzelbeträge!$E:$E,'Ausgaben 2025'!L$6)</f>
        <v>0</v>
      </c>
      <c r="M214" s="21">
        <f>SUMIFS(Einzelbeträge!$D:$D,Einzelbeträge!$C:$C,'Ausgaben 2025'!$C214,Einzelbeträge!$E:$E,'Ausgaben 2025'!M$6)</f>
        <v>0</v>
      </c>
      <c r="N214" s="35">
        <f>SUMIFS(Einzelbeträge!$D:$D,Einzelbeträge!$C:$C,'Ausgaben 2025'!$C214,Einzelbeträge!$E:$E,'Ausgaben 2025'!N$6)</f>
        <v>0</v>
      </c>
      <c r="O214" s="6"/>
    </row>
    <row r="215" spans="2:15" x14ac:dyDescent="0.35">
      <c r="B215" s="5"/>
      <c r="C215" s="40">
        <f t="shared" si="22"/>
        <v>45847</v>
      </c>
      <c r="D215" s="46">
        <f>SUMIFS(Einzelbeträge!$D:$D,Einzelbeträge!$C:$C,'Ausgaben 2025'!$C215)</f>
        <v>0</v>
      </c>
      <c r="E215" s="21">
        <f>SUMIFS(Einzelbeträge!$D:$D,Einzelbeträge!$C:$C,'Ausgaben 2025'!$C215,Einzelbeträge!$E:$E,'Ausgaben 2025'!E$6)</f>
        <v>0</v>
      </c>
      <c r="F215" s="21">
        <f>SUMIFS(Einzelbeträge!$D:$D,Einzelbeträge!$C:$C,'Ausgaben 2025'!$C215,Einzelbeträge!$E:$E,'Ausgaben 2025'!F$6)</f>
        <v>0</v>
      </c>
      <c r="G215" s="21">
        <f>SUMIFS(Einzelbeträge!$D:$D,Einzelbeträge!$C:$C,'Ausgaben 2025'!$C215,Einzelbeträge!$E:$E,'Ausgaben 2025'!G$6)</f>
        <v>0</v>
      </c>
      <c r="H215" s="21">
        <f>SUMIFS(Einzelbeträge!$D:$D,Einzelbeträge!$C:$C,'Ausgaben 2025'!$C215,Einzelbeträge!$E:$E,'Ausgaben 2025'!H$6)</f>
        <v>0</v>
      </c>
      <c r="I215" s="21">
        <f>SUMIFS(Einzelbeträge!$D:$D,Einzelbeträge!$C:$C,'Ausgaben 2025'!$C215,Einzelbeträge!$E:$E,'Ausgaben 2025'!I$6)</f>
        <v>0</v>
      </c>
      <c r="J215" s="21">
        <f>SUMIFS(Einzelbeträge!$D:$D,Einzelbeträge!$C:$C,'Ausgaben 2025'!$C215,Einzelbeträge!$E:$E,'Ausgaben 2025'!J$6)</f>
        <v>0</v>
      </c>
      <c r="K215" s="21">
        <f>SUMIFS(Einzelbeträge!$D:$D,Einzelbeträge!$C:$C,'Ausgaben 2025'!$C215,Einzelbeträge!$E:$E,'Ausgaben 2025'!K$6)</f>
        <v>0</v>
      </c>
      <c r="L215" s="21">
        <f>SUMIFS(Einzelbeträge!$D:$D,Einzelbeträge!$C:$C,'Ausgaben 2025'!$C215,Einzelbeträge!$E:$E,'Ausgaben 2025'!L$6)</f>
        <v>0</v>
      </c>
      <c r="M215" s="21">
        <f>SUMIFS(Einzelbeträge!$D:$D,Einzelbeträge!$C:$C,'Ausgaben 2025'!$C215,Einzelbeträge!$E:$E,'Ausgaben 2025'!M$6)</f>
        <v>0</v>
      </c>
      <c r="N215" s="35">
        <f>SUMIFS(Einzelbeträge!$D:$D,Einzelbeträge!$C:$C,'Ausgaben 2025'!$C215,Einzelbeträge!$E:$E,'Ausgaben 2025'!N$6)</f>
        <v>0</v>
      </c>
      <c r="O215" s="6"/>
    </row>
    <row r="216" spans="2:15" x14ac:dyDescent="0.35">
      <c r="B216" s="5"/>
      <c r="C216" s="40">
        <f t="shared" si="22"/>
        <v>45848</v>
      </c>
      <c r="D216" s="46">
        <f>SUMIFS(Einzelbeträge!$D:$D,Einzelbeträge!$C:$C,'Ausgaben 2025'!$C216)</f>
        <v>0</v>
      </c>
      <c r="E216" s="21">
        <f>SUMIFS(Einzelbeträge!$D:$D,Einzelbeträge!$C:$C,'Ausgaben 2025'!$C216,Einzelbeträge!$E:$E,'Ausgaben 2025'!E$6)</f>
        <v>0</v>
      </c>
      <c r="F216" s="21">
        <f>SUMIFS(Einzelbeträge!$D:$D,Einzelbeträge!$C:$C,'Ausgaben 2025'!$C216,Einzelbeträge!$E:$E,'Ausgaben 2025'!F$6)</f>
        <v>0</v>
      </c>
      <c r="G216" s="21">
        <f>SUMIFS(Einzelbeträge!$D:$D,Einzelbeträge!$C:$C,'Ausgaben 2025'!$C216,Einzelbeträge!$E:$E,'Ausgaben 2025'!G$6)</f>
        <v>0</v>
      </c>
      <c r="H216" s="21">
        <f>SUMIFS(Einzelbeträge!$D:$D,Einzelbeträge!$C:$C,'Ausgaben 2025'!$C216,Einzelbeträge!$E:$E,'Ausgaben 2025'!H$6)</f>
        <v>0</v>
      </c>
      <c r="I216" s="21">
        <f>SUMIFS(Einzelbeträge!$D:$D,Einzelbeträge!$C:$C,'Ausgaben 2025'!$C216,Einzelbeträge!$E:$E,'Ausgaben 2025'!I$6)</f>
        <v>0</v>
      </c>
      <c r="J216" s="21">
        <f>SUMIFS(Einzelbeträge!$D:$D,Einzelbeträge!$C:$C,'Ausgaben 2025'!$C216,Einzelbeträge!$E:$E,'Ausgaben 2025'!J$6)</f>
        <v>0</v>
      </c>
      <c r="K216" s="21">
        <f>SUMIFS(Einzelbeträge!$D:$D,Einzelbeträge!$C:$C,'Ausgaben 2025'!$C216,Einzelbeträge!$E:$E,'Ausgaben 2025'!K$6)</f>
        <v>0</v>
      </c>
      <c r="L216" s="21">
        <f>SUMIFS(Einzelbeträge!$D:$D,Einzelbeträge!$C:$C,'Ausgaben 2025'!$C216,Einzelbeträge!$E:$E,'Ausgaben 2025'!L$6)</f>
        <v>0</v>
      </c>
      <c r="M216" s="21">
        <f>SUMIFS(Einzelbeträge!$D:$D,Einzelbeträge!$C:$C,'Ausgaben 2025'!$C216,Einzelbeträge!$E:$E,'Ausgaben 2025'!M$6)</f>
        <v>0</v>
      </c>
      <c r="N216" s="35">
        <f>SUMIFS(Einzelbeträge!$D:$D,Einzelbeträge!$C:$C,'Ausgaben 2025'!$C216,Einzelbeträge!$E:$E,'Ausgaben 2025'!N$6)</f>
        <v>0</v>
      </c>
      <c r="O216" s="6"/>
    </row>
    <row r="217" spans="2:15" x14ac:dyDescent="0.35">
      <c r="B217" s="5"/>
      <c r="C217" s="40">
        <f t="shared" si="22"/>
        <v>45849</v>
      </c>
      <c r="D217" s="46">
        <f>SUMIFS(Einzelbeträge!$D:$D,Einzelbeträge!$C:$C,'Ausgaben 2025'!$C217)</f>
        <v>0</v>
      </c>
      <c r="E217" s="21">
        <f>SUMIFS(Einzelbeträge!$D:$D,Einzelbeträge!$C:$C,'Ausgaben 2025'!$C217,Einzelbeträge!$E:$E,'Ausgaben 2025'!E$6)</f>
        <v>0</v>
      </c>
      <c r="F217" s="21">
        <f>SUMIFS(Einzelbeträge!$D:$D,Einzelbeträge!$C:$C,'Ausgaben 2025'!$C217,Einzelbeträge!$E:$E,'Ausgaben 2025'!F$6)</f>
        <v>0</v>
      </c>
      <c r="G217" s="21">
        <f>SUMIFS(Einzelbeträge!$D:$D,Einzelbeträge!$C:$C,'Ausgaben 2025'!$C217,Einzelbeträge!$E:$E,'Ausgaben 2025'!G$6)</f>
        <v>0</v>
      </c>
      <c r="H217" s="21">
        <f>SUMIFS(Einzelbeträge!$D:$D,Einzelbeträge!$C:$C,'Ausgaben 2025'!$C217,Einzelbeträge!$E:$E,'Ausgaben 2025'!H$6)</f>
        <v>0</v>
      </c>
      <c r="I217" s="21">
        <f>SUMIFS(Einzelbeträge!$D:$D,Einzelbeträge!$C:$C,'Ausgaben 2025'!$C217,Einzelbeträge!$E:$E,'Ausgaben 2025'!I$6)</f>
        <v>0</v>
      </c>
      <c r="J217" s="21">
        <f>SUMIFS(Einzelbeträge!$D:$D,Einzelbeträge!$C:$C,'Ausgaben 2025'!$C217,Einzelbeträge!$E:$E,'Ausgaben 2025'!J$6)</f>
        <v>0</v>
      </c>
      <c r="K217" s="21">
        <f>SUMIFS(Einzelbeträge!$D:$D,Einzelbeträge!$C:$C,'Ausgaben 2025'!$C217,Einzelbeträge!$E:$E,'Ausgaben 2025'!K$6)</f>
        <v>0</v>
      </c>
      <c r="L217" s="21">
        <f>SUMIFS(Einzelbeträge!$D:$D,Einzelbeträge!$C:$C,'Ausgaben 2025'!$C217,Einzelbeträge!$E:$E,'Ausgaben 2025'!L$6)</f>
        <v>0</v>
      </c>
      <c r="M217" s="21">
        <f>SUMIFS(Einzelbeträge!$D:$D,Einzelbeträge!$C:$C,'Ausgaben 2025'!$C217,Einzelbeträge!$E:$E,'Ausgaben 2025'!M$6)</f>
        <v>0</v>
      </c>
      <c r="N217" s="35">
        <f>SUMIFS(Einzelbeträge!$D:$D,Einzelbeträge!$C:$C,'Ausgaben 2025'!$C217,Einzelbeträge!$E:$E,'Ausgaben 2025'!N$6)</f>
        <v>0</v>
      </c>
      <c r="O217" s="6"/>
    </row>
    <row r="218" spans="2:15" x14ac:dyDescent="0.35">
      <c r="B218" s="5"/>
      <c r="C218" s="40">
        <f t="shared" si="22"/>
        <v>45850</v>
      </c>
      <c r="D218" s="46">
        <f>SUMIFS(Einzelbeträge!$D:$D,Einzelbeträge!$C:$C,'Ausgaben 2025'!$C218)</f>
        <v>0</v>
      </c>
      <c r="E218" s="21">
        <f>SUMIFS(Einzelbeträge!$D:$D,Einzelbeträge!$C:$C,'Ausgaben 2025'!$C218,Einzelbeträge!$E:$E,'Ausgaben 2025'!E$6)</f>
        <v>0</v>
      </c>
      <c r="F218" s="21">
        <f>SUMIFS(Einzelbeträge!$D:$D,Einzelbeträge!$C:$C,'Ausgaben 2025'!$C218,Einzelbeträge!$E:$E,'Ausgaben 2025'!F$6)</f>
        <v>0</v>
      </c>
      <c r="G218" s="21">
        <f>SUMIFS(Einzelbeträge!$D:$D,Einzelbeträge!$C:$C,'Ausgaben 2025'!$C218,Einzelbeträge!$E:$E,'Ausgaben 2025'!G$6)</f>
        <v>0</v>
      </c>
      <c r="H218" s="21">
        <f>SUMIFS(Einzelbeträge!$D:$D,Einzelbeträge!$C:$C,'Ausgaben 2025'!$C218,Einzelbeträge!$E:$E,'Ausgaben 2025'!H$6)</f>
        <v>0</v>
      </c>
      <c r="I218" s="21">
        <f>SUMIFS(Einzelbeträge!$D:$D,Einzelbeträge!$C:$C,'Ausgaben 2025'!$C218,Einzelbeträge!$E:$E,'Ausgaben 2025'!I$6)</f>
        <v>0</v>
      </c>
      <c r="J218" s="21">
        <f>SUMIFS(Einzelbeträge!$D:$D,Einzelbeträge!$C:$C,'Ausgaben 2025'!$C218,Einzelbeträge!$E:$E,'Ausgaben 2025'!J$6)</f>
        <v>0</v>
      </c>
      <c r="K218" s="21">
        <f>SUMIFS(Einzelbeträge!$D:$D,Einzelbeträge!$C:$C,'Ausgaben 2025'!$C218,Einzelbeträge!$E:$E,'Ausgaben 2025'!K$6)</f>
        <v>0</v>
      </c>
      <c r="L218" s="21">
        <f>SUMIFS(Einzelbeträge!$D:$D,Einzelbeträge!$C:$C,'Ausgaben 2025'!$C218,Einzelbeträge!$E:$E,'Ausgaben 2025'!L$6)</f>
        <v>0</v>
      </c>
      <c r="M218" s="21">
        <f>SUMIFS(Einzelbeträge!$D:$D,Einzelbeträge!$C:$C,'Ausgaben 2025'!$C218,Einzelbeträge!$E:$E,'Ausgaben 2025'!M$6)</f>
        <v>0</v>
      </c>
      <c r="N218" s="35">
        <f>SUMIFS(Einzelbeträge!$D:$D,Einzelbeträge!$C:$C,'Ausgaben 2025'!$C218,Einzelbeträge!$E:$E,'Ausgaben 2025'!N$6)</f>
        <v>0</v>
      </c>
      <c r="O218" s="6"/>
    </row>
    <row r="219" spans="2:15" x14ac:dyDescent="0.35">
      <c r="B219" s="5"/>
      <c r="C219" s="40">
        <f t="shared" si="22"/>
        <v>45851</v>
      </c>
      <c r="D219" s="46">
        <f>SUMIFS(Einzelbeträge!$D:$D,Einzelbeträge!$C:$C,'Ausgaben 2025'!$C219)</f>
        <v>0</v>
      </c>
      <c r="E219" s="21">
        <f>SUMIFS(Einzelbeträge!$D:$D,Einzelbeträge!$C:$C,'Ausgaben 2025'!$C219,Einzelbeträge!$E:$E,'Ausgaben 2025'!E$6)</f>
        <v>0</v>
      </c>
      <c r="F219" s="21">
        <f>SUMIFS(Einzelbeträge!$D:$D,Einzelbeträge!$C:$C,'Ausgaben 2025'!$C219,Einzelbeträge!$E:$E,'Ausgaben 2025'!F$6)</f>
        <v>0</v>
      </c>
      <c r="G219" s="21">
        <f>SUMIFS(Einzelbeträge!$D:$D,Einzelbeträge!$C:$C,'Ausgaben 2025'!$C219,Einzelbeträge!$E:$E,'Ausgaben 2025'!G$6)</f>
        <v>0</v>
      </c>
      <c r="H219" s="21">
        <f>SUMIFS(Einzelbeträge!$D:$D,Einzelbeträge!$C:$C,'Ausgaben 2025'!$C219,Einzelbeträge!$E:$E,'Ausgaben 2025'!H$6)</f>
        <v>0</v>
      </c>
      <c r="I219" s="21">
        <f>SUMIFS(Einzelbeträge!$D:$D,Einzelbeträge!$C:$C,'Ausgaben 2025'!$C219,Einzelbeträge!$E:$E,'Ausgaben 2025'!I$6)</f>
        <v>0</v>
      </c>
      <c r="J219" s="21">
        <f>SUMIFS(Einzelbeträge!$D:$D,Einzelbeträge!$C:$C,'Ausgaben 2025'!$C219,Einzelbeträge!$E:$E,'Ausgaben 2025'!J$6)</f>
        <v>0</v>
      </c>
      <c r="K219" s="21">
        <f>SUMIFS(Einzelbeträge!$D:$D,Einzelbeträge!$C:$C,'Ausgaben 2025'!$C219,Einzelbeträge!$E:$E,'Ausgaben 2025'!K$6)</f>
        <v>0</v>
      </c>
      <c r="L219" s="21">
        <f>SUMIFS(Einzelbeträge!$D:$D,Einzelbeträge!$C:$C,'Ausgaben 2025'!$C219,Einzelbeträge!$E:$E,'Ausgaben 2025'!L$6)</f>
        <v>0</v>
      </c>
      <c r="M219" s="21">
        <f>SUMIFS(Einzelbeträge!$D:$D,Einzelbeträge!$C:$C,'Ausgaben 2025'!$C219,Einzelbeträge!$E:$E,'Ausgaben 2025'!M$6)</f>
        <v>0</v>
      </c>
      <c r="N219" s="35">
        <f>SUMIFS(Einzelbeträge!$D:$D,Einzelbeträge!$C:$C,'Ausgaben 2025'!$C219,Einzelbeträge!$E:$E,'Ausgaben 2025'!N$6)</f>
        <v>0</v>
      </c>
      <c r="O219" s="6"/>
    </row>
    <row r="220" spans="2:15" x14ac:dyDescent="0.35">
      <c r="B220" s="5"/>
      <c r="C220" s="40">
        <f t="shared" si="22"/>
        <v>45852</v>
      </c>
      <c r="D220" s="46">
        <f>SUMIFS(Einzelbeträge!$D:$D,Einzelbeträge!$C:$C,'Ausgaben 2025'!$C220)</f>
        <v>0</v>
      </c>
      <c r="E220" s="21">
        <f>SUMIFS(Einzelbeträge!$D:$D,Einzelbeträge!$C:$C,'Ausgaben 2025'!$C220,Einzelbeträge!$E:$E,'Ausgaben 2025'!E$6)</f>
        <v>0</v>
      </c>
      <c r="F220" s="21">
        <f>SUMIFS(Einzelbeträge!$D:$D,Einzelbeträge!$C:$C,'Ausgaben 2025'!$C220,Einzelbeträge!$E:$E,'Ausgaben 2025'!F$6)</f>
        <v>0</v>
      </c>
      <c r="G220" s="21">
        <f>SUMIFS(Einzelbeträge!$D:$D,Einzelbeträge!$C:$C,'Ausgaben 2025'!$C220,Einzelbeträge!$E:$E,'Ausgaben 2025'!G$6)</f>
        <v>0</v>
      </c>
      <c r="H220" s="21">
        <f>SUMIFS(Einzelbeträge!$D:$D,Einzelbeträge!$C:$C,'Ausgaben 2025'!$C220,Einzelbeträge!$E:$E,'Ausgaben 2025'!H$6)</f>
        <v>0</v>
      </c>
      <c r="I220" s="21">
        <f>SUMIFS(Einzelbeträge!$D:$D,Einzelbeträge!$C:$C,'Ausgaben 2025'!$C220,Einzelbeträge!$E:$E,'Ausgaben 2025'!I$6)</f>
        <v>0</v>
      </c>
      <c r="J220" s="21">
        <f>SUMIFS(Einzelbeträge!$D:$D,Einzelbeträge!$C:$C,'Ausgaben 2025'!$C220,Einzelbeträge!$E:$E,'Ausgaben 2025'!J$6)</f>
        <v>0</v>
      </c>
      <c r="K220" s="21">
        <f>SUMIFS(Einzelbeträge!$D:$D,Einzelbeträge!$C:$C,'Ausgaben 2025'!$C220,Einzelbeträge!$E:$E,'Ausgaben 2025'!K$6)</f>
        <v>0</v>
      </c>
      <c r="L220" s="21">
        <f>SUMIFS(Einzelbeträge!$D:$D,Einzelbeträge!$C:$C,'Ausgaben 2025'!$C220,Einzelbeträge!$E:$E,'Ausgaben 2025'!L$6)</f>
        <v>0</v>
      </c>
      <c r="M220" s="21">
        <f>SUMIFS(Einzelbeträge!$D:$D,Einzelbeträge!$C:$C,'Ausgaben 2025'!$C220,Einzelbeträge!$E:$E,'Ausgaben 2025'!M$6)</f>
        <v>0</v>
      </c>
      <c r="N220" s="35">
        <f>SUMIFS(Einzelbeträge!$D:$D,Einzelbeträge!$C:$C,'Ausgaben 2025'!$C220,Einzelbeträge!$E:$E,'Ausgaben 2025'!N$6)</f>
        <v>0</v>
      </c>
      <c r="O220" s="6"/>
    </row>
    <row r="221" spans="2:15" x14ac:dyDescent="0.35">
      <c r="B221" s="5"/>
      <c r="C221" s="40">
        <f t="shared" si="22"/>
        <v>45853</v>
      </c>
      <c r="D221" s="46">
        <f>SUMIFS(Einzelbeträge!$D:$D,Einzelbeträge!$C:$C,'Ausgaben 2025'!$C221)</f>
        <v>0</v>
      </c>
      <c r="E221" s="21">
        <f>SUMIFS(Einzelbeträge!$D:$D,Einzelbeträge!$C:$C,'Ausgaben 2025'!$C221,Einzelbeträge!$E:$E,'Ausgaben 2025'!E$6)</f>
        <v>0</v>
      </c>
      <c r="F221" s="21">
        <f>SUMIFS(Einzelbeträge!$D:$D,Einzelbeträge!$C:$C,'Ausgaben 2025'!$C221,Einzelbeträge!$E:$E,'Ausgaben 2025'!F$6)</f>
        <v>0</v>
      </c>
      <c r="G221" s="21">
        <f>SUMIFS(Einzelbeträge!$D:$D,Einzelbeträge!$C:$C,'Ausgaben 2025'!$C221,Einzelbeträge!$E:$E,'Ausgaben 2025'!G$6)</f>
        <v>0</v>
      </c>
      <c r="H221" s="21">
        <f>SUMIFS(Einzelbeträge!$D:$D,Einzelbeträge!$C:$C,'Ausgaben 2025'!$C221,Einzelbeträge!$E:$E,'Ausgaben 2025'!H$6)</f>
        <v>0</v>
      </c>
      <c r="I221" s="21">
        <f>SUMIFS(Einzelbeträge!$D:$D,Einzelbeträge!$C:$C,'Ausgaben 2025'!$C221,Einzelbeträge!$E:$E,'Ausgaben 2025'!I$6)</f>
        <v>0</v>
      </c>
      <c r="J221" s="21">
        <f>SUMIFS(Einzelbeträge!$D:$D,Einzelbeträge!$C:$C,'Ausgaben 2025'!$C221,Einzelbeträge!$E:$E,'Ausgaben 2025'!J$6)</f>
        <v>0</v>
      </c>
      <c r="K221" s="21">
        <f>SUMIFS(Einzelbeträge!$D:$D,Einzelbeträge!$C:$C,'Ausgaben 2025'!$C221,Einzelbeträge!$E:$E,'Ausgaben 2025'!K$6)</f>
        <v>0</v>
      </c>
      <c r="L221" s="21">
        <f>SUMIFS(Einzelbeträge!$D:$D,Einzelbeträge!$C:$C,'Ausgaben 2025'!$C221,Einzelbeträge!$E:$E,'Ausgaben 2025'!L$6)</f>
        <v>0</v>
      </c>
      <c r="M221" s="21">
        <f>SUMIFS(Einzelbeträge!$D:$D,Einzelbeträge!$C:$C,'Ausgaben 2025'!$C221,Einzelbeträge!$E:$E,'Ausgaben 2025'!M$6)</f>
        <v>0</v>
      </c>
      <c r="N221" s="35">
        <f>SUMIFS(Einzelbeträge!$D:$D,Einzelbeträge!$C:$C,'Ausgaben 2025'!$C221,Einzelbeträge!$E:$E,'Ausgaben 2025'!N$6)</f>
        <v>0</v>
      </c>
      <c r="O221" s="6"/>
    </row>
    <row r="222" spans="2:15" x14ac:dyDescent="0.35">
      <c r="B222" s="5"/>
      <c r="C222" s="40">
        <f t="shared" si="22"/>
        <v>45854</v>
      </c>
      <c r="D222" s="46">
        <f>SUMIFS(Einzelbeträge!$D:$D,Einzelbeträge!$C:$C,'Ausgaben 2025'!$C222)</f>
        <v>0</v>
      </c>
      <c r="E222" s="21">
        <f>SUMIFS(Einzelbeträge!$D:$D,Einzelbeträge!$C:$C,'Ausgaben 2025'!$C222,Einzelbeträge!$E:$E,'Ausgaben 2025'!E$6)</f>
        <v>0</v>
      </c>
      <c r="F222" s="21">
        <f>SUMIFS(Einzelbeträge!$D:$D,Einzelbeträge!$C:$C,'Ausgaben 2025'!$C222,Einzelbeträge!$E:$E,'Ausgaben 2025'!F$6)</f>
        <v>0</v>
      </c>
      <c r="G222" s="21">
        <f>SUMIFS(Einzelbeträge!$D:$D,Einzelbeträge!$C:$C,'Ausgaben 2025'!$C222,Einzelbeträge!$E:$E,'Ausgaben 2025'!G$6)</f>
        <v>0</v>
      </c>
      <c r="H222" s="21">
        <f>SUMIFS(Einzelbeträge!$D:$D,Einzelbeträge!$C:$C,'Ausgaben 2025'!$C222,Einzelbeträge!$E:$E,'Ausgaben 2025'!H$6)</f>
        <v>0</v>
      </c>
      <c r="I222" s="21">
        <f>SUMIFS(Einzelbeträge!$D:$D,Einzelbeträge!$C:$C,'Ausgaben 2025'!$C222,Einzelbeträge!$E:$E,'Ausgaben 2025'!I$6)</f>
        <v>0</v>
      </c>
      <c r="J222" s="21">
        <f>SUMIFS(Einzelbeträge!$D:$D,Einzelbeträge!$C:$C,'Ausgaben 2025'!$C222,Einzelbeträge!$E:$E,'Ausgaben 2025'!J$6)</f>
        <v>0</v>
      </c>
      <c r="K222" s="21">
        <f>SUMIFS(Einzelbeträge!$D:$D,Einzelbeträge!$C:$C,'Ausgaben 2025'!$C222,Einzelbeträge!$E:$E,'Ausgaben 2025'!K$6)</f>
        <v>0</v>
      </c>
      <c r="L222" s="21">
        <f>SUMIFS(Einzelbeträge!$D:$D,Einzelbeträge!$C:$C,'Ausgaben 2025'!$C222,Einzelbeträge!$E:$E,'Ausgaben 2025'!L$6)</f>
        <v>0</v>
      </c>
      <c r="M222" s="21">
        <f>SUMIFS(Einzelbeträge!$D:$D,Einzelbeträge!$C:$C,'Ausgaben 2025'!$C222,Einzelbeträge!$E:$E,'Ausgaben 2025'!M$6)</f>
        <v>0</v>
      </c>
      <c r="N222" s="35">
        <f>SUMIFS(Einzelbeträge!$D:$D,Einzelbeträge!$C:$C,'Ausgaben 2025'!$C222,Einzelbeträge!$E:$E,'Ausgaben 2025'!N$6)</f>
        <v>0</v>
      </c>
      <c r="O222" s="6"/>
    </row>
    <row r="223" spans="2:15" x14ac:dyDescent="0.35">
      <c r="B223" s="5"/>
      <c r="C223" s="40">
        <f t="shared" si="22"/>
        <v>45855</v>
      </c>
      <c r="D223" s="46">
        <f>SUMIFS(Einzelbeträge!$D:$D,Einzelbeträge!$C:$C,'Ausgaben 2025'!$C223)</f>
        <v>0</v>
      </c>
      <c r="E223" s="21">
        <f>SUMIFS(Einzelbeträge!$D:$D,Einzelbeträge!$C:$C,'Ausgaben 2025'!$C223,Einzelbeträge!$E:$E,'Ausgaben 2025'!E$6)</f>
        <v>0</v>
      </c>
      <c r="F223" s="21">
        <f>SUMIFS(Einzelbeträge!$D:$D,Einzelbeträge!$C:$C,'Ausgaben 2025'!$C223,Einzelbeträge!$E:$E,'Ausgaben 2025'!F$6)</f>
        <v>0</v>
      </c>
      <c r="G223" s="21">
        <f>SUMIFS(Einzelbeträge!$D:$D,Einzelbeträge!$C:$C,'Ausgaben 2025'!$C223,Einzelbeträge!$E:$E,'Ausgaben 2025'!G$6)</f>
        <v>0</v>
      </c>
      <c r="H223" s="21">
        <f>SUMIFS(Einzelbeträge!$D:$D,Einzelbeträge!$C:$C,'Ausgaben 2025'!$C223,Einzelbeträge!$E:$E,'Ausgaben 2025'!H$6)</f>
        <v>0</v>
      </c>
      <c r="I223" s="21">
        <f>SUMIFS(Einzelbeträge!$D:$D,Einzelbeträge!$C:$C,'Ausgaben 2025'!$C223,Einzelbeträge!$E:$E,'Ausgaben 2025'!I$6)</f>
        <v>0</v>
      </c>
      <c r="J223" s="21">
        <f>SUMIFS(Einzelbeträge!$D:$D,Einzelbeträge!$C:$C,'Ausgaben 2025'!$C223,Einzelbeträge!$E:$E,'Ausgaben 2025'!J$6)</f>
        <v>0</v>
      </c>
      <c r="K223" s="21">
        <f>SUMIFS(Einzelbeträge!$D:$D,Einzelbeträge!$C:$C,'Ausgaben 2025'!$C223,Einzelbeträge!$E:$E,'Ausgaben 2025'!K$6)</f>
        <v>0</v>
      </c>
      <c r="L223" s="21">
        <f>SUMIFS(Einzelbeträge!$D:$D,Einzelbeträge!$C:$C,'Ausgaben 2025'!$C223,Einzelbeträge!$E:$E,'Ausgaben 2025'!L$6)</f>
        <v>0</v>
      </c>
      <c r="M223" s="21">
        <f>SUMIFS(Einzelbeträge!$D:$D,Einzelbeträge!$C:$C,'Ausgaben 2025'!$C223,Einzelbeträge!$E:$E,'Ausgaben 2025'!M$6)</f>
        <v>0</v>
      </c>
      <c r="N223" s="35">
        <f>SUMIFS(Einzelbeträge!$D:$D,Einzelbeträge!$C:$C,'Ausgaben 2025'!$C223,Einzelbeträge!$E:$E,'Ausgaben 2025'!N$6)</f>
        <v>0</v>
      </c>
      <c r="O223" s="6"/>
    </row>
    <row r="224" spans="2:15" x14ac:dyDescent="0.35">
      <c r="B224" s="5"/>
      <c r="C224" s="40">
        <f t="shared" si="22"/>
        <v>45856</v>
      </c>
      <c r="D224" s="46">
        <f>SUMIFS(Einzelbeträge!$D:$D,Einzelbeträge!$C:$C,'Ausgaben 2025'!$C224)</f>
        <v>0</v>
      </c>
      <c r="E224" s="21">
        <f>SUMIFS(Einzelbeträge!$D:$D,Einzelbeträge!$C:$C,'Ausgaben 2025'!$C224,Einzelbeträge!$E:$E,'Ausgaben 2025'!E$6)</f>
        <v>0</v>
      </c>
      <c r="F224" s="21">
        <f>SUMIFS(Einzelbeträge!$D:$D,Einzelbeträge!$C:$C,'Ausgaben 2025'!$C224,Einzelbeträge!$E:$E,'Ausgaben 2025'!F$6)</f>
        <v>0</v>
      </c>
      <c r="G224" s="21">
        <f>SUMIFS(Einzelbeträge!$D:$D,Einzelbeträge!$C:$C,'Ausgaben 2025'!$C224,Einzelbeträge!$E:$E,'Ausgaben 2025'!G$6)</f>
        <v>0</v>
      </c>
      <c r="H224" s="21">
        <f>SUMIFS(Einzelbeträge!$D:$D,Einzelbeträge!$C:$C,'Ausgaben 2025'!$C224,Einzelbeträge!$E:$E,'Ausgaben 2025'!H$6)</f>
        <v>0</v>
      </c>
      <c r="I224" s="21">
        <f>SUMIFS(Einzelbeträge!$D:$D,Einzelbeträge!$C:$C,'Ausgaben 2025'!$C224,Einzelbeträge!$E:$E,'Ausgaben 2025'!I$6)</f>
        <v>0</v>
      </c>
      <c r="J224" s="21">
        <f>SUMIFS(Einzelbeträge!$D:$D,Einzelbeträge!$C:$C,'Ausgaben 2025'!$C224,Einzelbeträge!$E:$E,'Ausgaben 2025'!J$6)</f>
        <v>0</v>
      </c>
      <c r="K224" s="21">
        <f>SUMIFS(Einzelbeträge!$D:$D,Einzelbeträge!$C:$C,'Ausgaben 2025'!$C224,Einzelbeträge!$E:$E,'Ausgaben 2025'!K$6)</f>
        <v>0</v>
      </c>
      <c r="L224" s="21">
        <f>SUMIFS(Einzelbeträge!$D:$D,Einzelbeträge!$C:$C,'Ausgaben 2025'!$C224,Einzelbeträge!$E:$E,'Ausgaben 2025'!L$6)</f>
        <v>0</v>
      </c>
      <c r="M224" s="21">
        <f>SUMIFS(Einzelbeträge!$D:$D,Einzelbeträge!$C:$C,'Ausgaben 2025'!$C224,Einzelbeträge!$E:$E,'Ausgaben 2025'!M$6)</f>
        <v>0</v>
      </c>
      <c r="N224" s="35">
        <f>SUMIFS(Einzelbeträge!$D:$D,Einzelbeträge!$C:$C,'Ausgaben 2025'!$C224,Einzelbeträge!$E:$E,'Ausgaben 2025'!N$6)</f>
        <v>0</v>
      </c>
      <c r="O224" s="6"/>
    </row>
    <row r="225" spans="2:15" x14ac:dyDescent="0.35">
      <c r="B225" s="5"/>
      <c r="C225" s="40">
        <f t="shared" si="22"/>
        <v>45857</v>
      </c>
      <c r="D225" s="46">
        <f>SUMIFS(Einzelbeträge!$D:$D,Einzelbeträge!$C:$C,'Ausgaben 2025'!$C225)</f>
        <v>0</v>
      </c>
      <c r="E225" s="21">
        <f>SUMIFS(Einzelbeträge!$D:$D,Einzelbeträge!$C:$C,'Ausgaben 2025'!$C225,Einzelbeträge!$E:$E,'Ausgaben 2025'!E$6)</f>
        <v>0</v>
      </c>
      <c r="F225" s="21">
        <f>SUMIFS(Einzelbeträge!$D:$D,Einzelbeträge!$C:$C,'Ausgaben 2025'!$C225,Einzelbeträge!$E:$E,'Ausgaben 2025'!F$6)</f>
        <v>0</v>
      </c>
      <c r="G225" s="21">
        <f>SUMIFS(Einzelbeträge!$D:$D,Einzelbeträge!$C:$C,'Ausgaben 2025'!$C225,Einzelbeträge!$E:$E,'Ausgaben 2025'!G$6)</f>
        <v>0</v>
      </c>
      <c r="H225" s="21">
        <f>SUMIFS(Einzelbeträge!$D:$D,Einzelbeträge!$C:$C,'Ausgaben 2025'!$C225,Einzelbeträge!$E:$E,'Ausgaben 2025'!H$6)</f>
        <v>0</v>
      </c>
      <c r="I225" s="21">
        <f>SUMIFS(Einzelbeträge!$D:$D,Einzelbeträge!$C:$C,'Ausgaben 2025'!$C225,Einzelbeträge!$E:$E,'Ausgaben 2025'!I$6)</f>
        <v>0</v>
      </c>
      <c r="J225" s="21">
        <f>SUMIFS(Einzelbeträge!$D:$D,Einzelbeträge!$C:$C,'Ausgaben 2025'!$C225,Einzelbeträge!$E:$E,'Ausgaben 2025'!J$6)</f>
        <v>0</v>
      </c>
      <c r="K225" s="21">
        <f>SUMIFS(Einzelbeträge!$D:$D,Einzelbeträge!$C:$C,'Ausgaben 2025'!$C225,Einzelbeträge!$E:$E,'Ausgaben 2025'!K$6)</f>
        <v>0</v>
      </c>
      <c r="L225" s="21">
        <f>SUMIFS(Einzelbeträge!$D:$D,Einzelbeträge!$C:$C,'Ausgaben 2025'!$C225,Einzelbeträge!$E:$E,'Ausgaben 2025'!L$6)</f>
        <v>0</v>
      </c>
      <c r="M225" s="21">
        <f>SUMIFS(Einzelbeträge!$D:$D,Einzelbeträge!$C:$C,'Ausgaben 2025'!$C225,Einzelbeträge!$E:$E,'Ausgaben 2025'!M$6)</f>
        <v>0</v>
      </c>
      <c r="N225" s="35">
        <f>SUMIFS(Einzelbeträge!$D:$D,Einzelbeträge!$C:$C,'Ausgaben 2025'!$C225,Einzelbeträge!$E:$E,'Ausgaben 2025'!N$6)</f>
        <v>0</v>
      </c>
      <c r="O225" s="6"/>
    </row>
    <row r="226" spans="2:15" x14ac:dyDescent="0.35">
      <c r="B226" s="5"/>
      <c r="C226" s="40">
        <f t="shared" si="22"/>
        <v>45858</v>
      </c>
      <c r="D226" s="46">
        <f>SUMIFS(Einzelbeträge!$D:$D,Einzelbeträge!$C:$C,'Ausgaben 2025'!$C226)</f>
        <v>0</v>
      </c>
      <c r="E226" s="21">
        <f>SUMIFS(Einzelbeträge!$D:$D,Einzelbeträge!$C:$C,'Ausgaben 2025'!$C226,Einzelbeträge!$E:$E,'Ausgaben 2025'!E$6)</f>
        <v>0</v>
      </c>
      <c r="F226" s="21">
        <f>SUMIFS(Einzelbeträge!$D:$D,Einzelbeträge!$C:$C,'Ausgaben 2025'!$C226,Einzelbeträge!$E:$E,'Ausgaben 2025'!F$6)</f>
        <v>0</v>
      </c>
      <c r="G226" s="21">
        <f>SUMIFS(Einzelbeträge!$D:$D,Einzelbeträge!$C:$C,'Ausgaben 2025'!$C226,Einzelbeträge!$E:$E,'Ausgaben 2025'!G$6)</f>
        <v>0</v>
      </c>
      <c r="H226" s="21">
        <f>SUMIFS(Einzelbeträge!$D:$D,Einzelbeträge!$C:$C,'Ausgaben 2025'!$C226,Einzelbeträge!$E:$E,'Ausgaben 2025'!H$6)</f>
        <v>0</v>
      </c>
      <c r="I226" s="21">
        <f>SUMIFS(Einzelbeträge!$D:$D,Einzelbeträge!$C:$C,'Ausgaben 2025'!$C226,Einzelbeträge!$E:$E,'Ausgaben 2025'!I$6)</f>
        <v>0</v>
      </c>
      <c r="J226" s="21">
        <f>SUMIFS(Einzelbeträge!$D:$D,Einzelbeträge!$C:$C,'Ausgaben 2025'!$C226,Einzelbeträge!$E:$E,'Ausgaben 2025'!J$6)</f>
        <v>0</v>
      </c>
      <c r="K226" s="21">
        <f>SUMIFS(Einzelbeträge!$D:$D,Einzelbeträge!$C:$C,'Ausgaben 2025'!$C226,Einzelbeträge!$E:$E,'Ausgaben 2025'!K$6)</f>
        <v>0</v>
      </c>
      <c r="L226" s="21">
        <f>SUMIFS(Einzelbeträge!$D:$D,Einzelbeträge!$C:$C,'Ausgaben 2025'!$C226,Einzelbeträge!$E:$E,'Ausgaben 2025'!L$6)</f>
        <v>0</v>
      </c>
      <c r="M226" s="21">
        <f>SUMIFS(Einzelbeträge!$D:$D,Einzelbeträge!$C:$C,'Ausgaben 2025'!$C226,Einzelbeträge!$E:$E,'Ausgaben 2025'!M$6)</f>
        <v>0</v>
      </c>
      <c r="N226" s="35">
        <f>SUMIFS(Einzelbeträge!$D:$D,Einzelbeträge!$C:$C,'Ausgaben 2025'!$C226,Einzelbeträge!$E:$E,'Ausgaben 2025'!N$6)</f>
        <v>0</v>
      </c>
      <c r="O226" s="6"/>
    </row>
    <row r="227" spans="2:15" x14ac:dyDescent="0.35">
      <c r="B227" s="5"/>
      <c r="C227" s="40">
        <f t="shared" si="22"/>
        <v>45859</v>
      </c>
      <c r="D227" s="46">
        <f>SUMIFS(Einzelbeträge!$D:$D,Einzelbeträge!$C:$C,'Ausgaben 2025'!$C227)</f>
        <v>0</v>
      </c>
      <c r="E227" s="21">
        <f>SUMIFS(Einzelbeträge!$D:$D,Einzelbeträge!$C:$C,'Ausgaben 2025'!$C227,Einzelbeträge!$E:$E,'Ausgaben 2025'!E$6)</f>
        <v>0</v>
      </c>
      <c r="F227" s="21">
        <f>SUMIFS(Einzelbeträge!$D:$D,Einzelbeträge!$C:$C,'Ausgaben 2025'!$C227,Einzelbeträge!$E:$E,'Ausgaben 2025'!F$6)</f>
        <v>0</v>
      </c>
      <c r="G227" s="21">
        <f>SUMIFS(Einzelbeträge!$D:$D,Einzelbeträge!$C:$C,'Ausgaben 2025'!$C227,Einzelbeträge!$E:$E,'Ausgaben 2025'!G$6)</f>
        <v>0</v>
      </c>
      <c r="H227" s="21">
        <f>SUMIFS(Einzelbeträge!$D:$D,Einzelbeträge!$C:$C,'Ausgaben 2025'!$C227,Einzelbeträge!$E:$E,'Ausgaben 2025'!H$6)</f>
        <v>0</v>
      </c>
      <c r="I227" s="21">
        <f>SUMIFS(Einzelbeträge!$D:$D,Einzelbeträge!$C:$C,'Ausgaben 2025'!$C227,Einzelbeträge!$E:$E,'Ausgaben 2025'!I$6)</f>
        <v>0</v>
      </c>
      <c r="J227" s="21">
        <f>SUMIFS(Einzelbeträge!$D:$D,Einzelbeträge!$C:$C,'Ausgaben 2025'!$C227,Einzelbeträge!$E:$E,'Ausgaben 2025'!J$6)</f>
        <v>0</v>
      </c>
      <c r="K227" s="21">
        <f>SUMIFS(Einzelbeträge!$D:$D,Einzelbeträge!$C:$C,'Ausgaben 2025'!$C227,Einzelbeträge!$E:$E,'Ausgaben 2025'!K$6)</f>
        <v>0</v>
      </c>
      <c r="L227" s="21">
        <f>SUMIFS(Einzelbeträge!$D:$D,Einzelbeträge!$C:$C,'Ausgaben 2025'!$C227,Einzelbeträge!$E:$E,'Ausgaben 2025'!L$6)</f>
        <v>0</v>
      </c>
      <c r="M227" s="21">
        <f>SUMIFS(Einzelbeträge!$D:$D,Einzelbeträge!$C:$C,'Ausgaben 2025'!$C227,Einzelbeträge!$E:$E,'Ausgaben 2025'!M$6)</f>
        <v>0</v>
      </c>
      <c r="N227" s="35">
        <f>SUMIFS(Einzelbeträge!$D:$D,Einzelbeträge!$C:$C,'Ausgaben 2025'!$C227,Einzelbeträge!$E:$E,'Ausgaben 2025'!N$6)</f>
        <v>0</v>
      </c>
      <c r="O227" s="6"/>
    </row>
    <row r="228" spans="2:15" x14ac:dyDescent="0.35">
      <c r="B228" s="5"/>
      <c r="C228" s="40">
        <f t="shared" si="22"/>
        <v>45860</v>
      </c>
      <c r="D228" s="46">
        <f>SUMIFS(Einzelbeträge!$D:$D,Einzelbeträge!$C:$C,'Ausgaben 2025'!$C228)</f>
        <v>0</v>
      </c>
      <c r="E228" s="21">
        <f>SUMIFS(Einzelbeträge!$D:$D,Einzelbeträge!$C:$C,'Ausgaben 2025'!$C228,Einzelbeträge!$E:$E,'Ausgaben 2025'!E$6)</f>
        <v>0</v>
      </c>
      <c r="F228" s="21">
        <f>SUMIFS(Einzelbeträge!$D:$D,Einzelbeträge!$C:$C,'Ausgaben 2025'!$C228,Einzelbeträge!$E:$E,'Ausgaben 2025'!F$6)</f>
        <v>0</v>
      </c>
      <c r="G228" s="21">
        <f>SUMIFS(Einzelbeträge!$D:$D,Einzelbeträge!$C:$C,'Ausgaben 2025'!$C228,Einzelbeträge!$E:$E,'Ausgaben 2025'!G$6)</f>
        <v>0</v>
      </c>
      <c r="H228" s="21">
        <f>SUMIFS(Einzelbeträge!$D:$D,Einzelbeträge!$C:$C,'Ausgaben 2025'!$C228,Einzelbeträge!$E:$E,'Ausgaben 2025'!H$6)</f>
        <v>0</v>
      </c>
      <c r="I228" s="21">
        <f>SUMIFS(Einzelbeträge!$D:$D,Einzelbeträge!$C:$C,'Ausgaben 2025'!$C228,Einzelbeträge!$E:$E,'Ausgaben 2025'!I$6)</f>
        <v>0</v>
      </c>
      <c r="J228" s="21">
        <f>SUMIFS(Einzelbeträge!$D:$D,Einzelbeträge!$C:$C,'Ausgaben 2025'!$C228,Einzelbeträge!$E:$E,'Ausgaben 2025'!J$6)</f>
        <v>0</v>
      </c>
      <c r="K228" s="21">
        <f>SUMIFS(Einzelbeträge!$D:$D,Einzelbeträge!$C:$C,'Ausgaben 2025'!$C228,Einzelbeträge!$E:$E,'Ausgaben 2025'!K$6)</f>
        <v>0</v>
      </c>
      <c r="L228" s="21">
        <f>SUMIFS(Einzelbeträge!$D:$D,Einzelbeträge!$C:$C,'Ausgaben 2025'!$C228,Einzelbeträge!$E:$E,'Ausgaben 2025'!L$6)</f>
        <v>0</v>
      </c>
      <c r="M228" s="21">
        <f>SUMIFS(Einzelbeträge!$D:$D,Einzelbeträge!$C:$C,'Ausgaben 2025'!$C228,Einzelbeträge!$E:$E,'Ausgaben 2025'!M$6)</f>
        <v>0</v>
      </c>
      <c r="N228" s="35">
        <f>SUMIFS(Einzelbeträge!$D:$D,Einzelbeträge!$C:$C,'Ausgaben 2025'!$C228,Einzelbeträge!$E:$E,'Ausgaben 2025'!N$6)</f>
        <v>0</v>
      </c>
      <c r="O228" s="6"/>
    </row>
    <row r="229" spans="2:15" x14ac:dyDescent="0.35">
      <c r="B229" s="5"/>
      <c r="C229" s="40">
        <f t="shared" si="22"/>
        <v>45861</v>
      </c>
      <c r="D229" s="46">
        <f>SUMIFS(Einzelbeträge!$D:$D,Einzelbeträge!$C:$C,'Ausgaben 2025'!$C229)</f>
        <v>0</v>
      </c>
      <c r="E229" s="21">
        <f>SUMIFS(Einzelbeträge!$D:$D,Einzelbeträge!$C:$C,'Ausgaben 2025'!$C229,Einzelbeträge!$E:$E,'Ausgaben 2025'!E$6)</f>
        <v>0</v>
      </c>
      <c r="F229" s="21">
        <f>SUMIFS(Einzelbeträge!$D:$D,Einzelbeträge!$C:$C,'Ausgaben 2025'!$C229,Einzelbeträge!$E:$E,'Ausgaben 2025'!F$6)</f>
        <v>0</v>
      </c>
      <c r="G229" s="21">
        <f>SUMIFS(Einzelbeträge!$D:$D,Einzelbeträge!$C:$C,'Ausgaben 2025'!$C229,Einzelbeträge!$E:$E,'Ausgaben 2025'!G$6)</f>
        <v>0</v>
      </c>
      <c r="H229" s="21">
        <f>SUMIFS(Einzelbeträge!$D:$D,Einzelbeträge!$C:$C,'Ausgaben 2025'!$C229,Einzelbeträge!$E:$E,'Ausgaben 2025'!H$6)</f>
        <v>0</v>
      </c>
      <c r="I229" s="21">
        <f>SUMIFS(Einzelbeträge!$D:$D,Einzelbeträge!$C:$C,'Ausgaben 2025'!$C229,Einzelbeträge!$E:$E,'Ausgaben 2025'!I$6)</f>
        <v>0</v>
      </c>
      <c r="J229" s="21">
        <f>SUMIFS(Einzelbeträge!$D:$D,Einzelbeträge!$C:$C,'Ausgaben 2025'!$C229,Einzelbeträge!$E:$E,'Ausgaben 2025'!J$6)</f>
        <v>0</v>
      </c>
      <c r="K229" s="21">
        <f>SUMIFS(Einzelbeträge!$D:$D,Einzelbeträge!$C:$C,'Ausgaben 2025'!$C229,Einzelbeträge!$E:$E,'Ausgaben 2025'!K$6)</f>
        <v>0</v>
      </c>
      <c r="L229" s="21">
        <f>SUMIFS(Einzelbeträge!$D:$D,Einzelbeträge!$C:$C,'Ausgaben 2025'!$C229,Einzelbeträge!$E:$E,'Ausgaben 2025'!L$6)</f>
        <v>0</v>
      </c>
      <c r="M229" s="21">
        <f>SUMIFS(Einzelbeträge!$D:$D,Einzelbeträge!$C:$C,'Ausgaben 2025'!$C229,Einzelbeträge!$E:$E,'Ausgaben 2025'!M$6)</f>
        <v>0</v>
      </c>
      <c r="N229" s="35">
        <f>SUMIFS(Einzelbeträge!$D:$D,Einzelbeträge!$C:$C,'Ausgaben 2025'!$C229,Einzelbeträge!$E:$E,'Ausgaben 2025'!N$6)</f>
        <v>0</v>
      </c>
      <c r="O229" s="6"/>
    </row>
    <row r="230" spans="2:15" x14ac:dyDescent="0.35">
      <c r="B230" s="5"/>
      <c r="C230" s="40">
        <f t="shared" si="22"/>
        <v>45862</v>
      </c>
      <c r="D230" s="46">
        <f>SUMIFS(Einzelbeträge!$D:$D,Einzelbeträge!$C:$C,'Ausgaben 2025'!$C230)</f>
        <v>0</v>
      </c>
      <c r="E230" s="21">
        <f>SUMIFS(Einzelbeträge!$D:$D,Einzelbeträge!$C:$C,'Ausgaben 2025'!$C230,Einzelbeträge!$E:$E,'Ausgaben 2025'!E$6)</f>
        <v>0</v>
      </c>
      <c r="F230" s="21">
        <f>SUMIFS(Einzelbeträge!$D:$D,Einzelbeträge!$C:$C,'Ausgaben 2025'!$C230,Einzelbeträge!$E:$E,'Ausgaben 2025'!F$6)</f>
        <v>0</v>
      </c>
      <c r="G230" s="21">
        <f>SUMIFS(Einzelbeträge!$D:$D,Einzelbeträge!$C:$C,'Ausgaben 2025'!$C230,Einzelbeträge!$E:$E,'Ausgaben 2025'!G$6)</f>
        <v>0</v>
      </c>
      <c r="H230" s="21">
        <f>SUMIFS(Einzelbeträge!$D:$D,Einzelbeträge!$C:$C,'Ausgaben 2025'!$C230,Einzelbeträge!$E:$E,'Ausgaben 2025'!H$6)</f>
        <v>0</v>
      </c>
      <c r="I230" s="21">
        <f>SUMIFS(Einzelbeträge!$D:$D,Einzelbeträge!$C:$C,'Ausgaben 2025'!$C230,Einzelbeträge!$E:$E,'Ausgaben 2025'!I$6)</f>
        <v>0</v>
      </c>
      <c r="J230" s="21">
        <f>SUMIFS(Einzelbeträge!$D:$D,Einzelbeträge!$C:$C,'Ausgaben 2025'!$C230,Einzelbeträge!$E:$E,'Ausgaben 2025'!J$6)</f>
        <v>0</v>
      </c>
      <c r="K230" s="21">
        <f>SUMIFS(Einzelbeträge!$D:$D,Einzelbeträge!$C:$C,'Ausgaben 2025'!$C230,Einzelbeträge!$E:$E,'Ausgaben 2025'!K$6)</f>
        <v>0</v>
      </c>
      <c r="L230" s="21">
        <f>SUMIFS(Einzelbeträge!$D:$D,Einzelbeträge!$C:$C,'Ausgaben 2025'!$C230,Einzelbeträge!$E:$E,'Ausgaben 2025'!L$6)</f>
        <v>0</v>
      </c>
      <c r="M230" s="21">
        <f>SUMIFS(Einzelbeträge!$D:$D,Einzelbeträge!$C:$C,'Ausgaben 2025'!$C230,Einzelbeträge!$E:$E,'Ausgaben 2025'!M$6)</f>
        <v>0</v>
      </c>
      <c r="N230" s="35">
        <f>SUMIFS(Einzelbeträge!$D:$D,Einzelbeträge!$C:$C,'Ausgaben 2025'!$C230,Einzelbeträge!$E:$E,'Ausgaben 2025'!N$6)</f>
        <v>0</v>
      </c>
      <c r="O230" s="6"/>
    </row>
    <row r="231" spans="2:15" x14ac:dyDescent="0.35">
      <c r="B231" s="5"/>
      <c r="C231" s="40">
        <f t="shared" si="22"/>
        <v>45863</v>
      </c>
      <c r="D231" s="46">
        <f>SUMIFS(Einzelbeträge!$D:$D,Einzelbeträge!$C:$C,'Ausgaben 2025'!$C231)</f>
        <v>0</v>
      </c>
      <c r="E231" s="21">
        <f>SUMIFS(Einzelbeträge!$D:$D,Einzelbeträge!$C:$C,'Ausgaben 2025'!$C231,Einzelbeträge!$E:$E,'Ausgaben 2025'!E$6)</f>
        <v>0</v>
      </c>
      <c r="F231" s="21">
        <f>SUMIFS(Einzelbeträge!$D:$D,Einzelbeträge!$C:$C,'Ausgaben 2025'!$C231,Einzelbeträge!$E:$E,'Ausgaben 2025'!F$6)</f>
        <v>0</v>
      </c>
      <c r="G231" s="21">
        <f>SUMIFS(Einzelbeträge!$D:$D,Einzelbeträge!$C:$C,'Ausgaben 2025'!$C231,Einzelbeträge!$E:$E,'Ausgaben 2025'!G$6)</f>
        <v>0</v>
      </c>
      <c r="H231" s="21">
        <f>SUMIFS(Einzelbeträge!$D:$D,Einzelbeträge!$C:$C,'Ausgaben 2025'!$C231,Einzelbeträge!$E:$E,'Ausgaben 2025'!H$6)</f>
        <v>0</v>
      </c>
      <c r="I231" s="21">
        <f>SUMIFS(Einzelbeträge!$D:$D,Einzelbeträge!$C:$C,'Ausgaben 2025'!$C231,Einzelbeträge!$E:$E,'Ausgaben 2025'!I$6)</f>
        <v>0</v>
      </c>
      <c r="J231" s="21">
        <f>SUMIFS(Einzelbeträge!$D:$D,Einzelbeträge!$C:$C,'Ausgaben 2025'!$C231,Einzelbeträge!$E:$E,'Ausgaben 2025'!J$6)</f>
        <v>0</v>
      </c>
      <c r="K231" s="21">
        <f>SUMIFS(Einzelbeträge!$D:$D,Einzelbeträge!$C:$C,'Ausgaben 2025'!$C231,Einzelbeträge!$E:$E,'Ausgaben 2025'!K$6)</f>
        <v>0</v>
      </c>
      <c r="L231" s="21">
        <f>SUMIFS(Einzelbeträge!$D:$D,Einzelbeträge!$C:$C,'Ausgaben 2025'!$C231,Einzelbeträge!$E:$E,'Ausgaben 2025'!L$6)</f>
        <v>0</v>
      </c>
      <c r="M231" s="21">
        <f>SUMIFS(Einzelbeträge!$D:$D,Einzelbeträge!$C:$C,'Ausgaben 2025'!$C231,Einzelbeträge!$E:$E,'Ausgaben 2025'!M$6)</f>
        <v>0</v>
      </c>
      <c r="N231" s="35">
        <f>SUMIFS(Einzelbeträge!$D:$D,Einzelbeträge!$C:$C,'Ausgaben 2025'!$C231,Einzelbeträge!$E:$E,'Ausgaben 2025'!N$6)</f>
        <v>0</v>
      </c>
      <c r="O231" s="6"/>
    </row>
    <row r="232" spans="2:15" x14ac:dyDescent="0.35">
      <c r="B232" s="5"/>
      <c r="C232" s="40">
        <f t="shared" si="22"/>
        <v>45864</v>
      </c>
      <c r="D232" s="46">
        <f>SUMIFS(Einzelbeträge!$D:$D,Einzelbeträge!$C:$C,'Ausgaben 2025'!$C232)</f>
        <v>0</v>
      </c>
      <c r="E232" s="21">
        <f>SUMIFS(Einzelbeträge!$D:$D,Einzelbeträge!$C:$C,'Ausgaben 2025'!$C232,Einzelbeträge!$E:$E,'Ausgaben 2025'!E$6)</f>
        <v>0</v>
      </c>
      <c r="F232" s="21">
        <f>SUMIFS(Einzelbeträge!$D:$D,Einzelbeträge!$C:$C,'Ausgaben 2025'!$C232,Einzelbeträge!$E:$E,'Ausgaben 2025'!F$6)</f>
        <v>0</v>
      </c>
      <c r="G232" s="21">
        <f>SUMIFS(Einzelbeträge!$D:$D,Einzelbeträge!$C:$C,'Ausgaben 2025'!$C232,Einzelbeträge!$E:$E,'Ausgaben 2025'!G$6)</f>
        <v>0</v>
      </c>
      <c r="H232" s="21">
        <f>SUMIFS(Einzelbeträge!$D:$D,Einzelbeträge!$C:$C,'Ausgaben 2025'!$C232,Einzelbeträge!$E:$E,'Ausgaben 2025'!H$6)</f>
        <v>0</v>
      </c>
      <c r="I232" s="21">
        <f>SUMIFS(Einzelbeträge!$D:$D,Einzelbeträge!$C:$C,'Ausgaben 2025'!$C232,Einzelbeträge!$E:$E,'Ausgaben 2025'!I$6)</f>
        <v>0</v>
      </c>
      <c r="J232" s="21">
        <f>SUMIFS(Einzelbeträge!$D:$D,Einzelbeträge!$C:$C,'Ausgaben 2025'!$C232,Einzelbeträge!$E:$E,'Ausgaben 2025'!J$6)</f>
        <v>0</v>
      </c>
      <c r="K232" s="21">
        <f>SUMIFS(Einzelbeträge!$D:$D,Einzelbeträge!$C:$C,'Ausgaben 2025'!$C232,Einzelbeträge!$E:$E,'Ausgaben 2025'!K$6)</f>
        <v>0</v>
      </c>
      <c r="L232" s="21">
        <f>SUMIFS(Einzelbeträge!$D:$D,Einzelbeträge!$C:$C,'Ausgaben 2025'!$C232,Einzelbeträge!$E:$E,'Ausgaben 2025'!L$6)</f>
        <v>0</v>
      </c>
      <c r="M232" s="21">
        <f>SUMIFS(Einzelbeträge!$D:$D,Einzelbeträge!$C:$C,'Ausgaben 2025'!$C232,Einzelbeträge!$E:$E,'Ausgaben 2025'!M$6)</f>
        <v>0</v>
      </c>
      <c r="N232" s="35">
        <f>SUMIFS(Einzelbeträge!$D:$D,Einzelbeträge!$C:$C,'Ausgaben 2025'!$C232,Einzelbeträge!$E:$E,'Ausgaben 2025'!N$6)</f>
        <v>0</v>
      </c>
      <c r="O232" s="6"/>
    </row>
    <row r="233" spans="2:15" x14ac:dyDescent="0.35">
      <c r="B233" s="5"/>
      <c r="C233" s="40">
        <f t="shared" si="22"/>
        <v>45865</v>
      </c>
      <c r="D233" s="46">
        <f>SUMIFS(Einzelbeträge!$D:$D,Einzelbeträge!$C:$C,'Ausgaben 2025'!$C233)</f>
        <v>0</v>
      </c>
      <c r="E233" s="21">
        <f>SUMIFS(Einzelbeträge!$D:$D,Einzelbeträge!$C:$C,'Ausgaben 2025'!$C233,Einzelbeträge!$E:$E,'Ausgaben 2025'!E$6)</f>
        <v>0</v>
      </c>
      <c r="F233" s="21">
        <f>SUMIFS(Einzelbeträge!$D:$D,Einzelbeträge!$C:$C,'Ausgaben 2025'!$C233,Einzelbeträge!$E:$E,'Ausgaben 2025'!F$6)</f>
        <v>0</v>
      </c>
      <c r="G233" s="21">
        <f>SUMIFS(Einzelbeträge!$D:$D,Einzelbeträge!$C:$C,'Ausgaben 2025'!$C233,Einzelbeträge!$E:$E,'Ausgaben 2025'!G$6)</f>
        <v>0</v>
      </c>
      <c r="H233" s="21">
        <f>SUMIFS(Einzelbeträge!$D:$D,Einzelbeträge!$C:$C,'Ausgaben 2025'!$C233,Einzelbeträge!$E:$E,'Ausgaben 2025'!H$6)</f>
        <v>0</v>
      </c>
      <c r="I233" s="21">
        <f>SUMIFS(Einzelbeträge!$D:$D,Einzelbeträge!$C:$C,'Ausgaben 2025'!$C233,Einzelbeträge!$E:$E,'Ausgaben 2025'!I$6)</f>
        <v>0</v>
      </c>
      <c r="J233" s="21">
        <f>SUMIFS(Einzelbeträge!$D:$D,Einzelbeträge!$C:$C,'Ausgaben 2025'!$C233,Einzelbeträge!$E:$E,'Ausgaben 2025'!J$6)</f>
        <v>0</v>
      </c>
      <c r="K233" s="21">
        <f>SUMIFS(Einzelbeträge!$D:$D,Einzelbeträge!$C:$C,'Ausgaben 2025'!$C233,Einzelbeträge!$E:$E,'Ausgaben 2025'!K$6)</f>
        <v>0</v>
      </c>
      <c r="L233" s="21">
        <f>SUMIFS(Einzelbeträge!$D:$D,Einzelbeträge!$C:$C,'Ausgaben 2025'!$C233,Einzelbeträge!$E:$E,'Ausgaben 2025'!L$6)</f>
        <v>0</v>
      </c>
      <c r="M233" s="21">
        <f>SUMIFS(Einzelbeträge!$D:$D,Einzelbeträge!$C:$C,'Ausgaben 2025'!$C233,Einzelbeträge!$E:$E,'Ausgaben 2025'!M$6)</f>
        <v>0</v>
      </c>
      <c r="N233" s="35">
        <f>SUMIFS(Einzelbeträge!$D:$D,Einzelbeträge!$C:$C,'Ausgaben 2025'!$C233,Einzelbeträge!$E:$E,'Ausgaben 2025'!N$6)</f>
        <v>0</v>
      </c>
      <c r="O233" s="6"/>
    </row>
    <row r="234" spans="2:15" x14ac:dyDescent="0.35">
      <c r="B234" s="5"/>
      <c r="C234" s="40">
        <f t="shared" si="22"/>
        <v>45866</v>
      </c>
      <c r="D234" s="46">
        <f>SUMIFS(Einzelbeträge!$D:$D,Einzelbeträge!$C:$C,'Ausgaben 2025'!$C234)</f>
        <v>0</v>
      </c>
      <c r="E234" s="21">
        <f>SUMIFS(Einzelbeträge!$D:$D,Einzelbeträge!$C:$C,'Ausgaben 2025'!$C234,Einzelbeträge!$E:$E,'Ausgaben 2025'!E$6)</f>
        <v>0</v>
      </c>
      <c r="F234" s="21">
        <f>SUMIFS(Einzelbeträge!$D:$D,Einzelbeträge!$C:$C,'Ausgaben 2025'!$C234,Einzelbeträge!$E:$E,'Ausgaben 2025'!F$6)</f>
        <v>0</v>
      </c>
      <c r="G234" s="21">
        <f>SUMIFS(Einzelbeträge!$D:$D,Einzelbeträge!$C:$C,'Ausgaben 2025'!$C234,Einzelbeträge!$E:$E,'Ausgaben 2025'!G$6)</f>
        <v>0</v>
      </c>
      <c r="H234" s="21">
        <f>SUMIFS(Einzelbeträge!$D:$D,Einzelbeträge!$C:$C,'Ausgaben 2025'!$C234,Einzelbeträge!$E:$E,'Ausgaben 2025'!H$6)</f>
        <v>0</v>
      </c>
      <c r="I234" s="21">
        <f>SUMIFS(Einzelbeträge!$D:$D,Einzelbeträge!$C:$C,'Ausgaben 2025'!$C234,Einzelbeträge!$E:$E,'Ausgaben 2025'!I$6)</f>
        <v>0</v>
      </c>
      <c r="J234" s="21">
        <f>SUMIFS(Einzelbeträge!$D:$D,Einzelbeträge!$C:$C,'Ausgaben 2025'!$C234,Einzelbeträge!$E:$E,'Ausgaben 2025'!J$6)</f>
        <v>0</v>
      </c>
      <c r="K234" s="21">
        <f>SUMIFS(Einzelbeträge!$D:$D,Einzelbeträge!$C:$C,'Ausgaben 2025'!$C234,Einzelbeträge!$E:$E,'Ausgaben 2025'!K$6)</f>
        <v>0</v>
      </c>
      <c r="L234" s="21">
        <f>SUMIFS(Einzelbeträge!$D:$D,Einzelbeträge!$C:$C,'Ausgaben 2025'!$C234,Einzelbeträge!$E:$E,'Ausgaben 2025'!L$6)</f>
        <v>0</v>
      </c>
      <c r="M234" s="21">
        <f>SUMIFS(Einzelbeträge!$D:$D,Einzelbeträge!$C:$C,'Ausgaben 2025'!$C234,Einzelbeträge!$E:$E,'Ausgaben 2025'!M$6)</f>
        <v>0</v>
      </c>
      <c r="N234" s="35">
        <f>SUMIFS(Einzelbeträge!$D:$D,Einzelbeträge!$C:$C,'Ausgaben 2025'!$C234,Einzelbeträge!$E:$E,'Ausgaben 2025'!N$6)</f>
        <v>0</v>
      </c>
      <c r="O234" s="6"/>
    </row>
    <row r="235" spans="2:15" x14ac:dyDescent="0.35">
      <c r="B235" s="5"/>
      <c r="C235" s="40">
        <f t="shared" si="22"/>
        <v>45867</v>
      </c>
      <c r="D235" s="46">
        <f>SUMIFS(Einzelbeträge!$D:$D,Einzelbeträge!$C:$C,'Ausgaben 2025'!$C235)</f>
        <v>0</v>
      </c>
      <c r="E235" s="21">
        <f>SUMIFS(Einzelbeträge!$D:$D,Einzelbeträge!$C:$C,'Ausgaben 2025'!$C235,Einzelbeträge!$E:$E,'Ausgaben 2025'!E$6)</f>
        <v>0</v>
      </c>
      <c r="F235" s="21">
        <f>SUMIFS(Einzelbeträge!$D:$D,Einzelbeträge!$C:$C,'Ausgaben 2025'!$C235,Einzelbeträge!$E:$E,'Ausgaben 2025'!F$6)</f>
        <v>0</v>
      </c>
      <c r="G235" s="21">
        <f>SUMIFS(Einzelbeträge!$D:$D,Einzelbeträge!$C:$C,'Ausgaben 2025'!$C235,Einzelbeträge!$E:$E,'Ausgaben 2025'!G$6)</f>
        <v>0</v>
      </c>
      <c r="H235" s="21">
        <f>SUMIFS(Einzelbeträge!$D:$D,Einzelbeträge!$C:$C,'Ausgaben 2025'!$C235,Einzelbeträge!$E:$E,'Ausgaben 2025'!H$6)</f>
        <v>0</v>
      </c>
      <c r="I235" s="21">
        <f>SUMIFS(Einzelbeträge!$D:$D,Einzelbeträge!$C:$C,'Ausgaben 2025'!$C235,Einzelbeträge!$E:$E,'Ausgaben 2025'!I$6)</f>
        <v>0</v>
      </c>
      <c r="J235" s="21">
        <f>SUMIFS(Einzelbeträge!$D:$D,Einzelbeträge!$C:$C,'Ausgaben 2025'!$C235,Einzelbeträge!$E:$E,'Ausgaben 2025'!J$6)</f>
        <v>0</v>
      </c>
      <c r="K235" s="21">
        <f>SUMIFS(Einzelbeträge!$D:$D,Einzelbeträge!$C:$C,'Ausgaben 2025'!$C235,Einzelbeträge!$E:$E,'Ausgaben 2025'!K$6)</f>
        <v>0</v>
      </c>
      <c r="L235" s="21">
        <f>SUMIFS(Einzelbeträge!$D:$D,Einzelbeträge!$C:$C,'Ausgaben 2025'!$C235,Einzelbeträge!$E:$E,'Ausgaben 2025'!L$6)</f>
        <v>0</v>
      </c>
      <c r="M235" s="21">
        <f>SUMIFS(Einzelbeträge!$D:$D,Einzelbeträge!$C:$C,'Ausgaben 2025'!$C235,Einzelbeträge!$E:$E,'Ausgaben 2025'!M$6)</f>
        <v>0</v>
      </c>
      <c r="N235" s="35">
        <f>SUMIFS(Einzelbeträge!$D:$D,Einzelbeträge!$C:$C,'Ausgaben 2025'!$C235,Einzelbeträge!$E:$E,'Ausgaben 2025'!N$6)</f>
        <v>0</v>
      </c>
      <c r="O235" s="6"/>
    </row>
    <row r="236" spans="2:15" x14ac:dyDescent="0.35">
      <c r="B236" s="5"/>
      <c r="C236" s="40">
        <f t="shared" si="22"/>
        <v>45868</v>
      </c>
      <c r="D236" s="46">
        <f>SUMIFS(Einzelbeträge!$D:$D,Einzelbeträge!$C:$C,'Ausgaben 2025'!$C236)</f>
        <v>0</v>
      </c>
      <c r="E236" s="21">
        <f>SUMIFS(Einzelbeträge!$D:$D,Einzelbeträge!$C:$C,'Ausgaben 2025'!$C236,Einzelbeträge!$E:$E,'Ausgaben 2025'!E$6)</f>
        <v>0</v>
      </c>
      <c r="F236" s="21">
        <f>SUMIFS(Einzelbeträge!$D:$D,Einzelbeträge!$C:$C,'Ausgaben 2025'!$C236,Einzelbeträge!$E:$E,'Ausgaben 2025'!F$6)</f>
        <v>0</v>
      </c>
      <c r="G236" s="21">
        <f>SUMIFS(Einzelbeträge!$D:$D,Einzelbeträge!$C:$C,'Ausgaben 2025'!$C236,Einzelbeträge!$E:$E,'Ausgaben 2025'!G$6)</f>
        <v>0</v>
      </c>
      <c r="H236" s="21">
        <f>SUMIFS(Einzelbeträge!$D:$D,Einzelbeträge!$C:$C,'Ausgaben 2025'!$C236,Einzelbeträge!$E:$E,'Ausgaben 2025'!H$6)</f>
        <v>0</v>
      </c>
      <c r="I236" s="21">
        <f>SUMIFS(Einzelbeträge!$D:$D,Einzelbeträge!$C:$C,'Ausgaben 2025'!$C236,Einzelbeträge!$E:$E,'Ausgaben 2025'!I$6)</f>
        <v>0</v>
      </c>
      <c r="J236" s="21">
        <f>SUMIFS(Einzelbeträge!$D:$D,Einzelbeträge!$C:$C,'Ausgaben 2025'!$C236,Einzelbeträge!$E:$E,'Ausgaben 2025'!J$6)</f>
        <v>0</v>
      </c>
      <c r="K236" s="21">
        <f>SUMIFS(Einzelbeträge!$D:$D,Einzelbeträge!$C:$C,'Ausgaben 2025'!$C236,Einzelbeträge!$E:$E,'Ausgaben 2025'!K$6)</f>
        <v>0</v>
      </c>
      <c r="L236" s="21">
        <f>SUMIFS(Einzelbeträge!$D:$D,Einzelbeträge!$C:$C,'Ausgaben 2025'!$C236,Einzelbeträge!$E:$E,'Ausgaben 2025'!L$6)</f>
        <v>0</v>
      </c>
      <c r="M236" s="21">
        <f>SUMIFS(Einzelbeträge!$D:$D,Einzelbeträge!$C:$C,'Ausgaben 2025'!$C236,Einzelbeträge!$E:$E,'Ausgaben 2025'!M$6)</f>
        <v>0</v>
      </c>
      <c r="N236" s="35">
        <f>SUMIFS(Einzelbeträge!$D:$D,Einzelbeträge!$C:$C,'Ausgaben 2025'!$C236,Einzelbeträge!$E:$E,'Ausgaben 2025'!N$6)</f>
        <v>0</v>
      </c>
      <c r="O236" s="6"/>
    </row>
    <row r="237" spans="2:15" x14ac:dyDescent="0.35">
      <c r="B237" s="5"/>
      <c r="C237" s="31">
        <f t="shared" si="22"/>
        <v>45869</v>
      </c>
      <c r="D237" s="47">
        <f>SUMIFS(Einzelbeträge!$D:$D,Einzelbeträge!$C:$C,'Ausgaben 2025'!$C237)</f>
        <v>0</v>
      </c>
      <c r="E237" s="37">
        <f>SUMIFS(Einzelbeträge!$D:$D,Einzelbeträge!$C:$C,'Ausgaben 2025'!$C237,Einzelbeträge!$E:$E,'Ausgaben 2025'!E$6)</f>
        <v>0</v>
      </c>
      <c r="F237" s="37">
        <f>SUMIFS(Einzelbeträge!$D:$D,Einzelbeträge!$C:$C,'Ausgaben 2025'!$C237,Einzelbeträge!$E:$E,'Ausgaben 2025'!F$6)</f>
        <v>0</v>
      </c>
      <c r="G237" s="37">
        <f>SUMIFS(Einzelbeträge!$D:$D,Einzelbeträge!$C:$C,'Ausgaben 2025'!$C237,Einzelbeträge!$E:$E,'Ausgaben 2025'!G$6)</f>
        <v>0</v>
      </c>
      <c r="H237" s="37">
        <f>SUMIFS(Einzelbeträge!$D:$D,Einzelbeträge!$C:$C,'Ausgaben 2025'!$C237,Einzelbeträge!$E:$E,'Ausgaben 2025'!H$6)</f>
        <v>0</v>
      </c>
      <c r="I237" s="37">
        <f>SUMIFS(Einzelbeträge!$D:$D,Einzelbeträge!$C:$C,'Ausgaben 2025'!$C237,Einzelbeträge!$E:$E,'Ausgaben 2025'!I$6)</f>
        <v>0</v>
      </c>
      <c r="J237" s="37">
        <f>SUMIFS(Einzelbeträge!$D:$D,Einzelbeträge!$C:$C,'Ausgaben 2025'!$C237,Einzelbeträge!$E:$E,'Ausgaben 2025'!J$6)</f>
        <v>0</v>
      </c>
      <c r="K237" s="37">
        <f>SUMIFS(Einzelbeträge!$D:$D,Einzelbeträge!$C:$C,'Ausgaben 2025'!$C237,Einzelbeträge!$E:$E,'Ausgaben 2025'!K$6)</f>
        <v>0</v>
      </c>
      <c r="L237" s="37">
        <f>SUMIFS(Einzelbeträge!$D:$D,Einzelbeträge!$C:$C,'Ausgaben 2025'!$C237,Einzelbeträge!$E:$E,'Ausgaben 2025'!L$6)</f>
        <v>0</v>
      </c>
      <c r="M237" s="37">
        <f>SUMIFS(Einzelbeträge!$D:$D,Einzelbeträge!$C:$C,'Ausgaben 2025'!$C237,Einzelbeträge!$E:$E,'Ausgaben 2025'!M$6)</f>
        <v>0</v>
      </c>
      <c r="N237" s="38">
        <f>SUMIFS(Einzelbeträge!$D:$D,Einzelbeträge!$C:$C,'Ausgaben 2025'!$C237,Einzelbeträge!$E:$E,'Ausgaben 2025'!N$6)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45870</v>
      </c>
      <c r="D241" s="45">
        <f>SUMIFS(Einzelbeträge!$D:$D,Einzelbeträge!$C:$C,'Ausgaben 2025'!$C241)</f>
        <v>0</v>
      </c>
      <c r="E241" s="32">
        <f>SUMIFS(Einzelbeträge!$D:$D,Einzelbeträge!$C:$C,'Ausgaben 2025'!$C241,Einzelbeträge!$E:$E,'Ausgaben 2025'!E$6)</f>
        <v>0</v>
      </c>
      <c r="F241" s="32">
        <f>SUMIFS(Einzelbeträge!$D:$D,Einzelbeträge!$C:$C,'Ausgaben 2025'!$C241,Einzelbeträge!$E:$E,'Ausgaben 2025'!F$6)</f>
        <v>0</v>
      </c>
      <c r="G241" s="32">
        <f>SUMIFS(Einzelbeträge!$D:$D,Einzelbeträge!$C:$C,'Ausgaben 2025'!$C241,Einzelbeträge!$E:$E,'Ausgaben 2025'!G$6)</f>
        <v>0</v>
      </c>
      <c r="H241" s="32">
        <f>SUMIFS(Einzelbeträge!$D:$D,Einzelbeträge!$C:$C,'Ausgaben 2025'!$C241,Einzelbeträge!$E:$E,'Ausgaben 2025'!H$6)</f>
        <v>0</v>
      </c>
      <c r="I241" s="32">
        <f>SUMIFS(Einzelbeträge!$D:$D,Einzelbeträge!$C:$C,'Ausgaben 2025'!$C241,Einzelbeträge!$E:$E,'Ausgaben 2025'!I$6)</f>
        <v>0</v>
      </c>
      <c r="J241" s="32">
        <f>SUMIFS(Einzelbeträge!$D:$D,Einzelbeträge!$C:$C,'Ausgaben 2025'!$C241,Einzelbeträge!$E:$E,'Ausgaben 2025'!J$6)</f>
        <v>0</v>
      </c>
      <c r="K241" s="32">
        <f>SUMIFS(Einzelbeträge!$D:$D,Einzelbeträge!$C:$C,'Ausgaben 2025'!$C241,Einzelbeträge!$E:$E,'Ausgaben 2025'!K$6)</f>
        <v>0</v>
      </c>
      <c r="L241" s="32">
        <f>SUMIFS(Einzelbeträge!$D:$D,Einzelbeträge!$C:$C,'Ausgaben 2025'!$C241,Einzelbeträge!$E:$E,'Ausgaben 2025'!L$6)</f>
        <v>0</v>
      </c>
      <c r="M241" s="32">
        <f>SUMIFS(Einzelbeträge!$D:$D,Einzelbeträge!$C:$C,'Ausgaben 2025'!$C241,Einzelbeträge!$E:$E,'Ausgaben 2025'!M$6)</f>
        <v>0</v>
      </c>
      <c r="N241" s="33">
        <f>SUMIFS(Einzelbeträge!$D:$D,Einzelbeträge!$C:$C,'Ausgaben 2025'!$C241,Einzelbeträge!$E:$E,'Ausgaben 2025'!N$6)</f>
        <v>0</v>
      </c>
      <c r="O241" s="6"/>
    </row>
    <row r="242" spans="2:15" x14ac:dyDescent="0.35">
      <c r="B242" s="5"/>
      <c r="C242" s="40">
        <f>C241+1</f>
        <v>45871</v>
      </c>
      <c r="D242" s="46">
        <f>SUMIFS(Einzelbeträge!$D:$D,Einzelbeträge!$C:$C,'Ausgaben 2025'!$C242)</f>
        <v>0</v>
      </c>
      <c r="E242" s="21">
        <f>SUMIFS(Einzelbeträge!$D:$D,Einzelbeträge!$C:$C,'Ausgaben 2025'!$C242,Einzelbeträge!$E:$E,'Ausgaben 2025'!E$6)</f>
        <v>0</v>
      </c>
      <c r="F242" s="21">
        <f>SUMIFS(Einzelbeträge!$D:$D,Einzelbeträge!$C:$C,'Ausgaben 2025'!$C242,Einzelbeträge!$E:$E,'Ausgaben 2025'!F$6)</f>
        <v>0</v>
      </c>
      <c r="G242" s="21">
        <f>SUMIFS(Einzelbeträge!$D:$D,Einzelbeträge!$C:$C,'Ausgaben 2025'!$C242,Einzelbeträge!$E:$E,'Ausgaben 2025'!G$6)</f>
        <v>0</v>
      </c>
      <c r="H242" s="21">
        <f>SUMIFS(Einzelbeträge!$D:$D,Einzelbeträge!$C:$C,'Ausgaben 2025'!$C242,Einzelbeträge!$E:$E,'Ausgaben 2025'!H$6)</f>
        <v>0</v>
      </c>
      <c r="I242" s="21">
        <f>SUMIFS(Einzelbeträge!$D:$D,Einzelbeträge!$C:$C,'Ausgaben 2025'!$C242,Einzelbeträge!$E:$E,'Ausgaben 2025'!I$6)</f>
        <v>0</v>
      </c>
      <c r="J242" s="21">
        <f>SUMIFS(Einzelbeträge!$D:$D,Einzelbeträge!$C:$C,'Ausgaben 2025'!$C242,Einzelbeträge!$E:$E,'Ausgaben 2025'!J$6)</f>
        <v>0</v>
      </c>
      <c r="K242" s="21">
        <f>SUMIFS(Einzelbeträge!$D:$D,Einzelbeträge!$C:$C,'Ausgaben 2025'!$C242,Einzelbeträge!$E:$E,'Ausgaben 2025'!K$6)</f>
        <v>0</v>
      </c>
      <c r="L242" s="21">
        <f>SUMIFS(Einzelbeträge!$D:$D,Einzelbeträge!$C:$C,'Ausgaben 2025'!$C242,Einzelbeträge!$E:$E,'Ausgaben 2025'!L$6)</f>
        <v>0</v>
      </c>
      <c r="M242" s="21">
        <f>SUMIFS(Einzelbeträge!$D:$D,Einzelbeträge!$C:$C,'Ausgaben 2025'!$C242,Einzelbeträge!$E:$E,'Ausgaben 2025'!M$6)</f>
        <v>0</v>
      </c>
      <c r="N242" s="35">
        <f>SUMIFS(Einzelbeträge!$D:$D,Einzelbeträge!$C:$C,'Ausgaben 2025'!$C242,Einzelbeträge!$E:$E,'Ausgaben 2025'!N$6)</f>
        <v>0</v>
      </c>
      <c r="O242" s="6"/>
    </row>
    <row r="243" spans="2:15" x14ac:dyDescent="0.35">
      <c r="B243" s="5"/>
      <c r="C243" s="40">
        <f t="shared" ref="C243:C271" si="23">C242+1</f>
        <v>45872</v>
      </c>
      <c r="D243" s="46">
        <f>SUMIFS(Einzelbeträge!$D:$D,Einzelbeträge!$C:$C,'Ausgaben 2025'!$C243)</f>
        <v>0</v>
      </c>
      <c r="E243" s="21">
        <f>SUMIFS(Einzelbeträge!$D:$D,Einzelbeträge!$C:$C,'Ausgaben 2025'!$C243,Einzelbeträge!$E:$E,'Ausgaben 2025'!E$6)</f>
        <v>0</v>
      </c>
      <c r="F243" s="21">
        <f>SUMIFS(Einzelbeträge!$D:$D,Einzelbeträge!$C:$C,'Ausgaben 2025'!$C243,Einzelbeträge!$E:$E,'Ausgaben 2025'!F$6)</f>
        <v>0</v>
      </c>
      <c r="G243" s="21">
        <f>SUMIFS(Einzelbeträge!$D:$D,Einzelbeträge!$C:$C,'Ausgaben 2025'!$C243,Einzelbeträge!$E:$E,'Ausgaben 2025'!G$6)</f>
        <v>0</v>
      </c>
      <c r="H243" s="21">
        <f>SUMIFS(Einzelbeträge!$D:$D,Einzelbeträge!$C:$C,'Ausgaben 2025'!$C243,Einzelbeträge!$E:$E,'Ausgaben 2025'!H$6)</f>
        <v>0</v>
      </c>
      <c r="I243" s="21">
        <f>SUMIFS(Einzelbeträge!$D:$D,Einzelbeträge!$C:$C,'Ausgaben 2025'!$C243,Einzelbeträge!$E:$E,'Ausgaben 2025'!I$6)</f>
        <v>0</v>
      </c>
      <c r="J243" s="21">
        <f>SUMIFS(Einzelbeträge!$D:$D,Einzelbeträge!$C:$C,'Ausgaben 2025'!$C243,Einzelbeträge!$E:$E,'Ausgaben 2025'!J$6)</f>
        <v>0</v>
      </c>
      <c r="K243" s="21">
        <f>SUMIFS(Einzelbeträge!$D:$D,Einzelbeträge!$C:$C,'Ausgaben 2025'!$C243,Einzelbeträge!$E:$E,'Ausgaben 2025'!K$6)</f>
        <v>0</v>
      </c>
      <c r="L243" s="21">
        <f>SUMIFS(Einzelbeträge!$D:$D,Einzelbeträge!$C:$C,'Ausgaben 2025'!$C243,Einzelbeträge!$E:$E,'Ausgaben 2025'!L$6)</f>
        <v>0</v>
      </c>
      <c r="M243" s="21">
        <f>SUMIFS(Einzelbeträge!$D:$D,Einzelbeträge!$C:$C,'Ausgaben 2025'!$C243,Einzelbeträge!$E:$E,'Ausgaben 2025'!M$6)</f>
        <v>0</v>
      </c>
      <c r="N243" s="35">
        <f>SUMIFS(Einzelbeträge!$D:$D,Einzelbeträge!$C:$C,'Ausgaben 2025'!$C243,Einzelbeträge!$E:$E,'Ausgaben 2025'!N$6)</f>
        <v>0</v>
      </c>
      <c r="O243" s="6"/>
    </row>
    <row r="244" spans="2:15" x14ac:dyDescent="0.35">
      <c r="B244" s="5"/>
      <c r="C244" s="40">
        <f t="shared" si="23"/>
        <v>45873</v>
      </c>
      <c r="D244" s="46">
        <f>SUMIFS(Einzelbeträge!$D:$D,Einzelbeträge!$C:$C,'Ausgaben 2025'!$C244)</f>
        <v>0</v>
      </c>
      <c r="E244" s="21">
        <f>SUMIFS(Einzelbeträge!$D:$D,Einzelbeträge!$C:$C,'Ausgaben 2025'!$C244,Einzelbeträge!$E:$E,'Ausgaben 2025'!E$6)</f>
        <v>0</v>
      </c>
      <c r="F244" s="21">
        <f>SUMIFS(Einzelbeträge!$D:$D,Einzelbeträge!$C:$C,'Ausgaben 2025'!$C244,Einzelbeträge!$E:$E,'Ausgaben 2025'!F$6)</f>
        <v>0</v>
      </c>
      <c r="G244" s="21">
        <f>SUMIFS(Einzelbeträge!$D:$D,Einzelbeträge!$C:$C,'Ausgaben 2025'!$C244,Einzelbeträge!$E:$E,'Ausgaben 2025'!G$6)</f>
        <v>0</v>
      </c>
      <c r="H244" s="21">
        <f>SUMIFS(Einzelbeträge!$D:$D,Einzelbeträge!$C:$C,'Ausgaben 2025'!$C244,Einzelbeträge!$E:$E,'Ausgaben 2025'!H$6)</f>
        <v>0</v>
      </c>
      <c r="I244" s="21">
        <f>SUMIFS(Einzelbeträge!$D:$D,Einzelbeträge!$C:$C,'Ausgaben 2025'!$C244,Einzelbeträge!$E:$E,'Ausgaben 2025'!I$6)</f>
        <v>0</v>
      </c>
      <c r="J244" s="21">
        <f>SUMIFS(Einzelbeträge!$D:$D,Einzelbeträge!$C:$C,'Ausgaben 2025'!$C244,Einzelbeträge!$E:$E,'Ausgaben 2025'!J$6)</f>
        <v>0</v>
      </c>
      <c r="K244" s="21">
        <f>SUMIFS(Einzelbeträge!$D:$D,Einzelbeträge!$C:$C,'Ausgaben 2025'!$C244,Einzelbeträge!$E:$E,'Ausgaben 2025'!K$6)</f>
        <v>0</v>
      </c>
      <c r="L244" s="21">
        <f>SUMIFS(Einzelbeträge!$D:$D,Einzelbeträge!$C:$C,'Ausgaben 2025'!$C244,Einzelbeträge!$E:$E,'Ausgaben 2025'!L$6)</f>
        <v>0</v>
      </c>
      <c r="M244" s="21">
        <f>SUMIFS(Einzelbeträge!$D:$D,Einzelbeträge!$C:$C,'Ausgaben 2025'!$C244,Einzelbeträge!$E:$E,'Ausgaben 2025'!M$6)</f>
        <v>0</v>
      </c>
      <c r="N244" s="35">
        <f>SUMIFS(Einzelbeträge!$D:$D,Einzelbeträge!$C:$C,'Ausgaben 2025'!$C244,Einzelbeträge!$E:$E,'Ausgaben 2025'!N$6)</f>
        <v>0</v>
      </c>
      <c r="O244" s="6"/>
    </row>
    <row r="245" spans="2:15" x14ac:dyDescent="0.35">
      <c r="B245" s="5"/>
      <c r="C245" s="40">
        <f t="shared" si="23"/>
        <v>45874</v>
      </c>
      <c r="D245" s="46">
        <f>SUMIFS(Einzelbeträge!$D:$D,Einzelbeträge!$C:$C,'Ausgaben 2025'!$C245)</f>
        <v>0</v>
      </c>
      <c r="E245" s="21">
        <f>SUMIFS(Einzelbeträge!$D:$D,Einzelbeträge!$C:$C,'Ausgaben 2025'!$C245,Einzelbeträge!$E:$E,'Ausgaben 2025'!E$6)</f>
        <v>0</v>
      </c>
      <c r="F245" s="21">
        <f>SUMIFS(Einzelbeträge!$D:$D,Einzelbeträge!$C:$C,'Ausgaben 2025'!$C245,Einzelbeträge!$E:$E,'Ausgaben 2025'!F$6)</f>
        <v>0</v>
      </c>
      <c r="G245" s="21">
        <f>SUMIFS(Einzelbeträge!$D:$D,Einzelbeträge!$C:$C,'Ausgaben 2025'!$C245,Einzelbeträge!$E:$E,'Ausgaben 2025'!G$6)</f>
        <v>0</v>
      </c>
      <c r="H245" s="21">
        <f>SUMIFS(Einzelbeträge!$D:$D,Einzelbeträge!$C:$C,'Ausgaben 2025'!$C245,Einzelbeträge!$E:$E,'Ausgaben 2025'!H$6)</f>
        <v>0</v>
      </c>
      <c r="I245" s="21">
        <f>SUMIFS(Einzelbeträge!$D:$D,Einzelbeträge!$C:$C,'Ausgaben 2025'!$C245,Einzelbeträge!$E:$E,'Ausgaben 2025'!I$6)</f>
        <v>0</v>
      </c>
      <c r="J245" s="21">
        <f>SUMIFS(Einzelbeträge!$D:$D,Einzelbeträge!$C:$C,'Ausgaben 2025'!$C245,Einzelbeträge!$E:$E,'Ausgaben 2025'!J$6)</f>
        <v>0</v>
      </c>
      <c r="K245" s="21">
        <f>SUMIFS(Einzelbeträge!$D:$D,Einzelbeträge!$C:$C,'Ausgaben 2025'!$C245,Einzelbeträge!$E:$E,'Ausgaben 2025'!K$6)</f>
        <v>0</v>
      </c>
      <c r="L245" s="21">
        <f>SUMIFS(Einzelbeträge!$D:$D,Einzelbeträge!$C:$C,'Ausgaben 2025'!$C245,Einzelbeträge!$E:$E,'Ausgaben 2025'!L$6)</f>
        <v>0</v>
      </c>
      <c r="M245" s="21">
        <f>SUMIFS(Einzelbeträge!$D:$D,Einzelbeträge!$C:$C,'Ausgaben 2025'!$C245,Einzelbeträge!$E:$E,'Ausgaben 2025'!M$6)</f>
        <v>0</v>
      </c>
      <c r="N245" s="35">
        <f>SUMIFS(Einzelbeträge!$D:$D,Einzelbeträge!$C:$C,'Ausgaben 2025'!$C245,Einzelbeträge!$E:$E,'Ausgaben 2025'!N$6)</f>
        <v>0</v>
      </c>
      <c r="O245" s="6"/>
    </row>
    <row r="246" spans="2:15" x14ac:dyDescent="0.35">
      <c r="B246" s="5"/>
      <c r="C246" s="40">
        <f t="shared" si="23"/>
        <v>45875</v>
      </c>
      <c r="D246" s="46">
        <f>SUMIFS(Einzelbeträge!$D:$D,Einzelbeträge!$C:$C,'Ausgaben 2025'!$C246)</f>
        <v>0</v>
      </c>
      <c r="E246" s="21">
        <f>SUMIFS(Einzelbeträge!$D:$D,Einzelbeträge!$C:$C,'Ausgaben 2025'!$C246,Einzelbeträge!$E:$E,'Ausgaben 2025'!E$6)</f>
        <v>0</v>
      </c>
      <c r="F246" s="21">
        <f>SUMIFS(Einzelbeträge!$D:$D,Einzelbeträge!$C:$C,'Ausgaben 2025'!$C246,Einzelbeträge!$E:$E,'Ausgaben 2025'!F$6)</f>
        <v>0</v>
      </c>
      <c r="G246" s="21">
        <f>SUMIFS(Einzelbeträge!$D:$D,Einzelbeträge!$C:$C,'Ausgaben 2025'!$C246,Einzelbeträge!$E:$E,'Ausgaben 2025'!G$6)</f>
        <v>0</v>
      </c>
      <c r="H246" s="21">
        <f>SUMIFS(Einzelbeträge!$D:$D,Einzelbeträge!$C:$C,'Ausgaben 2025'!$C246,Einzelbeträge!$E:$E,'Ausgaben 2025'!H$6)</f>
        <v>0</v>
      </c>
      <c r="I246" s="21">
        <f>SUMIFS(Einzelbeträge!$D:$D,Einzelbeträge!$C:$C,'Ausgaben 2025'!$C246,Einzelbeträge!$E:$E,'Ausgaben 2025'!I$6)</f>
        <v>0</v>
      </c>
      <c r="J246" s="21">
        <f>SUMIFS(Einzelbeträge!$D:$D,Einzelbeträge!$C:$C,'Ausgaben 2025'!$C246,Einzelbeträge!$E:$E,'Ausgaben 2025'!J$6)</f>
        <v>0</v>
      </c>
      <c r="K246" s="21">
        <f>SUMIFS(Einzelbeträge!$D:$D,Einzelbeträge!$C:$C,'Ausgaben 2025'!$C246,Einzelbeträge!$E:$E,'Ausgaben 2025'!K$6)</f>
        <v>0</v>
      </c>
      <c r="L246" s="21">
        <f>SUMIFS(Einzelbeträge!$D:$D,Einzelbeträge!$C:$C,'Ausgaben 2025'!$C246,Einzelbeträge!$E:$E,'Ausgaben 2025'!L$6)</f>
        <v>0</v>
      </c>
      <c r="M246" s="21">
        <f>SUMIFS(Einzelbeträge!$D:$D,Einzelbeträge!$C:$C,'Ausgaben 2025'!$C246,Einzelbeträge!$E:$E,'Ausgaben 2025'!M$6)</f>
        <v>0</v>
      </c>
      <c r="N246" s="35">
        <f>SUMIFS(Einzelbeträge!$D:$D,Einzelbeträge!$C:$C,'Ausgaben 2025'!$C246,Einzelbeträge!$E:$E,'Ausgaben 2025'!N$6)</f>
        <v>0</v>
      </c>
      <c r="O246" s="6"/>
    </row>
    <row r="247" spans="2:15" x14ac:dyDescent="0.35">
      <c r="B247" s="5"/>
      <c r="C247" s="40">
        <f t="shared" si="23"/>
        <v>45876</v>
      </c>
      <c r="D247" s="46">
        <f>SUMIFS(Einzelbeträge!$D:$D,Einzelbeträge!$C:$C,'Ausgaben 2025'!$C247)</f>
        <v>0</v>
      </c>
      <c r="E247" s="21">
        <f>SUMIFS(Einzelbeträge!$D:$D,Einzelbeträge!$C:$C,'Ausgaben 2025'!$C247,Einzelbeträge!$E:$E,'Ausgaben 2025'!E$6)</f>
        <v>0</v>
      </c>
      <c r="F247" s="21">
        <f>SUMIFS(Einzelbeträge!$D:$D,Einzelbeträge!$C:$C,'Ausgaben 2025'!$C247,Einzelbeträge!$E:$E,'Ausgaben 2025'!F$6)</f>
        <v>0</v>
      </c>
      <c r="G247" s="21">
        <f>SUMIFS(Einzelbeträge!$D:$D,Einzelbeträge!$C:$C,'Ausgaben 2025'!$C247,Einzelbeträge!$E:$E,'Ausgaben 2025'!G$6)</f>
        <v>0</v>
      </c>
      <c r="H247" s="21">
        <f>SUMIFS(Einzelbeträge!$D:$D,Einzelbeträge!$C:$C,'Ausgaben 2025'!$C247,Einzelbeträge!$E:$E,'Ausgaben 2025'!H$6)</f>
        <v>0</v>
      </c>
      <c r="I247" s="21">
        <f>SUMIFS(Einzelbeträge!$D:$D,Einzelbeträge!$C:$C,'Ausgaben 2025'!$C247,Einzelbeträge!$E:$E,'Ausgaben 2025'!I$6)</f>
        <v>0</v>
      </c>
      <c r="J247" s="21">
        <f>SUMIFS(Einzelbeträge!$D:$D,Einzelbeträge!$C:$C,'Ausgaben 2025'!$C247,Einzelbeträge!$E:$E,'Ausgaben 2025'!J$6)</f>
        <v>0</v>
      </c>
      <c r="K247" s="21">
        <f>SUMIFS(Einzelbeträge!$D:$D,Einzelbeträge!$C:$C,'Ausgaben 2025'!$C247,Einzelbeträge!$E:$E,'Ausgaben 2025'!K$6)</f>
        <v>0</v>
      </c>
      <c r="L247" s="21">
        <f>SUMIFS(Einzelbeträge!$D:$D,Einzelbeträge!$C:$C,'Ausgaben 2025'!$C247,Einzelbeträge!$E:$E,'Ausgaben 2025'!L$6)</f>
        <v>0</v>
      </c>
      <c r="M247" s="21">
        <f>SUMIFS(Einzelbeträge!$D:$D,Einzelbeträge!$C:$C,'Ausgaben 2025'!$C247,Einzelbeträge!$E:$E,'Ausgaben 2025'!M$6)</f>
        <v>0</v>
      </c>
      <c r="N247" s="35">
        <f>SUMIFS(Einzelbeträge!$D:$D,Einzelbeträge!$C:$C,'Ausgaben 2025'!$C247,Einzelbeträge!$E:$E,'Ausgaben 2025'!N$6)</f>
        <v>0</v>
      </c>
      <c r="O247" s="6"/>
    </row>
    <row r="248" spans="2:15" x14ac:dyDescent="0.35">
      <c r="B248" s="5"/>
      <c r="C248" s="40">
        <f t="shared" si="23"/>
        <v>45877</v>
      </c>
      <c r="D248" s="46">
        <f>SUMIFS(Einzelbeträge!$D:$D,Einzelbeträge!$C:$C,'Ausgaben 2025'!$C248)</f>
        <v>0</v>
      </c>
      <c r="E248" s="21">
        <f>SUMIFS(Einzelbeträge!$D:$D,Einzelbeträge!$C:$C,'Ausgaben 2025'!$C248,Einzelbeträge!$E:$E,'Ausgaben 2025'!E$6)</f>
        <v>0</v>
      </c>
      <c r="F248" s="21">
        <f>SUMIFS(Einzelbeträge!$D:$D,Einzelbeträge!$C:$C,'Ausgaben 2025'!$C248,Einzelbeträge!$E:$E,'Ausgaben 2025'!F$6)</f>
        <v>0</v>
      </c>
      <c r="G248" s="21">
        <f>SUMIFS(Einzelbeträge!$D:$D,Einzelbeträge!$C:$C,'Ausgaben 2025'!$C248,Einzelbeträge!$E:$E,'Ausgaben 2025'!G$6)</f>
        <v>0</v>
      </c>
      <c r="H248" s="21">
        <f>SUMIFS(Einzelbeträge!$D:$D,Einzelbeträge!$C:$C,'Ausgaben 2025'!$C248,Einzelbeträge!$E:$E,'Ausgaben 2025'!H$6)</f>
        <v>0</v>
      </c>
      <c r="I248" s="21">
        <f>SUMIFS(Einzelbeträge!$D:$D,Einzelbeträge!$C:$C,'Ausgaben 2025'!$C248,Einzelbeträge!$E:$E,'Ausgaben 2025'!I$6)</f>
        <v>0</v>
      </c>
      <c r="J248" s="21">
        <f>SUMIFS(Einzelbeträge!$D:$D,Einzelbeträge!$C:$C,'Ausgaben 2025'!$C248,Einzelbeträge!$E:$E,'Ausgaben 2025'!J$6)</f>
        <v>0</v>
      </c>
      <c r="K248" s="21">
        <f>SUMIFS(Einzelbeträge!$D:$D,Einzelbeträge!$C:$C,'Ausgaben 2025'!$C248,Einzelbeträge!$E:$E,'Ausgaben 2025'!K$6)</f>
        <v>0</v>
      </c>
      <c r="L248" s="21">
        <f>SUMIFS(Einzelbeträge!$D:$D,Einzelbeträge!$C:$C,'Ausgaben 2025'!$C248,Einzelbeträge!$E:$E,'Ausgaben 2025'!L$6)</f>
        <v>0</v>
      </c>
      <c r="M248" s="21">
        <f>SUMIFS(Einzelbeträge!$D:$D,Einzelbeträge!$C:$C,'Ausgaben 2025'!$C248,Einzelbeträge!$E:$E,'Ausgaben 2025'!M$6)</f>
        <v>0</v>
      </c>
      <c r="N248" s="35">
        <f>SUMIFS(Einzelbeträge!$D:$D,Einzelbeträge!$C:$C,'Ausgaben 2025'!$C248,Einzelbeträge!$E:$E,'Ausgaben 2025'!N$6)</f>
        <v>0</v>
      </c>
      <c r="O248" s="6"/>
    </row>
    <row r="249" spans="2:15" x14ac:dyDescent="0.35">
      <c r="B249" s="5"/>
      <c r="C249" s="40">
        <f t="shared" si="23"/>
        <v>45878</v>
      </c>
      <c r="D249" s="46">
        <f>SUMIFS(Einzelbeträge!$D:$D,Einzelbeträge!$C:$C,'Ausgaben 2025'!$C249)</f>
        <v>0</v>
      </c>
      <c r="E249" s="21">
        <f>SUMIFS(Einzelbeträge!$D:$D,Einzelbeträge!$C:$C,'Ausgaben 2025'!$C249,Einzelbeträge!$E:$E,'Ausgaben 2025'!E$6)</f>
        <v>0</v>
      </c>
      <c r="F249" s="21">
        <f>SUMIFS(Einzelbeträge!$D:$D,Einzelbeträge!$C:$C,'Ausgaben 2025'!$C249,Einzelbeträge!$E:$E,'Ausgaben 2025'!F$6)</f>
        <v>0</v>
      </c>
      <c r="G249" s="21">
        <f>SUMIFS(Einzelbeträge!$D:$D,Einzelbeträge!$C:$C,'Ausgaben 2025'!$C249,Einzelbeträge!$E:$E,'Ausgaben 2025'!G$6)</f>
        <v>0</v>
      </c>
      <c r="H249" s="21">
        <f>SUMIFS(Einzelbeträge!$D:$D,Einzelbeträge!$C:$C,'Ausgaben 2025'!$C249,Einzelbeträge!$E:$E,'Ausgaben 2025'!H$6)</f>
        <v>0</v>
      </c>
      <c r="I249" s="21">
        <f>SUMIFS(Einzelbeträge!$D:$D,Einzelbeträge!$C:$C,'Ausgaben 2025'!$C249,Einzelbeträge!$E:$E,'Ausgaben 2025'!I$6)</f>
        <v>0</v>
      </c>
      <c r="J249" s="21">
        <f>SUMIFS(Einzelbeträge!$D:$D,Einzelbeträge!$C:$C,'Ausgaben 2025'!$C249,Einzelbeträge!$E:$E,'Ausgaben 2025'!J$6)</f>
        <v>0</v>
      </c>
      <c r="K249" s="21">
        <f>SUMIFS(Einzelbeträge!$D:$D,Einzelbeträge!$C:$C,'Ausgaben 2025'!$C249,Einzelbeträge!$E:$E,'Ausgaben 2025'!K$6)</f>
        <v>0</v>
      </c>
      <c r="L249" s="21">
        <f>SUMIFS(Einzelbeträge!$D:$D,Einzelbeträge!$C:$C,'Ausgaben 2025'!$C249,Einzelbeträge!$E:$E,'Ausgaben 2025'!L$6)</f>
        <v>0</v>
      </c>
      <c r="M249" s="21">
        <f>SUMIFS(Einzelbeträge!$D:$D,Einzelbeträge!$C:$C,'Ausgaben 2025'!$C249,Einzelbeträge!$E:$E,'Ausgaben 2025'!M$6)</f>
        <v>0</v>
      </c>
      <c r="N249" s="35">
        <f>SUMIFS(Einzelbeträge!$D:$D,Einzelbeträge!$C:$C,'Ausgaben 2025'!$C249,Einzelbeträge!$E:$E,'Ausgaben 2025'!N$6)</f>
        <v>0</v>
      </c>
      <c r="O249" s="6"/>
    </row>
    <row r="250" spans="2:15" x14ac:dyDescent="0.35">
      <c r="B250" s="5"/>
      <c r="C250" s="40">
        <f t="shared" si="23"/>
        <v>45879</v>
      </c>
      <c r="D250" s="46">
        <f>SUMIFS(Einzelbeträge!$D:$D,Einzelbeträge!$C:$C,'Ausgaben 2025'!$C250)</f>
        <v>0</v>
      </c>
      <c r="E250" s="21">
        <f>SUMIFS(Einzelbeträge!$D:$D,Einzelbeträge!$C:$C,'Ausgaben 2025'!$C250,Einzelbeträge!$E:$E,'Ausgaben 2025'!E$6)</f>
        <v>0</v>
      </c>
      <c r="F250" s="21">
        <f>SUMIFS(Einzelbeträge!$D:$D,Einzelbeträge!$C:$C,'Ausgaben 2025'!$C250,Einzelbeträge!$E:$E,'Ausgaben 2025'!F$6)</f>
        <v>0</v>
      </c>
      <c r="G250" s="21">
        <f>SUMIFS(Einzelbeträge!$D:$D,Einzelbeträge!$C:$C,'Ausgaben 2025'!$C250,Einzelbeträge!$E:$E,'Ausgaben 2025'!G$6)</f>
        <v>0</v>
      </c>
      <c r="H250" s="21">
        <f>SUMIFS(Einzelbeträge!$D:$D,Einzelbeträge!$C:$C,'Ausgaben 2025'!$C250,Einzelbeträge!$E:$E,'Ausgaben 2025'!H$6)</f>
        <v>0</v>
      </c>
      <c r="I250" s="21">
        <f>SUMIFS(Einzelbeträge!$D:$D,Einzelbeträge!$C:$C,'Ausgaben 2025'!$C250,Einzelbeträge!$E:$E,'Ausgaben 2025'!I$6)</f>
        <v>0</v>
      </c>
      <c r="J250" s="21">
        <f>SUMIFS(Einzelbeträge!$D:$D,Einzelbeträge!$C:$C,'Ausgaben 2025'!$C250,Einzelbeträge!$E:$E,'Ausgaben 2025'!J$6)</f>
        <v>0</v>
      </c>
      <c r="K250" s="21">
        <f>SUMIFS(Einzelbeträge!$D:$D,Einzelbeträge!$C:$C,'Ausgaben 2025'!$C250,Einzelbeträge!$E:$E,'Ausgaben 2025'!K$6)</f>
        <v>0</v>
      </c>
      <c r="L250" s="21">
        <f>SUMIFS(Einzelbeträge!$D:$D,Einzelbeträge!$C:$C,'Ausgaben 2025'!$C250,Einzelbeträge!$E:$E,'Ausgaben 2025'!L$6)</f>
        <v>0</v>
      </c>
      <c r="M250" s="21">
        <f>SUMIFS(Einzelbeträge!$D:$D,Einzelbeträge!$C:$C,'Ausgaben 2025'!$C250,Einzelbeträge!$E:$E,'Ausgaben 2025'!M$6)</f>
        <v>0</v>
      </c>
      <c r="N250" s="35">
        <f>SUMIFS(Einzelbeträge!$D:$D,Einzelbeträge!$C:$C,'Ausgaben 2025'!$C250,Einzelbeträge!$E:$E,'Ausgaben 2025'!N$6)</f>
        <v>0</v>
      </c>
      <c r="O250" s="6"/>
    </row>
    <row r="251" spans="2:15" x14ac:dyDescent="0.35">
      <c r="B251" s="5"/>
      <c r="C251" s="40">
        <f t="shared" si="23"/>
        <v>45880</v>
      </c>
      <c r="D251" s="46">
        <f>SUMIFS(Einzelbeträge!$D:$D,Einzelbeträge!$C:$C,'Ausgaben 2025'!$C251)</f>
        <v>0</v>
      </c>
      <c r="E251" s="21">
        <f>SUMIFS(Einzelbeträge!$D:$D,Einzelbeträge!$C:$C,'Ausgaben 2025'!$C251,Einzelbeträge!$E:$E,'Ausgaben 2025'!E$6)</f>
        <v>0</v>
      </c>
      <c r="F251" s="21">
        <f>SUMIFS(Einzelbeträge!$D:$D,Einzelbeträge!$C:$C,'Ausgaben 2025'!$C251,Einzelbeträge!$E:$E,'Ausgaben 2025'!F$6)</f>
        <v>0</v>
      </c>
      <c r="G251" s="21">
        <f>SUMIFS(Einzelbeträge!$D:$D,Einzelbeträge!$C:$C,'Ausgaben 2025'!$C251,Einzelbeträge!$E:$E,'Ausgaben 2025'!G$6)</f>
        <v>0</v>
      </c>
      <c r="H251" s="21">
        <f>SUMIFS(Einzelbeträge!$D:$D,Einzelbeträge!$C:$C,'Ausgaben 2025'!$C251,Einzelbeträge!$E:$E,'Ausgaben 2025'!H$6)</f>
        <v>0</v>
      </c>
      <c r="I251" s="21">
        <f>SUMIFS(Einzelbeträge!$D:$D,Einzelbeträge!$C:$C,'Ausgaben 2025'!$C251,Einzelbeträge!$E:$E,'Ausgaben 2025'!I$6)</f>
        <v>0</v>
      </c>
      <c r="J251" s="21">
        <f>SUMIFS(Einzelbeträge!$D:$D,Einzelbeträge!$C:$C,'Ausgaben 2025'!$C251,Einzelbeträge!$E:$E,'Ausgaben 2025'!J$6)</f>
        <v>0</v>
      </c>
      <c r="K251" s="21">
        <f>SUMIFS(Einzelbeträge!$D:$D,Einzelbeträge!$C:$C,'Ausgaben 2025'!$C251,Einzelbeträge!$E:$E,'Ausgaben 2025'!K$6)</f>
        <v>0</v>
      </c>
      <c r="L251" s="21">
        <f>SUMIFS(Einzelbeträge!$D:$D,Einzelbeträge!$C:$C,'Ausgaben 2025'!$C251,Einzelbeträge!$E:$E,'Ausgaben 2025'!L$6)</f>
        <v>0</v>
      </c>
      <c r="M251" s="21">
        <f>SUMIFS(Einzelbeträge!$D:$D,Einzelbeträge!$C:$C,'Ausgaben 2025'!$C251,Einzelbeträge!$E:$E,'Ausgaben 2025'!M$6)</f>
        <v>0</v>
      </c>
      <c r="N251" s="35">
        <f>SUMIFS(Einzelbeträge!$D:$D,Einzelbeträge!$C:$C,'Ausgaben 2025'!$C251,Einzelbeträge!$E:$E,'Ausgaben 2025'!N$6)</f>
        <v>0</v>
      </c>
      <c r="O251" s="6"/>
    </row>
    <row r="252" spans="2:15" x14ac:dyDescent="0.35">
      <c r="B252" s="5"/>
      <c r="C252" s="40">
        <f t="shared" si="23"/>
        <v>45881</v>
      </c>
      <c r="D252" s="46">
        <f>SUMIFS(Einzelbeträge!$D:$D,Einzelbeträge!$C:$C,'Ausgaben 2025'!$C252)</f>
        <v>0</v>
      </c>
      <c r="E252" s="21">
        <f>SUMIFS(Einzelbeträge!$D:$D,Einzelbeträge!$C:$C,'Ausgaben 2025'!$C252,Einzelbeträge!$E:$E,'Ausgaben 2025'!E$6)</f>
        <v>0</v>
      </c>
      <c r="F252" s="21">
        <f>SUMIFS(Einzelbeträge!$D:$D,Einzelbeträge!$C:$C,'Ausgaben 2025'!$C252,Einzelbeträge!$E:$E,'Ausgaben 2025'!F$6)</f>
        <v>0</v>
      </c>
      <c r="G252" s="21">
        <f>SUMIFS(Einzelbeträge!$D:$D,Einzelbeträge!$C:$C,'Ausgaben 2025'!$C252,Einzelbeträge!$E:$E,'Ausgaben 2025'!G$6)</f>
        <v>0</v>
      </c>
      <c r="H252" s="21">
        <f>SUMIFS(Einzelbeträge!$D:$D,Einzelbeträge!$C:$C,'Ausgaben 2025'!$C252,Einzelbeträge!$E:$E,'Ausgaben 2025'!H$6)</f>
        <v>0</v>
      </c>
      <c r="I252" s="21">
        <f>SUMIFS(Einzelbeträge!$D:$D,Einzelbeträge!$C:$C,'Ausgaben 2025'!$C252,Einzelbeträge!$E:$E,'Ausgaben 2025'!I$6)</f>
        <v>0</v>
      </c>
      <c r="J252" s="21">
        <f>SUMIFS(Einzelbeträge!$D:$D,Einzelbeträge!$C:$C,'Ausgaben 2025'!$C252,Einzelbeträge!$E:$E,'Ausgaben 2025'!J$6)</f>
        <v>0</v>
      </c>
      <c r="K252" s="21">
        <f>SUMIFS(Einzelbeträge!$D:$D,Einzelbeträge!$C:$C,'Ausgaben 2025'!$C252,Einzelbeträge!$E:$E,'Ausgaben 2025'!K$6)</f>
        <v>0</v>
      </c>
      <c r="L252" s="21">
        <f>SUMIFS(Einzelbeträge!$D:$D,Einzelbeträge!$C:$C,'Ausgaben 2025'!$C252,Einzelbeträge!$E:$E,'Ausgaben 2025'!L$6)</f>
        <v>0</v>
      </c>
      <c r="M252" s="21">
        <f>SUMIFS(Einzelbeträge!$D:$D,Einzelbeträge!$C:$C,'Ausgaben 2025'!$C252,Einzelbeträge!$E:$E,'Ausgaben 2025'!M$6)</f>
        <v>0</v>
      </c>
      <c r="N252" s="35">
        <f>SUMIFS(Einzelbeträge!$D:$D,Einzelbeträge!$C:$C,'Ausgaben 2025'!$C252,Einzelbeträge!$E:$E,'Ausgaben 2025'!N$6)</f>
        <v>0</v>
      </c>
      <c r="O252" s="6"/>
    </row>
    <row r="253" spans="2:15" x14ac:dyDescent="0.35">
      <c r="B253" s="5"/>
      <c r="C253" s="40">
        <f t="shared" si="23"/>
        <v>45882</v>
      </c>
      <c r="D253" s="46">
        <f>SUMIFS(Einzelbeträge!$D:$D,Einzelbeträge!$C:$C,'Ausgaben 2025'!$C253)</f>
        <v>0</v>
      </c>
      <c r="E253" s="21">
        <f>SUMIFS(Einzelbeträge!$D:$D,Einzelbeträge!$C:$C,'Ausgaben 2025'!$C253,Einzelbeträge!$E:$E,'Ausgaben 2025'!E$6)</f>
        <v>0</v>
      </c>
      <c r="F253" s="21">
        <f>SUMIFS(Einzelbeträge!$D:$D,Einzelbeträge!$C:$C,'Ausgaben 2025'!$C253,Einzelbeträge!$E:$E,'Ausgaben 2025'!F$6)</f>
        <v>0</v>
      </c>
      <c r="G253" s="21">
        <f>SUMIFS(Einzelbeträge!$D:$D,Einzelbeträge!$C:$C,'Ausgaben 2025'!$C253,Einzelbeträge!$E:$E,'Ausgaben 2025'!G$6)</f>
        <v>0</v>
      </c>
      <c r="H253" s="21">
        <f>SUMIFS(Einzelbeträge!$D:$D,Einzelbeträge!$C:$C,'Ausgaben 2025'!$C253,Einzelbeträge!$E:$E,'Ausgaben 2025'!H$6)</f>
        <v>0</v>
      </c>
      <c r="I253" s="21">
        <f>SUMIFS(Einzelbeträge!$D:$D,Einzelbeträge!$C:$C,'Ausgaben 2025'!$C253,Einzelbeträge!$E:$E,'Ausgaben 2025'!I$6)</f>
        <v>0</v>
      </c>
      <c r="J253" s="21">
        <f>SUMIFS(Einzelbeträge!$D:$D,Einzelbeträge!$C:$C,'Ausgaben 2025'!$C253,Einzelbeträge!$E:$E,'Ausgaben 2025'!J$6)</f>
        <v>0</v>
      </c>
      <c r="K253" s="21">
        <f>SUMIFS(Einzelbeträge!$D:$D,Einzelbeträge!$C:$C,'Ausgaben 2025'!$C253,Einzelbeträge!$E:$E,'Ausgaben 2025'!K$6)</f>
        <v>0</v>
      </c>
      <c r="L253" s="21">
        <f>SUMIFS(Einzelbeträge!$D:$D,Einzelbeträge!$C:$C,'Ausgaben 2025'!$C253,Einzelbeträge!$E:$E,'Ausgaben 2025'!L$6)</f>
        <v>0</v>
      </c>
      <c r="M253" s="21">
        <f>SUMIFS(Einzelbeträge!$D:$D,Einzelbeträge!$C:$C,'Ausgaben 2025'!$C253,Einzelbeträge!$E:$E,'Ausgaben 2025'!M$6)</f>
        <v>0</v>
      </c>
      <c r="N253" s="35">
        <f>SUMIFS(Einzelbeträge!$D:$D,Einzelbeträge!$C:$C,'Ausgaben 2025'!$C253,Einzelbeträge!$E:$E,'Ausgaben 2025'!N$6)</f>
        <v>0</v>
      </c>
      <c r="O253" s="6"/>
    </row>
    <row r="254" spans="2:15" x14ac:dyDescent="0.35">
      <c r="B254" s="5"/>
      <c r="C254" s="40">
        <f t="shared" si="23"/>
        <v>45883</v>
      </c>
      <c r="D254" s="46">
        <f>SUMIFS(Einzelbeträge!$D:$D,Einzelbeträge!$C:$C,'Ausgaben 2025'!$C254)</f>
        <v>0</v>
      </c>
      <c r="E254" s="21">
        <f>SUMIFS(Einzelbeträge!$D:$D,Einzelbeträge!$C:$C,'Ausgaben 2025'!$C254,Einzelbeträge!$E:$E,'Ausgaben 2025'!E$6)</f>
        <v>0</v>
      </c>
      <c r="F254" s="21">
        <f>SUMIFS(Einzelbeträge!$D:$D,Einzelbeträge!$C:$C,'Ausgaben 2025'!$C254,Einzelbeträge!$E:$E,'Ausgaben 2025'!F$6)</f>
        <v>0</v>
      </c>
      <c r="G254" s="21">
        <f>SUMIFS(Einzelbeträge!$D:$D,Einzelbeträge!$C:$C,'Ausgaben 2025'!$C254,Einzelbeträge!$E:$E,'Ausgaben 2025'!G$6)</f>
        <v>0</v>
      </c>
      <c r="H254" s="21">
        <f>SUMIFS(Einzelbeträge!$D:$D,Einzelbeträge!$C:$C,'Ausgaben 2025'!$C254,Einzelbeträge!$E:$E,'Ausgaben 2025'!H$6)</f>
        <v>0</v>
      </c>
      <c r="I254" s="21">
        <f>SUMIFS(Einzelbeträge!$D:$D,Einzelbeträge!$C:$C,'Ausgaben 2025'!$C254,Einzelbeträge!$E:$E,'Ausgaben 2025'!I$6)</f>
        <v>0</v>
      </c>
      <c r="J254" s="21">
        <f>SUMIFS(Einzelbeträge!$D:$D,Einzelbeträge!$C:$C,'Ausgaben 2025'!$C254,Einzelbeträge!$E:$E,'Ausgaben 2025'!J$6)</f>
        <v>0</v>
      </c>
      <c r="K254" s="21">
        <f>SUMIFS(Einzelbeträge!$D:$D,Einzelbeträge!$C:$C,'Ausgaben 2025'!$C254,Einzelbeträge!$E:$E,'Ausgaben 2025'!K$6)</f>
        <v>0</v>
      </c>
      <c r="L254" s="21">
        <f>SUMIFS(Einzelbeträge!$D:$D,Einzelbeträge!$C:$C,'Ausgaben 2025'!$C254,Einzelbeträge!$E:$E,'Ausgaben 2025'!L$6)</f>
        <v>0</v>
      </c>
      <c r="M254" s="21">
        <f>SUMIFS(Einzelbeträge!$D:$D,Einzelbeträge!$C:$C,'Ausgaben 2025'!$C254,Einzelbeträge!$E:$E,'Ausgaben 2025'!M$6)</f>
        <v>0</v>
      </c>
      <c r="N254" s="35">
        <f>SUMIFS(Einzelbeträge!$D:$D,Einzelbeträge!$C:$C,'Ausgaben 2025'!$C254,Einzelbeträge!$E:$E,'Ausgaben 2025'!N$6)</f>
        <v>0</v>
      </c>
      <c r="O254" s="6"/>
    </row>
    <row r="255" spans="2:15" x14ac:dyDescent="0.35">
      <c r="B255" s="5"/>
      <c r="C255" s="40">
        <f t="shared" si="23"/>
        <v>45884</v>
      </c>
      <c r="D255" s="46">
        <f>SUMIFS(Einzelbeträge!$D:$D,Einzelbeträge!$C:$C,'Ausgaben 2025'!$C255)</f>
        <v>0</v>
      </c>
      <c r="E255" s="21">
        <f>SUMIFS(Einzelbeträge!$D:$D,Einzelbeträge!$C:$C,'Ausgaben 2025'!$C255,Einzelbeträge!$E:$E,'Ausgaben 2025'!E$6)</f>
        <v>0</v>
      </c>
      <c r="F255" s="21">
        <f>SUMIFS(Einzelbeträge!$D:$D,Einzelbeträge!$C:$C,'Ausgaben 2025'!$C255,Einzelbeträge!$E:$E,'Ausgaben 2025'!F$6)</f>
        <v>0</v>
      </c>
      <c r="G255" s="21">
        <f>SUMIFS(Einzelbeträge!$D:$D,Einzelbeträge!$C:$C,'Ausgaben 2025'!$C255,Einzelbeträge!$E:$E,'Ausgaben 2025'!G$6)</f>
        <v>0</v>
      </c>
      <c r="H255" s="21">
        <f>SUMIFS(Einzelbeträge!$D:$D,Einzelbeträge!$C:$C,'Ausgaben 2025'!$C255,Einzelbeträge!$E:$E,'Ausgaben 2025'!H$6)</f>
        <v>0</v>
      </c>
      <c r="I255" s="21">
        <f>SUMIFS(Einzelbeträge!$D:$D,Einzelbeträge!$C:$C,'Ausgaben 2025'!$C255,Einzelbeträge!$E:$E,'Ausgaben 2025'!I$6)</f>
        <v>0</v>
      </c>
      <c r="J255" s="21">
        <f>SUMIFS(Einzelbeträge!$D:$D,Einzelbeträge!$C:$C,'Ausgaben 2025'!$C255,Einzelbeträge!$E:$E,'Ausgaben 2025'!J$6)</f>
        <v>0</v>
      </c>
      <c r="K255" s="21">
        <f>SUMIFS(Einzelbeträge!$D:$D,Einzelbeträge!$C:$C,'Ausgaben 2025'!$C255,Einzelbeträge!$E:$E,'Ausgaben 2025'!K$6)</f>
        <v>0</v>
      </c>
      <c r="L255" s="21">
        <f>SUMIFS(Einzelbeträge!$D:$D,Einzelbeträge!$C:$C,'Ausgaben 2025'!$C255,Einzelbeträge!$E:$E,'Ausgaben 2025'!L$6)</f>
        <v>0</v>
      </c>
      <c r="M255" s="21">
        <f>SUMIFS(Einzelbeträge!$D:$D,Einzelbeträge!$C:$C,'Ausgaben 2025'!$C255,Einzelbeträge!$E:$E,'Ausgaben 2025'!M$6)</f>
        <v>0</v>
      </c>
      <c r="N255" s="35">
        <f>SUMIFS(Einzelbeträge!$D:$D,Einzelbeträge!$C:$C,'Ausgaben 2025'!$C255,Einzelbeträge!$E:$E,'Ausgaben 2025'!N$6)</f>
        <v>0</v>
      </c>
      <c r="O255" s="6"/>
    </row>
    <row r="256" spans="2:15" x14ac:dyDescent="0.35">
      <c r="B256" s="5"/>
      <c r="C256" s="40">
        <f t="shared" si="23"/>
        <v>45885</v>
      </c>
      <c r="D256" s="46">
        <f>SUMIFS(Einzelbeträge!$D:$D,Einzelbeträge!$C:$C,'Ausgaben 2025'!$C256)</f>
        <v>0</v>
      </c>
      <c r="E256" s="21">
        <f>SUMIFS(Einzelbeträge!$D:$D,Einzelbeträge!$C:$C,'Ausgaben 2025'!$C256,Einzelbeträge!$E:$E,'Ausgaben 2025'!E$6)</f>
        <v>0</v>
      </c>
      <c r="F256" s="21">
        <f>SUMIFS(Einzelbeträge!$D:$D,Einzelbeträge!$C:$C,'Ausgaben 2025'!$C256,Einzelbeträge!$E:$E,'Ausgaben 2025'!F$6)</f>
        <v>0</v>
      </c>
      <c r="G256" s="21">
        <f>SUMIFS(Einzelbeträge!$D:$D,Einzelbeträge!$C:$C,'Ausgaben 2025'!$C256,Einzelbeträge!$E:$E,'Ausgaben 2025'!G$6)</f>
        <v>0</v>
      </c>
      <c r="H256" s="21">
        <f>SUMIFS(Einzelbeträge!$D:$D,Einzelbeträge!$C:$C,'Ausgaben 2025'!$C256,Einzelbeträge!$E:$E,'Ausgaben 2025'!H$6)</f>
        <v>0</v>
      </c>
      <c r="I256" s="21">
        <f>SUMIFS(Einzelbeträge!$D:$D,Einzelbeträge!$C:$C,'Ausgaben 2025'!$C256,Einzelbeträge!$E:$E,'Ausgaben 2025'!I$6)</f>
        <v>0</v>
      </c>
      <c r="J256" s="21">
        <f>SUMIFS(Einzelbeträge!$D:$D,Einzelbeträge!$C:$C,'Ausgaben 2025'!$C256,Einzelbeträge!$E:$E,'Ausgaben 2025'!J$6)</f>
        <v>0</v>
      </c>
      <c r="K256" s="21">
        <f>SUMIFS(Einzelbeträge!$D:$D,Einzelbeträge!$C:$C,'Ausgaben 2025'!$C256,Einzelbeträge!$E:$E,'Ausgaben 2025'!K$6)</f>
        <v>0</v>
      </c>
      <c r="L256" s="21">
        <f>SUMIFS(Einzelbeträge!$D:$D,Einzelbeträge!$C:$C,'Ausgaben 2025'!$C256,Einzelbeträge!$E:$E,'Ausgaben 2025'!L$6)</f>
        <v>0</v>
      </c>
      <c r="M256" s="21">
        <f>SUMIFS(Einzelbeträge!$D:$D,Einzelbeträge!$C:$C,'Ausgaben 2025'!$C256,Einzelbeträge!$E:$E,'Ausgaben 2025'!M$6)</f>
        <v>0</v>
      </c>
      <c r="N256" s="35">
        <f>SUMIFS(Einzelbeträge!$D:$D,Einzelbeträge!$C:$C,'Ausgaben 2025'!$C256,Einzelbeträge!$E:$E,'Ausgaben 2025'!N$6)</f>
        <v>0</v>
      </c>
      <c r="O256" s="6"/>
    </row>
    <row r="257" spans="2:15" x14ac:dyDescent="0.35">
      <c r="B257" s="5"/>
      <c r="C257" s="40">
        <f t="shared" si="23"/>
        <v>45886</v>
      </c>
      <c r="D257" s="46">
        <f>SUMIFS(Einzelbeträge!$D:$D,Einzelbeträge!$C:$C,'Ausgaben 2025'!$C257)</f>
        <v>0</v>
      </c>
      <c r="E257" s="21">
        <f>SUMIFS(Einzelbeträge!$D:$D,Einzelbeträge!$C:$C,'Ausgaben 2025'!$C257,Einzelbeträge!$E:$E,'Ausgaben 2025'!E$6)</f>
        <v>0</v>
      </c>
      <c r="F257" s="21">
        <f>SUMIFS(Einzelbeträge!$D:$D,Einzelbeträge!$C:$C,'Ausgaben 2025'!$C257,Einzelbeträge!$E:$E,'Ausgaben 2025'!F$6)</f>
        <v>0</v>
      </c>
      <c r="G257" s="21">
        <f>SUMIFS(Einzelbeträge!$D:$D,Einzelbeträge!$C:$C,'Ausgaben 2025'!$C257,Einzelbeträge!$E:$E,'Ausgaben 2025'!G$6)</f>
        <v>0</v>
      </c>
      <c r="H257" s="21">
        <f>SUMIFS(Einzelbeträge!$D:$D,Einzelbeträge!$C:$C,'Ausgaben 2025'!$C257,Einzelbeträge!$E:$E,'Ausgaben 2025'!H$6)</f>
        <v>0</v>
      </c>
      <c r="I257" s="21">
        <f>SUMIFS(Einzelbeträge!$D:$D,Einzelbeträge!$C:$C,'Ausgaben 2025'!$C257,Einzelbeträge!$E:$E,'Ausgaben 2025'!I$6)</f>
        <v>0</v>
      </c>
      <c r="J257" s="21">
        <f>SUMIFS(Einzelbeträge!$D:$D,Einzelbeträge!$C:$C,'Ausgaben 2025'!$C257,Einzelbeträge!$E:$E,'Ausgaben 2025'!J$6)</f>
        <v>0</v>
      </c>
      <c r="K257" s="21">
        <f>SUMIFS(Einzelbeträge!$D:$D,Einzelbeträge!$C:$C,'Ausgaben 2025'!$C257,Einzelbeträge!$E:$E,'Ausgaben 2025'!K$6)</f>
        <v>0</v>
      </c>
      <c r="L257" s="21">
        <f>SUMIFS(Einzelbeträge!$D:$D,Einzelbeträge!$C:$C,'Ausgaben 2025'!$C257,Einzelbeträge!$E:$E,'Ausgaben 2025'!L$6)</f>
        <v>0</v>
      </c>
      <c r="M257" s="21">
        <f>SUMIFS(Einzelbeträge!$D:$D,Einzelbeträge!$C:$C,'Ausgaben 2025'!$C257,Einzelbeträge!$E:$E,'Ausgaben 2025'!M$6)</f>
        <v>0</v>
      </c>
      <c r="N257" s="35">
        <f>SUMIFS(Einzelbeträge!$D:$D,Einzelbeträge!$C:$C,'Ausgaben 2025'!$C257,Einzelbeträge!$E:$E,'Ausgaben 2025'!N$6)</f>
        <v>0</v>
      </c>
      <c r="O257" s="6"/>
    </row>
    <row r="258" spans="2:15" x14ac:dyDescent="0.35">
      <c r="B258" s="5"/>
      <c r="C258" s="40">
        <f t="shared" si="23"/>
        <v>45887</v>
      </c>
      <c r="D258" s="46">
        <f>SUMIFS(Einzelbeträge!$D:$D,Einzelbeträge!$C:$C,'Ausgaben 2025'!$C258)</f>
        <v>0</v>
      </c>
      <c r="E258" s="21">
        <f>SUMIFS(Einzelbeträge!$D:$D,Einzelbeträge!$C:$C,'Ausgaben 2025'!$C258,Einzelbeträge!$E:$E,'Ausgaben 2025'!E$6)</f>
        <v>0</v>
      </c>
      <c r="F258" s="21">
        <f>SUMIFS(Einzelbeträge!$D:$D,Einzelbeträge!$C:$C,'Ausgaben 2025'!$C258,Einzelbeträge!$E:$E,'Ausgaben 2025'!F$6)</f>
        <v>0</v>
      </c>
      <c r="G258" s="21">
        <f>SUMIFS(Einzelbeträge!$D:$D,Einzelbeträge!$C:$C,'Ausgaben 2025'!$C258,Einzelbeträge!$E:$E,'Ausgaben 2025'!G$6)</f>
        <v>0</v>
      </c>
      <c r="H258" s="21">
        <f>SUMIFS(Einzelbeträge!$D:$D,Einzelbeträge!$C:$C,'Ausgaben 2025'!$C258,Einzelbeträge!$E:$E,'Ausgaben 2025'!H$6)</f>
        <v>0</v>
      </c>
      <c r="I258" s="21">
        <f>SUMIFS(Einzelbeträge!$D:$D,Einzelbeträge!$C:$C,'Ausgaben 2025'!$C258,Einzelbeträge!$E:$E,'Ausgaben 2025'!I$6)</f>
        <v>0</v>
      </c>
      <c r="J258" s="21">
        <f>SUMIFS(Einzelbeträge!$D:$D,Einzelbeträge!$C:$C,'Ausgaben 2025'!$C258,Einzelbeträge!$E:$E,'Ausgaben 2025'!J$6)</f>
        <v>0</v>
      </c>
      <c r="K258" s="21">
        <f>SUMIFS(Einzelbeträge!$D:$D,Einzelbeträge!$C:$C,'Ausgaben 2025'!$C258,Einzelbeträge!$E:$E,'Ausgaben 2025'!K$6)</f>
        <v>0</v>
      </c>
      <c r="L258" s="21">
        <f>SUMIFS(Einzelbeträge!$D:$D,Einzelbeträge!$C:$C,'Ausgaben 2025'!$C258,Einzelbeträge!$E:$E,'Ausgaben 2025'!L$6)</f>
        <v>0</v>
      </c>
      <c r="M258" s="21">
        <f>SUMIFS(Einzelbeträge!$D:$D,Einzelbeträge!$C:$C,'Ausgaben 2025'!$C258,Einzelbeträge!$E:$E,'Ausgaben 2025'!M$6)</f>
        <v>0</v>
      </c>
      <c r="N258" s="35">
        <f>SUMIFS(Einzelbeträge!$D:$D,Einzelbeträge!$C:$C,'Ausgaben 2025'!$C258,Einzelbeträge!$E:$E,'Ausgaben 2025'!N$6)</f>
        <v>0</v>
      </c>
      <c r="O258" s="6"/>
    </row>
    <row r="259" spans="2:15" x14ac:dyDescent="0.35">
      <c r="B259" s="5"/>
      <c r="C259" s="40">
        <f t="shared" si="23"/>
        <v>45888</v>
      </c>
      <c r="D259" s="46">
        <f>SUMIFS(Einzelbeträge!$D:$D,Einzelbeträge!$C:$C,'Ausgaben 2025'!$C259)</f>
        <v>0</v>
      </c>
      <c r="E259" s="21">
        <f>SUMIFS(Einzelbeträge!$D:$D,Einzelbeträge!$C:$C,'Ausgaben 2025'!$C259,Einzelbeträge!$E:$E,'Ausgaben 2025'!E$6)</f>
        <v>0</v>
      </c>
      <c r="F259" s="21">
        <f>SUMIFS(Einzelbeträge!$D:$D,Einzelbeträge!$C:$C,'Ausgaben 2025'!$C259,Einzelbeträge!$E:$E,'Ausgaben 2025'!F$6)</f>
        <v>0</v>
      </c>
      <c r="G259" s="21">
        <f>SUMIFS(Einzelbeträge!$D:$D,Einzelbeträge!$C:$C,'Ausgaben 2025'!$C259,Einzelbeträge!$E:$E,'Ausgaben 2025'!G$6)</f>
        <v>0</v>
      </c>
      <c r="H259" s="21">
        <f>SUMIFS(Einzelbeträge!$D:$D,Einzelbeträge!$C:$C,'Ausgaben 2025'!$C259,Einzelbeträge!$E:$E,'Ausgaben 2025'!H$6)</f>
        <v>0</v>
      </c>
      <c r="I259" s="21">
        <f>SUMIFS(Einzelbeträge!$D:$D,Einzelbeträge!$C:$C,'Ausgaben 2025'!$C259,Einzelbeträge!$E:$E,'Ausgaben 2025'!I$6)</f>
        <v>0</v>
      </c>
      <c r="J259" s="21">
        <f>SUMIFS(Einzelbeträge!$D:$D,Einzelbeträge!$C:$C,'Ausgaben 2025'!$C259,Einzelbeträge!$E:$E,'Ausgaben 2025'!J$6)</f>
        <v>0</v>
      </c>
      <c r="K259" s="21">
        <f>SUMIFS(Einzelbeträge!$D:$D,Einzelbeträge!$C:$C,'Ausgaben 2025'!$C259,Einzelbeträge!$E:$E,'Ausgaben 2025'!K$6)</f>
        <v>0</v>
      </c>
      <c r="L259" s="21">
        <f>SUMIFS(Einzelbeträge!$D:$D,Einzelbeträge!$C:$C,'Ausgaben 2025'!$C259,Einzelbeträge!$E:$E,'Ausgaben 2025'!L$6)</f>
        <v>0</v>
      </c>
      <c r="M259" s="21">
        <f>SUMIFS(Einzelbeträge!$D:$D,Einzelbeträge!$C:$C,'Ausgaben 2025'!$C259,Einzelbeträge!$E:$E,'Ausgaben 2025'!M$6)</f>
        <v>0</v>
      </c>
      <c r="N259" s="35">
        <f>SUMIFS(Einzelbeträge!$D:$D,Einzelbeträge!$C:$C,'Ausgaben 2025'!$C259,Einzelbeträge!$E:$E,'Ausgaben 2025'!N$6)</f>
        <v>0</v>
      </c>
      <c r="O259" s="6"/>
    </row>
    <row r="260" spans="2:15" x14ac:dyDescent="0.35">
      <c r="B260" s="5"/>
      <c r="C260" s="40">
        <f t="shared" si="23"/>
        <v>45889</v>
      </c>
      <c r="D260" s="46">
        <f>SUMIFS(Einzelbeträge!$D:$D,Einzelbeträge!$C:$C,'Ausgaben 2025'!$C260)</f>
        <v>0</v>
      </c>
      <c r="E260" s="21">
        <f>SUMIFS(Einzelbeträge!$D:$D,Einzelbeträge!$C:$C,'Ausgaben 2025'!$C260,Einzelbeträge!$E:$E,'Ausgaben 2025'!E$6)</f>
        <v>0</v>
      </c>
      <c r="F260" s="21">
        <f>SUMIFS(Einzelbeträge!$D:$D,Einzelbeträge!$C:$C,'Ausgaben 2025'!$C260,Einzelbeträge!$E:$E,'Ausgaben 2025'!F$6)</f>
        <v>0</v>
      </c>
      <c r="G260" s="21">
        <f>SUMIFS(Einzelbeträge!$D:$D,Einzelbeträge!$C:$C,'Ausgaben 2025'!$C260,Einzelbeträge!$E:$E,'Ausgaben 2025'!G$6)</f>
        <v>0</v>
      </c>
      <c r="H260" s="21">
        <f>SUMIFS(Einzelbeträge!$D:$D,Einzelbeträge!$C:$C,'Ausgaben 2025'!$C260,Einzelbeträge!$E:$E,'Ausgaben 2025'!H$6)</f>
        <v>0</v>
      </c>
      <c r="I260" s="21">
        <f>SUMIFS(Einzelbeträge!$D:$D,Einzelbeträge!$C:$C,'Ausgaben 2025'!$C260,Einzelbeträge!$E:$E,'Ausgaben 2025'!I$6)</f>
        <v>0</v>
      </c>
      <c r="J260" s="21">
        <f>SUMIFS(Einzelbeträge!$D:$D,Einzelbeträge!$C:$C,'Ausgaben 2025'!$C260,Einzelbeträge!$E:$E,'Ausgaben 2025'!J$6)</f>
        <v>0</v>
      </c>
      <c r="K260" s="21">
        <f>SUMIFS(Einzelbeträge!$D:$D,Einzelbeträge!$C:$C,'Ausgaben 2025'!$C260,Einzelbeträge!$E:$E,'Ausgaben 2025'!K$6)</f>
        <v>0</v>
      </c>
      <c r="L260" s="21">
        <f>SUMIFS(Einzelbeträge!$D:$D,Einzelbeträge!$C:$C,'Ausgaben 2025'!$C260,Einzelbeträge!$E:$E,'Ausgaben 2025'!L$6)</f>
        <v>0</v>
      </c>
      <c r="M260" s="21">
        <f>SUMIFS(Einzelbeträge!$D:$D,Einzelbeträge!$C:$C,'Ausgaben 2025'!$C260,Einzelbeträge!$E:$E,'Ausgaben 2025'!M$6)</f>
        <v>0</v>
      </c>
      <c r="N260" s="35">
        <f>SUMIFS(Einzelbeträge!$D:$D,Einzelbeträge!$C:$C,'Ausgaben 2025'!$C260,Einzelbeträge!$E:$E,'Ausgaben 2025'!N$6)</f>
        <v>0</v>
      </c>
      <c r="O260" s="6"/>
    </row>
    <row r="261" spans="2:15" x14ac:dyDescent="0.35">
      <c r="B261" s="5"/>
      <c r="C261" s="40">
        <f t="shared" si="23"/>
        <v>45890</v>
      </c>
      <c r="D261" s="46">
        <f>SUMIFS(Einzelbeträge!$D:$D,Einzelbeträge!$C:$C,'Ausgaben 2025'!$C261)</f>
        <v>0</v>
      </c>
      <c r="E261" s="21">
        <f>SUMIFS(Einzelbeträge!$D:$D,Einzelbeträge!$C:$C,'Ausgaben 2025'!$C261,Einzelbeträge!$E:$E,'Ausgaben 2025'!E$6)</f>
        <v>0</v>
      </c>
      <c r="F261" s="21">
        <f>SUMIFS(Einzelbeträge!$D:$D,Einzelbeträge!$C:$C,'Ausgaben 2025'!$C261,Einzelbeträge!$E:$E,'Ausgaben 2025'!F$6)</f>
        <v>0</v>
      </c>
      <c r="G261" s="21">
        <f>SUMIFS(Einzelbeträge!$D:$D,Einzelbeträge!$C:$C,'Ausgaben 2025'!$C261,Einzelbeträge!$E:$E,'Ausgaben 2025'!G$6)</f>
        <v>0</v>
      </c>
      <c r="H261" s="21">
        <f>SUMIFS(Einzelbeträge!$D:$D,Einzelbeträge!$C:$C,'Ausgaben 2025'!$C261,Einzelbeträge!$E:$E,'Ausgaben 2025'!H$6)</f>
        <v>0</v>
      </c>
      <c r="I261" s="21">
        <f>SUMIFS(Einzelbeträge!$D:$D,Einzelbeträge!$C:$C,'Ausgaben 2025'!$C261,Einzelbeträge!$E:$E,'Ausgaben 2025'!I$6)</f>
        <v>0</v>
      </c>
      <c r="J261" s="21">
        <f>SUMIFS(Einzelbeträge!$D:$D,Einzelbeträge!$C:$C,'Ausgaben 2025'!$C261,Einzelbeträge!$E:$E,'Ausgaben 2025'!J$6)</f>
        <v>0</v>
      </c>
      <c r="K261" s="21">
        <f>SUMIFS(Einzelbeträge!$D:$D,Einzelbeträge!$C:$C,'Ausgaben 2025'!$C261,Einzelbeträge!$E:$E,'Ausgaben 2025'!K$6)</f>
        <v>0</v>
      </c>
      <c r="L261" s="21">
        <f>SUMIFS(Einzelbeträge!$D:$D,Einzelbeträge!$C:$C,'Ausgaben 2025'!$C261,Einzelbeträge!$E:$E,'Ausgaben 2025'!L$6)</f>
        <v>0</v>
      </c>
      <c r="M261" s="21">
        <f>SUMIFS(Einzelbeträge!$D:$D,Einzelbeträge!$C:$C,'Ausgaben 2025'!$C261,Einzelbeträge!$E:$E,'Ausgaben 2025'!M$6)</f>
        <v>0</v>
      </c>
      <c r="N261" s="35">
        <f>SUMIFS(Einzelbeträge!$D:$D,Einzelbeträge!$C:$C,'Ausgaben 2025'!$C261,Einzelbeträge!$E:$E,'Ausgaben 2025'!N$6)</f>
        <v>0</v>
      </c>
      <c r="O261" s="6"/>
    </row>
    <row r="262" spans="2:15" x14ac:dyDescent="0.35">
      <c r="B262" s="5"/>
      <c r="C262" s="40">
        <f t="shared" si="23"/>
        <v>45891</v>
      </c>
      <c r="D262" s="46">
        <f>SUMIFS(Einzelbeträge!$D:$D,Einzelbeträge!$C:$C,'Ausgaben 2025'!$C262)</f>
        <v>0</v>
      </c>
      <c r="E262" s="21">
        <f>SUMIFS(Einzelbeträge!$D:$D,Einzelbeträge!$C:$C,'Ausgaben 2025'!$C262,Einzelbeträge!$E:$E,'Ausgaben 2025'!E$6)</f>
        <v>0</v>
      </c>
      <c r="F262" s="21">
        <f>SUMIFS(Einzelbeträge!$D:$D,Einzelbeträge!$C:$C,'Ausgaben 2025'!$C262,Einzelbeträge!$E:$E,'Ausgaben 2025'!F$6)</f>
        <v>0</v>
      </c>
      <c r="G262" s="21">
        <f>SUMIFS(Einzelbeträge!$D:$D,Einzelbeträge!$C:$C,'Ausgaben 2025'!$C262,Einzelbeträge!$E:$E,'Ausgaben 2025'!G$6)</f>
        <v>0</v>
      </c>
      <c r="H262" s="21">
        <f>SUMIFS(Einzelbeträge!$D:$D,Einzelbeträge!$C:$C,'Ausgaben 2025'!$C262,Einzelbeträge!$E:$E,'Ausgaben 2025'!H$6)</f>
        <v>0</v>
      </c>
      <c r="I262" s="21">
        <f>SUMIFS(Einzelbeträge!$D:$D,Einzelbeträge!$C:$C,'Ausgaben 2025'!$C262,Einzelbeträge!$E:$E,'Ausgaben 2025'!I$6)</f>
        <v>0</v>
      </c>
      <c r="J262" s="21">
        <f>SUMIFS(Einzelbeträge!$D:$D,Einzelbeträge!$C:$C,'Ausgaben 2025'!$C262,Einzelbeträge!$E:$E,'Ausgaben 2025'!J$6)</f>
        <v>0</v>
      </c>
      <c r="K262" s="21">
        <f>SUMIFS(Einzelbeträge!$D:$D,Einzelbeträge!$C:$C,'Ausgaben 2025'!$C262,Einzelbeträge!$E:$E,'Ausgaben 2025'!K$6)</f>
        <v>0</v>
      </c>
      <c r="L262" s="21">
        <f>SUMIFS(Einzelbeträge!$D:$D,Einzelbeträge!$C:$C,'Ausgaben 2025'!$C262,Einzelbeträge!$E:$E,'Ausgaben 2025'!L$6)</f>
        <v>0</v>
      </c>
      <c r="M262" s="21">
        <f>SUMIFS(Einzelbeträge!$D:$D,Einzelbeträge!$C:$C,'Ausgaben 2025'!$C262,Einzelbeträge!$E:$E,'Ausgaben 2025'!M$6)</f>
        <v>0</v>
      </c>
      <c r="N262" s="35">
        <f>SUMIFS(Einzelbeträge!$D:$D,Einzelbeträge!$C:$C,'Ausgaben 2025'!$C262,Einzelbeträge!$E:$E,'Ausgaben 2025'!N$6)</f>
        <v>0</v>
      </c>
      <c r="O262" s="6"/>
    </row>
    <row r="263" spans="2:15" x14ac:dyDescent="0.35">
      <c r="B263" s="5"/>
      <c r="C263" s="40">
        <f t="shared" si="23"/>
        <v>45892</v>
      </c>
      <c r="D263" s="46">
        <f>SUMIFS(Einzelbeträge!$D:$D,Einzelbeträge!$C:$C,'Ausgaben 2025'!$C263)</f>
        <v>0</v>
      </c>
      <c r="E263" s="21">
        <f>SUMIFS(Einzelbeträge!$D:$D,Einzelbeträge!$C:$C,'Ausgaben 2025'!$C263,Einzelbeträge!$E:$E,'Ausgaben 2025'!E$6)</f>
        <v>0</v>
      </c>
      <c r="F263" s="21">
        <f>SUMIFS(Einzelbeträge!$D:$D,Einzelbeträge!$C:$C,'Ausgaben 2025'!$C263,Einzelbeträge!$E:$E,'Ausgaben 2025'!F$6)</f>
        <v>0</v>
      </c>
      <c r="G263" s="21">
        <f>SUMIFS(Einzelbeträge!$D:$D,Einzelbeträge!$C:$C,'Ausgaben 2025'!$C263,Einzelbeträge!$E:$E,'Ausgaben 2025'!G$6)</f>
        <v>0</v>
      </c>
      <c r="H263" s="21">
        <f>SUMIFS(Einzelbeträge!$D:$D,Einzelbeträge!$C:$C,'Ausgaben 2025'!$C263,Einzelbeträge!$E:$E,'Ausgaben 2025'!H$6)</f>
        <v>0</v>
      </c>
      <c r="I263" s="21">
        <f>SUMIFS(Einzelbeträge!$D:$D,Einzelbeträge!$C:$C,'Ausgaben 2025'!$C263,Einzelbeträge!$E:$E,'Ausgaben 2025'!I$6)</f>
        <v>0</v>
      </c>
      <c r="J263" s="21">
        <f>SUMIFS(Einzelbeträge!$D:$D,Einzelbeträge!$C:$C,'Ausgaben 2025'!$C263,Einzelbeträge!$E:$E,'Ausgaben 2025'!J$6)</f>
        <v>0</v>
      </c>
      <c r="K263" s="21">
        <f>SUMIFS(Einzelbeträge!$D:$D,Einzelbeträge!$C:$C,'Ausgaben 2025'!$C263,Einzelbeträge!$E:$E,'Ausgaben 2025'!K$6)</f>
        <v>0</v>
      </c>
      <c r="L263" s="21">
        <f>SUMIFS(Einzelbeträge!$D:$D,Einzelbeträge!$C:$C,'Ausgaben 2025'!$C263,Einzelbeträge!$E:$E,'Ausgaben 2025'!L$6)</f>
        <v>0</v>
      </c>
      <c r="M263" s="21">
        <f>SUMIFS(Einzelbeträge!$D:$D,Einzelbeträge!$C:$C,'Ausgaben 2025'!$C263,Einzelbeträge!$E:$E,'Ausgaben 2025'!M$6)</f>
        <v>0</v>
      </c>
      <c r="N263" s="35">
        <f>SUMIFS(Einzelbeträge!$D:$D,Einzelbeträge!$C:$C,'Ausgaben 2025'!$C263,Einzelbeträge!$E:$E,'Ausgaben 2025'!N$6)</f>
        <v>0</v>
      </c>
      <c r="O263" s="6"/>
    </row>
    <row r="264" spans="2:15" x14ac:dyDescent="0.35">
      <c r="B264" s="5"/>
      <c r="C264" s="40">
        <f t="shared" si="23"/>
        <v>45893</v>
      </c>
      <c r="D264" s="46">
        <f>SUMIFS(Einzelbeträge!$D:$D,Einzelbeträge!$C:$C,'Ausgaben 2025'!$C264)</f>
        <v>0</v>
      </c>
      <c r="E264" s="21">
        <f>SUMIFS(Einzelbeträge!$D:$D,Einzelbeträge!$C:$C,'Ausgaben 2025'!$C264,Einzelbeträge!$E:$E,'Ausgaben 2025'!E$6)</f>
        <v>0</v>
      </c>
      <c r="F264" s="21">
        <f>SUMIFS(Einzelbeträge!$D:$D,Einzelbeträge!$C:$C,'Ausgaben 2025'!$C264,Einzelbeträge!$E:$E,'Ausgaben 2025'!F$6)</f>
        <v>0</v>
      </c>
      <c r="G264" s="21">
        <f>SUMIFS(Einzelbeträge!$D:$D,Einzelbeträge!$C:$C,'Ausgaben 2025'!$C264,Einzelbeträge!$E:$E,'Ausgaben 2025'!G$6)</f>
        <v>0</v>
      </c>
      <c r="H264" s="21">
        <f>SUMIFS(Einzelbeträge!$D:$D,Einzelbeträge!$C:$C,'Ausgaben 2025'!$C264,Einzelbeträge!$E:$E,'Ausgaben 2025'!H$6)</f>
        <v>0</v>
      </c>
      <c r="I264" s="21">
        <f>SUMIFS(Einzelbeträge!$D:$D,Einzelbeträge!$C:$C,'Ausgaben 2025'!$C264,Einzelbeträge!$E:$E,'Ausgaben 2025'!I$6)</f>
        <v>0</v>
      </c>
      <c r="J264" s="21">
        <f>SUMIFS(Einzelbeträge!$D:$D,Einzelbeträge!$C:$C,'Ausgaben 2025'!$C264,Einzelbeträge!$E:$E,'Ausgaben 2025'!J$6)</f>
        <v>0</v>
      </c>
      <c r="K264" s="21">
        <f>SUMIFS(Einzelbeträge!$D:$D,Einzelbeträge!$C:$C,'Ausgaben 2025'!$C264,Einzelbeträge!$E:$E,'Ausgaben 2025'!K$6)</f>
        <v>0</v>
      </c>
      <c r="L264" s="21">
        <f>SUMIFS(Einzelbeträge!$D:$D,Einzelbeträge!$C:$C,'Ausgaben 2025'!$C264,Einzelbeträge!$E:$E,'Ausgaben 2025'!L$6)</f>
        <v>0</v>
      </c>
      <c r="M264" s="21">
        <f>SUMIFS(Einzelbeträge!$D:$D,Einzelbeträge!$C:$C,'Ausgaben 2025'!$C264,Einzelbeträge!$E:$E,'Ausgaben 2025'!M$6)</f>
        <v>0</v>
      </c>
      <c r="N264" s="35">
        <f>SUMIFS(Einzelbeträge!$D:$D,Einzelbeträge!$C:$C,'Ausgaben 2025'!$C264,Einzelbeträge!$E:$E,'Ausgaben 2025'!N$6)</f>
        <v>0</v>
      </c>
      <c r="O264" s="6"/>
    </row>
    <row r="265" spans="2:15" x14ac:dyDescent="0.35">
      <c r="B265" s="5"/>
      <c r="C265" s="40">
        <f t="shared" si="23"/>
        <v>45894</v>
      </c>
      <c r="D265" s="46">
        <f>SUMIFS(Einzelbeträge!$D:$D,Einzelbeträge!$C:$C,'Ausgaben 2025'!$C265)</f>
        <v>0</v>
      </c>
      <c r="E265" s="21">
        <f>SUMIFS(Einzelbeträge!$D:$D,Einzelbeträge!$C:$C,'Ausgaben 2025'!$C265,Einzelbeträge!$E:$E,'Ausgaben 2025'!E$6)</f>
        <v>0</v>
      </c>
      <c r="F265" s="21">
        <f>SUMIFS(Einzelbeträge!$D:$D,Einzelbeträge!$C:$C,'Ausgaben 2025'!$C265,Einzelbeträge!$E:$E,'Ausgaben 2025'!F$6)</f>
        <v>0</v>
      </c>
      <c r="G265" s="21">
        <f>SUMIFS(Einzelbeträge!$D:$D,Einzelbeträge!$C:$C,'Ausgaben 2025'!$C265,Einzelbeträge!$E:$E,'Ausgaben 2025'!G$6)</f>
        <v>0</v>
      </c>
      <c r="H265" s="21">
        <f>SUMIFS(Einzelbeträge!$D:$D,Einzelbeträge!$C:$C,'Ausgaben 2025'!$C265,Einzelbeträge!$E:$E,'Ausgaben 2025'!H$6)</f>
        <v>0</v>
      </c>
      <c r="I265" s="21">
        <f>SUMIFS(Einzelbeträge!$D:$D,Einzelbeträge!$C:$C,'Ausgaben 2025'!$C265,Einzelbeträge!$E:$E,'Ausgaben 2025'!I$6)</f>
        <v>0</v>
      </c>
      <c r="J265" s="21">
        <f>SUMIFS(Einzelbeträge!$D:$D,Einzelbeträge!$C:$C,'Ausgaben 2025'!$C265,Einzelbeträge!$E:$E,'Ausgaben 2025'!J$6)</f>
        <v>0</v>
      </c>
      <c r="K265" s="21">
        <f>SUMIFS(Einzelbeträge!$D:$D,Einzelbeträge!$C:$C,'Ausgaben 2025'!$C265,Einzelbeträge!$E:$E,'Ausgaben 2025'!K$6)</f>
        <v>0</v>
      </c>
      <c r="L265" s="21">
        <f>SUMIFS(Einzelbeträge!$D:$D,Einzelbeträge!$C:$C,'Ausgaben 2025'!$C265,Einzelbeträge!$E:$E,'Ausgaben 2025'!L$6)</f>
        <v>0</v>
      </c>
      <c r="M265" s="21">
        <f>SUMIFS(Einzelbeträge!$D:$D,Einzelbeträge!$C:$C,'Ausgaben 2025'!$C265,Einzelbeträge!$E:$E,'Ausgaben 2025'!M$6)</f>
        <v>0</v>
      </c>
      <c r="N265" s="35">
        <f>SUMIFS(Einzelbeträge!$D:$D,Einzelbeträge!$C:$C,'Ausgaben 2025'!$C265,Einzelbeträge!$E:$E,'Ausgaben 2025'!N$6)</f>
        <v>0</v>
      </c>
      <c r="O265" s="6"/>
    </row>
    <row r="266" spans="2:15" x14ac:dyDescent="0.35">
      <c r="B266" s="5"/>
      <c r="C266" s="40">
        <f t="shared" si="23"/>
        <v>45895</v>
      </c>
      <c r="D266" s="46">
        <f>SUMIFS(Einzelbeträge!$D:$D,Einzelbeträge!$C:$C,'Ausgaben 2025'!$C266)</f>
        <v>0</v>
      </c>
      <c r="E266" s="21">
        <f>SUMIFS(Einzelbeträge!$D:$D,Einzelbeträge!$C:$C,'Ausgaben 2025'!$C266,Einzelbeträge!$E:$E,'Ausgaben 2025'!E$6)</f>
        <v>0</v>
      </c>
      <c r="F266" s="21">
        <f>SUMIFS(Einzelbeträge!$D:$D,Einzelbeträge!$C:$C,'Ausgaben 2025'!$C266,Einzelbeträge!$E:$E,'Ausgaben 2025'!F$6)</f>
        <v>0</v>
      </c>
      <c r="G266" s="21">
        <f>SUMIFS(Einzelbeträge!$D:$D,Einzelbeträge!$C:$C,'Ausgaben 2025'!$C266,Einzelbeträge!$E:$E,'Ausgaben 2025'!G$6)</f>
        <v>0</v>
      </c>
      <c r="H266" s="21">
        <f>SUMIFS(Einzelbeträge!$D:$D,Einzelbeträge!$C:$C,'Ausgaben 2025'!$C266,Einzelbeträge!$E:$E,'Ausgaben 2025'!H$6)</f>
        <v>0</v>
      </c>
      <c r="I266" s="21">
        <f>SUMIFS(Einzelbeträge!$D:$D,Einzelbeträge!$C:$C,'Ausgaben 2025'!$C266,Einzelbeträge!$E:$E,'Ausgaben 2025'!I$6)</f>
        <v>0</v>
      </c>
      <c r="J266" s="21">
        <f>SUMIFS(Einzelbeträge!$D:$D,Einzelbeträge!$C:$C,'Ausgaben 2025'!$C266,Einzelbeträge!$E:$E,'Ausgaben 2025'!J$6)</f>
        <v>0</v>
      </c>
      <c r="K266" s="21">
        <f>SUMIFS(Einzelbeträge!$D:$D,Einzelbeträge!$C:$C,'Ausgaben 2025'!$C266,Einzelbeträge!$E:$E,'Ausgaben 2025'!K$6)</f>
        <v>0</v>
      </c>
      <c r="L266" s="21">
        <f>SUMIFS(Einzelbeträge!$D:$D,Einzelbeträge!$C:$C,'Ausgaben 2025'!$C266,Einzelbeträge!$E:$E,'Ausgaben 2025'!L$6)</f>
        <v>0</v>
      </c>
      <c r="M266" s="21">
        <f>SUMIFS(Einzelbeträge!$D:$D,Einzelbeträge!$C:$C,'Ausgaben 2025'!$C266,Einzelbeträge!$E:$E,'Ausgaben 2025'!M$6)</f>
        <v>0</v>
      </c>
      <c r="N266" s="35">
        <f>SUMIFS(Einzelbeträge!$D:$D,Einzelbeträge!$C:$C,'Ausgaben 2025'!$C266,Einzelbeträge!$E:$E,'Ausgaben 2025'!N$6)</f>
        <v>0</v>
      </c>
      <c r="O266" s="6"/>
    </row>
    <row r="267" spans="2:15" x14ac:dyDescent="0.35">
      <c r="B267" s="5"/>
      <c r="C267" s="40">
        <f t="shared" si="23"/>
        <v>45896</v>
      </c>
      <c r="D267" s="46">
        <f>SUMIFS(Einzelbeträge!$D:$D,Einzelbeträge!$C:$C,'Ausgaben 2025'!$C267)</f>
        <v>0</v>
      </c>
      <c r="E267" s="21">
        <f>SUMIFS(Einzelbeträge!$D:$D,Einzelbeträge!$C:$C,'Ausgaben 2025'!$C267,Einzelbeträge!$E:$E,'Ausgaben 2025'!E$6)</f>
        <v>0</v>
      </c>
      <c r="F267" s="21">
        <f>SUMIFS(Einzelbeträge!$D:$D,Einzelbeträge!$C:$C,'Ausgaben 2025'!$C267,Einzelbeträge!$E:$E,'Ausgaben 2025'!F$6)</f>
        <v>0</v>
      </c>
      <c r="G267" s="21">
        <f>SUMIFS(Einzelbeträge!$D:$D,Einzelbeträge!$C:$C,'Ausgaben 2025'!$C267,Einzelbeträge!$E:$E,'Ausgaben 2025'!G$6)</f>
        <v>0</v>
      </c>
      <c r="H267" s="21">
        <f>SUMIFS(Einzelbeträge!$D:$D,Einzelbeträge!$C:$C,'Ausgaben 2025'!$C267,Einzelbeträge!$E:$E,'Ausgaben 2025'!H$6)</f>
        <v>0</v>
      </c>
      <c r="I267" s="21">
        <f>SUMIFS(Einzelbeträge!$D:$D,Einzelbeträge!$C:$C,'Ausgaben 2025'!$C267,Einzelbeträge!$E:$E,'Ausgaben 2025'!I$6)</f>
        <v>0</v>
      </c>
      <c r="J267" s="21">
        <f>SUMIFS(Einzelbeträge!$D:$D,Einzelbeträge!$C:$C,'Ausgaben 2025'!$C267,Einzelbeträge!$E:$E,'Ausgaben 2025'!J$6)</f>
        <v>0</v>
      </c>
      <c r="K267" s="21">
        <f>SUMIFS(Einzelbeträge!$D:$D,Einzelbeträge!$C:$C,'Ausgaben 2025'!$C267,Einzelbeträge!$E:$E,'Ausgaben 2025'!K$6)</f>
        <v>0</v>
      </c>
      <c r="L267" s="21">
        <f>SUMIFS(Einzelbeträge!$D:$D,Einzelbeträge!$C:$C,'Ausgaben 2025'!$C267,Einzelbeträge!$E:$E,'Ausgaben 2025'!L$6)</f>
        <v>0</v>
      </c>
      <c r="M267" s="21">
        <f>SUMIFS(Einzelbeträge!$D:$D,Einzelbeträge!$C:$C,'Ausgaben 2025'!$C267,Einzelbeträge!$E:$E,'Ausgaben 2025'!M$6)</f>
        <v>0</v>
      </c>
      <c r="N267" s="35">
        <f>SUMIFS(Einzelbeträge!$D:$D,Einzelbeträge!$C:$C,'Ausgaben 2025'!$C267,Einzelbeträge!$E:$E,'Ausgaben 2025'!N$6)</f>
        <v>0</v>
      </c>
      <c r="O267" s="6"/>
    </row>
    <row r="268" spans="2:15" x14ac:dyDescent="0.35">
      <c r="B268" s="5"/>
      <c r="C268" s="40">
        <f t="shared" si="23"/>
        <v>45897</v>
      </c>
      <c r="D268" s="46">
        <f>SUMIFS(Einzelbeträge!$D:$D,Einzelbeträge!$C:$C,'Ausgaben 2025'!$C268)</f>
        <v>0</v>
      </c>
      <c r="E268" s="21">
        <f>SUMIFS(Einzelbeträge!$D:$D,Einzelbeträge!$C:$C,'Ausgaben 2025'!$C268,Einzelbeträge!$E:$E,'Ausgaben 2025'!E$6)</f>
        <v>0</v>
      </c>
      <c r="F268" s="21">
        <f>SUMIFS(Einzelbeträge!$D:$D,Einzelbeträge!$C:$C,'Ausgaben 2025'!$C268,Einzelbeträge!$E:$E,'Ausgaben 2025'!F$6)</f>
        <v>0</v>
      </c>
      <c r="G268" s="21">
        <f>SUMIFS(Einzelbeträge!$D:$D,Einzelbeträge!$C:$C,'Ausgaben 2025'!$C268,Einzelbeträge!$E:$E,'Ausgaben 2025'!G$6)</f>
        <v>0</v>
      </c>
      <c r="H268" s="21">
        <f>SUMIFS(Einzelbeträge!$D:$D,Einzelbeträge!$C:$C,'Ausgaben 2025'!$C268,Einzelbeträge!$E:$E,'Ausgaben 2025'!H$6)</f>
        <v>0</v>
      </c>
      <c r="I268" s="21">
        <f>SUMIFS(Einzelbeträge!$D:$D,Einzelbeträge!$C:$C,'Ausgaben 2025'!$C268,Einzelbeträge!$E:$E,'Ausgaben 2025'!I$6)</f>
        <v>0</v>
      </c>
      <c r="J268" s="21">
        <f>SUMIFS(Einzelbeträge!$D:$D,Einzelbeträge!$C:$C,'Ausgaben 2025'!$C268,Einzelbeträge!$E:$E,'Ausgaben 2025'!J$6)</f>
        <v>0</v>
      </c>
      <c r="K268" s="21">
        <f>SUMIFS(Einzelbeträge!$D:$D,Einzelbeträge!$C:$C,'Ausgaben 2025'!$C268,Einzelbeträge!$E:$E,'Ausgaben 2025'!K$6)</f>
        <v>0</v>
      </c>
      <c r="L268" s="21">
        <f>SUMIFS(Einzelbeträge!$D:$D,Einzelbeträge!$C:$C,'Ausgaben 2025'!$C268,Einzelbeträge!$E:$E,'Ausgaben 2025'!L$6)</f>
        <v>0</v>
      </c>
      <c r="M268" s="21">
        <f>SUMIFS(Einzelbeträge!$D:$D,Einzelbeträge!$C:$C,'Ausgaben 2025'!$C268,Einzelbeträge!$E:$E,'Ausgaben 2025'!M$6)</f>
        <v>0</v>
      </c>
      <c r="N268" s="35">
        <f>SUMIFS(Einzelbeträge!$D:$D,Einzelbeträge!$C:$C,'Ausgaben 2025'!$C268,Einzelbeträge!$E:$E,'Ausgaben 2025'!N$6)</f>
        <v>0</v>
      </c>
      <c r="O268" s="6"/>
    </row>
    <row r="269" spans="2:15" x14ac:dyDescent="0.35">
      <c r="B269" s="5"/>
      <c r="C269" s="40">
        <f t="shared" si="23"/>
        <v>45898</v>
      </c>
      <c r="D269" s="46">
        <f>SUMIFS(Einzelbeträge!$D:$D,Einzelbeträge!$C:$C,'Ausgaben 2025'!$C269)</f>
        <v>0</v>
      </c>
      <c r="E269" s="21">
        <f>SUMIFS(Einzelbeträge!$D:$D,Einzelbeträge!$C:$C,'Ausgaben 2025'!$C269,Einzelbeträge!$E:$E,'Ausgaben 2025'!E$6)</f>
        <v>0</v>
      </c>
      <c r="F269" s="21">
        <f>SUMIFS(Einzelbeträge!$D:$D,Einzelbeträge!$C:$C,'Ausgaben 2025'!$C269,Einzelbeträge!$E:$E,'Ausgaben 2025'!F$6)</f>
        <v>0</v>
      </c>
      <c r="G269" s="21">
        <f>SUMIFS(Einzelbeträge!$D:$D,Einzelbeträge!$C:$C,'Ausgaben 2025'!$C269,Einzelbeträge!$E:$E,'Ausgaben 2025'!G$6)</f>
        <v>0</v>
      </c>
      <c r="H269" s="21">
        <f>SUMIFS(Einzelbeträge!$D:$D,Einzelbeträge!$C:$C,'Ausgaben 2025'!$C269,Einzelbeträge!$E:$E,'Ausgaben 2025'!H$6)</f>
        <v>0</v>
      </c>
      <c r="I269" s="21">
        <f>SUMIFS(Einzelbeträge!$D:$D,Einzelbeträge!$C:$C,'Ausgaben 2025'!$C269,Einzelbeträge!$E:$E,'Ausgaben 2025'!I$6)</f>
        <v>0</v>
      </c>
      <c r="J269" s="21">
        <f>SUMIFS(Einzelbeträge!$D:$D,Einzelbeträge!$C:$C,'Ausgaben 2025'!$C269,Einzelbeträge!$E:$E,'Ausgaben 2025'!J$6)</f>
        <v>0</v>
      </c>
      <c r="K269" s="21">
        <f>SUMIFS(Einzelbeträge!$D:$D,Einzelbeträge!$C:$C,'Ausgaben 2025'!$C269,Einzelbeträge!$E:$E,'Ausgaben 2025'!K$6)</f>
        <v>0</v>
      </c>
      <c r="L269" s="21">
        <f>SUMIFS(Einzelbeträge!$D:$D,Einzelbeträge!$C:$C,'Ausgaben 2025'!$C269,Einzelbeträge!$E:$E,'Ausgaben 2025'!L$6)</f>
        <v>0</v>
      </c>
      <c r="M269" s="21">
        <f>SUMIFS(Einzelbeträge!$D:$D,Einzelbeträge!$C:$C,'Ausgaben 2025'!$C269,Einzelbeträge!$E:$E,'Ausgaben 2025'!M$6)</f>
        <v>0</v>
      </c>
      <c r="N269" s="35">
        <f>SUMIFS(Einzelbeträge!$D:$D,Einzelbeträge!$C:$C,'Ausgaben 2025'!$C269,Einzelbeträge!$E:$E,'Ausgaben 2025'!N$6)</f>
        <v>0</v>
      </c>
      <c r="O269" s="6"/>
    </row>
    <row r="270" spans="2:15" x14ac:dyDescent="0.35">
      <c r="B270" s="5"/>
      <c r="C270" s="40">
        <f t="shared" si="23"/>
        <v>45899</v>
      </c>
      <c r="D270" s="46">
        <f>SUMIFS(Einzelbeträge!$D:$D,Einzelbeträge!$C:$C,'Ausgaben 2025'!$C270)</f>
        <v>0</v>
      </c>
      <c r="E270" s="21">
        <f>SUMIFS(Einzelbeträge!$D:$D,Einzelbeträge!$C:$C,'Ausgaben 2025'!$C270,Einzelbeträge!$E:$E,'Ausgaben 2025'!E$6)</f>
        <v>0</v>
      </c>
      <c r="F270" s="21">
        <f>SUMIFS(Einzelbeträge!$D:$D,Einzelbeträge!$C:$C,'Ausgaben 2025'!$C270,Einzelbeträge!$E:$E,'Ausgaben 2025'!F$6)</f>
        <v>0</v>
      </c>
      <c r="G270" s="21">
        <f>SUMIFS(Einzelbeträge!$D:$D,Einzelbeträge!$C:$C,'Ausgaben 2025'!$C270,Einzelbeträge!$E:$E,'Ausgaben 2025'!G$6)</f>
        <v>0</v>
      </c>
      <c r="H270" s="21">
        <f>SUMIFS(Einzelbeträge!$D:$D,Einzelbeträge!$C:$C,'Ausgaben 2025'!$C270,Einzelbeträge!$E:$E,'Ausgaben 2025'!H$6)</f>
        <v>0</v>
      </c>
      <c r="I270" s="21">
        <f>SUMIFS(Einzelbeträge!$D:$D,Einzelbeträge!$C:$C,'Ausgaben 2025'!$C270,Einzelbeträge!$E:$E,'Ausgaben 2025'!I$6)</f>
        <v>0</v>
      </c>
      <c r="J270" s="21">
        <f>SUMIFS(Einzelbeträge!$D:$D,Einzelbeträge!$C:$C,'Ausgaben 2025'!$C270,Einzelbeträge!$E:$E,'Ausgaben 2025'!J$6)</f>
        <v>0</v>
      </c>
      <c r="K270" s="21">
        <f>SUMIFS(Einzelbeträge!$D:$D,Einzelbeträge!$C:$C,'Ausgaben 2025'!$C270,Einzelbeträge!$E:$E,'Ausgaben 2025'!K$6)</f>
        <v>0</v>
      </c>
      <c r="L270" s="21">
        <f>SUMIFS(Einzelbeträge!$D:$D,Einzelbeträge!$C:$C,'Ausgaben 2025'!$C270,Einzelbeträge!$E:$E,'Ausgaben 2025'!L$6)</f>
        <v>0</v>
      </c>
      <c r="M270" s="21">
        <f>SUMIFS(Einzelbeträge!$D:$D,Einzelbeträge!$C:$C,'Ausgaben 2025'!$C270,Einzelbeträge!$E:$E,'Ausgaben 2025'!M$6)</f>
        <v>0</v>
      </c>
      <c r="N270" s="35">
        <f>SUMIFS(Einzelbeträge!$D:$D,Einzelbeträge!$C:$C,'Ausgaben 2025'!$C270,Einzelbeträge!$E:$E,'Ausgaben 2025'!N$6)</f>
        <v>0</v>
      </c>
      <c r="O270" s="6"/>
    </row>
    <row r="271" spans="2:15" x14ac:dyDescent="0.35">
      <c r="B271" s="5"/>
      <c r="C271" s="31">
        <f t="shared" si="23"/>
        <v>45900</v>
      </c>
      <c r="D271" s="47">
        <f>SUMIFS(Einzelbeträge!$D:$D,Einzelbeträge!$C:$C,'Ausgaben 2025'!$C271)</f>
        <v>0</v>
      </c>
      <c r="E271" s="37">
        <f>SUMIFS(Einzelbeträge!$D:$D,Einzelbeträge!$C:$C,'Ausgaben 2025'!$C271,Einzelbeträge!$E:$E,'Ausgaben 2025'!E$6)</f>
        <v>0</v>
      </c>
      <c r="F271" s="37">
        <f>SUMIFS(Einzelbeträge!$D:$D,Einzelbeträge!$C:$C,'Ausgaben 2025'!$C271,Einzelbeträge!$E:$E,'Ausgaben 2025'!F$6)</f>
        <v>0</v>
      </c>
      <c r="G271" s="37">
        <f>SUMIFS(Einzelbeträge!$D:$D,Einzelbeträge!$C:$C,'Ausgaben 2025'!$C271,Einzelbeträge!$E:$E,'Ausgaben 2025'!G$6)</f>
        <v>0</v>
      </c>
      <c r="H271" s="37">
        <f>SUMIFS(Einzelbeträge!$D:$D,Einzelbeträge!$C:$C,'Ausgaben 2025'!$C271,Einzelbeträge!$E:$E,'Ausgaben 2025'!H$6)</f>
        <v>0</v>
      </c>
      <c r="I271" s="37">
        <f>SUMIFS(Einzelbeträge!$D:$D,Einzelbeträge!$C:$C,'Ausgaben 2025'!$C271,Einzelbeträge!$E:$E,'Ausgaben 2025'!I$6)</f>
        <v>0</v>
      </c>
      <c r="J271" s="37">
        <f>SUMIFS(Einzelbeträge!$D:$D,Einzelbeträge!$C:$C,'Ausgaben 2025'!$C271,Einzelbeträge!$E:$E,'Ausgaben 2025'!J$6)</f>
        <v>0</v>
      </c>
      <c r="K271" s="37">
        <f>SUMIFS(Einzelbeträge!$D:$D,Einzelbeträge!$C:$C,'Ausgaben 2025'!$C271,Einzelbeträge!$E:$E,'Ausgaben 2025'!K$6)</f>
        <v>0</v>
      </c>
      <c r="L271" s="37">
        <f>SUMIFS(Einzelbeträge!$D:$D,Einzelbeträge!$C:$C,'Ausgaben 2025'!$C271,Einzelbeträge!$E:$E,'Ausgaben 2025'!L$6)</f>
        <v>0</v>
      </c>
      <c r="M271" s="37">
        <f>SUMIFS(Einzelbeträge!$D:$D,Einzelbeträge!$C:$C,'Ausgaben 2025'!$C271,Einzelbeträge!$E:$E,'Ausgaben 2025'!M$6)</f>
        <v>0</v>
      </c>
      <c r="N271" s="38">
        <f>SUMIFS(Einzelbeträge!$D:$D,Einzelbeträge!$C:$C,'Ausgaben 2025'!$C271,Einzelbeträge!$E:$E,'Ausgaben 2025'!N$6)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45901</v>
      </c>
      <c r="D275" s="45">
        <f>SUMIFS(Einzelbeträge!$D:$D,Einzelbeträge!$C:$C,'Ausgaben 2025'!$C275)</f>
        <v>0</v>
      </c>
      <c r="E275" s="32">
        <f>SUMIFS(Einzelbeträge!$D:$D,Einzelbeträge!$C:$C,'Ausgaben 2025'!$C275,Einzelbeträge!$E:$E,'Ausgaben 2025'!E$6)</f>
        <v>0</v>
      </c>
      <c r="F275" s="32">
        <f>SUMIFS(Einzelbeträge!$D:$D,Einzelbeträge!$C:$C,'Ausgaben 2025'!$C275,Einzelbeträge!$E:$E,'Ausgaben 2025'!F$6)</f>
        <v>0</v>
      </c>
      <c r="G275" s="32">
        <f>SUMIFS(Einzelbeträge!$D:$D,Einzelbeträge!$C:$C,'Ausgaben 2025'!$C275,Einzelbeträge!$E:$E,'Ausgaben 2025'!G$6)</f>
        <v>0</v>
      </c>
      <c r="H275" s="32">
        <f>SUMIFS(Einzelbeträge!$D:$D,Einzelbeträge!$C:$C,'Ausgaben 2025'!$C275,Einzelbeträge!$E:$E,'Ausgaben 2025'!H$6)</f>
        <v>0</v>
      </c>
      <c r="I275" s="32">
        <f>SUMIFS(Einzelbeträge!$D:$D,Einzelbeträge!$C:$C,'Ausgaben 2025'!$C275,Einzelbeträge!$E:$E,'Ausgaben 2025'!I$6)</f>
        <v>0</v>
      </c>
      <c r="J275" s="32">
        <f>SUMIFS(Einzelbeträge!$D:$D,Einzelbeträge!$C:$C,'Ausgaben 2025'!$C275,Einzelbeträge!$E:$E,'Ausgaben 2025'!J$6)</f>
        <v>0</v>
      </c>
      <c r="K275" s="32">
        <f>SUMIFS(Einzelbeträge!$D:$D,Einzelbeträge!$C:$C,'Ausgaben 2025'!$C275,Einzelbeträge!$E:$E,'Ausgaben 2025'!K$6)</f>
        <v>0</v>
      </c>
      <c r="L275" s="32">
        <f>SUMIFS(Einzelbeträge!$D:$D,Einzelbeträge!$C:$C,'Ausgaben 2025'!$C275,Einzelbeträge!$E:$E,'Ausgaben 2025'!L$6)</f>
        <v>0</v>
      </c>
      <c r="M275" s="32">
        <f>SUMIFS(Einzelbeträge!$D:$D,Einzelbeträge!$C:$C,'Ausgaben 2025'!$C275,Einzelbeträge!$E:$E,'Ausgaben 2025'!M$6)</f>
        <v>0</v>
      </c>
      <c r="N275" s="33">
        <f>SUMIFS(Einzelbeträge!$D:$D,Einzelbeträge!$C:$C,'Ausgaben 2025'!$C275,Einzelbeträge!$E:$E,'Ausgaben 2025'!N$6)</f>
        <v>0</v>
      </c>
      <c r="O275" s="6"/>
    </row>
    <row r="276" spans="2:15" x14ac:dyDescent="0.35">
      <c r="B276" s="5"/>
      <c r="C276" s="30">
        <f>C275+1</f>
        <v>45902</v>
      </c>
      <c r="D276" s="46">
        <f>SUMIFS(Einzelbeträge!$D:$D,Einzelbeträge!$C:$C,'Ausgaben 2025'!$C276)</f>
        <v>0</v>
      </c>
      <c r="E276" s="21">
        <f>SUMIFS(Einzelbeträge!$D:$D,Einzelbeträge!$C:$C,'Ausgaben 2025'!$C276,Einzelbeträge!$E:$E,'Ausgaben 2025'!E$6)</f>
        <v>0</v>
      </c>
      <c r="F276" s="21">
        <f>SUMIFS(Einzelbeträge!$D:$D,Einzelbeträge!$C:$C,'Ausgaben 2025'!$C276,Einzelbeträge!$E:$E,'Ausgaben 2025'!F$6)</f>
        <v>0</v>
      </c>
      <c r="G276" s="21">
        <f>SUMIFS(Einzelbeträge!$D:$D,Einzelbeträge!$C:$C,'Ausgaben 2025'!$C276,Einzelbeträge!$E:$E,'Ausgaben 2025'!G$6)</f>
        <v>0</v>
      </c>
      <c r="H276" s="21">
        <f>SUMIFS(Einzelbeträge!$D:$D,Einzelbeträge!$C:$C,'Ausgaben 2025'!$C276,Einzelbeträge!$E:$E,'Ausgaben 2025'!H$6)</f>
        <v>0</v>
      </c>
      <c r="I276" s="21">
        <f>SUMIFS(Einzelbeträge!$D:$D,Einzelbeträge!$C:$C,'Ausgaben 2025'!$C276,Einzelbeträge!$E:$E,'Ausgaben 2025'!I$6)</f>
        <v>0</v>
      </c>
      <c r="J276" s="21">
        <f>SUMIFS(Einzelbeträge!$D:$D,Einzelbeträge!$C:$C,'Ausgaben 2025'!$C276,Einzelbeträge!$E:$E,'Ausgaben 2025'!J$6)</f>
        <v>0</v>
      </c>
      <c r="K276" s="21">
        <f>SUMIFS(Einzelbeträge!$D:$D,Einzelbeträge!$C:$C,'Ausgaben 2025'!$C276,Einzelbeträge!$E:$E,'Ausgaben 2025'!K$6)</f>
        <v>0</v>
      </c>
      <c r="L276" s="21">
        <f>SUMIFS(Einzelbeträge!$D:$D,Einzelbeträge!$C:$C,'Ausgaben 2025'!$C276,Einzelbeträge!$E:$E,'Ausgaben 2025'!L$6)</f>
        <v>0</v>
      </c>
      <c r="M276" s="21">
        <f>SUMIFS(Einzelbeträge!$D:$D,Einzelbeträge!$C:$C,'Ausgaben 2025'!$C276,Einzelbeträge!$E:$E,'Ausgaben 2025'!M$6)</f>
        <v>0</v>
      </c>
      <c r="N276" s="35">
        <f>SUMIFS(Einzelbeträge!$D:$D,Einzelbeträge!$C:$C,'Ausgaben 2025'!$C276,Einzelbeträge!$E:$E,'Ausgaben 2025'!N$6)</f>
        <v>0</v>
      </c>
      <c r="O276" s="6"/>
    </row>
    <row r="277" spans="2:15" x14ac:dyDescent="0.35">
      <c r="B277" s="5"/>
      <c r="C277" s="30">
        <f t="shared" ref="C277:C304" si="24">C276+1</f>
        <v>45903</v>
      </c>
      <c r="D277" s="46">
        <f>SUMIFS(Einzelbeträge!$D:$D,Einzelbeträge!$C:$C,'Ausgaben 2025'!$C277)</f>
        <v>0</v>
      </c>
      <c r="E277" s="21">
        <f>SUMIFS(Einzelbeträge!$D:$D,Einzelbeträge!$C:$C,'Ausgaben 2025'!$C277,Einzelbeträge!$E:$E,'Ausgaben 2025'!E$6)</f>
        <v>0</v>
      </c>
      <c r="F277" s="21">
        <f>SUMIFS(Einzelbeträge!$D:$D,Einzelbeträge!$C:$C,'Ausgaben 2025'!$C277,Einzelbeträge!$E:$E,'Ausgaben 2025'!F$6)</f>
        <v>0</v>
      </c>
      <c r="G277" s="21">
        <f>SUMIFS(Einzelbeträge!$D:$D,Einzelbeträge!$C:$C,'Ausgaben 2025'!$C277,Einzelbeträge!$E:$E,'Ausgaben 2025'!G$6)</f>
        <v>0</v>
      </c>
      <c r="H277" s="21">
        <f>SUMIFS(Einzelbeträge!$D:$D,Einzelbeträge!$C:$C,'Ausgaben 2025'!$C277,Einzelbeträge!$E:$E,'Ausgaben 2025'!H$6)</f>
        <v>0</v>
      </c>
      <c r="I277" s="21">
        <f>SUMIFS(Einzelbeträge!$D:$D,Einzelbeträge!$C:$C,'Ausgaben 2025'!$C277,Einzelbeträge!$E:$E,'Ausgaben 2025'!I$6)</f>
        <v>0</v>
      </c>
      <c r="J277" s="21">
        <f>SUMIFS(Einzelbeträge!$D:$D,Einzelbeträge!$C:$C,'Ausgaben 2025'!$C277,Einzelbeträge!$E:$E,'Ausgaben 2025'!J$6)</f>
        <v>0</v>
      </c>
      <c r="K277" s="21">
        <f>SUMIFS(Einzelbeträge!$D:$D,Einzelbeträge!$C:$C,'Ausgaben 2025'!$C277,Einzelbeträge!$E:$E,'Ausgaben 2025'!K$6)</f>
        <v>0</v>
      </c>
      <c r="L277" s="21">
        <f>SUMIFS(Einzelbeträge!$D:$D,Einzelbeträge!$C:$C,'Ausgaben 2025'!$C277,Einzelbeträge!$E:$E,'Ausgaben 2025'!L$6)</f>
        <v>0</v>
      </c>
      <c r="M277" s="21">
        <f>SUMIFS(Einzelbeträge!$D:$D,Einzelbeträge!$C:$C,'Ausgaben 2025'!$C277,Einzelbeträge!$E:$E,'Ausgaben 2025'!M$6)</f>
        <v>0</v>
      </c>
      <c r="N277" s="35">
        <f>SUMIFS(Einzelbeträge!$D:$D,Einzelbeträge!$C:$C,'Ausgaben 2025'!$C277,Einzelbeträge!$E:$E,'Ausgaben 2025'!N$6)</f>
        <v>0</v>
      </c>
      <c r="O277" s="6"/>
    </row>
    <row r="278" spans="2:15" x14ac:dyDescent="0.35">
      <c r="B278" s="5"/>
      <c r="C278" s="30">
        <f t="shared" si="24"/>
        <v>45904</v>
      </c>
      <c r="D278" s="46">
        <f>SUMIFS(Einzelbeträge!$D:$D,Einzelbeträge!$C:$C,'Ausgaben 2025'!$C278)</f>
        <v>0</v>
      </c>
      <c r="E278" s="21">
        <f>SUMIFS(Einzelbeträge!$D:$D,Einzelbeträge!$C:$C,'Ausgaben 2025'!$C278,Einzelbeträge!$E:$E,'Ausgaben 2025'!E$6)</f>
        <v>0</v>
      </c>
      <c r="F278" s="21">
        <f>SUMIFS(Einzelbeträge!$D:$D,Einzelbeträge!$C:$C,'Ausgaben 2025'!$C278,Einzelbeträge!$E:$E,'Ausgaben 2025'!F$6)</f>
        <v>0</v>
      </c>
      <c r="G278" s="21">
        <f>SUMIFS(Einzelbeträge!$D:$D,Einzelbeträge!$C:$C,'Ausgaben 2025'!$C278,Einzelbeträge!$E:$E,'Ausgaben 2025'!G$6)</f>
        <v>0</v>
      </c>
      <c r="H278" s="21">
        <f>SUMIFS(Einzelbeträge!$D:$D,Einzelbeträge!$C:$C,'Ausgaben 2025'!$C278,Einzelbeträge!$E:$E,'Ausgaben 2025'!H$6)</f>
        <v>0</v>
      </c>
      <c r="I278" s="21">
        <f>SUMIFS(Einzelbeträge!$D:$D,Einzelbeträge!$C:$C,'Ausgaben 2025'!$C278,Einzelbeträge!$E:$E,'Ausgaben 2025'!I$6)</f>
        <v>0</v>
      </c>
      <c r="J278" s="21">
        <f>SUMIFS(Einzelbeträge!$D:$D,Einzelbeträge!$C:$C,'Ausgaben 2025'!$C278,Einzelbeträge!$E:$E,'Ausgaben 2025'!J$6)</f>
        <v>0</v>
      </c>
      <c r="K278" s="21">
        <f>SUMIFS(Einzelbeträge!$D:$D,Einzelbeträge!$C:$C,'Ausgaben 2025'!$C278,Einzelbeträge!$E:$E,'Ausgaben 2025'!K$6)</f>
        <v>0</v>
      </c>
      <c r="L278" s="21">
        <f>SUMIFS(Einzelbeträge!$D:$D,Einzelbeträge!$C:$C,'Ausgaben 2025'!$C278,Einzelbeträge!$E:$E,'Ausgaben 2025'!L$6)</f>
        <v>0</v>
      </c>
      <c r="M278" s="21">
        <f>SUMIFS(Einzelbeträge!$D:$D,Einzelbeträge!$C:$C,'Ausgaben 2025'!$C278,Einzelbeträge!$E:$E,'Ausgaben 2025'!M$6)</f>
        <v>0</v>
      </c>
      <c r="N278" s="35">
        <f>SUMIFS(Einzelbeträge!$D:$D,Einzelbeträge!$C:$C,'Ausgaben 2025'!$C278,Einzelbeträge!$E:$E,'Ausgaben 2025'!N$6)</f>
        <v>0</v>
      </c>
      <c r="O278" s="6"/>
    </row>
    <row r="279" spans="2:15" x14ac:dyDescent="0.35">
      <c r="B279" s="5"/>
      <c r="C279" s="30">
        <f t="shared" si="24"/>
        <v>45905</v>
      </c>
      <c r="D279" s="46">
        <f>SUMIFS(Einzelbeträge!$D:$D,Einzelbeträge!$C:$C,'Ausgaben 2025'!$C279)</f>
        <v>0</v>
      </c>
      <c r="E279" s="21">
        <f>SUMIFS(Einzelbeträge!$D:$D,Einzelbeträge!$C:$C,'Ausgaben 2025'!$C279,Einzelbeträge!$E:$E,'Ausgaben 2025'!E$6)</f>
        <v>0</v>
      </c>
      <c r="F279" s="21">
        <f>SUMIFS(Einzelbeträge!$D:$D,Einzelbeträge!$C:$C,'Ausgaben 2025'!$C279,Einzelbeträge!$E:$E,'Ausgaben 2025'!F$6)</f>
        <v>0</v>
      </c>
      <c r="G279" s="21">
        <f>SUMIFS(Einzelbeträge!$D:$D,Einzelbeträge!$C:$C,'Ausgaben 2025'!$C279,Einzelbeträge!$E:$E,'Ausgaben 2025'!G$6)</f>
        <v>0</v>
      </c>
      <c r="H279" s="21">
        <f>SUMIFS(Einzelbeträge!$D:$D,Einzelbeträge!$C:$C,'Ausgaben 2025'!$C279,Einzelbeträge!$E:$E,'Ausgaben 2025'!H$6)</f>
        <v>0</v>
      </c>
      <c r="I279" s="21">
        <f>SUMIFS(Einzelbeträge!$D:$D,Einzelbeträge!$C:$C,'Ausgaben 2025'!$C279,Einzelbeträge!$E:$E,'Ausgaben 2025'!I$6)</f>
        <v>0</v>
      </c>
      <c r="J279" s="21">
        <f>SUMIFS(Einzelbeträge!$D:$D,Einzelbeträge!$C:$C,'Ausgaben 2025'!$C279,Einzelbeträge!$E:$E,'Ausgaben 2025'!J$6)</f>
        <v>0</v>
      </c>
      <c r="K279" s="21">
        <f>SUMIFS(Einzelbeträge!$D:$D,Einzelbeträge!$C:$C,'Ausgaben 2025'!$C279,Einzelbeträge!$E:$E,'Ausgaben 2025'!K$6)</f>
        <v>0</v>
      </c>
      <c r="L279" s="21">
        <f>SUMIFS(Einzelbeträge!$D:$D,Einzelbeträge!$C:$C,'Ausgaben 2025'!$C279,Einzelbeträge!$E:$E,'Ausgaben 2025'!L$6)</f>
        <v>0</v>
      </c>
      <c r="M279" s="21">
        <f>SUMIFS(Einzelbeträge!$D:$D,Einzelbeträge!$C:$C,'Ausgaben 2025'!$C279,Einzelbeträge!$E:$E,'Ausgaben 2025'!M$6)</f>
        <v>0</v>
      </c>
      <c r="N279" s="35">
        <f>SUMIFS(Einzelbeträge!$D:$D,Einzelbeträge!$C:$C,'Ausgaben 2025'!$C279,Einzelbeträge!$E:$E,'Ausgaben 2025'!N$6)</f>
        <v>0</v>
      </c>
      <c r="O279" s="6"/>
    </row>
    <row r="280" spans="2:15" x14ac:dyDescent="0.35">
      <c r="B280" s="5"/>
      <c r="C280" s="30">
        <f t="shared" si="24"/>
        <v>45906</v>
      </c>
      <c r="D280" s="46">
        <f>SUMIFS(Einzelbeträge!$D:$D,Einzelbeträge!$C:$C,'Ausgaben 2025'!$C280)</f>
        <v>0</v>
      </c>
      <c r="E280" s="21">
        <f>SUMIFS(Einzelbeträge!$D:$D,Einzelbeträge!$C:$C,'Ausgaben 2025'!$C280,Einzelbeträge!$E:$E,'Ausgaben 2025'!E$6)</f>
        <v>0</v>
      </c>
      <c r="F280" s="21">
        <f>SUMIFS(Einzelbeträge!$D:$D,Einzelbeträge!$C:$C,'Ausgaben 2025'!$C280,Einzelbeträge!$E:$E,'Ausgaben 2025'!F$6)</f>
        <v>0</v>
      </c>
      <c r="G280" s="21">
        <f>SUMIFS(Einzelbeträge!$D:$D,Einzelbeträge!$C:$C,'Ausgaben 2025'!$C280,Einzelbeträge!$E:$E,'Ausgaben 2025'!G$6)</f>
        <v>0</v>
      </c>
      <c r="H280" s="21">
        <f>SUMIFS(Einzelbeträge!$D:$D,Einzelbeträge!$C:$C,'Ausgaben 2025'!$C280,Einzelbeträge!$E:$E,'Ausgaben 2025'!H$6)</f>
        <v>0</v>
      </c>
      <c r="I280" s="21">
        <f>SUMIFS(Einzelbeträge!$D:$D,Einzelbeträge!$C:$C,'Ausgaben 2025'!$C280,Einzelbeträge!$E:$E,'Ausgaben 2025'!I$6)</f>
        <v>0</v>
      </c>
      <c r="J280" s="21">
        <f>SUMIFS(Einzelbeträge!$D:$D,Einzelbeträge!$C:$C,'Ausgaben 2025'!$C280,Einzelbeträge!$E:$E,'Ausgaben 2025'!J$6)</f>
        <v>0</v>
      </c>
      <c r="K280" s="21">
        <f>SUMIFS(Einzelbeträge!$D:$D,Einzelbeträge!$C:$C,'Ausgaben 2025'!$C280,Einzelbeträge!$E:$E,'Ausgaben 2025'!K$6)</f>
        <v>0</v>
      </c>
      <c r="L280" s="21">
        <f>SUMIFS(Einzelbeträge!$D:$D,Einzelbeträge!$C:$C,'Ausgaben 2025'!$C280,Einzelbeträge!$E:$E,'Ausgaben 2025'!L$6)</f>
        <v>0</v>
      </c>
      <c r="M280" s="21">
        <f>SUMIFS(Einzelbeträge!$D:$D,Einzelbeträge!$C:$C,'Ausgaben 2025'!$C280,Einzelbeträge!$E:$E,'Ausgaben 2025'!M$6)</f>
        <v>0</v>
      </c>
      <c r="N280" s="35">
        <f>SUMIFS(Einzelbeträge!$D:$D,Einzelbeträge!$C:$C,'Ausgaben 2025'!$C280,Einzelbeträge!$E:$E,'Ausgaben 2025'!N$6)</f>
        <v>0</v>
      </c>
      <c r="O280" s="6"/>
    </row>
    <row r="281" spans="2:15" x14ac:dyDescent="0.35">
      <c r="B281" s="5"/>
      <c r="C281" s="30">
        <f t="shared" si="24"/>
        <v>45907</v>
      </c>
      <c r="D281" s="46">
        <f>SUMIFS(Einzelbeträge!$D:$D,Einzelbeträge!$C:$C,'Ausgaben 2025'!$C281)</f>
        <v>0</v>
      </c>
      <c r="E281" s="21">
        <f>SUMIFS(Einzelbeträge!$D:$D,Einzelbeträge!$C:$C,'Ausgaben 2025'!$C281,Einzelbeträge!$E:$E,'Ausgaben 2025'!E$6)</f>
        <v>0</v>
      </c>
      <c r="F281" s="21">
        <f>SUMIFS(Einzelbeträge!$D:$D,Einzelbeträge!$C:$C,'Ausgaben 2025'!$C281,Einzelbeträge!$E:$E,'Ausgaben 2025'!F$6)</f>
        <v>0</v>
      </c>
      <c r="G281" s="21">
        <f>SUMIFS(Einzelbeträge!$D:$D,Einzelbeträge!$C:$C,'Ausgaben 2025'!$C281,Einzelbeträge!$E:$E,'Ausgaben 2025'!G$6)</f>
        <v>0</v>
      </c>
      <c r="H281" s="21">
        <f>SUMIFS(Einzelbeträge!$D:$D,Einzelbeträge!$C:$C,'Ausgaben 2025'!$C281,Einzelbeträge!$E:$E,'Ausgaben 2025'!H$6)</f>
        <v>0</v>
      </c>
      <c r="I281" s="21">
        <f>SUMIFS(Einzelbeträge!$D:$D,Einzelbeträge!$C:$C,'Ausgaben 2025'!$C281,Einzelbeträge!$E:$E,'Ausgaben 2025'!I$6)</f>
        <v>0</v>
      </c>
      <c r="J281" s="21">
        <f>SUMIFS(Einzelbeträge!$D:$D,Einzelbeträge!$C:$C,'Ausgaben 2025'!$C281,Einzelbeträge!$E:$E,'Ausgaben 2025'!J$6)</f>
        <v>0</v>
      </c>
      <c r="K281" s="21">
        <f>SUMIFS(Einzelbeträge!$D:$D,Einzelbeträge!$C:$C,'Ausgaben 2025'!$C281,Einzelbeträge!$E:$E,'Ausgaben 2025'!K$6)</f>
        <v>0</v>
      </c>
      <c r="L281" s="21">
        <f>SUMIFS(Einzelbeträge!$D:$D,Einzelbeträge!$C:$C,'Ausgaben 2025'!$C281,Einzelbeträge!$E:$E,'Ausgaben 2025'!L$6)</f>
        <v>0</v>
      </c>
      <c r="M281" s="21">
        <f>SUMIFS(Einzelbeträge!$D:$D,Einzelbeträge!$C:$C,'Ausgaben 2025'!$C281,Einzelbeträge!$E:$E,'Ausgaben 2025'!M$6)</f>
        <v>0</v>
      </c>
      <c r="N281" s="35">
        <f>SUMIFS(Einzelbeträge!$D:$D,Einzelbeträge!$C:$C,'Ausgaben 2025'!$C281,Einzelbeträge!$E:$E,'Ausgaben 2025'!N$6)</f>
        <v>0</v>
      </c>
      <c r="O281" s="6"/>
    </row>
    <row r="282" spans="2:15" x14ac:dyDescent="0.35">
      <c r="B282" s="5"/>
      <c r="C282" s="30">
        <f t="shared" si="24"/>
        <v>45908</v>
      </c>
      <c r="D282" s="46">
        <f>SUMIFS(Einzelbeträge!$D:$D,Einzelbeträge!$C:$C,'Ausgaben 2025'!$C282)</f>
        <v>0</v>
      </c>
      <c r="E282" s="21">
        <f>SUMIFS(Einzelbeträge!$D:$D,Einzelbeträge!$C:$C,'Ausgaben 2025'!$C282,Einzelbeträge!$E:$E,'Ausgaben 2025'!E$6)</f>
        <v>0</v>
      </c>
      <c r="F282" s="21">
        <f>SUMIFS(Einzelbeträge!$D:$D,Einzelbeträge!$C:$C,'Ausgaben 2025'!$C282,Einzelbeträge!$E:$E,'Ausgaben 2025'!F$6)</f>
        <v>0</v>
      </c>
      <c r="G282" s="21">
        <f>SUMIFS(Einzelbeträge!$D:$D,Einzelbeträge!$C:$C,'Ausgaben 2025'!$C282,Einzelbeträge!$E:$E,'Ausgaben 2025'!G$6)</f>
        <v>0</v>
      </c>
      <c r="H282" s="21">
        <f>SUMIFS(Einzelbeträge!$D:$D,Einzelbeträge!$C:$C,'Ausgaben 2025'!$C282,Einzelbeträge!$E:$E,'Ausgaben 2025'!H$6)</f>
        <v>0</v>
      </c>
      <c r="I282" s="21">
        <f>SUMIFS(Einzelbeträge!$D:$D,Einzelbeträge!$C:$C,'Ausgaben 2025'!$C282,Einzelbeträge!$E:$E,'Ausgaben 2025'!I$6)</f>
        <v>0</v>
      </c>
      <c r="J282" s="21">
        <f>SUMIFS(Einzelbeträge!$D:$D,Einzelbeträge!$C:$C,'Ausgaben 2025'!$C282,Einzelbeträge!$E:$E,'Ausgaben 2025'!J$6)</f>
        <v>0</v>
      </c>
      <c r="K282" s="21">
        <f>SUMIFS(Einzelbeträge!$D:$D,Einzelbeträge!$C:$C,'Ausgaben 2025'!$C282,Einzelbeträge!$E:$E,'Ausgaben 2025'!K$6)</f>
        <v>0</v>
      </c>
      <c r="L282" s="21">
        <f>SUMIFS(Einzelbeträge!$D:$D,Einzelbeträge!$C:$C,'Ausgaben 2025'!$C282,Einzelbeträge!$E:$E,'Ausgaben 2025'!L$6)</f>
        <v>0</v>
      </c>
      <c r="M282" s="21">
        <f>SUMIFS(Einzelbeträge!$D:$D,Einzelbeträge!$C:$C,'Ausgaben 2025'!$C282,Einzelbeträge!$E:$E,'Ausgaben 2025'!M$6)</f>
        <v>0</v>
      </c>
      <c r="N282" s="35">
        <f>SUMIFS(Einzelbeträge!$D:$D,Einzelbeträge!$C:$C,'Ausgaben 2025'!$C282,Einzelbeträge!$E:$E,'Ausgaben 2025'!N$6)</f>
        <v>0</v>
      </c>
      <c r="O282" s="6"/>
    </row>
    <row r="283" spans="2:15" x14ac:dyDescent="0.35">
      <c r="B283" s="5"/>
      <c r="C283" s="30">
        <f t="shared" si="24"/>
        <v>45909</v>
      </c>
      <c r="D283" s="46">
        <f>SUMIFS(Einzelbeträge!$D:$D,Einzelbeträge!$C:$C,'Ausgaben 2025'!$C283)</f>
        <v>0</v>
      </c>
      <c r="E283" s="21">
        <f>SUMIFS(Einzelbeträge!$D:$D,Einzelbeträge!$C:$C,'Ausgaben 2025'!$C283,Einzelbeträge!$E:$E,'Ausgaben 2025'!E$6)</f>
        <v>0</v>
      </c>
      <c r="F283" s="21">
        <f>SUMIFS(Einzelbeträge!$D:$D,Einzelbeträge!$C:$C,'Ausgaben 2025'!$C283,Einzelbeträge!$E:$E,'Ausgaben 2025'!F$6)</f>
        <v>0</v>
      </c>
      <c r="G283" s="21">
        <f>SUMIFS(Einzelbeträge!$D:$D,Einzelbeträge!$C:$C,'Ausgaben 2025'!$C283,Einzelbeträge!$E:$E,'Ausgaben 2025'!G$6)</f>
        <v>0</v>
      </c>
      <c r="H283" s="21">
        <f>SUMIFS(Einzelbeträge!$D:$D,Einzelbeträge!$C:$C,'Ausgaben 2025'!$C283,Einzelbeträge!$E:$E,'Ausgaben 2025'!H$6)</f>
        <v>0</v>
      </c>
      <c r="I283" s="21">
        <f>SUMIFS(Einzelbeträge!$D:$D,Einzelbeträge!$C:$C,'Ausgaben 2025'!$C283,Einzelbeträge!$E:$E,'Ausgaben 2025'!I$6)</f>
        <v>0</v>
      </c>
      <c r="J283" s="21">
        <f>SUMIFS(Einzelbeträge!$D:$D,Einzelbeträge!$C:$C,'Ausgaben 2025'!$C283,Einzelbeträge!$E:$E,'Ausgaben 2025'!J$6)</f>
        <v>0</v>
      </c>
      <c r="K283" s="21">
        <f>SUMIFS(Einzelbeträge!$D:$D,Einzelbeträge!$C:$C,'Ausgaben 2025'!$C283,Einzelbeträge!$E:$E,'Ausgaben 2025'!K$6)</f>
        <v>0</v>
      </c>
      <c r="L283" s="21">
        <f>SUMIFS(Einzelbeträge!$D:$D,Einzelbeträge!$C:$C,'Ausgaben 2025'!$C283,Einzelbeträge!$E:$E,'Ausgaben 2025'!L$6)</f>
        <v>0</v>
      </c>
      <c r="M283" s="21">
        <f>SUMIFS(Einzelbeträge!$D:$D,Einzelbeträge!$C:$C,'Ausgaben 2025'!$C283,Einzelbeträge!$E:$E,'Ausgaben 2025'!M$6)</f>
        <v>0</v>
      </c>
      <c r="N283" s="35">
        <f>SUMIFS(Einzelbeträge!$D:$D,Einzelbeträge!$C:$C,'Ausgaben 2025'!$C283,Einzelbeträge!$E:$E,'Ausgaben 2025'!N$6)</f>
        <v>0</v>
      </c>
      <c r="O283" s="6"/>
    </row>
    <row r="284" spans="2:15" x14ac:dyDescent="0.35">
      <c r="B284" s="5"/>
      <c r="C284" s="30">
        <f t="shared" si="24"/>
        <v>45910</v>
      </c>
      <c r="D284" s="46">
        <f>SUMIFS(Einzelbeträge!$D:$D,Einzelbeträge!$C:$C,'Ausgaben 2025'!$C284)</f>
        <v>0</v>
      </c>
      <c r="E284" s="21">
        <f>SUMIFS(Einzelbeträge!$D:$D,Einzelbeträge!$C:$C,'Ausgaben 2025'!$C284,Einzelbeträge!$E:$E,'Ausgaben 2025'!E$6)</f>
        <v>0</v>
      </c>
      <c r="F284" s="21">
        <f>SUMIFS(Einzelbeträge!$D:$D,Einzelbeträge!$C:$C,'Ausgaben 2025'!$C284,Einzelbeträge!$E:$E,'Ausgaben 2025'!F$6)</f>
        <v>0</v>
      </c>
      <c r="G284" s="21">
        <f>SUMIFS(Einzelbeträge!$D:$D,Einzelbeträge!$C:$C,'Ausgaben 2025'!$C284,Einzelbeträge!$E:$E,'Ausgaben 2025'!G$6)</f>
        <v>0</v>
      </c>
      <c r="H284" s="21">
        <f>SUMIFS(Einzelbeträge!$D:$D,Einzelbeträge!$C:$C,'Ausgaben 2025'!$C284,Einzelbeträge!$E:$E,'Ausgaben 2025'!H$6)</f>
        <v>0</v>
      </c>
      <c r="I284" s="21">
        <f>SUMIFS(Einzelbeträge!$D:$D,Einzelbeträge!$C:$C,'Ausgaben 2025'!$C284,Einzelbeträge!$E:$E,'Ausgaben 2025'!I$6)</f>
        <v>0</v>
      </c>
      <c r="J284" s="21">
        <f>SUMIFS(Einzelbeträge!$D:$D,Einzelbeträge!$C:$C,'Ausgaben 2025'!$C284,Einzelbeträge!$E:$E,'Ausgaben 2025'!J$6)</f>
        <v>0</v>
      </c>
      <c r="K284" s="21">
        <f>SUMIFS(Einzelbeträge!$D:$D,Einzelbeträge!$C:$C,'Ausgaben 2025'!$C284,Einzelbeträge!$E:$E,'Ausgaben 2025'!K$6)</f>
        <v>0</v>
      </c>
      <c r="L284" s="21">
        <f>SUMIFS(Einzelbeträge!$D:$D,Einzelbeträge!$C:$C,'Ausgaben 2025'!$C284,Einzelbeträge!$E:$E,'Ausgaben 2025'!L$6)</f>
        <v>0</v>
      </c>
      <c r="M284" s="21">
        <f>SUMIFS(Einzelbeträge!$D:$D,Einzelbeträge!$C:$C,'Ausgaben 2025'!$C284,Einzelbeträge!$E:$E,'Ausgaben 2025'!M$6)</f>
        <v>0</v>
      </c>
      <c r="N284" s="35">
        <f>SUMIFS(Einzelbeträge!$D:$D,Einzelbeträge!$C:$C,'Ausgaben 2025'!$C284,Einzelbeträge!$E:$E,'Ausgaben 2025'!N$6)</f>
        <v>0</v>
      </c>
      <c r="O284" s="6"/>
    </row>
    <row r="285" spans="2:15" x14ac:dyDescent="0.35">
      <c r="B285" s="5"/>
      <c r="C285" s="30">
        <f t="shared" si="24"/>
        <v>45911</v>
      </c>
      <c r="D285" s="46">
        <f>SUMIFS(Einzelbeträge!$D:$D,Einzelbeträge!$C:$C,'Ausgaben 2025'!$C285)</f>
        <v>0</v>
      </c>
      <c r="E285" s="21">
        <f>SUMIFS(Einzelbeträge!$D:$D,Einzelbeträge!$C:$C,'Ausgaben 2025'!$C285,Einzelbeträge!$E:$E,'Ausgaben 2025'!E$6)</f>
        <v>0</v>
      </c>
      <c r="F285" s="21">
        <f>SUMIFS(Einzelbeträge!$D:$D,Einzelbeträge!$C:$C,'Ausgaben 2025'!$C285,Einzelbeträge!$E:$E,'Ausgaben 2025'!F$6)</f>
        <v>0</v>
      </c>
      <c r="G285" s="21">
        <f>SUMIFS(Einzelbeträge!$D:$D,Einzelbeträge!$C:$C,'Ausgaben 2025'!$C285,Einzelbeträge!$E:$E,'Ausgaben 2025'!G$6)</f>
        <v>0</v>
      </c>
      <c r="H285" s="21">
        <f>SUMIFS(Einzelbeträge!$D:$D,Einzelbeträge!$C:$C,'Ausgaben 2025'!$C285,Einzelbeträge!$E:$E,'Ausgaben 2025'!H$6)</f>
        <v>0</v>
      </c>
      <c r="I285" s="21">
        <f>SUMIFS(Einzelbeträge!$D:$D,Einzelbeträge!$C:$C,'Ausgaben 2025'!$C285,Einzelbeträge!$E:$E,'Ausgaben 2025'!I$6)</f>
        <v>0</v>
      </c>
      <c r="J285" s="21">
        <f>SUMIFS(Einzelbeträge!$D:$D,Einzelbeträge!$C:$C,'Ausgaben 2025'!$C285,Einzelbeträge!$E:$E,'Ausgaben 2025'!J$6)</f>
        <v>0</v>
      </c>
      <c r="K285" s="21">
        <f>SUMIFS(Einzelbeträge!$D:$D,Einzelbeträge!$C:$C,'Ausgaben 2025'!$C285,Einzelbeträge!$E:$E,'Ausgaben 2025'!K$6)</f>
        <v>0</v>
      </c>
      <c r="L285" s="21">
        <f>SUMIFS(Einzelbeträge!$D:$D,Einzelbeträge!$C:$C,'Ausgaben 2025'!$C285,Einzelbeträge!$E:$E,'Ausgaben 2025'!L$6)</f>
        <v>0</v>
      </c>
      <c r="M285" s="21">
        <f>SUMIFS(Einzelbeträge!$D:$D,Einzelbeträge!$C:$C,'Ausgaben 2025'!$C285,Einzelbeträge!$E:$E,'Ausgaben 2025'!M$6)</f>
        <v>0</v>
      </c>
      <c r="N285" s="35">
        <f>SUMIFS(Einzelbeträge!$D:$D,Einzelbeträge!$C:$C,'Ausgaben 2025'!$C285,Einzelbeträge!$E:$E,'Ausgaben 2025'!N$6)</f>
        <v>0</v>
      </c>
      <c r="O285" s="6"/>
    </row>
    <row r="286" spans="2:15" x14ac:dyDescent="0.35">
      <c r="B286" s="5"/>
      <c r="C286" s="30">
        <f t="shared" si="24"/>
        <v>45912</v>
      </c>
      <c r="D286" s="46">
        <f>SUMIFS(Einzelbeträge!$D:$D,Einzelbeträge!$C:$C,'Ausgaben 2025'!$C286)</f>
        <v>0</v>
      </c>
      <c r="E286" s="21">
        <f>SUMIFS(Einzelbeträge!$D:$D,Einzelbeträge!$C:$C,'Ausgaben 2025'!$C286,Einzelbeträge!$E:$E,'Ausgaben 2025'!E$6)</f>
        <v>0</v>
      </c>
      <c r="F286" s="21">
        <f>SUMIFS(Einzelbeträge!$D:$D,Einzelbeträge!$C:$C,'Ausgaben 2025'!$C286,Einzelbeträge!$E:$E,'Ausgaben 2025'!F$6)</f>
        <v>0</v>
      </c>
      <c r="G286" s="21">
        <f>SUMIFS(Einzelbeträge!$D:$D,Einzelbeträge!$C:$C,'Ausgaben 2025'!$C286,Einzelbeträge!$E:$E,'Ausgaben 2025'!G$6)</f>
        <v>0</v>
      </c>
      <c r="H286" s="21">
        <f>SUMIFS(Einzelbeträge!$D:$D,Einzelbeträge!$C:$C,'Ausgaben 2025'!$C286,Einzelbeträge!$E:$E,'Ausgaben 2025'!H$6)</f>
        <v>0</v>
      </c>
      <c r="I286" s="21">
        <f>SUMIFS(Einzelbeträge!$D:$D,Einzelbeträge!$C:$C,'Ausgaben 2025'!$C286,Einzelbeträge!$E:$E,'Ausgaben 2025'!I$6)</f>
        <v>0</v>
      </c>
      <c r="J286" s="21">
        <f>SUMIFS(Einzelbeträge!$D:$D,Einzelbeträge!$C:$C,'Ausgaben 2025'!$C286,Einzelbeträge!$E:$E,'Ausgaben 2025'!J$6)</f>
        <v>0</v>
      </c>
      <c r="K286" s="21">
        <f>SUMIFS(Einzelbeträge!$D:$D,Einzelbeträge!$C:$C,'Ausgaben 2025'!$C286,Einzelbeträge!$E:$E,'Ausgaben 2025'!K$6)</f>
        <v>0</v>
      </c>
      <c r="L286" s="21">
        <f>SUMIFS(Einzelbeträge!$D:$D,Einzelbeträge!$C:$C,'Ausgaben 2025'!$C286,Einzelbeträge!$E:$E,'Ausgaben 2025'!L$6)</f>
        <v>0</v>
      </c>
      <c r="M286" s="21">
        <f>SUMIFS(Einzelbeträge!$D:$D,Einzelbeträge!$C:$C,'Ausgaben 2025'!$C286,Einzelbeträge!$E:$E,'Ausgaben 2025'!M$6)</f>
        <v>0</v>
      </c>
      <c r="N286" s="35">
        <f>SUMIFS(Einzelbeträge!$D:$D,Einzelbeträge!$C:$C,'Ausgaben 2025'!$C286,Einzelbeträge!$E:$E,'Ausgaben 2025'!N$6)</f>
        <v>0</v>
      </c>
      <c r="O286" s="6"/>
    </row>
    <row r="287" spans="2:15" x14ac:dyDescent="0.35">
      <c r="B287" s="5"/>
      <c r="C287" s="30">
        <f t="shared" si="24"/>
        <v>45913</v>
      </c>
      <c r="D287" s="46">
        <f>SUMIFS(Einzelbeträge!$D:$D,Einzelbeträge!$C:$C,'Ausgaben 2025'!$C287)</f>
        <v>0</v>
      </c>
      <c r="E287" s="21">
        <f>SUMIFS(Einzelbeträge!$D:$D,Einzelbeträge!$C:$C,'Ausgaben 2025'!$C287,Einzelbeträge!$E:$E,'Ausgaben 2025'!E$6)</f>
        <v>0</v>
      </c>
      <c r="F287" s="21">
        <f>SUMIFS(Einzelbeträge!$D:$D,Einzelbeträge!$C:$C,'Ausgaben 2025'!$C287,Einzelbeträge!$E:$E,'Ausgaben 2025'!F$6)</f>
        <v>0</v>
      </c>
      <c r="G287" s="21">
        <f>SUMIFS(Einzelbeträge!$D:$D,Einzelbeträge!$C:$C,'Ausgaben 2025'!$C287,Einzelbeträge!$E:$E,'Ausgaben 2025'!G$6)</f>
        <v>0</v>
      </c>
      <c r="H287" s="21">
        <f>SUMIFS(Einzelbeträge!$D:$D,Einzelbeträge!$C:$C,'Ausgaben 2025'!$C287,Einzelbeträge!$E:$E,'Ausgaben 2025'!H$6)</f>
        <v>0</v>
      </c>
      <c r="I287" s="21">
        <f>SUMIFS(Einzelbeträge!$D:$D,Einzelbeträge!$C:$C,'Ausgaben 2025'!$C287,Einzelbeträge!$E:$E,'Ausgaben 2025'!I$6)</f>
        <v>0</v>
      </c>
      <c r="J287" s="21">
        <f>SUMIFS(Einzelbeträge!$D:$D,Einzelbeträge!$C:$C,'Ausgaben 2025'!$C287,Einzelbeträge!$E:$E,'Ausgaben 2025'!J$6)</f>
        <v>0</v>
      </c>
      <c r="K287" s="21">
        <f>SUMIFS(Einzelbeträge!$D:$D,Einzelbeträge!$C:$C,'Ausgaben 2025'!$C287,Einzelbeträge!$E:$E,'Ausgaben 2025'!K$6)</f>
        <v>0</v>
      </c>
      <c r="L287" s="21">
        <f>SUMIFS(Einzelbeträge!$D:$D,Einzelbeträge!$C:$C,'Ausgaben 2025'!$C287,Einzelbeträge!$E:$E,'Ausgaben 2025'!L$6)</f>
        <v>0</v>
      </c>
      <c r="M287" s="21">
        <f>SUMIFS(Einzelbeträge!$D:$D,Einzelbeträge!$C:$C,'Ausgaben 2025'!$C287,Einzelbeträge!$E:$E,'Ausgaben 2025'!M$6)</f>
        <v>0</v>
      </c>
      <c r="N287" s="35">
        <f>SUMIFS(Einzelbeträge!$D:$D,Einzelbeträge!$C:$C,'Ausgaben 2025'!$C287,Einzelbeträge!$E:$E,'Ausgaben 2025'!N$6)</f>
        <v>0</v>
      </c>
      <c r="O287" s="6"/>
    </row>
    <row r="288" spans="2:15" x14ac:dyDescent="0.35">
      <c r="B288" s="5"/>
      <c r="C288" s="30">
        <f t="shared" si="24"/>
        <v>45914</v>
      </c>
      <c r="D288" s="46">
        <f>SUMIFS(Einzelbeträge!$D:$D,Einzelbeträge!$C:$C,'Ausgaben 2025'!$C288)</f>
        <v>0</v>
      </c>
      <c r="E288" s="21">
        <f>SUMIFS(Einzelbeträge!$D:$D,Einzelbeträge!$C:$C,'Ausgaben 2025'!$C288,Einzelbeträge!$E:$E,'Ausgaben 2025'!E$6)</f>
        <v>0</v>
      </c>
      <c r="F288" s="21">
        <f>SUMIFS(Einzelbeträge!$D:$D,Einzelbeträge!$C:$C,'Ausgaben 2025'!$C288,Einzelbeträge!$E:$E,'Ausgaben 2025'!F$6)</f>
        <v>0</v>
      </c>
      <c r="G288" s="21">
        <f>SUMIFS(Einzelbeträge!$D:$D,Einzelbeträge!$C:$C,'Ausgaben 2025'!$C288,Einzelbeträge!$E:$E,'Ausgaben 2025'!G$6)</f>
        <v>0</v>
      </c>
      <c r="H288" s="21">
        <f>SUMIFS(Einzelbeträge!$D:$D,Einzelbeträge!$C:$C,'Ausgaben 2025'!$C288,Einzelbeträge!$E:$E,'Ausgaben 2025'!H$6)</f>
        <v>0</v>
      </c>
      <c r="I288" s="21">
        <f>SUMIFS(Einzelbeträge!$D:$D,Einzelbeträge!$C:$C,'Ausgaben 2025'!$C288,Einzelbeträge!$E:$E,'Ausgaben 2025'!I$6)</f>
        <v>0</v>
      </c>
      <c r="J288" s="21">
        <f>SUMIFS(Einzelbeträge!$D:$D,Einzelbeträge!$C:$C,'Ausgaben 2025'!$C288,Einzelbeträge!$E:$E,'Ausgaben 2025'!J$6)</f>
        <v>0</v>
      </c>
      <c r="K288" s="21">
        <f>SUMIFS(Einzelbeträge!$D:$D,Einzelbeträge!$C:$C,'Ausgaben 2025'!$C288,Einzelbeträge!$E:$E,'Ausgaben 2025'!K$6)</f>
        <v>0</v>
      </c>
      <c r="L288" s="21">
        <f>SUMIFS(Einzelbeträge!$D:$D,Einzelbeträge!$C:$C,'Ausgaben 2025'!$C288,Einzelbeträge!$E:$E,'Ausgaben 2025'!L$6)</f>
        <v>0</v>
      </c>
      <c r="M288" s="21">
        <f>SUMIFS(Einzelbeträge!$D:$D,Einzelbeträge!$C:$C,'Ausgaben 2025'!$C288,Einzelbeträge!$E:$E,'Ausgaben 2025'!M$6)</f>
        <v>0</v>
      </c>
      <c r="N288" s="35">
        <f>SUMIFS(Einzelbeträge!$D:$D,Einzelbeträge!$C:$C,'Ausgaben 2025'!$C288,Einzelbeträge!$E:$E,'Ausgaben 2025'!N$6)</f>
        <v>0</v>
      </c>
      <c r="O288" s="6"/>
    </row>
    <row r="289" spans="2:15" x14ac:dyDescent="0.35">
      <c r="B289" s="5"/>
      <c r="C289" s="30">
        <f t="shared" si="24"/>
        <v>45915</v>
      </c>
      <c r="D289" s="46">
        <f>SUMIFS(Einzelbeträge!$D:$D,Einzelbeträge!$C:$C,'Ausgaben 2025'!$C289)</f>
        <v>0</v>
      </c>
      <c r="E289" s="21">
        <f>SUMIFS(Einzelbeträge!$D:$D,Einzelbeträge!$C:$C,'Ausgaben 2025'!$C289,Einzelbeträge!$E:$E,'Ausgaben 2025'!E$6)</f>
        <v>0</v>
      </c>
      <c r="F289" s="21">
        <f>SUMIFS(Einzelbeträge!$D:$D,Einzelbeträge!$C:$C,'Ausgaben 2025'!$C289,Einzelbeträge!$E:$E,'Ausgaben 2025'!F$6)</f>
        <v>0</v>
      </c>
      <c r="G289" s="21">
        <f>SUMIFS(Einzelbeträge!$D:$D,Einzelbeträge!$C:$C,'Ausgaben 2025'!$C289,Einzelbeträge!$E:$E,'Ausgaben 2025'!G$6)</f>
        <v>0</v>
      </c>
      <c r="H289" s="21">
        <f>SUMIFS(Einzelbeträge!$D:$D,Einzelbeträge!$C:$C,'Ausgaben 2025'!$C289,Einzelbeträge!$E:$E,'Ausgaben 2025'!H$6)</f>
        <v>0</v>
      </c>
      <c r="I289" s="21">
        <f>SUMIFS(Einzelbeträge!$D:$D,Einzelbeträge!$C:$C,'Ausgaben 2025'!$C289,Einzelbeträge!$E:$E,'Ausgaben 2025'!I$6)</f>
        <v>0</v>
      </c>
      <c r="J289" s="21">
        <f>SUMIFS(Einzelbeträge!$D:$D,Einzelbeträge!$C:$C,'Ausgaben 2025'!$C289,Einzelbeträge!$E:$E,'Ausgaben 2025'!J$6)</f>
        <v>0</v>
      </c>
      <c r="K289" s="21">
        <f>SUMIFS(Einzelbeträge!$D:$D,Einzelbeträge!$C:$C,'Ausgaben 2025'!$C289,Einzelbeträge!$E:$E,'Ausgaben 2025'!K$6)</f>
        <v>0</v>
      </c>
      <c r="L289" s="21">
        <f>SUMIFS(Einzelbeträge!$D:$D,Einzelbeträge!$C:$C,'Ausgaben 2025'!$C289,Einzelbeträge!$E:$E,'Ausgaben 2025'!L$6)</f>
        <v>0</v>
      </c>
      <c r="M289" s="21">
        <f>SUMIFS(Einzelbeträge!$D:$D,Einzelbeträge!$C:$C,'Ausgaben 2025'!$C289,Einzelbeträge!$E:$E,'Ausgaben 2025'!M$6)</f>
        <v>0</v>
      </c>
      <c r="N289" s="35">
        <f>SUMIFS(Einzelbeträge!$D:$D,Einzelbeträge!$C:$C,'Ausgaben 2025'!$C289,Einzelbeträge!$E:$E,'Ausgaben 2025'!N$6)</f>
        <v>0</v>
      </c>
      <c r="O289" s="6"/>
    </row>
    <row r="290" spans="2:15" x14ac:dyDescent="0.35">
      <c r="B290" s="5"/>
      <c r="C290" s="30">
        <f t="shared" si="24"/>
        <v>45916</v>
      </c>
      <c r="D290" s="46">
        <f>SUMIFS(Einzelbeträge!$D:$D,Einzelbeträge!$C:$C,'Ausgaben 2025'!$C290)</f>
        <v>0</v>
      </c>
      <c r="E290" s="21">
        <f>SUMIFS(Einzelbeträge!$D:$D,Einzelbeträge!$C:$C,'Ausgaben 2025'!$C290,Einzelbeträge!$E:$E,'Ausgaben 2025'!E$6)</f>
        <v>0</v>
      </c>
      <c r="F290" s="21">
        <f>SUMIFS(Einzelbeträge!$D:$D,Einzelbeträge!$C:$C,'Ausgaben 2025'!$C290,Einzelbeträge!$E:$E,'Ausgaben 2025'!F$6)</f>
        <v>0</v>
      </c>
      <c r="G290" s="21">
        <f>SUMIFS(Einzelbeträge!$D:$D,Einzelbeträge!$C:$C,'Ausgaben 2025'!$C290,Einzelbeträge!$E:$E,'Ausgaben 2025'!G$6)</f>
        <v>0</v>
      </c>
      <c r="H290" s="21">
        <f>SUMIFS(Einzelbeträge!$D:$D,Einzelbeträge!$C:$C,'Ausgaben 2025'!$C290,Einzelbeträge!$E:$E,'Ausgaben 2025'!H$6)</f>
        <v>0</v>
      </c>
      <c r="I290" s="21">
        <f>SUMIFS(Einzelbeträge!$D:$D,Einzelbeträge!$C:$C,'Ausgaben 2025'!$C290,Einzelbeträge!$E:$E,'Ausgaben 2025'!I$6)</f>
        <v>0</v>
      </c>
      <c r="J290" s="21">
        <f>SUMIFS(Einzelbeträge!$D:$D,Einzelbeträge!$C:$C,'Ausgaben 2025'!$C290,Einzelbeträge!$E:$E,'Ausgaben 2025'!J$6)</f>
        <v>0</v>
      </c>
      <c r="K290" s="21">
        <f>SUMIFS(Einzelbeträge!$D:$D,Einzelbeträge!$C:$C,'Ausgaben 2025'!$C290,Einzelbeträge!$E:$E,'Ausgaben 2025'!K$6)</f>
        <v>0</v>
      </c>
      <c r="L290" s="21">
        <f>SUMIFS(Einzelbeträge!$D:$D,Einzelbeträge!$C:$C,'Ausgaben 2025'!$C290,Einzelbeträge!$E:$E,'Ausgaben 2025'!L$6)</f>
        <v>0</v>
      </c>
      <c r="M290" s="21">
        <f>SUMIFS(Einzelbeträge!$D:$D,Einzelbeträge!$C:$C,'Ausgaben 2025'!$C290,Einzelbeträge!$E:$E,'Ausgaben 2025'!M$6)</f>
        <v>0</v>
      </c>
      <c r="N290" s="35">
        <f>SUMIFS(Einzelbeträge!$D:$D,Einzelbeträge!$C:$C,'Ausgaben 2025'!$C290,Einzelbeträge!$E:$E,'Ausgaben 2025'!N$6)</f>
        <v>0</v>
      </c>
      <c r="O290" s="6"/>
    </row>
    <row r="291" spans="2:15" x14ac:dyDescent="0.35">
      <c r="B291" s="5"/>
      <c r="C291" s="30">
        <f t="shared" si="24"/>
        <v>45917</v>
      </c>
      <c r="D291" s="46">
        <f>SUMIFS(Einzelbeträge!$D:$D,Einzelbeträge!$C:$C,'Ausgaben 2025'!$C291)</f>
        <v>0</v>
      </c>
      <c r="E291" s="21">
        <f>SUMIFS(Einzelbeträge!$D:$D,Einzelbeträge!$C:$C,'Ausgaben 2025'!$C291,Einzelbeträge!$E:$E,'Ausgaben 2025'!E$6)</f>
        <v>0</v>
      </c>
      <c r="F291" s="21">
        <f>SUMIFS(Einzelbeträge!$D:$D,Einzelbeträge!$C:$C,'Ausgaben 2025'!$C291,Einzelbeträge!$E:$E,'Ausgaben 2025'!F$6)</f>
        <v>0</v>
      </c>
      <c r="G291" s="21">
        <f>SUMIFS(Einzelbeträge!$D:$D,Einzelbeträge!$C:$C,'Ausgaben 2025'!$C291,Einzelbeträge!$E:$E,'Ausgaben 2025'!G$6)</f>
        <v>0</v>
      </c>
      <c r="H291" s="21">
        <f>SUMIFS(Einzelbeträge!$D:$D,Einzelbeträge!$C:$C,'Ausgaben 2025'!$C291,Einzelbeträge!$E:$E,'Ausgaben 2025'!H$6)</f>
        <v>0</v>
      </c>
      <c r="I291" s="21">
        <f>SUMIFS(Einzelbeträge!$D:$D,Einzelbeträge!$C:$C,'Ausgaben 2025'!$C291,Einzelbeträge!$E:$E,'Ausgaben 2025'!I$6)</f>
        <v>0</v>
      </c>
      <c r="J291" s="21">
        <f>SUMIFS(Einzelbeträge!$D:$D,Einzelbeträge!$C:$C,'Ausgaben 2025'!$C291,Einzelbeträge!$E:$E,'Ausgaben 2025'!J$6)</f>
        <v>0</v>
      </c>
      <c r="K291" s="21">
        <f>SUMIFS(Einzelbeträge!$D:$D,Einzelbeträge!$C:$C,'Ausgaben 2025'!$C291,Einzelbeträge!$E:$E,'Ausgaben 2025'!K$6)</f>
        <v>0</v>
      </c>
      <c r="L291" s="21">
        <f>SUMIFS(Einzelbeträge!$D:$D,Einzelbeträge!$C:$C,'Ausgaben 2025'!$C291,Einzelbeträge!$E:$E,'Ausgaben 2025'!L$6)</f>
        <v>0</v>
      </c>
      <c r="M291" s="21">
        <f>SUMIFS(Einzelbeträge!$D:$D,Einzelbeträge!$C:$C,'Ausgaben 2025'!$C291,Einzelbeträge!$E:$E,'Ausgaben 2025'!M$6)</f>
        <v>0</v>
      </c>
      <c r="N291" s="35">
        <f>SUMIFS(Einzelbeträge!$D:$D,Einzelbeträge!$C:$C,'Ausgaben 2025'!$C291,Einzelbeträge!$E:$E,'Ausgaben 2025'!N$6)</f>
        <v>0</v>
      </c>
      <c r="O291" s="6"/>
    </row>
    <row r="292" spans="2:15" x14ac:dyDescent="0.35">
      <c r="B292" s="5"/>
      <c r="C292" s="30">
        <f t="shared" si="24"/>
        <v>45918</v>
      </c>
      <c r="D292" s="46">
        <f>SUMIFS(Einzelbeträge!$D:$D,Einzelbeträge!$C:$C,'Ausgaben 2025'!$C292)</f>
        <v>0</v>
      </c>
      <c r="E292" s="21">
        <f>SUMIFS(Einzelbeträge!$D:$D,Einzelbeträge!$C:$C,'Ausgaben 2025'!$C292,Einzelbeträge!$E:$E,'Ausgaben 2025'!E$6)</f>
        <v>0</v>
      </c>
      <c r="F292" s="21">
        <f>SUMIFS(Einzelbeträge!$D:$D,Einzelbeträge!$C:$C,'Ausgaben 2025'!$C292,Einzelbeträge!$E:$E,'Ausgaben 2025'!F$6)</f>
        <v>0</v>
      </c>
      <c r="G292" s="21">
        <f>SUMIFS(Einzelbeträge!$D:$D,Einzelbeträge!$C:$C,'Ausgaben 2025'!$C292,Einzelbeträge!$E:$E,'Ausgaben 2025'!G$6)</f>
        <v>0</v>
      </c>
      <c r="H292" s="21">
        <f>SUMIFS(Einzelbeträge!$D:$D,Einzelbeträge!$C:$C,'Ausgaben 2025'!$C292,Einzelbeträge!$E:$E,'Ausgaben 2025'!H$6)</f>
        <v>0</v>
      </c>
      <c r="I292" s="21">
        <f>SUMIFS(Einzelbeträge!$D:$D,Einzelbeträge!$C:$C,'Ausgaben 2025'!$C292,Einzelbeträge!$E:$E,'Ausgaben 2025'!I$6)</f>
        <v>0</v>
      </c>
      <c r="J292" s="21">
        <f>SUMIFS(Einzelbeträge!$D:$D,Einzelbeträge!$C:$C,'Ausgaben 2025'!$C292,Einzelbeträge!$E:$E,'Ausgaben 2025'!J$6)</f>
        <v>0</v>
      </c>
      <c r="K292" s="21">
        <f>SUMIFS(Einzelbeträge!$D:$D,Einzelbeträge!$C:$C,'Ausgaben 2025'!$C292,Einzelbeträge!$E:$E,'Ausgaben 2025'!K$6)</f>
        <v>0</v>
      </c>
      <c r="L292" s="21">
        <f>SUMIFS(Einzelbeträge!$D:$D,Einzelbeträge!$C:$C,'Ausgaben 2025'!$C292,Einzelbeträge!$E:$E,'Ausgaben 2025'!L$6)</f>
        <v>0</v>
      </c>
      <c r="M292" s="21">
        <f>SUMIFS(Einzelbeträge!$D:$D,Einzelbeträge!$C:$C,'Ausgaben 2025'!$C292,Einzelbeträge!$E:$E,'Ausgaben 2025'!M$6)</f>
        <v>0</v>
      </c>
      <c r="N292" s="35">
        <f>SUMIFS(Einzelbeträge!$D:$D,Einzelbeträge!$C:$C,'Ausgaben 2025'!$C292,Einzelbeträge!$E:$E,'Ausgaben 2025'!N$6)</f>
        <v>0</v>
      </c>
      <c r="O292" s="6"/>
    </row>
    <row r="293" spans="2:15" x14ac:dyDescent="0.35">
      <c r="B293" s="5"/>
      <c r="C293" s="30">
        <f t="shared" si="24"/>
        <v>45919</v>
      </c>
      <c r="D293" s="46">
        <f>SUMIFS(Einzelbeträge!$D:$D,Einzelbeträge!$C:$C,'Ausgaben 2025'!$C293)</f>
        <v>0</v>
      </c>
      <c r="E293" s="21">
        <f>SUMIFS(Einzelbeträge!$D:$D,Einzelbeträge!$C:$C,'Ausgaben 2025'!$C293,Einzelbeträge!$E:$E,'Ausgaben 2025'!E$6)</f>
        <v>0</v>
      </c>
      <c r="F293" s="21">
        <f>SUMIFS(Einzelbeträge!$D:$D,Einzelbeträge!$C:$C,'Ausgaben 2025'!$C293,Einzelbeträge!$E:$E,'Ausgaben 2025'!F$6)</f>
        <v>0</v>
      </c>
      <c r="G293" s="21">
        <f>SUMIFS(Einzelbeträge!$D:$D,Einzelbeträge!$C:$C,'Ausgaben 2025'!$C293,Einzelbeträge!$E:$E,'Ausgaben 2025'!G$6)</f>
        <v>0</v>
      </c>
      <c r="H293" s="21">
        <f>SUMIFS(Einzelbeträge!$D:$D,Einzelbeträge!$C:$C,'Ausgaben 2025'!$C293,Einzelbeträge!$E:$E,'Ausgaben 2025'!H$6)</f>
        <v>0</v>
      </c>
      <c r="I293" s="21">
        <f>SUMIFS(Einzelbeträge!$D:$D,Einzelbeträge!$C:$C,'Ausgaben 2025'!$C293,Einzelbeträge!$E:$E,'Ausgaben 2025'!I$6)</f>
        <v>0</v>
      </c>
      <c r="J293" s="21">
        <f>SUMIFS(Einzelbeträge!$D:$D,Einzelbeträge!$C:$C,'Ausgaben 2025'!$C293,Einzelbeträge!$E:$E,'Ausgaben 2025'!J$6)</f>
        <v>0</v>
      </c>
      <c r="K293" s="21">
        <f>SUMIFS(Einzelbeträge!$D:$D,Einzelbeträge!$C:$C,'Ausgaben 2025'!$C293,Einzelbeträge!$E:$E,'Ausgaben 2025'!K$6)</f>
        <v>0</v>
      </c>
      <c r="L293" s="21">
        <f>SUMIFS(Einzelbeträge!$D:$D,Einzelbeträge!$C:$C,'Ausgaben 2025'!$C293,Einzelbeträge!$E:$E,'Ausgaben 2025'!L$6)</f>
        <v>0</v>
      </c>
      <c r="M293" s="21">
        <f>SUMIFS(Einzelbeträge!$D:$D,Einzelbeträge!$C:$C,'Ausgaben 2025'!$C293,Einzelbeträge!$E:$E,'Ausgaben 2025'!M$6)</f>
        <v>0</v>
      </c>
      <c r="N293" s="35">
        <f>SUMIFS(Einzelbeträge!$D:$D,Einzelbeträge!$C:$C,'Ausgaben 2025'!$C293,Einzelbeträge!$E:$E,'Ausgaben 2025'!N$6)</f>
        <v>0</v>
      </c>
      <c r="O293" s="6"/>
    </row>
    <row r="294" spans="2:15" x14ac:dyDescent="0.35">
      <c r="B294" s="5"/>
      <c r="C294" s="30">
        <f t="shared" si="24"/>
        <v>45920</v>
      </c>
      <c r="D294" s="46">
        <f>SUMIFS(Einzelbeträge!$D:$D,Einzelbeträge!$C:$C,'Ausgaben 2025'!$C294)</f>
        <v>0</v>
      </c>
      <c r="E294" s="21">
        <f>SUMIFS(Einzelbeträge!$D:$D,Einzelbeträge!$C:$C,'Ausgaben 2025'!$C294,Einzelbeträge!$E:$E,'Ausgaben 2025'!E$6)</f>
        <v>0</v>
      </c>
      <c r="F294" s="21">
        <f>SUMIFS(Einzelbeträge!$D:$D,Einzelbeträge!$C:$C,'Ausgaben 2025'!$C294,Einzelbeträge!$E:$E,'Ausgaben 2025'!F$6)</f>
        <v>0</v>
      </c>
      <c r="G294" s="21">
        <f>SUMIFS(Einzelbeträge!$D:$D,Einzelbeträge!$C:$C,'Ausgaben 2025'!$C294,Einzelbeträge!$E:$E,'Ausgaben 2025'!G$6)</f>
        <v>0</v>
      </c>
      <c r="H294" s="21">
        <f>SUMIFS(Einzelbeträge!$D:$D,Einzelbeträge!$C:$C,'Ausgaben 2025'!$C294,Einzelbeträge!$E:$E,'Ausgaben 2025'!H$6)</f>
        <v>0</v>
      </c>
      <c r="I294" s="21">
        <f>SUMIFS(Einzelbeträge!$D:$D,Einzelbeträge!$C:$C,'Ausgaben 2025'!$C294,Einzelbeträge!$E:$E,'Ausgaben 2025'!I$6)</f>
        <v>0</v>
      </c>
      <c r="J294" s="21">
        <f>SUMIFS(Einzelbeträge!$D:$D,Einzelbeträge!$C:$C,'Ausgaben 2025'!$C294,Einzelbeträge!$E:$E,'Ausgaben 2025'!J$6)</f>
        <v>0</v>
      </c>
      <c r="K294" s="21">
        <f>SUMIFS(Einzelbeträge!$D:$D,Einzelbeträge!$C:$C,'Ausgaben 2025'!$C294,Einzelbeträge!$E:$E,'Ausgaben 2025'!K$6)</f>
        <v>0</v>
      </c>
      <c r="L294" s="21">
        <f>SUMIFS(Einzelbeträge!$D:$D,Einzelbeträge!$C:$C,'Ausgaben 2025'!$C294,Einzelbeträge!$E:$E,'Ausgaben 2025'!L$6)</f>
        <v>0</v>
      </c>
      <c r="M294" s="21">
        <f>SUMIFS(Einzelbeträge!$D:$D,Einzelbeträge!$C:$C,'Ausgaben 2025'!$C294,Einzelbeträge!$E:$E,'Ausgaben 2025'!M$6)</f>
        <v>0</v>
      </c>
      <c r="N294" s="35">
        <f>SUMIFS(Einzelbeträge!$D:$D,Einzelbeträge!$C:$C,'Ausgaben 2025'!$C294,Einzelbeträge!$E:$E,'Ausgaben 2025'!N$6)</f>
        <v>0</v>
      </c>
      <c r="O294" s="6"/>
    </row>
    <row r="295" spans="2:15" x14ac:dyDescent="0.35">
      <c r="B295" s="5"/>
      <c r="C295" s="30">
        <f t="shared" si="24"/>
        <v>45921</v>
      </c>
      <c r="D295" s="46">
        <f>SUMIFS(Einzelbeträge!$D:$D,Einzelbeträge!$C:$C,'Ausgaben 2025'!$C295)</f>
        <v>0</v>
      </c>
      <c r="E295" s="21">
        <f>SUMIFS(Einzelbeträge!$D:$D,Einzelbeträge!$C:$C,'Ausgaben 2025'!$C295,Einzelbeträge!$E:$E,'Ausgaben 2025'!E$6)</f>
        <v>0</v>
      </c>
      <c r="F295" s="21">
        <f>SUMIFS(Einzelbeträge!$D:$D,Einzelbeträge!$C:$C,'Ausgaben 2025'!$C295,Einzelbeträge!$E:$E,'Ausgaben 2025'!F$6)</f>
        <v>0</v>
      </c>
      <c r="G295" s="21">
        <f>SUMIFS(Einzelbeträge!$D:$D,Einzelbeträge!$C:$C,'Ausgaben 2025'!$C295,Einzelbeträge!$E:$E,'Ausgaben 2025'!G$6)</f>
        <v>0</v>
      </c>
      <c r="H295" s="21">
        <f>SUMIFS(Einzelbeträge!$D:$D,Einzelbeträge!$C:$C,'Ausgaben 2025'!$C295,Einzelbeträge!$E:$E,'Ausgaben 2025'!H$6)</f>
        <v>0</v>
      </c>
      <c r="I295" s="21">
        <f>SUMIFS(Einzelbeträge!$D:$D,Einzelbeträge!$C:$C,'Ausgaben 2025'!$C295,Einzelbeträge!$E:$E,'Ausgaben 2025'!I$6)</f>
        <v>0</v>
      </c>
      <c r="J295" s="21">
        <f>SUMIFS(Einzelbeträge!$D:$D,Einzelbeträge!$C:$C,'Ausgaben 2025'!$C295,Einzelbeträge!$E:$E,'Ausgaben 2025'!J$6)</f>
        <v>0</v>
      </c>
      <c r="K295" s="21">
        <f>SUMIFS(Einzelbeträge!$D:$D,Einzelbeträge!$C:$C,'Ausgaben 2025'!$C295,Einzelbeträge!$E:$E,'Ausgaben 2025'!K$6)</f>
        <v>0</v>
      </c>
      <c r="L295" s="21">
        <f>SUMIFS(Einzelbeträge!$D:$D,Einzelbeträge!$C:$C,'Ausgaben 2025'!$C295,Einzelbeträge!$E:$E,'Ausgaben 2025'!L$6)</f>
        <v>0</v>
      </c>
      <c r="M295" s="21">
        <f>SUMIFS(Einzelbeträge!$D:$D,Einzelbeträge!$C:$C,'Ausgaben 2025'!$C295,Einzelbeträge!$E:$E,'Ausgaben 2025'!M$6)</f>
        <v>0</v>
      </c>
      <c r="N295" s="35">
        <f>SUMIFS(Einzelbeträge!$D:$D,Einzelbeträge!$C:$C,'Ausgaben 2025'!$C295,Einzelbeträge!$E:$E,'Ausgaben 2025'!N$6)</f>
        <v>0</v>
      </c>
      <c r="O295" s="6"/>
    </row>
    <row r="296" spans="2:15" x14ac:dyDescent="0.35">
      <c r="B296" s="5"/>
      <c r="C296" s="30">
        <f t="shared" si="24"/>
        <v>45922</v>
      </c>
      <c r="D296" s="46">
        <f>SUMIFS(Einzelbeträge!$D:$D,Einzelbeträge!$C:$C,'Ausgaben 2025'!$C296)</f>
        <v>0</v>
      </c>
      <c r="E296" s="21">
        <f>SUMIFS(Einzelbeträge!$D:$D,Einzelbeträge!$C:$C,'Ausgaben 2025'!$C296,Einzelbeträge!$E:$E,'Ausgaben 2025'!E$6)</f>
        <v>0</v>
      </c>
      <c r="F296" s="21">
        <f>SUMIFS(Einzelbeträge!$D:$D,Einzelbeträge!$C:$C,'Ausgaben 2025'!$C296,Einzelbeträge!$E:$E,'Ausgaben 2025'!F$6)</f>
        <v>0</v>
      </c>
      <c r="G296" s="21">
        <f>SUMIFS(Einzelbeträge!$D:$D,Einzelbeträge!$C:$C,'Ausgaben 2025'!$C296,Einzelbeträge!$E:$E,'Ausgaben 2025'!G$6)</f>
        <v>0</v>
      </c>
      <c r="H296" s="21">
        <f>SUMIFS(Einzelbeträge!$D:$D,Einzelbeträge!$C:$C,'Ausgaben 2025'!$C296,Einzelbeträge!$E:$E,'Ausgaben 2025'!H$6)</f>
        <v>0</v>
      </c>
      <c r="I296" s="21">
        <f>SUMIFS(Einzelbeträge!$D:$D,Einzelbeträge!$C:$C,'Ausgaben 2025'!$C296,Einzelbeträge!$E:$E,'Ausgaben 2025'!I$6)</f>
        <v>0</v>
      </c>
      <c r="J296" s="21">
        <f>SUMIFS(Einzelbeträge!$D:$D,Einzelbeträge!$C:$C,'Ausgaben 2025'!$C296,Einzelbeträge!$E:$E,'Ausgaben 2025'!J$6)</f>
        <v>0</v>
      </c>
      <c r="K296" s="21">
        <f>SUMIFS(Einzelbeträge!$D:$D,Einzelbeträge!$C:$C,'Ausgaben 2025'!$C296,Einzelbeträge!$E:$E,'Ausgaben 2025'!K$6)</f>
        <v>0</v>
      </c>
      <c r="L296" s="21">
        <f>SUMIFS(Einzelbeträge!$D:$D,Einzelbeträge!$C:$C,'Ausgaben 2025'!$C296,Einzelbeträge!$E:$E,'Ausgaben 2025'!L$6)</f>
        <v>0</v>
      </c>
      <c r="M296" s="21">
        <f>SUMIFS(Einzelbeträge!$D:$D,Einzelbeträge!$C:$C,'Ausgaben 2025'!$C296,Einzelbeträge!$E:$E,'Ausgaben 2025'!M$6)</f>
        <v>0</v>
      </c>
      <c r="N296" s="35">
        <f>SUMIFS(Einzelbeträge!$D:$D,Einzelbeträge!$C:$C,'Ausgaben 2025'!$C296,Einzelbeträge!$E:$E,'Ausgaben 2025'!N$6)</f>
        <v>0</v>
      </c>
      <c r="O296" s="6"/>
    </row>
    <row r="297" spans="2:15" x14ac:dyDescent="0.35">
      <c r="B297" s="5"/>
      <c r="C297" s="30">
        <f t="shared" si="24"/>
        <v>45923</v>
      </c>
      <c r="D297" s="46">
        <f>SUMIFS(Einzelbeträge!$D:$D,Einzelbeträge!$C:$C,'Ausgaben 2025'!$C297)</f>
        <v>0</v>
      </c>
      <c r="E297" s="21">
        <f>SUMIFS(Einzelbeträge!$D:$D,Einzelbeträge!$C:$C,'Ausgaben 2025'!$C297,Einzelbeträge!$E:$E,'Ausgaben 2025'!E$6)</f>
        <v>0</v>
      </c>
      <c r="F297" s="21">
        <f>SUMIFS(Einzelbeträge!$D:$D,Einzelbeträge!$C:$C,'Ausgaben 2025'!$C297,Einzelbeträge!$E:$E,'Ausgaben 2025'!F$6)</f>
        <v>0</v>
      </c>
      <c r="G297" s="21">
        <f>SUMIFS(Einzelbeträge!$D:$D,Einzelbeträge!$C:$C,'Ausgaben 2025'!$C297,Einzelbeträge!$E:$E,'Ausgaben 2025'!G$6)</f>
        <v>0</v>
      </c>
      <c r="H297" s="21">
        <f>SUMIFS(Einzelbeträge!$D:$D,Einzelbeträge!$C:$C,'Ausgaben 2025'!$C297,Einzelbeträge!$E:$E,'Ausgaben 2025'!H$6)</f>
        <v>0</v>
      </c>
      <c r="I297" s="21">
        <f>SUMIFS(Einzelbeträge!$D:$D,Einzelbeträge!$C:$C,'Ausgaben 2025'!$C297,Einzelbeträge!$E:$E,'Ausgaben 2025'!I$6)</f>
        <v>0</v>
      </c>
      <c r="J297" s="21">
        <f>SUMIFS(Einzelbeträge!$D:$D,Einzelbeträge!$C:$C,'Ausgaben 2025'!$C297,Einzelbeträge!$E:$E,'Ausgaben 2025'!J$6)</f>
        <v>0</v>
      </c>
      <c r="K297" s="21">
        <f>SUMIFS(Einzelbeträge!$D:$D,Einzelbeträge!$C:$C,'Ausgaben 2025'!$C297,Einzelbeträge!$E:$E,'Ausgaben 2025'!K$6)</f>
        <v>0</v>
      </c>
      <c r="L297" s="21">
        <f>SUMIFS(Einzelbeträge!$D:$D,Einzelbeträge!$C:$C,'Ausgaben 2025'!$C297,Einzelbeträge!$E:$E,'Ausgaben 2025'!L$6)</f>
        <v>0</v>
      </c>
      <c r="M297" s="21">
        <f>SUMIFS(Einzelbeträge!$D:$D,Einzelbeträge!$C:$C,'Ausgaben 2025'!$C297,Einzelbeträge!$E:$E,'Ausgaben 2025'!M$6)</f>
        <v>0</v>
      </c>
      <c r="N297" s="35">
        <f>SUMIFS(Einzelbeträge!$D:$D,Einzelbeträge!$C:$C,'Ausgaben 2025'!$C297,Einzelbeträge!$E:$E,'Ausgaben 2025'!N$6)</f>
        <v>0</v>
      </c>
      <c r="O297" s="6"/>
    </row>
    <row r="298" spans="2:15" x14ac:dyDescent="0.35">
      <c r="B298" s="5"/>
      <c r="C298" s="30">
        <f t="shared" si="24"/>
        <v>45924</v>
      </c>
      <c r="D298" s="46">
        <f>SUMIFS(Einzelbeträge!$D:$D,Einzelbeträge!$C:$C,'Ausgaben 2025'!$C298)</f>
        <v>0</v>
      </c>
      <c r="E298" s="21">
        <f>SUMIFS(Einzelbeträge!$D:$D,Einzelbeträge!$C:$C,'Ausgaben 2025'!$C298,Einzelbeträge!$E:$E,'Ausgaben 2025'!E$6)</f>
        <v>0</v>
      </c>
      <c r="F298" s="21">
        <f>SUMIFS(Einzelbeträge!$D:$D,Einzelbeträge!$C:$C,'Ausgaben 2025'!$C298,Einzelbeträge!$E:$E,'Ausgaben 2025'!F$6)</f>
        <v>0</v>
      </c>
      <c r="G298" s="21">
        <f>SUMIFS(Einzelbeträge!$D:$D,Einzelbeträge!$C:$C,'Ausgaben 2025'!$C298,Einzelbeträge!$E:$E,'Ausgaben 2025'!G$6)</f>
        <v>0</v>
      </c>
      <c r="H298" s="21">
        <f>SUMIFS(Einzelbeträge!$D:$D,Einzelbeträge!$C:$C,'Ausgaben 2025'!$C298,Einzelbeträge!$E:$E,'Ausgaben 2025'!H$6)</f>
        <v>0</v>
      </c>
      <c r="I298" s="21">
        <f>SUMIFS(Einzelbeträge!$D:$D,Einzelbeträge!$C:$C,'Ausgaben 2025'!$C298,Einzelbeträge!$E:$E,'Ausgaben 2025'!I$6)</f>
        <v>0</v>
      </c>
      <c r="J298" s="21">
        <f>SUMIFS(Einzelbeträge!$D:$D,Einzelbeträge!$C:$C,'Ausgaben 2025'!$C298,Einzelbeträge!$E:$E,'Ausgaben 2025'!J$6)</f>
        <v>0</v>
      </c>
      <c r="K298" s="21">
        <f>SUMIFS(Einzelbeträge!$D:$D,Einzelbeträge!$C:$C,'Ausgaben 2025'!$C298,Einzelbeträge!$E:$E,'Ausgaben 2025'!K$6)</f>
        <v>0</v>
      </c>
      <c r="L298" s="21">
        <f>SUMIFS(Einzelbeträge!$D:$D,Einzelbeträge!$C:$C,'Ausgaben 2025'!$C298,Einzelbeträge!$E:$E,'Ausgaben 2025'!L$6)</f>
        <v>0</v>
      </c>
      <c r="M298" s="21">
        <f>SUMIFS(Einzelbeträge!$D:$D,Einzelbeträge!$C:$C,'Ausgaben 2025'!$C298,Einzelbeträge!$E:$E,'Ausgaben 2025'!M$6)</f>
        <v>0</v>
      </c>
      <c r="N298" s="35">
        <f>SUMIFS(Einzelbeträge!$D:$D,Einzelbeträge!$C:$C,'Ausgaben 2025'!$C298,Einzelbeträge!$E:$E,'Ausgaben 2025'!N$6)</f>
        <v>0</v>
      </c>
      <c r="O298" s="6"/>
    </row>
    <row r="299" spans="2:15" x14ac:dyDescent="0.35">
      <c r="B299" s="5"/>
      <c r="C299" s="30">
        <f t="shared" si="24"/>
        <v>45925</v>
      </c>
      <c r="D299" s="46">
        <f>SUMIFS(Einzelbeträge!$D:$D,Einzelbeträge!$C:$C,'Ausgaben 2025'!$C299)</f>
        <v>0</v>
      </c>
      <c r="E299" s="21">
        <f>SUMIFS(Einzelbeträge!$D:$D,Einzelbeträge!$C:$C,'Ausgaben 2025'!$C299,Einzelbeträge!$E:$E,'Ausgaben 2025'!E$6)</f>
        <v>0</v>
      </c>
      <c r="F299" s="21">
        <f>SUMIFS(Einzelbeträge!$D:$D,Einzelbeträge!$C:$C,'Ausgaben 2025'!$C299,Einzelbeträge!$E:$E,'Ausgaben 2025'!F$6)</f>
        <v>0</v>
      </c>
      <c r="G299" s="21">
        <f>SUMIFS(Einzelbeträge!$D:$D,Einzelbeträge!$C:$C,'Ausgaben 2025'!$C299,Einzelbeträge!$E:$E,'Ausgaben 2025'!G$6)</f>
        <v>0</v>
      </c>
      <c r="H299" s="21">
        <f>SUMIFS(Einzelbeträge!$D:$D,Einzelbeträge!$C:$C,'Ausgaben 2025'!$C299,Einzelbeträge!$E:$E,'Ausgaben 2025'!H$6)</f>
        <v>0</v>
      </c>
      <c r="I299" s="21">
        <f>SUMIFS(Einzelbeträge!$D:$D,Einzelbeträge!$C:$C,'Ausgaben 2025'!$C299,Einzelbeträge!$E:$E,'Ausgaben 2025'!I$6)</f>
        <v>0</v>
      </c>
      <c r="J299" s="21">
        <f>SUMIFS(Einzelbeträge!$D:$D,Einzelbeträge!$C:$C,'Ausgaben 2025'!$C299,Einzelbeträge!$E:$E,'Ausgaben 2025'!J$6)</f>
        <v>0</v>
      </c>
      <c r="K299" s="21">
        <f>SUMIFS(Einzelbeträge!$D:$D,Einzelbeträge!$C:$C,'Ausgaben 2025'!$C299,Einzelbeträge!$E:$E,'Ausgaben 2025'!K$6)</f>
        <v>0</v>
      </c>
      <c r="L299" s="21">
        <f>SUMIFS(Einzelbeträge!$D:$D,Einzelbeträge!$C:$C,'Ausgaben 2025'!$C299,Einzelbeträge!$E:$E,'Ausgaben 2025'!L$6)</f>
        <v>0</v>
      </c>
      <c r="M299" s="21">
        <f>SUMIFS(Einzelbeträge!$D:$D,Einzelbeträge!$C:$C,'Ausgaben 2025'!$C299,Einzelbeträge!$E:$E,'Ausgaben 2025'!M$6)</f>
        <v>0</v>
      </c>
      <c r="N299" s="35">
        <f>SUMIFS(Einzelbeträge!$D:$D,Einzelbeträge!$C:$C,'Ausgaben 2025'!$C299,Einzelbeträge!$E:$E,'Ausgaben 2025'!N$6)</f>
        <v>0</v>
      </c>
      <c r="O299" s="6"/>
    </row>
    <row r="300" spans="2:15" x14ac:dyDescent="0.35">
      <c r="B300" s="5"/>
      <c r="C300" s="30">
        <f t="shared" si="24"/>
        <v>45926</v>
      </c>
      <c r="D300" s="46">
        <f>SUMIFS(Einzelbeträge!$D:$D,Einzelbeträge!$C:$C,'Ausgaben 2025'!$C300)</f>
        <v>0</v>
      </c>
      <c r="E300" s="21">
        <f>SUMIFS(Einzelbeträge!$D:$D,Einzelbeträge!$C:$C,'Ausgaben 2025'!$C300,Einzelbeträge!$E:$E,'Ausgaben 2025'!E$6)</f>
        <v>0</v>
      </c>
      <c r="F300" s="21">
        <f>SUMIFS(Einzelbeträge!$D:$D,Einzelbeträge!$C:$C,'Ausgaben 2025'!$C300,Einzelbeträge!$E:$E,'Ausgaben 2025'!F$6)</f>
        <v>0</v>
      </c>
      <c r="G300" s="21">
        <f>SUMIFS(Einzelbeträge!$D:$D,Einzelbeträge!$C:$C,'Ausgaben 2025'!$C300,Einzelbeträge!$E:$E,'Ausgaben 2025'!G$6)</f>
        <v>0</v>
      </c>
      <c r="H300" s="21">
        <f>SUMIFS(Einzelbeträge!$D:$D,Einzelbeträge!$C:$C,'Ausgaben 2025'!$C300,Einzelbeträge!$E:$E,'Ausgaben 2025'!H$6)</f>
        <v>0</v>
      </c>
      <c r="I300" s="21">
        <f>SUMIFS(Einzelbeträge!$D:$D,Einzelbeträge!$C:$C,'Ausgaben 2025'!$C300,Einzelbeträge!$E:$E,'Ausgaben 2025'!I$6)</f>
        <v>0</v>
      </c>
      <c r="J300" s="21">
        <f>SUMIFS(Einzelbeträge!$D:$D,Einzelbeträge!$C:$C,'Ausgaben 2025'!$C300,Einzelbeträge!$E:$E,'Ausgaben 2025'!J$6)</f>
        <v>0</v>
      </c>
      <c r="K300" s="21">
        <f>SUMIFS(Einzelbeträge!$D:$D,Einzelbeträge!$C:$C,'Ausgaben 2025'!$C300,Einzelbeträge!$E:$E,'Ausgaben 2025'!K$6)</f>
        <v>0</v>
      </c>
      <c r="L300" s="21">
        <f>SUMIFS(Einzelbeträge!$D:$D,Einzelbeträge!$C:$C,'Ausgaben 2025'!$C300,Einzelbeträge!$E:$E,'Ausgaben 2025'!L$6)</f>
        <v>0</v>
      </c>
      <c r="M300" s="21">
        <f>SUMIFS(Einzelbeträge!$D:$D,Einzelbeträge!$C:$C,'Ausgaben 2025'!$C300,Einzelbeträge!$E:$E,'Ausgaben 2025'!M$6)</f>
        <v>0</v>
      </c>
      <c r="N300" s="35">
        <f>SUMIFS(Einzelbeträge!$D:$D,Einzelbeträge!$C:$C,'Ausgaben 2025'!$C300,Einzelbeträge!$E:$E,'Ausgaben 2025'!N$6)</f>
        <v>0</v>
      </c>
      <c r="O300" s="6"/>
    </row>
    <row r="301" spans="2:15" x14ac:dyDescent="0.35">
      <c r="B301" s="5"/>
      <c r="C301" s="30">
        <f t="shared" si="24"/>
        <v>45927</v>
      </c>
      <c r="D301" s="46">
        <f>SUMIFS(Einzelbeträge!$D:$D,Einzelbeträge!$C:$C,'Ausgaben 2025'!$C301)</f>
        <v>0</v>
      </c>
      <c r="E301" s="21">
        <f>SUMIFS(Einzelbeträge!$D:$D,Einzelbeträge!$C:$C,'Ausgaben 2025'!$C301,Einzelbeträge!$E:$E,'Ausgaben 2025'!E$6)</f>
        <v>0</v>
      </c>
      <c r="F301" s="21">
        <f>SUMIFS(Einzelbeträge!$D:$D,Einzelbeträge!$C:$C,'Ausgaben 2025'!$C301,Einzelbeträge!$E:$E,'Ausgaben 2025'!F$6)</f>
        <v>0</v>
      </c>
      <c r="G301" s="21">
        <f>SUMIFS(Einzelbeträge!$D:$D,Einzelbeträge!$C:$C,'Ausgaben 2025'!$C301,Einzelbeträge!$E:$E,'Ausgaben 2025'!G$6)</f>
        <v>0</v>
      </c>
      <c r="H301" s="21">
        <f>SUMIFS(Einzelbeträge!$D:$D,Einzelbeträge!$C:$C,'Ausgaben 2025'!$C301,Einzelbeträge!$E:$E,'Ausgaben 2025'!H$6)</f>
        <v>0</v>
      </c>
      <c r="I301" s="21">
        <f>SUMIFS(Einzelbeträge!$D:$D,Einzelbeträge!$C:$C,'Ausgaben 2025'!$C301,Einzelbeträge!$E:$E,'Ausgaben 2025'!I$6)</f>
        <v>0</v>
      </c>
      <c r="J301" s="21">
        <f>SUMIFS(Einzelbeträge!$D:$D,Einzelbeträge!$C:$C,'Ausgaben 2025'!$C301,Einzelbeträge!$E:$E,'Ausgaben 2025'!J$6)</f>
        <v>0</v>
      </c>
      <c r="K301" s="21">
        <f>SUMIFS(Einzelbeträge!$D:$D,Einzelbeträge!$C:$C,'Ausgaben 2025'!$C301,Einzelbeträge!$E:$E,'Ausgaben 2025'!K$6)</f>
        <v>0</v>
      </c>
      <c r="L301" s="21">
        <f>SUMIFS(Einzelbeträge!$D:$D,Einzelbeträge!$C:$C,'Ausgaben 2025'!$C301,Einzelbeträge!$E:$E,'Ausgaben 2025'!L$6)</f>
        <v>0</v>
      </c>
      <c r="M301" s="21">
        <f>SUMIFS(Einzelbeträge!$D:$D,Einzelbeträge!$C:$C,'Ausgaben 2025'!$C301,Einzelbeträge!$E:$E,'Ausgaben 2025'!M$6)</f>
        <v>0</v>
      </c>
      <c r="N301" s="35">
        <f>SUMIFS(Einzelbeträge!$D:$D,Einzelbeträge!$C:$C,'Ausgaben 2025'!$C301,Einzelbeträge!$E:$E,'Ausgaben 2025'!N$6)</f>
        <v>0</v>
      </c>
      <c r="O301" s="6"/>
    </row>
    <row r="302" spans="2:15" x14ac:dyDescent="0.35">
      <c r="B302" s="5"/>
      <c r="C302" s="30">
        <f t="shared" si="24"/>
        <v>45928</v>
      </c>
      <c r="D302" s="46">
        <f>SUMIFS(Einzelbeträge!$D:$D,Einzelbeträge!$C:$C,'Ausgaben 2025'!$C302)</f>
        <v>0</v>
      </c>
      <c r="E302" s="21">
        <f>SUMIFS(Einzelbeträge!$D:$D,Einzelbeträge!$C:$C,'Ausgaben 2025'!$C302,Einzelbeträge!$E:$E,'Ausgaben 2025'!E$6)</f>
        <v>0</v>
      </c>
      <c r="F302" s="21">
        <f>SUMIFS(Einzelbeträge!$D:$D,Einzelbeträge!$C:$C,'Ausgaben 2025'!$C302,Einzelbeträge!$E:$E,'Ausgaben 2025'!F$6)</f>
        <v>0</v>
      </c>
      <c r="G302" s="21">
        <f>SUMIFS(Einzelbeträge!$D:$D,Einzelbeträge!$C:$C,'Ausgaben 2025'!$C302,Einzelbeträge!$E:$E,'Ausgaben 2025'!G$6)</f>
        <v>0</v>
      </c>
      <c r="H302" s="21">
        <f>SUMIFS(Einzelbeträge!$D:$D,Einzelbeträge!$C:$C,'Ausgaben 2025'!$C302,Einzelbeträge!$E:$E,'Ausgaben 2025'!H$6)</f>
        <v>0</v>
      </c>
      <c r="I302" s="21">
        <f>SUMIFS(Einzelbeträge!$D:$D,Einzelbeträge!$C:$C,'Ausgaben 2025'!$C302,Einzelbeträge!$E:$E,'Ausgaben 2025'!I$6)</f>
        <v>0</v>
      </c>
      <c r="J302" s="21">
        <f>SUMIFS(Einzelbeträge!$D:$D,Einzelbeträge!$C:$C,'Ausgaben 2025'!$C302,Einzelbeträge!$E:$E,'Ausgaben 2025'!J$6)</f>
        <v>0</v>
      </c>
      <c r="K302" s="21">
        <f>SUMIFS(Einzelbeträge!$D:$D,Einzelbeträge!$C:$C,'Ausgaben 2025'!$C302,Einzelbeträge!$E:$E,'Ausgaben 2025'!K$6)</f>
        <v>0</v>
      </c>
      <c r="L302" s="21">
        <f>SUMIFS(Einzelbeträge!$D:$D,Einzelbeträge!$C:$C,'Ausgaben 2025'!$C302,Einzelbeträge!$E:$E,'Ausgaben 2025'!L$6)</f>
        <v>0</v>
      </c>
      <c r="M302" s="21">
        <f>SUMIFS(Einzelbeträge!$D:$D,Einzelbeträge!$C:$C,'Ausgaben 2025'!$C302,Einzelbeträge!$E:$E,'Ausgaben 2025'!M$6)</f>
        <v>0</v>
      </c>
      <c r="N302" s="35">
        <f>SUMIFS(Einzelbeträge!$D:$D,Einzelbeträge!$C:$C,'Ausgaben 2025'!$C302,Einzelbeträge!$E:$E,'Ausgaben 2025'!N$6)</f>
        <v>0</v>
      </c>
      <c r="O302" s="6"/>
    </row>
    <row r="303" spans="2:15" x14ac:dyDescent="0.35">
      <c r="B303" s="5"/>
      <c r="C303" s="30">
        <f t="shared" si="24"/>
        <v>45929</v>
      </c>
      <c r="D303" s="46">
        <f>SUMIFS(Einzelbeträge!$D:$D,Einzelbeträge!$C:$C,'Ausgaben 2025'!$C303)</f>
        <v>0</v>
      </c>
      <c r="E303" s="21">
        <f>SUMIFS(Einzelbeträge!$D:$D,Einzelbeträge!$C:$C,'Ausgaben 2025'!$C303,Einzelbeträge!$E:$E,'Ausgaben 2025'!E$6)</f>
        <v>0</v>
      </c>
      <c r="F303" s="21">
        <f>SUMIFS(Einzelbeträge!$D:$D,Einzelbeträge!$C:$C,'Ausgaben 2025'!$C303,Einzelbeträge!$E:$E,'Ausgaben 2025'!F$6)</f>
        <v>0</v>
      </c>
      <c r="G303" s="21">
        <f>SUMIFS(Einzelbeträge!$D:$D,Einzelbeträge!$C:$C,'Ausgaben 2025'!$C303,Einzelbeträge!$E:$E,'Ausgaben 2025'!G$6)</f>
        <v>0</v>
      </c>
      <c r="H303" s="21">
        <f>SUMIFS(Einzelbeträge!$D:$D,Einzelbeträge!$C:$C,'Ausgaben 2025'!$C303,Einzelbeträge!$E:$E,'Ausgaben 2025'!H$6)</f>
        <v>0</v>
      </c>
      <c r="I303" s="21">
        <f>SUMIFS(Einzelbeträge!$D:$D,Einzelbeträge!$C:$C,'Ausgaben 2025'!$C303,Einzelbeträge!$E:$E,'Ausgaben 2025'!I$6)</f>
        <v>0</v>
      </c>
      <c r="J303" s="21">
        <f>SUMIFS(Einzelbeträge!$D:$D,Einzelbeträge!$C:$C,'Ausgaben 2025'!$C303,Einzelbeträge!$E:$E,'Ausgaben 2025'!J$6)</f>
        <v>0</v>
      </c>
      <c r="K303" s="21">
        <f>SUMIFS(Einzelbeträge!$D:$D,Einzelbeträge!$C:$C,'Ausgaben 2025'!$C303,Einzelbeträge!$E:$E,'Ausgaben 2025'!K$6)</f>
        <v>0</v>
      </c>
      <c r="L303" s="21">
        <f>SUMIFS(Einzelbeträge!$D:$D,Einzelbeträge!$C:$C,'Ausgaben 2025'!$C303,Einzelbeträge!$E:$E,'Ausgaben 2025'!L$6)</f>
        <v>0</v>
      </c>
      <c r="M303" s="21">
        <f>SUMIFS(Einzelbeträge!$D:$D,Einzelbeträge!$C:$C,'Ausgaben 2025'!$C303,Einzelbeträge!$E:$E,'Ausgaben 2025'!M$6)</f>
        <v>0</v>
      </c>
      <c r="N303" s="35">
        <f>SUMIFS(Einzelbeträge!$D:$D,Einzelbeträge!$C:$C,'Ausgaben 2025'!$C303,Einzelbeträge!$E:$E,'Ausgaben 2025'!N$6)</f>
        <v>0</v>
      </c>
      <c r="O303" s="6"/>
    </row>
    <row r="304" spans="2:15" x14ac:dyDescent="0.35">
      <c r="B304" s="5"/>
      <c r="C304" s="31">
        <f t="shared" si="24"/>
        <v>45930</v>
      </c>
      <c r="D304" s="47">
        <f>SUMIFS(Einzelbeträge!$D:$D,Einzelbeträge!$C:$C,'Ausgaben 2025'!$C304)</f>
        <v>0</v>
      </c>
      <c r="E304" s="37">
        <f>SUMIFS(Einzelbeträge!$D:$D,Einzelbeträge!$C:$C,'Ausgaben 2025'!$C304,Einzelbeträge!$E:$E,'Ausgaben 2025'!E$6)</f>
        <v>0</v>
      </c>
      <c r="F304" s="37">
        <f>SUMIFS(Einzelbeträge!$D:$D,Einzelbeträge!$C:$C,'Ausgaben 2025'!$C304,Einzelbeträge!$E:$E,'Ausgaben 2025'!F$6)</f>
        <v>0</v>
      </c>
      <c r="G304" s="37">
        <f>SUMIFS(Einzelbeträge!$D:$D,Einzelbeträge!$C:$C,'Ausgaben 2025'!$C304,Einzelbeträge!$E:$E,'Ausgaben 2025'!G$6)</f>
        <v>0</v>
      </c>
      <c r="H304" s="37">
        <f>SUMIFS(Einzelbeträge!$D:$D,Einzelbeträge!$C:$C,'Ausgaben 2025'!$C304,Einzelbeträge!$E:$E,'Ausgaben 2025'!H$6)</f>
        <v>0</v>
      </c>
      <c r="I304" s="37">
        <f>SUMIFS(Einzelbeträge!$D:$D,Einzelbeträge!$C:$C,'Ausgaben 2025'!$C304,Einzelbeträge!$E:$E,'Ausgaben 2025'!I$6)</f>
        <v>0</v>
      </c>
      <c r="J304" s="37">
        <f>SUMIFS(Einzelbeträge!$D:$D,Einzelbeträge!$C:$C,'Ausgaben 2025'!$C304,Einzelbeträge!$E:$E,'Ausgaben 2025'!J$6)</f>
        <v>0</v>
      </c>
      <c r="K304" s="37">
        <f>SUMIFS(Einzelbeträge!$D:$D,Einzelbeträge!$C:$C,'Ausgaben 2025'!$C304,Einzelbeträge!$E:$E,'Ausgaben 2025'!K$6)</f>
        <v>0</v>
      </c>
      <c r="L304" s="37">
        <f>SUMIFS(Einzelbeträge!$D:$D,Einzelbeträge!$C:$C,'Ausgaben 2025'!$C304,Einzelbeträge!$E:$E,'Ausgaben 2025'!L$6)</f>
        <v>0</v>
      </c>
      <c r="M304" s="37">
        <f>SUMIFS(Einzelbeträge!$D:$D,Einzelbeträge!$C:$C,'Ausgaben 2025'!$C304,Einzelbeträge!$E:$E,'Ausgaben 2025'!M$6)</f>
        <v>0</v>
      </c>
      <c r="N304" s="38">
        <f>SUMIFS(Einzelbeträge!$D:$D,Einzelbeträge!$C:$C,'Ausgaben 2025'!$C304,Einzelbeträge!$E:$E,'Ausgaben 2025'!N$6)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45931</v>
      </c>
      <c r="D308" s="45">
        <f>SUMIFS(Einzelbeträge!$D:$D,Einzelbeträge!$C:$C,'Ausgaben 2025'!$C308)</f>
        <v>0</v>
      </c>
      <c r="E308" s="32">
        <f>SUMIFS(Einzelbeträge!$D:$D,Einzelbeträge!$C:$C,'Ausgaben 2025'!$C308,Einzelbeträge!$E:$E,'Ausgaben 2025'!E$6)</f>
        <v>0</v>
      </c>
      <c r="F308" s="32">
        <f>SUMIFS(Einzelbeträge!$D:$D,Einzelbeträge!$C:$C,'Ausgaben 2025'!$C308,Einzelbeträge!$E:$E,'Ausgaben 2025'!F$6)</f>
        <v>0</v>
      </c>
      <c r="G308" s="32">
        <f>SUMIFS(Einzelbeträge!$D:$D,Einzelbeträge!$C:$C,'Ausgaben 2025'!$C308,Einzelbeträge!$E:$E,'Ausgaben 2025'!G$6)</f>
        <v>0</v>
      </c>
      <c r="H308" s="32">
        <f>SUMIFS(Einzelbeträge!$D:$D,Einzelbeträge!$C:$C,'Ausgaben 2025'!$C308,Einzelbeträge!$E:$E,'Ausgaben 2025'!H$6)</f>
        <v>0</v>
      </c>
      <c r="I308" s="32">
        <f>SUMIFS(Einzelbeträge!$D:$D,Einzelbeträge!$C:$C,'Ausgaben 2025'!$C308,Einzelbeträge!$E:$E,'Ausgaben 2025'!I$6)</f>
        <v>0</v>
      </c>
      <c r="J308" s="32">
        <f>SUMIFS(Einzelbeträge!$D:$D,Einzelbeträge!$C:$C,'Ausgaben 2025'!$C308,Einzelbeträge!$E:$E,'Ausgaben 2025'!J$6)</f>
        <v>0</v>
      </c>
      <c r="K308" s="32">
        <f>SUMIFS(Einzelbeträge!$D:$D,Einzelbeträge!$C:$C,'Ausgaben 2025'!$C308,Einzelbeträge!$E:$E,'Ausgaben 2025'!K$6)</f>
        <v>0</v>
      </c>
      <c r="L308" s="32">
        <f>SUMIFS(Einzelbeträge!$D:$D,Einzelbeträge!$C:$C,'Ausgaben 2025'!$C308,Einzelbeträge!$E:$E,'Ausgaben 2025'!L$6)</f>
        <v>0</v>
      </c>
      <c r="M308" s="32">
        <f>SUMIFS(Einzelbeträge!$D:$D,Einzelbeträge!$C:$C,'Ausgaben 2025'!$C308,Einzelbeträge!$E:$E,'Ausgaben 2025'!M$6)</f>
        <v>0</v>
      </c>
      <c r="N308" s="33">
        <f>SUMIFS(Einzelbeträge!$D:$D,Einzelbeträge!$C:$C,'Ausgaben 2025'!$C308,Einzelbeträge!$E:$E,'Ausgaben 2025'!N$6)</f>
        <v>0</v>
      </c>
      <c r="O308" s="6"/>
    </row>
    <row r="309" spans="2:15" x14ac:dyDescent="0.35">
      <c r="B309" s="5"/>
      <c r="C309" s="40">
        <f>C308+1</f>
        <v>45932</v>
      </c>
      <c r="D309" s="46">
        <f>SUMIFS(Einzelbeträge!$D:$D,Einzelbeträge!$C:$C,'Ausgaben 2025'!$C309)</f>
        <v>0</v>
      </c>
      <c r="E309" s="21">
        <f>SUMIFS(Einzelbeträge!$D:$D,Einzelbeträge!$C:$C,'Ausgaben 2025'!$C309,Einzelbeträge!$E:$E,'Ausgaben 2025'!E$6)</f>
        <v>0</v>
      </c>
      <c r="F309" s="21">
        <f>SUMIFS(Einzelbeträge!$D:$D,Einzelbeträge!$C:$C,'Ausgaben 2025'!$C309,Einzelbeträge!$E:$E,'Ausgaben 2025'!F$6)</f>
        <v>0</v>
      </c>
      <c r="G309" s="21">
        <f>SUMIFS(Einzelbeträge!$D:$D,Einzelbeträge!$C:$C,'Ausgaben 2025'!$C309,Einzelbeträge!$E:$E,'Ausgaben 2025'!G$6)</f>
        <v>0</v>
      </c>
      <c r="H309" s="21">
        <f>SUMIFS(Einzelbeträge!$D:$D,Einzelbeträge!$C:$C,'Ausgaben 2025'!$C309,Einzelbeträge!$E:$E,'Ausgaben 2025'!H$6)</f>
        <v>0</v>
      </c>
      <c r="I309" s="21">
        <f>SUMIFS(Einzelbeträge!$D:$D,Einzelbeträge!$C:$C,'Ausgaben 2025'!$C309,Einzelbeträge!$E:$E,'Ausgaben 2025'!I$6)</f>
        <v>0</v>
      </c>
      <c r="J309" s="21">
        <f>SUMIFS(Einzelbeträge!$D:$D,Einzelbeträge!$C:$C,'Ausgaben 2025'!$C309,Einzelbeträge!$E:$E,'Ausgaben 2025'!J$6)</f>
        <v>0</v>
      </c>
      <c r="K309" s="21">
        <f>SUMIFS(Einzelbeträge!$D:$D,Einzelbeträge!$C:$C,'Ausgaben 2025'!$C309,Einzelbeträge!$E:$E,'Ausgaben 2025'!K$6)</f>
        <v>0</v>
      </c>
      <c r="L309" s="21">
        <f>SUMIFS(Einzelbeträge!$D:$D,Einzelbeträge!$C:$C,'Ausgaben 2025'!$C309,Einzelbeträge!$E:$E,'Ausgaben 2025'!L$6)</f>
        <v>0</v>
      </c>
      <c r="M309" s="21">
        <f>SUMIFS(Einzelbeträge!$D:$D,Einzelbeträge!$C:$C,'Ausgaben 2025'!$C309,Einzelbeträge!$E:$E,'Ausgaben 2025'!M$6)</f>
        <v>0</v>
      </c>
      <c r="N309" s="35">
        <f>SUMIFS(Einzelbeträge!$D:$D,Einzelbeträge!$C:$C,'Ausgaben 2025'!$C309,Einzelbeträge!$E:$E,'Ausgaben 2025'!N$6)</f>
        <v>0</v>
      </c>
      <c r="O309" s="6"/>
    </row>
    <row r="310" spans="2:15" x14ac:dyDescent="0.35">
      <c r="B310" s="5"/>
      <c r="C310" s="40">
        <f t="shared" ref="C310:C338" si="25">C309+1</f>
        <v>45933</v>
      </c>
      <c r="D310" s="46">
        <f>SUMIFS(Einzelbeträge!$D:$D,Einzelbeträge!$C:$C,'Ausgaben 2025'!$C310)</f>
        <v>0</v>
      </c>
      <c r="E310" s="21">
        <f>SUMIFS(Einzelbeträge!$D:$D,Einzelbeträge!$C:$C,'Ausgaben 2025'!$C310,Einzelbeträge!$E:$E,'Ausgaben 2025'!E$6)</f>
        <v>0</v>
      </c>
      <c r="F310" s="21">
        <f>SUMIFS(Einzelbeträge!$D:$D,Einzelbeträge!$C:$C,'Ausgaben 2025'!$C310,Einzelbeträge!$E:$E,'Ausgaben 2025'!F$6)</f>
        <v>0</v>
      </c>
      <c r="G310" s="21">
        <f>SUMIFS(Einzelbeträge!$D:$D,Einzelbeträge!$C:$C,'Ausgaben 2025'!$C310,Einzelbeträge!$E:$E,'Ausgaben 2025'!G$6)</f>
        <v>0</v>
      </c>
      <c r="H310" s="21">
        <f>SUMIFS(Einzelbeträge!$D:$D,Einzelbeträge!$C:$C,'Ausgaben 2025'!$C310,Einzelbeträge!$E:$E,'Ausgaben 2025'!H$6)</f>
        <v>0</v>
      </c>
      <c r="I310" s="21">
        <f>SUMIFS(Einzelbeträge!$D:$D,Einzelbeträge!$C:$C,'Ausgaben 2025'!$C310,Einzelbeträge!$E:$E,'Ausgaben 2025'!I$6)</f>
        <v>0</v>
      </c>
      <c r="J310" s="21">
        <f>SUMIFS(Einzelbeträge!$D:$D,Einzelbeträge!$C:$C,'Ausgaben 2025'!$C310,Einzelbeträge!$E:$E,'Ausgaben 2025'!J$6)</f>
        <v>0</v>
      </c>
      <c r="K310" s="21">
        <f>SUMIFS(Einzelbeträge!$D:$D,Einzelbeträge!$C:$C,'Ausgaben 2025'!$C310,Einzelbeträge!$E:$E,'Ausgaben 2025'!K$6)</f>
        <v>0</v>
      </c>
      <c r="L310" s="21">
        <f>SUMIFS(Einzelbeträge!$D:$D,Einzelbeträge!$C:$C,'Ausgaben 2025'!$C310,Einzelbeträge!$E:$E,'Ausgaben 2025'!L$6)</f>
        <v>0</v>
      </c>
      <c r="M310" s="21">
        <f>SUMIFS(Einzelbeträge!$D:$D,Einzelbeträge!$C:$C,'Ausgaben 2025'!$C310,Einzelbeträge!$E:$E,'Ausgaben 2025'!M$6)</f>
        <v>0</v>
      </c>
      <c r="N310" s="35">
        <f>SUMIFS(Einzelbeträge!$D:$D,Einzelbeträge!$C:$C,'Ausgaben 2025'!$C310,Einzelbeträge!$E:$E,'Ausgaben 2025'!N$6)</f>
        <v>0</v>
      </c>
      <c r="O310" s="6"/>
    </row>
    <row r="311" spans="2:15" x14ac:dyDescent="0.35">
      <c r="B311" s="5"/>
      <c r="C311" s="40">
        <f t="shared" si="25"/>
        <v>45934</v>
      </c>
      <c r="D311" s="46">
        <f>SUMIFS(Einzelbeträge!$D:$D,Einzelbeträge!$C:$C,'Ausgaben 2025'!$C311)</f>
        <v>0</v>
      </c>
      <c r="E311" s="21">
        <f>SUMIFS(Einzelbeträge!$D:$D,Einzelbeträge!$C:$C,'Ausgaben 2025'!$C311,Einzelbeträge!$E:$E,'Ausgaben 2025'!E$6)</f>
        <v>0</v>
      </c>
      <c r="F311" s="21">
        <f>SUMIFS(Einzelbeträge!$D:$D,Einzelbeträge!$C:$C,'Ausgaben 2025'!$C311,Einzelbeträge!$E:$E,'Ausgaben 2025'!F$6)</f>
        <v>0</v>
      </c>
      <c r="G311" s="21">
        <f>SUMIFS(Einzelbeträge!$D:$D,Einzelbeträge!$C:$C,'Ausgaben 2025'!$C311,Einzelbeträge!$E:$E,'Ausgaben 2025'!G$6)</f>
        <v>0</v>
      </c>
      <c r="H311" s="21">
        <f>SUMIFS(Einzelbeträge!$D:$D,Einzelbeträge!$C:$C,'Ausgaben 2025'!$C311,Einzelbeträge!$E:$E,'Ausgaben 2025'!H$6)</f>
        <v>0</v>
      </c>
      <c r="I311" s="21">
        <f>SUMIFS(Einzelbeträge!$D:$D,Einzelbeträge!$C:$C,'Ausgaben 2025'!$C311,Einzelbeträge!$E:$E,'Ausgaben 2025'!I$6)</f>
        <v>0</v>
      </c>
      <c r="J311" s="21">
        <f>SUMIFS(Einzelbeträge!$D:$D,Einzelbeträge!$C:$C,'Ausgaben 2025'!$C311,Einzelbeträge!$E:$E,'Ausgaben 2025'!J$6)</f>
        <v>0</v>
      </c>
      <c r="K311" s="21">
        <f>SUMIFS(Einzelbeträge!$D:$D,Einzelbeträge!$C:$C,'Ausgaben 2025'!$C311,Einzelbeträge!$E:$E,'Ausgaben 2025'!K$6)</f>
        <v>0</v>
      </c>
      <c r="L311" s="21">
        <f>SUMIFS(Einzelbeträge!$D:$D,Einzelbeträge!$C:$C,'Ausgaben 2025'!$C311,Einzelbeträge!$E:$E,'Ausgaben 2025'!L$6)</f>
        <v>0</v>
      </c>
      <c r="M311" s="21">
        <f>SUMIFS(Einzelbeträge!$D:$D,Einzelbeträge!$C:$C,'Ausgaben 2025'!$C311,Einzelbeträge!$E:$E,'Ausgaben 2025'!M$6)</f>
        <v>0</v>
      </c>
      <c r="N311" s="35">
        <f>SUMIFS(Einzelbeträge!$D:$D,Einzelbeträge!$C:$C,'Ausgaben 2025'!$C311,Einzelbeträge!$E:$E,'Ausgaben 2025'!N$6)</f>
        <v>0</v>
      </c>
      <c r="O311" s="6"/>
    </row>
    <row r="312" spans="2:15" x14ac:dyDescent="0.35">
      <c r="B312" s="5"/>
      <c r="C312" s="40">
        <f t="shared" si="25"/>
        <v>45935</v>
      </c>
      <c r="D312" s="46">
        <f>SUMIFS(Einzelbeträge!$D:$D,Einzelbeträge!$C:$C,'Ausgaben 2025'!$C312)</f>
        <v>0</v>
      </c>
      <c r="E312" s="21">
        <f>SUMIFS(Einzelbeträge!$D:$D,Einzelbeträge!$C:$C,'Ausgaben 2025'!$C312,Einzelbeträge!$E:$E,'Ausgaben 2025'!E$6)</f>
        <v>0</v>
      </c>
      <c r="F312" s="21">
        <f>SUMIFS(Einzelbeträge!$D:$D,Einzelbeträge!$C:$C,'Ausgaben 2025'!$C312,Einzelbeträge!$E:$E,'Ausgaben 2025'!F$6)</f>
        <v>0</v>
      </c>
      <c r="G312" s="21">
        <f>SUMIFS(Einzelbeträge!$D:$D,Einzelbeträge!$C:$C,'Ausgaben 2025'!$C312,Einzelbeträge!$E:$E,'Ausgaben 2025'!G$6)</f>
        <v>0</v>
      </c>
      <c r="H312" s="21">
        <f>SUMIFS(Einzelbeträge!$D:$D,Einzelbeträge!$C:$C,'Ausgaben 2025'!$C312,Einzelbeträge!$E:$E,'Ausgaben 2025'!H$6)</f>
        <v>0</v>
      </c>
      <c r="I312" s="21">
        <f>SUMIFS(Einzelbeträge!$D:$D,Einzelbeträge!$C:$C,'Ausgaben 2025'!$C312,Einzelbeträge!$E:$E,'Ausgaben 2025'!I$6)</f>
        <v>0</v>
      </c>
      <c r="J312" s="21">
        <f>SUMIFS(Einzelbeträge!$D:$D,Einzelbeträge!$C:$C,'Ausgaben 2025'!$C312,Einzelbeträge!$E:$E,'Ausgaben 2025'!J$6)</f>
        <v>0</v>
      </c>
      <c r="K312" s="21">
        <f>SUMIFS(Einzelbeträge!$D:$D,Einzelbeträge!$C:$C,'Ausgaben 2025'!$C312,Einzelbeträge!$E:$E,'Ausgaben 2025'!K$6)</f>
        <v>0</v>
      </c>
      <c r="L312" s="21">
        <f>SUMIFS(Einzelbeträge!$D:$D,Einzelbeträge!$C:$C,'Ausgaben 2025'!$C312,Einzelbeträge!$E:$E,'Ausgaben 2025'!L$6)</f>
        <v>0</v>
      </c>
      <c r="M312" s="21">
        <f>SUMIFS(Einzelbeträge!$D:$D,Einzelbeträge!$C:$C,'Ausgaben 2025'!$C312,Einzelbeträge!$E:$E,'Ausgaben 2025'!M$6)</f>
        <v>0</v>
      </c>
      <c r="N312" s="35">
        <f>SUMIFS(Einzelbeträge!$D:$D,Einzelbeträge!$C:$C,'Ausgaben 2025'!$C312,Einzelbeträge!$E:$E,'Ausgaben 2025'!N$6)</f>
        <v>0</v>
      </c>
      <c r="O312" s="6"/>
    </row>
    <row r="313" spans="2:15" x14ac:dyDescent="0.35">
      <c r="B313" s="5"/>
      <c r="C313" s="40">
        <f t="shared" si="25"/>
        <v>45936</v>
      </c>
      <c r="D313" s="46">
        <f>SUMIFS(Einzelbeträge!$D:$D,Einzelbeträge!$C:$C,'Ausgaben 2025'!$C313)</f>
        <v>0</v>
      </c>
      <c r="E313" s="21">
        <f>SUMIFS(Einzelbeträge!$D:$D,Einzelbeträge!$C:$C,'Ausgaben 2025'!$C313,Einzelbeträge!$E:$E,'Ausgaben 2025'!E$6)</f>
        <v>0</v>
      </c>
      <c r="F313" s="21">
        <f>SUMIFS(Einzelbeträge!$D:$D,Einzelbeträge!$C:$C,'Ausgaben 2025'!$C313,Einzelbeträge!$E:$E,'Ausgaben 2025'!F$6)</f>
        <v>0</v>
      </c>
      <c r="G313" s="21">
        <f>SUMIFS(Einzelbeträge!$D:$D,Einzelbeträge!$C:$C,'Ausgaben 2025'!$C313,Einzelbeträge!$E:$E,'Ausgaben 2025'!G$6)</f>
        <v>0</v>
      </c>
      <c r="H313" s="21">
        <f>SUMIFS(Einzelbeträge!$D:$D,Einzelbeträge!$C:$C,'Ausgaben 2025'!$C313,Einzelbeträge!$E:$E,'Ausgaben 2025'!H$6)</f>
        <v>0</v>
      </c>
      <c r="I313" s="21">
        <f>SUMIFS(Einzelbeträge!$D:$D,Einzelbeträge!$C:$C,'Ausgaben 2025'!$C313,Einzelbeträge!$E:$E,'Ausgaben 2025'!I$6)</f>
        <v>0</v>
      </c>
      <c r="J313" s="21">
        <f>SUMIFS(Einzelbeträge!$D:$D,Einzelbeträge!$C:$C,'Ausgaben 2025'!$C313,Einzelbeträge!$E:$E,'Ausgaben 2025'!J$6)</f>
        <v>0</v>
      </c>
      <c r="K313" s="21">
        <f>SUMIFS(Einzelbeträge!$D:$D,Einzelbeträge!$C:$C,'Ausgaben 2025'!$C313,Einzelbeträge!$E:$E,'Ausgaben 2025'!K$6)</f>
        <v>0</v>
      </c>
      <c r="L313" s="21">
        <f>SUMIFS(Einzelbeträge!$D:$D,Einzelbeträge!$C:$C,'Ausgaben 2025'!$C313,Einzelbeträge!$E:$E,'Ausgaben 2025'!L$6)</f>
        <v>0</v>
      </c>
      <c r="M313" s="21">
        <f>SUMIFS(Einzelbeträge!$D:$D,Einzelbeträge!$C:$C,'Ausgaben 2025'!$C313,Einzelbeträge!$E:$E,'Ausgaben 2025'!M$6)</f>
        <v>0</v>
      </c>
      <c r="N313" s="35">
        <f>SUMIFS(Einzelbeträge!$D:$D,Einzelbeträge!$C:$C,'Ausgaben 2025'!$C313,Einzelbeträge!$E:$E,'Ausgaben 2025'!N$6)</f>
        <v>0</v>
      </c>
      <c r="O313" s="6"/>
    </row>
    <row r="314" spans="2:15" x14ac:dyDescent="0.35">
      <c r="B314" s="5"/>
      <c r="C314" s="40">
        <f t="shared" si="25"/>
        <v>45937</v>
      </c>
      <c r="D314" s="46">
        <f>SUMIFS(Einzelbeträge!$D:$D,Einzelbeträge!$C:$C,'Ausgaben 2025'!$C314)</f>
        <v>0</v>
      </c>
      <c r="E314" s="21">
        <f>SUMIFS(Einzelbeträge!$D:$D,Einzelbeträge!$C:$C,'Ausgaben 2025'!$C314,Einzelbeträge!$E:$E,'Ausgaben 2025'!E$6)</f>
        <v>0</v>
      </c>
      <c r="F314" s="21">
        <f>SUMIFS(Einzelbeträge!$D:$D,Einzelbeträge!$C:$C,'Ausgaben 2025'!$C314,Einzelbeträge!$E:$E,'Ausgaben 2025'!F$6)</f>
        <v>0</v>
      </c>
      <c r="G314" s="21">
        <f>SUMIFS(Einzelbeträge!$D:$D,Einzelbeträge!$C:$C,'Ausgaben 2025'!$C314,Einzelbeträge!$E:$E,'Ausgaben 2025'!G$6)</f>
        <v>0</v>
      </c>
      <c r="H314" s="21">
        <f>SUMIFS(Einzelbeträge!$D:$D,Einzelbeträge!$C:$C,'Ausgaben 2025'!$C314,Einzelbeträge!$E:$E,'Ausgaben 2025'!H$6)</f>
        <v>0</v>
      </c>
      <c r="I314" s="21">
        <f>SUMIFS(Einzelbeträge!$D:$D,Einzelbeträge!$C:$C,'Ausgaben 2025'!$C314,Einzelbeträge!$E:$E,'Ausgaben 2025'!I$6)</f>
        <v>0</v>
      </c>
      <c r="J314" s="21">
        <f>SUMIFS(Einzelbeträge!$D:$D,Einzelbeträge!$C:$C,'Ausgaben 2025'!$C314,Einzelbeträge!$E:$E,'Ausgaben 2025'!J$6)</f>
        <v>0</v>
      </c>
      <c r="K314" s="21">
        <f>SUMIFS(Einzelbeträge!$D:$D,Einzelbeträge!$C:$C,'Ausgaben 2025'!$C314,Einzelbeträge!$E:$E,'Ausgaben 2025'!K$6)</f>
        <v>0</v>
      </c>
      <c r="L314" s="21">
        <f>SUMIFS(Einzelbeträge!$D:$D,Einzelbeträge!$C:$C,'Ausgaben 2025'!$C314,Einzelbeträge!$E:$E,'Ausgaben 2025'!L$6)</f>
        <v>0</v>
      </c>
      <c r="M314" s="21">
        <f>SUMIFS(Einzelbeträge!$D:$D,Einzelbeträge!$C:$C,'Ausgaben 2025'!$C314,Einzelbeträge!$E:$E,'Ausgaben 2025'!M$6)</f>
        <v>0</v>
      </c>
      <c r="N314" s="35">
        <f>SUMIFS(Einzelbeträge!$D:$D,Einzelbeträge!$C:$C,'Ausgaben 2025'!$C314,Einzelbeträge!$E:$E,'Ausgaben 2025'!N$6)</f>
        <v>0</v>
      </c>
      <c r="O314" s="6"/>
    </row>
    <row r="315" spans="2:15" x14ac:dyDescent="0.35">
      <c r="B315" s="5"/>
      <c r="C315" s="40">
        <f t="shared" si="25"/>
        <v>45938</v>
      </c>
      <c r="D315" s="46">
        <f>SUMIFS(Einzelbeträge!$D:$D,Einzelbeträge!$C:$C,'Ausgaben 2025'!$C315)</f>
        <v>0</v>
      </c>
      <c r="E315" s="21">
        <f>SUMIFS(Einzelbeträge!$D:$D,Einzelbeträge!$C:$C,'Ausgaben 2025'!$C315,Einzelbeträge!$E:$E,'Ausgaben 2025'!E$6)</f>
        <v>0</v>
      </c>
      <c r="F315" s="21">
        <f>SUMIFS(Einzelbeträge!$D:$D,Einzelbeträge!$C:$C,'Ausgaben 2025'!$C315,Einzelbeträge!$E:$E,'Ausgaben 2025'!F$6)</f>
        <v>0</v>
      </c>
      <c r="G315" s="21">
        <f>SUMIFS(Einzelbeträge!$D:$D,Einzelbeträge!$C:$C,'Ausgaben 2025'!$C315,Einzelbeträge!$E:$E,'Ausgaben 2025'!G$6)</f>
        <v>0</v>
      </c>
      <c r="H315" s="21">
        <f>SUMIFS(Einzelbeträge!$D:$D,Einzelbeträge!$C:$C,'Ausgaben 2025'!$C315,Einzelbeträge!$E:$E,'Ausgaben 2025'!H$6)</f>
        <v>0</v>
      </c>
      <c r="I315" s="21">
        <f>SUMIFS(Einzelbeträge!$D:$D,Einzelbeträge!$C:$C,'Ausgaben 2025'!$C315,Einzelbeträge!$E:$E,'Ausgaben 2025'!I$6)</f>
        <v>0</v>
      </c>
      <c r="J315" s="21">
        <f>SUMIFS(Einzelbeträge!$D:$D,Einzelbeträge!$C:$C,'Ausgaben 2025'!$C315,Einzelbeträge!$E:$E,'Ausgaben 2025'!J$6)</f>
        <v>0</v>
      </c>
      <c r="K315" s="21">
        <f>SUMIFS(Einzelbeträge!$D:$D,Einzelbeträge!$C:$C,'Ausgaben 2025'!$C315,Einzelbeträge!$E:$E,'Ausgaben 2025'!K$6)</f>
        <v>0</v>
      </c>
      <c r="L315" s="21">
        <f>SUMIFS(Einzelbeträge!$D:$D,Einzelbeträge!$C:$C,'Ausgaben 2025'!$C315,Einzelbeträge!$E:$E,'Ausgaben 2025'!L$6)</f>
        <v>0</v>
      </c>
      <c r="M315" s="21">
        <f>SUMIFS(Einzelbeträge!$D:$D,Einzelbeträge!$C:$C,'Ausgaben 2025'!$C315,Einzelbeträge!$E:$E,'Ausgaben 2025'!M$6)</f>
        <v>0</v>
      </c>
      <c r="N315" s="35">
        <f>SUMIFS(Einzelbeträge!$D:$D,Einzelbeträge!$C:$C,'Ausgaben 2025'!$C315,Einzelbeträge!$E:$E,'Ausgaben 2025'!N$6)</f>
        <v>0</v>
      </c>
      <c r="O315" s="6"/>
    </row>
    <row r="316" spans="2:15" x14ac:dyDescent="0.35">
      <c r="B316" s="5"/>
      <c r="C316" s="40">
        <f t="shared" si="25"/>
        <v>45939</v>
      </c>
      <c r="D316" s="46">
        <f>SUMIFS(Einzelbeträge!$D:$D,Einzelbeträge!$C:$C,'Ausgaben 2025'!$C316)</f>
        <v>0</v>
      </c>
      <c r="E316" s="21">
        <f>SUMIFS(Einzelbeträge!$D:$D,Einzelbeträge!$C:$C,'Ausgaben 2025'!$C316,Einzelbeträge!$E:$E,'Ausgaben 2025'!E$6)</f>
        <v>0</v>
      </c>
      <c r="F316" s="21">
        <f>SUMIFS(Einzelbeträge!$D:$D,Einzelbeträge!$C:$C,'Ausgaben 2025'!$C316,Einzelbeträge!$E:$E,'Ausgaben 2025'!F$6)</f>
        <v>0</v>
      </c>
      <c r="G316" s="21">
        <f>SUMIFS(Einzelbeträge!$D:$D,Einzelbeträge!$C:$C,'Ausgaben 2025'!$C316,Einzelbeträge!$E:$E,'Ausgaben 2025'!G$6)</f>
        <v>0</v>
      </c>
      <c r="H316" s="21">
        <f>SUMIFS(Einzelbeträge!$D:$D,Einzelbeträge!$C:$C,'Ausgaben 2025'!$C316,Einzelbeträge!$E:$E,'Ausgaben 2025'!H$6)</f>
        <v>0</v>
      </c>
      <c r="I316" s="21">
        <f>SUMIFS(Einzelbeträge!$D:$D,Einzelbeträge!$C:$C,'Ausgaben 2025'!$C316,Einzelbeträge!$E:$E,'Ausgaben 2025'!I$6)</f>
        <v>0</v>
      </c>
      <c r="J316" s="21">
        <f>SUMIFS(Einzelbeträge!$D:$D,Einzelbeträge!$C:$C,'Ausgaben 2025'!$C316,Einzelbeträge!$E:$E,'Ausgaben 2025'!J$6)</f>
        <v>0</v>
      </c>
      <c r="K316" s="21">
        <f>SUMIFS(Einzelbeträge!$D:$D,Einzelbeträge!$C:$C,'Ausgaben 2025'!$C316,Einzelbeträge!$E:$E,'Ausgaben 2025'!K$6)</f>
        <v>0</v>
      </c>
      <c r="L316" s="21">
        <f>SUMIFS(Einzelbeträge!$D:$D,Einzelbeträge!$C:$C,'Ausgaben 2025'!$C316,Einzelbeträge!$E:$E,'Ausgaben 2025'!L$6)</f>
        <v>0</v>
      </c>
      <c r="M316" s="21">
        <f>SUMIFS(Einzelbeträge!$D:$D,Einzelbeträge!$C:$C,'Ausgaben 2025'!$C316,Einzelbeträge!$E:$E,'Ausgaben 2025'!M$6)</f>
        <v>0</v>
      </c>
      <c r="N316" s="35">
        <f>SUMIFS(Einzelbeträge!$D:$D,Einzelbeträge!$C:$C,'Ausgaben 2025'!$C316,Einzelbeträge!$E:$E,'Ausgaben 2025'!N$6)</f>
        <v>0</v>
      </c>
      <c r="O316" s="6"/>
    </row>
    <row r="317" spans="2:15" x14ac:dyDescent="0.35">
      <c r="B317" s="5"/>
      <c r="C317" s="40">
        <f t="shared" si="25"/>
        <v>45940</v>
      </c>
      <c r="D317" s="46">
        <f>SUMIFS(Einzelbeträge!$D:$D,Einzelbeträge!$C:$C,'Ausgaben 2025'!$C317)</f>
        <v>0</v>
      </c>
      <c r="E317" s="21">
        <f>SUMIFS(Einzelbeträge!$D:$D,Einzelbeträge!$C:$C,'Ausgaben 2025'!$C317,Einzelbeträge!$E:$E,'Ausgaben 2025'!E$6)</f>
        <v>0</v>
      </c>
      <c r="F317" s="21">
        <f>SUMIFS(Einzelbeträge!$D:$D,Einzelbeträge!$C:$C,'Ausgaben 2025'!$C317,Einzelbeträge!$E:$E,'Ausgaben 2025'!F$6)</f>
        <v>0</v>
      </c>
      <c r="G317" s="21">
        <f>SUMIFS(Einzelbeträge!$D:$D,Einzelbeträge!$C:$C,'Ausgaben 2025'!$C317,Einzelbeträge!$E:$E,'Ausgaben 2025'!G$6)</f>
        <v>0</v>
      </c>
      <c r="H317" s="21">
        <f>SUMIFS(Einzelbeträge!$D:$D,Einzelbeträge!$C:$C,'Ausgaben 2025'!$C317,Einzelbeträge!$E:$E,'Ausgaben 2025'!H$6)</f>
        <v>0</v>
      </c>
      <c r="I317" s="21">
        <f>SUMIFS(Einzelbeträge!$D:$D,Einzelbeträge!$C:$C,'Ausgaben 2025'!$C317,Einzelbeträge!$E:$E,'Ausgaben 2025'!I$6)</f>
        <v>0</v>
      </c>
      <c r="J317" s="21">
        <f>SUMIFS(Einzelbeträge!$D:$D,Einzelbeträge!$C:$C,'Ausgaben 2025'!$C317,Einzelbeträge!$E:$E,'Ausgaben 2025'!J$6)</f>
        <v>0</v>
      </c>
      <c r="K317" s="21">
        <f>SUMIFS(Einzelbeträge!$D:$D,Einzelbeträge!$C:$C,'Ausgaben 2025'!$C317,Einzelbeträge!$E:$E,'Ausgaben 2025'!K$6)</f>
        <v>0</v>
      </c>
      <c r="L317" s="21">
        <f>SUMIFS(Einzelbeträge!$D:$D,Einzelbeträge!$C:$C,'Ausgaben 2025'!$C317,Einzelbeträge!$E:$E,'Ausgaben 2025'!L$6)</f>
        <v>0</v>
      </c>
      <c r="M317" s="21">
        <f>SUMIFS(Einzelbeträge!$D:$D,Einzelbeträge!$C:$C,'Ausgaben 2025'!$C317,Einzelbeträge!$E:$E,'Ausgaben 2025'!M$6)</f>
        <v>0</v>
      </c>
      <c r="N317" s="35">
        <f>SUMIFS(Einzelbeträge!$D:$D,Einzelbeträge!$C:$C,'Ausgaben 2025'!$C317,Einzelbeträge!$E:$E,'Ausgaben 2025'!N$6)</f>
        <v>0</v>
      </c>
      <c r="O317" s="6"/>
    </row>
    <row r="318" spans="2:15" x14ac:dyDescent="0.35">
      <c r="B318" s="5"/>
      <c r="C318" s="40">
        <f t="shared" si="25"/>
        <v>45941</v>
      </c>
      <c r="D318" s="46">
        <f>SUMIFS(Einzelbeträge!$D:$D,Einzelbeträge!$C:$C,'Ausgaben 2025'!$C318)</f>
        <v>0</v>
      </c>
      <c r="E318" s="21">
        <f>SUMIFS(Einzelbeträge!$D:$D,Einzelbeträge!$C:$C,'Ausgaben 2025'!$C318,Einzelbeträge!$E:$E,'Ausgaben 2025'!E$6)</f>
        <v>0</v>
      </c>
      <c r="F318" s="21">
        <f>SUMIFS(Einzelbeträge!$D:$D,Einzelbeträge!$C:$C,'Ausgaben 2025'!$C318,Einzelbeträge!$E:$E,'Ausgaben 2025'!F$6)</f>
        <v>0</v>
      </c>
      <c r="G318" s="21">
        <f>SUMIFS(Einzelbeträge!$D:$D,Einzelbeträge!$C:$C,'Ausgaben 2025'!$C318,Einzelbeträge!$E:$E,'Ausgaben 2025'!G$6)</f>
        <v>0</v>
      </c>
      <c r="H318" s="21">
        <f>SUMIFS(Einzelbeträge!$D:$D,Einzelbeträge!$C:$C,'Ausgaben 2025'!$C318,Einzelbeträge!$E:$E,'Ausgaben 2025'!H$6)</f>
        <v>0</v>
      </c>
      <c r="I318" s="21">
        <f>SUMIFS(Einzelbeträge!$D:$D,Einzelbeträge!$C:$C,'Ausgaben 2025'!$C318,Einzelbeträge!$E:$E,'Ausgaben 2025'!I$6)</f>
        <v>0</v>
      </c>
      <c r="J318" s="21">
        <f>SUMIFS(Einzelbeträge!$D:$D,Einzelbeträge!$C:$C,'Ausgaben 2025'!$C318,Einzelbeträge!$E:$E,'Ausgaben 2025'!J$6)</f>
        <v>0</v>
      </c>
      <c r="K318" s="21">
        <f>SUMIFS(Einzelbeträge!$D:$D,Einzelbeträge!$C:$C,'Ausgaben 2025'!$C318,Einzelbeträge!$E:$E,'Ausgaben 2025'!K$6)</f>
        <v>0</v>
      </c>
      <c r="L318" s="21">
        <f>SUMIFS(Einzelbeträge!$D:$D,Einzelbeträge!$C:$C,'Ausgaben 2025'!$C318,Einzelbeträge!$E:$E,'Ausgaben 2025'!L$6)</f>
        <v>0</v>
      </c>
      <c r="M318" s="21">
        <f>SUMIFS(Einzelbeträge!$D:$D,Einzelbeträge!$C:$C,'Ausgaben 2025'!$C318,Einzelbeträge!$E:$E,'Ausgaben 2025'!M$6)</f>
        <v>0</v>
      </c>
      <c r="N318" s="35">
        <f>SUMIFS(Einzelbeträge!$D:$D,Einzelbeträge!$C:$C,'Ausgaben 2025'!$C318,Einzelbeträge!$E:$E,'Ausgaben 2025'!N$6)</f>
        <v>0</v>
      </c>
      <c r="O318" s="6"/>
    </row>
    <row r="319" spans="2:15" x14ac:dyDescent="0.35">
      <c r="B319" s="5"/>
      <c r="C319" s="40">
        <f t="shared" si="25"/>
        <v>45942</v>
      </c>
      <c r="D319" s="46">
        <f>SUMIFS(Einzelbeträge!$D:$D,Einzelbeträge!$C:$C,'Ausgaben 2025'!$C319)</f>
        <v>0</v>
      </c>
      <c r="E319" s="21">
        <f>SUMIFS(Einzelbeträge!$D:$D,Einzelbeträge!$C:$C,'Ausgaben 2025'!$C319,Einzelbeträge!$E:$E,'Ausgaben 2025'!E$6)</f>
        <v>0</v>
      </c>
      <c r="F319" s="21">
        <f>SUMIFS(Einzelbeträge!$D:$D,Einzelbeträge!$C:$C,'Ausgaben 2025'!$C319,Einzelbeträge!$E:$E,'Ausgaben 2025'!F$6)</f>
        <v>0</v>
      </c>
      <c r="G319" s="21">
        <f>SUMIFS(Einzelbeträge!$D:$D,Einzelbeträge!$C:$C,'Ausgaben 2025'!$C319,Einzelbeträge!$E:$E,'Ausgaben 2025'!G$6)</f>
        <v>0</v>
      </c>
      <c r="H319" s="21">
        <f>SUMIFS(Einzelbeträge!$D:$D,Einzelbeträge!$C:$C,'Ausgaben 2025'!$C319,Einzelbeträge!$E:$E,'Ausgaben 2025'!H$6)</f>
        <v>0</v>
      </c>
      <c r="I319" s="21">
        <f>SUMIFS(Einzelbeträge!$D:$D,Einzelbeträge!$C:$C,'Ausgaben 2025'!$C319,Einzelbeträge!$E:$E,'Ausgaben 2025'!I$6)</f>
        <v>0</v>
      </c>
      <c r="J319" s="21">
        <f>SUMIFS(Einzelbeträge!$D:$D,Einzelbeträge!$C:$C,'Ausgaben 2025'!$C319,Einzelbeträge!$E:$E,'Ausgaben 2025'!J$6)</f>
        <v>0</v>
      </c>
      <c r="K319" s="21">
        <f>SUMIFS(Einzelbeträge!$D:$D,Einzelbeträge!$C:$C,'Ausgaben 2025'!$C319,Einzelbeträge!$E:$E,'Ausgaben 2025'!K$6)</f>
        <v>0</v>
      </c>
      <c r="L319" s="21">
        <f>SUMIFS(Einzelbeträge!$D:$D,Einzelbeträge!$C:$C,'Ausgaben 2025'!$C319,Einzelbeträge!$E:$E,'Ausgaben 2025'!L$6)</f>
        <v>0</v>
      </c>
      <c r="M319" s="21">
        <f>SUMIFS(Einzelbeträge!$D:$D,Einzelbeträge!$C:$C,'Ausgaben 2025'!$C319,Einzelbeträge!$E:$E,'Ausgaben 2025'!M$6)</f>
        <v>0</v>
      </c>
      <c r="N319" s="35">
        <f>SUMIFS(Einzelbeträge!$D:$D,Einzelbeträge!$C:$C,'Ausgaben 2025'!$C319,Einzelbeträge!$E:$E,'Ausgaben 2025'!N$6)</f>
        <v>0</v>
      </c>
      <c r="O319" s="6"/>
    </row>
    <row r="320" spans="2:15" x14ac:dyDescent="0.35">
      <c r="B320" s="5"/>
      <c r="C320" s="40">
        <f t="shared" si="25"/>
        <v>45943</v>
      </c>
      <c r="D320" s="46">
        <f>SUMIFS(Einzelbeträge!$D:$D,Einzelbeträge!$C:$C,'Ausgaben 2025'!$C320)</f>
        <v>0</v>
      </c>
      <c r="E320" s="21">
        <f>SUMIFS(Einzelbeträge!$D:$D,Einzelbeträge!$C:$C,'Ausgaben 2025'!$C320,Einzelbeträge!$E:$E,'Ausgaben 2025'!E$6)</f>
        <v>0</v>
      </c>
      <c r="F320" s="21">
        <f>SUMIFS(Einzelbeträge!$D:$D,Einzelbeträge!$C:$C,'Ausgaben 2025'!$C320,Einzelbeträge!$E:$E,'Ausgaben 2025'!F$6)</f>
        <v>0</v>
      </c>
      <c r="G320" s="21">
        <f>SUMIFS(Einzelbeträge!$D:$D,Einzelbeträge!$C:$C,'Ausgaben 2025'!$C320,Einzelbeträge!$E:$E,'Ausgaben 2025'!G$6)</f>
        <v>0</v>
      </c>
      <c r="H320" s="21">
        <f>SUMIFS(Einzelbeträge!$D:$D,Einzelbeträge!$C:$C,'Ausgaben 2025'!$C320,Einzelbeträge!$E:$E,'Ausgaben 2025'!H$6)</f>
        <v>0</v>
      </c>
      <c r="I320" s="21">
        <f>SUMIFS(Einzelbeträge!$D:$D,Einzelbeträge!$C:$C,'Ausgaben 2025'!$C320,Einzelbeträge!$E:$E,'Ausgaben 2025'!I$6)</f>
        <v>0</v>
      </c>
      <c r="J320" s="21">
        <f>SUMIFS(Einzelbeträge!$D:$D,Einzelbeträge!$C:$C,'Ausgaben 2025'!$C320,Einzelbeträge!$E:$E,'Ausgaben 2025'!J$6)</f>
        <v>0</v>
      </c>
      <c r="K320" s="21">
        <f>SUMIFS(Einzelbeträge!$D:$D,Einzelbeträge!$C:$C,'Ausgaben 2025'!$C320,Einzelbeträge!$E:$E,'Ausgaben 2025'!K$6)</f>
        <v>0</v>
      </c>
      <c r="L320" s="21">
        <f>SUMIFS(Einzelbeträge!$D:$D,Einzelbeträge!$C:$C,'Ausgaben 2025'!$C320,Einzelbeträge!$E:$E,'Ausgaben 2025'!L$6)</f>
        <v>0</v>
      </c>
      <c r="M320" s="21">
        <f>SUMIFS(Einzelbeträge!$D:$D,Einzelbeträge!$C:$C,'Ausgaben 2025'!$C320,Einzelbeträge!$E:$E,'Ausgaben 2025'!M$6)</f>
        <v>0</v>
      </c>
      <c r="N320" s="35">
        <f>SUMIFS(Einzelbeträge!$D:$D,Einzelbeträge!$C:$C,'Ausgaben 2025'!$C320,Einzelbeträge!$E:$E,'Ausgaben 2025'!N$6)</f>
        <v>0</v>
      </c>
      <c r="O320" s="6"/>
    </row>
    <row r="321" spans="2:15" x14ac:dyDescent="0.35">
      <c r="B321" s="5"/>
      <c r="C321" s="40">
        <f t="shared" si="25"/>
        <v>45944</v>
      </c>
      <c r="D321" s="46">
        <f>SUMIFS(Einzelbeträge!$D:$D,Einzelbeträge!$C:$C,'Ausgaben 2025'!$C321)</f>
        <v>0</v>
      </c>
      <c r="E321" s="21">
        <f>SUMIFS(Einzelbeträge!$D:$D,Einzelbeträge!$C:$C,'Ausgaben 2025'!$C321,Einzelbeträge!$E:$E,'Ausgaben 2025'!E$6)</f>
        <v>0</v>
      </c>
      <c r="F321" s="21">
        <f>SUMIFS(Einzelbeträge!$D:$D,Einzelbeträge!$C:$C,'Ausgaben 2025'!$C321,Einzelbeträge!$E:$E,'Ausgaben 2025'!F$6)</f>
        <v>0</v>
      </c>
      <c r="G321" s="21">
        <f>SUMIFS(Einzelbeträge!$D:$D,Einzelbeträge!$C:$C,'Ausgaben 2025'!$C321,Einzelbeträge!$E:$E,'Ausgaben 2025'!G$6)</f>
        <v>0</v>
      </c>
      <c r="H321" s="21">
        <f>SUMIFS(Einzelbeträge!$D:$D,Einzelbeträge!$C:$C,'Ausgaben 2025'!$C321,Einzelbeträge!$E:$E,'Ausgaben 2025'!H$6)</f>
        <v>0</v>
      </c>
      <c r="I321" s="21">
        <f>SUMIFS(Einzelbeträge!$D:$D,Einzelbeträge!$C:$C,'Ausgaben 2025'!$C321,Einzelbeträge!$E:$E,'Ausgaben 2025'!I$6)</f>
        <v>0</v>
      </c>
      <c r="J321" s="21">
        <f>SUMIFS(Einzelbeträge!$D:$D,Einzelbeträge!$C:$C,'Ausgaben 2025'!$C321,Einzelbeträge!$E:$E,'Ausgaben 2025'!J$6)</f>
        <v>0</v>
      </c>
      <c r="K321" s="21">
        <f>SUMIFS(Einzelbeträge!$D:$D,Einzelbeträge!$C:$C,'Ausgaben 2025'!$C321,Einzelbeträge!$E:$E,'Ausgaben 2025'!K$6)</f>
        <v>0</v>
      </c>
      <c r="L321" s="21">
        <f>SUMIFS(Einzelbeträge!$D:$D,Einzelbeträge!$C:$C,'Ausgaben 2025'!$C321,Einzelbeträge!$E:$E,'Ausgaben 2025'!L$6)</f>
        <v>0</v>
      </c>
      <c r="M321" s="21">
        <f>SUMIFS(Einzelbeträge!$D:$D,Einzelbeträge!$C:$C,'Ausgaben 2025'!$C321,Einzelbeträge!$E:$E,'Ausgaben 2025'!M$6)</f>
        <v>0</v>
      </c>
      <c r="N321" s="35">
        <f>SUMIFS(Einzelbeträge!$D:$D,Einzelbeträge!$C:$C,'Ausgaben 2025'!$C321,Einzelbeträge!$E:$E,'Ausgaben 2025'!N$6)</f>
        <v>0</v>
      </c>
      <c r="O321" s="6"/>
    </row>
    <row r="322" spans="2:15" x14ac:dyDescent="0.35">
      <c r="B322" s="5"/>
      <c r="C322" s="40">
        <f t="shared" si="25"/>
        <v>45945</v>
      </c>
      <c r="D322" s="46">
        <f>SUMIFS(Einzelbeträge!$D:$D,Einzelbeträge!$C:$C,'Ausgaben 2025'!$C322)</f>
        <v>0</v>
      </c>
      <c r="E322" s="21">
        <f>SUMIFS(Einzelbeträge!$D:$D,Einzelbeträge!$C:$C,'Ausgaben 2025'!$C322,Einzelbeträge!$E:$E,'Ausgaben 2025'!E$6)</f>
        <v>0</v>
      </c>
      <c r="F322" s="21">
        <f>SUMIFS(Einzelbeträge!$D:$D,Einzelbeträge!$C:$C,'Ausgaben 2025'!$C322,Einzelbeträge!$E:$E,'Ausgaben 2025'!F$6)</f>
        <v>0</v>
      </c>
      <c r="G322" s="21">
        <f>SUMIFS(Einzelbeträge!$D:$D,Einzelbeträge!$C:$C,'Ausgaben 2025'!$C322,Einzelbeträge!$E:$E,'Ausgaben 2025'!G$6)</f>
        <v>0</v>
      </c>
      <c r="H322" s="21">
        <f>SUMIFS(Einzelbeträge!$D:$D,Einzelbeträge!$C:$C,'Ausgaben 2025'!$C322,Einzelbeträge!$E:$E,'Ausgaben 2025'!H$6)</f>
        <v>0</v>
      </c>
      <c r="I322" s="21">
        <f>SUMIFS(Einzelbeträge!$D:$D,Einzelbeträge!$C:$C,'Ausgaben 2025'!$C322,Einzelbeträge!$E:$E,'Ausgaben 2025'!I$6)</f>
        <v>0</v>
      </c>
      <c r="J322" s="21">
        <f>SUMIFS(Einzelbeträge!$D:$D,Einzelbeträge!$C:$C,'Ausgaben 2025'!$C322,Einzelbeträge!$E:$E,'Ausgaben 2025'!J$6)</f>
        <v>0</v>
      </c>
      <c r="K322" s="21">
        <f>SUMIFS(Einzelbeträge!$D:$D,Einzelbeträge!$C:$C,'Ausgaben 2025'!$C322,Einzelbeträge!$E:$E,'Ausgaben 2025'!K$6)</f>
        <v>0</v>
      </c>
      <c r="L322" s="21">
        <f>SUMIFS(Einzelbeträge!$D:$D,Einzelbeträge!$C:$C,'Ausgaben 2025'!$C322,Einzelbeträge!$E:$E,'Ausgaben 2025'!L$6)</f>
        <v>0</v>
      </c>
      <c r="M322" s="21">
        <f>SUMIFS(Einzelbeträge!$D:$D,Einzelbeträge!$C:$C,'Ausgaben 2025'!$C322,Einzelbeträge!$E:$E,'Ausgaben 2025'!M$6)</f>
        <v>0</v>
      </c>
      <c r="N322" s="35">
        <f>SUMIFS(Einzelbeträge!$D:$D,Einzelbeträge!$C:$C,'Ausgaben 2025'!$C322,Einzelbeträge!$E:$E,'Ausgaben 2025'!N$6)</f>
        <v>0</v>
      </c>
      <c r="O322" s="6"/>
    </row>
    <row r="323" spans="2:15" x14ac:dyDescent="0.35">
      <c r="B323" s="5"/>
      <c r="C323" s="40">
        <f t="shared" si="25"/>
        <v>45946</v>
      </c>
      <c r="D323" s="46">
        <f>SUMIFS(Einzelbeträge!$D:$D,Einzelbeträge!$C:$C,'Ausgaben 2025'!$C323)</f>
        <v>0</v>
      </c>
      <c r="E323" s="21">
        <f>SUMIFS(Einzelbeträge!$D:$D,Einzelbeträge!$C:$C,'Ausgaben 2025'!$C323,Einzelbeträge!$E:$E,'Ausgaben 2025'!E$6)</f>
        <v>0</v>
      </c>
      <c r="F323" s="21">
        <f>SUMIFS(Einzelbeträge!$D:$D,Einzelbeträge!$C:$C,'Ausgaben 2025'!$C323,Einzelbeträge!$E:$E,'Ausgaben 2025'!F$6)</f>
        <v>0</v>
      </c>
      <c r="G323" s="21">
        <f>SUMIFS(Einzelbeträge!$D:$D,Einzelbeträge!$C:$C,'Ausgaben 2025'!$C323,Einzelbeträge!$E:$E,'Ausgaben 2025'!G$6)</f>
        <v>0</v>
      </c>
      <c r="H323" s="21">
        <f>SUMIFS(Einzelbeträge!$D:$D,Einzelbeträge!$C:$C,'Ausgaben 2025'!$C323,Einzelbeträge!$E:$E,'Ausgaben 2025'!H$6)</f>
        <v>0</v>
      </c>
      <c r="I323" s="21">
        <f>SUMIFS(Einzelbeträge!$D:$D,Einzelbeträge!$C:$C,'Ausgaben 2025'!$C323,Einzelbeträge!$E:$E,'Ausgaben 2025'!I$6)</f>
        <v>0</v>
      </c>
      <c r="J323" s="21">
        <f>SUMIFS(Einzelbeträge!$D:$D,Einzelbeträge!$C:$C,'Ausgaben 2025'!$C323,Einzelbeträge!$E:$E,'Ausgaben 2025'!J$6)</f>
        <v>0</v>
      </c>
      <c r="K323" s="21">
        <f>SUMIFS(Einzelbeträge!$D:$D,Einzelbeträge!$C:$C,'Ausgaben 2025'!$C323,Einzelbeträge!$E:$E,'Ausgaben 2025'!K$6)</f>
        <v>0</v>
      </c>
      <c r="L323" s="21">
        <f>SUMIFS(Einzelbeträge!$D:$D,Einzelbeträge!$C:$C,'Ausgaben 2025'!$C323,Einzelbeträge!$E:$E,'Ausgaben 2025'!L$6)</f>
        <v>0</v>
      </c>
      <c r="M323" s="21">
        <f>SUMIFS(Einzelbeträge!$D:$D,Einzelbeträge!$C:$C,'Ausgaben 2025'!$C323,Einzelbeträge!$E:$E,'Ausgaben 2025'!M$6)</f>
        <v>0</v>
      </c>
      <c r="N323" s="35">
        <f>SUMIFS(Einzelbeträge!$D:$D,Einzelbeträge!$C:$C,'Ausgaben 2025'!$C323,Einzelbeträge!$E:$E,'Ausgaben 2025'!N$6)</f>
        <v>0</v>
      </c>
      <c r="O323" s="6"/>
    </row>
    <row r="324" spans="2:15" x14ac:dyDescent="0.35">
      <c r="B324" s="5"/>
      <c r="C324" s="40">
        <f t="shared" si="25"/>
        <v>45947</v>
      </c>
      <c r="D324" s="46">
        <f>SUMIFS(Einzelbeträge!$D:$D,Einzelbeträge!$C:$C,'Ausgaben 2025'!$C324)</f>
        <v>0</v>
      </c>
      <c r="E324" s="21">
        <f>SUMIFS(Einzelbeträge!$D:$D,Einzelbeträge!$C:$C,'Ausgaben 2025'!$C324,Einzelbeträge!$E:$E,'Ausgaben 2025'!E$6)</f>
        <v>0</v>
      </c>
      <c r="F324" s="21">
        <f>SUMIFS(Einzelbeträge!$D:$D,Einzelbeträge!$C:$C,'Ausgaben 2025'!$C324,Einzelbeträge!$E:$E,'Ausgaben 2025'!F$6)</f>
        <v>0</v>
      </c>
      <c r="G324" s="21">
        <f>SUMIFS(Einzelbeträge!$D:$D,Einzelbeträge!$C:$C,'Ausgaben 2025'!$C324,Einzelbeträge!$E:$E,'Ausgaben 2025'!G$6)</f>
        <v>0</v>
      </c>
      <c r="H324" s="21">
        <f>SUMIFS(Einzelbeträge!$D:$D,Einzelbeträge!$C:$C,'Ausgaben 2025'!$C324,Einzelbeträge!$E:$E,'Ausgaben 2025'!H$6)</f>
        <v>0</v>
      </c>
      <c r="I324" s="21">
        <f>SUMIFS(Einzelbeträge!$D:$D,Einzelbeträge!$C:$C,'Ausgaben 2025'!$C324,Einzelbeträge!$E:$E,'Ausgaben 2025'!I$6)</f>
        <v>0</v>
      </c>
      <c r="J324" s="21">
        <f>SUMIFS(Einzelbeträge!$D:$D,Einzelbeträge!$C:$C,'Ausgaben 2025'!$C324,Einzelbeträge!$E:$E,'Ausgaben 2025'!J$6)</f>
        <v>0</v>
      </c>
      <c r="K324" s="21">
        <f>SUMIFS(Einzelbeträge!$D:$D,Einzelbeträge!$C:$C,'Ausgaben 2025'!$C324,Einzelbeträge!$E:$E,'Ausgaben 2025'!K$6)</f>
        <v>0</v>
      </c>
      <c r="L324" s="21">
        <f>SUMIFS(Einzelbeträge!$D:$D,Einzelbeträge!$C:$C,'Ausgaben 2025'!$C324,Einzelbeträge!$E:$E,'Ausgaben 2025'!L$6)</f>
        <v>0</v>
      </c>
      <c r="M324" s="21">
        <f>SUMIFS(Einzelbeträge!$D:$D,Einzelbeträge!$C:$C,'Ausgaben 2025'!$C324,Einzelbeträge!$E:$E,'Ausgaben 2025'!M$6)</f>
        <v>0</v>
      </c>
      <c r="N324" s="35">
        <f>SUMIFS(Einzelbeträge!$D:$D,Einzelbeträge!$C:$C,'Ausgaben 2025'!$C324,Einzelbeträge!$E:$E,'Ausgaben 2025'!N$6)</f>
        <v>0</v>
      </c>
      <c r="O324" s="6"/>
    </row>
    <row r="325" spans="2:15" x14ac:dyDescent="0.35">
      <c r="B325" s="5"/>
      <c r="C325" s="40">
        <f t="shared" si="25"/>
        <v>45948</v>
      </c>
      <c r="D325" s="46">
        <f>SUMIFS(Einzelbeträge!$D:$D,Einzelbeträge!$C:$C,'Ausgaben 2025'!$C325)</f>
        <v>0</v>
      </c>
      <c r="E325" s="21">
        <f>SUMIFS(Einzelbeträge!$D:$D,Einzelbeträge!$C:$C,'Ausgaben 2025'!$C325,Einzelbeträge!$E:$E,'Ausgaben 2025'!E$6)</f>
        <v>0</v>
      </c>
      <c r="F325" s="21">
        <f>SUMIFS(Einzelbeträge!$D:$D,Einzelbeträge!$C:$C,'Ausgaben 2025'!$C325,Einzelbeträge!$E:$E,'Ausgaben 2025'!F$6)</f>
        <v>0</v>
      </c>
      <c r="G325" s="21">
        <f>SUMIFS(Einzelbeträge!$D:$D,Einzelbeträge!$C:$C,'Ausgaben 2025'!$C325,Einzelbeträge!$E:$E,'Ausgaben 2025'!G$6)</f>
        <v>0</v>
      </c>
      <c r="H325" s="21">
        <f>SUMIFS(Einzelbeträge!$D:$D,Einzelbeträge!$C:$C,'Ausgaben 2025'!$C325,Einzelbeträge!$E:$E,'Ausgaben 2025'!H$6)</f>
        <v>0</v>
      </c>
      <c r="I325" s="21">
        <f>SUMIFS(Einzelbeträge!$D:$D,Einzelbeträge!$C:$C,'Ausgaben 2025'!$C325,Einzelbeträge!$E:$E,'Ausgaben 2025'!I$6)</f>
        <v>0</v>
      </c>
      <c r="J325" s="21">
        <f>SUMIFS(Einzelbeträge!$D:$D,Einzelbeträge!$C:$C,'Ausgaben 2025'!$C325,Einzelbeträge!$E:$E,'Ausgaben 2025'!J$6)</f>
        <v>0</v>
      </c>
      <c r="K325" s="21">
        <f>SUMIFS(Einzelbeträge!$D:$D,Einzelbeträge!$C:$C,'Ausgaben 2025'!$C325,Einzelbeträge!$E:$E,'Ausgaben 2025'!K$6)</f>
        <v>0</v>
      </c>
      <c r="L325" s="21">
        <f>SUMIFS(Einzelbeträge!$D:$D,Einzelbeträge!$C:$C,'Ausgaben 2025'!$C325,Einzelbeträge!$E:$E,'Ausgaben 2025'!L$6)</f>
        <v>0</v>
      </c>
      <c r="M325" s="21">
        <f>SUMIFS(Einzelbeträge!$D:$D,Einzelbeträge!$C:$C,'Ausgaben 2025'!$C325,Einzelbeträge!$E:$E,'Ausgaben 2025'!M$6)</f>
        <v>0</v>
      </c>
      <c r="N325" s="35">
        <f>SUMIFS(Einzelbeträge!$D:$D,Einzelbeträge!$C:$C,'Ausgaben 2025'!$C325,Einzelbeträge!$E:$E,'Ausgaben 2025'!N$6)</f>
        <v>0</v>
      </c>
      <c r="O325" s="6"/>
    </row>
    <row r="326" spans="2:15" x14ac:dyDescent="0.35">
      <c r="B326" s="5"/>
      <c r="C326" s="40">
        <f t="shared" si="25"/>
        <v>45949</v>
      </c>
      <c r="D326" s="46">
        <f>SUMIFS(Einzelbeträge!$D:$D,Einzelbeträge!$C:$C,'Ausgaben 2025'!$C326)</f>
        <v>0</v>
      </c>
      <c r="E326" s="21">
        <f>SUMIFS(Einzelbeträge!$D:$D,Einzelbeträge!$C:$C,'Ausgaben 2025'!$C326,Einzelbeträge!$E:$E,'Ausgaben 2025'!E$6)</f>
        <v>0</v>
      </c>
      <c r="F326" s="21">
        <f>SUMIFS(Einzelbeträge!$D:$D,Einzelbeträge!$C:$C,'Ausgaben 2025'!$C326,Einzelbeträge!$E:$E,'Ausgaben 2025'!F$6)</f>
        <v>0</v>
      </c>
      <c r="G326" s="21">
        <f>SUMIFS(Einzelbeträge!$D:$D,Einzelbeträge!$C:$C,'Ausgaben 2025'!$C326,Einzelbeträge!$E:$E,'Ausgaben 2025'!G$6)</f>
        <v>0</v>
      </c>
      <c r="H326" s="21">
        <f>SUMIFS(Einzelbeträge!$D:$D,Einzelbeträge!$C:$C,'Ausgaben 2025'!$C326,Einzelbeträge!$E:$E,'Ausgaben 2025'!H$6)</f>
        <v>0</v>
      </c>
      <c r="I326" s="21">
        <f>SUMIFS(Einzelbeträge!$D:$D,Einzelbeträge!$C:$C,'Ausgaben 2025'!$C326,Einzelbeträge!$E:$E,'Ausgaben 2025'!I$6)</f>
        <v>0</v>
      </c>
      <c r="J326" s="21">
        <f>SUMIFS(Einzelbeträge!$D:$D,Einzelbeträge!$C:$C,'Ausgaben 2025'!$C326,Einzelbeträge!$E:$E,'Ausgaben 2025'!J$6)</f>
        <v>0</v>
      </c>
      <c r="K326" s="21">
        <f>SUMIFS(Einzelbeträge!$D:$D,Einzelbeträge!$C:$C,'Ausgaben 2025'!$C326,Einzelbeträge!$E:$E,'Ausgaben 2025'!K$6)</f>
        <v>0</v>
      </c>
      <c r="L326" s="21">
        <f>SUMIFS(Einzelbeträge!$D:$D,Einzelbeträge!$C:$C,'Ausgaben 2025'!$C326,Einzelbeträge!$E:$E,'Ausgaben 2025'!L$6)</f>
        <v>0</v>
      </c>
      <c r="M326" s="21">
        <f>SUMIFS(Einzelbeträge!$D:$D,Einzelbeträge!$C:$C,'Ausgaben 2025'!$C326,Einzelbeträge!$E:$E,'Ausgaben 2025'!M$6)</f>
        <v>0</v>
      </c>
      <c r="N326" s="35">
        <f>SUMIFS(Einzelbeträge!$D:$D,Einzelbeträge!$C:$C,'Ausgaben 2025'!$C326,Einzelbeträge!$E:$E,'Ausgaben 2025'!N$6)</f>
        <v>0</v>
      </c>
      <c r="O326" s="6"/>
    </row>
    <row r="327" spans="2:15" x14ac:dyDescent="0.35">
      <c r="B327" s="5"/>
      <c r="C327" s="40">
        <f t="shared" si="25"/>
        <v>45950</v>
      </c>
      <c r="D327" s="46">
        <f>SUMIFS(Einzelbeträge!$D:$D,Einzelbeträge!$C:$C,'Ausgaben 2025'!$C327)</f>
        <v>0</v>
      </c>
      <c r="E327" s="21">
        <f>SUMIFS(Einzelbeträge!$D:$D,Einzelbeträge!$C:$C,'Ausgaben 2025'!$C327,Einzelbeträge!$E:$E,'Ausgaben 2025'!E$6)</f>
        <v>0</v>
      </c>
      <c r="F327" s="21">
        <f>SUMIFS(Einzelbeträge!$D:$D,Einzelbeträge!$C:$C,'Ausgaben 2025'!$C327,Einzelbeträge!$E:$E,'Ausgaben 2025'!F$6)</f>
        <v>0</v>
      </c>
      <c r="G327" s="21">
        <f>SUMIFS(Einzelbeträge!$D:$D,Einzelbeträge!$C:$C,'Ausgaben 2025'!$C327,Einzelbeträge!$E:$E,'Ausgaben 2025'!G$6)</f>
        <v>0</v>
      </c>
      <c r="H327" s="21">
        <f>SUMIFS(Einzelbeträge!$D:$D,Einzelbeträge!$C:$C,'Ausgaben 2025'!$C327,Einzelbeträge!$E:$E,'Ausgaben 2025'!H$6)</f>
        <v>0</v>
      </c>
      <c r="I327" s="21">
        <f>SUMIFS(Einzelbeträge!$D:$D,Einzelbeträge!$C:$C,'Ausgaben 2025'!$C327,Einzelbeträge!$E:$E,'Ausgaben 2025'!I$6)</f>
        <v>0</v>
      </c>
      <c r="J327" s="21">
        <f>SUMIFS(Einzelbeträge!$D:$D,Einzelbeträge!$C:$C,'Ausgaben 2025'!$C327,Einzelbeträge!$E:$E,'Ausgaben 2025'!J$6)</f>
        <v>0</v>
      </c>
      <c r="K327" s="21">
        <f>SUMIFS(Einzelbeträge!$D:$D,Einzelbeträge!$C:$C,'Ausgaben 2025'!$C327,Einzelbeträge!$E:$E,'Ausgaben 2025'!K$6)</f>
        <v>0</v>
      </c>
      <c r="L327" s="21">
        <f>SUMIFS(Einzelbeträge!$D:$D,Einzelbeträge!$C:$C,'Ausgaben 2025'!$C327,Einzelbeträge!$E:$E,'Ausgaben 2025'!L$6)</f>
        <v>0</v>
      </c>
      <c r="M327" s="21">
        <f>SUMIFS(Einzelbeträge!$D:$D,Einzelbeträge!$C:$C,'Ausgaben 2025'!$C327,Einzelbeträge!$E:$E,'Ausgaben 2025'!M$6)</f>
        <v>0</v>
      </c>
      <c r="N327" s="35">
        <f>SUMIFS(Einzelbeträge!$D:$D,Einzelbeträge!$C:$C,'Ausgaben 2025'!$C327,Einzelbeträge!$E:$E,'Ausgaben 2025'!N$6)</f>
        <v>0</v>
      </c>
      <c r="O327" s="6"/>
    </row>
    <row r="328" spans="2:15" x14ac:dyDescent="0.35">
      <c r="B328" s="5"/>
      <c r="C328" s="40">
        <f t="shared" si="25"/>
        <v>45951</v>
      </c>
      <c r="D328" s="46">
        <f>SUMIFS(Einzelbeträge!$D:$D,Einzelbeträge!$C:$C,'Ausgaben 2025'!$C328)</f>
        <v>0</v>
      </c>
      <c r="E328" s="21">
        <f>SUMIFS(Einzelbeträge!$D:$D,Einzelbeträge!$C:$C,'Ausgaben 2025'!$C328,Einzelbeträge!$E:$E,'Ausgaben 2025'!E$6)</f>
        <v>0</v>
      </c>
      <c r="F328" s="21">
        <f>SUMIFS(Einzelbeträge!$D:$D,Einzelbeträge!$C:$C,'Ausgaben 2025'!$C328,Einzelbeträge!$E:$E,'Ausgaben 2025'!F$6)</f>
        <v>0</v>
      </c>
      <c r="G328" s="21">
        <f>SUMIFS(Einzelbeträge!$D:$D,Einzelbeträge!$C:$C,'Ausgaben 2025'!$C328,Einzelbeträge!$E:$E,'Ausgaben 2025'!G$6)</f>
        <v>0</v>
      </c>
      <c r="H328" s="21">
        <f>SUMIFS(Einzelbeträge!$D:$D,Einzelbeträge!$C:$C,'Ausgaben 2025'!$C328,Einzelbeträge!$E:$E,'Ausgaben 2025'!H$6)</f>
        <v>0</v>
      </c>
      <c r="I328" s="21">
        <f>SUMIFS(Einzelbeträge!$D:$D,Einzelbeträge!$C:$C,'Ausgaben 2025'!$C328,Einzelbeträge!$E:$E,'Ausgaben 2025'!I$6)</f>
        <v>0</v>
      </c>
      <c r="J328" s="21">
        <f>SUMIFS(Einzelbeträge!$D:$D,Einzelbeträge!$C:$C,'Ausgaben 2025'!$C328,Einzelbeträge!$E:$E,'Ausgaben 2025'!J$6)</f>
        <v>0</v>
      </c>
      <c r="K328" s="21">
        <f>SUMIFS(Einzelbeträge!$D:$D,Einzelbeträge!$C:$C,'Ausgaben 2025'!$C328,Einzelbeträge!$E:$E,'Ausgaben 2025'!K$6)</f>
        <v>0</v>
      </c>
      <c r="L328" s="21">
        <f>SUMIFS(Einzelbeträge!$D:$D,Einzelbeträge!$C:$C,'Ausgaben 2025'!$C328,Einzelbeträge!$E:$E,'Ausgaben 2025'!L$6)</f>
        <v>0</v>
      </c>
      <c r="M328" s="21">
        <f>SUMIFS(Einzelbeträge!$D:$D,Einzelbeträge!$C:$C,'Ausgaben 2025'!$C328,Einzelbeträge!$E:$E,'Ausgaben 2025'!M$6)</f>
        <v>0</v>
      </c>
      <c r="N328" s="35">
        <f>SUMIFS(Einzelbeträge!$D:$D,Einzelbeträge!$C:$C,'Ausgaben 2025'!$C328,Einzelbeträge!$E:$E,'Ausgaben 2025'!N$6)</f>
        <v>0</v>
      </c>
      <c r="O328" s="6"/>
    </row>
    <row r="329" spans="2:15" x14ac:dyDescent="0.35">
      <c r="B329" s="5"/>
      <c r="C329" s="40">
        <f t="shared" si="25"/>
        <v>45952</v>
      </c>
      <c r="D329" s="46">
        <f>SUMIFS(Einzelbeträge!$D:$D,Einzelbeträge!$C:$C,'Ausgaben 2025'!$C329)</f>
        <v>0</v>
      </c>
      <c r="E329" s="21">
        <f>SUMIFS(Einzelbeträge!$D:$D,Einzelbeträge!$C:$C,'Ausgaben 2025'!$C329,Einzelbeträge!$E:$E,'Ausgaben 2025'!E$6)</f>
        <v>0</v>
      </c>
      <c r="F329" s="21">
        <f>SUMIFS(Einzelbeträge!$D:$D,Einzelbeträge!$C:$C,'Ausgaben 2025'!$C329,Einzelbeträge!$E:$E,'Ausgaben 2025'!F$6)</f>
        <v>0</v>
      </c>
      <c r="G329" s="21">
        <f>SUMIFS(Einzelbeträge!$D:$D,Einzelbeträge!$C:$C,'Ausgaben 2025'!$C329,Einzelbeträge!$E:$E,'Ausgaben 2025'!G$6)</f>
        <v>0</v>
      </c>
      <c r="H329" s="21">
        <f>SUMIFS(Einzelbeträge!$D:$D,Einzelbeträge!$C:$C,'Ausgaben 2025'!$C329,Einzelbeträge!$E:$E,'Ausgaben 2025'!H$6)</f>
        <v>0</v>
      </c>
      <c r="I329" s="21">
        <f>SUMIFS(Einzelbeträge!$D:$D,Einzelbeträge!$C:$C,'Ausgaben 2025'!$C329,Einzelbeträge!$E:$E,'Ausgaben 2025'!I$6)</f>
        <v>0</v>
      </c>
      <c r="J329" s="21">
        <f>SUMIFS(Einzelbeträge!$D:$D,Einzelbeträge!$C:$C,'Ausgaben 2025'!$C329,Einzelbeträge!$E:$E,'Ausgaben 2025'!J$6)</f>
        <v>0</v>
      </c>
      <c r="K329" s="21">
        <f>SUMIFS(Einzelbeträge!$D:$D,Einzelbeträge!$C:$C,'Ausgaben 2025'!$C329,Einzelbeträge!$E:$E,'Ausgaben 2025'!K$6)</f>
        <v>0</v>
      </c>
      <c r="L329" s="21">
        <f>SUMIFS(Einzelbeträge!$D:$D,Einzelbeträge!$C:$C,'Ausgaben 2025'!$C329,Einzelbeträge!$E:$E,'Ausgaben 2025'!L$6)</f>
        <v>0</v>
      </c>
      <c r="M329" s="21">
        <f>SUMIFS(Einzelbeträge!$D:$D,Einzelbeträge!$C:$C,'Ausgaben 2025'!$C329,Einzelbeträge!$E:$E,'Ausgaben 2025'!M$6)</f>
        <v>0</v>
      </c>
      <c r="N329" s="35">
        <f>SUMIFS(Einzelbeträge!$D:$D,Einzelbeträge!$C:$C,'Ausgaben 2025'!$C329,Einzelbeträge!$E:$E,'Ausgaben 2025'!N$6)</f>
        <v>0</v>
      </c>
      <c r="O329" s="6"/>
    </row>
    <row r="330" spans="2:15" x14ac:dyDescent="0.35">
      <c r="B330" s="5"/>
      <c r="C330" s="40">
        <f t="shared" si="25"/>
        <v>45953</v>
      </c>
      <c r="D330" s="46">
        <f>SUMIFS(Einzelbeträge!$D:$D,Einzelbeträge!$C:$C,'Ausgaben 2025'!$C330)</f>
        <v>0</v>
      </c>
      <c r="E330" s="21">
        <f>SUMIFS(Einzelbeträge!$D:$D,Einzelbeträge!$C:$C,'Ausgaben 2025'!$C330,Einzelbeträge!$E:$E,'Ausgaben 2025'!E$6)</f>
        <v>0</v>
      </c>
      <c r="F330" s="21">
        <f>SUMIFS(Einzelbeträge!$D:$D,Einzelbeträge!$C:$C,'Ausgaben 2025'!$C330,Einzelbeträge!$E:$E,'Ausgaben 2025'!F$6)</f>
        <v>0</v>
      </c>
      <c r="G330" s="21">
        <f>SUMIFS(Einzelbeträge!$D:$D,Einzelbeträge!$C:$C,'Ausgaben 2025'!$C330,Einzelbeträge!$E:$E,'Ausgaben 2025'!G$6)</f>
        <v>0</v>
      </c>
      <c r="H330" s="21">
        <f>SUMIFS(Einzelbeträge!$D:$D,Einzelbeträge!$C:$C,'Ausgaben 2025'!$C330,Einzelbeträge!$E:$E,'Ausgaben 2025'!H$6)</f>
        <v>0</v>
      </c>
      <c r="I330" s="21">
        <f>SUMIFS(Einzelbeträge!$D:$D,Einzelbeträge!$C:$C,'Ausgaben 2025'!$C330,Einzelbeträge!$E:$E,'Ausgaben 2025'!I$6)</f>
        <v>0</v>
      </c>
      <c r="J330" s="21">
        <f>SUMIFS(Einzelbeträge!$D:$D,Einzelbeträge!$C:$C,'Ausgaben 2025'!$C330,Einzelbeträge!$E:$E,'Ausgaben 2025'!J$6)</f>
        <v>0</v>
      </c>
      <c r="K330" s="21">
        <f>SUMIFS(Einzelbeträge!$D:$D,Einzelbeträge!$C:$C,'Ausgaben 2025'!$C330,Einzelbeträge!$E:$E,'Ausgaben 2025'!K$6)</f>
        <v>0</v>
      </c>
      <c r="L330" s="21">
        <f>SUMIFS(Einzelbeträge!$D:$D,Einzelbeträge!$C:$C,'Ausgaben 2025'!$C330,Einzelbeträge!$E:$E,'Ausgaben 2025'!L$6)</f>
        <v>0</v>
      </c>
      <c r="M330" s="21">
        <f>SUMIFS(Einzelbeträge!$D:$D,Einzelbeträge!$C:$C,'Ausgaben 2025'!$C330,Einzelbeträge!$E:$E,'Ausgaben 2025'!M$6)</f>
        <v>0</v>
      </c>
      <c r="N330" s="35">
        <f>SUMIFS(Einzelbeträge!$D:$D,Einzelbeträge!$C:$C,'Ausgaben 2025'!$C330,Einzelbeträge!$E:$E,'Ausgaben 2025'!N$6)</f>
        <v>0</v>
      </c>
      <c r="O330" s="6"/>
    </row>
    <row r="331" spans="2:15" x14ac:dyDescent="0.35">
      <c r="B331" s="5"/>
      <c r="C331" s="40">
        <f t="shared" si="25"/>
        <v>45954</v>
      </c>
      <c r="D331" s="46">
        <f>SUMIFS(Einzelbeträge!$D:$D,Einzelbeträge!$C:$C,'Ausgaben 2025'!$C331)</f>
        <v>0</v>
      </c>
      <c r="E331" s="21">
        <f>SUMIFS(Einzelbeträge!$D:$D,Einzelbeträge!$C:$C,'Ausgaben 2025'!$C331,Einzelbeträge!$E:$E,'Ausgaben 2025'!E$6)</f>
        <v>0</v>
      </c>
      <c r="F331" s="21">
        <f>SUMIFS(Einzelbeträge!$D:$D,Einzelbeträge!$C:$C,'Ausgaben 2025'!$C331,Einzelbeträge!$E:$E,'Ausgaben 2025'!F$6)</f>
        <v>0</v>
      </c>
      <c r="G331" s="21">
        <f>SUMIFS(Einzelbeträge!$D:$D,Einzelbeträge!$C:$C,'Ausgaben 2025'!$C331,Einzelbeträge!$E:$E,'Ausgaben 2025'!G$6)</f>
        <v>0</v>
      </c>
      <c r="H331" s="21">
        <f>SUMIFS(Einzelbeträge!$D:$D,Einzelbeträge!$C:$C,'Ausgaben 2025'!$C331,Einzelbeträge!$E:$E,'Ausgaben 2025'!H$6)</f>
        <v>0</v>
      </c>
      <c r="I331" s="21">
        <f>SUMIFS(Einzelbeträge!$D:$D,Einzelbeträge!$C:$C,'Ausgaben 2025'!$C331,Einzelbeträge!$E:$E,'Ausgaben 2025'!I$6)</f>
        <v>0</v>
      </c>
      <c r="J331" s="21">
        <f>SUMIFS(Einzelbeträge!$D:$D,Einzelbeträge!$C:$C,'Ausgaben 2025'!$C331,Einzelbeträge!$E:$E,'Ausgaben 2025'!J$6)</f>
        <v>0</v>
      </c>
      <c r="K331" s="21">
        <f>SUMIFS(Einzelbeträge!$D:$D,Einzelbeträge!$C:$C,'Ausgaben 2025'!$C331,Einzelbeträge!$E:$E,'Ausgaben 2025'!K$6)</f>
        <v>0</v>
      </c>
      <c r="L331" s="21">
        <f>SUMIFS(Einzelbeträge!$D:$D,Einzelbeträge!$C:$C,'Ausgaben 2025'!$C331,Einzelbeträge!$E:$E,'Ausgaben 2025'!L$6)</f>
        <v>0</v>
      </c>
      <c r="M331" s="21">
        <f>SUMIFS(Einzelbeträge!$D:$D,Einzelbeträge!$C:$C,'Ausgaben 2025'!$C331,Einzelbeträge!$E:$E,'Ausgaben 2025'!M$6)</f>
        <v>0</v>
      </c>
      <c r="N331" s="35">
        <f>SUMIFS(Einzelbeträge!$D:$D,Einzelbeträge!$C:$C,'Ausgaben 2025'!$C331,Einzelbeträge!$E:$E,'Ausgaben 2025'!N$6)</f>
        <v>0</v>
      </c>
      <c r="O331" s="6"/>
    </row>
    <row r="332" spans="2:15" x14ac:dyDescent="0.35">
      <c r="B332" s="5"/>
      <c r="C332" s="40">
        <f t="shared" si="25"/>
        <v>45955</v>
      </c>
      <c r="D332" s="46">
        <f>SUMIFS(Einzelbeträge!$D:$D,Einzelbeträge!$C:$C,'Ausgaben 2025'!$C332)</f>
        <v>0</v>
      </c>
      <c r="E332" s="21">
        <f>SUMIFS(Einzelbeträge!$D:$D,Einzelbeträge!$C:$C,'Ausgaben 2025'!$C332,Einzelbeträge!$E:$E,'Ausgaben 2025'!E$6)</f>
        <v>0</v>
      </c>
      <c r="F332" s="21">
        <f>SUMIFS(Einzelbeträge!$D:$D,Einzelbeträge!$C:$C,'Ausgaben 2025'!$C332,Einzelbeträge!$E:$E,'Ausgaben 2025'!F$6)</f>
        <v>0</v>
      </c>
      <c r="G332" s="21">
        <f>SUMIFS(Einzelbeträge!$D:$D,Einzelbeträge!$C:$C,'Ausgaben 2025'!$C332,Einzelbeträge!$E:$E,'Ausgaben 2025'!G$6)</f>
        <v>0</v>
      </c>
      <c r="H332" s="21">
        <f>SUMIFS(Einzelbeträge!$D:$D,Einzelbeträge!$C:$C,'Ausgaben 2025'!$C332,Einzelbeträge!$E:$E,'Ausgaben 2025'!H$6)</f>
        <v>0</v>
      </c>
      <c r="I332" s="21">
        <f>SUMIFS(Einzelbeträge!$D:$D,Einzelbeträge!$C:$C,'Ausgaben 2025'!$C332,Einzelbeträge!$E:$E,'Ausgaben 2025'!I$6)</f>
        <v>0</v>
      </c>
      <c r="J332" s="21">
        <f>SUMIFS(Einzelbeträge!$D:$D,Einzelbeträge!$C:$C,'Ausgaben 2025'!$C332,Einzelbeträge!$E:$E,'Ausgaben 2025'!J$6)</f>
        <v>0</v>
      </c>
      <c r="K332" s="21">
        <f>SUMIFS(Einzelbeträge!$D:$D,Einzelbeträge!$C:$C,'Ausgaben 2025'!$C332,Einzelbeträge!$E:$E,'Ausgaben 2025'!K$6)</f>
        <v>0</v>
      </c>
      <c r="L332" s="21">
        <f>SUMIFS(Einzelbeträge!$D:$D,Einzelbeträge!$C:$C,'Ausgaben 2025'!$C332,Einzelbeträge!$E:$E,'Ausgaben 2025'!L$6)</f>
        <v>0</v>
      </c>
      <c r="M332" s="21">
        <f>SUMIFS(Einzelbeträge!$D:$D,Einzelbeträge!$C:$C,'Ausgaben 2025'!$C332,Einzelbeträge!$E:$E,'Ausgaben 2025'!M$6)</f>
        <v>0</v>
      </c>
      <c r="N332" s="35">
        <f>SUMIFS(Einzelbeträge!$D:$D,Einzelbeträge!$C:$C,'Ausgaben 2025'!$C332,Einzelbeträge!$E:$E,'Ausgaben 2025'!N$6)</f>
        <v>0</v>
      </c>
      <c r="O332" s="6"/>
    </row>
    <row r="333" spans="2:15" x14ac:dyDescent="0.35">
      <c r="B333" s="5"/>
      <c r="C333" s="40">
        <f t="shared" si="25"/>
        <v>45956</v>
      </c>
      <c r="D333" s="46">
        <f>SUMIFS(Einzelbeträge!$D:$D,Einzelbeträge!$C:$C,'Ausgaben 2025'!$C333)</f>
        <v>0</v>
      </c>
      <c r="E333" s="21">
        <f>SUMIFS(Einzelbeträge!$D:$D,Einzelbeträge!$C:$C,'Ausgaben 2025'!$C333,Einzelbeträge!$E:$E,'Ausgaben 2025'!E$6)</f>
        <v>0</v>
      </c>
      <c r="F333" s="21">
        <f>SUMIFS(Einzelbeträge!$D:$D,Einzelbeträge!$C:$C,'Ausgaben 2025'!$C333,Einzelbeträge!$E:$E,'Ausgaben 2025'!F$6)</f>
        <v>0</v>
      </c>
      <c r="G333" s="21">
        <f>SUMIFS(Einzelbeträge!$D:$D,Einzelbeträge!$C:$C,'Ausgaben 2025'!$C333,Einzelbeträge!$E:$E,'Ausgaben 2025'!G$6)</f>
        <v>0</v>
      </c>
      <c r="H333" s="21">
        <f>SUMIFS(Einzelbeträge!$D:$D,Einzelbeträge!$C:$C,'Ausgaben 2025'!$C333,Einzelbeträge!$E:$E,'Ausgaben 2025'!H$6)</f>
        <v>0</v>
      </c>
      <c r="I333" s="21">
        <f>SUMIFS(Einzelbeträge!$D:$D,Einzelbeträge!$C:$C,'Ausgaben 2025'!$C333,Einzelbeträge!$E:$E,'Ausgaben 2025'!I$6)</f>
        <v>0</v>
      </c>
      <c r="J333" s="21">
        <f>SUMIFS(Einzelbeträge!$D:$D,Einzelbeträge!$C:$C,'Ausgaben 2025'!$C333,Einzelbeträge!$E:$E,'Ausgaben 2025'!J$6)</f>
        <v>0</v>
      </c>
      <c r="K333" s="21">
        <f>SUMIFS(Einzelbeträge!$D:$D,Einzelbeträge!$C:$C,'Ausgaben 2025'!$C333,Einzelbeträge!$E:$E,'Ausgaben 2025'!K$6)</f>
        <v>0</v>
      </c>
      <c r="L333" s="21">
        <f>SUMIFS(Einzelbeträge!$D:$D,Einzelbeträge!$C:$C,'Ausgaben 2025'!$C333,Einzelbeträge!$E:$E,'Ausgaben 2025'!L$6)</f>
        <v>0</v>
      </c>
      <c r="M333" s="21">
        <f>SUMIFS(Einzelbeträge!$D:$D,Einzelbeträge!$C:$C,'Ausgaben 2025'!$C333,Einzelbeträge!$E:$E,'Ausgaben 2025'!M$6)</f>
        <v>0</v>
      </c>
      <c r="N333" s="35">
        <f>SUMIFS(Einzelbeträge!$D:$D,Einzelbeträge!$C:$C,'Ausgaben 2025'!$C333,Einzelbeträge!$E:$E,'Ausgaben 2025'!N$6)</f>
        <v>0</v>
      </c>
      <c r="O333" s="6"/>
    </row>
    <row r="334" spans="2:15" x14ac:dyDescent="0.35">
      <c r="B334" s="5"/>
      <c r="C334" s="40">
        <f t="shared" si="25"/>
        <v>45957</v>
      </c>
      <c r="D334" s="46">
        <f>SUMIFS(Einzelbeträge!$D:$D,Einzelbeträge!$C:$C,'Ausgaben 2025'!$C334)</f>
        <v>0</v>
      </c>
      <c r="E334" s="21">
        <f>SUMIFS(Einzelbeträge!$D:$D,Einzelbeträge!$C:$C,'Ausgaben 2025'!$C334,Einzelbeträge!$E:$E,'Ausgaben 2025'!E$6)</f>
        <v>0</v>
      </c>
      <c r="F334" s="21">
        <f>SUMIFS(Einzelbeträge!$D:$D,Einzelbeträge!$C:$C,'Ausgaben 2025'!$C334,Einzelbeträge!$E:$E,'Ausgaben 2025'!F$6)</f>
        <v>0</v>
      </c>
      <c r="G334" s="21">
        <f>SUMIFS(Einzelbeträge!$D:$D,Einzelbeträge!$C:$C,'Ausgaben 2025'!$C334,Einzelbeträge!$E:$E,'Ausgaben 2025'!G$6)</f>
        <v>0</v>
      </c>
      <c r="H334" s="21">
        <f>SUMIFS(Einzelbeträge!$D:$D,Einzelbeträge!$C:$C,'Ausgaben 2025'!$C334,Einzelbeträge!$E:$E,'Ausgaben 2025'!H$6)</f>
        <v>0</v>
      </c>
      <c r="I334" s="21">
        <f>SUMIFS(Einzelbeträge!$D:$D,Einzelbeträge!$C:$C,'Ausgaben 2025'!$C334,Einzelbeträge!$E:$E,'Ausgaben 2025'!I$6)</f>
        <v>0</v>
      </c>
      <c r="J334" s="21">
        <f>SUMIFS(Einzelbeträge!$D:$D,Einzelbeträge!$C:$C,'Ausgaben 2025'!$C334,Einzelbeträge!$E:$E,'Ausgaben 2025'!J$6)</f>
        <v>0</v>
      </c>
      <c r="K334" s="21">
        <f>SUMIFS(Einzelbeträge!$D:$D,Einzelbeträge!$C:$C,'Ausgaben 2025'!$C334,Einzelbeträge!$E:$E,'Ausgaben 2025'!K$6)</f>
        <v>0</v>
      </c>
      <c r="L334" s="21">
        <f>SUMIFS(Einzelbeträge!$D:$D,Einzelbeträge!$C:$C,'Ausgaben 2025'!$C334,Einzelbeträge!$E:$E,'Ausgaben 2025'!L$6)</f>
        <v>0</v>
      </c>
      <c r="M334" s="21">
        <f>SUMIFS(Einzelbeträge!$D:$D,Einzelbeträge!$C:$C,'Ausgaben 2025'!$C334,Einzelbeträge!$E:$E,'Ausgaben 2025'!M$6)</f>
        <v>0</v>
      </c>
      <c r="N334" s="35">
        <f>SUMIFS(Einzelbeträge!$D:$D,Einzelbeträge!$C:$C,'Ausgaben 2025'!$C334,Einzelbeträge!$E:$E,'Ausgaben 2025'!N$6)</f>
        <v>0</v>
      </c>
      <c r="O334" s="6"/>
    </row>
    <row r="335" spans="2:15" x14ac:dyDescent="0.35">
      <c r="B335" s="5"/>
      <c r="C335" s="40">
        <f t="shared" si="25"/>
        <v>45958</v>
      </c>
      <c r="D335" s="46">
        <f>SUMIFS(Einzelbeträge!$D:$D,Einzelbeträge!$C:$C,'Ausgaben 2025'!$C335)</f>
        <v>0</v>
      </c>
      <c r="E335" s="21">
        <f>SUMIFS(Einzelbeträge!$D:$D,Einzelbeträge!$C:$C,'Ausgaben 2025'!$C335,Einzelbeträge!$E:$E,'Ausgaben 2025'!E$6)</f>
        <v>0</v>
      </c>
      <c r="F335" s="21">
        <f>SUMIFS(Einzelbeträge!$D:$D,Einzelbeträge!$C:$C,'Ausgaben 2025'!$C335,Einzelbeträge!$E:$E,'Ausgaben 2025'!F$6)</f>
        <v>0</v>
      </c>
      <c r="G335" s="21">
        <f>SUMIFS(Einzelbeträge!$D:$D,Einzelbeträge!$C:$C,'Ausgaben 2025'!$C335,Einzelbeträge!$E:$E,'Ausgaben 2025'!G$6)</f>
        <v>0</v>
      </c>
      <c r="H335" s="21">
        <f>SUMIFS(Einzelbeträge!$D:$D,Einzelbeträge!$C:$C,'Ausgaben 2025'!$C335,Einzelbeträge!$E:$E,'Ausgaben 2025'!H$6)</f>
        <v>0</v>
      </c>
      <c r="I335" s="21">
        <f>SUMIFS(Einzelbeträge!$D:$D,Einzelbeträge!$C:$C,'Ausgaben 2025'!$C335,Einzelbeträge!$E:$E,'Ausgaben 2025'!I$6)</f>
        <v>0</v>
      </c>
      <c r="J335" s="21">
        <f>SUMIFS(Einzelbeträge!$D:$D,Einzelbeträge!$C:$C,'Ausgaben 2025'!$C335,Einzelbeträge!$E:$E,'Ausgaben 2025'!J$6)</f>
        <v>0</v>
      </c>
      <c r="K335" s="21">
        <f>SUMIFS(Einzelbeträge!$D:$D,Einzelbeträge!$C:$C,'Ausgaben 2025'!$C335,Einzelbeträge!$E:$E,'Ausgaben 2025'!K$6)</f>
        <v>0</v>
      </c>
      <c r="L335" s="21">
        <f>SUMIFS(Einzelbeträge!$D:$D,Einzelbeträge!$C:$C,'Ausgaben 2025'!$C335,Einzelbeträge!$E:$E,'Ausgaben 2025'!L$6)</f>
        <v>0</v>
      </c>
      <c r="M335" s="21">
        <f>SUMIFS(Einzelbeträge!$D:$D,Einzelbeträge!$C:$C,'Ausgaben 2025'!$C335,Einzelbeträge!$E:$E,'Ausgaben 2025'!M$6)</f>
        <v>0</v>
      </c>
      <c r="N335" s="35">
        <f>SUMIFS(Einzelbeträge!$D:$D,Einzelbeträge!$C:$C,'Ausgaben 2025'!$C335,Einzelbeträge!$E:$E,'Ausgaben 2025'!N$6)</f>
        <v>0</v>
      </c>
      <c r="O335" s="6"/>
    </row>
    <row r="336" spans="2:15" x14ac:dyDescent="0.35">
      <c r="B336" s="5"/>
      <c r="C336" s="40">
        <f t="shared" si="25"/>
        <v>45959</v>
      </c>
      <c r="D336" s="46">
        <f>SUMIFS(Einzelbeträge!$D:$D,Einzelbeträge!$C:$C,'Ausgaben 2025'!$C336)</f>
        <v>0</v>
      </c>
      <c r="E336" s="21">
        <f>SUMIFS(Einzelbeträge!$D:$D,Einzelbeträge!$C:$C,'Ausgaben 2025'!$C336,Einzelbeträge!$E:$E,'Ausgaben 2025'!E$6)</f>
        <v>0</v>
      </c>
      <c r="F336" s="21">
        <f>SUMIFS(Einzelbeträge!$D:$D,Einzelbeträge!$C:$C,'Ausgaben 2025'!$C336,Einzelbeträge!$E:$E,'Ausgaben 2025'!F$6)</f>
        <v>0</v>
      </c>
      <c r="G336" s="21">
        <f>SUMIFS(Einzelbeträge!$D:$D,Einzelbeträge!$C:$C,'Ausgaben 2025'!$C336,Einzelbeträge!$E:$E,'Ausgaben 2025'!G$6)</f>
        <v>0</v>
      </c>
      <c r="H336" s="21">
        <f>SUMIFS(Einzelbeträge!$D:$D,Einzelbeträge!$C:$C,'Ausgaben 2025'!$C336,Einzelbeträge!$E:$E,'Ausgaben 2025'!H$6)</f>
        <v>0</v>
      </c>
      <c r="I336" s="21">
        <f>SUMIFS(Einzelbeträge!$D:$D,Einzelbeträge!$C:$C,'Ausgaben 2025'!$C336,Einzelbeträge!$E:$E,'Ausgaben 2025'!I$6)</f>
        <v>0</v>
      </c>
      <c r="J336" s="21">
        <f>SUMIFS(Einzelbeträge!$D:$D,Einzelbeträge!$C:$C,'Ausgaben 2025'!$C336,Einzelbeträge!$E:$E,'Ausgaben 2025'!J$6)</f>
        <v>0</v>
      </c>
      <c r="K336" s="21">
        <f>SUMIFS(Einzelbeträge!$D:$D,Einzelbeträge!$C:$C,'Ausgaben 2025'!$C336,Einzelbeträge!$E:$E,'Ausgaben 2025'!K$6)</f>
        <v>0</v>
      </c>
      <c r="L336" s="21">
        <f>SUMIFS(Einzelbeträge!$D:$D,Einzelbeträge!$C:$C,'Ausgaben 2025'!$C336,Einzelbeträge!$E:$E,'Ausgaben 2025'!L$6)</f>
        <v>0</v>
      </c>
      <c r="M336" s="21">
        <f>SUMIFS(Einzelbeträge!$D:$D,Einzelbeträge!$C:$C,'Ausgaben 2025'!$C336,Einzelbeträge!$E:$E,'Ausgaben 2025'!M$6)</f>
        <v>0</v>
      </c>
      <c r="N336" s="35">
        <f>SUMIFS(Einzelbeträge!$D:$D,Einzelbeträge!$C:$C,'Ausgaben 2025'!$C336,Einzelbeträge!$E:$E,'Ausgaben 2025'!N$6)</f>
        <v>0</v>
      </c>
      <c r="O336" s="6"/>
    </row>
    <row r="337" spans="2:15" x14ac:dyDescent="0.35">
      <c r="B337" s="5"/>
      <c r="C337" s="40">
        <f t="shared" si="25"/>
        <v>45960</v>
      </c>
      <c r="D337" s="46">
        <f>SUMIFS(Einzelbeträge!$D:$D,Einzelbeträge!$C:$C,'Ausgaben 2025'!$C337)</f>
        <v>0</v>
      </c>
      <c r="E337" s="21">
        <f>SUMIFS(Einzelbeträge!$D:$D,Einzelbeträge!$C:$C,'Ausgaben 2025'!$C337,Einzelbeträge!$E:$E,'Ausgaben 2025'!E$6)</f>
        <v>0</v>
      </c>
      <c r="F337" s="21">
        <f>SUMIFS(Einzelbeträge!$D:$D,Einzelbeträge!$C:$C,'Ausgaben 2025'!$C337,Einzelbeträge!$E:$E,'Ausgaben 2025'!F$6)</f>
        <v>0</v>
      </c>
      <c r="G337" s="21">
        <f>SUMIFS(Einzelbeträge!$D:$D,Einzelbeträge!$C:$C,'Ausgaben 2025'!$C337,Einzelbeträge!$E:$E,'Ausgaben 2025'!G$6)</f>
        <v>0</v>
      </c>
      <c r="H337" s="21">
        <f>SUMIFS(Einzelbeträge!$D:$D,Einzelbeträge!$C:$C,'Ausgaben 2025'!$C337,Einzelbeträge!$E:$E,'Ausgaben 2025'!H$6)</f>
        <v>0</v>
      </c>
      <c r="I337" s="21">
        <f>SUMIFS(Einzelbeträge!$D:$D,Einzelbeträge!$C:$C,'Ausgaben 2025'!$C337,Einzelbeträge!$E:$E,'Ausgaben 2025'!I$6)</f>
        <v>0</v>
      </c>
      <c r="J337" s="21">
        <f>SUMIFS(Einzelbeträge!$D:$D,Einzelbeträge!$C:$C,'Ausgaben 2025'!$C337,Einzelbeträge!$E:$E,'Ausgaben 2025'!J$6)</f>
        <v>0</v>
      </c>
      <c r="K337" s="21">
        <f>SUMIFS(Einzelbeträge!$D:$D,Einzelbeträge!$C:$C,'Ausgaben 2025'!$C337,Einzelbeträge!$E:$E,'Ausgaben 2025'!K$6)</f>
        <v>0</v>
      </c>
      <c r="L337" s="21">
        <f>SUMIFS(Einzelbeträge!$D:$D,Einzelbeträge!$C:$C,'Ausgaben 2025'!$C337,Einzelbeträge!$E:$E,'Ausgaben 2025'!L$6)</f>
        <v>0</v>
      </c>
      <c r="M337" s="21">
        <f>SUMIFS(Einzelbeträge!$D:$D,Einzelbeträge!$C:$C,'Ausgaben 2025'!$C337,Einzelbeträge!$E:$E,'Ausgaben 2025'!M$6)</f>
        <v>0</v>
      </c>
      <c r="N337" s="35">
        <f>SUMIFS(Einzelbeträge!$D:$D,Einzelbeträge!$C:$C,'Ausgaben 2025'!$C337,Einzelbeträge!$E:$E,'Ausgaben 2025'!N$6)</f>
        <v>0</v>
      </c>
      <c r="O337" s="6"/>
    </row>
    <row r="338" spans="2:15" x14ac:dyDescent="0.35">
      <c r="B338" s="5"/>
      <c r="C338" s="31">
        <f t="shared" si="25"/>
        <v>45961</v>
      </c>
      <c r="D338" s="47">
        <f>SUMIFS(Einzelbeträge!$D:$D,Einzelbeträge!$C:$C,'Ausgaben 2025'!$C338)</f>
        <v>0</v>
      </c>
      <c r="E338" s="37">
        <f>SUMIFS(Einzelbeträge!$D:$D,Einzelbeträge!$C:$C,'Ausgaben 2025'!$C338,Einzelbeträge!$E:$E,'Ausgaben 2025'!E$6)</f>
        <v>0</v>
      </c>
      <c r="F338" s="37">
        <f>SUMIFS(Einzelbeträge!$D:$D,Einzelbeträge!$C:$C,'Ausgaben 2025'!$C338,Einzelbeträge!$E:$E,'Ausgaben 2025'!F$6)</f>
        <v>0</v>
      </c>
      <c r="G338" s="37">
        <f>SUMIFS(Einzelbeträge!$D:$D,Einzelbeträge!$C:$C,'Ausgaben 2025'!$C338,Einzelbeträge!$E:$E,'Ausgaben 2025'!G$6)</f>
        <v>0</v>
      </c>
      <c r="H338" s="37">
        <f>SUMIFS(Einzelbeträge!$D:$D,Einzelbeträge!$C:$C,'Ausgaben 2025'!$C338,Einzelbeträge!$E:$E,'Ausgaben 2025'!H$6)</f>
        <v>0</v>
      </c>
      <c r="I338" s="37">
        <f>SUMIFS(Einzelbeträge!$D:$D,Einzelbeträge!$C:$C,'Ausgaben 2025'!$C338,Einzelbeträge!$E:$E,'Ausgaben 2025'!I$6)</f>
        <v>0</v>
      </c>
      <c r="J338" s="37">
        <f>SUMIFS(Einzelbeträge!$D:$D,Einzelbeträge!$C:$C,'Ausgaben 2025'!$C338,Einzelbeträge!$E:$E,'Ausgaben 2025'!J$6)</f>
        <v>0</v>
      </c>
      <c r="K338" s="37">
        <f>SUMIFS(Einzelbeträge!$D:$D,Einzelbeträge!$C:$C,'Ausgaben 2025'!$C338,Einzelbeträge!$E:$E,'Ausgaben 2025'!K$6)</f>
        <v>0</v>
      </c>
      <c r="L338" s="37">
        <f>SUMIFS(Einzelbeträge!$D:$D,Einzelbeträge!$C:$C,'Ausgaben 2025'!$C338,Einzelbeträge!$E:$E,'Ausgaben 2025'!L$6)</f>
        <v>0</v>
      </c>
      <c r="M338" s="37">
        <f>SUMIFS(Einzelbeträge!$D:$D,Einzelbeträge!$C:$C,'Ausgaben 2025'!$C338,Einzelbeträge!$E:$E,'Ausgaben 2025'!M$6)</f>
        <v>0</v>
      </c>
      <c r="N338" s="38">
        <f>SUMIFS(Einzelbeträge!$D:$D,Einzelbeträge!$C:$C,'Ausgaben 2025'!$C338,Einzelbeträge!$E:$E,'Ausgaben 2025'!N$6)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45962</v>
      </c>
      <c r="D342" s="45">
        <f>SUMIFS(Einzelbeträge!$D:$D,Einzelbeträge!$C:$C,'Ausgaben 2025'!$C342)</f>
        <v>0</v>
      </c>
      <c r="E342" s="32">
        <f>SUMIFS(Einzelbeträge!$D:$D,Einzelbeträge!$C:$C,'Ausgaben 2025'!$C342,Einzelbeträge!$E:$E,'Ausgaben 2025'!E$6)</f>
        <v>0</v>
      </c>
      <c r="F342" s="32">
        <f>SUMIFS(Einzelbeträge!$D:$D,Einzelbeträge!$C:$C,'Ausgaben 2025'!$C342,Einzelbeträge!$E:$E,'Ausgaben 2025'!F$6)</f>
        <v>0</v>
      </c>
      <c r="G342" s="32">
        <f>SUMIFS(Einzelbeträge!$D:$D,Einzelbeträge!$C:$C,'Ausgaben 2025'!$C342,Einzelbeträge!$E:$E,'Ausgaben 2025'!G$6)</f>
        <v>0</v>
      </c>
      <c r="H342" s="32">
        <f>SUMIFS(Einzelbeträge!$D:$D,Einzelbeträge!$C:$C,'Ausgaben 2025'!$C342,Einzelbeträge!$E:$E,'Ausgaben 2025'!H$6)</f>
        <v>0</v>
      </c>
      <c r="I342" s="32">
        <f>SUMIFS(Einzelbeträge!$D:$D,Einzelbeträge!$C:$C,'Ausgaben 2025'!$C342,Einzelbeträge!$E:$E,'Ausgaben 2025'!I$6)</f>
        <v>0</v>
      </c>
      <c r="J342" s="32">
        <f>SUMIFS(Einzelbeträge!$D:$D,Einzelbeträge!$C:$C,'Ausgaben 2025'!$C342,Einzelbeträge!$E:$E,'Ausgaben 2025'!J$6)</f>
        <v>0</v>
      </c>
      <c r="K342" s="32">
        <f>SUMIFS(Einzelbeträge!$D:$D,Einzelbeträge!$C:$C,'Ausgaben 2025'!$C342,Einzelbeträge!$E:$E,'Ausgaben 2025'!K$6)</f>
        <v>0</v>
      </c>
      <c r="L342" s="32">
        <f>SUMIFS(Einzelbeträge!$D:$D,Einzelbeträge!$C:$C,'Ausgaben 2025'!$C342,Einzelbeträge!$E:$E,'Ausgaben 2025'!L$6)</f>
        <v>0</v>
      </c>
      <c r="M342" s="32">
        <f>SUMIFS(Einzelbeträge!$D:$D,Einzelbeträge!$C:$C,'Ausgaben 2025'!$C342,Einzelbeträge!$E:$E,'Ausgaben 2025'!M$6)</f>
        <v>0</v>
      </c>
      <c r="N342" s="33">
        <f>SUMIFS(Einzelbeträge!$D:$D,Einzelbeträge!$C:$C,'Ausgaben 2025'!$C342,Einzelbeträge!$E:$E,'Ausgaben 2025'!N$6)</f>
        <v>0</v>
      </c>
      <c r="O342" s="6"/>
    </row>
    <row r="343" spans="2:15" x14ac:dyDescent="0.35">
      <c r="B343" s="5"/>
      <c r="C343" s="30">
        <f>C342+1</f>
        <v>45963</v>
      </c>
      <c r="D343" s="46">
        <f>SUMIFS(Einzelbeträge!$D:$D,Einzelbeträge!$C:$C,'Ausgaben 2025'!$C343)</f>
        <v>0</v>
      </c>
      <c r="E343" s="21">
        <f>SUMIFS(Einzelbeträge!$D:$D,Einzelbeträge!$C:$C,'Ausgaben 2025'!$C343,Einzelbeträge!$E:$E,'Ausgaben 2025'!E$6)</f>
        <v>0</v>
      </c>
      <c r="F343" s="21">
        <f>SUMIFS(Einzelbeträge!$D:$D,Einzelbeträge!$C:$C,'Ausgaben 2025'!$C343,Einzelbeträge!$E:$E,'Ausgaben 2025'!F$6)</f>
        <v>0</v>
      </c>
      <c r="G343" s="21">
        <f>SUMIFS(Einzelbeträge!$D:$D,Einzelbeträge!$C:$C,'Ausgaben 2025'!$C343,Einzelbeträge!$E:$E,'Ausgaben 2025'!G$6)</f>
        <v>0</v>
      </c>
      <c r="H343" s="21">
        <f>SUMIFS(Einzelbeträge!$D:$D,Einzelbeträge!$C:$C,'Ausgaben 2025'!$C343,Einzelbeträge!$E:$E,'Ausgaben 2025'!H$6)</f>
        <v>0</v>
      </c>
      <c r="I343" s="21">
        <f>SUMIFS(Einzelbeträge!$D:$D,Einzelbeträge!$C:$C,'Ausgaben 2025'!$C343,Einzelbeträge!$E:$E,'Ausgaben 2025'!I$6)</f>
        <v>0</v>
      </c>
      <c r="J343" s="21">
        <f>SUMIFS(Einzelbeträge!$D:$D,Einzelbeträge!$C:$C,'Ausgaben 2025'!$C343,Einzelbeträge!$E:$E,'Ausgaben 2025'!J$6)</f>
        <v>0</v>
      </c>
      <c r="K343" s="21">
        <f>SUMIFS(Einzelbeträge!$D:$D,Einzelbeträge!$C:$C,'Ausgaben 2025'!$C343,Einzelbeträge!$E:$E,'Ausgaben 2025'!K$6)</f>
        <v>0</v>
      </c>
      <c r="L343" s="21">
        <f>SUMIFS(Einzelbeträge!$D:$D,Einzelbeträge!$C:$C,'Ausgaben 2025'!$C343,Einzelbeträge!$E:$E,'Ausgaben 2025'!L$6)</f>
        <v>0</v>
      </c>
      <c r="M343" s="21">
        <f>SUMIFS(Einzelbeträge!$D:$D,Einzelbeträge!$C:$C,'Ausgaben 2025'!$C343,Einzelbeträge!$E:$E,'Ausgaben 2025'!M$6)</f>
        <v>0</v>
      </c>
      <c r="N343" s="35">
        <f>SUMIFS(Einzelbeträge!$D:$D,Einzelbeträge!$C:$C,'Ausgaben 2025'!$C343,Einzelbeträge!$E:$E,'Ausgaben 2025'!N$6)</f>
        <v>0</v>
      </c>
      <c r="O343" s="6"/>
    </row>
    <row r="344" spans="2:15" x14ac:dyDescent="0.35">
      <c r="B344" s="5"/>
      <c r="C344" s="30">
        <f t="shared" ref="C344:C371" si="26">C343+1</f>
        <v>45964</v>
      </c>
      <c r="D344" s="46">
        <f>SUMIFS(Einzelbeträge!$D:$D,Einzelbeträge!$C:$C,'Ausgaben 2025'!$C344)</f>
        <v>0</v>
      </c>
      <c r="E344" s="21">
        <f>SUMIFS(Einzelbeträge!$D:$D,Einzelbeträge!$C:$C,'Ausgaben 2025'!$C344,Einzelbeträge!$E:$E,'Ausgaben 2025'!E$6)</f>
        <v>0</v>
      </c>
      <c r="F344" s="21">
        <f>SUMIFS(Einzelbeträge!$D:$D,Einzelbeträge!$C:$C,'Ausgaben 2025'!$C344,Einzelbeträge!$E:$E,'Ausgaben 2025'!F$6)</f>
        <v>0</v>
      </c>
      <c r="G344" s="21">
        <f>SUMIFS(Einzelbeträge!$D:$D,Einzelbeträge!$C:$C,'Ausgaben 2025'!$C344,Einzelbeträge!$E:$E,'Ausgaben 2025'!G$6)</f>
        <v>0</v>
      </c>
      <c r="H344" s="21">
        <f>SUMIFS(Einzelbeträge!$D:$D,Einzelbeträge!$C:$C,'Ausgaben 2025'!$C344,Einzelbeträge!$E:$E,'Ausgaben 2025'!H$6)</f>
        <v>0</v>
      </c>
      <c r="I344" s="21">
        <f>SUMIFS(Einzelbeträge!$D:$D,Einzelbeträge!$C:$C,'Ausgaben 2025'!$C344,Einzelbeträge!$E:$E,'Ausgaben 2025'!I$6)</f>
        <v>0</v>
      </c>
      <c r="J344" s="21">
        <f>SUMIFS(Einzelbeträge!$D:$D,Einzelbeträge!$C:$C,'Ausgaben 2025'!$C344,Einzelbeträge!$E:$E,'Ausgaben 2025'!J$6)</f>
        <v>0</v>
      </c>
      <c r="K344" s="21">
        <f>SUMIFS(Einzelbeträge!$D:$D,Einzelbeträge!$C:$C,'Ausgaben 2025'!$C344,Einzelbeträge!$E:$E,'Ausgaben 2025'!K$6)</f>
        <v>0</v>
      </c>
      <c r="L344" s="21">
        <f>SUMIFS(Einzelbeträge!$D:$D,Einzelbeträge!$C:$C,'Ausgaben 2025'!$C344,Einzelbeträge!$E:$E,'Ausgaben 2025'!L$6)</f>
        <v>0</v>
      </c>
      <c r="M344" s="21">
        <f>SUMIFS(Einzelbeträge!$D:$D,Einzelbeträge!$C:$C,'Ausgaben 2025'!$C344,Einzelbeträge!$E:$E,'Ausgaben 2025'!M$6)</f>
        <v>0</v>
      </c>
      <c r="N344" s="35">
        <f>SUMIFS(Einzelbeträge!$D:$D,Einzelbeträge!$C:$C,'Ausgaben 2025'!$C344,Einzelbeträge!$E:$E,'Ausgaben 2025'!N$6)</f>
        <v>0</v>
      </c>
      <c r="O344" s="6"/>
    </row>
    <row r="345" spans="2:15" x14ac:dyDescent="0.35">
      <c r="B345" s="5"/>
      <c r="C345" s="30">
        <f t="shared" si="26"/>
        <v>45965</v>
      </c>
      <c r="D345" s="46">
        <f>SUMIFS(Einzelbeträge!$D:$D,Einzelbeträge!$C:$C,'Ausgaben 2025'!$C345)</f>
        <v>0</v>
      </c>
      <c r="E345" s="21">
        <f>SUMIFS(Einzelbeträge!$D:$D,Einzelbeträge!$C:$C,'Ausgaben 2025'!$C345,Einzelbeträge!$E:$E,'Ausgaben 2025'!E$6)</f>
        <v>0</v>
      </c>
      <c r="F345" s="21">
        <f>SUMIFS(Einzelbeträge!$D:$D,Einzelbeträge!$C:$C,'Ausgaben 2025'!$C345,Einzelbeträge!$E:$E,'Ausgaben 2025'!F$6)</f>
        <v>0</v>
      </c>
      <c r="G345" s="21">
        <f>SUMIFS(Einzelbeträge!$D:$D,Einzelbeträge!$C:$C,'Ausgaben 2025'!$C345,Einzelbeträge!$E:$E,'Ausgaben 2025'!G$6)</f>
        <v>0</v>
      </c>
      <c r="H345" s="21">
        <f>SUMIFS(Einzelbeträge!$D:$D,Einzelbeträge!$C:$C,'Ausgaben 2025'!$C345,Einzelbeträge!$E:$E,'Ausgaben 2025'!H$6)</f>
        <v>0</v>
      </c>
      <c r="I345" s="21">
        <f>SUMIFS(Einzelbeträge!$D:$D,Einzelbeträge!$C:$C,'Ausgaben 2025'!$C345,Einzelbeträge!$E:$E,'Ausgaben 2025'!I$6)</f>
        <v>0</v>
      </c>
      <c r="J345" s="21">
        <f>SUMIFS(Einzelbeträge!$D:$D,Einzelbeträge!$C:$C,'Ausgaben 2025'!$C345,Einzelbeträge!$E:$E,'Ausgaben 2025'!J$6)</f>
        <v>0</v>
      </c>
      <c r="K345" s="21">
        <f>SUMIFS(Einzelbeträge!$D:$D,Einzelbeträge!$C:$C,'Ausgaben 2025'!$C345,Einzelbeträge!$E:$E,'Ausgaben 2025'!K$6)</f>
        <v>0</v>
      </c>
      <c r="L345" s="21">
        <f>SUMIFS(Einzelbeträge!$D:$D,Einzelbeträge!$C:$C,'Ausgaben 2025'!$C345,Einzelbeträge!$E:$E,'Ausgaben 2025'!L$6)</f>
        <v>0</v>
      </c>
      <c r="M345" s="21">
        <f>SUMIFS(Einzelbeträge!$D:$D,Einzelbeträge!$C:$C,'Ausgaben 2025'!$C345,Einzelbeträge!$E:$E,'Ausgaben 2025'!M$6)</f>
        <v>0</v>
      </c>
      <c r="N345" s="35">
        <f>SUMIFS(Einzelbeträge!$D:$D,Einzelbeträge!$C:$C,'Ausgaben 2025'!$C345,Einzelbeträge!$E:$E,'Ausgaben 2025'!N$6)</f>
        <v>0</v>
      </c>
      <c r="O345" s="6"/>
    </row>
    <row r="346" spans="2:15" x14ac:dyDescent="0.35">
      <c r="B346" s="5"/>
      <c r="C346" s="30">
        <f t="shared" si="26"/>
        <v>45966</v>
      </c>
      <c r="D346" s="46">
        <f>SUMIFS(Einzelbeträge!$D:$D,Einzelbeträge!$C:$C,'Ausgaben 2025'!$C346)</f>
        <v>0</v>
      </c>
      <c r="E346" s="21">
        <f>SUMIFS(Einzelbeträge!$D:$D,Einzelbeträge!$C:$C,'Ausgaben 2025'!$C346,Einzelbeträge!$E:$E,'Ausgaben 2025'!E$6)</f>
        <v>0</v>
      </c>
      <c r="F346" s="21">
        <f>SUMIFS(Einzelbeträge!$D:$D,Einzelbeträge!$C:$C,'Ausgaben 2025'!$C346,Einzelbeträge!$E:$E,'Ausgaben 2025'!F$6)</f>
        <v>0</v>
      </c>
      <c r="G346" s="21">
        <f>SUMIFS(Einzelbeträge!$D:$D,Einzelbeträge!$C:$C,'Ausgaben 2025'!$C346,Einzelbeträge!$E:$E,'Ausgaben 2025'!G$6)</f>
        <v>0</v>
      </c>
      <c r="H346" s="21">
        <f>SUMIFS(Einzelbeträge!$D:$D,Einzelbeträge!$C:$C,'Ausgaben 2025'!$C346,Einzelbeträge!$E:$E,'Ausgaben 2025'!H$6)</f>
        <v>0</v>
      </c>
      <c r="I346" s="21">
        <f>SUMIFS(Einzelbeträge!$D:$D,Einzelbeträge!$C:$C,'Ausgaben 2025'!$C346,Einzelbeträge!$E:$E,'Ausgaben 2025'!I$6)</f>
        <v>0</v>
      </c>
      <c r="J346" s="21">
        <f>SUMIFS(Einzelbeträge!$D:$D,Einzelbeträge!$C:$C,'Ausgaben 2025'!$C346,Einzelbeträge!$E:$E,'Ausgaben 2025'!J$6)</f>
        <v>0</v>
      </c>
      <c r="K346" s="21">
        <f>SUMIFS(Einzelbeträge!$D:$D,Einzelbeträge!$C:$C,'Ausgaben 2025'!$C346,Einzelbeträge!$E:$E,'Ausgaben 2025'!K$6)</f>
        <v>0</v>
      </c>
      <c r="L346" s="21">
        <f>SUMIFS(Einzelbeträge!$D:$D,Einzelbeträge!$C:$C,'Ausgaben 2025'!$C346,Einzelbeträge!$E:$E,'Ausgaben 2025'!L$6)</f>
        <v>0</v>
      </c>
      <c r="M346" s="21">
        <f>SUMIFS(Einzelbeträge!$D:$D,Einzelbeträge!$C:$C,'Ausgaben 2025'!$C346,Einzelbeträge!$E:$E,'Ausgaben 2025'!M$6)</f>
        <v>0</v>
      </c>
      <c r="N346" s="35">
        <f>SUMIFS(Einzelbeträge!$D:$D,Einzelbeträge!$C:$C,'Ausgaben 2025'!$C346,Einzelbeträge!$E:$E,'Ausgaben 2025'!N$6)</f>
        <v>0</v>
      </c>
      <c r="O346" s="6"/>
    </row>
    <row r="347" spans="2:15" x14ac:dyDescent="0.35">
      <c r="B347" s="5"/>
      <c r="C347" s="30">
        <f t="shared" si="26"/>
        <v>45967</v>
      </c>
      <c r="D347" s="46">
        <f>SUMIFS(Einzelbeträge!$D:$D,Einzelbeträge!$C:$C,'Ausgaben 2025'!$C347)</f>
        <v>0</v>
      </c>
      <c r="E347" s="21">
        <f>SUMIFS(Einzelbeträge!$D:$D,Einzelbeträge!$C:$C,'Ausgaben 2025'!$C347,Einzelbeträge!$E:$E,'Ausgaben 2025'!E$6)</f>
        <v>0</v>
      </c>
      <c r="F347" s="21">
        <f>SUMIFS(Einzelbeträge!$D:$D,Einzelbeträge!$C:$C,'Ausgaben 2025'!$C347,Einzelbeträge!$E:$E,'Ausgaben 2025'!F$6)</f>
        <v>0</v>
      </c>
      <c r="G347" s="21">
        <f>SUMIFS(Einzelbeträge!$D:$D,Einzelbeträge!$C:$C,'Ausgaben 2025'!$C347,Einzelbeträge!$E:$E,'Ausgaben 2025'!G$6)</f>
        <v>0</v>
      </c>
      <c r="H347" s="21">
        <f>SUMIFS(Einzelbeträge!$D:$D,Einzelbeträge!$C:$C,'Ausgaben 2025'!$C347,Einzelbeträge!$E:$E,'Ausgaben 2025'!H$6)</f>
        <v>0</v>
      </c>
      <c r="I347" s="21">
        <f>SUMIFS(Einzelbeträge!$D:$D,Einzelbeträge!$C:$C,'Ausgaben 2025'!$C347,Einzelbeträge!$E:$E,'Ausgaben 2025'!I$6)</f>
        <v>0</v>
      </c>
      <c r="J347" s="21">
        <f>SUMIFS(Einzelbeträge!$D:$D,Einzelbeträge!$C:$C,'Ausgaben 2025'!$C347,Einzelbeträge!$E:$E,'Ausgaben 2025'!J$6)</f>
        <v>0</v>
      </c>
      <c r="K347" s="21">
        <f>SUMIFS(Einzelbeträge!$D:$D,Einzelbeträge!$C:$C,'Ausgaben 2025'!$C347,Einzelbeträge!$E:$E,'Ausgaben 2025'!K$6)</f>
        <v>0</v>
      </c>
      <c r="L347" s="21">
        <f>SUMIFS(Einzelbeträge!$D:$D,Einzelbeträge!$C:$C,'Ausgaben 2025'!$C347,Einzelbeträge!$E:$E,'Ausgaben 2025'!L$6)</f>
        <v>0</v>
      </c>
      <c r="M347" s="21">
        <f>SUMIFS(Einzelbeträge!$D:$D,Einzelbeträge!$C:$C,'Ausgaben 2025'!$C347,Einzelbeträge!$E:$E,'Ausgaben 2025'!M$6)</f>
        <v>0</v>
      </c>
      <c r="N347" s="35">
        <f>SUMIFS(Einzelbeträge!$D:$D,Einzelbeträge!$C:$C,'Ausgaben 2025'!$C347,Einzelbeträge!$E:$E,'Ausgaben 2025'!N$6)</f>
        <v>0</v>
      </c>
      <c r="O347" s="6"/>
    </row>
    <row r="348" spans="2:15" x14ac:dyDescent="0.35">
      <c r="B348" s="5"/>
      <c r="C348" s="30">
        <f t="shared" si="26"/>
        <v>45968</v>
      </c>
      <c r="D348" s="46">
        <f>SUMIFS(Einzelbeträge!$D:$D,Einzelbeträge!$C:$C,'Ausgaben 2025'!$C348)</f>
        <v>0</v>
      </c>
      <c r="E348" s="21">
        <f>SUMIFS(Einzelbeträge!$D:$D,Einzelbeträge!$C:$C,'Ausgaben 2025'!$C348,Einzelbeträge!$E:$E,'Ausgaben 2025'!E$6)</f>
        <v>0</v>
      </c>
      <c r="F348" s="21">
        <f>SUMIFS(Einzelbeträge!$D:$D,Einzelbeträge!$C:$C,'Ausgaben 2025'!$C348,Einzelbeträge!$E:$E,'Ausgaben 2025'!F$6)</f>
        <v>0</v>
      </c>
      <c r="G348" s="21">
        <f>SUMIFS(Einzelbeträge!$D:$D,Einzelbeträge!$C:$C,'Ausgaben 2025'!$C348,Einzelbeträge!$E:$E,'Ausgaben 2025'!G$6)</f>
        <v>0</v>
      </c>
      <c r="H348" s="21">
        <f>SUMIFS(Einzelbeträge!$D:$D,Einzelbeträge!$C:$C,'Ausgaben 2025'!$C348,Einzelbeträge!$E:$E,'Ausgaben 2025'!H$6)</f>
        <v>0</v>
      </c>
      <c r="I348" s="21">
        <f>SUMIFS(Einzelbeträge!$D:$D,Einzelbeträge!$C:$C,'Ausgaben 2025'!$C348,Einzelbeträge!$E:$E,'Ausgaben 2025'!I$6)</f>
        <v>0</v>
      </c>
      <c r="J348" s="21">
        <f>SUMIFS(Einzelbeträge!$D:$D,Einzelbeträge!$C:$C,'Ausgaben 2025'!$C348,Einzelbeträge!$E:$E,'Ausgaben 2025'!J$6)</f>
        <v>0</v>
      </c>
      <c r="K348" s="21">
        <f>SUMIFS(Einzelbeträge!$D:$D,Einzelbeträge!$C:$C,'Ausgaben 2025'!$C348,Einzelbeträge!$E:$E,'Ausgaben 2025'!K$6)</f>
        <v>0</v>
      </c>
      <c r="L348" s="21">
        <f>SUMIFS(Einzelbeträge!$D:$D,Einzelbeträge!$C:$C,'Ausgaben 2025'!$C348,Einzelbeträge!$E:$E,'Ausgaben 2025'!L$6)</f>
        <v>0</v>
      </c>
      <c r="M348" s="21">
        <f>SUMIFS(Einzelbeträge!$D:$D,Einzelbeträge!$C:$C,'Ausgaben 2025'!$C348,Einzelbeträge!$E:$E,'Ausgaben 2025'!M$6)</f>
        <v>0</v>
      </c>
      <c r="N348" s="35">
        <f>SUMIFS(Einzelbeträge!$D:$D,Einzelbeträge!$C:$C,'Ausgaben 2025'!$C348,Einzelbeträge!$E:$E,'Ausgaben 2025'!N$6)</f>
        <v>0</v>
      </c>
      <c r="O348" s="6"/>
    </row>
    <row r="349" spans="2:15" x14ac:dyDescent="0.35">
      <c r="B349" s="5"/>
      <c r="C349" s="30">
        <f t="shared" si="26"/>
        <v>45969</v>
      </c>
      <c r="D349" s="46">
        <f>SUMIFS(Einzelbeträge!$D:$D,Einzelbeträge!$C:$C,'Ausgaben 2025'!$C349)</f>
        <v>0</v>
      </c>
      <c r="E349" s="21">
        <f>SUMIFS(Einzelbeträge!$D:$D,Einzelbeträge!$C:$C,'Ausgaben 2025'!$C349,Einzelbeträge!$E:$E,'Ausgaben 2025'!E$6)</f>
        <v>0</v>
      </c>
      <c r="F349" s="21">
        <f>SUMIFS(Einzelbeträge!$D:$D,Einzelbeträge!$C:$C,'Ausgaben 2025'!$C349,Einzelbeträge!$E:$E,'Ausgaben 2025'!F$6)</f>
        <v>0</v>
      </c>
      <c r="G349" s="21">
        <f>SUMIFS(Einzelbeträge!$D:$D,Einzelbeträge!$C:$C,'Ausgaben 2025'!$C349,Einzelbeträge!$E:$E,'Ausgaben 2025'!G$6)</f>
        <v>0</v>
      </c>
      <c r="H349" s="21">
        <f>SUMIFS(Einzelbeträge!$D:$D,Einzelbeträge!$C:$C,'Ausgaben 2025'!$C349,Einzelbeträge!$E:$E,'Ausgaben 2025'!H$6)</f>
        <v>0</v>
      </c>
      <c r="I349" s="21">
        <f>SUMIFS(Einzelbeträge!$D:$D,Einzelbeträge!$C:$C,'Ausgaben 2025'!$C349,Einzelbeträge!$E:$E,'Ausgaben 2025'!I$6)</f>
        <v>0</v>
      </c>
      <c r="J349" s="21">
        <f>SUMIFS(Einzelbeträge!$D:$D,Einzelbeträge!$C:$C,'Ausgaben 2025'!$C349,Einzelbeträge!$E:$E,'Ausgaben 2025'!J$6)</f>
        <v>0</v>
      </c>
      <c r="K349" s="21">
        <f>SUMIFS(Einzelbeträge!$D:$D,Einzelbeträge!$C:$C,'Ausgaben 2025'!$C349,Einzelbeträge!$E:$E,'Ausgaben 2025'!K$6)</f>
        <v>0</v>
      </c>
      <c r="L349" s="21">
        <f>SUMIFS(Einzelbeträge!$D:$D,Einzelbeträge!$C:$C,'Ausgaben 2025'!$C349,Einzelbeträge!$E:$E,'Ausgaben 2025'!L$6)</f>
        <v>0</v>
      </c>
      <c r="M349" s="21">
        <f>SUMIFS(Einzelbeträge!$D:$D,Einzelbeträge!$C:$C,'Ausgaben 2025'!$C349,Einzelbeträge!$E:$E,'Ausgaben 2025'!M$6)</f>
        <v>0</v>
      </c>
      <c r="N349" s="35">
        <f>SUMIFS(Einzelbeträge!$D:$D,Einzelbeträge!$C:$C,'Ausgaben 2025'!$C349,Einzelbeträge!$E:$E,'Ausgaben 2025'!N$6)</f>
        <v>0</v>
      </c>
      <c r="O349" s="6"/>
    </row>
    <row r="350" spans="2:15" x14ac:dyDescent="0.35">
      <c r="B350" s="5"/>
      <c r="C350" s="30">
        <f t="shared" si="26"/>
        <v>45970</v>
      </c>
      <c r="D350" s="46">
        <f>SUMIFS(Einzelbeträge!$D:$D,Einzelbeträge!$C:$C,'Ausgaben 2025'!$C350)</f>
        <v>0</v>
      </c>
      <c r="E350" s="21">
        <f>SUMIFS(Einzelbeträge!$D:$D,Einzelbeträge!$C:$C,'Ausgaben 2025'!$C350,Einzelbeträge!$E:$E,'Ausgaben 2025'!E$6)</f>
        <v>0</v>
      </c>
      <c r="F350" s="21">
        <f>SUMIFS(Einzelbeträge!$D:$D,Einzelbeträge!$C:$C,'Ausgaben 2025'!$C350,Einzelbeträge!$E:$E,'Ausgaben 2025'!F$6)</f>
        <v>0</v>
      </c>
      <c r="G350" s="21">
        <f>SUMIFS(Einzelbeträge!$D:$D,Einzelbeträge!$C:$C,'Ausgaben 2025'!$C350,Einzelbeträge!$E:$E,'Ausgaben 2025'!G$6)</f>
        <v>0</v>
      </c>
      <c r="H350" s="21">
        <f>SUMIFS(Einzelbeträge!$D:$D,Einzelbeträge!$C:$C,'Ausgaben 2025'!$C350,Einzelbeträge!$E:$E,'Ausgaben 2025'!H$6)</f>
        <v>0</v>
      </c>
      <c r="I350" s="21">
        <f>SUMIFS(Einzelbeträge!$D:$D,Einzelbeträge!$C:$C,'Ausgaben 2025'!$C350,Einzelbeträge!$E:$E,'Ausgaben 2025'!I$6)</f>
        <v>0</v>
      </c>
      <c r="J350" s="21">
        <f>SUMIFS(Einzelbeträge!$D:$D,Einzelbeträge!$C:$C,'Ausgaben 2025'!$C350,Einzelbeträge!$E:$E,'Ausgaben 2025'!J$6)</f>
        <v>0</v>
      </c>
      <c r="K350" s="21">
        <f>SUMIFS(Einzelbeträge!$D:$D,Einzelbeträge!$C:$C,'Ausgaben 2025'!$C350,Einzelbeträge!$E:$E,'Ausgaben 2025'!K$6)</f>
        <v>0</v>
      </c>
      <c r="L350" s="21">
        <f>SUMIFS(Einzelbeträge!$D:$D,Einzelbeträge!$C:$C,'Ausgaben 2025'!$C350,Einzelbeträge!$E:$E,'Ausgaben 2025'!L$6)</f>
        <v>0</v>
      </c>
      <c r="M350" s="21">
        <f>SUMIFS(Einzelbeträge!$D:$D,Einzelbeträge!$C:$C,'Ausgaben 2025'!$C350,Einzelbeträge!$E:$E,'Ausgaben 2025'!M$6)</f>
        <v>0</v>
      </c>
      <c r="N350" s="35">
        <f>SUMIFS(Einzelbeträge!$D:$D,Einzelbeträge!$C:$C,'Ausgaben 2025'!$C350,Einzelbeträge!$E:$E,'Ausgaben 2025'!N$6)</f>
        <v>0</v>
      </c>
      <c r="O350" s="6"/>
    </row>
    <row r="351" spans="2:15" x14ac:dyDescent="0.35">
      <c r="B351" s="5"/>
      <c r="C351" s="30">
        <f t="shared" si="26"/>
        <v>45971</v>
      </c>
      <c r="D351" s="46">
        <f>SUMIFS(Einzelbeträge!$D:$D,Einzelbeträge!$C:$C,'Ausgaben 2025'!$C351)</f>
        <v>0</v>
      </c>
      <c r="E351" s="21">
        <f>SUMIFS(Einzelbeträge!$D:$D,Einzelbeträge!$C:$C,'Ausgaben 2025'!$C351,Einzelbeträge!$E:$E,'Ausgaben 2025'!E$6)</f>
        <v>0</v>
      </c>
      <c r="F351" s="21">
        <f>SUMIFS(Einzelbeträge!$D:$D,Einzelbeträge!$C:$C,'Ausgaben 2025'!$C351,Einzelbeträge!$E:$E,'Ausgaben 2025'!F$6)</f>
        <v>0</v>
      </c>
      <c r="G351" s="21">
        <f>SUMIFS(Einzelbeträge!$D:$D,Einzelbeträge!$C:$C,'Ausgaben 2025'!$C351,Einzelbeträge!$E:$E,'Ausgaben 2025'!G$6)</f>
        <v>0</v>
      </c>
      <c r="H351" s="21">
        <f>SUMIFS(Einzelbeträge!$D:$D,Einzelbeträge!$C:$C,'Ausgaben 2025'!$C351,Einzelbeträge!$E:$E,'Ausgaben 2025'!H$6)</f>
        <v>0</v>
      </c>
      <c r="I351" s="21">
        <f>SUMIFS(Einzelbeträge!$D:$D,Einzelbeträge!$C:$C,'Ausgaben 2025'!$C351,Einzelbeträge!$E:$E,'Ausgaben 2025'!I$6)</f>
        <v>0</v>
      </c>
      <c r="J351" s="21">
        <f>SUMIFS(Einzelbeträge!$D:$D,Einzelbeträge!$C:$C,'Ausgaben 2025'!$C351,Einzelbeträge!$E:$E,'Ausgaben 2025'!J$6)</f>
        <v>0</v>
      </c>
      <c r="K351" s="21">
        <f>SUMIFS(Einzelbeträge!$D:$D,Einzelbeträge!$C:$C,'Ausgaben 2025'!$C351,Einzelbeträge!$E:$E,'Ausgaben 2025'!K$6)</f>
        <v>0</v>
      </c>
      <c r="L351" s="21">
        <f>SUMIFS(Einzelbeträge!$D:$D,Einzelbeträge!$C:$C,'Ausgaben 2025'!$C351,Einzelbeträge!$E:$E,'Ausgaben 2025'!L$6)</f>
        <v>0</v>
      </c>
      <c r="M351" s="21">
        <f>SUMIFS(Einzelbeträge!$D:$D,Einzelbeträge!$C:$C,'Ausgaben 2025'!$C351,Einzelbeträge!$E:$E,'Ausgaben 2025'!M$6)</f>
        <v>0</v>
      </c>
      <c r="N351" s="35">
        <f>SUMIFS(Einzelbeträge!$D:$D,Einzelbeträge!$C:$C,'Ausgaben 2025'!$C351,Einzelbeträge!$E:$E,'Ausgaben 2025'!N$6)</f>
        <v>0</v>
      </c>
      <c r="O351" s="6"/>
    </row>
    <row r="352" spans="2:15" x14ac:dyDescent="0.35">
      <c r="B352" s="5"/>
      <c r="C352" s="30">
        <f t="shared" si="26"/>
        <v>45972</v>
      </c>
      <c r="D352" s="46">
        <f>SUMIFS(Einzelbeträge!$D:$D,Einzelbeträge!$C:$C,'Ausgaben 2025'!$C352)</f>
        <v>0</v>
      </c>
      <c r="E352" s="21">
        <f>SUMIFS(Einzelbeträge!$D:$D,Einzelbeträge!$C:$C,'Ausgaben 2025'!$C352,Einzelbeträge!$E:$E,'Ausgaben 2025'!E$6)</f>
        <v>0</v>
      </c>
      <c r="F352" s="21">
        <f>SUMIFS(Einzelbeträge!$D:$D,Einzelbeträge!$C:$C,'Ausgaben 2025'!$C352,Einzelbeträge!$E:$E,'Ausgaben 2025'!F$6)</f>
        <v>0</v>
      </c>
      <c r="G352" s="21">
        <f>SUMIFS(Einzelbeträge!$D:$D,Einzelbeträge!$C:$C,'Ausgaben 2025'!$C352,Einzelbeträge!$E:$E,'Ausgaben 2025'!G$6)</f>
        <v>0</v>
      </c>
      <c r="H352" s="21">
        <f>SUMIFS(Einzelbeträge!$D:$D,Einzelbeträge!$C:$C,'Ausgaben 2025'!$C352,Einzelbeträge!$E:$E,'Ausgaben 2025'!H$6)</f>
        <v>0</v>
      </c>
      <c r="I352" s="21">
        <f>SUMIFS(Einzelbeträge!$D:$D,Einzelbeträge!$C:$C,'Ausgaben 2025'!$C352,Einzelbeträge!$E:$E,'Ausgaben 2025'!I$6)</f>
        <v>0</v>
      </c>
      <c r="J352" s="21">
        <f>SUMIFS(Einzelbeträge!$D:$D,Einzelbeträge!$C:$C,'Ausgaben 2025'!$C352,Einzelbeträge!$E:$E,'Ausgaben 2025'!J$6)</f>
        <v>0</v>
      </c>
      <c r="K352" s="21">
        <f>SUMIFS(Einzelbeträge!$D:$D,Einzelbeträge!$C:$C,'Ausgaben 2025'!$C352,Einzelbeträge!$E:$E,'Ausgaben 2025'!K$6)</f>
        <v>0</v>
      </c>
      <c r="L352" s="21">
        <f>SUMIFS(Einzelbeträge!$D:$D,Einzelbeträge!$C:$C,'Ausgaben 2025'!$C352,Einzelbeträge!$E:$E,'Ausgaben 2025'!L$6)</f>
        <v>0</v>
      </c>
      <c r="M352" s="21">
        <f>SUMIFS(Einzelbeträge!$D:$D,Einzelbeträge!$C:$C,'Ausgaben 2025'!$C352,Einzelbeträge!$E:$E,'Ausgaben 2025'!M$6)</f>
        <v>0</v>
      </c>
      <c r="N352" s="35">
        <f>SUMIFS(Einzelbeträge!$D:$D,Einzelbeträge!$C:$C,'Ausgaben 2025'!$C352,Einzelbeträge!$E:$E,'Ausgaben 2025'!N$6)</f>
        <v>0</v>
      </c>
      <c r="O352" s="6"/>
    </row>
    <row r="353" spans="2:15" x14ac:dyDescent="0.35">
      <c r="B353" s="5"/>
      <c r="C353" s="30">
        <f t="shared" si="26"/>
        <v>45973</v>
      </c>
      <c r="D353" s="46">
        <f>SUMIFS(Einzelbeträge!$D:$D,Einzelbeträge!$C:$C,'Ausgaben 2025'!$C353)</f>
        <v>0</v>
      </c>
      <c r="E353" s="21">
        <f>SUMIFS(Einzelbeträge!$D:$D,Einzelbeträge!$C:$C,'Ausgaben 2025'!$C353,Einzelbeträge!$E:$E,'Ausgaben 2025'!E$6)</f>
        <v>0</v>
      </c>
      <c r="F353" s="21">
        <f>SUMIFS(Einzelbeträge!$D:$D,Einzelbeträge!$C:$C,'Ausgaben 2025'!$C353,Einzelbeträge!$E:$E,'Ausgaben 2025'!F$6)</f>
        <v>0</v>
      </c>
      <c r="G353" s="21">
        <f>SUMIFS(Einzelbeträge!$D:$D,Einzelbeträge!$C:$C,'Ausgaben 2025'!$C353,Einzelbeträge!$E:$E,'Ausgaben 2025'!G$6)</f>
        <v>0</v>
      </c>
      <c r="H353" s="21">
        <f>SUMIFS(Einzelbeträge!$D:$D,Einzelbeträge!$C:$C,'Ausgaben 2025'!$C353,Einzelbeträge!$E:$E,'Ausgaben 2025'!H$6)</f>
        <v>0</v>
      </c>
      <c r="I353" s="21">
        <f>SUMIFS(Einzelbeträge!$D:$D,Einzelbeträge!$C:$C,'Ausgaben 2025'!$C353,Einzelbeträge!$E:$E,'Ausgaben 2025'!I$6)</f>
        <v>0</v>
      </c>
      <c r="J353" s="21">
        <f>SUMIFS(Einzelbeträge!$D:$D,Einzelbeträge!$C:$C,'Ausgaben 2025'!$C353,Einzelbeträge!$E:$E,'Ausgaben 2025'!J$6)</f>
        <v>0</v>
      </c>
      <c r="K353" s="21">
        <f>SUMIFS(Einzelbeträge!$D:$D,Einzelbeträge!$C:$C,'Ausgaben 2025'!$C353,Einzelbeträge!$E:$E,'Ausgaben 2025'!K$6)</f>
        <v>0</v>
      </c>
      <c r="L353" s="21">
        <f>SUMIFS(Einzelbeträge!$D:$D,Einzelbeträge!$C:$C,'Ausgaben 2025'!$C353,Einzelbeträge!$E:$E,'Ausgaben 2025'!L$6)</f>
        <v>0</v>
      </c>
      <c r="M353" s="21">
        <f>SUMIFS(Einzelbeträge!$D:$D,Einzelbeträge!$C:$C,'Ausgaben 2025'!$C353,Einzelbeträge!$E:$E,'Ausgaben 2025'!M$6)</f>
        <v>0</v>
      </c>
      <c r="N353" s="35">
        <f>SUMIFS(Einzelbeträge!$D:$D,Einzelbeträge!$C:$C,'Ausgaben 2025'!$C353,Einzelbeträge!$E:$E,'Ausgaben 2025'!N$6)</f>
        <v>0</v>
      </c>
      <c r="O353" s="6"/>
    </row>
    <row r="354" spans="2:15" x14ac:dyDescent="0.35">
      <c r="B354" s="5"/>
      <c r="C354" s="30">
        <f t="shared" si="26"/>
        <v>45974</v>
      </c>
      <c r="D354" s="46">
        <f>SUMIFS(Einzelbeträge!$D:$D,Einzelbeträge!$C:$C,'Ausgaben 2025'!$C354)</f>
        <v>0</v>
      </c>
      <c r="E354" s="21">
        <f>SUMIFS(Einzelbeträge!$D:$D,Einzelbeträge!$C:$C,'Ausgaben 2025'!$C354,Einzelbeträge!$E:$E,'Ausgaben 2025'!E$6)</f>
        <v>0</v>
      </c>
      <c r="F354" s="21">
        <f>SUMIFS(Einzelbeträge!$D:$D,Einzelbeträge!$C:$C,'Ausgaben 2025'!$C354,Einzelbeträge!$E:$E,'Ausgaben 2025'!F$6)</f>
        <v>0</v>
      </c>
      <c r="G354" s="21">
        <f>SUMIFS(Einzelbeträge!$D:$D,Einzelbeträge!$C:$C,'Ausgaben 2025'!$C354,Einzelbeträge!$E:$E,'Ausgaben 2025'!G$6)</f>
        <v>0</v>
      </c>
      <c r="H354" s="21">
        <f>SUMIFS(Einzelbeträge!$D:$D,Einzelbeträge!$C:$C,'Ausgaben 2025'!$C354,Einzelbeträge!$E:$E,'Ausgaben 2025'!H$6)</f>
        <v>0</v>
      </c>
      <c r="I354" s="21">
        <f>SUMIFS(Einzelbeträge!$D:$D,Einzelbeträge!$C:$C,'Ausgaben 2025'!$C354,Einzelbeträge!$E:$E,'Ausgaben 2025'!I$6)</f>
        <v>0</v>
      </c>
      <c r="J354" s="21">
        <f>SUMIFS(Einzelbeträge!$D:$D,Einzelbeträge!$C:$C,'Ausgaben 2025'!$C354,Einzelbeträge!$E:$E,'Ausgaben 2025'!J$6)</f>
        <v>0</v>
      </c>
      <c r="K354" s="21">
        <f>SUMIFS(Einzelbeträge!$D:$D,Einzelbeträge!$C:$C,'Ausgaben 2025'!$C354,Einzelbeträge!$E:$E,'Ausgaben 2025'!K$6)</f>
        <v>0</v>
      </c>
      <c r="L354" s="21">
        <f>SUMIFS(Einzelbeträge!$D:$D,Einzelbeträge!$C:$C,'Ausgaben 2025'!$C354,Einzelbeträge!$E:$E,'Ausgaben 2025'!L$6)</f>
        <v>0</v>
      </c>
      <c r="M354" s="21">
        <f>SUMIFS(Einzelbeträge!$D:$D,Einzelbeträge!$C:$C,'Ausgaben 2025'!$C354,Einzelbeträge!$E:$E,'Ausgaben 2025'!M$6)</f>
        <v>0</v>
      </c>
      <c r="N354" s="35">
        <f>SUMIFS(Einzelbeträge!$D:$D,Einzelbeträge!$C:$C,'Ausgaben 2025'!$C354,Einzelbeträge!$E:$E,'Ausgaben 2025'!N$6)</f>
        <v>0</v>
      </c>
      <c r="O354" s="6"/>
    </row>
    <row r="355" spans="2:15" x14ac:dyDescent="0.35">
      <c r="B355" s="5"/>
      <c r="C355" s="30">
        <f t="shared" si="26"/>
        <v>45975</v>
      </c>
      <c r="D355" s="46">
        <f>SUMIFS(Einzelbeträge!$D:$D,Einzelbeträge!$C:$C,'Ausgaben 2025'!$C355)</f>
        <v>0</v>
      </c>
      <c r="E355" s="21">
        <f>SUMIFS(Einzelbeträge!$D:$D,Einzelbeträge!$C:$C,'Ausgaben 2025'!$C355,Einzelbeträge!$E:$E,'Ausgaben 2025'!E$6)</f>
        <v>0</v>
      </c>
      <c r="F355" s="21">
        <f>SUMIFS(Einzelbeträge!$D:$D,Einzelbeträge!$C:$C,'Ausgaben 2025'!$C355,Einzelbeträge!$E:$E,'Ausgaben 2025'!F$6)</f>
        <v>0</v>
      </c>
      <c r="G355" s="21">
        <f>SUMIFS(Einzelbeträge!$D:$D,Einzelbeträge!$C:$C,'Ausgaben 2025'!$C355,Einzelbeträge!$E:$E,'Ausgaben 2025'!G$6)</f>
        <v>0</v>
      </c>
      <c r="H355" s="21">
        <f>SUMIFS(Einzelbeträge!$D:$D,Einzelbeträge!$C:$C,'Ausgaben 2025'!$C355,Einzelbeträge!$E:$E,'Ausgaben 2025'!H$6)</f>
        <v>0</v>
      </c>
      <c r="I355" s="21">
        <f>SUMIFS(Einzelbeträge!$D:$D,Einzelbeträge!$C:$C,'Ausgaben 2025'!$C355,Einzelbeträge!$E:$E,'Ausgaben 2025'!I$6)</f>
        <v>0</v>
      </c>
      <c r="J355" s="21">
        <f>SUMIFS(Einzelbeträge!$D:$D,Einzelbeträge!$C:$C,'Ausgaben 2025'!$C355,Einzelbeträge!$E:$E,'Ausgaben 2025'!J$6)</f>
        <v>0</v>
      </c>
      <c r="K355" s="21">
        <f>SUMIFS(Einzelbeträge!$D:$D,Einzelbeträge!$C:$C,'Ausgaben 2025'!$C355,Einzelbeträge!$E:$E,'Ausgaben 2025'!K$6)</f>
        <v>0</v>
      </c>
      <c r="L355" s="21">
        <f>SUMIFS(Einzelbeträge!$D:$D,Einzelbeträge!$C:$C,'Ausgaben 2025'!$C355,Einzelbeträge!$E:$E,'Ausgaben 2025'!L$6)</f>
        <v>0</v>
      </c>
      <c r="M355" s="21">
        <f>SUMIFS(Einzelbeträge!$D:$D,Einzelbeträge!$C:$C,'Ausgaben 2025'!$C355,Einzelbeträge!$E:$E,'Ausgaben 2025'!M$6)</f>
        <v>0</v>
      </c>
      <c r="N355" s="35">
        <f>SUMIFS(Einzelbeträge!$D:$D,Einzelbeträge!$C:$C,'Ausgaben 2025'!$C355,Einzelbeträge!$E:$E,'Ausgaben 2025'!N$6)</f>
        <v>0</v>
      </c>
      <c r="O355" s="6"/>
    </row>
    <row r="356" spans="2:15" x14ac:dyDescent="0.35">
      <c r="B356" s="5"/>
      <c r="C356" s="30">
        <f t="shared" si="26"/>
        <v>45976</v>
      </c>
      <c r="D356" s="46">
        <f>SUMIFS(Einzelbeträge!$D:$D,Einzelbeträge!$C:$C,'Ausgaben 2025'!$C356)</f>
        <v>0</v>
      </c>
      <c r="E356" s="21">
        <f>SUMIFS(Einzelbeträge!$D:$D,Einzelbeträge!$C:$C,'Ausgaben 2025'!$C356,Einzelbeträge!$E:$E,'Ausgaben 2025'!E$6)</f>
        <v>0</v>
      </c>
      <c r="F356" s="21">
        <f>SUMIFS(Einzelbeträge!$D:$D,Einzelbeträge!$C:$C,'Ausgaben 2025'!$C356,Einzelbeträge!$E:$E,'Ausgaben 2025'!F$6)</f>
        <v>0</v>
      </c>
      <c r="G356" s="21">
        <f>SUMIFS(Einzelbeträge!$D:$D,Einzelbeträge!$C:$C,'Ausgaben 2025'!$C356,Einzelbeträge!$E:$E,'Ausgaben 2025'!G$6)</f>
        <v>0</v>
      </c>
      <c r="H356" s="21">
        <f>SUMIFS(Einzelbeträge!$D:$D,Einzelbeträge!$C:$C,'Ausgaben 2025'!$C356,Einzelbeträge!$E:$E,'Ausgaben 2025'!H$6)</f>
        <v>0</v>
      </c>
      <c r="I356" s="21">
        <f>SUMIFS(Einzelbeträge!$D:$D,Einzelbeträge!$C:$C,'Ausgaben 2025'!$C356,Einzelbeträge!$E:$E,'Ausgaben 2025'!I$6)</f>
        <v>0</v>
      </c>
      <c r="J356" s="21">
        <f>SUMIFS(Einzelbeträge!$D:$D,Einzelbeträge!$C:$C,'Ausgaben 2025'!$C356,Einzelbeträge!$E:$E,'Ausgaben 2025'!J$6)</f>
        <v>0</v>
      </c>
      <c r="K356" s="21">
        <f>SUMIFS(Einzelbeträge!$D:$D,Einzelbeträge!$C:$C,'Ausgaben 2025'!$C356,Einzelbeträge!$E:$E,'Ausgaben 2025'!K$6)</f>
        <v>0</v>
      </c>
      <c r="L356" s="21">
        <f>SUMIFS(Einzelbeträge!$D:$D,Einzelbeträge!$C:$C,'Ausgaben 2025'!$C356,Einzelbeträge!$E:$E,'Ausgaben 2025'!L$6)</f>
        <v>0</v>
      </c>
      <c r="M356" s="21">
        <f>SUMIFS(Einzelbeträge!$D:$D,Einzelbeträge!$C:$C,'Ausgaben 2025'!$C356,Einzelbeträge!$E:$E,'Ausgaben 2025'!M$6)</f>
        <v>0</v>
      </c>
      <c r="N356" s="35">
        <f>SUMIFS(Einzelbeträge!$D:$D,Einzelbeträge!$C:$C,'Ausgaben 2025'!$C356,Einzelbeträge!$E:$E,'Ausgaben 2025'!N$6)</f>
        <v>0</v>
      </c>
      <c r="O356" s="6"/>
    </row>
    <row r="357" spans="2:15" x14ac:dyDescent="0.35">
      <c r="B357" s="5"/>
      <c r="C357" s="30">
        <f t="shared" si="26"/>
        <v>45977</v>
      </c>
      <c r="D357" s="46">
        <f>SUMIFS(Einzelbeträge!$D:$D,Einzelbeträge!$C:$C,'Ausgaben 2025'!$C357)</f>
        <v>0</v>
      </c>
      <c r="E357" s="21">
        <f>SUMIFS(Einzelbeträge!$D:$D,Einzelbeträge!$C:$C,'Ausgaben 2025'!$C357,Einzelbeträge!$E:$E,'Ausgaben 2025'!E$6)</f>
        <v>0</v>
      </c>
      <c r="F357" s="21">
        <f>SUMIFS(Einzelbeträge!$D:$D,Einzelbeträge!$C:$C,'Ausgaben 2025'!$C357,Einzelbeträge!$E:$E,'Ausgaben 2025'!F$6)</f>
        <v>0</v>
      </c>
      <c r="G357" s="21">
        <f>SUMIFS(Einzelbeträge!$D:$D,Einzelbeträge!$C:$C,'Ausgaben 2025'!$C357,Einzelbeträge!$E:$E,'Ausgaben 2025'!G$6)</f>
        <v>0</v>
      </c>
      <c r="H357" s="21">
        <f>SUMIFS(Einzelbeträge!$D:$D,Einzelbeträge!$C:$C,'Ausgaben 2025'!$C357,Einzelbeträge!$E:$E,'Ausgaben 2025'!H$6)</f>
        <v>0</v>
      </c>
      <c r="I357" s="21">
        <f>SUMIFS(Einzelbeträge!$D:$D,Einzelbeträge!$C:$C,'Ausgaben 2025'!$C357,Einzelbeträge!$E:$E,'Ausgaben 2025'!I$6)</f>
        <v>0</v>
      </c>
      <c r="J357" s="21">
        <f>SUMIFS(Einzelbeträge!$D:$D,Einzelbeträge!$C:$C,'Ausgaben 2025'!$C357,Einzelbeträge!$E:$E,'Ausgaben 2025'!J$6)</f>
        <v>0</v>
      </c>
      <c r="K357" s="21">
        <f>SUMIFS(Einzelbeträge!$D:$D,Einzelbeträge!$C:$C,'Ausgaben 2025'!$C357,Einzelbeträge!$E:$E,'Ausgaben 2025'!K$6)</f>
        <v>0</v>
      </c>
      <c r="L357" s="21">
        <f>SUMIFS(Einzelbeträge!$D:$D,Einzelbeträge!$C:$C,'Ausgaben 2025'!$C357,Einzelbeträge!$E:$E,'Ausgaben 2025'!L$6)</f>
        <v>0</v>
      </c>
      <c r="M357" s="21">
        <f>SUMIFS(Einzelbeträge!$D:$D,Einzelbeträge!$C:$C,'Ausgaben 2025'!$C357,Einzelbeträge!$E:$E,'Ausgaben 2025'!M$6)</f>
        <v>0</v>
      </c>
      <c r="N357" s="35">
        <f>SUMIFS(Einzelbeträge!$D:$D,Einzelbeträge!$C:$C,'Ausgaben 2025'!$C357,Einzelbeträge!$E:$E,'Ausgaben 2025'!N$6)</f>
        <v>0</v>
      </c>
      <c r="O357" s="6"/>
    </row>
    <row r="358" spans="2:15" x14ac:dyDescent="0.35">
      <c r="B358" s="5"/>
      <c r="C358" s="30">
        <f t="shared" si="26"/>
        <v>45978</v>
      </c>
      <c r="D358" s="46">
        <f>SUMIFS(Einzelbeträge!$D:$D,Einzelbeträge!$C:$C,'Ausgaben 2025'!$C358)</f>
        <v>0</v>
      </c>
      <c r="E358" s="21">
        <f>SUMIFS(Einzelbeträge!$D:$D,Einzelbeträge!$C:$C,'Ausgaben 2025'!$C358,Einzelbeträge!$E:$E,'Ausgaben 2025'!E$6)</f>
        <v>0</v>
      </c>
      <c r="F358" s="21">
        <f>SUMIFS(Einzelbeträge!$D:$D,Einzelbeträge!$C:$C,'Ausgaben 2025'!$C358,Einzelbeträge!$E:$E,'Ausgaben 2025'!F$6)</f>
        <v>0</v>
      </c>
      <c r="G358" s="21">
        <f>SUMIFS(Einzelbeträge!$D:$D,Einzelbeträge!$C:$C,'Ausgaben 2025'!$C358,Einzelbeträge!$E:$E,'Ausgaben 2025'!G$6)</f>
        <v>0</v>
      </c>
      <c r="H358" s="21">
        <f>SUMIFS(Einzelbeträge!$D:$D,Einzelbeträge!$C:$C,'Ausgaben 2025'!$C358,Einzelbeträge!$E:$E,'Ausgaben 2025'!H$6)</f>
        <v>0</v>
      </c>
      <c r="I358" s="21">
        <f>SUMIFS(Einzelbeträge!$D:$D,Einzelbeträge!$C:$C,'Ausgaben 2025'!$C358,Einzelbeträge!$E:$E,'Ausgaben 2025'!I$6)</f>
        <v>0</v>
      </c>
      <c r="J358" s="21">
        <f>SUMIFS(Einzelbeträge!$D:$D,Einzelbeträge!$C:$C,'Ausgaben 2025'!$C358,Einzelbeträge!$E:$E,'Ausgaben 2025'!J$6)</f>
        <v>0</v>
      </c>
      <c r="K358" s="21">
        <f>SUMIFS(Einzelbeträge!$D:$D,Einzelbeträge!$C:$C,'Ausgaben 2025'!$C358,Einzelbeträge!$E:$E,'Ausgaben 2025'!K$6)</f>
        <v>0</v>
      </c>
      <c r="L358" s="21">
        <f>SUMIFS(Einzelbeträge!$D:$D,Einzelbeträge!$C:$C,'Ausgaben 2025'!$C358,Einzelbeträge!$E:$E,'Ausgaben 2025'!L$6)</f>
        <v>0</v>
      </c>
      <c r="M358" s="21">
        <f>SUMIFS(Einzelbeträge!$D:$D,Einzelbeträge!$C:$C,'Ausgaben 2025'!$C358,Einzelbeträge!$E:$E,'Ausgaben 2025'!M$6)</f>
        <v>0</v>
      </c>
      <c r="N358" s="35">
        <f>SUMIFS(Einzelbeträge!$D:$D,Einzelbeträge!$C:$C,'Ausgaben 2025'!$C358,Einzelbeträge!$E:$E,'Ausgaben 2025'!N$6)</f>
        <v>0</v>
      </c>
      <c r="O358" s="6"/>
    </row>
    <row r="359" spans="2:15" x14ac:dyDescent="0.35">
      <c r="B359" s="5"/>
      <c r="C359" s="30">
        <f t="shared" si="26"/>
        <v>45979</v>
      </c>
      <c r="D359" s="46">
        <f>SUMIFS(Einzelbeträge!$D:$D,Einzelbeträge!$C:$C,'Ausgaben 2025'!$C359)</f>
        <v>0</v>
      </c>
      <c r="E359" s="21">
        <f>SUMIFS(Einzelbeträge!$D:$D,Einzelbeträge!$C:$C,'Ausgaben 2025'!$C359,Einzelbeträge!$E:$E,'Ausgaben 2025'!E$6)</f>
        <v>0</v>
      </c>
      <c r="F359" s="21">
        <f>SUMIFS(Einzelbeträge!$D:$D,Einzelbeträge!$C:$C,'Ausgaben 2025'!$C359,Einzelbeträge!$E:$E,'Ausgaben 2025'!F$6)</f>
        <v>0</v>
      </c>
      <c r="G359" s="21">
        <f>SUMIFS(Einzelbeträge!$D:$D,Einzelbeträge!$C:$C,'Ausgaben 2025'!$C359,Einzelbeträge!$E:$E,'Ausgaben 2025'!G$6)</f>
        <v>0</v>
      </c>
      <c r="H359" s="21">
        <f>SUMIFS(Einzelbeträge!$D:$D,Einzelbeträge!$C:$C,'Ausgaben 2025'!$C359,Einzelbeträge!$E:$E,'Ausgaben 2025'!H$6)</f>
        <v>0</v>
      </c>
      <c r="I359" s="21">
        <f>SUMIFS(Einzelbeträge!$D:$D,Einzelbeträge!$C:$C,'Ausgaben 2025'!$C359,Einzelbeträge!$E:$E,'Ausgaben 2025'!I$6)</f>
        <v>0</v>
      </c>
      <c r="J359" s="21">
        <f>SUMIFS(Einzelbeträge!$D:$D,Einzelbeträge!$C:$C,'Ausgaben 2025'!$C359,Einzelbeträge!$E:$E,'Ausgaben 2025'!J$6)</f>
        <v>0</v>
      </c>
      <c r="K359" s="21">
        <f>SUMIFS(Einzelbeträge!$D:$D,Einzelbeträge!$C:$C,'Ausgaben 2025'!$C359,Einzelbeträge!$E:$E,'Ausgaben 2025'!K$6)</f>
        <v>0</v>
      </c>
      <c r="L359" s="21">
        <f>SUMIFS(Einzelbeträge!$D:$D,Einzelbeträge!$C:$C,'Ausgaben 2025'!$C359,Einzelbeträge!$E:$E,'Ausgaben 2025'!L$6)</f>
        <v>0</v>
      </c>
      <c r="M359" s="21">
        <f>SUMIFS(Einzelbeträge!$D:$D,Einzelbeträge!$C:$C,'Ausgaben 2025'!$C359,Einzelbeträge!$E:$E,'Ausgaben 2025'!M$6)</f>
        <v>0</v>
      </c>
      <c r="N359" s="35">
        <f>SUMIFS(Einzelbeträge!$D:$D,Einzelbeträge!$C:$C,'Ausgaben 2025'!$C359,Einzelbeträge!$E:$E,'Ausgaben 2025'!N$6)</f>
        <v>0</v>
      </c>
      <c r="O359" s="6"/>
    </row>
    <row r="360" spans="2:15" x14ac:dyDescent="0.35">
      <c r="B360" s="5"/>
      <c r="C360" s="30">
        <f t="shared" si="26"/>
        <v>45980</v>
      </c>
      <c r="D360" s="46">
        <f>SUMIFS(Einzelbeträge!$D:$D,Einzelbeträge!$C:$C,'Ausgaben 2025'!$C360)</f>
        <v>0</v>
      </c>
      <c r="E360" s="21">
        <f>SUMIFS(Einzelbeträge!$D:$D,Einzelbeträge!$C:$C,'Ausgaben 2025'!$C360,Einzelbeträge!$E:$E,'Ausgaben 2025'!E$6)</f>
        <v>0</v>
      </c>
      <c r="F360" s="21">
        <f>SUMIFS(Einzelbeträge!$D:$D,Einzelbeträge!$C:$C,'Ausgaben 2025'!$C360,Einzelbeträge!$E:$E,'Ausgaben 2025'!F$6)</f>
        <v>0</v>
      </c>
      <c r="G360" s="21">
        <f>SUMIFS(Einzelbeträge!$D:$D,Einzelbeträge!$C:$C,'Ausgaben 2025'!$C360,Einzelbeträge!$E:$E,'Ausgaben 2025'!G$6)</f>
        <v>0</v>
      </c>
      <c r="H360" s="21">
        <f>SUMIFS(Einzelbeträge!$D:$D,Einzelbeträge!$C:$C,'Ausgaben 2025'!$C360,Einzelbeträge!$E:$E,'Ausgaben 2025'!H$6)</f>
        <v>0</v>
      </c>
      <c r="I360" s="21">
        <f>SUMIFS(Einzelbeträge!$D:$D,Einzelbeträge!$C:$C,'Ausgaben 2025'!$C360,Einzelbeträge!$E:$E,'Ausgaben 2025'!I$6)</f>
        <v>0</v>
      </c>
      <c r="J360" s="21">
        <f>SUMIFS(Einzelbeträge!$D:$D,Einzelbeträge!$C:$C,'Ausgaben 2025'!$C360,Einzelbeträge!$E:$E,'Ausgaben 2025'!J$6)</f>
        <v>0</v>
      </c>
      <c r="K360" s="21">
        <f>SUMIFS(Einzelbeträge!$D:$D,Einzelbeträge!$C:$C,'Ausgaben 2025'!$C360,Einzelbeträge!$E:$E,'Ausgaben 2025'!K$6)</f>
        <v>0</v>
      </c>
      <c r="L360" s="21">
        <f>SUMIFS(Einzelbeträge!$D:$D,Einzelbeträge!$C:$C,'Ausgaben 2025'!$C360,Einzelbeträge!$E:$E,'Ausgaben 2025'!L$6)</f>
        <v>0</v>
      </c>
      <c r="M360" s="21">
        <f>SUMIFS(Einzelbeträge!$D:$D,Einzelbeträge!$C:$C,'Ausgaben 2025'!$C360,Einzelbeträge!$E:$E,'Ausgaben 2025'!M$6)</f>
        <v>0</v>
      </c>
      <c r="N360" s="35">
        <f>SUMIFS(Einzelbeträge!$D:$D,Einzelbeträge!$C:$C,'Ausgaben 2025'!$C360,Einzelbeträge!$E:$E,'Ausgaben 2025'!N$6)</f>
        <v>0</v>
      </c>
      <c r="O360" s="6"/>
    </row>
    <row r="361" spans="2:15" x14ac:dyDescent="0.35">
      <c r="B361" s="5"/>
      <c r="C361" s="30">
        <f t="shared" si="26"/>
        <v>45981</v>
      </c>
      <c r="D361" s="46">
        <f>SUMIFS(Einzelbeträge!$D:$D,Einzelbeträge!$C:$C,'Ausgaben 2025'!$C361)</f>
        <v>0</v>
      </c>
      <c r="E361" s="21">
        <f>SUMIFS(Einzelbeträge!$D:$D,Einzelbeträge!$C:$C,'Ausgaben 2025'!$C361,Einzelbeträge!$E:$E,'Ausgaben 2025'!E$6)</f>
        <v>0</v>
      </c>
      <c r="F361" s="21">
        <f>SUMIFS(Einzelbeträge!$D:$D,Einzelbeträge!$C:$C,'Ausgaben 2025'!$C361,Einzelbeträge!$E:$E,'Ausgaben 2025'!F$6)</f>
        <v>0</v>
      </c>
      <c r="G361" s="21">
        <f>SUMIFS(Einzelbeträge!$D:$D,Einzelbeträge!$C:$C,'Ausgaben 2025'!$C361,Einzelbeträge!$E:$E,'Ausgaben 2025'!G$6)</f>
        <v>0</v>
      </c>
      <c r="H361" s="21">
        <f>SUMIFS(Einzelbeträge!$D:$D,Einzelbeträge!$C:$C,'Ausgaben 2025'!$C361,Einzelbeträge!$E:$E,'Ausgaben 2025'!H$6)</f>
        <v>0</v>
      </c>
      <c r="I361" s="21">
        <f>SUMIFS(Einzelbeträge!$D:$D,Einzelbeträge!$C:$C,'Ausgaben 2025'!$C361,Einzelbeträge!$E:$E,'Ausgaben 2025'!I$6)</f>
        <v>0</v>
      </c>
      <c r="J361" s="21">
        <f>SUMIFS(Einzelbeträge!$D:$D,Einzelbeträge!$C:$C,'Ausgaben 2025'!$C361,Einzelbeträge!$E:$E,'Ausgaben 2025'!J$6)</f>
        <v>0</v>
      </c>
      <c r="K361" s="21">
        <f>SUMIFS(Einzelbeträge!$D:$D,Einzelbeträge!$C:$C,'Ausgaben 2025'!$C361,Einzelbeträge!$E:$E,'Ausgaben 2025'!K$6)</f>
        <v>0</v>
      </c>
      <c r="L361" s="21">
        <f>SUMIFS(Einzelbeträge!$D:$D,Einzelbeträge!$C:$C,'Ausgaben 2025'!$C361,Einzelbeträge!$E:$E,'Ausgaben 2025'!L$6)</f>
        <v>0</v>
      </c>
      <c r="M361" s="21">
        <f>SUMIFS(Einzelbeträge!$D:$D,Einzelbeträge!$C:$C,'Ausgaben 2025'!$C361,Einzelbeträge!$E:$E,'Ausgaben 2025'!M$6)</f>
        <v>0</v>
      </c>
      <c r="N361" s="35">
        <f>SUMIFS(Einzelbeträge!$D:$D,Einzelbeträge!$C:$C,'Ausgaben 2025'!$C361,Einzelbeträge!$E:$E,'Ausgaben 2025'!N$6)</f>
        <v>0</v>
      </c>
      <c r="O361" s="6"/>
    </row>
    <row r="362" spans="2:15" x14ac:dyDescent="0.35">
      <c r="B362" s="5"/>
      <c r="C362" s="30">
        <f t="shared" si="26"/>
        <v>45982</v>
      </c>
      <c r="D362" s="46">
        <f>SUMIFS(Einzelbeträge!$D:$D,Einzelbeträge!$C:$C,'Ausgaben 2025'!$C362)</f>
        <v>0</v>
      </c>
      <c r="E362" s="21">
        <f>SUMIFS(Einzelbeträge!$D:$D,Einzelbeträge!$C:$C,'Ausgaben 2025'!$C362,Einzelbeträge!$E:$E,'Ausgaben 2025'!E$6)</f>
        <v>0</v>
      </c>
      <c r="F362" s="21">
        <f>SUMIFS(Einzelbeträge!$D:$D,Einzelbeträge!$C:$C,'Ausgaben 2025'!$C362,Einzelbeträge!$E:$E,'Ausgaben 2025'!F$6)</f>
        <v>0</v>
      </c>
      <c r="G362" s="21">
        <f>SUMIFS(Einzelbeträge!$D:$D,Einzelbeträge!$C:$C,'Ausgaben 2025'!$C362,Einzelbeträge!$E:$E,'Ausgaben 2025'!G$6)</f>
        <v>0</v>
      </c>
      <c r="H362" s="21">
        <f>SUMIFS(Einzelbeträge!$D:$D,Einzelbeträge!$C:$C,'Ausgaben 2025'!$C362,Einzelbeträge!$E:$E,'Ausgaben 2025'!H$6)</f>
        <v>0</v>
      </c>
      <c r="I362" s="21">
        <f>SUMIFS(Einzelbeträge!$D:$D,Einzelbeträge!$C:$C,'Ausgaben 2025'!$C362,Einzelbeträge!$E:$E,'Ausgaben 2025'!I$6)</f>
        <v>0</v>
      </c>
      <c r="J362" s="21">
        <f>SUMIFS(Einzelbeträge!$D:$D,Einzelbeträge!$C:$C,'Ausgaben 2025'!$C362,Einzelbeträge!$E:$E,'Ausgaben 2025'!J$6)</f>
        <v>0</v>
      </c>
      <c r="K362" s="21">
        <f>SUMIFS(Einzelbeträge!$D:$D,Einzelbeträge!$C:$C,'Ausgaben 2025'!$C362,Einzelbeträge!$E:$E,'Ausgaben 2025'!K$6)</f>
        <v>0</v>
      </c>
      <c r="L362" s="21">
        <f>SUMIFS(Einzelbeträge!$D:$D,Einzelbeträge!$C:$C,'Ausgaben 2025'!$C362,Einzelbeträge!$E:$E,'Ausgaben 2025'!L$6)</f>
        <v>0</v>
      </c>
      <c r="M362" s="21">
        <f>SUMIFS(Einzelbeträge!$D:$D,Einzelbeträge!$C:$C,'Ausgaben 2025'!$C362,Einzelbeträge!$E:$E,'Ausgaben 2025'!M$6)</f>
        <v>0</v>
      </c>
      <c r="N362" s="35">
        <f>SUMIFS(Einzelbeträge!$D:$D,Einzelbeträge!$C:$C,'Ausgaben 2025'!$C362,Einzelbeträge!$E:$E,'Ausgaben 2025'!N$6)</f>
        <v>0</v>
      </c>
      <c r="O362" s="6"/>
    </row>
    <row r="363" spans="2:15" x14ac:dyDescent="0.35">
      <c r="B363" s="5"/>
      <c r="C363" s="30">
        <f t="shared" si="26"/>
        <v>45983</v>
      </c>
      <c r="D363" s="46">
        <f>SUMIFS(Einzelbeträge!$D:$D,Einzelbeträge!$C:$C,'Ausgaben 2025'!$C363)</f>
        <v>0</v>
      </c>
      <c r="E363" s="21">
        <f>SUMIFS(Einzelbeträge!$D:$D,Einzelbeträge!$C:$C,'Ausgaben 2025'!$C363,Einzelbeträge!$E:$E,'Ausgaben 2025'!E$6)</f>
        <v>0</v>
      </c>
      <c r="F363" s="21">
        <f>SUMIFS(Einzelbeträge!$D:$D,Einzelbeträge!$C:$C,'Ausgaben 2025'!$C363,Einzelbeträge!$E:$E,'Ausgaben 2025'!F$6)</f>
        <v>0</v>
      </c>
      <c r="G363" s="21">
        <f>SUMIFS(Einzelbeträge!$D:$D,Einzelbeträge!$C:$C,'Ausgaben 2025'!$C363,Einzelbeträge!$E:$E,'Ausgaben 2025'!G$6)</f>
        <v>0</v>
      </c>
      <c r="H363" s="21">
        <f>SUMIFS(Einzelbeträge!$D:$D,Einzelbeträge!$C:$C,'Ausgaben 2025'!$C363,Einzelbeträge!$E:$E,'Ausgaben 2025'!H$6)</f>
        <v>0</v>
      </c>
      <c r="I363" s="21">
        <f>SUMIFS(Einzelbeträge!$D:$D,Einzelbeträge!$C:$C,'Ausgaben 2025'!$C363,Einzelbeträge!$E:$E,'Ausgaben 2025'!I$6)</f>
        <v>0</v>
      </c>
      <c r="J363" s="21">
        <f>SUMIFS(Einzelbeträge!$D:$D,Einzelbeträge!$C:$C,'Ausgaben 2025'!$C363,Einzelbeträge!$E:$E,'Ausgaben 2025'!J$6)</f>
        <v>0</v>
      </c>
      <c r="K363" s="21">
        <f>SUMIFS(Einzelbeträge!$D:$D,Einzelbeträge!$C:$C,'Ausgaben 2025'!$C363,Einzelbeträge!$E:$E,'Ausgaben 2025'!K$6)</f>
        <v>0</v>
      </c>
      <c r="L363" s="21">
        <f>SUMIFS(Einzelbeträge!$D:$D,Einzelbeträge!$C:$C,'Ausgaben 2025'!$C363,Einzelbeträge!$E:$E,'Ausgaben 2025'!L$6)</f>
        <v>0</v>
      </c>
      <c r="M363" s="21">
        <f>SUMIFS(Einzelbeträge!$D:$D,Einzelbeträge!$C:$C,'Ausgaben 2025'!$C363,Einzelbeträge!$E:$E,'Ausgaben 2025'!M$6)</f>
        <v>0</v>
      </c>
      <c r="N363" s="35">
        <f>SUMIFS(Einzelbeträge!$D:$D,Einzelbeträge!$C:$C,'Ausgaben 2025'!$C363,Einzelbeträge!$E:$E,'Ausgaben 2025'!N$6)</f>
        <v>0</v>
      </c>
      <c r="O363" s="6"/>
    </row>
    <row r="364" spans="2:15" x14ac:dyDescent="0.35">
      <c r="B364" s="5"/>
      <c r="C364" s="30">
        <f t="shared" si="26"/>
        <v>45984</v>
      </c>
      <c r="D364" s="46">
        <f>SUMIFS(Einzelbeträge!$D:$D,Einzelbeträge!$C:$C,'Ausgaben 2025'!$C364)</f>
        <v>0</v>
      </c>
      <c r="E364" s="21">
        <f>SUMIFS(Einzelbeträge!$D:$D,Einzelbeträge!$C:$C,'Ausgaben 2025'!$C364,Einzelbeträge!$E:$E,'Ausgaben 2025'!E$6)</f>
        <v>0</v>
      </c>
      <c r="F364" s="21">
        <f>SUMIFS(Einzelbeträge!$D:$D,Einzelbeträge!$C:$C,'Ausgaben 2025'!$C364,Einzelbeträge!$E:$E,'Ausgaben 2025'!F$6)</f>
        <v>0</v>
      </c>
      <c r="G364" s="21">
        <f>SUMIFS(Einzelbeträge!$D:$D,Einzelbeträge!$C:$C,'Ausgaben 2025'!$C364,Einzelbeträge!$E:$E,'Ausgaben 2025'!G$6)</f>
        <v>0</v>
      </c>
      <c r="H364" s="21">
        <f>SUMIFS(Einzelbeträge!$D:$D,Einzelbeträge!$C:$C,'Ausgaben 2025'!$C364,Einzelbeträge!$E:$E,'Ausgaben 2025'!H$6)</f>
        <v>0</v>
      </c>
      <c r="I364" s="21">
        <f>SUMIFS(Einzelbeträge!$D:$D,Einzelbeträge!$C:$C,'Ausgaben 2025'!$C364,Einzelbeträge!$E:$E,'Ausgaben 2025'!I$6)</f>
        <v>0</v>
      </c>
      <c r="J364" s="21">
        <f>SUMIFS(Einzelbeträge!$D:$D,Einzelbeträge!$C:$C,'Ausgaben 2025'!$C364,Einzelbeträge!$E:$E,'Ausgaben 2025'!J$6)</f>
        <v>0</v>
      </c>
      <c r="K364" s="21">
        <f>SUMIFS(Einzelbeträge!$D:$D,Einzelbeträge!$C:$C,'Ausgaben 2025'!$C364,Einzelbeträge!$E:$E,'Ausgaben 2025'!K$6)</f>
        <v>0</v>
      </c>
      <c r="L364" s="21">
        <f>SUMIFS(Einzelbeträge!$D:$D,Einzelbeträge!$C:$C,'Ausgaben 2025'!$C364,Einzelbeträge!$E:$E,'Ausgaben 2025'!L$6)</f>
        <v>0</v>
      </c>
      <c r="M364" s="21">
        <f>SUMIFS(Einzelbeträge!$D:$D,Einzelbeträge!$C:$C,'Ausgaben 2025'!$C364,Einzelbeträge!$E:$E,'Ausgaben 2025'!M$6)</f>
        <v>0</v>
      </c>
      <c r="N364" s="35">
        <f>SUMIFS(Einzelbeträge!$D:$D,Einzelbeträge!$C:$C,'Ausgaben 2025'!$C364,Einzelbeträge!$E:$E,'Ausgaben 2025'!N$6)</f>
        <v>0</v>
      </c>
      <c r="O364" s="6"/>
    </row>
    <row r="365" spans="2:15" x14ac:dyDescent="0.35">
      <c r="B365" s="5"/>
      <c r="C365" s="30">
        <f t="shared" si="26"/>
        <v>45985</v>
      </c>
      <c r="D365" s="46">
        <f>SUMIFS(Einzelbeträge!$D:$D,Einzelbeträge!$C:$C,'Ausgaben 2025'!$C365)</f>
        <v>0</v>
      </c>
      <c r="E365" s="21">
        <f>SUMIFS(Einzelbeträge!$D:$D,Einzelbeträge!$C:$C,'Ausgaben 2025'!$C365,Einzelbeträge!$E:$E,'Ausgaben 2025'!E$6)</f>
        <v>0</v>
      </c>
      <c r="F365" s="21">
        <f>SUMIFS(Einzelbeträge!$D:$D,Einzelbeträge!$C:$C,'Ausgaben 2025'!$C365,Einzelbeträge!$E:$E,'Ausgaben 2025'!F$6)</f>
        <v>0</v>
      </c>
      <c r="G365" s="21">
        <f>SUMIFS(Einzelbeträge!$D:$D,Einzelbeträge!$C:$C,'Ausgaben 2025'!$C365,Einzelbeträge!$E:$E,'Ausgaben 2025'!G$6)</f>
        <v>0</v>
      </c>
      <c r="H365" s="21">
        <f>SUMIFS(Einzelbeträge!$D:$D,Einzelbeträge!$C:$C,'Ausgaben 2025'!$C365,Einzelbeträge!$E:$E,'Ausgaben 2025'!H$6)</f>
        <v>0</v>
      </c>
      <c r="I365" s="21">
        <f>SUMIFS(Einzelbeträge!$D:$D,Einzelbeträge!$C:$C,'Ausgaben 2025'!$C365,Einzelbeträge!$E:$E,'Ausgaben 2025'!I$6)</f>
        <v>0</v>
      </c>
      <c r="J365" s="21">
        <f>SUMIFS(Einzelbeträge!$D:$D,Einzelbeträge!$C:$C,'Ausgaben 2025'!$C365,Einzelbeträge!$E:$E,'Ausgaben 2025'!J$6)</f>
        <v>0</v>
      </c>
      <c r="K365" s="21">
        <f>SUMIFS(Einzelbeträge!$D:$D,Einzelbeträge!$C:$C,'Ausgaben 2025'!$C365,Einzelbeträge!$E:$E,'Ausgaben 2025'!K$6)</f>
        <v>0</v>
      </c>
      <c r="L365" s="21">
        <f>SUMIFS(Einzelbeträge!$D:$D,Einzelbeträge!$C:$C,'Ausgaben 2025'!$C365,Einzelbeträge!$E:$E,'Ausgaben 2025'!L$6)</f>
        <v>0</v>
      </c>
      <c r="M365" s="21">
        <f>SUMIFS(Einzelbeträge!$D:$D,Einzelbeträge!$C:$C,'Ausgaben 2025'!$C365,Einzelbeträge!$E:$E,'Ausgaben 2025'!M$6)</f>
        <v>0</v>
      </c>
      <c r="N365" s="35">
        <f>SUMIFS(Einzelbeträge!$D:$D,Einzelbeträge!$C:$C,'Ausgaben 2025'!$C365,Einzelbeträge!$E:$E,'Ausgaben 2025'!N$6)</f>
        <v>0</v>
      </c>
      <c r="O365" s="6"/>
    </row>
    <row r="366" spans="2:15" x14ac:dyDescent="0.35">
      <c r="B366" s="5"/>
      <c r="C366" s="30">
        <f t="shared" si="26"/>
        <v>45986</v>
      </c>
      <c r="D366" s="46">
        <f>SUMIFS(Einzelbeträge!$D:$D,Einzelbeträge!$C:$C,'Ausgaben 2025'!$C366)</f>
        <v>0</v>
      </c>
      <c r="E366" s="21">
        <f>SUMIFS(Einzelbeträge!$D:$D,Einzelbeträge!$C:$C,'Ausgaben 2025'!$C366,Einzelbeträge!$E:$E,'Ausgaben 2025'!E$6)</f>
        <v>0</v>
      </c>
      <c r="F366" s="21">
        <f>SUMIFS(Einzelbeträge!$D:$D,Einzelbeträge!$C:$C,'Ausgaben 2025'!$C366,Einzelbeträge!$E:$E,'Ausgaben 2025'!F$6)</f>
        <v>0</v>
      </c>
      <c r="G366" s="21">
        <f>SUMIFS(Einzelbeträge!$D:$D,Einzelbeträge!$C:$C,'Ausgaben 2025'!$C366,Einzelbeträge!$E:$E,'Ausgaben 2025'!G$6)</f>
        <v>0</v>
      </c>
      <c r="H366" s="21">
        <f>SUMIFS(Einzelbeträge!$D:$D,Einzelbeträge!$C:$C,'Ausgaben 2025'!$C366,Einzelbeträge!$E:$E,'Ausgaben 2025'!H$6)</f>
        <v>0</v>
      </c>
      <c r="I366" s="21">
        <f>SUMIFS(Einzelbeträge!$D:$D,Einzelbeträge!$C:$C,'Ausgaben 2025'!$C366,Einzelbeträge!$E:$E,'Ausgaben 2025'!I$6)</f>
        <v>0</v>
      </c>
      <c r="J366" s="21">
        <f>SUMIFS(Einzelbeträge!$D:$D,Einzelbeträge!$C:$C,'Ausgaben 2025'!$C366,Einzelbeträge!$E:$E,'Ausgaben 2025'!J$6)</f>
        <v>0</v>
      </c>
      <c r="K366" s="21">
        <f>SUMIFS(Einzelbeträge!$D:$D,Einzelbeträge!$C:$C,'Ausgaben 2025'!$C366,Einzelbeträge!$E:$E,'Ausgaben 2025'!K$6)</f>
        <v>0</v>
      </c>
      <c r="L366" s="21">
        <f>SUMIFS(Einzelbeträge!$D:$D,Einzelbeträge!$C:$C,'Ausgaben 2025'!$C366,Einzelbeträge!$E:$E,'Ausgaben 2025'!L$6)</f>
        <v>0</v>
      </c>
      <c r="M366" s="21">
        <f>SUMIFS(Einzelbeträge!$D:$D,Einzelbeträge!$C:$C,'Ausgaben 2025'!$C366,Einzelbeträge!$E:$E,'Ausgaben 2025'!M$6)</f>
        <v>0</v>
      </c>
      <c r="N366" s="35">
        <f>SUMIFS(Einzelbeträge!$D:$D,Einzelbeträge!$C:$C,'Ausgaben 2025'!$C366,Einzelbeträge!$E:$E,'Ausgaben 2025'!N$6)</f>
        <v>0</v>
      </c>
      <c r="O366" s="6"/>
    </row>
    <row r="367" spans="2:15" x14ac:dyDescent="0.35">
      <c r="B367" s="5"/>
      <c r="C367" s="30">
        <f t="shared" si="26"/>
        <v>45987</v>
      </c>
      <c r="D367" s="46">
        <f>SUMIFS(Einzelbeträge!$D:$D,Einzelbeträge!$C:$C,'Ausgaben 2025'!$C367)</f>
        <v>0</v>
      </c>
      <c r="E367" s="21">
        <f>SUMIFS(Einzelbeträge!$D:$D,Einzelbeträge!$C:$C,'Ausgaben 2025'!$C367,Einzelbeträge!$E:$E,'Ausgaben 2025'!E$6)</f>
        <v>0</v>
      </c>
      <c r="F367" s="21">
        <f>SUMIFS(Einzelbeträge!$D:$D,Einzelbeträge!$C:$C,'Ausgaben 2025'!$C367,Einzelbeträge!$E:$E,'Ausgaben 2025'!F$6)</f>
        <v>0</v>
      </c>
      <c r="G367" s="21">
        <f>SUMIFS(Einzelbeträge!$D:$D,Einzelbeträge!$C:$C,'Ausgaben 2025'!$C367,Einzelbeträge!$E:$E,'Ausgaben 2025'!G$6)</f>
        <v>0</v>
      </c>
      <c r="H367" s="21">
        <f>SUMIFS(Einzelbeträge!$D:$D,Einzelbeträge!$C:$C,'Ausgaben 2025'!$C367,Einzelbeträge!$E:$E,'Ausgaben 2025'!H$6)</f>
        <v>0</v>
      </c>
      <c r="I367" s="21">
        <f>SUMIFS(Einzelbeträge!$D:$D,Einzelbeträge!$C:$C,'Ausgaben 2025'!$C367,Einzelbeträge!$E:$E,'Ausgaben 2025'!I$6)</f>
        <v>0</v>
      </c>
      <c r="J367" s="21">
        <f>SUMIFS(Einzelbeträge!$D:$D,Einzelbeträge!$C:$C,'Ausgaben 2025'!$C367,Einzelbeträge!$E:$E,'Ausgaben 2025'!J$6)</f>
        <v>0</v>
      </c>
      <c r="K367" s="21">
        <f>SUMIFS(Einzelbeträge!$D:$D,Einzelbeträge!$C:$C,'Ausgaben 2025'!$C367,Einzelbeträge!$E:$E,'Ausgaben 2025'!K$6)</f>
        <v>0</v>
      </c>
      <c r="L367" s="21">
        <f>SUMIFS(Einzelbeträge!$D:$D,Einzelbeträge!$C:$C,'Ausgaben 2025'!$C367,Einzelbeträge!$E:$E,'Ausgaben 2025'!L$6)</f>
        <v>0</v>
      </c>
      <c r="M367" s="21">
        <f>SUMIFS(Einzelbeträge!$D:$D,Einzelbeträge!$C:$C,'Ausgaben 2025'!$C367,Einzelbeträge!$E:$E,'Ausgaben 2025'!M$6)</f>
        <v>0</v>
      </c>
      <c r="N367" s="35">
        <f>SUMIFS(Einzelbeträge!$D:$D,Einzelbeträge!$C:$C,'Ausgaben 2025'!$C367,Einzelbeträge!$E:$E,'Ausgaben 2025'!N$6)</f>
        <v>0</v>
      </c>
      <c r="O367" s="6"/>
    </row>
    <row r="368" spans="2:15" x14ac:dyDescent="0.35">
      <c r="B368" s="5"/>
      <c r="C368" s="30">
        <f t="shared" si="26"/>
        <v>45988</v>
      </c>
      <c r="D368" s="46">
        <f>SUMIFS(Einzelbeträge!$D:$D,Einzelbeträge!$C:$C,'Ausgaben 2025'!$C368)</f>
        <v>0</v>
      </c>
      <c r="E368" s="21">
        <f>SUMIFS(Einzelbeträge!$D:$D,Einzelbeträge!$C:$C,'Ausgaben 2025'!$C368,Einzelbeträge!$E:$E,'Ausgaben 2025'!E$6)</f>
        <v>0</v>
      </c>
      <c r="F368" s="21">
        <f>SUMIFS(Einzelbeträge!$D:$D,Einzelbeträge!$C:$C,'Ausgaben 2025'!$C368,Einzelbeträge!$E:$E,'Ausgaben 2025'!F$6)</f>
        <v>0</v>
      </c>
      <c r="G368" s="21">
        <f>SUMIFS(Einzelbeträge!$D:$D,Einzelbeträge!$C:$C,'Ausgaben 2025'!$C368,Einzelbeträge!$E:$E,'Ausgaben 2025'!G$6)</f>
        <v>0</v>
      </c>
      <c r="H368" s="21">
        <f>SUMIFS(Einzelbeträge!$D:$D,Einzelbeträge!$C:$C,'Ausgaben 2025'!$C368,Einzelbeträge!$E:$E,'Ausgaben 2025'!H$6)</f>
        <v>0</v>
      </c>
      <c r="I368" s="21">
        <f>SUMIFS(Einzelbeträge!$D:$D,Einzelbeträge!$C:$C,'Ausgaben 2025'!$C368,Einzelbeträge!$E:$E,'Ausgaben 2025'!I$6)</f>
        <v>0</v>
      </c>
      <c r="J368" s="21">
        <f>SUMIFS(Einzelbeträge!$D:$D,Einzelbeträge!$C:$C,'Ausgaben 2025'!$C368,Einzelbeträge!$E:$E,'Ausgaben 2025'!J$6)</f>
        <v>0</v>
      </c>
      <c r="K368" s="21">
        <f>SUMIFS(Einzelbeträge!$D:$D,Einzelbeträge!$C:$C,'Ausgaben 2025'!$C368,Einzelbeträge!$E:$E,'Ausgaben 2025'!K$6)</f>
        <v>0</v>
      </c>
      <c r="L368" s="21">
        <f>SUMIFS(Einzelbeträge!$D:$D,Einzelbeträge!$C:$C,'Ausgaben 2025'!$C368,Einzelbeträge!$E:$E,'Ausgaben 2025'!L$6)</f>
        <v>0</v>
      </c>
      <c r="M368" s="21">
        <f>SUMIFS(Einzelbeträge!$D:$D,Einzelbeträge!$C:$C,'Ausgaben 2025'!$C368,Einzelbeträge!$E:$E,'Ausgaben 2025'!M$6)</f>
        <v>0</v>
      </c>
      <c r="N368" s="35">
        <f>SUMIFS(Einzelbeträge!$D:$D,Einzelbeträge!$C:$C,'Ausgaben 2025'!$C368,Einzelbeträge!$E:$E,'Ausgaben 2025'!N$6)</f>
        <v>0</v>
      </c>
      <c r="O368" s="6"/>
    </row>
    <row r="369" spans="2:15" x14ac:dyDescent="0.35">
      <c r="B369" s="5"/>
      <c r="C369" s="30">
        <f t="shared" si="26"/>
        <v>45989</v>
      </c>
      <c r="D369" s="46">
        <f>SUMIFS(Einzelbeträge!$D:$D,Einzelbeträge!$C:$C,'Ausgaben 2025'!$C369)</f>
        <v>0</v>
      </c>
      <c r="E369" s="21">
        <f>SUMIFS(Einzelbeträge!$D:$D,Einzelbeträge!$C:$C,'Ausgaben 2025'!$C369,Einzelbeträge!$E:$E,'Ausgaben 2025'!E$6)</f>
        <v>0</v>
      </c>
      <c r="F369" s="21">
        <f>SUMIFS(Einzelbeträge!$D:$D,Einzelbeträge!$C:$C,'Ausgaben 2025'!$C369,Einzelbeträge!$E:$E,'Ausgaben 2025'!F$6)</f>
        <v>0</v>
      </c>
      <c r="G369" s="21">
        <f>SUMIFS(Einzelbeträge!$D:$D,Einzelbeträge!$C:$C,'Ausgaben 2025'!$C369,Einzelbeträge!$E:$E,'Ausgaben 2025'!G$6)</f>
        <v>0</v>
      </c>
      <c r="H369" s="21">
        <f>SUMIFS(Einzelbeträge!$D:$D,Einzelbeträge!$C:$C,'Ausgaben 2025'!$C369,Einzelbeträge!$E:$E,'Ausgaben 2025'!H$6)</f>
        <v>0</v>
      </c>
      <c r="I369" s="21">
        <f>SUMIFS(Einzelbeträge!$D:$D,Einzelbeträge!$C:$C,'Ausgaben 2025'!$C369,Einzelbeträge!$E:$E,'Ausgaben 2025'!I$6)</f>
        <v>0</v>
      </c>
      <c r="J369" s="21">
        <f>SUMIFS(Einzelbeträge!$D:$D,Einzelbeträge!$C:$C,'Ausgaben 2025'!$C369,Einzelbeträge!$E:$E,'Ausgaben 2025'!J$6)</f>
        <v>0</v>
      </c>
      <c r="K369" s="21">
        <f>SUMIFS(Einzelbeträge!$D:$D,Einzelbeträge!$C:$C,'Ausgaben 2025'!$C369,Einzelbeträge!$E:$E,'Ausgaben 2025'!K$6)</f>
        <v>0</v>
      </c>
      <c r="L369" s="21">
        <f>SUMIFS(Einzelbeträge!$D:$D,Einzelbeträge!$C:$C,'Ausgaben 2025'!$C369,Einzelbeträge!$E:$E,'Ausgaben 2025'!L$6)</f>
        <v>0</v>
      </c>
      <c r="M369" s="21">
        <f>SUMIFS(Einzelbeträge!$D:$D,Einzelbeträge!$C:$C,'Ausgaben 2025'!$C369,Einzelbeträge!$E:$E,'Ausgaben 2025'!M$6)</f>
        <v>0</v>
      </c>
      <c r="N369" s="35">
        <f>SUMIFS(Einzelbeträge!$D:$D,Einzelbeträge!$C:$C,'Ausgaben 2025'!$C369,Einzelbeträge!$E:$E,'Ausgaben 2025'!N$6)</f>
        <v>0</v>
      </c>
      <c r="O369" s="6"/>
    </row>
    <row r="370" spans="2:15" x14ac:dyDescent="0.35">
      <c r="B370" s="5"/>
      <c r="C370" s="30">
        <f t="shared" si="26"/>
        <v>45990</v>
      </c>
      <c r="D370" s="46">
        <f>SUMIFS(Einzelbeträge!$D:$D,Einzelbeträge!$C:$C,'Ausgaben 2025'!$C370)</f>
        <v>0</v>
      </c>
      <c r="E370" s="21">
        <f>SUMIFS(Einzelbeträge!$D:$D,Einzelbeträge!$C:$C,'Ausgaben 2025'!$C370,Einzelbeträge!$E:$E,'Ausgaben 2025'!E$6)</f>
        <v>0</v>
      </c>
      <c r="F370" s="21">
        <f>SUMIFS(Einzelbeträge!$D:$D,Einzelbeträge!$C:$C,'Ausgaben 2025'!$C370,Einzelbeträge!$E:$E,'Ausgaben 2025'!F$6)</f>
        <v>0</v>
      </c>
      <c r="G370" s="21">
        <f>SUMIFS(Einzelbeträge!$D:$D,Einzelbeträge!$C:$C,'Ausgaben 2025'!$C370,Einzelbeträge!$E:$E,'Ausgaben 2025'!G$6)</f>
        <v>0</v>
      </c>
      <c r="H370" s="21">
        <f>SUMIFS(Einzelbeträge!$D:$D,Einzelbeträge!$C:$C,'Ausgaben 2025'!$C370,Einzelbeträge!$E:$E,'Ausgaben 2025'!H$6)</f>
        <v>0</v>
      </c>
      <c r="I370" s="21">
        <f>SUMIFS(Einzelbeträge!$D:$D,Einzelbeträge!$C:$C,'Ausgaben 2025'!$C370,Einzelbeträge!$E:$E,'Ausgaben 2025'!I$6)</f>
        <v>0</v>
      </c>
      <c r="J370" s="21">
        <f>SUMIFS(Einzelbeträge!$D:$D,Einzelbeträge!$C:$C,'Ausgaben 2025'!$C370,Einzelbeträge!$E:$E,'Ausgaben 2025'!J$6)</f>
        <v>0</v>
      </c>
      <c r="K370" s="21">
        <f>SUMIFS(Einzelbeträge!$D:$D,Einzelbeträge!$C:$C,'Ausgaben 2025'!$C370,Einzelbeträge!$E:$E,'Ausgaben 2025'!K$6)</f>
        <v>0</v>
      </c>
      <c r="L370" s="21">
        <f>SUMIFS(Einzelbeträge!$D:$D,Einzelbeträge!$C:$C,'Ausgaben 2025'!$C370,Einzelbeträge!$E:$E,'Ausgaben 2025'!L$6)</f>
        <v>0</v>
      </c>
      <c r="M370" s="21">
        <f>SUMIFS(Einzelbeträge!$D:$D,Einzelbeträge!$C:$C,'Ausgaben 2025'!$C370,Einzelbeträge!$E:$E,'Ausgaben 2025'!M$6)</f>
        <v>0</v>
      </c>
      <c r="N370" s="35">
        <f>SUMIFS(Einzelbeträge!$D:$D,Einzelbeträge!$C:$C,'Ausgaben 2025'!$C370,Einzelbeträge!$E:$E,'Ausgaben 2025'!N$6)</f>
        <v>0</v>
      </c>
      <c r="O370" s="6"/>
    </row>
    <row r="371" spans="2:15" x14ac:dyDescent="0.35">
      <c r="B371" s="5"/>
      <c r="C371" s="31">
        <f t="shared" si="26"/>
        <v>45991</v>
      </c>
      <c r="D371" s="47">
        <f>SUMIFS(Einzelbeträge!$D:$D,Einzelbeträge!$C:$C,'Ausgaben 2025'!$C371)</f>
        <v>0</v>
      </c>
      <c r="E371" s="37">
        <f>SUMIFS(Einzelbeträge!$D:$D,Einzelbeträge!$C:$C,'Ausgaben 2025'!$C371,Einzelbeträge!$E:$E,'Ausgaben 2025'!E$6)</f>
        <v>0</v>
      </c>
      <c r="F371" s="37">
        <f>SUMIFS(Einzelbeträge!$D:$D,Einzelbeträge!$C:$C,'Ausgaben 2025'!$C371,Einzelbeträge!$E:$E,'Ausgaben 2025'!F$6)</f>
        <v>0</v>
      </c>
      <c r="G371" s="37">
        <f>SUMIFS(Einzelbeträge!$D:$D,Einzelbeträge!$C:$C,'Ausgaben 2025'!$C371,Einzelbeträge!$E:$E,'Ausgaben 2025'!G$6)</f>
        <v>0</v>
      </c>
      <c r="H371" s="37">
        <f>SUMIFS(Einzelbeträge!$D:$D,Einzelbeträge!$C:$C,'Ausgaben 2025'!$C371,Einzelbeträge!$E:$E,'Ausgaben 2025'!H$6)</f>
        <v>0</v>
      </c>
      <c r="I371" s="37">
        <f>SUMIFS(Einzelbeträge!$D:$D,Einzelbeträge!$C:$C,'Ausgaben 2025'!$C371,Einzelbeträge!$E:$E,'Ausgaben 2025'!I$6)</f>
        <v>0</v>
      </c>
      <c r="J371" s="37">
        <f>SUMIFS(Einzelbeträge!$D:$D,Einzelbeträge!$C:$C,'Ausgaben 2025'!$C371,Einzelbeträge!$E:$E,'Ausgaben 2025'!J$6)</f>
        <v>0</v>
      </c>
      <c r="K371" s="37">
        <f>SUMIFS(Einzelbeträge!$D:$D,Einzelbeträge!$C:$C,'Ausgaben 2025'!$C371,Einzelbeträge!$E:$E,'Ausgaben 2025'!K$6)</f>
        <v>0</v>
      </c>
      <c r="L371" s="37">
        <f>SUMIFS(Einzelbeträge!$D:$D,Einzelbeträge!$C:$C,'Ausgaben 2025'!$C371,Einzelbeträge!$E:$E,'Ausgaben 2025'!L$6)</f>
        <v>0</v>
      </c>
      <c r="M371" s="37">
        <f>SUMIFS(Einzelbeträge!$D:$D,Einzelbeträge!$C:$C,'Ausgaben 2025'!$C371,Einzelbeträge!$E:$E,'Ausgaben 2025'!M$6)</f>
        <v>0</v>
      </c>
      <c r="N371" s="38">
        <f>SUMIFS(Einzelbeträge!$D:$D,Einzelbeträge!$C:$C,'Ausgaben 2025'!$C371,Einzelbeträge!$E:$E,'Ausgaben 2025'!N$6)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45992</v>
      </c>
      <c r="D375" s="45">
        <f>SUMIFS(Einzelbeträge!$D:$D,Einzelbeträge!$C:$C,'Ausgaben 2025'!$C375)</f>
        <v>0</v>
      </c>
      <c r="E375" s="32">
        <f>SUMIFS(Einzelbeträge!$D:$D,Einzelbeträge!$C:$C,'Ausgaben 2025'!$C375,Einzelbeträge!$E:$E,'Ausgaben 2025'!E$6)</f>
        <v>0</v>
      </c>
      <c r="F375" s="32">
        <f>SUMIFS(Einzelbeträge!$D:$D,Einzelbeträge!$C:$C,'Ausgaben 2025'!$C375,Einzelbeträge!$E:$E,'Ausgaben 2025'!F$6)</f>
        <v>0</v>
      </c>
      <c r="G375" s="32">
        <f>SUMIFS(Einzelbeträge!$D:$D,Einzelbeträge!$C:$C,'Ausgaben 2025'!$C375,Einzelbeträge!$E:$E,'Ausgaben 2025'!G$6)</f>
        <v>0</v>
      </c>
      <c r="H375" s="32">
        <f>SUMIFS(Einzelbeträge!$D:$D,Einzelbeträge!$C:$C,'Ausgaben 2025'!$C375,Einzelbeträge!$E:$E,'Ausgaben 2025'!H$6)</f>
        <v>0</v>
      </c>
      <c r="I375" s="32">
        <f>SUMIFS(Einzelbeträge!$D:$D,Einzelbeträge!$C:$C,'Ausgaben 2025'!$C375,Einzelbeträge!$E:$E,'Ausgaben 2025'!I$6)</f>
        <v>0</v>
      </c>
      <c r="J375" s="32">
        <f>SUMIFS(Einzelbeträge!$D:$D,Einzelbeträge!$C:$C,'Ausgaben 2025'!$C375,Einzelbeträge!$E:$E,'Ausgaben 2025'!J$6)</f>
        <v>0</v>
      </c>
      <c r="K375" s="32">
        <f>SUMIFS(Einzelbeträge!$D:$D,Einzelbeträge!$C:$C,'Ausgaben 2025'!$C375,Einzelbeträge!$E:$E,'Ausgaben 2025'!K$6)</f>
        <v>0</v>
      </c>
      <c r="L375" s="32">
        <f>SUMIFS(Einzelbeträge!$D:$D,Einzelbeträge!$C:$C,'Ausgaben 2025'!$C375,Einzelbeträge!$E:$E,'Ausgaben 2025'!L$6)</f>
        <v>0</v>
      </c>
      <c r="M375" s="32">
        <f>SUMIFS(Einzelbeträge!$D:$D,Einzelbeträge!$C:$C,'Ausgaben 2025'!$C375,Einzelbeträge!$E:$E,'Ausgaben 2025'!M$6)</f>
        <v>0</v>
      </c>
      <c r="N375" s="33">
        <f>SUMIFS(Einzelbeträge!$D:$D,Einzelbeträge!$C:$C,'Ausgaben 2025'!$C375,Einzelbeträge!$E:$E,'Ausgaben 2025'!N$6)</f>
        <v>0</v>
      </c>
      <c r="O375" s="6"/>
    </row>
    <row r="376" spans="2:15" x14ac:dyDescent="0.35">
      <c r="B376" s="5"/>
      <c r="C376" s="40">
        <f>C375+1</f>
        <v>45993</v>
      </c>
      <c r="D376" s="46">
        <f>SUMIFS(Einzelbeträge!$D:$D,Einzelbeträge!$C:$C,'Ausgaben 2025'!$C376)</f>
        <v>0</v>
      </c>
      <c r="E376" s="21">
        <f>SUMIFS(Einzelbeträge!$D:$D,Einzelbeträge!$C:$C,'Ausgaben 2025'!$C376,Einzelbeträge!$E:$E,'Ausgaben 2025'!E$6)</f>
        <v>0</v>
      </c>
      <c r="F376" s="21">
        <f>SUMIFS(Einzelbeträge!$D:$D,Einzelbeträge!$C:$C,'Ausgaben 2025'!$C376,Einzelbeträge!$E:$E,'Ausgaben 2025'!F$6)</f>
        <v>0</v>
      </c>
      <c r="G376" s="21">
        <f>SUMIFS(Einzelbeträge!$D:$D,Einzelbeträge!$C:$C,'Ausgaben 2025'!$C376,Einzelbeträge!$E:$E,'Ausgaben 2025'!G$6)</f>
        <v>0</v>
      </c>
      <c r="H376" s="21">
        <f>SUMIFS(Einzelbeträge!$D:$D,Einzelbeträge!$C:$C,'Ausgaben 2025'!$C376,Einzelbeträge!$E:$E,'Ausgaben 2025'!H$6)</f>
        <v>0</v>
      </c>
      <c r="I376" s="21">
        <f>SUMIFS(Einzelbeträge!$D:$D,Einzelbeträge!$C:$C,'Ausgaben 2025'!$C376,Einzelbeträge!$E:$E,'Ausgaben 2025'!I$6)</f>
        <v>0</v>
      </c>
      <c r="J376" s="21">
        <f>SUMIFS(Einzelbeträge!$D:$D,Einzelbeträge!$C:$C,'Ausgaben 2025'!$C376,Einzelbeträge!$E:$E,'Ausgaben 2025'!J$6)</f>
        <v>0</v>
      </c>
      <c r="K376" s="21">
        <f>SUMIFS(Einzelbeträge!$D:$D,Einzelbeträge!$C:$C,'Ausgaben 2025'!$C376,Einzelbeträge!$E:$E,'Ausgaben 2025'!K$6)</f>
        <v>0</v>
      </c>
      <c r="L376" s="21">
        <f>SUMIFS(Einzelbeträge!$D:$D,Einzelbeträge!$C:$C,'Ausgaben 2025'!$C376,Einzelbeträge!$E:$E,'Ausgaben 2025'!L$6)</f>
        <v>0</v>
      </c>
      <c r="M376" s="21">
        <f>SUMIFS(Einzelbeträge!$D:$D,Einzelbeträge!$C:$C,'Ausgaben 2025'!$C376,Einzelbeträge!$E:$E,'Ausgaben 2025'!M$6)</f>
        <v>0</v>
      </c>
      <c r="N376" s="35">
        <f>SUMIFS(Einzelbeträge!$D:$D,Einzelbeträge!$C:$C,'Ausgaben 2025'!$C376,Einzelbeträge!$E:$E,'Ausgaben 2025'!N$6)</f>
        <v>0</v>
      </c>
      <c r="O376" s="6"/>
    </row>
    <row r="377" spans="2:15" x14ac:dyDescent="0.35">
      <c r="B377" s="5"/>
      <c r="C377" s="40">
        <f t="shared" ref="C377:C405" si="27">C376+1</f>
        <v>45994</v>
      </c>
      <c r="D377" s="46">
        <f>SUMIFS(Einzelbeträge!$D:$D,Einzelbeträge!$C:$C,'Ausgaben 2025'!$C377)</f>
        <v>0</v>
      </c>
      <c r="E377" s="21">
        <f>SUMIFS(Einzelbeträge!$D:$D,Einzelbeträge!$C:$C,'Ausgaben 2025'!$C377,Einzelbeträge!$E:$E,'Ausgaben 2025'!E$6)</f>
        <v>0</v>
      </c>
      <c r="F377" s="21">
        <f>SUMIFS(Einzelbeträge!$D:$D,Einzelbeträge!$C:$C,'Ausgaben 2025'!$C377,Einzelbeträge!$E:$E,'Ausgaben 2025'!F$6)</f>
        <v>0</v>
      </c>
      <c r="G377" s="21">
        <f>SUMIFS(Einzelbeträge!$D:$D,Einzelbeträge!$C:$C,'Ausgaben 2025'!$C377,Einzelbeträge!$E:$E,'Ausgaben 2025'!G$6)</f>
        <v>0</v>
      </c>
      <c r="H377" s="21">
        <f>SUMIFS(Einzelbeträge!$D:$D,Einzelbeträge!$C:$C,'Ausgaben 2025'!$C377,Einzelbeträge!$E:$E,'Ausgaben 2025'!H$6)</f>
        <v>0</v>
      </c>
      <c r="I377" s="21">
        <f>SUMIFS(Einzelbeträge!$D:$D,Einzelbeträge!$C:$C,'Ausgaben 2025'!$C377,Einzelbeträge!$E:$E,'Ausgaben 2025'!I$6)</f>
        <v>0</v>
      </c>
      <c r="J377" s="21">
        <f>SUMIFS(Einzelbeträge!$D:$D,Einzelbeträge!$C:$C,'Ausgaben 2025'!$C377,Einzelbeträge!$E:$E,'Ausgaben 2025'!J$6)</f>
        <v>0</v>
      </c>
      <c r="K377" s="21">
        <f>SUMIFS(Einzelbeträge!$D:$D,Einzelbeträge!$C:$C,'Ausgaben 2025'!$C377,Einzelbeträge!$E:$E,'Ausgaben 2025'!K$6)</f>
        <v>0</v>
      </c>
      <c r="L377" s="21">
        <f>SUMIFS(Einzelbeträge!$D:$D,Einzelbeträge!$C:$C,'Ausgaben 2025'!$C377,Einzelbeträge!$E:$E,'Ausgaben 2025'!L$6)</f>
        <v>0</v>
      </c>
      <c r="M377" s="21">
        <f>SUMIFS(Einzelbeträge!$D:$D,Einzelbeträge!$C:$C,'Ausgaben 2025'!$C377,Einzelbeträge!$E:$E,'Ausgaben 2025'!M$6)</f>
        <v>0</v>
      </c>
      <c r="N377" s="35">
        <f>SUMIFS(Einzelbeträge!$D:$D,Einzelbeträge!$C:$C,'Ausgaben 2025'!$C377,Einzelbeträge!$E:$E,'Ausgaben 2025'!N$6)</f>
        <v>0</v>
      </c>
      <c r="O377" s="6"/>
    </row>
    <row r="378" spans="2:15" x14ac:dyDescent="0.35">
      <c r="B378" s="5"/>
      <c r="C378" s="40">
        <f t="shared" si="27"/>
        <v>45995</v>
      </c>
      <c r="D378" s="46">
        <f>SUMIFS(Einzelbeträge!$D:$D,Einzelbeträge!$C:$C,'Ausgaben 2025'!$C378)</f>
        <v>0</v>
      </c>
      <c r="E378" s="21">
        <f>SUMIFS(Einzelbeträge!$D:$D,Einzelbeträge!$C:$C,'Ausgaben 2025'!$C378,Einzelbeträge!$E:$E,'Ausgaben 2025'!E$6)</f>
        <v>0</v>
      </c>
      <c r="F378" s="21">
        <f>SUMIFS(Einzelbeträge!$D:$D,Einzelbeträge!$C:$C,'Ausgaben 2025'!$C378,Einzelbeträge!$E:$E,'Ausgaben 2025'!F$6)</f>
        <v>0</v>
      </c>
      <c r="G378" s="21">
        <f>SUMIFS(Einzelbeträge!$D:$D,Einzelbeträge!$C:$C,'Ausgaben 2025'!$C378,Einzelbeträge!$E:$E,'Ausgaben 2025'!G$6)</f>
        <v>0</v>
      </c>
      <c r="H378" s="21">
        <f>SUMIFS(Einzelbeträge!$D:$D,Einzelbeträge!$C:$C,'Ausgaben 2025'!$C378,Einzelbeträge!$E:$E,'Ausgaben 2025'!H$6)</f>
        <v>0</v>
      </c>
      <c r="I378" s="21">
        <f>SUMIFS(Einzelbeträge!$D:$D,Einzelbeträge!$C:$C,'Ausgaben 2025'!$C378,Einzelbeträge!$E:$E,'Ausgaben 2025'!I$6)</f>
        <v>0</v>
      </c>
      <c r="J378" s="21">
        <f>SUMIFS(Einzelbeträge!$D:$D,Einzelbeträge!$C:$C,'Ausgaben 2025'!$C378,Einzelbeträge!$E:$E,'Ausgaben 2025'!J$6)</f>
        <v>0</v>
      </c>
      <c r="K378" s="21">
        <f>SUMIFS(Einzelbeträge!$D:$D,Einzelbeträge!$C:$C,'Ausgaben 2025'!$C378,Einzelbeträge!$E:$E,'Ausgaben 2025'!K$6)</f>
        <v>0</v>
      </c>
      <c r="L378" s="21">
        <f>SUMIFS(Einzelbeträge!$D:$D,Einzelbeträge!$C:$C,'Ausgaben 2025'!$C378,Einzelbeträge!$E:$E,'Ausgaben 2025'!L$6)</f>
        <v>0</v>
      </c>
      <c r="M378" s="21">
        <f>SUMIFS(Einzelbeträge!$D:$D,Einzelbeträge!$C:$C,'Ausgaben 2025'!$C378,Einzelbeträge!$E:$E,'Ausgaben 2025'!M$6)</f>
        <v>0</v>
      </c>
      <c r="N378" s="35">
        <f>SUMIFS(Einzelbeträge!$D:$D,Einzelbeträge!$C:$C,'Ausgaben 2025'!$C378,Einzelbeträge!$E:$E,'Ausgaben 2025'!N$6)</f>
        <v>0</v>
      </c>
      <c r="O378" s="6"/>
    </row>
    <row r="379" spans="2:15" x14ac:dyDescent="0.35">
      <c r="B379" s="5"/>
      <c r="C379" s="40">
        <f t="shared" si="27"/>
        <v>45996</v>
      </c>
      <c r="D379" s="46">
        <f>SUMIFS(Einzelbeträge!$D:$D,Einzelbeträge!$C:$C,'Ausgaben 2025'!$C379)</f>
        <v>0</v>
      </c>
      <c r="E379" s="21">
        <f>SUMIFS(Einzelbeträge!$D:$D,Einzelbeträge!$C:$C,'Ausgaben 2025'!$C379,Einzelbeträge!$E:$E,'Ausgaben 2025'!E$6)</f>
        <v>0</v>
      </c>
      <c r="F379" s="21">
        <f>SUMIFS(Einzelbeträge!$D:$D,Einzelbeträge!$C:$C,'Ausgaben 2025'!$C379,Einzelbeträge!$E:$E,'Ausgaben 2025'!F$6)</f>
        <v>0</v>
      </c>
      <c r="G379" s="21">
        <f>SUMIFS(Einzelbeträge!$D:$D,Einzelbeträge!$C:$C,'Ausgaben 2025'!$C379,Einzelbeträge!$E:$E,'Ausgaben 2025'!G$6)</f>
        <v>0</v>
      </c>
      <c r="H379" s="21">
        <f>SUMIFS(Einzelbeträge!$D:$D,Einzelbeträge!$C:$C,'Ausgaben 2025'!$C379,Einzelbeträge!$E:$E,'Ausgaben 2025'!H$6)</f>
        <v>0</v>
      </c>
      <c r="I379" s="21">
        <f>SUMIFS(Einzelbeträge!$D:$D,Einzelbeträge!$C:$C,'Ausgaben 2025'!$C379,Einzelbeträge!$E:$E,'Ausgaben 2025'!I$6)</f>
        <v>0</v>
      </c>
      <c r="J379" s="21">
        <f>SUMIFS(Einzelbeträge!$D:$D,Einzelbeträge!$C:$C,'Ausgaben 2025'!$C379,Einzelbeträge!$E:$E,'Ausgaben 2025'!J$6)</f>
        <v>0</v>
      </c>
      <c r="K379" s="21">
        <f>SUMIFS(Einzelbeträge!$D:$D,Einzelbeträge!$C:$C,'Ausgaben 2025'!$C379,Einzelbeträge!$E:$E,'Ausgaben 2025'!K$6)</f>
        <v>0</v>
      </c>
      <c r="L379" s="21">
        <f>SUMIFS(Einzelbeträge!$D:$D,Einzelbeträge!$C:$C,'Ausgaben 2025'!$C379,Einzelbeträge!$E:$E,'Ausgaben 2025'!L$6)</f>
        <v>0</v>
      </c>
      <c r="M379" s="21">
        <f>SUMIFS(Einzelbeträge!$D:$D,Einzelbeträge!$C:$C,'Ausgaben 2025'!$C379,Einzelbeträge!$E:$E,'Ausgaben 2025'!M$6)</f>
        <v>0</v>
      </c>
      <c r="N379" s="35">
        <f>SUMIFS(Einzelbeträge!$D:$D,Einzelbeträge!$C:$C,'Ausgaben 2025'!$C379,Einzelbeträge!$E:$E,'Ausgaben 2025'!N$6)</f>
        <v>0</v>
      </c>
      <c r="O379" s="6"/>
    </row>
    <row r="380" spans="2:15" x14ac:dyDescent="0.35">
      <c r="B380" s="5"/>
      <c r="C380" s="40">
        <f t="shared" si="27"/>
        <v>45997</v>
      </c>
      <c r="D380" s="46">
        <f>SUMIFS(Einzelbeträge!$D:$D,Einzelbeträge!$C:$C,'Ausgaben 2025'!$C380)</f>
        <v>0</v>
      </c>
      <c r="E380" s="21">
        <f>SUMIFS(Einzelbeträge!$D:$D,Einzelbeträge!$C:$C,'Ausgaben 2025'!$C380,Einzelbeträge!$E:$E,'Ausgaben 2025'!E$6)</f>
        <v>0</v>
      </c>
      <c r="F380" s="21">
        <f>SUMIFS(Einzelbeträge!$D:$D,Einzelbeträge!$C:$C,'Ausgaben 2025'!$C380,Einzelbeträge!$E:$E,'Ausgaben 2025'!F$6)</f>
        <v>0</v>
      </c>
      <c r="G380" s="21">
        <f>SUMIFS(Einzelbeträge!$D:$D,Einzelbeträge!$C:$C,'Ausgaben 2025'!$C380,Einzelbeträge!$E:$E,'Ausgaben 2025'!G$6)</f>
        <v>0</v>
      </c>
      <c r="H380" s="21">
        <f>SUMIFS(Einzelbeträge!$D:$D,Einzelbeträge!$C:$C,'Ausgaben 2025'!$C380,Einzelbeträge!$E:$E,'Ausgaben 2025'!H$6)</f>
        <v>0</v>
      </c>
      <c r="I380" s="21">
        <f>SUMIFS(Einzelbeträge!$D:$D,Einzelbeträge!$C:$C,'Ausgaben 2025'!$C380,Einzelbeträge!$E:$E,'Ausgaben 2025'!I$6)</f>
        <v>0</v>
      </c>
      <c r="J380" s="21">
        <f>SUMIFS(Einzelbeträge!$D:$D,Einzelbeträge!$C:$C,'Ausgaben 2025'!$C380,Einzelbeträge!$E:$E,'Ausgaben 2025'!J$6)</f>
        <v>0</v>
      </c>
      <c r="K380" s="21">
        <f>SUMIFS(Einzelbeträge!$D:$D,Einzelbeträge!$C:$C,'Ausgaben 2025'!$C380,Einzelbeträge!$E:$E,'Ausgaben 2025'!K$6)</f>
        <v>0</v>
      </c>
      <c r="L380" s="21">
        <f>SUMIFS(Einzelbeträge!$D:$D,Einzelbeträge!$C:$C,'Ausgaben 2025'!$C380,Einzelbeträge!$E:$E,'Ausgaben 2025'!L$6)</f>
        <v>0</v>
      </c>
      <c r="M380" s="21">
        <f>SUMIFS(Einzelbeträge!$D:$D,Einzelbeträge!$C:$C,'Ausgaben 2025'!$C380,Einzelbeträge!$E:$E,'Ausgaben 2025'!M$6)</f>
        <v>0</v>
      </c>
      <c r="N380" s="35">
        <f>SUMIFS(Einzelbeträge!$D:$D,Einzelbeträge!$C:$C,'Ausgaben 2025'!$C380,Einzelbeträge!$E:$E,'Ausgaben 2025'!N$6)</f>
        <v>0</v>
      </c>
      <c r="O380" s="6"/>
    </row>
    <row r="381" spans="2:15" x14ac:dyDescent="0.35">
      <c r="B381" s="5"/>
      <c r="C381" s="40">
        <f t="shared" si="27"/>
        <v>45998</v>
      </c>
      <c r="D381" s="46">
        <f>SUMIFS(Einzelbeträge!$D:$D,Einzelbeträge!$C:$C,'Ausgaben 2025'!$C381)</f>
        <v>0</v>
      </c>
      <c r="E381" s="21">
        <f>SUMIFS(Einzelbeträge!$D:$D,Einzelbeträge!$C:$C,'Ausgaben 2025'!$C381,Einzelbeträge!$E:$E,'Ausgaben 2025'!E$6)</f>
        <v>0</v>
      </c>
      <c r="F381" s="21">
        <f>SUMIFS(Einzelbeträge!$D:$D,Einzelbeträge!$C:$C,'Ausgaben 2025'!$C381,Einzelbeträge!$E:$E,'Ausgaben 2025'!F$6)</f>
        <v>0</v>
      </c>
      <c r="G381" s="21">
        <f>SUMIFS(Einzelbeträge!$D:$D,Einzelbeträge!$C:$C,'Ausgaben 2025'!$C381,Einzelbeträge!$E:$E,'Ausgaben 2025'!G$6)</f>
        <v>0</v>
      </c>
      <c r="H381" s="21">
        <f>SUMIFS(Einzelbeträge!$D:$D,Einzelbeträge!$C:$C,'Ausgaben 2025'!$C381,Einzelbeträge!$E:$E,'Ausgaben 2025'!H$6)</f>
        <v>0</v>
      </c>
      <c r="I381" s="21">
        <f>SUMIFS(Einzelbeträge!$D:$D,Einzelbeträge!$C:$C,'Ausgaben 2025'!$C381,Einzelbeträge!$E:$E,'Ausgaben 2025'!I$6)</f>
        <v>0</v>
      </c>
      <c r="J381" s="21">
        <f>SUMIFS(Einzelbeträge!$D:$D,Einzelbeträge!$C:$C,'Ausgaben 2025'!$C381,Einzelbeträge!$E:$E,'Ausgaben 2025'!J$6)</f>
        <v>0</v>
      </c>
      <c r="K381" s="21">
        <f>SUMIFS(Einzelbeträge!$D:$D,Einzelbeträge!$C:$C,'Ausgaben 2025'!$C381,Einzelbeträge!$E:$E,'Ausgaben 2025'!K$6)</f>
        <v>0</v>
      </c>
      <c r="L381" s="21">
        <f>SUMIFS(Einzelbeträge!$D:$D,Einzelbeträge!$C:$C,'Ausgaben 2025'!$C381,Einzelbeträge!$E:$E,'Ausgaben 2025'!L$6)</f>
        <v>0</v>
      </c>
      <c r="M381" s="21">
        <f>SUMIFS(Einzelbeträge!$D:$D,Einzelbeträge!$C:$C,'Ausgaben 2025'!$C381,Einzelbeträge!$E:$E,'Ausgaben 2025'!M$6)</f>
        <v>0</v>
      </c>
      <c r="N381" s="35">
        <f>SUMIFS(Einzelbeträge!$D:$D,Einzelbeträge!$C:$C,'Ausgaben 2025'!$C381,Einzelbeträge!$E:$E,'Ausgaben 2025'!N$6)</f>
        <v>0</v>
      </c>
      <c r="O381" s="6"/>
    </row>
    <row r="382" spans="2:15" x14ac:dyDescent="0.35">
      <c r="B382" s="5"/>
      <c r="C382" s="40">
        <f t="shared" si="27"/>
        <v>45999</v>
      </c>
      <c r="D382" s="46">
        <f>SUMIFS(Einzelbeträge!$D:$D,Einzelbeträge!$C:$C,'Ausgaben 2025'!$C382)</f>
        <v>0</v>
      </c>
      <c r="E382" s="21">
        <f>SUMIFS(Einzelbeträge!$D:$D,Einzelbeträge!$C:$C,'Ausgaben 2025'!$C382,Einzelbeträge!$E:$E,'Ausgaben 2025'!E$6)</f>
        <v>0</v>
      </c>
      <c r="F382" s="21">
        <f>SUMIFS(Einzelbeträge!$D:$D,Einzelbeträge!$C:$C,'Ausgaben 2025'!$C382,Einzelbeträge!$E:$E,'Ausgaben 2025'!F$6)</f>
        <v>0</v>
      </c>
      <c r="G382" s="21">
        <f>SUMIFS(Einzelbeträge!$D:$D,Einzelbeträge!$C:$C,'Ausgaben 2025'!$C382,Einzelbeträge!$E:$E,'Ausgaben 2025'!G$6)</f>
        <v>0</v>
      </c>
      <c r="H382" s="21">
        <f>SUMIFS(Einzelbeträge!$D:$D,Einzelbeträge!$C:$C,'Ausgaben 2025'!$C382,Einzelbeträge!$E:$E,'Ausgaben 2025'!H$6)</f>
        <v>0</v>
      </c>
      <c r="I382" s="21">
        <f>SUMIFS(Einzelbeträge!$D:$D,Einzelbeträge!$C:$C,'Ausgaben 2025'!$C382,Einzelbeträge!$E:$E,'Ausgaben 2025'!I$6)</f>
        <v>0</v>
      </c>
      <c r="J382" s="21">
        <f>SUMIFS(Einzelbeträge!$D:$D,Einzelbeträge!$C:$C,'Ausgaben 2025'!$C382,Einzelbeträge!$E:$E,'Ausgaben 2025'!J$6)</f>
        <v>0</v>
      </c>
      <c r="K382" s="21">
        <f>SUMIFS(Einzelbeträge!$D:$D,Einzelbeträge!$C:$C,'Ausgaben 2025'!$C382,Einzelbeträge!$E:$E,'Ausgaben 2025'!K$6)</f>
        <v>0</v>
      </c>
      <c r="L382" s="21">
        <f>SUMIFS(Einzelbeträge!$D:$D,Einzelbeträge!$C:$C,'Ausgaben 2025'!$C382,Einzelbeträge!$E:$E,'Ausgaben 2025'!L$6)</f>
        <v>0</v>
      </c>
      <c r="M382" s="21">
        <f>SUMIFS(Einzelbeträge!$D:$D,Einzelbeträge!$C:$C,'Ausgaben 2025'!$C382,Einzelbeträge!$E:$E,'Ausgaben 2025'!M$6)</f>
        <v>0</v>
      </c>
      <c r="N382" s="35">
        <f>SUMIFS(Einzelbeträge!$D:$D,Einzelbeträge!$C:$C,'Ausgaben 2025'!$C382,Einzelbeträge!$E:$E,'Ausgaben 2025'!N$6)</f>
        <v>0</v>
      </c>
      <c r="O382" s="6"/>
    </row>
    <row r="383" spans="2:15" x14ac:dyDescent="0.35">
      <c r="B383" s="5"/>
      <c r="C383" s="40">
        <f t="shared" si="27"/>
        <v>46000</v>
      </c>
      <c r="D383" s="46">
        <f>SUMIFS(Einzelbeträge!$D:$D,Einzelbeträge!$C:$C,'Ausgaben 2025'!$C383)</f>
        <v>0</v>
      </c>
      <c r="E383" s="21">
        <f>SUMIFS(Einzelbeträge!$D:$D,Einzelbeträge!$C:$C,'Ausgaben 2025'!$C383,Einzelbeträge!$E:$E,'Ausgaben 2025'!E$6)</f>
        <v>0</v>
      </c>
      <c r="F383" s="21">
        <f>SUMIFS(Einzelbeträge!$D:$D,Einzelbeträge!$C:$C,'Ausgaben 2025'!$C383,Einzelbeträge!$E:$E,'Ausgaben 2025'!F$6)</f>
        <v>0</v>
      </c>
      <c r="G383" s="21">
        <f>SUMIFS(Einzelbeträge!$D:$D,Einzelbeträge!$C:$C,'Ausgaben 2025'!$C383,Einzelbeträge!$E:$E,'Ausgaben 2025'!G$6)</f>
        <v>0</v>
      </c>
      <c r="H383" s="21">
        <f>SUMIFS(Einzelbeträge!$D:$D,Einzelbeträge!$C:$C,'Ausgaben 2025'!$C383,Einzelbeträge!$E:$E,'Ausgaben 2025'!H$6)</f>
        <v>0</v>
      </c>
      <c r="I383" s="21">
        <f>SUMIFS(Einzelbeträge!$D:$D,Einzelbeträge!$C:$C,'Ausgaben 2025'!$C383,Einzelbeträge!$E:$E,'Ausgaben 2025'!I$6)</f>
        <v>0</v>
      </c>
      <c r="J383" s="21">
        <f>SUMIFS(Einzelbeträge!$D:$D,Einzelbeträge!$C:$C,'Ausgaben 2025'!$C383,Einzelbeträge!$E:$E,'Ausgaben 2025'!J$6)</f>
        <v>0</v>
      </c>
      <c r="K383" s="21">
        <f>SUMIFS(Einzelbeträge!$D:$D,Einzelbeträge!$C:$C,'Ausgaben 2025'!$C383,Einzelbeträge!$E:$E,'Ausgaben 2025'!K$6)</f>
        <v>0</v>
      </c>
      <c r="L383" s="21">
        <f>SUMIFS(Einzelbeträge!$D:$D,Einzelbeträge!$C:$C,'Ausgaben 2025'!$C383,Einzelbeträge!$E:$E,'Ausgaben 2025'!L$6)</f>
        <v>0</v>
      </c>
      <c r="M383" s="21">
        <f>SUMIFS(Einzelbeträge!$D:$D,Einzelbeträge!$C:$C,'Ausgaben 2025'!$C383,Einzelbeträge!$E:$E,'Ausgaben 2025'!M$6)</f>
        <v>0</v>
      </c>
      <c r="N383" s="35">
        <f>SUMIFS(Einzelbeträge!$D:$D,Einzelbeträge!$C:$C,'Ausgaben 2025'!$C383,Einzelbeträge!$E:$E,'Ausgaben 2025'!N$6)</f>
        <v>0</v>
      </c>
      <c r="O383" s="6"/>
    </row>
    <row r="384" spans="2:15" x14ac:dyDescent="0.35">
      <c r="B384" s="5"/>
      <c r="C384" s="40">
        <f t="shared" si="27"/>
        <v>46001</v>
      </c>
      <c r="D384" s="46">
        <f>SUMIFS(Einzelbeträge!$D:$D,Einzelbeträge!$C:$C,'Ausgaben 2025'!$C384)</f>
        <v>0</v>
      </c>
      <c r="E384" s="21">
        <f>SUMIFS(Einzelbeträge!$D:$D,Einzelbeträge!$C:$C,'Ausgaben 2025'!$C384,Einzelbeträge!$E:$E,'Ausgaben 2025'!E$6)</f>
        <v>0</v>
      </c>
      <c r="F384" s="21">
        <f>SUMIFS(Einzelbeträge!$D:$D,Einzelbeträge!$C:$C,'Ausgaben 2025'!$C384,Einzelbeträge!$E:$E,'Ausgaben 2025'!F$6)</f>
        <v>0</v>
      </c>
      <c r="G384" s="21">
        <f>SUMIFS(Einzelbeträge!$D:$D,Einzelbeträge!$C:$C,'Ausgaben 2025'!$C384,Einzelbeträge!$E:$E,'Ausgaben 2025'!G$6)</f>
        <v>0</v>
      </c>
      <c r="H384" s="21">
        <f>SUMIFS(Einzelbeträge!$D:$D,Einzelbeträge!$C:$C,'Ausgaben 2025'!$C384,Einzelbeträge!$E:$E,'Ausgaben 2025'!H$6)</f>
        <v>0</v>
      </c>
      <c r="I384" s="21">
        <f>SUMIFS(Einzelbeträge!$D:$D,Einzelbeträge!$C:$C,'Ausgaben 2025'!$C384,Einzelbeträge!$E:$E,'Ausgaben 2025'!I$6)</f>
        <v>0</v>
      </c>
      <c r="J384" s="21">
        <f>SUMIFS(Einzelbeträge!$D:$D,Einzelbeträge!$C:$C,'Ausgaben 2025'!$C384,Einzelbeträge!$E:$E,'Ausgaben 2025'!J$6)</f>
        <v>0</v>
      </c>
      <c r="K384" s="21">
        <f>SUMIFS(Einzelbeträge!$D:$D,Einzelbeträge!$C:$C,'Ausgaben 2025'!$C384,Einzelbeträge!$E:$E,'Ausgaben 2025'!K$6)</f>
        <v>0</v>
      </c>
      <c r="L384" s="21">
        <f>SUMIFS(Einzelbeträge!$D:$D,Einzelbeträge!$C:$C,'Ausgaben 2025'!$C384,Einzelbeträge!$E:$E,'Ausgaben 2025'!L$6)</f>
        <v>0</v>
      </c>
      <c r="M384" s="21">
        <f>SUMIFS(Einzelbeträge!$D:$D,Einzelbeträge!$C:$C,'Ausgaben 2025'!$C384,Einzelbeträge!$E:$E,'Ausgaben 2025'!M$6)</f>
        <v>0</v>
      </c>
      <c r="N384" s="35">
        <f>SUMIFS(Einzelbeträge!$D:$D,Einzelbeträge!$C:$C,'Ausgaben 2025'!$C384,Einzelbeträge!$E:$E,'Ausgaben 2025'!N$6)</f>
        <v>0</v>
      </c>
      <c r="O384" s="6"/>
    </row>
    <row r="385" spans="2:15" x14ac:dyDescent="0.35">
      <c r="B385" s="5"/>
      <c r="C385" s="40">
        <f t="shared" si="27"/>
        <v>46002</v>
      </c>
      <c r="D385" s="46">
        <f>SUMIFS(Einzelbeträge!$D:$D,Einzelbeträge!$C:$C,'Ausgaben 2025'!$C385)</f>
        <v>0</v>
      </c>
      <c r="E385" s="21">
        <f>SUMIFS(Einzelbeträge!$D:$D,Einzelbeträge!$C:$C,'Ausgaben 2025'!$C385,Einzelbeträge!$E:$E,'Ausgaben 2025'!E$6)</f>
        <v>0</v>
      </c>
      <c r="F385" s="21">
        <f>SUMIFS(Einzelbeträge!$D:$D,Einzelbeträge!$C:$C,'Ausgaben 2025'!$C385,Einzelbeträge!$E:$E,'Ausgaben 2025'!F$6)</f>
        <v>0</v>
      </c>
      <c r="G385" s="21">
        <f>SUMIFS(Einzelbeträge!$D:$D,Einzelbeträge!$C:$C,'Ausgaben 2025'!$C385,Einzelbeträge!$E:$E,'Ausgaben 2025'!G$6)</f>
        <v>0</v>
      </c>
      <c r="H385" s="21">
        <f>SUMIFS(Einzelbeträge!$D:$D,Einzelbeträge!$C:$C,'Ausgaben 2025'!$C385,Einzelbeträge!$E:$E,'Ausgaben 2025'!H$6)</f>
        <v>0</v>
      </c>
      <c r="I385" s="21">
        <f>SUMIFS(Einzelbeträge!$D:$D,Einzelbeträge!$C:$C,'Ausgaben 2025'!$C385,Einzelbeträge!$E:$E,'Ausgaben 2025'!I$6)</f>
        <v>0</v>
      </c>
      <c r="J385" s="21">
        <f>SUMIFS(Einzelbeträge!$D:$D,Einzelbeträge!$C:$C,'Ausgaben 2025'!$C385,Einzelbeträge!$E:$E,'Ausgaben 2025'!J$6)</f>
        <v>0</v>
      </c>
      <c r="K385" s="21">
        <f>SUMIFS(Einzelbeträge!$D:$D,Einzelbeträge!$C:$C,'Ausgaben 2025'!$C385,Einzelbeträge!$E:$E,'Ausgaben 2025'!K$6)</f>
        <v>0</v>
      </c>
      <c r="L385" s="21">
        <f>SUMIFS(Einzelbeträge!$D:$D,Einzelbeträge!$C:$C,'Ausgaben 2025'!$C385,Einzelbeträge!$E:$E,'Ausgaben 2025'!L$6)</f>
        <v>0</v>
      </c>
      <c r="M385" s="21">
        <f>SUMIFS(Einzelbeträge!$D:$D,Einzelbeträge!$C:$C,'Ausgaben 2025'!$C385,Einzelbeträge!$E:$E,'Ausgaben 2025'!M$6)</f>
        <v>0</v>
      </c>
      <c r="N385" s="35">
        <f>SUMIFS(Einzelbeträge!$D:$D,Einzelbeträge!$C:$C,'Ausgaben 2025'!$C385,Einzelbeträge!$E:$E,'Ausgaben 2025'!N$6)</f>
        <v>0</v>
      </c>
      <c r="O385" s="6"/>
    </row>
    <row r="386" spans="2:15" x14ac:dyDescent="0.35">
      <c r="B386" s="5"/>
      <c r="C386" s="40">
        <f t="shared" si="27"/>
        <v>46003</v>
      </c>
      <c r="D386" s="46">
        <f>SUMIFS(Einzelbeträge!$D:$D,Einzelbeträge!$C:$C,'Ausgaben 2025'!$C386)</f>
        <v>0</v>
      </c>
      <c r="E386" s="21">
        <f>SUMIFS(Einzelbeträge!$D:$D,Einzelbeträge!$C:$C,'Ausgaben 2025'!$C386,Einzelbeträge!$E:$E,'Ausgaben 2025'!E$6)</f>
        <v>0</v>
      </c>
      <c r="F386" s="21">
        <f>SUMIFS(Einzelbeträge!$D:$D,Einzelbeträge!$C:$C,'Ausgaben 2025'!$C386,Einzelbeträge!$E:$E,'Ausgaben 2025'!F$6)</f>
        <v>0</v>
      </c>
      <c r="G386" s="21">
        <f>SUMIFS(Einzelbeträge!$D:$D,Einzelbeträge!$C:$C,'Ausgaben 2025'!$C386,Einzelbeträge!$E:$E,'Ausgaben 2025'!G$6)</f>
        <v>0</v>
      </c>
      <c r="H386" s="21">
        <f>SUMIFS(Einzelbeträge!$D:$D,Einzelbeträge!$C:$C,'Ausgaben 2025'!$C386,Einzelbeträge!$E:$E,'Ausgaben 2025'!H$6)</f>
        <v>0</v>
      </c>
      <c r="I386" s="21">
        <f>SUMIFS(Einzelbeträge!$D:$D,Einzelbeträge!$C:$C,'Ausgaben 2025'!$C386,Einzelbeträge!$E:$E,'Ausgaben 2025'!I$6)</f>
        <v>0</v>
      </c>
      <c r="J386" s="21">
        <f>SUMIFS(Einzelbeträge!$D:$D,Einzelbeträge!$C:$C,'Ausgaben 2025'!$C386,Einzelbeträge!$E:$E,'Ausgaben 2025'!J$6)</f>
        <v>0</v>
      </c>
      <c r="K386" s="21">
        <f>SUMIFS(Einzelbeträge!$D:$D,Einzelbeträge!$C:$C,'Ausgaben 2025'!$C386,Einzelbeträge!$E:$E,'Ausgaben 2025'!K$6)</f>
        <v>0</v>
      </c>
      <c r="L386" s="21">
        <f>SUMIFS(Einzelbeträge!$D:$D,Einzelbeträge!$C:$C,'Ausgaben 2025'!$C386,Einzelbeträge!$E:$E,'Ausgaben 2025'!L$6)</f>
        <v>0</v>
      </c>
      <c r="M386" s="21">
        <f>SUMIFS(Einzelbeträge!$D:$D,Einzelbeträge!$C:$C,'Ausgaben 2025'!$C386,Einzelbeträge!$E:$E,'Ausgaben 2025'!M$6)</f>
        <v>0</v>
      </c>
      <c r="N386" s="35">
        <f>SUMIFS(Einzelbeträge!$D:$D,Einzelbeträge!$C:$C,'Ausgaben 2025'!$C386,Einzelbeträge!$E:$E,'Ausgaben 2025'!N$6)</f>
        <v>0</v>
      </c>
      <c r="O386" s="6"/>
    </row>
    <row r="387" spans="2:15" x14ac:dyDescent="0.35">
      <c r="B387" s="5"/>
      <c r="C387" s="40">
        <f t="shared" si="27"/>
        <v>46004</v>
      </c>
      <c r="D387" s="46">
        <f>SUMIFS(Einzelbeträge!$D:$D,Einzelbeträge!$C:$C,'Ausgaben 2025'!$C387)</f>
        <v>0</v>
      </c>
      <c r="E387" s="21">
        <f>SUMIFS(Einzelbeträge!$D:$D,Einzelbeträge!$C:$C,'Ausgaben 2025'!$C387,Einzelbeträge!$E:$E,'Ausgaben 2025'!E$6)</f>
        <v>0</v>
      </c>
      <c r="F387" s="21">
        <f>SUMIFS(Einzelbeträge!$D:$D,Einzelbeträge!$C:$C,'Ausgaben 2025'!$C387,Einzelbeträge!$E:$E,'Ausgaben 2025'!F$6)</f>
        <v>0</v>
      </c>
      <c r="G387" s="21">
        <f>SUMIFS(Einzelbeträge!$D:$D,Einzelbeträge!$C:$C,'Ausgaben 2025'!$C387,Einzelbeträge!$E:$E,'Ausgaben 2025'!G$6)</f>
        <v>0</v>
      </c>
      <c r="H387" s="21">
        <f>SUMIFS(Einzelbeträge!$D:$D,Einzelbeträge!$C:$C,'Ausgaben 2025'!$C387,Einzelbeträge!$E:$E,'Ausgaben 2025'!H$6)</f>
        <v>0</v>
      </c>
      <c r="I387" s="21">
        <f>SUMIFS(Einzelbeträge!$D:$D,Einzelbeträge!$C:$C,'Ausgaben 2025'!$C387,Einzelbeträge!$E:$E,'Ausgaben 2025'!I$6)</f>
        <v>0</v>
      </c>
      <c r="J387" s="21">
        <f>SUMIFS(Einzelbeträge!$D:$D,Einzelbeträge!$C:$C,'Ausgaben 2025'!$C387,Einzelbeträge!$E:$E,'Ausgaben 2025'!J$6)</f>
        <v>0</v>
      </c>
      <c r="K387" s="21">
        <f>SUMIFS(Einzelbeträge!$D:$D,Einzelbeträge!$C:$C,'Ausgaben 2025'!$C387,Einzelbeträge!$E:$E,'Ausgaben 2025'!K$6)</f>
        <v>0</v>
      </c>
      <c r="L387" s="21">
        <f>SUMIFS(Einzelbeträge!$D:$D,Einzelbeträge!$C:$C,'Ausgaben 2025'!$C387,Einzelbeträge!$E:$E,'Ausgaben 2025'!L$6)</f>
        <v>0</v>
      </c>
      <c r="M387" s="21">
        <f>SUMIFS(Einzelbeträge!$D:$D,Einzelbeträge!$C:$C,'Ausgaben 2025'!$C387,Einzelbeträge!$E:$E,'Ausgaben 2025'!M$6)</f>
        <v>0</v>
      </c>
      <c r="N387" s="35">
        <f>SUMIFS(Einzelbeträge!$D:$D,Einzelbeträge!$C:$C,'Ausgaben 2025'!$C387,Einzelbeträge!$E:$E,'Ausgaben 2025'!N$6)</f>
        <v>0</v>
      </c>
      <c r="O387" s="6"/>
    </row>
    <row r="388" spans="2:15" x14ac:dyDescent="0.35">
      <c r="B388" s="5"/>
      <c r="C388" s="40">
        <f t="shared" si="27"/>
        <v>46005</v>
      </c>
      <c r="D388" s="46">
        <f>SUMIFS(Einzelbeträge!$D:$D,Einzelbeträge!$C:$C,'Ausgaben 2025'!$C388)</f>
        <v>0</v>
      </c>
      <c r="E388" s="21">
        <f>SUMIFS(Einzelbeträge!$D:$D,Einzelbeträge!$C:$C,'Ausgaben 2025'!$C388,Einzelbeträge!$E:$E,'Ausgaben 2025'!E$6)</f>
        <v>0</v>
      </c>
      <c r="F388" s="21">
        <f>SUMIFS(Einzelbeträge!$D:$D,Einzelbeträge!$C:$C,'Ausgaben 2025'!$C388,Einzelbeträge!$E:$E,'Ausgaben 2025'!F$6)</f>
        <v>0</v>
      </c>
      <c r="G388" s="21">
        <f>SUMIFS(Einzelbeträge!$D:$D,Einzelbeträge!$C:$C,'Ausgaben 2025'!$C388,Einzelbeträge!$E:$E,'Ausgaben 2025'!G$6)</f>
        <v>0</v>
      </c>
      <c r="H388" s="21">
        <f>SUMIFS(Einzelbeträge!$D:$D,Einzelbeträge!$C:$C,'Ausgaben 2025'!$C388,Einzelbeträge!$E:$E,'Ausgaben 2025'!H$6)</f>
        <v>0</v>
      </c>
      <c r="I388" s="21">
        <f>SUMIFS(Einzelbeträge!$D:$D,Einzelbeträge!$C:$C,'Ausgaben 2025'!$C388,Einzelbeträge!$E:$E,'Ausgaben 2025'!I$6)</f>
        <v>0</v>
      </c>
      <c r="J388" s="21">
        <f>SUMIFS(Einzelbeträge!$D:$D,Einzelbeträge!$C:$C,'Ausgaben 2025'!$C388,Einzelbeträge!$E:$E,'Ausgaben 2025'!J$6)</f>
        <v>0</v>
      </c>
      <c r="K388" s="21">
        <f>SUMIFS(Einzelbeträge!$D:$D,Einzelbeträge!$C:$C,'Ausgaben 2025'!$C388,Einzelbeträge!$E:$E,'Ausgaben 2025'!K$6)</f>
        <v>0</v>
      </c>
      <c r="L388" s="21">
        <f>SUMIFS(Einzelbeträge!$D:$D,Einzelbeträge!$C:$C,'Ausgaben 2025'!$C388,Einzelbeträge!$E:$E,'Ausgaben 2025'!L$6)</f>
        <v>0</v>
      </c>
      <c r="M388" s="21">
        <f>SUMIFS(Einzelbeträge!$D:$D,Einzelbeträge!$C:$C,'Ausgaben 2025'!$C388,Einzelbeträge!$E:$E,'Ausgaben 2025'!M$6)</f>
        <v>0</v>
      </c>
      <c r="N388" s="35">
        <f>SUMIFS(Einzelbeträge!$D:$D,Einzelbeträge!$C:$C,'Ausgaben 2025'!$C388,Einzelbeträge!$E:$E,'Ausgaben 2025'!N$6)</f>
        <v>0</v>
      </c>
      <c r="O388" s="6"/>
    </row>
    <row r="389" spans="2:15" x14ac:dyDescent="0.35">
      <c r="B389" s="5"/>
      <c r="C389" s="40">
        <f t="shared" si="27"/>
        <v>46006</v>
      </c>
      <c r="D389" s="46">
        <f>SUMIFS(Einzelbeträge!$D:$D,Einzelbeträge!$C:$C,'Ausgaben 2025'!$C389)</f>
        <v>0</v>
      </c>
      <c r="E389" s="21">
        <f>SUMIFS(Einzelbeträge!$D:$D,Einzelbeträge!$C:$C,'Ausgaben 2025'!$C389,Einzelbeträge!$E:$E,'Ausgaben 2025'!E$6)</f>
        <v>0</v>
      </c>
      <c r="F389" s="21">
        <f>SUMIFS(Einzelbeträge!$D:$D,Einzelbeträge!$C:$C,'Ausgaben 2025'!$C389,Einzelbeträge!$E:$E,'Ausgaben 2025'!F$6)</f>
        <v>0</v>
      </c>
      <c r="G389" s="21">
        <f>SUMIFS(Einzelbeträge!$D:$D,Einzelbeträge!$C:$C,'Ausgaben 2025'!$C389,Einzelbeträge!$E:$E,'Ausgaben 2025'!G$6)</f>
        <v>0</v>
      </c>
      <c r="H389" s="21">
        <f>SUMIFS(Einzelbeträge!$D:$D,Einzelbeträge!$C:$C,'Ausgaben 2025'!$C389,Einzelbeträge!$E:$E,'Ausgaben 2025'!H$6)</f>
        <v>0</v>
      </c>
      <c r="I389" s="21">
        <f>SUMIFS(Einzelbeträge!$D:$D,Einzelbeträge!$C:$C,'Ausgaben 2025'!$C389,Einzelbeträge!$E:$E,'Ausgaben 2025'!I$6)</f>
        <v>0</v>
      </c>
      <c r="J389" s="21">
        <f>SUMIFS(Einzelbeträge!$D:$D,Einzelbeträge!$C:$C,'Ausgaben 2025'!$C389,Einzelbeträge!$E:$E,'Ausgaben 2025'!J$6)</f>
        <v>0</v>
      </c>
      <c r="K389" s="21">
        <f>SUMIFS(Einzelbeträge!$D:$D,Einzelbeträge!$C:$C,'Ausgaben 2025'!$C389,Einzelbeträge!$E:$E,'Ausgaben 2025'!K$6)</f>
        <v>0</v>
      </c>
      <c r="L389" s="21">
        <f>SUMIFS(Einzelbeträge!$D:$D,Einzelbeträge!$C:$C,'Ausgaben 2025'!$C389,Einzelbeträge!$E:$E,'Ausgaben 2025'!L$6)</f>
        <v>0</v>
      </c>
      <c r="M389" s="21">
        <f>SUMIFS(Einzelbeträge!$D:$D,Einzelbeträge!$C:$C,'Ausgaben 2025'!$C389,Einzelbeträge!$E:$E,'Ausgaben 2025'!M$6)</f>
        <v>0</v>
      </c>
      <c r="N389" s="35">
        <f>SUMIFS(Einzelbeträge!$D:$D,Einzelbeträge!$C:$C,'Ausgaben 2025'!$C389,Einzelbeträge!$E:$E,'Ausgaben 2025'!N$6)</f>
        <v>0</v>
      </c>
      <c r="O389" s="6"/>
    </row>
    <row r="390" spans="2:15" x14ac:dyDescent="0.35">
      <c r="B390" s="5"/>
      <c r="C390" s="40">
        <f t="shared" si="27"/>
        <v>46007</v>
      </c>
      <c r="D390" s="46">
        <f>SUMIFS(Einzelbeträge!$D:$D,Einzelbeträge!$C:$C,'Ausgaben 2025'!$C390)</f>
        <v>0</v>
      </c>
      <c r="E390" s="21">
        <f>SUMIFS(Einzelbeträge!$D:$D,Einzelbeträge!$C:$C,'Ausgaben 2025'!$C390,Einzelbeträge!$E:$E,'Ausgaben 2025'!E$6)</f>
        <v>0</v>
      </c>
      <c r="F390" s="21">
        <f>SUMIFS(Einzelbeträge!$D:$D,Einzelbeträge!$C:$C,'Ausgaben 2025'!$C390,Einzelbeträge!$E:$E,'Ausgaben 2025'!F$6)</f>
        <v>0</v>
      </c>
      <c r="G390" s="21">
        <f>SUMIFS(Einzelbeträge!$D:$D,Einzelbeträge!$C:$C,'Ausgaben 2025'!$C390,Einzelbeträge!$E:$E,'Ausgaben 2025'!G$6)</f>
        <v>0</v>
      </c>
      <c r="H390" s="21">
        <f>SUMIFS(Einzelbeträge!$D:$D,Einzelbeträge!$C:$C,'Ausgaben 2025'!$C390,Einzelbeträge!$E:$E,'Ausgaben 2025'!H$6)</f>
        <v>0</v>
      </c>
      <c r="I390" s="21">
        <f>SUMIFS(Einzelbeträge!$D:$D,Einzelbeträge!$C:$C,'Ausgaben 2025'!$C390,Einzelbeträge!$E:$E,'Ausgaben 2025'!I$6)</f>
        <v>0</v>
      </c>
      <c r="J390" s="21">
        <f>SUMIFS(Einzelbeträge!$D:$D,Einzelbeträge!$C:$C,'Ausgaben 2025'!$C390,Einzelbeträge!$E:$E,'Ausgaben 2025'!J$6)</f>
        <v>0</v>
      </c>
      <c r="K390" s="21">
        <f>SUMIFS(Einzelbeträge!$D:$D,Einzelbeträge!$C:$C,'Ausgaben 2025'!$C390,Einzelbeträge!$E:$E,'Ausgaben 2025'!K$6)</f>
        <v>0</v>
      </c>
      <c r="L390" s="21">
        <f>SUMIFS(Einzelbeträge!$D:$D,Einzelbeträge!$C:$C,'Ausgaben 2025'!$C390,Einzelbeträge!$E:$E,'Ausgaben 2025'!L$6)</f>
        <v>0</v>
      </c>
      <c r="M390" s="21">
        <f>SUMIFS(Einzelbeträge!$D:$D,Einzelbeträge!$C:$C,'Ausgaben 2025'!$C390,Einzelbeträge!$E:$E,'Ausgaben 2025'!M$6)</f>
        <v>0</v>
      </c>
      <c r="N390" s="35">
        <f>SUMIFS(Einzelbeträge!$D:$D,Einzelbeträge!$C:$C,'Ausgaben 2025'!$C390,Einzelbeträge!$E:$E,'Ausgaben 2025'!N$6)</f>
        <v>0</v>
      </c>
      <c r="O390" s="6"/>
    </row>
    <row r="391" spans="2:15" x14ac:dyDescent="0.35">
      <c r="B391" s="5"/>
      <c r="C391" s="40">
        <f t="shared" si="27"/>
        <v>46008</v>
      </c>
      <c r="D391" s="46">
        <f>SUMIFS(Einzelbeträge!$D:$D,Einzelbeträge!$C:$C,'Ausgaben 2025'!$C391)</f>
        <v>0</v>
      </c>
      <c r="E391" s="21">
        <f>SUMIFS(Einzelbeträge!$D:$D,Einzelbeträge!$C:$C,'Ausgaben 2025'!$C391,Einzelbeträge!$E:$E,'Ausgaben 2025'!E$6)</f>
        <v>0</v>
      </c>
      <c r="F391" s="21">
        <f>SUMIFS(Einzelbeträge!$D:$D,Einzelbeträge!$C:$C,'Ausgaben 2025'!$C391,Einzelbeträge!$E:$E,'Ausgaben 2025'!F$6)</f>
        <v>0</v>
      </c>
      <c r="G391" s="21">
        <f>SUMIFS(Einzelbeträge!$D:$D,Einzelbeträge!$C:$C,'Ausgaben 2025'!$C391,Einzelbeträge!$E:$E,'Ausgaben 2025'!G$6)</f>
        <v>0</v>
      </c>
      <c r="H391" s="21">
        <f>SUMIFS(Einzelbeträge!$D:$D,Einzelbeträge!$C:$C,'Ausgaben 2025'!$C391,Einzelbeträge!$E:$E,'Ausgaben 2025'!H$6)</f>
        <v>0</v>
      </c>
      <c r="I391" s="21">
        <f>SUMIFS(Einzelbeträge!$D:$D,Einzelbeträge!$C:$C,'Ausgaben 2025'!$C391,Einzelbeträge!$E:$E,'Ausgaben 2025'!I$6)</f>
        <v>0</v>
      </c>
      <c r="J391" s="21">
        <f>SUMIFS(Einzelbeträge!$D:$D,Einzelbeträge!$C:$C,'Ausgaben 2025'!$C391,Einzelbeträge!$E:$E,'Ausgaben 2025'!J$6)</f>
        <v>0</v>
      </c>
      <c r="K391" s="21">
        <f>SUMIFS(Einzelbeträge!$D:$D,Einzelbeträge!$C:$C,'Ausgaben 2025'!$C391,Einzelbeträge!$E:$E,'Ausgaben 2025'!K$6)</f>
        <v>0</v>
      </c>
      <c r="L391" s="21">
        <f>SUMIFS(Einzelbeträge!$D:$D,Einzelbeträge!$C:$C,'Ausgaben 2025'!$C391,Einzelbeträge!$E:$E,'Ausgaben 2025'!L$6)</f>
        <v>0</v>
      </c>
      <c r="M391" s="21">
        <f>SUMIFS(Einzelbeträge!$D:$D,Einzelbeträge!$C:$C,'Ausgaben 2025'!$C391,Einzelbeträge!$E:$E,'Ausgaben 2025'!M$6)</f>
        <v>0</v>
      </c>
      <c r="N391" s="35">
        <f>SUMIFS(Einzelbeträge!$D:$D,Einzelbeträge!$C:$C,'Ausgaben 2025'!$C391,Einzelbeträge!$E:$E,'Ausgaben 2025'!N$6)</f>
        <v>0</v>
      </c>
      <c r="O391" s="6"/>
    </row>
    <row r="392" spans="2:15" x14ac:dyDescent="0.35">
      <c r="B392" s="5"/>
      <c r="C392" s="40">
        <f t="shared" si="27"/>
        <v>46009</v>
      </c>
      <c r="D392" s="46">
        <f>SUMIFS(Einzelbeträge!$D:$D,Einzelbeträge!$C:$C,'Ausgaben 2025'!$C392)</f>
        <v>0</v>
      </c>
      <c r="E392" s="21">
        <f>SUMIFS(Einzelbeträge!$D:$D,Einzelbeträge!$C:$C,'Ausgaben 2025'!$C392,Einzelbeträge!$E:$E,'Ausgaben 2025'!E$6)</f>
        <v>0</v>
      </c>
      <c r="F392" s="21">
        <f>SUMIFS(Einzelbeträge!$D:$D,Einzelbeträge!$C:$C,'Ausgaben 2025'!$C392,Einzelbeträge!$E:$E,'Ausgaben 2025'!F$6)</f>
        <v>0</v>
      </c>
      <c r="G392" s="21">
        <f>SUMIFS(Einzelbeträge!$D:$D,Einzelbeträge!$C:$C,'Ausgaben 2025'!$C392,Einzelbeträge!$E:$E,'Ausgaben 2025'!G$6)</f>
        <v>0</v>
      </c>
      <c r="H392" s="21">
        <f>SUMIFS(Einzelbeträge!$D:$D,Einzelbeträge!$C:$C,'Ausgaben 2025'!$C392,Einzelbeträge!$E:$E,'Ausgaben 2025'!H$6)</f>
        <v>0</v>
      </c>
      <c r="I392" s="21">
        <f>SUMIFS(Einzelbeträge!$D:$D,Einzelbeträge!$C:$C,'Ausgaben 2025'!$C392,Einzelbeträge!$E:$E,'Ausgaben 2025'!I$6)</f>
        <v>0</v>
      </c>
      <c r="J392" s="21">
        <f>SUMIFS(Einzelbeträge!$D:$D,Einzelbeträge!$C:$C,'Ausgaben 2025'!$C392,Einzelbeträge!$E:$E,'Ausgaben 2025'!J$6)</f>
        <v>0</v>
      </c>
      <c r="K392" s="21">
        <f>SUMIFS(Einzelbeträge!$D:$D,Einzelbeträge!$C:$C,'Ausgaben 2025'!$C392,Einzelbeträge!$E:$E,'Ausgaben 2025'!K$6)</f>
        <v>0</v>
      </c>
      <c r="L392" s="21">
        <f>SUMIFS(Einzelbeträge!$D:$D,Einzelbeträge!$C:$C,'Ausgaben 2025'!$C392,Einzelbeträge!$E:$E,'Ausgaben 2025'!L$6)</f>
        <v>0</v>
      </c>
      <c r="M392" s="21">
        <f>SUMIFS(Einzelbeträge!$D:$D,Einzelbeträge!$C:$C,'Ausgaben 2025'!$C392,Einzelbeträge!$E:$E,'Ausgaben 2025'!M$6)</f>
        <v>0</v>
      </c>
      <c r="N392" s="35">
        <f>SUMIFS(Einzelbeträge!$D:$D,Einzelbeträge!$C:$C,'Ausgaben 2025'!$C392,Einzelbeträge!$E:$E,'Ausgaben 2025'!N$6)</f>
        <v>0</v>
      </c>
      <c r="O392" s="6"/>
    </row>
    <row r="393" spans="2:15" x14ac:dyDescent="0.35">
      <c r="B393" s="5"/>
      <c r="C393" s="40">
        <f t="shared" si="27"/>
        <v>46010</v>
      </c>
      <c r="D393" s="46">
        <f>SUMIFS(Einzelbeträge!$D:$D,Einzelbeträge!$C:$C,'Ausgaben 2025'!$C393)</f>
        <v>0</v>
      </c>
      <c r="E393" s="21">
        <f>SUMIFS(Einzelbeträge!$D:$D,Einzelbeträge!$C:$C,'Ausgaben 2025'!$C393,Einzelbeträge!$E:$E,'Ausgaben 2025'!E$6)</f>
        <v>0</v>
      </c>
      <c r="F393" s="21">
        <f>SUMIFS(Einzelbeträge!$D:$D,Einzelbeträge!$C:$C,'Ausgaben 2025'!$C393,Einzelbeträge!$E:$E,'Ausgaben 2025'!F$6)</f>
        <v>0</v>
      </c>
      <c r="G393" s="21">
        <f>SUMIFS(Einzelbeträge!$D:$D,Einzelbeträge!$C:$C,'Ausgaben 2025'!$C393,Einzelbeträge!$E:$E,'Ausgaben 2025'!G$6)</f>
        <v>0</v>
      </c>
      <c r="H393" s="21">
        <f>SUMIFS(Einzelbeträge!$D:$D,Einzelbeträge!$C:$C,'Ausgaben 2025'!$C393,Einzelbeträge!$E:$E,'Ausgaben 2025'!H$6)</f>
        <v>0</v>
      </c>
      <c r="I393" s="21">
        <f>SUMIFS(Einzelbeträge!$D:$D,Einzelbeträge!$C:$C,'Ausgaben 2025'!$C393,Einzelbeträge!$E:$E,'Ausgaben 2025'!I$6)</f>
        <v>0</v>
      </c>
      <c r="J393" s="21">
        <f>SUMIFS(Einzelbeträge!$D:$D,Einzelbeträge!$C:$C,'Ausgaben 2025'!$C393,Einzelbeträge!$E:$E,'Ausgaben 2025'!J$6)</f>
        <v>0</v>
      </c>
      <c r="K393" s="21">
        <f>SUMIFS(Einzelbeträge!$D:$D,Einzelbeträge!$C:$C,'Ausgaben 2025'!$C393,Einzelbeträge!$E:$E,'Ausgaben 2025'!K$6)</f>
        <v>0</v>
      </c>
      <c r="L393" s="21">
        <f>SUMIFS(Einzelbeträge!$D:$D,Einzelbeträge!$C:$C,'Ausgaben 2025'!$C393,Einzelbeträge!$E:$E,'Ausgaben 2025'!L$6)</f>
        <v>0</v>
      </c>
      <c r="M393" s="21">
        <f>SUMIFS(Einzelbeträge!$D:$D,Einzelbeträge!$C:$C,'Ausgaben 2025'!$C393,Einzelbeträge!$E:$E,'Ausgaben 2025'!M$6)</f>
        <v>0</v>
      </c>
      <c r="N393" s="35">
        <f>SUMIFS(Einzelbeträge!$D:$D,Einzelbeträge!$C:$C,'Ausgaben 2025'!$C393,Einzelbeträge!$E:$E,'Ausgaben 2025'!N$6)</f>
        <v>0</v>
      </c>
      <c r="O393" s="6"/>
    </row>
    <row r="394" spans="2:15" x14ac:dyDescent="0.35">
      <c r="B394" s="5"/>
      <c r="C394" s="40">
        <f t="shared" si="27"/>
        <v>46011</v>
      </c>
      <c r="D394" s="46">
        <f>SUMIFS(Einzelbeträge!$D:$D,Einzelbeträge!$C:$C,'Ausgaben 2025'!$C394)</f>
        <v>0</v>
      </c>
      <c r="E394" s="21">
        <f>SUMIFS(Einzelbeträge!$D:$D,Einzelbeträge!$C:$C,'Ausgaben 2025'!$C394,Einzelbeträge!$E:$E,'Ausgaben 2025'!E$6)</f>
        <v>0</v>
      </c>
      <c r="F394" s="21">
        <f>SUMIFS(Einzelbeträge!$D:$D,Einzelbeträge!$C:$C,'Ausgaben 2025'!$C394,Einzelbeträge!$E:$E,'Ausgaben 2025'!F$6)</f>
        <v>0</v>
      </c>
      <c r="G394" s="21">
        <f>SUMIFS(Einzelbeträge!$D:$D,Einzelbeträge!$C:$C,'Ausgaben 2025'!$C394,Einzelbeträge!$E:$E,'Ausgaben 2025'!G$6)</f>
        <v>0</v>
      </c>
      <c r="H394" s="21">
        <f>SUMIFS(Einzelbeträge!$D:$D,Einzelbeträge!$C:$C,'Ausgaben 2025'!$C394,Einzelbeträge!$E:$E,'Ausgaben 2025'!H$6)</f>
        <v>0</v>
      </c>
      <c r="I394" s="21">
        <f>SUMIFS(Einzelbeträge!$D:$D,Einzelbeträge!$C:$C,'Ausgaben 2025'!$C394,Einzelbeträge!$E:$E,'Ausgaben 2025'!I$6)</f>
        <v>0</v>
      </c>
      <c r="J394" s="21">
        <f>SUMIFS(Einzelbeträge!$D:$D,Einzelbeträge!$C:$C,'Ausgaben 2025'!$C394,Einzelbeträge!$E:$E,'Ausgaben 2025'!J$6)</f>
        <v>0</v>
      </c>
      <c r="K394" s="21">
        <f>SUMIFS(Einzelbeträge!$D:$D,Einzelbeträge!$C:$C,'Ausgaben 2025'!$C394,Einzelbeträge!$E:$E,'Ausgaben 2025'!K$6)</f>
        <v>0</v>
      </c>
      <c r="L394" s="21">
        <f>SUMIFS(Einzelbeträge!$D:$D,Einzelbeträge!$C:$C,'Ausgaben 2025'!$C394,Einzelbeträge!$E:$E,'Ausgaben 2025'!L$6)</f>
        <v>0</v>
      </c>
      <c r="M394" s="21">
        <f>SUMIFS(Einzelbeträge!$D:$D,Einzelbeträge!$C:$C,'Ausgaben 2025'!$C394,Einzelbeträge!$E:$E,'Ausgaben 2025'!M$6)</f>
        <v>0</v>
      </c>
      <c r="N394" s="35">
        <f>SUMIFS(Einzelbeträge!$D:$D,Einzelbeträge!$C:$C,'Ausgaben 2025'!$C394,Einzelbeträge!$E:$E,'Ausgaben 2025'!N$6)</f>
        <v>0</v>
      </c>
      <c r="O394" s="6"/>
    </row>
    <row r="395" spans="2:15" x14ac:dyDescent="0.35">
      <c r="B395" s="5"/>
      <c r="C395" s="40">
        <f t="shared" si="27"/>
        <v>46012</v>
      </c>
      <c r="D395" s="46">
        <f>SUMIFS(Einzelbeträge!$D:$D,Einzelbeträge!$C:$C,'Ausgaben 2025'!$C395)</f>
        <v>0</v>
      </c>
      <c r="E395" s="21">
        <f>SUMIFS(Einzelbeträge!$D:$D,Einzelbeträge!$C:$C,'Ausgaben 2025'!$C395,Einzelbeträge!$E:$E,'Ausgaben 2025'!E$6)</f>
        <v>0</v>
      </c>
      <c r="F395" s="21">
        <f>SUMIFS(Einzelbeträge!$D:$D,Einzelbeträge!$C:$C,'Ausgaben 2025'!$C395,Einzelbeträge!$E:$E,'Ausgaben 2025'!F$6)</f>
        <v>0</v>
      </c>
      <c r="G395" s="21">
        <f>SUMIFS(Einzelbeträge!$D:$D,Einzelbeträge!$C:$C,'Ausgaben 2025'!$C395,Einzelbeträge!$E:$E,'Ausgaben 2025'!G$6)</f>
        <v>0</v>
      </c>
      <c r="H395" s="21">
        <f>SUMIFS(Einzelbeträge!$D:$D,Einzelbeträge!$C:$C,'Ausgaben 2025'!$C395,Einzelbeträge!$E:$E,'Ausgaben 2025'!H$6)</f>
        <v>0</v>
      </c>
      <c r="I395" s="21">
        <f>SUMIFS(Einzelbeträge!$D:$D,Einzelbeträge!$C:$C,'Ausgaben 2025'!$C395,Einzelbeträge!$E:$E,'Ausgaben 2025'!I$6)</f>
        <v>0</v>
      </c>
      <c r="J395" s="21">
        <f>SUMIFS(Einzelbeträge!$D:$D,Einzelbeträge!$C:$C,'Ausgaben 2025'!$C395,Einzelbeträge!$E:$E,'Ausgaben 2025'!J$6)</f>
        <v>0</v>
      </c>
      <c r="K395" s="21">
        <f>SUMIFS(Einzelbeträge!$D:$D,Einzelbeträge!$C:$C,'Ausgaben 2025'!$C395,Einzelbeträge!$E:$E,'Ausgaben 2025'!K$6)</f>
        <v>0</v>
      </c>
      <c r="L395" s="21">
        <f>SUMIFS(Einzelbeträge!$D:$D,Einzelbeträge!$C:$C,'Ausgaben 2025'!$C395,Einzelbeträge!$E:$E,'Ausgaben 2025'!L$6)</f>
        <v>0</v>
      </c>
      <c r="M395" s="21">
        <f>SUMIFS(Einzelbeträge!$D:$D,Einzelbeträge!$C:$C,'Ausgaben 2025'!$C395,Einzelbeträge!$E:$E,'Ausgaben 2025'!M$6)</f>
        <v>0</v>
      </c>
      <c r="N395" s="35">
        <f>SUMIFS(Einzelbeträge!$D:$D,Einzelbeträge!$C:$C,'Ausgaben 2025'!$C395,Einzelbeträge!$E:$E,'Ausgaben 2025'!N$6)</f>
        <v>0</v>
      </c>
      <c r="O395" s="6"/>
    </row>
    <row r="396" spans="2:15" x14ac:dyDescent="0.35">
      <c r="B396" s="5"/>
      <c r="C396" s="40">
        <f t="shared" si="27"/>
        <v>46013</v>
      </c>
      <c r="D396" s="46">
        <f>SUMIFS(Einzelbeträge!$D:$D,Einzelbeträge!$C:$C,'Ausgaben 2025'!$C396)</f>
        <v>0</v>
      </c>
      <c r="E396" s="21">
        <f>SUMIFS(Einzelbeträge!$D:$D,Einzelbeträge!$C:$C,'Ausgaben 2025'!$C396,Einzelbeträge!$E:$E,'Ausgaben 2025'!E$6)</f>
        <v>0</v>
      </c>
      <c r="F396" s="21">
        <f>SUMIFS(Einzelbeträge!$D:$D,Einzelbeträge!$C:$C,'Ausgaben 2025'!$C396,Einzelbeträge!$E:$E,'Ausgaben 2025'!F$6)</f>
        <v>0</v>
      </c>
      <c r="G396" s="21">
        <f>SUMIFS(Einzelbeträge!$D:$D,Einzelbeträge!$C:$C,'Ausgaben 2025'!$C396,Einzelbeträge!$E:$E,'Ausgaben 2025'!G$6)</f>
        <v>0</v>
      </c>
      <c r="H396" s="21">
        <f>SUMIFS(Einzelbeträge!$D:$D,Einzelbeträge!$C:$C,'Ausgaben 2025'!$C396,Einzelbeträge!$E:$E,'Ausgaben 2025'!H$6)</f>
        <v>0</v>
      </c>
      <c r="I396" s="21">
        <f>SUMIFS(Einzelbeträge!$D:$D,Einzelbeträge!$C:$C,'Ausgaben 2025'!$C396,Einzelbeträge!$E:$E,'Ausgaben 2025'!I$6)</f>
        <v>0</v>
      </c>
      <c r="J396" s="21">
        <f>SUMIFS(Einzelbeträge!$D:$D,Einzelbeträge!$C:$C,'Ausgaben 2025'!$C396,Einzelbeträge!$E:$E,'Ausgaben 2025'!J$6)</f>
        <v>0</v>
      </c>
      <c r="K396" s="21">
        <f>SUMIFS(Einzelbeträge!$D:$D,Einzelbeträge!$C:$C,'Ausgaben 2025'!$C396,Einzelbeträge!$E:$E,'Ausgaben 2025'!K$6)</f>
        <v>0</v>
      </c>
      <c r="L396" s="21">
        <f>SUMIFS(Einzelbeträge!$D:$D,Einzelbeträge!$C:$C,'Ausgaben 2025'!$C396,Einzelbeträge!$E:$E,'Ausgaben 2025'!L$6)</f>
        <v>0</v>
      </c>
      <c r="M396" s="21">
        <f>SUMIFS(Einzelbeträge!$D:$D,Einzelbeträge!$C:$C,'Ausgaben 2025'!$C396,Einzelbeträge!$E:$E,'Ausgaben 2025'!M$6)</f>
        <v>0</v>
      </c>
      <c r="N396" s="35">
        <f>SUMIFS(Einzelbeträge!$D:$D,Einzelbeträge!$C:$C,'Ausgaben 2025'!$C396,Einzelbeträge!$E:$E,'Ausgaben 2025'!N$6)</f>
        <v>0</v>
      </c>
      <c r="O396" s="6"/>
    </row>
    <row r="397" spans="2:15" x14ac:dyDescent="0.35">
      <c r="B397" s="5"/>
      <c r="C397" s="40">
        <f t="shared" si="27"/>
        <v>46014</v>
      </c>
      <c r="D397" s="46">
        <f>SUMIFS(Einzelbeträge!$D:$D,Einzelbeträge!$C:$C,'Ausgaben 2025'!$C397)</f>
        <v>0</v>
      </c>
      <c r="E397" s="21">
        <f>SUMIFS(Einzelbeträge!$D:$D,Einzelbeträge!$C:$C,'Ausgaben 2025'!$C397,Einzelbeträge!$E:$E,'Ausgaben 2025'!E$6)</f>
        <v>0</v>
      </c>
      <c r="F397" s="21">
        <f>SUMIFS(Einzelbeträge!$D:$D,Einzelbeträge!$C:$C,'Ausgaben 2025'!$C397,Einzelbeträge!$E:$E,'Ausgaben 2025'!F$6)</f>
        <v>0</v>
      </c>
      <c r="G397" s="21">
        <f>SUMIFS(Einzelbeträge!$D:$D,Einzelbeträge!$C:$C,'Ausgaben 2025'!$C397,Einzelbeträge!$E:$E,'Ausgaben 2025'!G$6)</f>
        <v>0</v>
      </c>
      <c r="H397" s="21">
        <f>SUMIFS(Einzelbeträge!$D:$D,Einzelbeträge!$C:$C,'Ausgaben 2025'!$C397,Einzelbeträge!$E:$E,'Ausgaben 2025'!H$6)</f>
        <v>0</v>
      </c>
      <c r="I397" s="21">
        <f>SUMIFS(Einzelbeträge!$D:$D,Einzelbeträge!$C:$C,'Ausgaben 2025'!$C397,Einzelbeträge!$E:$E,'Ausgaben 2025'!I$6)</f>
        <v>0</v>
      </c>
      <c r="J397" s="21">
        <f>SUMIFS(Einzelbeträge!$D:$D,Einzelbeträge!$C:$C,'Ausgaben 2025'!$C397,Einzelbeträge!$E:$E,'Ausgaben 2025'!J$6)</f>
        <v>0</v>
      </c>
      <c r="K397" s="21">
        <f>SUMIFS(Einzelbeträge!$D:$D,Einzelbeträge!$C:$C,'Ausgaben 2025'!$C397,Einzelbeträge!$E:$E,'Ausgaben 2025'!K$6)</f>
        <v>0</v>
      </c>
      <c r="L397" s="21">
        <f>SUMIFS(Einzelbeträge!$D:$D,Einzelbeträge!$C:$C,'Ausgaben 2025'!$C397,Einzelbeträge!$E:$E,'Ausgaben 2025'!L$6)</f>
        <v>0</v>
      </c>
      <c r="M397" s="21">
        <f>SUMIFS(Einzelbeträge!$D:$D,Einzelbeträge!$C:$C,'Ausgaben 2025'!$C397,Einzelbeträge!$E:$E,'Ausgaben 2025'!M$6)</f>
        <v>0</v>
      </c>
      <c r="N397" s="35">
        <f>SUMIFS(Einzelbeträge!$D:$D,Einzelbeträge!$C:$C,'Ausgaben 2025'!$C397,Einzelbeträge!$E:$E,'Ausgaben 2025'!N$6)</f>
        <v>0</v>
      </c>
      <c r="O397" s="6"/>
    </row>
    <row r="398" spans="2:15" x14ac:dyDescent="0.35">
      <c r="B398" s="5"/>
      <c r="C398" s="40">
        <f t="shared" si="27"/>
        <v>46015</v>
      </c>
      <c r="D398" s="46">
        <f>SUMIFS(Einzelbeträge!$D:$D,Einzelbeträge!$C:$C,'Ausgaben 2025'!$C398)</f>
        <v>0</v>
      </c>
      <c r="E398" s="21">
        <f>SUMIFS(Einzelbeträge!$D:$D,Einzelbeträge!$C:$C,'Ausgaben 2025'!$C398,Einzelbeträge!$E:$E,'Ausgaben 2025'!E$6)</f>
        <v>0</v>
      </c>
      <c r="F398" s="21">
        <f>SUMIFS(Einzelbeträge!$D:$D,Einzelbeträge!$C:$C,'Ausgaben 2025'!$C398,Einzelbeträge!$E:$E,'Ausgaben 2025'!F$6)</f>
        <v>0</v>
      </c>
      <c r="G398" s="21">
        <f>SUMIFS(Einzelbeträge!$D:$D,Einzelbeträge!$C:$C,'Ausgaben 2025'!$C398,Einzelbeträge!$E:$E,'Ausgaben 2025'!G$6)</f>
        <v>0</v>
      </c>
      <c r="H398" s="21">
        <f>SUMIFS(Einzelbeträge!$D:$D,Einzelbeträge!$C:$C,'Ausgaben 2025'!$C398,Einzelbeträge!$E:$E,'Ausgaben 2025'!H$6)</f>
        <v>0</v>
      </c>
      <c r="I398" s="21">
        <f>SUMIFS(Einzelbeträge!$D:$D,Einzelbeträge!$C:$C,'Ausgaben 2025'!$C398,Einzelbeträge!$E:$E,'Ausgaben 2025'!I$6)</f>
        <v>0</v>
      </c>
      <c r="J398" s="21">
        <f>SUMIFS(Einzelbeträge!$D:$D,Einzelbeträge!$C:$C,'Ausgaben 2025'!$C398,Einzelbeträge!$E:$E,'Ausgaben 2025'!J$6)</f>
        <v>0</v>
      </c>
      <c r="K398" s="21">
        <f>SUMIFS(Einzelbeträge!$D:$D,Einzelbeträge!$C:$C,'Ausgaben 2025'!$C398,Einzelbeträge!$E:$E,'Ausgaben 2025'!K$6)</f>
        <v>0</v>
      </c>
      <c r="L398" s="21">
        <f>SUMIFS(Einzelbeträge!$D:$D,Einzelbeträge!$C:$C,'Ausgaben 2025'!$C398,Einzelbeträge!$E:$E,'Ausgaben 2025'!L$6)</f>
        <v>0</v>
      </c>
      <c r="M398" s="21">
        <f>SUMIFS(Einzelbeträge!$D:$D,Einzelbeträge!$C:$C,'Ausgaben 2025'!$C398,Einzelbeträge!$E:$E,'Ausgaben 2025'!M$6)</f>
        <v>0</v>
      </c>
      <c r="N398" s="35">
        <f>SUMIFS(Einzelbeträge!$D:$D,Einzelbeträge!$C:$C,'Ausgaben 2025'!$C398,Einzelbeträge!$E:$E,'Ausgaben 2025'!N$6)</f>
        <v>0</v>
      </c>
      <c r="O398" s="6"/>
    </row>
    <row r="399" spans="2:15" x14ac:dyDescent="0.35">
      <c r="B399" s="5"/>
      <c r="C399" s="40">
        <f t="shared" si="27"/>
        <v>46016</v>
      </c>
      <c r="D399" s="46">
        <f>SUMIFS(Einzelbeträge!$D:$D,Einzelbeträge!$C:$C,'Ausgaben 2025'!$C399)</f>
        <v>0</v>
      </c>
      <c r="E399" s="21">
        <f>SUMIFS(Einzelbeträge!$D:$D,Einzelbeträge!$C:$C,'Ausgaben 2025'!$C399,Einzelbeträge!$E:$E,'Ausgaben 2025'!E$6)</f>
        <v>0</v>
      </c>
      <c r="F399" s="21">
        <f>SUMIFS(Einzelbeträge!$D:$D,Einzelbeträge!$C:$C,'Ausgaben 2025'!$C399,Einzelbeträge!$E:$E,'Ausgaben 2025'!F$6)</f>
        <v>0</v>
      </c>
      <c r="G399" s="21">
        <f>SUMIFS(Einzelbeträge!$D:$D,Einzelbeträge!$C:$C,'Ausgaben 2025'!$C399,Einzelbeträge!$E:$E,'Ausgaben 2025'!G$6)</f>
        <v>0</v>
      </c>
      <c r="H399" s="21">
        <f>SUMIFS(Einzelbeträge!$D:$D,Einzelbeträge!$C:$C,'Ausgaben 2025'!$C399,Einzelbeträge!$E:$E,'Ausgaben 2025'!H$6)</f>
        <v>0</v>
      </c>
      <c r="I399" s="21">
        <f>SUMIFS(Einzelbeträge!$D:$D,Einzelbeträge!$C:$C,'Ausgaben 2025'!$C399,Einzelbeträge!$E:$E,'Ausgaben 2025'!I$6)</f>
        <v>0</v>
      </c>
      <c r="J399" s="21">
        <f>SUMIFS(Einzelbeträge!$D:$D,Einzelbeträge!$C:$C,'Ausgaben 2025'!$C399,Einzelbeträge!$E:$E,'Ausgaben 2025'!J$6)</f>
        <v>0</v>
      </c>
      <c r="K399" s="21">
        <f>SUMIFS(Einzelbeträge!$D:$D,Einzelbeträge!$C:$C,'Ausgaben 2025'!$C399,Einzelbeträge!$E:$E,'Ausgaben 2025'!K$6)</f>
        <v>0</v>
      </c>
      <c r="L399" s="21">
        <f>SUMIFS(Einzelbeträge!$D:$D,Einzelbeträge!$C:$C,'Ausgaben 2025'!$C399,Einzelbeträge!$E:$E,'Ausgaben 2025'!L$6)</f>
        <v>0</v>
      </c>
      <c r="M399" s="21">
        <f>SUMIFS(Einzelbeträge!$D:$D,Einzelbeträge!$C:$C,'Ausgaben 2025'!$C399,Einzelbeträge!$E:$E,'Ausgaben 2025'!M$6)</f>
        <v>0</v>
      </c>
      <c r="N399" s="35">
        <f>SUMIFS(Einzelbeträge!$D:$D,Einzelbeträge!$C:$C,'Ausgaben 2025'!$C399,Einzelbeträge!$E:$E,'Ausgaben 2025'!N$6)</f>
        <v>0</v>
      </c>
      <c r="O399" s="6"/>
    </row>
    <row r="400" spans="2:15" x14ac:dyDescent="0.35">
      <c r="B400" s="5"/>
      <c r="C400" s="40">
        <f t="shared" si="27"/>
        <v>46017</v>
      </c>
      <c r="D400" s="46">
        <f>SUMIFS(Einzelbeträge!$D:$D,Einzelbeträge!$C:$C,'Ausgaben 2025'!$C400)</f>
        <v>0</v>
      </c>
      <c r="E400" s="21">
        <f>SUMIFS(Einzelbeträge!$D:$D,Einzelbeträge!$C:$C,'Ausgaben 2025'!$C400,Einzelbeträge!$E:$E,'Ausgaben 2025'!E$6)</f>
        <v>0</v>
      </c>
      <c r="F400" s="21">
        <f>SUMIFS(Einzelbeträge!$D:$D,Einzelbeträge!$C:$C,'Ausgaben 2025'!$C400,Einzelbeträge!$E:$E,'Ausgaben 2025'!F$6)</f>
        <v>0</v>
      </c>
      <c r="G400" s="21">
        <f>SUMIFS(Einzelbeträge!$D:$D,Einzelbeträge!$C:$C,'Ausgaben 2025'!$C400,Einzelbeträge!$E:$E,'Ausgaben 2025'!G$6)</f>
        <v>0</v>
      </c>
      <c r="H400" s="21">
        <f>SUMIFS(Einzelbeträge!$D:$D,Einzelbeträge!$C:$C,'Ausgaben 2025'!$C400,Einzelbeträge!$E:$E,'Ausgaben 2025'!H$6)</f>
        <v>0</v>
      </c>
      <c r="I400" s="21">
        <f>SUMIFS(Einzelbeträge!$D:$D,Einzelbeträge!$C:$C,'Ausgaben 2025'!$C400,Einzelbeträge!$E:$E,'Ausgaben 2025'!I$6)</f>
        <v>0</v>
      </c>
      <c r="J400" s="21">
        <f>SUMIFS(Einzelbeträge!$D:$D,Einzelbeträge!$C:$C,'Ausgaben 2025'!$C400,Einzelbeträge!$E:$E,'Ausgaben 2025'!J$6)</f>
        <v>0</v>
      </c>
      <c r="K400" s="21">
        <f>SUMIFS(Einzelbeträge!$D:$D,Einzelbeträge!$C:$C,'Ausgaben 2025'!$C400,Einzelbeträge!$E:$E,'Ausgaben 2025'!K$6)</f>
        <v>0</v>
      </c>
      <c r="L400" s="21">
        <f>SUMIFS(Einzelbeträge!$D:$D,Einzelbeträge!$C:$C,'Ausgaben 2025'!$C400,Einzelbeträge!$E:$E,'Ausgaben 2025'!L$6)</f>
        <v>0</v>
      </c>
      <c r="M400" s="21">
        <f>SUMIFS(Einzelbeträge!$D:$D,Einzelbeträge!$C:$C,'Ausgaben 2025'!$C400,Einzelbeträge!$E:$E,'Ausgaben 2025'!M$6)</f>
        <v>0</v>
      </c>
      <c r="N400" s="35">
        <f>SUMIFS(Einzelbeträge!$D:$D,Einzelbeträge!$C:$C,'Ausgaben 2025'!$C400,Einzelbeträge!$E:$E,'Ausgaben 2025'!N$6)</f>
        <v>0</v>
      </c>
      <c r="O400" s="6"/>
    </row>
    <row r="401" spans="2:15" x14ac:dyDescent="0.35">
      <c r="B401" s="5"/>
      <c r="C401" s="40">
        <f t="shared" si="27"/>
        <v>46018</v>
      </c>
      <c r="D401" s="46">
        <f>SUMIFS(Einzelbeträge!$D:$D,Einzelbeträge!$C:$C,'Ausgaben 2025'!$C401)</f>
        <v>0</v>
      </c>
      <c r="E401" s="21">
        <f>SUMIFS(Einzelbeträge!$D:$D,Einzelbeträge!$C:$C,'Ausgaben 2025'!$C401,Einzelbeträge!$E:$E,'Ausgaben 2025'!E$6)</f>
        <v>0</v>
      </c>
      <c r="F401" s="21">
        <f>SUMIFS(Einzelbeträge!$D:$D,Einzelbeträge!$C:$C,'Ausgaben 2025'!$C401,Einzelbeträge!$E:$E,'Ausgaben 2025'!F$6)</f>
        <v>0</v>
      </c>
      <c r="G401" s="21">
        <f>SUMIFS(Einzelbeträge!$D:$D,Einzelbeträge!$C:$C,'Ausgaben 2025'!$C401,Einzelbeträge!$E:$E,'Ausgaben 2025'!G$6)</f>
        <v>0</v>
      </c>
      <c r="H401" s="21">
        <f>SUMIFS(Einzelbeträge!$D:$D,Einzelbeträge!$C:$C,'Ausgaben 2025'!$C401,Einzelbeträge!$E:$E,'Ausgaben 2025'!H$6)</f>
        <v>0</v>
      </c>
      <c r="I401" s="21">
        <f>SUMIFS(Einzelbeträge!$D:$D,Einzelbeträge!$C:$C,'Ausgaben 2025'!$C401,Einzelbeträge!$E:$E,'Ausgaben 2025'!I$6)</f>
        <v>0</v>
      </c>
      <c r="J401" s="21">
        <f>SUMIFS(Einzelbeträge!$D:$D,Einzelbeträge!$C:$C,'Ausgaben 2025'!$C401,Einzelbeträge!$E:$E,'Ausgaben 2025'!J$6)</f>
        <v>0</v>
      </c>
      <c r="K401" s="21">
        <f>SUMIFS(Einzelbeträge!$D:$D,Einzelbeträge!$C:$C,'Ausgaben 2025'!$C401,Einzelbeträge!$E:$E,'Ausgaben 2025'!K$6)</f>
        <v>0</v>
      </c>
      <c r="L401" s="21">
        <f>SUMIFS(Einzelbeträge!$D:$D,Einzelbeträge!$C:$C,'Ausgaben 2025'!$C401,Einzelbeträge!$E:$E,'Ausgaben 2025'!L$6)</f>
        <v>0</v>
      </c>
      <c r="M401" s="21">
        <f>SUMIFS(Einzelbeträge!$D:$D,Einzelbeträge!$C:$C,'Ausgaben 2025'!$C401,Einzelbeträge!$E:$E,'Ausgaben 2025'!M$6)</f>
        <v>0</v>
      </c>
      <c r="N401" s="35">
        <f>SUMIFS(Einzelbeträge!$D:$D,Einzelbeträge!$C:$C,'Ausgaben 2025'!$C401,Einzelbeträge!$E:$E,'Ausgaben 2025'!N$6)</f>
        <v>0</v>
      </c>
      <c r="O401" s="6"/>
    </row>
    <row r="402" spans="2:15" x14ac:dyDescent="0.35">
      <c r="B402" s="5"/>
      <c r="C402" s="40">
        <f t="shared" si="27"/>
        <v>46019</v>
      </c>
      <c r="D402" s="46">
        <f>SUMIFS(Einzelbeträge!$D:$D,Einzelbeträge!$C:$C,'Ausgaben 2025'!$C402)</f>
        <v>0</v>
      </c>
      <c r="E402" s="21">
        <f>SUMIFS(Einzelbeträge!$D:$D,Einzelbeträge!$C:$C,'Ausgaben 2025'!$C402,Einzelbeträge!$E:$E,'Ausgaben 2025'!E$6)</f>
        <v>0</v>
      </c>
      <c r="F402" s="21">
        <f>SUMIFS(Einzelbeträge!$D:$D,Einzelbeträge!$C:$C,'Ausgaben 2025'!$C402,Einzelbeträge!$E:$E,'Ausgaben 2025'!F$6)</f>
        <v>0</v>
      </c>
      <c r="G402" s="21">
        <f>SUMIFS(Einzelbeträge!$D:$D,Einzelbeträge!$C:$C,'Ausgaben 2025'!$C402,Einzelbeträge!$E:$E,'Ausgaben 2025'!G$6)</f>
        <v>0</v>
      </c>
      <c r="H402" s="21">
        <f>SUMIFS(Einzelbeträge!$D:$D,Einzelbeträge!$C:$C,'Ausgaben 2025'!$C402,Einzelbeträge!$E:$E,'Ausgaben 2025'!H$6)</f>
        <v>0</v>
      </c>
      <c r="I402" s="21">
        <f>SUMIFS(Einzelbeträge!$D:$D,Einzelbeträge!$C:$C,'Ausgaben 2025'!$C402,Einzelbeträge!$E:$E,'Ausgaben 2025'!I$6)</f>
        <v>0</v>
      </c>
      <c r="J402" s="21">
        <f>SUMIFS(Einzelbeträge!$D:$D,Einzelbeträge!$C:$C,'Ausgaben 2025'!$C402,Einzelbeträge!$E:$E,'Ausgaben 2025'!J$6)</f>
        <v>0</v>
      </c>
      <c r="K402" s="21">
        <f>SUMIFS(Einzelbeträge!$D:$D,Einzelbeträge!$C:$C,'Ausgaben 2025'!$C402,Einzelbeträge!$E:$E,'Ausgaben 2025'!K$6)</f>
        <v>0</v>
      </c>
      <c r="L402" s="21">
        <f>SUMIFS(Einzelbeträge!$D:$D,Einzelbeträge!$C:$C,'Ausgaben 2025'!$C402,Einzelbeträge!$E:$E,'Ausgaben 2025'!L$6)</f>
        <v>0</v>
      </c>
      <c r="M402" s="21">
        <f>SUMIFS(Einzelbeträge!$D:$D,Einzelbeträge!$C:$C,'Ausgaben 2025'!$C402,Einzelbeträge!$E:$E,'Ausgaben 2025'!M$6)</f>
        <v>0</v>
      </c>
      <c r="N402" s="35">
        <f>SUMIFS(Einzelbeträge!$D:$D,Einzelbeträge!$C:$C,'Ausgaben 2025'!$C402,Einzelbeträge!$E:$E,'Ausgaben 2025'!N$6)</f>
        <v>0</v>
      </c>
      <c r="O402" s="6"/>
    </row>
    <row r="403" spans="2:15" x14ac:dyDescent="0.35">
      <c r="B403" s="5"/>
      <c r="C403" s="40">
        <f t="shared" si="27"/>
        <v>46020</v>
      </c>
      <c r="D403" s="46">
        <f>SUMIFS(Einzelbeträge!$D:$D,Einzelbeträge!$C:$C,'Ausgaben 2025'!$C403)</f>
        <v>0</v>
      </c>
      <c r="E403" s="21">
        <f>SUMIFS(Einzelbeträge!$D:$D,Einzelbeträge!$C:$C,'Ausgaben 2025'!$C403,Einzelbeträge!$E:$E,'Ausgaben 2025'!E$6)</f>
        <v>0</v>
      </c>
      <c r="F403" s="21">
        <f>SUMIFS(Einzelbeträge!$D:$D,Einzelbeträge!$C:$C,'Ausgaben 2025'!$C403,Einzelbeträge!$E:$E,'Ausgaben 2025'!F$6)</f>
        <v>0</v>
      </c>
      <c r="G403" s="21">
        <f>SUMIFS(Einzelbeträge!$D:$D,Einzelbeträge!$C:$C,'Ausgaben 2025'!$C403,Einzelbeträge!$E:$E,'Ausgaben 2025'!G$6)</f>
        <v>0</v>
      </c>
      <c r="H403" s="21">
        <f>SUMIFS(Einzelbeträge!$D:$D,Einzelbeträge!$C:$C,'Ausgaben 2025'!$C403,Einzelbeträge!$E:$E,'Ausgaben 2025'!H$6)</f>
        <v>0</v>
      </c>
      <c r="I403" s="21">
        <f>SUMIFS(Einzelbeträge!$D:$D,Einzelbeträge!$C:$C,'Ausgaben 2025'!$C403,Einzelbeträge!$E:$E,'Ausgaben 2025'!I$6)</f>
        <v>0</v>
      </c>
      <c r="J403" s="21">
        <f>SUMIFS(Einzelbeträge!$D:$D,Einzelbeträge!$C:$C,'Ausgaben 2025'!$C403,Einzelbeträge!$E:$E,'Ausgaben 2025'!J$6)</f>
        <v>0</v>
      </c>
      <c r="K403" s="21">
        <f>SUMIFS(Einzelbeträge!$D:$D,Einzelbeträge!$C:$C,'Ausgaben 2025'!$C403,Einzelbeträge!$E:$E,'Ausgaben 2025'!K$6)</f>
        <v>0</v>
      </c>
      <c r="L403" s="21">
        <f>SUMIFS(Einzelbeträge!$D:$D,Einzelbeträge!$C:$C,'Ausgaben 2025'!$C403,Einzelbeträge!$E:$E,'Ausgaben 2025'!L$6)</f>
        <v>0</v>
      </c>
      <c r="M403" s="21">
        <f>SUMIFS(Einzelbeträge!$D:$D,Einzelbeträge!$C:$C,'Ausgaben 2025'!$C403,Einzelbeträge!$E:$E,'Ausgaben 2025'!M$6)</f>
        <v>0</v>
      </c>
      <c r="N403" s="35">
        <f>SUMIFS(Einzelbeträge!$D:$D,Einzelbeträge!$C:$C,'Ausgaben 2025'!$C403,Einzelbeträge!$E:$E,'Ausgaben 2025'!N$6)</f>
        <v>0</v>
      </c>
      <c r="O403" s="6"/>
    </row>
    <row r="404" spans="2:15" x14ac:dyDescent="0.35">
      <c r="B404" s="5"/>
      <c r="C404" s="40">
        <f t="shared" si="27"/>
        <v>46021</v>
      </c>
      <c r="D404" s="46">
        <f>SUMIFS(Einzelbeträge!$D:$D,Einzelbeträge!$C:$C,'Ausgaben 2025'!$C404)</f>
        <v>0</v>
      </c>
      <c r="E404" s="21">
        <f>SUMIFS(Einzelbeträge!$D:$D,Einzelbeträge!$C:$C,'Ausgaben 2025'!$C404,Einzelbeträge!$E:$E,'Ausgaben 2025'!E$6)</f>
        <v>0</v>
      </c>
      <c r="F404" s="21">
        <f>SUMIFS(Einzelbeträge!$D:$D,Einzelbeträge!$C:$C,'Ausgaben 2025'!$C404,Einzelbeträge!$E:$E,'Ausgaben 2025'!F$6)</f>
        <v>0</v>
      </c>
      <c r="G404" s="21">
        <f>SUMIFS(Einzelbeträge!$D:$D,Einzelbeträge!$C:$C,'Ausgaben 2025'!$C404,Einzelbeträge!$E:$E,'Ausgaben 2025'!G$6)</f>
        <v>0</v>
      </c>
      <c r="H404" s="21">
        <f>SUMIFS(Einzelbeträge!$D:$D,Einzelbeträge!$C:$C,'Ausgaben 2025'!$C404,Einzelbeträge!$E:$E,'Ausgaben 2025'!H$6)</f>
        <v>0</v>
      </c>
      <c r="I404" s="21">
        <f>SUMIFS(Einzelbeträge!$D:$D,Einzelbeträge!$C:$C,'Ausgaben 2025'!$C404,Einzelbeträge!$E:$E,'Ausgaben 2025'!I$6)</f>
        <v>0</v>
      </c>
      <c r="J404" s="21">
        <f>SUMIFS(Einzelbeträge!$D:$D,Einzelbeträge!$C:$C,'Ausgaben 2025'!$C404,Einzelbeträge!$E:$E,'Ausgaben 2025'!J$6)</f>
        <v>0</v>
      </c>
      <c r="K404" s="21">
        <f>SUMIFS(Einzelbeträge!$D:$D,Einzelbeträge!$C:$C,'Ausgaben 2025'!$C404,Einzelbeträge!$E:$E,'Ausgaben 2025'!K$6)</f>
        <v>0</v>
      </c>
      <c r="L404" s="21">
        <f>SUMIFS(Einzelbeträge!$D:$D,Einzelbeträge!$C:$C,'Ausgaben 2025'!$C404,Einzelbeträge!$E:$E,'Ausgaben 2025'!L$6)</f>
        <v>0</v>
      </c>
      <c r="M404" s="21">
        <f>SUMIFS(Einzelbeträge!$D:$D,Einzelbeträge!$C:$C,'Ausgaben 2025'!$C404,Einzelbeträge!$E:$E,'Ausgaben 2025'!M$6)</f>
        <v>0</v>
      </c>
      <c r="N404" s="35">
        <f>SUMIFS(Einzelbeträge!$D:$D,Einzelbeträge!$C:$C,'Ausgaben 2025'!$C404,Einzelbeträge!$E:$E,'Ausgaben 2025'!N$6)</f>
        <v>0</v>
      </c>
      <c r="O404" s="6"/>
    </row>
    <row r="405" spans="2:15" x14ac:dyDescent="0.35">
      <c r="B405" s="5"/>
      <c r="C405" s="31">
        <f t="shared" si="27"/>
        <v>46022</v>
      </c>
      <c r="D405" s="47">
        <f>SUMIFS(Einzelbeträge!$D:$D,Einzelbeträge!$C:$C,'Ausgaben 2025'!$C405)</f>
        <v>0</v>
      </c>
      <c r="E405" s="37">
        <f>SUMIFS(Einzelbeträge!$D:$D,Einzelbeträge!$C:$C,'Ausgaben 2025'!$C405,Einzelbeträge!$E:$E,'Ausgaben 2025'!E$6)</f>
        <v>0</v>
      </c>
      <c r="F405" s="37">
        <f>SUMIFS(Einzelbeträge!$D:$D,Einzelbeträge!$C:$C,'Ausgaben 2025'!$C405,Einzelbeträge!$E:$E,'Ausgaben 2025'!F$6)</f>
        <v>0</v>
      </c>
      <c r="G405" s="37">
        <f>SUMIFS(Einzelbeträge!$D:$D,Einzelbeträge!$C:$C,'Ausgaben 2025'!$C405,Einzelbeträge!$E:$E,'Ausgaben 2025'!G$6)</f>
        <v>0</v>
      </c>
      <c r="H405" s="37">
        <f>SUMIFS(Einzelbeträge!$D:$D,Einzelbeträge!$C:$C,'Ausgaben 2025'!$C405,Einzelbeträge!$E:$E,'Ausgaben 2025'!H$6)</f>
        <v>0</v>
      </c>
      <c r="I405" s="37">
        <f>SUMIFS(Einzelbeträge!$D:$D,Einzelbeträge!$C:$C,'Ausgaben 2025'!$C405,Einzelbeträge!$E:$E,'Ausgaben 2025'!I$6)</f>
        <v>0</v>
      </c>
      <c r="J405" s="37">
        <f>SUMIFS(Einzelbeträge!$D:$D,Einzelbeträge!$C:$C,'Ausgaben 2025'!$C405,Einzelbeträge!$E:$E,'Ausgaben 2025'!J$6)</f>
        <v>0</v>
      </c>
      <c r="K405" s="37">
        <f>SUMIFS(Einzelbeträge!$D:$D,Einzelbeträge!$C:$C,'Ausgaben 2025'!$C405,Einzelbeträge!$E:$E,'Ausgaben 2025'!K$6)</f>
        <v>0</v>
      </c>
      <c r="L405" s="37">
        <f>SUMIFS(Einzelbeträge!$D:$D,Einzelbeträge!$C:$C,'Ausgaben 2025'!$C405,Einzelbeträge!$E:$E,'Ausgaben 2025'!L$6)</f>
        <v>0</v>
      </c>
      <c r="M405" s="37">
        <f>SUMIFS(Einzelbeträge!$D:$D,Einzelbeträge!$C:$C,'Ausgaben 2025'!$C405,Einzelbeträge!$E:$E,'Ausgaben 2025'!M$6)</f>
        <v>0</v>
      </c>
      <c r="N405" s="38">
        <f>SUMIFS(Einzelbeträge!$D:$D,Einzelbeträge!$C:$C,'Ausgaben 2025'!$C405,Einzelbeträge!$E:$E,'Ausgaben 2025'!N$6)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140" priority="2">
      <formula>LEN(TRIM(C69))=0</formula>
    </cfRule>
  </conditionalFormatting>
  <conditionalFormatting sqref="D69:N69">
    <cfRule type="expression" dxfId="139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A4073FA4-F06C-49CC-8415-B27354D0894E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76C1E952-22A7-439C-9B9B-5C3387735906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CDE562DF-0713-483B-A942-17B0E33A5CDB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D245AEE2-2161-43B7-92F8-247B6D22AF69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F8791B43-C086-47AF-90B3-FF934D603452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73FC3FC1-AD5C-4979-A232-E07E078B0759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A241C779-70CA-40BC-9EB2-29564CAB5974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27EB6B82-34FD-4B7F-8816-EFD2B7AB548E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F051839B-F92C-4384-9476-381AE08158E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546FA391-3363-4320-9A5B-A02B01DCF0C0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A063AB29-A5D1-4BD1-85F6-2AEDC9FFCAE4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78CB3F1C-4289-41A9-9A75-AFBD7C5B46CD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11E60726-54A5-4DE4-AFF6-0ECBABD441C8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80F2C1FA-EFEE-4E63-A0EE-3759DF33EC4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A5509734-2672-488E-AF2B-15046E60E652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9E5E52C9-F231-42B1-9A76-8D344D937711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0AAA03D0-569F-4F29-91BD-1BD2FECA2E11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03E12694-A312-4A3D-93D4-EDE69871DE1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C09DE9A-BE94-4ECE-A944-B329189FBDBD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A1D96525-F3F2-452A-ADF2-B0E17D10D0E5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B37C3EBA-9794-405B-8A51-D20A17197A69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FC79E-9FF9-4CA3-B695-623D8D01AF05}">
  <sheetPr codeName="Sheet4"/>
  <dimension ref="B1:AD87"/>
  <sheetViews>
    <sheetView topLeftCell="A23" zoomScale="45" workbookViewId="0">
      <selection activeCell="AC68" sqref="AC68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2.453125" style="63" bestFit="1" customWidth="1"/>
    <col min="5" max="7" width="2.81640625" customWidth="1"/>
    <col min="8" max="8" width="20.1796875" bestFit="1" customWidth="1"/>
    <col min="9" max="9" width="13" style="63" bestFit="1" customWidth="1"/>
    <col min="10" max="12" width="2.81640625" customWidth="1"/>
    <col min="13" max="13" width="20.1796875" bestFit="1" customWidth="1"/>
    <col min="14" max="14" width="12.453125" style="63" bestFit="1" customWidth="1"/>
    <col min="15" max="17" width="2.81640625" customWidth="1"/>
    <col min="18" max="18" width="20.1796875" bestFit="1" customWidth="1"/>
    <col min="19" max="19" width="12.453125" style="63" bestFit="1" customWidth="1"/>
    <col min="20" max="22" width="2.81640625" customWidth="1"/>
    <col min="23" max="23" width="20.1796875" bestFit="1" customWidth="1"/>
    <col min="24" max="24" width="14.1796875" style="63" bestFit="1" customWidth="1"/>
    <col min="25" max="27" width="2.81640625" customWidth="1"/>
    <col min="28" max="28" width="20.1796875" bestFit="1" customWidth="1"/>
    <col min="29" max="29" width="13.45312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2024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0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0"/>
        <v>0</v>
      </c>
      <c r="E14" s="6"/>
    </row>
    <row r="15" spans="2:5" x14ac:dyDescent="0.35">
      <c r="B15" s="5"/>
      <c r="C15" s="13" t="s">
        <v>34</v>
      </c>
      <c r="D15" s="67">
        <f t="shared" si="0"/>
        <v>0</v>
      </c>
      <c r="E15" s="6"/>
    </row>
    <row r="16" spans="2:5" x14ac:dyDescent="0.35">
      <c r="B16" s="5"/>
      <c r="C16" s="13" t="s">
        <v>0</v>
      </c>
      <c r="D16" s="67">
        <f t="shared" si="0"/>
        <v>0</v>
      </c>
      <c r="E16" s="6"/>
    </row>
    <row r="17" spans="2:30" x14ac:dyDescent="0.35">
      <c r="B17" s="5"/>
      <c r="C17" s="13" t="s">
        <v>1</v>
      </c>
      <c r="D17" s="67">
        <f t="shared" si="0"/>
        <v>0</v>
      </c>
      <c r="E17" s="6"/>
    </row>
    <row r="18" spans="2:30" x14ac:dyDescent="0.35">
      <c r="B18" s="5"/>
      <c r="C18" s="13" t="s">
        <v>3</v>
      </c>
      <c r="D18" s="67">
        <f t="shared" si="0"/>
        <v>0</v>
      </c>
      <c r="E18" s="6"/>
    </row>
    <row r="19" spans="2:30" x14ac:dyDescent="0.35">
      <c r="B19" s="5"/>
      <c r="C19" s="13" t="s">
        <v>2</v>
      </c>
      <c r="D19" s="67">
        <f t="shared" si="0"/>
        <v>0</v>
      </c>
      <c r="E19" s="6"/>
    </row>
    <row r="20" spans="2:30" x14ac:dyDescent="0.35">
      <c r="B20" s="5"/>
      <c r="C20" s="13" t="s">
        <v>42</v>
      </c>
      <c r="D20" s="67">
        <f t="shared" si="0"/>
        <v>0</v>
      </c>
      <c r="E20" s="6"/>
    </row>
    <row r="21" spans="2:30" x14ac:dyDescent="0.35">
      <c r="B21" s="5"/>
      <c r="C21" s="13" t="s">
        <v>65</v>
      </c>
      <c r="D21" s="67">
        <f t="shared" si="0"/>
        <v>0</v>
      </c>
      <c r="E21" s="6"/>
    </row>
    <row r="22" spans="2:30" x14ac:dyDescent="0.35">
      <c r="B22" s="5"/>
      <c r="C22" s="13" t="s">
        <v>64</v>
      </c>
      <c r="D22" s="67">
        <f t="shared" si="0"/>
        <v>0</v>
      </c>
      <c r="E22" s="6"/>
    </row>
    <row r="23" spans="2:30" x14ac:dyDescent="0.35">
      <c r="B23" s="5"/>
      <c r="C23" s="13" t="s">
        <v>63</v>
      </c>
      <c r="D23" s="67">
        <f t="shared" si="0"/>
        <v>0</v>
      </c>
      <c r="E23" s="6"/>
    </row>
    <row r="24" spans="2:30" x14ac:dyDescent="0.35">
      <c r="B24" s="5"/>
      <c r="C24" s="13" t="s">
        <v>62</v>
      </c>
      <c r="D24" s="67">
        <f t="shared" si="0"/>
        <v>0</v>
      </c>
      <c r="E24" s="6"/>
    </row>
    <row r="25" spans="2:30" x14ac:dyDescent="0.35">
      <c r="B25" s="5"/>
      <c r="C25" s="13" t="s">
        <v>61</v>
      </c>
      <c r="D25" s="67">
        <f t="shared" si="0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2024'!$AI$5:$AR$5,'Ausgaben 2024'!$AI$6:$AR$6)</f>
        <v>0</v>
      </c>
      <c r="E45" s="6"/>
      <c r="G45" s="5"/>
      <c r="H45" s="13" t="s">
        <v>0</v>
      </c>
      <c r="I45" s="67">
        <f>_xlfn.XLOOKUP(H45,'Ausgaben 2024'!$AI$5:$AR$5,'Ausgaben 2024'!$AI$7:$AR$7)</f>
        <v>0</v>
      </c>
      <c r="J45" s="6"/>
      <c r="L45" s="5"/>
      <c r="M45" s="13" t="s">
        <v>0</v>
      </c>
      <c r="N45" s="67">
        <f>_xlfn.XLOOKUP(M45,'Ausgaben 2024'!$AI$5:$AR$5,'Ausgaben 2024'!$AI$8:$AR$8)</f>
        <v>0</v>
      </c>
      <c r="O45" s="6"/>
      <c r="Q45" s="5"/>
      <c r="R45" s="13" t="s">
        <v>0</v>
      </c>
      <c r="S45" s="67">
        <f>_xlfn.XLOOKUP(R45,'Ausgaben 2024'!$AI$5:$AR$5,'Ausgaben 2024'!$AI$9:$AR$9)</f>
        <v>0</v>
      </c>
      <c r="T45" s="6"/>
      <c r="V45" s="5"/>
      <c r="W45" s="13" t="s">
        <v>0</v>
      </c>
      <c r="X45" s="67">
        <f>_xlfn.XLOOKUP(W45,'Ausgaben 2024'!$AI$5:$AR$5,'Ausgaben 2024'!$AI$10:$AR$10)</f>
        <v>0</v>
      </c>
      <c r="Y45" s="6"/>
      <c r="AA45" s="5"/>
      <c r="AB45" s="13" t="s">
        <v>0</v>
      </c>
      <c r="AC45" s="67">
        <f>_xlfn.XLOOKUP(AB45,'Ausgaben 2024'!$AI$5:$AR$5,'Ausgaben 2024'!$AI$11:$AR$11)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2024'!$AI$5:$AR$5,'Ausgaben 2024'!$AI$6:$AR$6)</f>
        <v>0</v>
      </c>
      <c r="E46" s="6"/>
      <c r="G46" s="5"/>
      <c r="H46" s="13" t="s">
        <v>1</v>
      </c>
      <c r="I46" s="67">
        <f>_xlfn.XLOOKUP(H46,'Ausgaben 2024'!$AI$5:$AR$5,'Ausgaben 2024'!$AI$7:$AR$7)</f>
        <v>0</v>
      </c>
      <c r="J46" s="6"/>
      <c r="L46" s="5"/>
      <c r="M46" s="13" t="s">
        <v>1</v>
      </c>
      <c r="N46" s="67">
        <f>_xlfn.XLOOKUP(M46,'Ausgaben 2024'!$AI$5:$AR$5,'Ausgaben 2024'!$AI$8:$AR$8)</f>
        <v>0</v>
      </c>
      <c r="O46" s="6"/>
      <c r="Q46" s="5"/>
      <c r="R46" s="13" t="s">
        <v>1</v>
      </c>
      <c r="S46" s="67">
        <f>_xlfn.XLOOKUP(R46,'Ausgaben 2024'!$AI$5:$AR$5,'Ausgaben 2024'!$AI$9:$AR$9)</f>
        <v>0</v>
      </c>
      <c r="T46" s="6"/>
      <c r="V46" s="5"/>
      <c r="W46" s="13" t="s">
        <v>1</v>
      </c>
      <c r="X46" s="67">
        <f>_xlfn.XLOOKUP(W46,'Ausgaben 2024'!$AI$5:$AR$5,'Ausgaben 2024'!$AI$10:$AR$10)</f>
        <v>0</v>
      </c>
      <c r="Y46" s="6"/>
      <c r="AA46" s="5"/>
      <c r="AB46" s="13" t="s">
        <v>1</v>
      </c>
      <c r="AC46" s="67">
        <f>_xlfn.XLOOKUP(AB46,'Ausgaben 2024'!$AI$5:$AR$5,'Ausgaben 2024'!$AI$11:$AR$11)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2024'!$AI$5:$AR$5,'Ausgaben 2024'!$AI$6:$AR$6)</f>
        <v>0</v>
      </c>
      <c r="E47" s="6"/>
      <c r="G47" s="5"/>
      <c r="H47" s="13" t="s">
        <v>3</v>
      </c>
      <c r="I47" s="67">
        <f>_xlfn.XLOOKUP(H47,'Ausgaben 2024'!$AI$5:$AR$5,'Ausgaben 2024'!$AI$7:$AR$7)</f>
        <v>0</v>
      </c>
      <c r="J47" s="6"/>
      <c r="L47" s="5"/>
      <c r="M47" s="13" t="s">
        <v>3</v>
      </c>
      <c r="N47" s="67">
        <f>_xlfn.XLOOKUP(M47,'Ausgaben 2024'!$AI$5:$AR$5,'Ausgaben 2024'!$AI$8:$AR$8)</f>
        <v>0</v>
      </c>
      <c r="O47" s="6"/>
      <c r="Q47" s="5"/>
      <c r="R47" s="13" t="s">
        <v>3</v>
      </c>
      <c r="S47" s="67">
        <f>_xlfn.XLOOKUP(R47,'Ausgaben 2024'!$AI$5:$AR$5,'Ausgaben 2024'!$AI$9:$AR$9)</f>
        <v>0</v>
      </c>
      <c r="T47" s="6"/>
      <c r="V47" s="5"/>
      <c r="W47" s="13" t="s">
        <v>3</v>
      </c>
      <c r="X47" s="67">
        <f>_xlfn.XLOOKUP(W47,'Ausgaben 2024'!$AI$5:$AR$5,'Ausgaben 2024'!$AI$10:$AR$10)</f>
        <v>0</v>
      </c>
      <c r="Y47" s="6"/>
      <c r="AA47" s="5"/>
      <c r="AB47" s="13" t="s">
        <v>3</v>
      </c>
      <c r="AC47" s="67">
        <f>_xlfn.XLOOKUP(AB47,'Ausgaben 2024'!$AI$5:$AR$5,'Ausgaben 2024'!$AI$11:$AR$11)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2024'!$AI$5:$AR$5,'Ausgaben 2024'!$AI$6:$AR$6)</f>
        <v>0</v>
      </c>
      <c r="E48" s="6"/>
      <c r="G48" s="5"/>
      <c r="H48" s="13" t="s">
        <v>2</v>
      </c>
      <c r="I48" s="67">
        <f>_xlfn.XLOOKUP(H48,'Ausgaben 2024'!$AI$5:$AR$5,'Ausgaben 2024'!$AI$7:$AR$7)</f>
        <v>0</v>
      </c>
      <c r="J48" s="6"/>
      <c r="L48" s="5"/>
      <c r="M48" s="13" t="s">
        <v>2</v>
      </c>
      <c r="N48" s="67">
        <f>_xlfn.XLOOKUP(M48,'Ausgaben 2024'!$AI$5:$AR$5,'Ausgaben 2024'!$AI$8:$AR$8)</f>
        <v>0</v>
      </c>
      <c r="O48" s="6"/>
      <c r="Q48" s="5"/>
      <c r="R48" s="13" t="s">
        <v>2</v>
      </c>
      <c r="S48" s="67">
        <f>_xlfn.XLOOKUP(R48,'Ausgaben 2024'!$AI$5:$AR$5,'Ausgaben 2024'!$AI$9:$AR$9)</f>
        <v>0</v>
      </c>
      <c r="T48" s="6"/>
      <c r="V48" s="5"/>
      <c r="W48" s="13" t="s">
        <v>2</v>
      </c>
      <c r="X48" s="67">
        <f>_xlfn.XLOOKUP(W48,'Ausgaben 2024'!$AI$5:$AR$5,'Ausgaben 2024'!$AI$10:$AR$10)</f>
        <v>0</v>
      </c>
      <c r="Y48" s="6"/>
      <c r="AA48" s="5"/>
      <c r="AB48" s="13" t="s">
        <v>2</v>
      </c>
      <c r="AC48" s="67">
        <f>_xlfn.XLOOKUP(AB48,'Ausgaben 2024'!$AI$5:$AR$5,'Ausgaben 2024'!$AI$11:$AR$11)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2024'!$AI$5:$AR$5,'Ausgaben 2024'!$AI$6:$AR$6)</f>
        <v>0</v>
      </c>
      <c r="E49" s="6"/>
      <c r="G49" s="5"/>
      <c r="H49" s="13" t="s">
        <v>42</v>
      </c>
      <c r="I49" s="67">
        <f>_xlfn.XLOOKUP(H49,'Ausgaben 2024'!$AI$5:$AR$5,'Ausgaben 2024'!$AI$7:$AR$7)</f>
        <v>0</v>
      </c>
      <c r="J49" s="6"/>
      <c r="L49" s="5"/>
      <c r="M49" s="13" t="s">
        <v>42</v>
      </c>
      <c r="N49" s="67">
        <f>_xlfn.XLOOKUP(M49,'Ausgaben 2024'!$AI$5:$AR$5,'Ausgaben 2024'!$AI$8:$AR$8)</f>
        <v>0</v>
      </c>
      <c r="O49" s="6"/>
      <c r="Q49" s="5"/>
      <c r="R49" s="13" t="s">
        <v>42</v>
      </c>
      <c r="S49" s="67">
        <f>_xlfn.XLOOKUP(R49,'Ausgaben 2024'!$AI$5:$AR$5,'Ausgaben 2024'!$AI$9:$AR$9)</f>
        <v>0</v>
      </c>
      <c r="T49" s="6"/>
      <c r="V49" s="5"/>
      <c r="W49" s="13" t="s">
        <v>42</v>
      </c>
      <c r="X49" s="67">
        <f>_xlfn.XLOOKUP(W49,'Ausgaben 2024'!$AI$5:$AR$5,'Ausgaben 2024'!$AI$10:$AR$10)</f>
        <v>0</v>
      </c>
      <c r="Y49" s="6"/>
      <c r="AA49" s="5"/>
      <c r="AB49" s="13" t="s">
        <v>42</v>
      </c>
      <c r="AC49" s="67">
        <f>_xlfn.XLOOKUP(AB49,'Ausgaben 2024'!$AI$5:$AR$5,'Ausgaben 2024'!$AI$11:$AR$11)</f>
        <v>0</v>
      </c>
      <c r="AD49" s="6"/>
    </row>
    <row r="50" spans="2:30" x14ac:dyDescent="0.35">
      <c r="B50" s="5"/>
      <c r="C50" s="13" t="s">
        <v>65</v>
      </c>
      <c r="D50" s="67">
        <f>_xlfn.XLOOKUP(C50,'Ausgaben 2024'!$AI$5:$AR$5,'Ausgaben 2024'!$AI$6:$AR$6)</f>
        <v>0</v>
      </c>
      <c r="E50" s="6"/>
      <c r="G50" s="5"/>
      <c r="H50" s="13" t="s">
        <v>65</v>
      </c>
      <c r="I50" s="67">
        <f>_xlfn.XLOOKUP(H50,'Ausgaben 2024'!$AI$5:$AR$5,'Ausgaben 2024'!$AI$7:$AR$7)</f>
        <v>0</v>
      </c>
      <c r="J50" s="6"/>
      <c r="L50" s="5"/>
      <c r="M50" s="13" t="s">
        <v>65</v>
      </c>
      <c r="N50" s="67">
        <f>_xlfn.XLOOKUP(M50,'Ausgaben 2024'!$AI$5:$AR$5,'Ausgaben 2024'!$AI$8:$AR$8)</f>
        <v>0</v>
      </c>
      <c r="O50" s="6"/>
      <c r="Q50" s="5"/>
      <c r="R50" s="13" t="s">
        <v>65</v>
      </c>
      <c r="S50" s="67">
        <f>_xlfn.XLOOKUP(R50,'Ausgaben 2024'!$AI$5:$AR$5,'Ausgaben 2024'!$AI$9:$AR$9)</f>
        <v>0</v>
      </c>
      <c r="T50" s="6"/>
      <c r="V50" s="5"/>
      <c r="W50" s="13" t="s">
        <v>65</v>
      </c>
      <c r="X50" s="67">
        <f>_xlfn.XLOOKUP(W50,'Ausgaben 2024'!$AI$5:$AR$5,'Ausgaben 2024'!$AI$10:$AR$10)</f>
        <v>0</v>
      </c>
      <c r="Y50" s="6"/>
      <c r="AA50" s="5"/>
      <c r="AB50" s="13" t="s">
        <v>65</v>
      </c>
      <c r="AC50" s="67">
        <f>_xlfn.XLOOKUP(AB50,'Ausgaben 2024'!$AI$5:$AR$5,'Ausgaben 2024'!$AI$11:$AR$11)</f>
        <v>0</v>
      </c>
      <c r="AD50" s="6"/>
    </row>
    <row r="51" spans="2:30" x14ac:dyDescent="0.35">
      <c r="B51" s="5"/>
      <c r="C51" s="13" t="s">
        <v>64</v>
      </c>
      <c r="D51" s="67">
        <f>_xlfn.XLOOKUP(C51,'Ausgaben 2024'!$AI$5:$AR$5,'Ausgaben 2024'!$AI$6:$AR$6)</f>
        <v>0</v>
      </c>
      <c r="E51" s="6"/>
      <c r="G51" s="5"/>
      <c r="H51" s="13" t="s">
        <v>64</v>
      </c>
      <c r="I51" s="67">
        <f>_xlfn.XLOOKUP(H51,'Ausgaben 2024'!$AI$5:$AR$5,'Ausgaben 2024'!$AI$7:$AR$7)</f>
        <v>0</v>
      </c>
      <c r="J51" s="6"/>
      <c r="L51" s="5"/>
      <c r="M51" s="13" t="s">
        <v>64</v>
      </c>
      <c r="N51" s="67">
        <f>_xlfn.XLOOKUP(M51,'Ausgaben 2024'!$AI$5:$AR$5,'Ausgaben 2024'!$AI$8:$AR$8)</f>
        <v>0</v>
      </c>
      <c r="O51" s="6"/>
      <c r="Q51" s="5"/>
      <c r="R51" s="13" t="s">
        <v>64</v>
      </c>
      <c r="S51" s="67">
        <f>_xlfn.XLOOKUP(R51,'Ausgaben 2024'!$AI$5:$AR$5,'Ausgaben 2024'!$AI$9:$AR$9)</f>
        <v>0</v>
      </c>
      <c r="T51" s="6"/>
      <c r="V51" s="5"/>
      <c r="W51" s="13" t="s">
        <v>64</v>
      </c>
      <c r="X51" s="67">
        <f>_xlfn.XLOOKUP(W51,'Ausgaben 2024'!$AI$5:$AR$5,'Ausgaben 2024'!$AI$10:$AR$10)</f>
        <v>0</v>
      </c>
      <c r="Y51" s="6"/>
      <c r="AA51" s="5"/>
      <c r="AB51" s="13" t="s">
        <v>64</v>
      </c>
      <c r="AC51" s="67">
        <f>_xlfn.XLOOKUP(AB51,'Ausgaben 2024'!$AI$5:$AR$5,'Ausgaben 2024'!$AI$11:$AR$11)</f>
        <v>0</v>
      </c>
      <c r="AD51" s="6"/>
    </row>
    <row r="52" spans="2:30" x14ac:dyDescent="0.35">
      <c r="B52" s="5"/>
      <c r="C52" s="13" t="s">
        <v>63</v>
      </c>
      <c r="D52" s="67">
        <f>_xlfn.XLOOKUP(C52,'Ausgaben 2024'!$AI$5:$AR$5,'Ausgaben 2024'!$AI$6:$AR$6)</f>
        <v>0</v>
      </c>
      <c r="E52" s="6"/>
      <c r="G52" s="5"/>
      <c r="H52" s="13" t="s">
        <v>63</v>
      </c>
      <c r="I52" s="67">
        <f>_xlfn.XLOOKUP(H52,'Ausgaben 2024'!$AI$5:$AR$5,'Ausgaben 2024'!$AI$7:$AR$7)</f>
        <v>0</v>
      </c>
      <c r="J52" s="6"/>
      <c r="L52" s="5"/>
      <c r="M52" s="13" t="s">
        <v>63</v>
      </c>
      <c r="N52" s="67">
        <f>_xlfn.XLOOKUP(M52,'Ausgaben 2024'!$AI$5:$AR$5,'Ausgaben 2024'!$AI$8:$AR$8)</f>
        <v>0</v>
      </c>
      <c r="O52" s="6"/>
      <c r="Q52" s="5"/>
      <c r="R52" s="13" t="s">
        <v>63</v>
      </c>
      <c r="S52" s="67">
        <f>_xlfn.XLOOKUP(R52,'Ausgaben 2024'!$AI$5:$AR$5,'Ausgaben 2024'!$AI$9:$AR$9)</f>
        <v>0</v>
      </c>
      <c r="T52" s="6"/>
      <c r="V52" s="5"/>
      <c r="W52" s="13" t="s">
        <v>63</v>
      </c>
      <c r="X52" s="67">
        <f>_xlfn.XLOOKUP(W52,'Ausgaben 2024'!$AI$5:$AR$5,'Ausgaben 2024'!$AI$10:$AR$10)</f>
        <v>0</v>
      </c>
      <c r="Y52" s="6"/>
      <c r="AA52" s="5"/>
      <c r="AB52" s="13" t="s">
        <v>63</v>
      </c>
      <c r="AC52" s="67">
        <f>_xlfn.XLOOKUP(AB52,'Ausgaben 2024'!$AI$5:$AR$5,'Ausgaben 2024'!$AI$11:$AR$11)</f>
        <v>0</v>
      </c>
      <c r="AD52" s="6"/>
    </row>
    <row r="53" spans="2:30" x14ac:dyDescent="0.35">
      <c r="B53" s="5"/>
      <c r="C53" s="13" t="s">
        <v>62</v>
      </c>
      <c r="D53" s="67">
        <f>_xlfn.XLOOKUP(C53,'Ausgaben 2024'!$AI$5:$AR$5,'Ausgaben 2024'!$AI$6:$AR$6)</f>
        <v>0</v>
      </c>
      <c r="E53" s="6"/>
      <c r="G53" s="5"/>
      <c r="H53" s="13" t="s">
        <v>62</v>
      </c>
      <c r="I53" s="67">
        <f>_xlfn.XLOOKUP(H53,'Ausgaben 2024'!$AI$5:$AR$5,'Ausgaben 2024'!$AI$7:$AR$7)</f>
        <v>0</v>
      </c>
      <c r="J53" s="6"/>
      <c r="L53" s="5"/>
      <c r="M53" s="13" t="s">
        <v>62</v>
      </c>
      <c r="N53" s="67">
        <f>_xlfn.XLOOKUP(M53,'Ausgaben 2024'!$AI$5:$AR$5,'Ausgaben 2024'!$AI$8:$AR$8)</f>
        <v>0</v>
      </c>
      <c r="O53" s="6"/>
      <c r="Q53" s="5"/>
      <c r="R53" s="13" t="s">
        <v>62</v>
      </c>
      <c r="S53" s="67">
        <f>_xlfn.XLOOKUP(R53,'Ausgaben 2024'!$AI$5:$AR$5,'Ausgaben 2024'!$AI$9:$AR$9)</f>
        <v>0</v>
      </c>
      <c r="T53" s="6"/>
      <c r="V53" s="5"/>
      <c r="W53" s="13" t="s">
        <v>62</v>
      </c>
      <c r="X53" s="67">
        <f>_xlfn.XLOOKUP(W53,'Ausgaben 2024'!$AI$5:$AR$5,'Ausgaben 2024'!$AI$10:$AR$10)</f>
        <v>0</v>
      </c>
      <c r="Y53" s="6"/>
      <c r="AA53" s="5"/>
      <c r="AB53" s="13" t="s">
        <v>62</v>
      </c>
      <c r="AC53" s="67">
        <f>_xlfn.XLOOKUP(AB53,'Ausgaben 2024'!$AI$5:$AR$5,'Ausgaben 2024'!$AI$11:$AR$11)</f>
        <v>0</v>
      </c>
      <c r="AD53" s="6"/>
    </row>
    <row r="54" spans="2:30" x14ac:dyDescent="0.35">
      <c r="B54" s="5"/>
      <c r="C54" s="13" t="s">
        <v>61</v>
      </c>
      <c r="D54" s="67">
        <f>_xlfn.XLOOKUP(C54,'Ausgaben 2024'!$AI$5:$AR$5,'Ausgaben 2024'!$AI$6:$AR$6)</f>
        <v>0</v>
      </c>
      <c r="E54" s="6"/>
      <c r="G54" s="5"/>
      <c r="H54" s="13" t="s">
        <v>61</v>
      </c>
      <c r="I54" s="67">
        <f>_xlfn.XLOOKUP(H54,'Ausgaben 2024'!$AI$5:$AR$5,'Ausgaben 2024'!$AI$7:$AR$7)</f>
        <v>0</v>
      </c>
      <c r="J54" s="6"/>
      <c r="L54" s="5"/>
      <c r="M54" s="13" t="s">
        <v>61</v>
      </c>
      <c r="N54" s="67">
        <f>_xlfn.XLOOKUP(M54,'Ausgaben 2024'!$AI$5:$AR$5,'Ausgaben 2024'!$AI$8:$AR$8)</f>
        <v>0</v>
      </c>
      <c r="O54" s="6"/>
      <c r="Q54" s="5"/>
      <c r="R54" s="13" t="s">
        <v>61</v>
      </c>
      <c r="S54" s="67">
        <f>_xlfn.XLOOKUP(R54,'Ausgaben 2024'!$AI$5:$AR$5,'Ausgaben 2024'!$AI$9:$AR$9)</f>
        <v>0</v>
      </c>
      <c r="T54" s="6"/>
      <c r="V54" s="5"/>
      <c r="W54" s="13" t="s">
        <v>61</v>
      </c>
      <c r="X54" s="67">
        <f>_xlfn.XLOOKUP(W54,'Ausgaben 2024'!$AI$5:$AR$5,'Ausgaben 2024'!$AI$10:$AR$10)</f>
        <v>0</v>
      </c>
      <c r="Y54" s="6"/>
      <c r="AA54" s="5"/>
      <c r="AB54" s="13" t="s">
        <v>61</v>
      </c>
      <c r="AC54" s="67">
        <f>_xlfn.XLOOKUP(AB54,'Ausgaben 2024'!$AI$5:$AR$5,'Ausgaben 2024'!$AI$11:$AR$11)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2024'!$AI$5:$AR$5,'Ausgaben 2024'!$AI$12:$AR$12)</f>
        <v>0</v>
      </c>
      <c r="E74" s="6"/>
      <c r="G74" s="5"/>
      <c r="H74" s="13" t="s">
        <v>0</v>
      </c>
      <c r="I74" s="67">
        <f>_xlfn.XLOOKUP(H74,'Ausgaben 2024'!$AI$5:$AR$5,'Ausgaben 2024'!$AI$13:$AR$13)</f>
        <v>0</v>
      </c>
      <c r="J74" s="6"/>
      <c r="L74" s="5"/>
      <c r="M74" s="13" t="s">
        <v>0</v>
      </c>
      <c r="N74" s="67">
        <f>_xlfn.XLOOKUP(M74,'Ausgaben 2024'!$AI$5:$AR$5,'Ausgaben 2024'!$AI$14:$AR$14)</f>
        <v>0</v>
      </c>
      <c r="O74" s="6"/>
      <c r="Q74" s="5"/>
      <c r="R74" s="13" t="s">
        <v>0</v>
      </c>
      <c r="S74" s="67">
        <f>_xlfn.XLOOKUP(R74,'Ausgaben 2024'!$AI$5:$AR$5,'Ausgaben 2024'!$AI$15:$AR$15)</f>
        <v>0</v>
      </c>
      <c r="T74" s="6"/>
      <c r="V74" s="5"/>
      <c r="W74" s="13" t="s">
        <v>0</v>
      </c>
      <c r="X74" s="67">
        <f>_xlfn.XLOOKUP(W74,'Ausgaben 2024'!$AI$5:$AR$5,'Ausgaben 2024'!$AI$16:$AR$16)</f>
        <v>0</v>
      </c>
      <c r="Y74" s="6"/>
      <c r="AA74" s="5"/>
      <c r="AB74" s="13" t="s">
        <v>0</v>
      </c>
      <c r="AC74" s="67">
        <f>_xlfn.XLOOKUP(AB74,'Ausgaben 2024'!$AI$5:$AR$5,'Ausgaben 2024'!$AI$17:$AR$17)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2024'!$AI$5:$AR$5,'Ausgaben 2024'!$AI$12:$AR$12)</f>
        <v>0</v>
      </c>
      <c r="E75" s="6"/>
      <c r="G75" s="5"/>
      <c r="H75" s="13" t="s">
        <v>1</v>
      </c>
      <c r="I75" s="67">
        <f>_xlfn.XLOOKUP(H75,'Ausgaben 2024'!$AI$5:$AR$5,'Ausgaben 2024'!$AI$13:$AR$13)</f>
        <v>0</v>
      </c>
      <c r="J75" s="6"/>
      <c r="L75" s="5"/>
      <c r="M75" s="13" t="s">
        <v>1</v>
      </c>
      <c r="N75" s="67">
        <f>_xlfn.XLOOKUP(M75,'Ausgaben 2024'!$AI$5:$AR$5,'Ausgaben 2024'!$AI$14:$AR$14)</f>
        <v>0</v>
      </c>
      <c r="O75" s="6"/>
      <c r="Q75" s="5"/>
      <c r="R75" s="13" t="s">
        <v>1</v>
      </c>
      <c r="S75" s="67">
        <f>_xlfn.XLOOKUP(R75,'Ausgaben 2024'!$AI$5:$AR$5,'Ausgaben 2024'!$AI$15:$AR$15)</f>
        <v>0</v>
      </c>
      <c r="T75" s="6"/>
      <c r="V75" s="5"/>
      <c r="W75" s="13" t="s">
        <v>1</v>
      </c>
      <c r="X75" s="67">
        <f>_xlfn.XLOOKUP(W75,'Ausgaben 2024'!$AI$5:$AR$5,'Ausgaben 2024'!$AI$16:$AR$16)</f>
        <v>0</v>
      </c>
      <c r="Y75" s="6"/>
      <c r="AA75" s="5"/>
      <c r="AB75" s="13" t="s">
        <v>1</v>
      </c>
      <c r="AC75" s="67">
        <f>_xlfn.XLOOKUP(AB75,'Ausgaben 2024'!$AI$5:$AR$5,'Ausgaben 2024'!$AI$17:$AR$17)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2024'!$AI$5:$AR$5,'Ausgaben 2024'!$AI$12:$AR$12)</f>
        <v>0</v>
      </c>
      <c r="E76" s="6"/>
      <c r="G76" s="5"/>
      <c r="H76" s="13" t="s">
        <v>3</v>
      </c>
      <c r="I76" s="67">
        <f>_xlfn.XLOOKUP(H76,'Ausgaben 2024'!$AI$5:$AR$5,'Ausgaben 2024'!$AI$13:$AR$13)</f>
        <v>0</v>
      </c>
      <c r="J76" s="6"/>
      <c r="L76" s="5"/>
      <c r="M76" s="13" t="s">
        <v>3</v>
      </c>
      <c r="N76" s="67">
        <f>_xlfn.XLOOKUP(M76,'Ausgaben 2024'!$AI$5:$AR$5,'Ausgaben 2024'!$AI$14:$AR$14)</f>
        <v>0</v>
      </c>
      <c r="O76" s="6"/>
      <c r="Q76" s="5"/>
      <c r="R76" s="13" t="s">
        <v>3</v>
      </c>
      <c r="S76" s="67">
        <f>_xlfn.XLOOKUP(R76,'Ausgaben 2024'!$AI$5:$AR$5,'Ausgaben 2024'!$AI$15:$AR$15)</f>
        <v>0</v>
      </c>
      <c r="T76" s="6"/>
      <c r="V76" s="5"/>
      <c r="W76" s="13" t="s">
        <v>3</v>
      </c>
      <c r="X76" s="67">
        <f>_xlfn.XLOOKUP(W76,'Ausgaben 2024'!$AI$5:$AR$5,'Ausgaben 2024'!$AI$16:$AR$16)</f>
        <v>0</v>
      </c>
      <c r="Y76" s="6"/>
      <c r="AA76" s="5"/>
      <c r="AB76" s="13" t="s">
        <v>3</v>
      </c>
      <c r="AC76" s="67">
        <f>_xlfn.XLOOKUP(AB76,'Ausgaben 2024'!$AI$5:$AR$5,'Ausgaben 2024'!$AI$17:$AR$17)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2024'!$AI$5:$AR$5,'Ausgaben 2024'!$AI$12:$AR$12)</f>
        <v>0</v>
      </c>
      <c r="E77" s="6"/>
      <c r="G77" s="5"/>
      <c r="H77" s="13" t="s">
        <v>2</v>
      </c>
      <c r="I77" s="67">
        <f>_xlfn.XLOOKUP(H77,'Ausgaben 2024'!$AI$5:$AR$5,'Ausgaben 2024'!$AI$13:$AR$13)</f>
        <v>0</v>
      </c>
      <c r="J77" s="6"/>
      <c r="L77" s="5"/>
      <c r="M77" s="13" t="s">
        <v>2</v>
      </c>
      <c r="N77" s="67">
        <f>_xlfn.XLOOKUP(M77,'Ausgaben 2024'!$AI$5:$AR$5,'Ausgaben 2024'!$AI$14:$AR$14)</f>
        <v>0</v>
      </c>
      <c r="O77" s="6"/>
      <c r="Q77" s="5"/>
      <c r="R77" s="13" t="s">
        <v>2</v>
      </c>
      <c r="S77" s="67">
        <f>_xlfn.XLOOKUP(R77,'Ausgaben 2024'!$AI$5:$AR$5,'Ausgaben 2024'!$AI$15:$AR$15)</f>
        <v>0</v>
      </c>
      <c r="T77" s="6"/>
      <c r="V77" s="5"/>
      <c r="W77" s="13" t="s">
        <v>2</v>
      </c>
      <c r="X77" s="67">
        <f>_xlfn.XLOOKUP(W77,'Ausgaben 2024'!$AI$5:$AR$5,'Ausgaben 2024'!$AI$16:$AR$16)</f>
        <v>0</v>
      </c>
      <c r="Y77" s="6"/>
      <c r="AA77" s="5"/>
      <c r="AB77" s="13" t="s">
        <v>2</v>
      </c>
      <c r="AC77" s="67">
        <f>_xlfn.XLOOKUP(AB77,'Ausgaben 2024'!$AI$5:$AR$5,'Ausgaben 2024'!$AI$17:$AR$17)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2024'!$AI$5:$AR$5,'Ausgaben 2024'!$AI$12:$AR$12)</f>
        <v>0</v>
      </c>
      <c r="E78" s="6"/>
      <c r="G78" s="5"/>
      <c r="H78" s="13" t="s">
        <v>42</v>
      </c>
      <c r="I78" s="67">
        <f>_xlfn.XLOOKUP(H78,'Ausgaben 2024'!$AI$5:$AR$5,'Ausgaben 2024'!$AI$13:$AR$13)</f>
        <v>0</v>
      </c>
      <c r="J78" s="6"/>
      <c r="L78" s="5"/>
      <c r="M78" s="13" t="s">
        <v>42</v>
      </c>
      <c r="N78" s="67">
        <f>_xlfn.XLOOKUP(M78,'Ausgaben 2024'!$AI$5:$AR$5,'Ausgaben 2024'!$AI$14:$AR$14)</f>
        <v>0</v>
      </c>
      <c r="O78" s="6"/>
      <c r="Q78" s="5"/>
      <c r="R78" s="13" t="s">
        <v>42</v>
      </c>
      <c r="S78" s="67">
        <f>_xlfn.XLOOKUP(R78,'Ausgaben 2024'!$AI$5:$AR$5,'Ausgaben 2024'!$AI$15:$AR$15)</f>
        <v>0</v>
      </c>
      <c r="T78" s="6"/>
      <c r="V78" s="5"/>
      <c r="W78" s="13" t="s">
        <v>42</v>
      </c>
      <c r="X78" s="67">
        <f>_xlfn.XLOOKUP(W78,'Ausgaben 2024'!$AI$5:$AR$5,'Ausgaben 2024'!$AI$16:$AR$16)</f>
        <v>0</v>
      </c>
      <c r="Y78" s="6"/>
      <c r="AA78" s="5"/>
      <c r="AB78" s="13" t="s">
        <v>42</v>
      </c>
      <c r="AC78" s="67">
        <f>_xlfn.XLOOKUP(AB78,'Ausgaben 2024'!$AI$5:$AR$5,'Ausgaben 2024'!$AI$17:$AR$17)</f>
        <v>0</v>
      </c>
      <c r="AD78" s="6"/>
    </row>
    <row r="79" spans="2:30" x14ac:dyDescent="0.35">
      <c r="B79" s="5"/>
      <c r="C79" s="13" t="s">
        <v>65</v>
      </c>
      <c r="D79" s="67">
        <f>_xlfn.XLOOKUP(C79,'Ausgaben 2024'!$AI$5:$AR$5,'Ausgaben 2024'!$AI$12:$AR$12)</f>
        <v>0</v>
      </c>
      <c r="E79" s="6"/>
      <c r="G79" s="5"/>
      <c r="H79" s="13" t="s">
        <v>65</v>
      </c>
      <c r="I79" s="67">
        <f>_xlfn.XLOOKUP(H79,'Ausgaben 2024'!$AI$5:$AR$5,'Ausgaben 2024'!$AI$13:$AR$13)</f>
        <v>0</v>
      </c>
      <c r="J79" s="6"/>
      <c r="L79" s="5"/>
      <c r="M79" s="13" t="s">
        <v>65</v>
      </c>
      <c r="N79" s="67">
        <f>_xlfn.XLOOKUP(M79,'Ausgaben 2024'!$AI$5:$AR$5,'Ausgaben 2024'!$AI$14:$AR$14)</f>
        <v>0</v>
      </c>
      <c r="O79" s="6"/>
      <c r="Q79" s="5"/>
      <c r="R79" s="13" t="s">
        <v>65</v>
      </c>
      <c r="S79" s="67">
        <f>_xlfn.XLOOKUP(R79,'Ausgaben 2024'!$AI$5:$AR$5,'Ausgaben 2024'!$AI$15:$AR$15)</f>
        <v>0</v>
      </c>
      <c r="T79" s="6"/>
      <c r="V79" s="5"/>
      <c r="W79" s="13" t="s">
        <v>65</v>
      </c>
      <c r="X79" s="67">
        <f>_xlfn.XLOOKUP(W79,'Ausgaben 2024'!$AI$5:$AR$5,'Ausgaben 2024'!$AI$16:$AR$16)</f>
        <v>0</v>
      </c>
      <c r="Y79" s="6"/>
      <c r="AA79" s="5"/>
      <c r="AB79" s="13" t="s">
        <v>65</v>
      </c>
      <c r="AC79" s="67">
        <f>_xlfn.XLOOKUP(AB79,'Ausgaben 2024'!$AI$5:$AR$5,'Ausgaben 2024'!$AI$17:$AR$17)</f>
        <v>0</v>
      </c>
      <c r="AD79" s="6"/>
    </row>
    <row r="80" spans="2:30" x14ac:dyDescent="0.35">
      <c r="B80" s="5"/>
      <c r="C80" s="13" t="s">
        <v>64</v>
      </c>
      <c r="D80" s="67">
        <f>_xlfn.XLOOKUP(C80,'Ausgaben 2024'!$AI$5:$AR$5,'Ausgaben 2024'!$AI$12:$AR$12)</f>
        <v>0</v>
      </c>
      <c r="E80" s="6"/>
      <c r="G80" s="5"/>
      <c r="H80" s="13" t="s">
        <v>64</v>
      </c>
      <c r="I80" s="67">
        <f>_xlfn.XLOOKUP(H80,'Ausgaben 2024'!$AI$5:$AR$5,'Ausgaben 2024'!$AI$13:$AR$13)</f>
        <v>0</v>
      </c>
      <c r="J80" s="6"/>
      <c r="L80" s="5"/>
      <c r="M80" s="13" t="s">
        <v>64</v>
      </c>
      <c r="N80" s="67">
        <f>_xlfn.XLOOKUP(M80,'Ausgaben 2024'!$AI$5:$AR$5,'Ausgaben 2024'!$AI$14:$AR$14)</f>
        <v>0</v>
      </c>
      <c r="O80" s="6"/>
      <c r="Q80" s="5"/>
      <c r="R80" s="13" t="s">
        <v>64</v>
      </c>
      <c r="S80" s="67">
        <f>_xlfn.XLOOKUP(R80,'Ausgaben 2024'!$AI$5:$AR$5,'Ausgaben 2024'!$AI$15:$AR$15)</f>
        <v>0</v>
      </c>
      <c r="T80" s="6"/>
      <c r="V80" s="5"/>
      <c r="W80" s="13" t="s">
        <v>64</v>
      </c>
      <c r="X80" s="67">
        <f>_xlfn.XLOOKUP(W80,'Ausgaben 2024'!$AI$5:$AR$5,'Ausgaben 2024'!$AI$16:$AR$16)</f>
        <v>0</v>
      </c>
      <c r="Y80" s="6"/>
      <c r="AA80" s="5"/>
      <c r="AB80" s="13" t="s">
        <v>64</v>
      </c>
      <c r="AC80" s="67">
        <f>_xlfn.XLOOKUP(AB80,'Ausgaben 2024'!$AI$5:$AR$5,'Ausgaben 2024'!$AI$17:$AR$17)</f>
        <v>0</v>
      </c>
      <c r="AD80" s="6"/>
    </row>
    <row r="81" spans="2:30" x14ac:dyDescent="0.35">
      <c r="B81" s="5"/>
      <c r="C81" s="13" t="s">
        <v>63</v>
      </c>
      <c r="D81" s="67">
        <f>_xlfn.XLOOKUP(C81,'Ausgaben 2024'!$AI$5:$AR$5,'Ausgaben 2024'!$AI$12:$AR$12)</f>
        <v>0</v>
      </c>
      <c r="E81" s="6"/>
      <c r="G81" s="5"/>
      <c r="H81" s="13" t="s">
        <v>63</v>
      </c>
      <c r="I81" s="67">
        <f>_xlfn.XLOOKUP(H81,'Ausgaben 2024'!$AI$5:$AR$5,'Ausgaben 2024'!$AI$13:$AR$13)</f>
        <v>0</v>
      </c>
      <c r="J81" s="6"/>
      <c r="L81" s="5"/>
      <c r="M81" s="13" t="s">
        <v>63</v>
      </c>
      <c r="N81" s="67">
        <f>_xlfn.XLOOKUP(M81,'Ausgaben 2024'!$AI$5:$AR$5,'Ausgaben 2024'!$AI$14:$AR$14)</f>
        <v>0</v>
      </c>
      <c r="O81" s="6"/>
      <c r="Q81" s="5"/>
      <c r="R81" s="13" t="s">
        <v>63</v>
      </c>
      <c r="S81" s="67">
        <f>_xlfn.XLOOKUP(R81,'Ausgaben 2024'!$AI$5:$AR$5,'Ausgaben 2024'!$AI$15:$AR$15)</f>
        <v>0</v>
      </c>
      <c r="T81" s="6"/>
      <c r="V81" s="5"/>
      <c r="W81" s="13" t="s">
        <v>63</v>
      </c>
      <c r="X81" s="67">
        <f>_xlfn.XLOOKUP(W81,'Ausgaben 2024'!$AI$5:$AR$5,'Ausgaben 2024'!$AI$16:$AR$16)</f>
        <v>0</v>
      </c>
      <c r="Y81" s="6"/>
      <c r="AA81" s="5"/>
      <c r="AB81" s="13" t="s">
        <v>63</v>
      </c>
      <c r="AC81" s="67">
        <f>_xlfn.XLOOKUP(AB81,'Ausgaben 2024'!$AI$5:$AR$5,'Ausgaben 2024'!$AI$17:$AR$17)</f>
        <v>0</v>
      </c>
      <c r="AD81" s="6"/>
    </row>
    <row r="82" spans="2:30" x14ac:dyDescent="0.35">
      <c r="B82" s="5"/>
      <c r="C82" s="13" t="s">
        <v>62</v>
      </c>
      <c r="D82" s="67">
        <f>_xlfn.XLOOKUP(C82,'Ausgaben 2024'!$AI$5:$AR$5,'Ausgaben 2024'!$AI$12:$AR$12)</f>
        <v>0</v>
      </c>
      <c r="E82" s="6"/>
      <c r="G82" s="5"/>
      <c r="H82" s="13" t="s">
        <v>62</v>
      </c>
      <c r="I82" s="67">
        <f>_xlfn.XLOOKUP(H82,'Ausgaben 2024'!$AI$5:$AR$5,'Ausgaben 2024'!$AI$13:$AR$13)</f>
        <v>0</v>
      </c>
      <c r="J82" s="6"/>
      <c r="L82" s="5"/>
      <c r="M82" s="13" t="s">
        <v>62</v>
      </c>
      <c r="N82" s="67">
        <f>_xlfn.XLOOKUP(M82,'Ausgaben 2024'!$AI$5:$AR$5,'Ausgaben 2024'!$AI$14:$AR$14)</f>
        <v>0</v>
      </c>
      <c r="O82" s="6"/>
      <c r="Q82" s="5"/>
      <c r="R82" s="13" t="s">
        <v>62</v>
      </c>
      <c r="S82" s="67">
        <f>_xlfn.XLOOKUP(R82,'Ausgaben 2024'!$AI$5:$AR$5,'Ausgaben 2024'!$AI$15:$AR$15)</f>
        <v>0</v>
      </c>
      <c r="T82" s="6"/>
      <c r="V82" s="5"/>
      <c r="W82" s="13" t="s">
        <v>62</v>
      </c>
      <c r="X82" s="67">
        <f>_xlfn.XLOOKUP(W82,'Ausgaben 2024'!$AI$5:$AR$5,'Ausgaben 2024'!$AI$16:$AR$16)</f>
        <v>0</v>
      </c>
      <c r="Y82" s="6"/>
      <c r="AA82" s="5"/>
      <c r="AB82" s="13" t="s">
        <v>62</v>
      </c>
      <c r="AC82" s="67">
        <f>_xlfn.XLOOKUP(AB82,'Ausgaben 2024'!$AI$5:$AR$5,'Ausgaben 2024'!$AI$17:$AR$17)</f>
        <v>0</v>
      </c>
      <c r="AD82" s="6"/>
    </row>
    <row r="83" spans="2:30" x14ac:dyDescent="0.35">
      <c r="B83" s="5"/>
      <c r="C83" s="13" t="s">
        <v>61</v>
      </c>
      <c r="D83" s="67">
        <f>_xlfn.XLOOKUP(C83,'Ausgaben 2024'!$AI$5:$AR$5,'Ausgaben 2024'!$AI$12:$AR$12)</f>
        <v>0</v>
      </c>
      <c r="E83" s="6"/>
      <c r="G83" s="5"/>
      <c r="H83" s="13" t="s">
        <v>61</v>
      </c>
      <c r="I83" s="67">
        <f>_xlfn.XLOOKUP(H83,'Ausgaben 2024'!$AI$5:$AR$5,'Ausgaben 2024'!$AI$13:$AR$13)</f>
        <v>0</v>
      </c>
      <c r="J83" s="6"/>
      <c r="L83" s="5"/>
      <c r="M83" s="13" t="s">
        <v>61</v>
      </c>
      <c r="N83" s="67">
        <f>_xlfn.XLOOKUP(M83,'Ausgaben 2024'!$AI$5:$AR$5,'Ausgaben 2024'!$AI$14:$AR$14)</f>
        <v>0</v>
      </c>
      <c r="O83" s="6"/>
      <c r="Q83" s="5"/>
      <c r="R83" s="13" t="s">
        <v>61</v>
      </c>
      <c r="S83" s="67">
        <f>_xlfn.XLOOKUP(R83,'Ausgaben 2024'!$AI$5:$AR$5,'Ausgaben 2024'!$AI$15:$AR$15)</f>
        <v>0</v>
      </c>
      <c r="T83" s="6"/>
      <c r="V83" s="5"/>
      <c r="W83" s="13" t="s">
        <v>61</v>
      </c>
      <c r="X83" s="67">
        <f>_xlfn.XLOOKUP(W83,'Ausgaben 2024'!$AI$5:$AR$5,'Ausgaben 2024'!$AI$16:$AR$16)</f>
        <v>0</v>
      </c>
      <c r="Y83" s="6"/>
      <c r="AA83" s="5"/>
      <c r="AB83" s="13" t="s">
        <v>61</v>
      </c>
      <c r="AC83" s="67">
        <f>_xlfn.XLOOKUP(AB83,'Ausgaben 2024'!$AI$5:$AR$5,'Ausgaben 2024'!$AI$17:$AR$17)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2C19-A062-4CD3-ABCC-7B3EFD8D9A2A}">
  <sheetPr codeName="Sheet5"/>
  <dimension ref="B1:AS406"/>
  <sheetViews>
    <sheetView zoomScale="39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3.90625" bestFit="1" customWidth="1"/>
    <col min="4" max="4" width="11.08984375" bestFit="1" customWidth="1"/>
    <col min="5" max="5" width="17.36328125" bestFit="1" customWidth="1"/>
    <col min="6" max="6" width="12.453125" bestFit="1" customWidth="1"/>
    <col min="7" max="7" width="13.6328125" bestFit="1" customWidth="1"/>
    <col min="8" max="8" width="8.453125" bestFit="1" customWidth="1"/>
    <col min="9" max="9" width="10.81640625" bestFit="1" customWidth="1"/>
    <col min="10" max="10" width="14.54296875" bestFit="1" customWidth="1"/>
    <col min="11" max="14" width="15" bestFit="1" customWidth="1"/>
    <col min="15" max="17" width="2.81640625" customWidth="1"/>
    <col min="18" max="18" width="22.1796875" bestFit="1" customWidth="1"/>
    <col min="19" max="19" width="11.08984375" bestFit="1" customWidth="1"/>
    <col min="20" max="20" width="17.36328125" bestFit="1" customWidth="1"/>
    <col min="21" max="21" width="12.453125" bestFit="1" customWidth="1"/>
    <col min="22" max="22" width="13.6328125" bestFit="1" customWidth="1"/>
    <col min="23" max="23" width="8.453125" bestFit="1" customWidth="1"/>
    <col min="24" max="24" width="10.81640625" bestFit="1" customWidth="1"/>
    <col min="25" max="25" width="14.54296875" bestFit="1" customWidth="1"/>
    <col min="26" max="29" width="15" bestFit="1" customWidth="1"/>
    <col min="30" max="32" width="2.81640625" customWidth="1"/>
    <col min="33" max="33" width="15.6328125" bestFit="1" customWidth="1"/>
    <col min="34" max="34" width="11.08984375" bestFit="1" customWidth="1"/>
    <col min="35" max="35" width="17.36328125" bestFit="1" customWidth="1"/>
    <col min="36" max="36" width="12.453125" bestFit="1" customWidth="1"/>
    <col min="37" max="37" width="13.6328125" bestFit="1" customWidth="1"/>
    <col min="38" max="38" width="8.453125" bestFit="1" customWidth="1"/>
    <col min="39" max="39" width="10.81640625" bestFit="1" customWidth="1"/>
    <col min="40" max="40" width="14.54296875" bestFit="1" customWidth="1"/>
    <col min="41" max="44" width="1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01.01.2024 - 07.01.2024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45292</v>
      </c>
      <c r="D7" s="45">
        <f>SUMIFS(Einzelbeträge!$D:$D,Einzelbeträge!$C:$C,'Ausgaben 2024'!$C7)</f>
        <v>0</v>
      </c>
      <c r="E7" s="32">
        <f>SUMIFS(Einzelbeträge!$D:$D,Einzelbeträge!$C:$C,'Ausgaben 2024'!$C7,Einzelbeträge!$E:$E,'Ausgaben 2024'!E$6)</f>
        <v>0</v>
      </c>
      <c r="F7" s="32">
        <f>SUMIFS(Einzelbeträge!$D:$D,Einzelbeträge!$C:$C,'Ausgaben 2024'!$C7,Einzelbeträge!$E:$E,'Ausgaben 2024'!F$6)</f>
        <v>0</v>
      </c>
      <c r="G7" s="32">
        <f>SUMIFS(Einzelbeträge!$D:$D,Einzelbeträge!$C:$C,'Ausgaben 2024'!$C7,Einzelbeträge!$E:$E,'Ausgaben 2024'!G$6)</f>
        <v>0</v>
      </c>
      <c r="H7" s="32">
        <f>SUMIFS(Einzelbeträge!$D:$D,Einzelbeträge!$C:$C,'Ausgaben 2024'!$C7,Einzelbeträge!$E:$E,'Ausgaben 2024'!H$6)</f>
        <v>0</v>
      </c>
      <c r="I7" s="32">
        <f>SUMIFS(Einzelbeträge!$D:$D,Einzelbeträge!$C:$C,'Ausgaben 2024'!$C7,Einzelbeträge!$E:$E,'Ausgaben 2024'!I$6)</f>
        <v>0</v>
      </c>
      <c r="J7" s="32">
        <f>SUMIFS(Einzelbeträge!$D:$D,Einzelbeträge!$C:$C,'Ausgaben 2024'!$C7,Einzelbeträge!$E:$E,'Ausgaben 2024'!J$6)</f>
        <v>0</v>
      </c>
      <c r="K7" s="32">
        <f>SUMIFS(Einzelbeträge!$D:$D,Einzelbeträge!$C:$C,'Ausgaben 2024'!$C7,Einzelbeträge!$E:$E,'Ausgaben 2024'!K$6)</f>
        <v>0</v>
      </c>
      <c r="L7" s="32">
        <f>SUMIFS(Einzelbeträge!$D:$D,Einzelbeträge!$C:$C,'Ausgaben 2024'!$C7,Einzelbeträge!$E:$E,'Ausgaben 2024'!L$6)</f>
        <v>0</v>
      </c>
      <c r="M7" s="32">
        <f>SUMIFS(Einzelbeträge!$D:$D,Einzelbeträge!$C:$C,'Ausgaben 2024'!$C7,Einzelbeträge!$E:$E,'Ausgaben 2024'!M$6)</f>
        <v>0</v>
      </c>
      <c r="N7" s="33">
        <f>SUMIFS(Einzelbeträge!$D:$D,Einzelbeträge!$C:$C,'Ausgaben 2024'!$C7,Einzelbeträge!$E:$E,'Ausgaben 2024'!N$6)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08.01.2024 - 14.01.2024</v>
      </c>
      <c r="S7" s="46">
        <f t="shared" ref="S7:S58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45293</v>
      </c>
      <c r="D8" s="46">
        <f>SUMIFS(Einzelbeträge!$D:$D,Einzelbeträge!$C:$C,'Ausgaben 2024'!$C8)</f>
        <v>0</v>
      </c>
      <c r="E8" s="21">
        <f>SUMIFS(Einzelbeträge!$D:$D,Einzelbeträge!$C:$C,'Ausgaben 2024'!$C8,Einzelbeträge!$E:$E,'Ausgaben 2024'!E$6)</f>
        <v>0</v>
      </c>
      <c r="F8" s="21">
        <f>SUMIFS(Einzelbeträge!$D:$D,Einzelbeträge!$C:$C,'Ausgaben 2024'!$C8,Einzelbeträge!$E:$E,'Ausgaben 2024'!F$6)</f>
        <v>0</v>
      </c>
      <c r="G8" s="21">
        <f>SUMIFS(Einzelbeträge!$D:$D,Einzelbeträge!$C:$C,'Ausgaben 2024'!$C8,Einzelbeträge!$E:$E,'Ausgaben 2024'!G$6)</f>
        <v>0</v>
      </c>
      <c r="H8" s="21">
        <f>SUMIFS(Einzelbeträge!$D:$D,Einzelbeträge!$C:$C,'Ausgaben 2024'!$C8,Einzelbeträge!$E:$E,'Ausgaben 2024'!H$6)</f>
        <v>0</v>
      </c>
      <c r="I8" s="21">
        <f>SUMIFS(Einzelbeträge!$D:$D,Einzelbeträge!$C:$C,'Ausgaben 2024'!$C8,Einzelbeträge!$E:$E,'Ausgaben 2024'!I$6)</f>
        <v>0</v>
      </c>
      <c r="J8" s="21">
        <f>SUMIFS(Einzelbeträge!$D:$D,Einzelbeträge!$C:$C,'Ausgaben 2024'!$C8,Einzelbeträge!$E:$E,'Ausgaben 2024'!J$6)</f>
        <v>0</v>
      </c>
      <c r="K8" s="21">
        <f>SUMIFS(Einzelbeträge!$D:$D,Einzelbeträge!$C:$C,'Ausgaben 2024'!$C8,Einzelbeträge!$E:$E,'Ausgaben 2024'!K$6)</f>
        <v>0</v>
      </c>
      <c r="L8" s="21">
        <f>SUMIFS(Einzelbeträge!$D:$D,Einzelbeträge!$C:$C,'Ausgaben 2024'!$C8,Einzelbeträge!$E:$E,'Ausgaben 2024'!L$6)</f>
        <v>0</v>
      </c>
      <c r="M8" s="21">
        <f>SUMIFS(Einzelbeträge!$D:$D,Einzelbeträge!$C:$C,'Ausgaben 2024'!$C8,Einzelbeträge!$E:$E,'Ausgaben 2024'!M$6)</f>
        <v>0</v>
      </c>
      <c r="N8" s="35">
        <f>SUMIFS(Einzelbeträge!$D:$D,Einzelbeträge!$C:$C,'Ausgaben 2024'!$C8,Einzelbeträge!$E:$E,'Ausgaben 2024'!N$6)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15.01.2024 - 21.01.2024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45294</v>
      </c>
      <c r="D9" s="46">
        <f>SUMIFS(Einzelbeträge!$D:$D,Einzelbeträge!$C:$C,'Ausgaben 2024'!$C9)</f>
        <v>0</v>
      </c>
      <c r="E9" s="21">
        <f>SUMIFS(Einzelbeträge!$D:$D,Einzelbeträge!$C:$C,'Ausgaben 2024'!$C9,Einzelbeträge!$E:$E,'Ausgaben 2024'!E$6)</f>
        <v>0</v>
      </c>
      <c r="F9" s="21">
        <f>SUMIFS(Einzelbeträge!$D:$D,Einzelbeträge!$C:$C,'Ausgaben 2024'!$C9,Einzelbeträge!$E:$E,'Ausgaben 2024'!F$6)</f>
        <v>0</v>
      </c>
      <c r="G9" s="21">
        <f>SUMIFS(Einzelbeträge!$D:$D,Einzelbeträge!$C:$C,'Ausgaben 2024'!$C9,Einzelbeträge!$E:$E,'Ausgaben 2024'!G$6)</f>
        <v>0</v>
      </c>
      <c r="H9" s="21">
        <f>SUMIFS(Einzelbeträge!$D:$D,Einzelbeträge!$C:$C,'Ausgaben 2024'!$C9,Einzelbeträge!$E:$E,'Ausgaben 2024'!H$6)</f>
        <v>0</v>
      </c>
      <c r="I9" s="21">
        <f>SUMIFS(Einzelbeträge!$D:$D,Einzelbeträge!$C:$C,'Ausgaben 2024'!$C9,Einzelbeträge!$E:$E,'Ausgaben 2024'!I$6)</f>
        <v>0</v>
      </c>
      <c r="J9" s="21">
        <f>SUMIFS(Einzelbeträge!$D:$D,Einzelbeträge!$C:$C,'Ausgaben 2024'!$C9,Einzelbeträge!$E:$E,'Ausgaben 2024'!J$6)</f>
        <v>0</v>
      </c>
      <c r="K9" s="21">
        <f>SUMIFS(Einzelbeträge!$D:$D,Einzelbeträge!$C:$C,'Ausgaben 2024'!$C9,Einzelbeträge!$E:$E,'Ausgaben 2024'!K$6)</f>
        <v>0</v>
      </c>
      <c r="L9" s="21">
        <f>SUMIFS(Einzelbeträge!$D:$D,Einzelbeträge!$C:$C,'Ausgaben 2024'!$C9,Einzelbeträge!$E:$E,'Ausgaben 2024'!L$6)</f>
        <v>0</v>
      </c>
      <c r="M9" s="21">
        <f>SUMIFS(Einzelbeträge!$D:$D,Einzelbeträge!$C:$C,'Ausgaben 2024'!$C9,Einzelbeträge!$E:$E,'Ausgaben 2024'!M$6)</f>
        <v>0</v>
      </c>
      <c r="N9" s="35">
        <f>SUMIFS(Einzelbeträge!$D:$D,Einzelbeträge!$C:$C,'Ausgaben 2024'!$C9,Einzelbeträge!$E:$E,'Ausgaben 2024'!N$6)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22.01.2024 - 28.01.2024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45295</v>
      </c>
      <c r="D10" s="46">
        <f>SUMIFS(Einzelbeträge!$D:$D,Einzelbeträge!$C:$C,'Ausgaben 2024'!$C10)</f>
        <v>0</v>
      </c>
      <c r="E10" s="21">
        <f>SUMIFS(Einzelbeträge!$D:$D,Einzelbeträge!$C:$C,'Ausgaben 2024'!$C10,Einzelbeträge!$E:$E,'Ausgaben 2024'!E$6)</f>
        <v>0</v>
      </c>
      <c r="F10" s="21">
        <f>SUMIFS(Einzelbeträge!$D:$D,Einzelbeträge!$C:$C,'Ausgaben 2024'!$C10,Einzelbeträge!$E:$E,'Ausgaben 2024'!F$6)</f>
        <v>0</v>
      </c>
      <c r="G10" s="21">
        <f>SUMIFS(Einzelbeträge!$D:$D,Einzelbeträge!$C:$C,'Ausgaben 2024'!$C10,Einzelbeträge!$E:$E,'Ausgaben 2024'!G$6)</f>
        <v>0</v>
      </c>
      <c r="H10" s="21">
        <f>SUMIFS(Einzelbeträge!$D:$D,Einzelbeträge!$C:$C,'Ausgaben 2024'!$C10,Einzelbeträge!$E:$E,'Ausgaben 2024'!H$6)</f>
        <v>0</v>
      </c>
      <c r="I10" s="21">
        <f>SUMIFS(Einzelbeträge!$D:$D,Einzelbeträge!$C:$C,'Ausgaben 2024'!$C10,Einzelbeträge!$E:$E,'Ausgaben 2024'!I$6)</f>
        <v>0</v>
      </c>
      <c r="J10" s="21">
        <f>SUMIFS(Einzelbeträge!$D:$D,Einzelbeträge!$C:$C,'Ausgaben 2024'!$C10,Einzelbeträge!$E:$E,'Ausgaben 2024'!J$6)</f>
        <v>0</v>
      </c>
      <c r="K10" s="21">
        <f>SUMIFS(Einzelbeträge!$D:$D,Einzelbeträge!$C:$C,'Ausgaben 2024'!$C10,Einzelbeträge!$E:$E,'Ausgaben 2024'!K$6)</f>
        <v>0</v>
      </c>
      <c r="L10" s="21">
        <f>SUMIFS(Einzelbeträge!$D:$D,Einzelbeträge!$C:$C,'Ausgaben 2024'!$C10,Einzelbeträge!$E:$E,'Ausgaben 2024'!L$6)</f>
        <v>0</v>
      </c>
      <c r="M10" s="21">
        <f>SUMIFS(Einzelbeträge!$D:$D,Einzelbeträge!$C:$C,'Ausgaben 2024'!$C10,Einzelbeträge!$E:$E,'Ausgaben 2024'!M$6)</f>
        <v>0</v>
      </c>
      <c r="N10" s="35">
        <f>SUMIFS(Einzelbeträge!$D:$D,Einzelbeträge!$C:$C,'Ausgaben 2024'!$C10,Einzelbeträge!$E:$E,'Ausgaben 2024'!N$6)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29.01.2024 - 04.02.2024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45296</v>
      </c>
      <c r="D11" s="46">
        <f>SUMIFS(Einzelbeträge!$D:$D,Einzelbeträge!$C:$C,'Ausgaben 2024'!$C11)</f>
        <v>0</v>
      </c>
      <c r="E11" s="21">
        <f>SUMIFS(Einzelbeträge!$D:$D,Einzelbeträge!$C:$C,'Ausgaben 2024'!$C11,Einzelbeträge!$E:$E,'Ausgaben 2024'!E$6)</f>
        <v>0</v>
      </c>
      <c r="F11" s="21">
        <f>SUMIFS(Einzelbeträge!$D:$D,Einzelbeträge!$C:$C,'Ausgaben 2024'!$C11,Einzelbeträge!$E:$E,'Ausgaben 2024'!F$6)</f>
        <v>0</v>
      </c>
      <c r="G11" s="21">
        <f>SUMIFS(Einzelbeträge!$D:$D,Einzelbeträge!$C:$C,'Ausgaben 2024'!$C11,Einzelbeträge!$E:$E,'Ausgaben 2024'!G$6)</f>
        <v>0</v>
      </c>
      <c r="H11" s="21">
        <f>SUMIFS(Einzelbeträge!$D:$D,Einzelbeträge!$C:$C,'Ausgaben 2024'!$C11,Einzelbeträge!$E:$E,'Ausgaben 2024'!H$6)</f>
        <v>0</v>
      </c>
      <c r="I11" s="21">
        <f>SUMIFS(Einzelbeträge!$D:$D,Einzelbeträge!$C:$C,'Ausgaben 2024'!$C11,Einzelbeträge!$E:$E,'Ausgaben 2024'!I$6)</f>
        <v>0</v>
      </c>
      <c r="J11" s="21">
        <f>SUMIFS(Einzelbeträge!$D:$D,Einzelbeträge!$C:$C,'Ausgaben 2024'!$C11,Einzelbeträge!$E:$E,'Ausgaben 2024'!J$6)</f>
        <v>0</v>
      </c>
      <c r="K11" s="21">
        <f>SUMIFS(Einzelbeträge!$D:$D,Einzelbeträge!$C:$C,'Ausgaben 2024'!$C11,Einzelbeträge!$E:$E,'Ausgaben 2024'!K$6)</f>
        <v>0</v>
      </c>
      <c r="L11" s="21">
        <f>SUMIFS(Einzelbeträge!$D:$D,Einzelbeträge!$C:$C,'Ausgaben 2024'!$C11,Einzelbeträge!$E:$E,'Ausgaben 2024'!L$6)</f>
        <v>0</v>
      </c>
      <c r="M11" s="21">
        <f>SUMIFS(Einzelbeträge!$D:$D,Einzelbeträge!$C:$C,'Ausgaben 2024'!$C11,Einzelbeträge!$E:$E,'Ausgaben 2024'!M$6)</f>
        <v>0</v>
      </c>
      <c r="N11" s="35">
        <f>SUMIFS(Einzelbeträge!$D:$D,Einzelbeträge!$C:$C,'Ausgaben 2024'!$C11,Einzelbeträge!$E:$E,'Ausgaben 2024'!N$6)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05.02.2024 - 11.02.2024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45297</v>
      </c>
      <c r="D12" s="46">
        <f>SUMIFS(Einzelbeträge!$D:$D,Einzelbeträge!$C:$C,'Ausgaben 2024'!$C12)</f>
        <v>0</v>
      </c>
      <c r="E12" s="21">
        <f>SUMIFS(Einzelbeträge!$D:$D,Einzelbeträge!$C:$C,'Ausgaben 2024'!$C12,Einzelbeträge!$E:$E,'Ausgaben 2024'!E$6)</f>
        <v>0</v>
      </c>
      <c r="F12" s="21">
        <f>SUMIFS(Einzelbeträge!$D:$D,Einzelbeträge!$C:$C,'Ausgaben 2024'!$C12,Einzelbeträge!$E:$E,'Ausgaben 2024'!F$6)</f>
        <v>0</v>
      </c>
      <c r="G12" s="21">
        <f>SUMIFS(Einzelbeträge!$D:$D,Einzelbeträge!$C:$C,'Ausgaben 2024'!$C12,Einzelbeträge!$E:$E,'Ausgaben 2024'!G$6)</f>
        <v>0</v>
      </c>
      <c r="H12" s="21">
        <f>SUMIFS(Einzelbeträge!$D:$D,Einzelbeträge!$C:$C,'Ausgaben 2024'!$C12,Einzelbeträge!$E:$E,'Ausgaben 2024'!H$6)</f>
        <v>0</v>
      </c>
      <c r="I12" s="21">
        <f>SUMIFS(Einzelbeträge!$D:$D,Einzelbeträge!$C:$C,'Ausgaben 2024'!$C12,Einzelbeträge!$E:$E,'Ausgaben 2024'!I$6)</f>
        <v>0</v>
      </c>
      <c r="J12" s="21">
        <f>SUMIFS(Einzelbeträge!$D:$D,Einzelbeträge!$C:$C,'Ausgaben 2024'!$C12,Einzelbeträge!$E:$E,'Ausgaben 2024'!J$6)</f>
        <v>0</v>
      </c>
      <c r="K12" s="21">
        <f>SUMIFS(Einzelbeträge!$D:$D,Einzelbeträge!$C:$C,'Ausgaben 2024'!$C12,Einzelbeträge!$E:$E,'Ausgaben 2024'!K$6)</f>
        <v>0</v>
      </c>
      <c r="L12" s="21">
        <f>SUMIFS(Einzelbeträge!$D:$D,Einzelbeträge!$C:$C,'Ausgaben 2024'!$C12,Einzelbeträge!$E:$E,'Ausgaben 2024'!L$6)</f>
        <v>0</v>
      </c>
      <c r="M12" s="21">
        <f>SUMIFS(Einzelbeträge!$D:$D,Einzelbeträge!$C:$C,'Ausgaben 2024'!$C12,Einzelbeträge!$E:$E,'Ausgaben 2024'!M$6)</f>
        <v>0</v>
      </c>
      <c r="N12" s="35">
        <f>SUMIFS(Einzelbeträge!$D:$D,Einzelbeträge!$C:$C,'Ausgaben 2024'!$C12,Einzelbeträge!$E:$E,'Ausgaben 2024'!N$6)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12.02.2024 - 18.02.2024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45298</v>
      </c>
      <c r="D13" s="46">
        <f>SUMIFS(Einzelbeträge!$D:$D,Einzelbeträge!$C:$C,'Ausgaben 2024'!$C13)</f>
        <v>0</v>
      </c>
      <c r="E13" s="21">
        <f>SUMIFS(Einzelbeträge!$D:$D,Einzelbeträge!$C:$C,'Ausgaben 2024'!$C13,Einzelbeträge!$E:$E,'Ausgaben 2024'!E$6)</f>
        <v>0</v>
      </c>
      <c r="F13" s="21">
        <f>SUMIFS(Einzelbeträge!$D:$D,Einzelbeträge!$C:$C,'Ausgaben 2024'!$C13,Einzelbeträge!$E:$E,'Ausgaben 2024'!F$6)</f>
        <v>0</v>
      </c>
      <c r="G13" s="21">
        <f>SUMIFS(Einzelbeträge!$D:$D,Einzelbeträge!$C:$C,'Ausgaben 2024'!$C13,Einzelbeträge!$E:$E,'Ausgaben 2024'!G$6)</f>
        <v>0</v>
      </c>
      <c r="H13" s="21">
        <f>SUMIFS(Einzelbeträge!$D:$D,Einzelbeträge!$C:$C,'Ausgaben 2024'!$C13,Einzelbeträge!$E:$E,'Ausgaben 2024'!H$6)</f>
        <v>0</v>
      </c>
      <c r="I13" s="21">
        <f>SUMIFS(Einzelbeträge!$D:$D,Einzelbeträge!$C:$C,'Ausgaben 2024'!$C13,Einzelbeträge!$E:$E,'Ausgaben 2024'!I$6)</f>
        <v>0</v>
      </c>
      <c r="J13" s="21">
        <f>SUMIFS(Einzelbeträge!$D:$D,Einzelbeträge!$C:$C,'Ausgaben 2024'!$C13,Einzelbeträge!$E:$E,'Ausgaben 2024'!J$6)</f>
        <v>0</v>
      </c>
      <c r="K13" s="21">
        <f>SUMIFS(Einzelbeträge!$D:$D,Einzelbeträge!$C:$C,'Ausgaben 2024'!$C13,Einzelbeträge!$E:$E,'Ausgaben 2024'!K$6)</f>
        <v>0</v>
      </c>
      <c r="L13" s="21">
        <f>SUMIFS(Einzelbeträge!$D:$D,Einzelbeträge!$C:$C,'Ausgaben 2024'!$C13,Einzelbeträge!$E:$E,'Ausgaben 2024'!L$6)</f>
        <v>0</v>
      </c>
      <c r="M13" s="21">
        <f>SUMIFS(Einzelbeträge!$D:$D,Einzelbeträge!$C:$C,'Ausgaben 2024'!$C13,Einzelbeträge!$E:$E,'Ausgaben 2024'!M$6)</f>
        <v>0</v>
      </c>
      <c r="N13" s="35">
        <f>SUMIFS(Einzelbeträge!$D:$D,Einzelbeträge!$C:$C,'Ausgaben 2024'!$C13,Einzelbeträge!$E:$E,'Ausgaben 2024'!N$6)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19.02.2024 - 25.02.2024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45299</v>
      </c>
      <c r="D14" s="46">
        <f>SUMIFS(Einzelbeträge!$D:$D,Einzelbeträge!$C:$C,'Ausgaben 2024'!$C14)</f>
        <v>0</v>
      </c>
      <c r="E14" s="21">
        <f>SUMIFS(Einzelbeträge!$D:$D,Einzelbeträge!$C:$C,'Ausgaben 2024'!$C14,Einzelbeträge!$E:$E,'Ausgaben 2024'!E$6)</f>
        <v>0</v>
      </c>
      <c r="F14" s="21">
        <f>SUMIFS(Einzelbeträge!$D:$D,Einzelbeträge!$C:$C,'Ausgaben 2024'!$C14,Einzelbeträge!$E:$E,'Ausgaben 2024'!F$6)</f>
        <v>0</v>
      </c>
      <c r="G14" s="21">
        <f>SUMIFS(Einzelbeträge!$D:$D,Einzelbeträge!$C:$C,'Ausgaben 2024'!$C14,Einzelbeträge!$E:$E,'Ausgaben 2024'!G$6)</f>
        <v>0</v>
      </c>
      <c r="H14" s="21">
        <f>SUMIFS(Einzelbeträge!$D:$D,Einzelbeträge!$C:$C,'Ausgaben 2024'!$C14,Einzelbeträge!$E:$E,'Ausgaben 2024'!H$6)</f>
        <v>0</v>
      </c>
      <c r="I14" s="21">
        <f>SUMIFS(Einzelbeträge!$D:$D,Einzelbeträge!$C:$C,'Ausgaben 2024'!$C14,Einzelbeträge!$E:$E,'Ausgaben 2024'!I$6)</f>
        <v>0</v>
      </c>
      <c r="J14" s="21">
        <f>SUMIFS(Einzelbeträge!$D:$D,Einzelbeträge!$C:$C,'Ausgaben 2024'!$C14,Einzelbeträge!$E:$E,'Ausgaben 2024'!J$6)</f>
        <v>0</v>
      </c>
      <c r="K14" s="21">
        <f>SUMIFS(Einzelbeträge!$D:$D,Einzelbeträge!$C:$C,'Ausgaben 2024'!$C14,Einzelbeträge!$E:$E,'Ausgaben 2024'!K$6)</f>
        <v>0</v>
      </c>
      <c r="L14" s="21">
        <f>SUMIFS(Einzelbeträge!$D:$D,Einzelbeträge!$C:$C,'Ausgaben 2024'!$C14,Einzelbeträge!$E:$E,'Ausgaben 2024'!L$6)</f>
        <v>0</v>
      </c>
      <c r="M14" s="21">
        <f>SUMIFS(Einzelbeträge!$D:$D,Einzelbeträge!$C:$C,'Ausgaben 2024'!$C14,Einzelbeträge!$E:$E,'Ausgaben 2024'!M$6)</f>
        <v>0</v>
      </c>
      <c r="N14" s="35">
        <f>SUMIFS(Einzelbeträge!$D:$D,Einzelbeträge!$C:$C,'Ausgaben 2024'!$C14,Einzelbeträge!$E:$E,'Ausgaben 2024'!N$6)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26.02.2024 - 03.03.2024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45300</v>
      </c>
      <c r="D15" s="46">
        <f>SUMIFS(Einzelbeträge!$D:$D,Einzelbeträge!$C:$C,'Ausgaben 2024'!$C15)</f>
        <v>0</v>
      </c>
      <c r="E15" s="21">
        <f>SUMIFS(Einzelbeträge!$D:$D,Einzelbeträge!$C:$C,'Ausgaben 2024'!$C15,Einzelbeträge!$E:$E,'Ausgaben 2024'!E$6)</f>
        <v>0</v>
      </c>
      <c r="F15" s="21">
        <f>SUMIFS(Einzelbeträge!$D:$D,Einzelbeträge!$C:$C,'Ausgaben 2024'!$C15,Einzelbeträge!$E:$E,'Ausgaben 2024'!F$6)</f>
        <v>0</v>
      </c>
      <c r="G15" s="21">
        <f>SUMIFS(Einzelbeträge!$D:$D,Einzelbeträge!$C:$C,'Ausgaben 2024'!$C15,Einzelbeträge!$E:$E,'Ausgaben 2024'!G$6)</f>
        <v>0</v>
      </c>
      <c r="H15" s="21">
        <f>SUMIFS(Einzelbeträge!$D:$D,Einzelbeträge!$C:$C,'Ausgaben 2024'!$C15,Einzelbeträge!$E:$E,'Ausgaben 2024'!H$6)</f>
        <v>0</v>
      </c>
      <c r="I15" s="21">
        <f>SUMIFS(Einzelbeträge!$D:$D,Einzelbeträge!$C:$C,'Ausgaben 2024'!$C15,Einzelbeträge!$E:$E,'Ausgaben 2024'!I$6)</f>
        <v>0</v>
      </c>
      <c r="J15" s="21">
        <f>SUMIFS(Einzelbeträge!$D:$D,Einzelbeträge!$C:$C,'Ausgaben 2024'!$C15,Einzelbeträge!$E:$E,'Ausgaben 2024'!J$6)</f>
        <v>0</v>
      </c>
      <c r="K15" s="21">
        <f>SUMIFS(Einzelbeträge!$D:$D,Einzelbeträge!$C:$C,'Ausgaben 2024'!$C15,Einzelbeträge!$E:$E,'Ausgaben 2024'!K$6)</f>
        <v>0</v>
      </c>
      <c r="L15" s="21">
        <f>SUMIFS(Einzelbeträge!$D:$D,Einzelbeträge!$C:$C,'Ausgaben 2024'!$C15,Einzelbeträge!$E:$E,'Ausgaben 2024'!L$6)</f>
        <v>0</v>
      </c>
      <c r="M15" s="21">
        <f>SUMIFS(Einzelbeträge!$D:$D,Einzelbeträge!$C:$C,'Ausgaben 2024'!$C15,Einzelbeträge!$E:$E,'Ausgaben 2024'!M$6)</f>
        <v>0</v>
      </c>
      <c r="N15" s="35">
        <f>SUMIFS(Einzelbeträge!$D:$D,Einzelbeträge!$C:$C,'Ausgaben 2024'!$C15,Einzelbeträge!$E:$E,'Ausgaben 2024'!N$6)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04.03.2024 - 10.03.2024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45301</v>
      </c>
      <c r="D16" s="46">
        <f>SUMIFS(Einzelbeträge!$D:$D,Einzelbeträge!$C:$C,'Ausgaben 2024'!$C16)</f>
        <v>0</v>
      </c>
      <c r="E16" s="21">
        <f>SUMIFS(Einzelbeträge!$D:$D,Einzelbeträge!$C:$C,'Ausgaben 2024'!$C16,Einzelbeträge!$E:$E,'Ausgaben 2024'!E$6)</f>
        <v>0</v>
      </c>
      <c r="F16" s="21">
        <f>SUMIFS(Einzelbeträge!$D:$D,Einzelbeträge!$C:$C,'Ausgaben 2024'!$C16,Einzelbeträge!$E:$E,'Ausgaben 2024'!F$6)</f>
        <v>0</v>
      </c>
      <c r="G16" s="21">
        <f>SUMIFS(Einzelbeträge!$D:$D,Einzelbeträge!$C:$C,'Ausgaben 2024'!$C16,Einzelbeträge!$E:$E,'Ausgaben 2024'!G$6)</f>
        <v>0</v>
      </c>
      <c r="H16" s="21">
        <f>SUMIFS(Einzelbeträge!$D:$D,Einzelbeträge!$C:$C,'Ausgaben 2024'!$C16,Einzelbeträge!$E:$E,'Ausgaben 2024'!H$6)</f>
        <v>0</v>
      </c>
      <c r="I16" s="21">
        <f>SUMIFS(Einzelbeträge!$D:$D,Einzelbeträge!$C:$C,'Ausgaben 2024'!$C16,Einzelbeträge!$E:$E,'Ausgaben 2024'!I$6)</f>
        <v>0</v>
      </c>
      <c r="J16" s="21">
        <f>SUMIFS(Einzelbeträge!$D:$D,Einzelbeträge!$C:$C,'Ausgaben 2024'!$C16,Einzelbeträge!$E:$E,'Ausgaben 2024'!J$6)</f>
        <v>0</v>
      </c>
      <c r="K16" s="21">
        <f>SUMIFS(Einzelbeträge!$D:$D,Einzelbeträge!$C:$C,'Ausgaben 2024'!$C16,Einzelbeträge!$E:$E,'Ausgaben 2024'!K$6)</f>
        <v>0</v>
      </c>
      <c r="L16" s="21">
        <f>SUMIFS(Einzelbeträge!$D:$D,Einzelbeträge!$C:$C,'Ausgaben 2024'!$C16,Einzelbeträge!$E:$E,'Ausgaben 2024'!L$6)</f>
        <v>0</v>
      </c>
      <c r="M16" s="21">
        <f>SUMIFS(Einzelbeträge!$D:$D,Einzelbeträge!$C:$C,'Ausgaben 2024'!$C16,Einzelbeträge!$E:$E,'Ausgaben 2024'!M$6)</f>
        <v>0</v>
      </c>
      <c r="N16" s="35">
        <f>SUMIFS(Einzelbeträge!$D:$D,Einzelbeträge!$C:$C,'Ausgaben 2024'!$C16,Einzelbeträge!$E:$E,'Ausgaben 2024'!N$6)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11.03.2024 - 17.03.2024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45302</v>
      </c>
      <c r="D17" s="46">
        <f>SUMIFS(Einzelbeträge!$D:$D,Einzelbeträge!$C:$C,'Ausgaben 2024'!$C17)</f>
        <v>0</v>
      </c>
      <c r="E17" s="21">
        <f>SUMIFS(Einzelbeträge!$D:$D,Einzelbeträge!$C:$C,'Ausgaben 2024'!$C17,Einzelbeträge!$E:$E,'Ausgaben 2024'!E$6)</f>
        <v>0</v>
      </c>
      <c r="F17" s="21">
        <f>SUMIFS(Einzelbeträge!$D:$D,Einzelbeträge!$C:$C,'Ausgaben 2024'!$C17,Einzelbeträge!$E:$E,'Ausgaben 2024'!F$6)</f>
        <v>0</v>
      </c>
      <c r="G17" s="21">
        <f>SUMIFS(Einzelbeträge!$D:$D,Einzelbeträge!$C:$C,'Ausgaben 2024'!$C17,Einzelbeträge!$E:$E,'Ausgaben 2024'!G$6)</f>
        <v>0</v>
      </c>
      <c r="H17" s="21">
        <f>SUMIFS(Einzelbeträge!$D:$D,Einzelbeträge!$C:$C,'Ausgaben 2024'!$C17,Einzelbeträge!$E:$E,'Ausgaben 2024'!H$6)</f>
        <v>0</v>
      </c>
      <c r="I17" s="21">
        <f>SUMIFS(Einzelbeträge!$D:$D,Einzelbeträge!$C:$C,'Ausgaben 2024'!$C17,Einzelbeträge!$E:$E,'Ausgaben 2024'!I$6)</f>
        <v>0</v>
      </c>
      <c r="J17" s="21">
        <f>SUMIFS(Einzelbeträge!$D:$D,Einzelbeträge!$C:$C,'Ausgaben 2024'!$C17,Einzelbeträge!$E:$E,'Ausgaben 2024'!J$6)</f>
        <v>0</v>
      </c>
      <c r="K17" s="21">
        <f>SUMIFS(Einzelbeträge!$D:$D,Einzelbeträge!$C:$C,'Ausgaben 2024'!$C17,Einzelbeträge!$E:$E,'Ausgaben 2024'!K$6)</f>
        <v>0</v>
      </c>
      <c r="L17" s="21">
        <f>SUMIFS(Einzelbeträge!$D:$D,Einzelbeträge!$C:$C,'Ausgaben 2024'!$C17,Einzelbeträge!$E:$E,'Ausgaben 2024'!L$6)</f>
        <v>0</v>
      </c>
      <c r="M17" s="21">
        <f>SUMIFS(Einzelbeträge!$D:$D,Einzelbeträge!$C:$C,'Ausgaben 2024'!$C17,Einzelbeträge!$E:$E,'Ausgaben 2024'!M$6)</f>
        <v>0</v>
      </c>
      <c r="N17" s="35">
        <f>SUMIFS(Einzelbeträge!$D:$D,Einzelbeträge!$C:$C,'Ausgaben 2024'!$C17,Einzelbeträge!$E:$E,'Ausgaben 2024'!N$6)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18.03.2024 - 24.03.2024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45303</v>
      </c>
      <c r="D18" s="46">
        <f>SUMIFS(Einzelbeträge!$D:$D,Einzelbeträge!$C:$C,'Ausgaben 2024'!$C18)</f>
        <v>0</v>
      </c>
      <c r="E18" s="21">
        <f>SUMIFS(Einzelbeträge!$D:$D,Einzelbeträge!$C:$C,'Ausgaben 2024'!$C18,Einzelbeträge!$E:$E,'Ausgaben 2024'!E$6)</f>
        <v>0</v>
      </c>
      <c r="F18" s="21">
        <f>SUMIFS(Einzelbeträge!$D:$D,Einzelbeträge!$C:$C,'Ausgaben 2024'!$C18,Einzelbeträge!$E:$E,'Ausgaben 2024'!F$6)</f>
        <v>0</v>
      </c>
      <c r="G18" s="21">
        <f>SUMIFS(Einzelbeträge!$D:$D,Einzelbeträge!$C:$C,'Ausgaben 2024'!$C18,Einzelbeträge!$E:$E,'Ausgaben 2024'!G$6)</f>
        <v>0</v>
      </c>
      <c r="H18" s="21">
        <f>SUMIFS(Einzelbeträge!$D:$D,Einzelbeträge!$C:$C,'Ausgaben 2024'!$C18,Einzelbeträge!$E:$E,'Ausgaben 2024'!H$6)</f>
        <v>0</v>
      </c>
      <c r="I18" s="21">
        <f>SUMIFS(Einzelbeträge!$D:$D,Einzelbeträge!$C:$C,'Ausgaben 2024'!$C18,Einzelbeträge!$E:$E,'Ausgaben 2024'!I$6)</f>
        <v>0</v>
      </c>
      <c r="J18" s="21">
        <f>SUMIFS(Einzelbeträge!$D:$D,Einzelbeträge!$C:$C,'Ausgaben 2024'!$C18,Einzelbeträge!$E:$E,'Ausgaben 2024'!J$6)</f>
        <v>0</v>
      </c>
      <c r="K18" s="21">
        <f>SUMIFS(Einzelbeträge!$D:$D,Einzelbeträge!$C:$C,'Ausgaben 2024'!$C18,Einzelbeträge!$E:$E,'Ausgaben 2024'!K$6)</f>
        <v>0</v>
      </c>
      <c r="L18" s="21">
        <f>SUMIFS(Einzelbeträge!$D:$D,Einzelbeträge!$C:$C,'Ausgaben 2024'!$C18,Einzelbeträge!$E:$E,'Ausgaben 2024'!L$6)</f>
        <v>0</v>
      </c>
      <c r="M18" s="21">
        <f>SUMIFS(Einzelbeträge!$D:$D,Einzelbeträge!$C:$C,'Ausgaben 2024'!$C18,Einzelbeträge!$E:$E,'Ausgaben 2024'!M$6)</f>
        <v>0</v>
      </c>
      <c r="N18" s="35">
        <f>SUMIFS(Einzelbeträge!$D:$D,Einzelbeträge!$C:$C,'Ausgaben 2024'!$C18,Einzelbeträge!$E:$E,'Ausgaben 2024'!N$6)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25.03.2024 - 31.03.2024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45304</v>
      </c>
      <c r="D19" s="46">
        <f>SUMIFS(Einzelbeträge!$D:$D,Einzelbeträge!$C:$C,'Ausgaben 2024'!$C19)</f>
        <v>0</v>
      </c>
      <c r="E19" s="21">
        <f>SUMIFS(Einzelbeträge!$D:$D,Einzelbeträge!$C:$C,'Ausgaben 2024'!$C19,Einzelbeträge!$E:$E,'Ausgaben 2024'!E$6)</f>
        <v>0</v>
      </c>
      <c r="F19" s="21">
        <f>SUMIFS(Einzelbeträge!$D:$D,Einzelbeträge!$C:$C,'Ausgaben 2024'!$C19,Einzelbeträge!$E:$E,'Ausgaben 2024'!F$6)</f>
        <v>0</v>
      </c>
      <c r="G19" s="21">
        <f>SUMIFS(Einzelbeträge!$D:$D,Einzelbeträge!$C:$C,'Ausgaben 2024'!$C19,Einzelbeträge!$E:$E,'Ausgaben 2024'!G$6)</f>
        <v>0</v>
      </c>
      <c r="H19" s="21">
        <f>SUMIFS(Einzelbeträge!$D:$D,Einzelbeträge!$C:$C,'Ausgaben 2024'!$C19,Einzelbeträge!$E:$E,'Ausgaben 2024'!H$6)</f>
        <v>0</v>
      </c>
      <c r="I19" s="21">
        <f>SUMIFS(Einzelbeträge!$D:$D,Einzelbeträge!$C:$C,'Ausgaben 2024'!$C19,Einzelbeträge!$E:$E,'Ausgaben 2024'!I$6)</f>
        <v>0</v>
      </c>
      <c r="J19" s="21">
        <f>SUMIFS(Einzelbeträge!$D:$D,Einzelbeträge!$C:$C,'Ausgaben 2024'!$C19,Einzelbeträge!$E:$E,'Ausgaben 2024'!J$6)</f>
        <v>0</v>
      </c>
      <c r="K19" s="21">
        <f>SUMIFS(Einzelbeträge!$D:$D,Einzelbeträge!$C:$C,'Ausgaben 2024'!$C19,Einzelbeträge!$E:$E,'Ausgaben 2024'!K$6)</f>
        <v>0</v>
      </c>
      <c r="L19" s="21">
        <f>SUMIFS(Einzelbeträge!$D:$D,Einzelbeträge!$C:$C,'Ausgaben 2024'!$C19,Einzelbeträge!$E:$E,'Ausgaben 2024'!L$6)</f>
        <v>0</v>
      </c>
      <c r="M19" s="21">
        <f>SUMIFS(Einzelbeträge!$D:$D,Einzelbeträge!$C:$C,'Ausgaben 2024'!$C19,Einzelbeträge!$E:$E,'Ausgaben 2024'!M$6)</f>
        <v>0</v>
      </c>
      <c r="N19" s="35">
        <f>SUMIFS(Einzelbeträge!$D:$D,Einzelbeträge!$C:$C,'Ausgaben 2024'!$C19,Einzelbeträge!$E:$E,'Ausgaben 2024'!N$6)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01.04.2024 - 07.04.2024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45305</v>
      </c>
      <c r="D20" s="46">
        <f>SUMIFS(Einzelbeträge!$D:$D,Einzelbeträge!$C:$C,'Ausgaben 2024'!$C20)</f>
        <v>0</v>
      </c>
      <c r="E20" s="21">
        <f>SUMIFS(Einzelbeträge!$D:$D,Einzelbeträge!$C:$C,'Ausgaben 2024'!$C20,Einzelbeträge!$E:$E,'Ausgaben 2024'!E$6)</f>
        <v>0</v>
      </c>
      <c r="F20" s="21">
        <f>SUMIFS(Einzelbeträge!$D:$D,Einzelbeträge!$C:$C,'Ausgaben 2024'!$C20,Einzelbeträge!$E:$E,'Ausgaben 2024'!F$6)</f>
        <v>0</v>
      </c>
      <c r="G20" s="21">
        <f>SUMIFS(Einzelbeträge!$D:$D,Einzelbeträge!$C:$C,'Ausgaben 2024'!$C20,Einzelbeträge!$E:$E,'Ausgaben 2024'!G$6)</f>
        <v>0</v>
      </c>
      <c r="H20" s="21">
        <f>SUMIFS(Einzelbeträge!$D:$D,Einzelbeträge!$C:$C,'Ausgaben 2024'!$C20,Einzelbeträge!$E:$E,'Ausgaben 2024'!H$6)</f>
        <v>0</v>
      </c>
      <c r="I20" s="21">
        <f>SUMIFS(Einzelbeträge!$D:$D,Einzelbeträge!$C:$C,'Ausgaben 2024'!$C20,Einzelbeträge!$E:$E,'Ausgaben 2024'!I$6)</f>
        <v>0</v>
      </c>
      <c r="J20" s="21">
        <f>SUMIFS(Einzelbeträge!$D:$D,Einzelbeträge!$C:$C,'Ausgaben 2024'!$C20,Einzelbeträge!$E:$E,'Ausgaben 2024'!J$6)</f>
        <v>0</v>
      </c>
      <c r="K20" s="21">
        <f>SUMIFS(Einzelbeträge!$D:$D,Einzelbeträge!$C:$C,'Ausgaben 2024'!$C20,Einzelbeträge!$E:$E,'Ausgaben 2024'!K$6)</f>
        <v>0</v>
      </c>
      <c r="L20" s="21">
        <f>SUMIFS(Einzelbeträge!$D:$D,Einzelbeträge!$C:$C,'Ausgaben 2024'!$C20,Einzelbeträge!$E:$E,'Ausgaben 2024'!L$6)</f>
        <v>0</v>
      </c>
      <c r="M20" s="21">
        <f>SUMIFS(Einzelbeträge!$D:$D,Einzelbeträge!$C:$C,'Ausgaben 2024'!$C20,Einzelbeträge!$E:$E,'Ausgaben 2024'!M$6)</f>
        <v>0</v>
      </c>
      <c r="N20" s="35">
        <f>SUMIFS(Einzelbeträge!$D:$D,Einzelbeträge!$C:$C,'Ausgaben 2024'!$C20,Einzelbeträge!$E:$E,'Ausgaben 2024'!N$6)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08.04.2024 - 14.04.2024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45306</v>
      </c>
      <c r="D21" s="46">
        <f>SUMIFS(Einzelbeträge!$D:$D,Einzelbeträge!$C:$C,'Ausgaben 2024'!$C21)</f>
        <v>0</v>
      </c>
      <c r="E21" s="21">
        <f>SUMIFS(Einzelbeträge!$D:$D,Einzelbeträge!$C:$C,'Ausgaben 2024'!$C21,Einzelbeträge!$E:$E,'Ausgaben 2024'!E$6)</f>
        <v>0</v>
      </c>
      <c r="F21" s="21">
        <f>SUMIFS(Einzelbeträge!$D:$D,Einzelbeträge!$C:$C,'Ausgaben 2024'!$C21,Einzelbeträge!$E:$E,'Ausgaben 2024'!F$6)</f>
        <v>0</v>
      </c>
      <c r="G21" s="21">
        <f>SUMIFS(Einzelbeträge!$D:$D,Einzelbeträge!$C:$C,'Ausgaben 2024'!$C21,Einzelbeträge!$E:$E,'Ausgaben 2024'!G$6)</f>
        <v>0</v>
      </c>
      <c r="H21" s="21">
        <f>SUMIFS(Einzelbeträge!$D:$D,Einzelbeträge!$C:$C,'Ausgaben 2024'!$C21,Einzelbeträge!$E:$E,'Ausgaben 2024'!H$6)</f>
        <v>0</v>
      </c>
      <c r="I21" s="21">
        <f>SUMIFS(Einzelbeträge!$D:$D,Einzelbeträge!$C:$C,'Ausgaben 2024'!$C21,Einzelbeträge!$E:$E,'Ausgaben 2024'!I$6)</f>
        <v>0</v>
      </c>
      <c r="J21" s="21">
        <f>SUMIFS(Einzelbeträge!$D:$D,Einzelbeträge!$C:$C,'Ausgaben 2024'!$C21,Einzelbeträge!$E:$E,'Ausgaben 2024'!J$6)</f>
        <v>0</v>
      </c>
      <c r="K21" s="21">
        <f>SUMIFS(Einzelbeträge!$D:$D,Einzelbeträge!$C:$C,'Ausgaben 2024'!$C21,Einzelbeträge!$E:$E,'Ausgaben 2024'!K$6)</f>
        <v>0</v>
      </c>
      <c r="L21" s="21">
        <f>SUMIFS(Einzelbeträge!$D:$D,Einzelbeträge!$C:$C,'Ausgaben 2024'!$C21,Einzelbeträge!$E:$E,'Ausgaben 2024'!L$6)</f>
        <v>0</v>
      </c>
      <c r="M21" s="21">
        <f>SUMIFS(Einzelbeträge!$D:$D,Einzelbeträge!$C:$C,'Ausgaben 2024'!$C21,Einzelbeträge!$E:$E,'Ausgaben 2024'!M$6)</f>
        <v>0</v>
      </c>
      <c r="N21" s="35">
        <f>SUMIFS(Einzelbeträge!$D:$D,Einzelbeträge!$C:$C,'Ausgaben 2024'!$C21,Einzelbeträge!$E:$E,'Ausgaben 2024'!N$6)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15.04.2024 - 21.04.2024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45307</v>
      </c>
      <c r="D22" s="46">
        <f>SUMIFS(Einzelbeträge!$D:$D,Einzelbeträge!$C:$C,'Ausgaben 2024'!$C22)</f>
        <v>0</v>
      </c>
      <c r="E22" s="21">
        <f>SUMIFS(Einzelbeträge!$D:$D,Einzelbeträge!$C:$C,'Ausgaben 2024'!$C22,Einzelbeträge!$E:$E,'Ausgaben 2024'!E$6)</f>
        <v>0</v>
      </c>
      <c r="F22" s="21">
        <f>SUMIFS(Einzelbeträge!$D:$D,Einzelbeträge!$C:$C,'Ausgaben 2024'!$C22,Einzelbeträge!$E:$E,'Ausgaben 2024'!F$6)</f>
        <v>0</v>
      </c>
      <c r="G22" s="21">
        <f>SUMIFS(Einzelbeträge!$D:$D,Einzelbeträge!$C:$C,'Ausgaben 2024'!$C22,Einzelbeträge!$E:$E,'Ausgaben 2024'!G$6)</f>
        <v>0</v>
      </c>
      <c r="H22" s="21">
        <f>SUMIFS(Einzelbeträge!$D:$D,Einzelbeträge!$C:$C,'Ausgaben 2024'!$C22,Einzelbeträge!$E:$E,'Ausgaben 2024'!H$6)</f>
        <v>0</v>
      </c>
      <c r="I22" s="21">
        <f>SUMIFS(Einzelbeträge!$D:$D,Einzelbeträge!$C:$C,'Ausgaben 2024'!$C22,Einzelbeträge!$E:$E,'Ausgaben 2024'!I$6)</f>
        <v>0</v>
      </c>
      <c r="J22" s="21">
        <f>SUMIFS(Einzelbeträge!$D:$D,Einzelbeträge!$C:$C,'Ausgaben 2024'!$C22,Einzelbeträge!$E:$E,'Ausgaben 2024'!J$6)</f>
        <v>0</v>
      </c>
      <c r="K22" s="21">
        <f>SUMIFS(Einzelbeträge!$D:$D,Einzelbeträge!$C:$C,'Ausgaben 2024'!$C22,Einzelbeträge!$E:$E,'Ausgaben 2024'!K$6)</f>
        <v>0</v>
      </c>
      <c r="L22" s="21">
        <f>SUMIFS(Einzelbeträge!$D:$D,Einzelbeträge!$C:$C,'Ausgaben 2024'!$C22,Einzelbeträge!$E:$E,'Ausgaben 2024'!L$6)</f>
        <v>0</v>
      </c>
      <c r="M22" s="21">
        <f>SUMIFS(Einzelbeträge!$D:$D,Einzelbeträge!$C:$C,'Ausgaben 2024'!$C22,Einzelbeträge!$E:$E,'Ausgaben 2024'!M$6)</f>
        <v>0</v>
      </c>
      <c r="N22" s="35">
        <f>SUMIFS(Einzelbeträge!$D:$D,Einzelbeträge!$C:$C,'Ausgaben 2024'!$C22,Einzelbeträge!$E:$E,'Ausgaben 2024'!N$6)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22.04.2024 - 28.04.2024</v>
      </c>
      <c r="S22" s="46">
        <f t="shared" si="2"/>
        <v>0</v>
      </c>
      <c r="T22" s="55">
        <f t="shared" ref="T22:T58" si="15">SUMIFS(E$7:E$405,$C$7:$C$405,"&gt;="&amp;DATEVALUE(LEFT($R22,10)),$C$7:$C$405,"&lt;="&amp;DATEVALUE(RIGHT($R22,10)))</f>
        <v>0</v>
      </c>
      <c r="U22" s="55">
        <f t="shared" ref="U22:U58" si="16">SUMIFS(F$7:F$405,$C$7:$C$405,"&gt;="&amp;DATEVALUE(LEFT($R22,10)),$C$7:$C$405,"&lt;="&amp;DATEVALUE(RIGHT($R22,10)))</f>
        <v>0</v>
      </c>
      <c r="V22" s="55">
        <f t="shared" ref="V22:V58" si="17">SUMIFS(G$7:G$405,$C$7:$C$405,"&gt;="&amp;DATEVALUE(LEFT($R22,10)),$C$7:$C$405,"&lt;="&amp;DATEVALUE(RIGHT($R22,10)))</f>
        <v>0</v>
      </c>
      <c r="W22" s="55">
        <f t="shared" ref="W22:W58" si="18">SUMIFS(H$7:H$405,$C$7:$C$405,"&gt;="&amp;DATEVALUE(LEFT($R22,10)),$C$7:$C$405,"&lt;="&amp;DATEVALUE(RIGHT($R22,10)))</f>
        <v>0</v>
      </c>
      <c r="X22" s="55">
        <f t="shared" ref="X22:X58" si="19">SUMIFS(I$7:I$405,$C$7:$C$405,"&gt;="&amp;DATEVALUE(LEFT($R22,10)),$C$7:$C$405,"&lt;="&amp;DATEVALUE(RIGHT($R22,10)))</f>
        <v>0</v>
      </c>
      <c r="Y22" s="55">
        <f t="shared" ref="Y22:Y58" si="20">SUMIFS(J$7:J$405,$C$7:$C$405,"&gt;="&amp;DATEVALUE(LEFT($R22,10)),$C$7:$C$405,"&lt;="&amp;DATEVALUE(RIGHT($R22,10)))</f>
        <v>0</v>
      </c>
      <c r="Z22" s="55">
        <f t="shared" ref="Z22:Z58" si="21">SUMIFS(K$7:K$405,$C$7:$C$405,"&gt;="&amp;DATEVALUE(LEFT($R22,10)),$C$7:$C$405,"&lt;="&amp;DATEVALUE(RIGHT($R22,10)))</f>
        <v>0</v>
      </c>
      <c r="AA22" s="55">
        <f t="shared" ref="AA22:AA58" si="22">SUMIFS(L$7:L$405,$C$7:$C$405,"&gt;="&amp;DATEVALUE(LEFT($R22,10)),$C$7:$C$405,"&lt;="&amp;DATEVALUE(RIGHT($R22,10)))</f>
        <v>0</v>
      </c>
      <c r="AB22" s="55">
        <f t="shared" ref="AB22:AB58" si="23">SUMIFS(M$7:M$405,$C$7:$C$405,"&gt;="&amp;DATEVALUE(LEFT($R22,10)),$C$7:$C$405,"&lt;="&amp;DATEVALUE(RIGHT($R22,10)))</f>
        <v>0</v>
      </c>
      <c r="AC22" s="56">
        <f t="shared" ref="AC22:AC58" si="24">SUMIFS(N$7:N$405,$C$7:$C$405,"&gt;="&amp;DATEVALUE(LEFT($R22,10)),$C$7:$C$405,"&lt;="&amp;DATEVALUE(RIGHT($R22,10)))</f>
        <v>0</v>
      </c>
      <c r="AD22" s="6"/>
    </row>
    <row r="23" spans="2:45" x14ac:dyDescent="0.35">
      <c r="B23" s="5"/>
      <c r="C23" s="40">
        <f t="shared" si="5"/>
        <v>45308</v>
      </c>
      <c r="D23" s="46">
        <f>SUMIFS(Einzelbeträge!$D:$D,Einzelbeträge!$C:$C,'Ausgaben 2024'!$C23)</f>
        <v>0</v>
      </c>
      <c r="E23" s="21">
        <f>SUMIFS(Einzelbeträge!$D:$D,Einzelbeträge!$C:$C,'Ausgaben 2024'!$C23,Einzelbeträge!$E:$E,'Ausgaben 2024'!E$6)</f>
        <v>0</v>
      </c>
      <c r="F23" s="21">
        <f>SUMIFS(Einzelbeträge!$D:$D,Einzelbeträge!$C:$C,'Ausgaben 2024'!$C23,Einzelbeträge!$E:$E,'Ausgaben 2024'!F$6)</f>
        <v>0</v>
      </c>
      <c r="G23" s="21">
        <f>SUMIFS(Einzelbeträge!$D:$D,Einzelbeträge!$C:$C,'Ausgaben 2024'!$C23,Einzelbeträge!$E:$E,'Ausgaben 2024'!G$6)</f>
        <v>0</v>
      </c>
      <c r="H23" s="21">
        <f>SUMIFS(Einzelbeträge!$D:$D,Einzelbeträge!$C:$C,'Ausgaben 2024'!$C23,Einzelbeträge!$E:$E,'Ausgaben 2024'!H$6)</f>
        <v>0</v>
      </c>
      <c r="I23" s="21">
        <f>SUMIFS(Einzelbeträge!$D:$D,Einzelbeträge!$C:$C,'Ausgaben 2024'!$C23,Einzelbeträge!$E:$E,'Ausgaben 2024'!I$6)</f>
        <v>0</v>
      </c>
      <c r="J23" s="21">
        <f>SUMIFS(Einzelbeträge!$D:$D,Einzelbeträge!$C:$C,'Ausgaben 2024'!$C23,Einzelbeträge!$E:$E,'Ausgaben 2024'!J$6)</f>
        <v>0</v>
      </c>
      <c r="K23" s="21">
        <f>SUMIFS(Einzelbeträge!$D:$D,Einzelbeträge!$C:$C,'Ausgaben 2024'!$C23,Einzelbeträge!$E:$E,'Ausgaben 2024'!K$6)</f>
        <v>0</v>
      </c>
      <c r="L23" s="21">
        <f>SUMIFS(Einzelbeträge!$D:$D,Einzelbeträge!$C:$C,'Ausgaben 2024'!$C23,Einzelbeträge!$E:$E,'Ausgaben 2024'!L$6)</f>
        <v>0</v>
      </c>
      <c r="M23" s="21">
        <f>SUMIFS(Einzelbeträge!$D:$D,Einzelbeträge!$C:$C,'Ausgaben 2024'!$C23,Einzelbeträge!$E:$E,'Ausgaben 2024'!M$6)</f>
        <v>0</v>
      </c>
      <c r="N23" s="35">
        <f>SUMIFS(Einzelbeträge!$D:$D,Einzelbeträge!$C:$C,'Ausgaben 2024'!$C23,Einzelbeträge!$E:$E,'Ausgaben 2024'!N$6)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29.04.2024 - 05.05.2024</v>
      </c>
      <c r="S23" s="46">
        <f t="shared" si="2"/>
        <v>0</v>
      </c>
      <c r="T23" s="55">
        <f t="shared" si="15"/>
        <v>0</v>
      </c>
      <c r="U23" s="55">
        <f t="shared" si="16"/>
        <v>0</v>
      </c>
      <c r="V23" s="55">
        <f t="shared" si="17"/>
        <v>0</v>
      </c>
      <c r="W23" s="55">
        <f t="shared" si="18"/>
        <v>0</v>
      </c>
      <c r="X23" s="55">
        <f t="shared" si="19"/>
        <v>0</v>
      </c>
      <c r="Y23" s="55">
        <f t="shared" si="20"/>
        <v>0</v>
      </c>
      <c r="Z23" s="55">
        <f t="shared" si="21"/>
        <v>0</v>
      </c>
      <c r="AA23" s="55">
        <f t="shared" si="22"/>
        <v>0</v>
      </c>
      <c r="AB23" s="55">
        <f t="shared" si="23"/>
        <v>0</v>
      </c>
      <c r="AC23" s="56">
        <f t="shared" si="24"/>
        <v>0</v>
      </c>
      <c r="AD23" s="6"/>
    </row>
    <row r="24" spans="2:45" x14ac:dyDescent="0.35">
      <c r="B24" s="5"/>
      <c r="C24" s="40">
        <f t="shared" si="5"/>
        <v>45309</v>
      </c>
      <c r="D24" s="46">
        <f>SUMIFS(Einzelbeträge!$D:$D,Einzelbeträge!$C:$C,'Ausgaben 2024'!$C24)</f>
        <v>0</v>
      </c>
      <c r="E24" s="21">
        <f>SUMIFS(Einzelbeträge!$D:$D,Einzelbeträge!$C:$C,'Ausgaben 2024'!$C24,Einzelbeträge!$E:$E,'Ausgaben 2024'!E$6)</f>
        <v>0</v>
      </c>
      <c r="F24" s="21">
        <f>SUMIFS(Einzelbeträge!$D:$D,Einzelbeträge!$C:$C,'Ausgaben 2024'!$C24,Einzelbeträge!$E:$E,'Ausgaben 2024'!F$6)</f>
        <v>0</v>
      </c>
      <c r="G24" s="21">
        <f>SUMIFS(Einzelbeträge!$D:$D,Einzelbeträge!$C:$C,'Ausgaben 2024'!$C24,Einzelbeträge!$E:$E,'Ausgaben 2024'!G$6)</f>
        <v>0</v>
      </c>
      <c r="H24" s="21">
        <f>SUMIFS(Einzelbeträge!$D:$D,Einzelbeträge!$C:$C,'Ausgaben 2024'!$C24,Einzelbeträge!$E:$E,'Ausgaben 2024'!H$6)</f>
        <v>0</v>
      </c>
      <c r="I24" s="21">
        <f>SUMIFS(Einzelbeträge!$D:$D,Einzelbeträge!$C:$C,'Ausgaben 2024'!$C24,Einzelbeträge!$E:$E,'Ausgaben 2024'!I$6)</f>
        <v>0</v>
      </c>
      <c r="J24" s="21">
        <f>SUMIFS(Einzelbeträge!$D:$D,Einzelbeträge!$C:$C,'Ausgaben 2024'!$C24,Einzelbeträge!$E:$E,'Ausgaben 2024'!J$6)</f>
        <v>0</v>
      </c>
      <c r="K24" s="21">
        <f>SUMIFS(Einzelbeträge!$D:$D,Einzelbeträge!$C:$C,'Ausgaben 2024'!$C24,Einzelbeträge!$E:$E,'Ausgaben 2024'!K$6)</f>
        <v>0</v>
      </c>
      <c r="L24" s="21">
        <f>SUMIFS(Einzelbeträge!$D:$D,Einzelbeträge!$C:$C,'Ausgaben 2024'!$C24,Einzelbeträge!$E:$E,'Ausgaben 2024'!L$6)</f>
        <v>0</v>
      </c>
      <c r="M24" s="21">
        <f>SUMIFS(Einzelbeträge!$D:$D,Einzelbeträge!$C:$C,'Ausgaben 2024'!$C24,Einzelbeträge!$E:$E,'Ausgaben 2024'!M$6)</f>
        <v>0</v>
      </c>
      <c r="N24" s="35">
        <f>SUMIFS(Einzelbeträge!$D:$D,Einzelbeträge!$C:$C,'Ausgaben 2024'!$C24,Einzelbeträge!$E:$E,'Ausgaben 2024'!N$6)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06.05.2024 - 12.05.2024</v>
      </c>
      <c r="S24" s="46">
        <f t="shared" si="2"/>
        <v>0</v>
      </c>
      <c r="T24" s="55">
        <f t="shared" si="15"/>
        <v>0</v>
      </c>
      <c r="U24" s="55">
        <f t="shared" si="16"/>
        <v>0</v>
      </c>
      <c r="V24" s="55">
        <f t="shared" si="17"/>
        <v>0</v>
      </c>
      <c r="W24" s="55">
        <f t="shared" si="18"/>
        <v>0</v>
      </c>
      <c r="X24" s="55">
        <f t="shared" si="19"/>
        <v>0</v>
      </c>
      <c r="Y24" s="55">
        <f t="shared" si="20"/>
        <v>0</v>
      </c>
      <c r="Z24" s="55">
        <f t="shared" si="21"/>
        <v>0</v>
      </c>
      <c r="AA24" s="55">
        <f t="shared" si="22"/>
        <v>0</v>
      </c>
      <c r="AB24" s="55">
        <f t="shared" si="23"/>
        <v>0</v>
      </c>
      <c r="AC24" s="56">
        <f t="shared" si="24"/>
        <v>0</v>
      </c>
      <c r="AD24" s="6"/>
    </row>
    <row r="25" spans="2:45" x14ac:dyDescent="0.35">
      <c r="B25" s="5"/>
      <c r="C25" s="40">
        <f t="shared" si="5"/>
        <v>45310</v>
      </c>
      <c r="D25" s="46">
        <f>SUMIFS(Einzelbeträge!$D:$D,Einzelbeträge!$C:$C,'Ausgaben 2024'!$C25)</f>
        <v>0</v>
      </c>
      <c r="E25" s="21">
        <f>SUMIFS(Einzelbeträge!$D:$D,Einzelbeträge!$C:$C,'Ausgaben 2024'!$C25,Einzelbeträge!$E:$E,'Ausgaben 2024'!E$6)</f>
        <v>0</v>
      </c>
      <c r="F25" s="21">
        <f>SUMIFS(Einzelbeträge!$D:$D,Einzelbeträge!$C:$C,'Ausgaben 2024'!$C25,Einzelbeträge!$E:$E,'Ausgaben 2024'!F$6)</f>
        <v>0</v>
      </c>
      <c r="G25" s="21">
        <f>SUMIFS(Einzelbeträge!$D:$D,Einzelbeträge!$C:$C,'Ausgaben 2024'!$C25,Einzelbeträge!$E:$E,'Ausgaben 2024'!G$6)</f>
        <v>0</v>
      </c>
      <c r="H25" s="21">
        <f>SUMIFS(Einzelbeträge!$D:$D,Einzelbeträge!$C:$C,'Ausgaben 2024'!$C25,Einzelbeträge!$E:$E,'Ausgaben 2024'!H$6)</f>
        <v>0</v>
      </c>
      <c r="I25" s="21">
        <f>SUMIFS(Einzelbeträge!$D:$D,Einzelbeträge!$C:$C,'Ausgaben 2024'!$C25,Einzelbeträge!$E:$E,'Ausgaben 2024'!I$6)</f>
        <v>0</v>
      </c>
      <c r="J25" s="21">
        <f>SUMIFS(Einzelbeträge!$D:$D,Einzelbeträge!$C:$C,'Ausgaben 2024'!$C25,Einzelbeträge!$E:$E,'Ausgaben 2024'!J$6)</f>
        <v>0</v>
      </c>
      <c r="K25" s="21">
        <f>SUMIFS(Einzelbeträge!$D:$D,Einzelbeträge!$C:$C,'Ausgaben 2024'!$C25,Einzelbeträge!$E:$E,'Ausgaben 2024'!K$6)</f>
        <v>0</v>
      </c>
      <c r="L25" s="21">
        <f>SUMIFS(Einzelbeträge!$D:$D,Einzelbeträge!$C:$C,'Ausgaben 2024'!$C25,Einzelbeträge!$E:$E,'Ausgaben 2024'!L$6)</f>
        <v>0</v>
      </c>
      <c r="M25" s="21">
        <f>SUMIFS(Einzelbeträge!$D:$D,Einzelbeträge!$C:$C,'Ausgaben 2024'!$C25,Einzelbeträge!$E:$E,'Ausgaben 2024'!M$6)</f>
        <v>0</v>
      </c>
      <c r="N25" s="35">
        <f>SUMIFS(Einzelbeträge!$D:$D,Einzelbeträge!$C:$C,'Ausgaben 2024'!$C25,Einzelbeträge!$E:$E,'Ausgaben 2024'!N$6)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13.05.2024 - 19.05.2024</v>
      </c>
      <c r="S25" s="46">
        <f t="shared" si="2"/>
        <v>0</v>
      </c>
      <c r="T25" s="55">
        <f t="shared" si="15"/>
        <v>0</v>
      </c>
      <c r="U25" s="55">
        <f t="shared" si="16"/>
        <v>0</v>
      </c>
      <c r="V25" s="55">
        <f t="shared" si="17"/>
        <v>0</v>
      </c>
      <c r="W25" s="55">
        <f t="shared" si="18"/>
        <v>0</v>
      </c>
      <c r="X25" s="55">
        <f t="shared" si="19"/>
        <v>0</v>
      </c>
      <c r="Y25" s="55">
        <f t="shared" si="20"/>
        <v>0</v>
      </c>
      <c r="Z25" s="55">
        <f t="shared" si="21"/>
        <v>0</v>
      </c>
      <c r="AA25" s="55">
        <f t="shared" si="22"/>
        <v>0</v>
      </c>
      <c r="AB25" s="55">
        <f t="shared" si="23"/>
        <v>0</v>
      </c>
      <c r="AC25" s="56">
        <f t="shared" si="24"/>
        <v>0</v>
      </c>
      <c r="AD25" s="6"/>
    </row>
    <row r="26" spans="2:45" x14ac:dyDescent="0.35">
      <c r="B26" s="5"/>
      <c r="C26" s="40">
        <f t="shared" si="5"/>
        <v>45311</v>
      </c>
      <c r="D26" s="46">
        <f>SUMIFS(Einzelbeträge!$D:$D,Einzelbeträge!$C:$C,'Ausgaben 2024'!$C26)</f>
        <v>0</v>
      </c>
      <c r="E26" s="21">
        <f>SUMIFS(Einzelbeträge!$D:$D,Einzelbeträge!$C:$C,'Ausgaben 2024'!$C26,Einzelbeträge!$E:$E,'Ausgaben 2024'!E$6)</f>
        <v>0</v>
      </c>
      <c r="F26" s="21">
        <f>SUMIFS(Einzelbeträge!$D:$D,Einzelbeträge!$C:$C,'Ausgaben 2024'!$C26,Einzelbeträge!$E:$E,'Ausgaben 2024'!F$6)</f>
        <v>0</v>
      </c>
      <c r="G26" s="21">
        <f>SUMIFS(Einzelbeträge!$D:$D,Einzelbeträge!$C:$C,'Ausgaben 2024'!$C26,Einzelbeträge!$E:$E,'Ausgaben 2024'!G$6)</f>
        <v>0</v>
      </c>
      <c r="H26" s="21">
        <f>SUMIFS(Einzelbeträge!$D:$D,Einzelbeträge!$C:$C,'Ausgaben 2024'!$C26,Einzelbeträge!$E:$E,'Ausgaben 2024'!H$6)</f>
        <v>0</v>
      </c>
      <c r="I26" s="21">
        <f>SUMIFS(Einzelbeträge!$D:$D,Einzelbeträge!$C:$C,'Ausgaben 2024'!$C26,Einzelbeträge!$E:$E,'Ausgaben 2024'!I$6)</f>
        <v>0</v>
      </c>
      <c r="J26" s="21">
        <f>SUMIFS(Einzelbeträge!$D:$D,Einzelbeträge!$C:$C,'Ausgaben 2024'!$C26,Einzelbeträge!$E:$E,'Ausgaben 2024'!J$6)</f>
        <v>0</v>
      </c>
      <c r="K26" s="21">
        <f>SUMIFS(Einzelbeträge!$D:$D,Einzelbeträge!$C:$C,'Ausgaben 2024'!$C26,Einzelbeträge!$E:$E,'Ausgaben 2024'!K$6)</f>
        <v>0</v>
      </c>
      <c r="L26" s="21">
        <f>SUMIFS(Einzelbeträge!$D:$D,Einzelbeträge!$C:$C,'Ausgaben 2024'!$C26,Einzelbeträge!$E:$E,'Ausgaben 2024'!L$6)</f>
        <v>0</v>
      </c>
      <c r="M26" s="21">
        <f>SUMIFS(Einzelbeträge!$D:$D,Einzelbeträge!$C:$C,'Ausgaben 2024'!$C26,Einzelbeträge!$E:$E,'Ausgaben 2024'!M$6)</f>
        <v>0</v>
      </c>
      <c r="N26" s="35">
        <f>SUMIFS(Einzelbeträge!$D:$D,Einzelbeträge!$C:$C,'Ausgaben 2024'!$C26,Einzelbeträge!$E:$E,'Ausgaben 2024'!N$6)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20.05.2024 - 26.05.2024</v>
      </c>
      <c r="S26" s="46">
        <f t="shared" si="2"/>
        <v>0</v>
      </c>
      <c r="T26" s="55">
        <f t="shared" si="15"/>
        <v>0</v>
      </c>
      <c r="U26" s="55">
        <f t="shared" si="16"/>
        <v>0</v>
      </c>
      <c r="V26" s="55">
        <f t="shared" si="17"/>
        <v>0</v>
      </c>
      <c r="W26" s="55">
        <f t="shared" si="18"/>
        <v>0</v>
      </c>
      <c r="X26" s="55">
        <f t="shared" si="19"/>
        <v>0</v>
      </c>
      <c r="Y26" s="55">
        <f t="shared" si="20"/>
        <v>0</v>
      </c>
      <c r="Z26" s="55">
        <f t="shared" si="21"/>
        <v>0</v>
      </c>
      <c r="AA26" s="55">
        <f t="shared" si="22"/>
        <v>0</v>
      </c>
      <c r="AB26" s="55">
        <f t="shared" si="23"/>
        <v>0</v>
      </c>
      <c r="AC26" s="56">
        <f t="shared" si="24"/>
        <v>0</v>
      </c>
      <c r="AD26" s="6"/>
    </row>
    <row r="27" spans="2:45" x14ac:dyDescent="0.35">
      <c r="B27" s="5"/>
      <c r="C27" s="40">
        <f t="shared" si="5"/>
        <v>45312</v>
      </c>
      <c r="D27" s="46">
        <f>SUMIFS(Einzelbeträge!$D:$D,Einzelbeträge!$C:$C,'Ausgaben 2024'!$C27)</f>
        <v>0</v>
      </c>
      <c r="E27" s="21">
        <f>SUMIFS(Einzelbeträge!$D:$D,Einzelbeträge!$C:$C,'Ausgaben 2024'!$C27,Einzelbeträge!$E:$E,'Ausgaben 2024'!E$6)</f>
        <v>0</v>
      </c>
      <c r="F27" s="21">
        <f>SUMIFS(Einzelbeträge!$D:$D,Einzelbeträge!$C:$C,'Ausgaben 2024'!$C27,Einzelbeträge!$E:$E,'Ausgaben 2024'!F$6)</f>
        <v>0</v>
      </c>
      <c r="G27" s="21">
        <f>SUMIFS(Einzelbeträge!$D:$D,Einzelbeträge!$C:$C,'Ausgaben 2024'!$C27,Einzelbeträge!$E:$E,'Ausgaben 2024'!G$6)</f>
        <v>0</v>
      </c>
      <c r="H27" s="21">
        <f>SUMIFS(Einzelbeträge!$D:$D,Einzelbeträge!$C:$C,'Ausgaben 2024'!$C27,Einzelbeträge!$E:$E,'Ausgaben 2024'!H$6)</f>
        <v>0</v>
      </c>
      <c r="I27" s="21">
        <f>SUMIFS(Einzelbeträge!$D:$D,Einzelbeträge!$C:$C,'Ausgaben 2024'!$C27,Einzelbeträge!$E:$E,'Ausgaben 2024'!I$6)</f>
        <v>0</v>
      </c>
      <c r="J27" s="21">
        <f>SUMIFS(Einzelbeträge!$D:$D,Einzelbeträge!$C:$C,'Ausgaben 2024'!$C27,Einzelbeträge!$E:$E,'Ausgaben 2024'!J$6)</f>
        <v>0</v>
      </c>
      <c r="K27" s="21">
        <f>SUMIFS(Einzelbeträge!$D:$D,Einzelbeträge!$C:$C,'Ausgaben 2024'!$C27,Einzelbeträge!$E:$E,'Ausgaben 2024'!K$6)</f>
        <v>0</v>
      </c>
      <c r="L27" s="21">
        <f>SUMIFS(Einzelbeträge!$D:$D,Einzelbeträge!$C:$C,'Ausgaben 2024'!$C27,Einzelbeträge!$E:$E,'Ausgaben 2024'!L$6)</f>
        <v>0</v>
      </c>
      <c r="M27" s="21">
        <f>SUMIFS(Einzelbeträge!$D:$D,Einzelbeträge!$C:$C,'Ausgaben 2024'!$C27,Einzelbeträge!$E:$E,'Ausgaben 2024'!M$6)</f>
        <v>0</v>
      </c>
      <c r="N27" s="35">
        <f>SUMIFS(Einzelbeträge!$D:$D,Einzelbeträge!$C:$C,'Ausgaben 2024'!$C27,Einzelbeträge!$E:$E,'Ausgaben 2024'!N$6)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27.05.2024 - 02.06.2024</v>
      </c>
      <c r="S27" s="46">
        <f t="shared" si="2"/>
        <v>0</v>
      </c>
      <c r="T27" s="55">
        <f t="shared" si="15"/>
        <v>0</v>
      </c>
      <c r="U27" s="55">
        <f t="shared" si="16"/>
        <v>0</v>
      </c>
      <c r="V27" s="55">
        <f t="shared" si="17"/>
        <v>0</v>
      </c>
      <c r="W27" s="55">
        <f t="shared" si="18"/>
        <v>0</v>
      </c>
      <c r="X27" s="55">
        <f t="shared" si="19"/>
        <v>0</v>
      </c>
      <c r="Y27" s="55">
        <f t="shared" si="20"/>
        <v>0</v>
      </c>
      <c r="Z27" s="55">
        <f t="shared" si="21"/>
        <v>0</v>
      </c>
      <c r="AA27" s="55">
        <f t="shared" si="22"/>
        <v>0</v>
      </c>
      <c r="AB27" s="55">
        <f t="shared" si="23"/>
        <v>0</v>
      </c>
      <c r="AC27" s="56">
        <f t="shared" si="24"/>
        <v>0</v>
      </c>
      <c r="AD27" s="6"/>
    </row>
    <row r="28" spans="2:45" x14ac:dyDescent="0.35">
      <c r="B28" s="5"/>
      <c r="C28" s="40">
        <f t="shared" si="5"/>
        <v>45313</v>
      </c>
      <c r="D28" s="46">
        <f>SUMIFS(Einzelbeträge!$D:$D,Einzelbeträge!$C:$C,'Ausgaben 2024'!$C28)</f>
        <v>0</v>
      </c>
      <c r="E28" s="21">
        <f>SUMIFS(Einzelbeträge!$D:$D,Einzelbeträge!$C:$C,'Ausgaben 2024'!$C28,Einzelbeträge!$E:$E,'Ausgaben 2024'!E$6)</f>
        <v>0</v>
      </c>
      <c r="F28" s="21">
        <f>SUMIFS(Einzelbeträge!$D:$D,Einzelbeträge!$C:$C,'Ausgaben 2024'!$C28,Einzelbeträge!$E:$E,'Ausgaben 2024'!F$6)</f>
        <v>0</v>
      </c>
      <c r="G28" s="21">
        <f>SUMIFS(Einzelbeträge!$D:$D,Einzelbeträge!$C:$C,'Ausgaben 2024'!$C28,Einzelbeträge!$E:$E,'Ausgaben 2024'!G$6)</f>
        <v>0</v>
      </c>
      <c r="H28" s="21">
        <f>SUMIFS(Einzelbeträge!$D:$D,Einzelbeträge!$C:$C,'Ausgaben 2024'!$C28,Einzelbeträge!$E:$E,'Ausgaben 2024'!H$6)</f>
        <v>0</v>
      </c>
      <c r="I28" s="21">
        <f>SUMIFS(Einzelbeträge!$D:$D,Einzelbeträge!$C:$C,'Ausgaben 2024'!$C28,Einzelbeträge!$E:$E,'Ausgaben 2024'!I$6)</f>
        <v>0</v>
      </c>
      <c r="J28" s="21">
        <f>SUMIFS(Einzelbeträge!$D:$D,Einzelbeträge!$C:$C,'Ausgaben 2024'!$C28,Einzelbeträge!$E:$E,'Ausgaben 2024'!J$6)</f>
        <v>0</v>
      </c>
      <c r="K28" s="21">
        <f>SUMIFS(Einzelbeträge!$D:$D,Einzelbeträge!$C:$C,'Ausgaben 2024'!$C28,Einzelbeträge!$E:$E,'Ausgaben 2024'!K$6)</f>
        <v>0</v>
      </c>
      <c r="L28" s="21">
        <f>SUMIFS(Einzelbeträge!$D:$D,Einzelbeträge!$C:$C,'Ausgaben 2024'!$C28,Einzelbeträge!$E:$E,'Ausgaben 2024'!L$6)</f>
        <v>0</v>
      </c>
      <c r="M28" s="21">
        <f>SUMIFS(Einzelbeträge!$D:$D,Einzelbeträge!$C:$C,'Ausgaben 2024'!$C28,Einzelbeträge!$E:$E,'Ausgaben 2024'!M$6)</f>
        <v>0</v>
      </c>
      <c r="N28" s="35">
        <f>SUMIFS(Einzelbeträge!$D:$D,Einzelbeträge!$C:$C,'Ausgaben 2024'!$C28,Einzelbeträge!$E:$E,'Ausgaben 2024'!N$6)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03.06.2024 - 09.06.2024</v>
      </c>
      <c r="S28" s="46">
        <f t="shared" si="2"/>
        <v>0</v>
      </c>
      <c r="T28" s="55">
        <f t="shared" si="15"/>
        <v>0</v>
      </c>
      <c r="U28" s="55">
        <f t="shared" si="16"/>
        <v>0</v>
      </c>
      <c r="V28" s="55">
        <f t="shared" si="17"/>
        <v>0</v>
      </c>
      <c r="W28" s="55">
        <f t="shared" si="18"/>
        <v>0</v>
      </c>
      <c r="X28" s="55">
        <f t="shared" si="19"/>
        <v>0</v>
      </c>
      <c r="Y28" s="55">
        <f t="shared" si="20"/>
        <v>0</v>
      </c>
      <c r="Z28" s="55">
        <f t="shared" si="21"/>
        <v>0</v>
      </c>
      <c r="AA28" s="55">
        <f t="shared" si="22"/>
        <v>0</v>
      </c>
      <c r="AB28" s="55">
        <f t="shared" si="23"/>
        <v>0</v>
      </c>
      <c r="AC28" s="56">
        <f t="shared" si="24"/>
        <v>0</v>
      </c>
      <c r="AD28" s="6"/>
    </row>
    <row r="29" spans="2:45" x14ac:dyDescent="0.35">
      <c r="B29" s="5"/>
      <c r="C29" s="40">
        <f t="shared" si="5"/>
        <v>45314</v>
      </c>
      <c r="D29" s="46">
        <f>SUMIFS(Einzelbeträge!$D:$D,Einzelbeträge!$C:$C,'Ausgaben 2024'!$C29)</f>
        <v>0</v>
      </c>
      <c r="E29" s="21">
        <f>SUMIFS(Einzelbeträge!$D:$D,Einzelbeträge!$C:$C,'Ausgaben 2024'!$C29,Einzelbeträge!$E:$E,'Ausgaben 2024'!E$6)</f>
        <v>0</v>
      </c>
      <c r="F29" s="21">
        <f>SUMIFS(Einzelbeträge!$D:$D,Einzelbeträge!$C:$C,'Ausgaben 2024'!$C29,Einzelbeträge!$E:$E,'Ausgaben 2024'!F$6)</f>
        <v>0</v>
      </c>
      <c r="G29" s="21">
        <f>SUMIFS(Einzelbeträge!$D:$D,Einzelbeträge!$C:$C,'Ausgaben 2024'!$C29,Einzelbeträge!$E:$E,'Ausgaben 2024'!G$6)</f>
        <v>0</v>
      </c>
      <c r="H29" s="21">
        <f>SUMIFS(Einzelbeträge!$D:$D,Einzelbeträge!$C:$C,'Ausgaben 2024'!$C29,Einzelbeträge!$E:$E,'Ausgaben 2024'!H$6)</f>
        <v>0</v>
      </c>
      <c r="I29" s="21">
        <f>SUMIFS(Einzelbeträge!$D:$D,Einzelbeträge!$C:$C,'Ausgaben 2024'!$C29,Einzelbeträge!$E:$E,'Ausgaben 2024'!I$6)</f>
        <v>0</v>
      </c>
      <c r="J29" s="21">
        <f>SUMIFS(Einzelbeträge!$D:$D,Einzelbeträge!$C:$C,'Ausgaben 2024'!$C29,Einzelbeträge!$E:$E,'Ausgaben 2024'!J$6)</f>
        <v>0</v>
      </c>
      <c r="K29" s="21">
        <f>SUMIFS(Einzelbeträge!$D:$D,Einzelbeträge!$C:$C,'Ausgaben 2024'!$C29,Einzelbeträge!$E:$E,'Ausgaben 2024'!K$6)</f>
        <v>0</v>
      </c>
      <c r="L29" s="21">
        <f>SUMIFS(Einzelbeträge!$D:$D,Einzelbeträge!$C:$C,'Ausgaben 2024'!$C29,Einzelbeträge!$E:$E,'Ausgaben 2024'!L$6)</f>
        <v>0</v>
      </c>
      <c r="M29" s="21">
        <f>SUMIFS(Einzelbeträge!$D:$D,Einzelbeträge!$C:$C,'Ausgaben 2024'!$C29,Einzelbeträge!$E:$E,'Ausgaben 2024'!M$6)</f>
        <v>0</v>
      </c>
      <c r="N29" s="35">
        <f>SUMIFS(Einzelbeträge!$D:$D,Einzelbeträge!$C:$C,'Ausgaben 2024'!$C29,Einzelbeträge!$E:$E,'Ausgaben 2024'!N$6)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10.06.2024 - 16.06.2024</v>
      </c>
      <c r="S29" s="46">
        <f t="shared" si="2"/>
        <v>0</v>
      </c>
      <c r="T29" s="55">
        <f t="shared" si="15"/>
        <v>0</v>
      </c>
      <c r="U29" s="55">
        <f t="shared" si="16"/>
        <v>0</v>
      </c>
      <c r="V29" s="55">
        <f t="shared" si="17"/>
        <v>0</v>
      </c>
      <c r="W29" s="55">
        <f t="shared" si="18"/>
        <v>0</v>
      </c>
      <c r="X29" s="55">
        <f t="shared" si="19"/>
        <v>0</v>
      </c>
      <c r="Y29" s="55">
        <f t="shared" si="20"/>
        <v>0</v>
      </c>
      <c r="Z29" s="55">
        <f t="shared" si="21"/>
        <v>0</v>
      </c>
      <c r="AA29" s="55">
        <f t="shared" si="22"/>
        <v>0</v>
      </c>
      <c r="AB29" s="55">
        <f t="shared" si="23"/>
        <v>0</v>
      </c>
      <c r="AC29" s="56">
        <f t="shared" si="24"/>
        <v>0</v>
      </c>
      <c r="AD29" s="6"/>
    </row>
    <row r="30" spans="2:45" x14ac:dyDescent="0.35">
      <c r="B30" s="5"/>
      <c r="C30" s="40">
        <f t="shared" si="5"/>
        <v>45315</v>
      </c>
      <c r="D30" s="46">
        <f>SUMIFS(Einzelbeträge!$D:$D,Einzelbeträge!$C:$C,'Ausgaben 2024'!$C30)</f>
        <v>0</v>
      </c>
      <c r="E30" s="21">
        <f>SUMIFS(Einzelbeträge!$D:$D,Einzelbeträge!$C:$C,'Ausgaben 2024'!$C30,Einzelbeträge!$E:$E,'Ausgaben 2024'!E$6)</f>
        <v>0</v>
      </c>
      <c r="F30" s="21">
        <f>SUMIFS(Einzelbeträge!$D:$D,Einzelbeträge!$C:$C,'Ausgaben 2024'!$C30,Einzelbeträge!$E:$E,'Ausgaben 2024'!F$6)</f>
        <v>0</v>
      </c>
      <c r="G30" s="21">
        <f>SUMIFS(Einzelbeträge!$D:$D,Einzelbeträge!$C:$C,'Ausgaben 2024'!$C30,Einzelbeträge!$E:$E,'Ausgaben 2024'!G$6)</f>
        <v>0</v>
      </c>
      <c r="H30" s="21">
        <f>SUMIFS(Einzelbeträge!$D:$D,Einzelbeträge!$C:$C,'Ausgaben 2024'!$C30,Einzelbeträge!$E:$E,'Ausgaben 2024'!H$6)</f>
        <v>0</v>
      </c>
      <c r="I30" s="21">
        <f>SUMIFS(Einzelbeträge!$D:$D,Einzelbeträge!$C:$C,'Ausgaben 2024'!$C30,Einzelbeträge!$E:$E,'Ausgaben 2024'!I$6)</f>
        <v>0</v>
      </c>
      <c r="J30" s="21">
        <f>SUMIFS(Einzelbeträge!$D:$D,Einzelbeträge!$C:$C,'Ausgaben 2024'!$C30,Einzelbeträge!$E:$E,'Ausgaben 2024'!J$6)</f>
        <v>0</v>
      </c>
      <c r="K30" s="21">
        <f>SUMIFS(Einzelbeträge!$D:$D,Einzelbeträge!$C:$C,'Ausgaben 2024'!$C30,Einzelbeträge!$E:$E,'Ausgaben 2024'!K$6)</f>
        <v>0</v>
      </c>
      <c r="L30" s="21">
        <f>SUMIFS(Einzelbeträge!$D:$D,Einzelbeträge!$C:$C,'Ausgaben 2024'!$C30,Einzelbeträge!$E:$E,'Ausgaben 2024'!L$6)</f>
        <v>0</v>
      </c>
      <c r="M30" s="21">
        <f>SUMIFS(Einzelbeträge!$D:$D,Einzelbeträge!$C:$C,'Ausgaben 2024'!$C30,Einzelbeträge!$E:$E,'Ausgaben 2024'!M$6)</f>
        <v>0</v>
      </c>
      <c r="N30" s="35">
        <f>SUMIFS(Einzelbeträge!$D:$D,Einzelbeträge!$C:$C,'Ausgaben 2024'!$C30,Einzelbeträge!$E:$E,'Ausgaben 2024'!N$6)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17.06.2024 - 23.06.2024</v>
      </c>
      <c r="S30" s="46">
        <f t="shared" si="2"/>
        <v>0</v>
      </c>
      <c r="T30" s="55">
        <f t="shared" si="15"/>
        <v>0</v>
      </c>
      <c r="U30" s="55">
        <f t="shared" si="16"/>
        <v>0</v>
      </c>
      <c r="V30" s="55">
        <f t="shared" si="17"/>
        <v>0</v>
      </c>
      <c r="W30" s="55">
        <f t="shared" si="18"/>
        <v>0</v>
      </c>
      <c r="X30" s="55">
        <f t="shared" si="19"/>
        <v>0</v>
      </c>
      <c r="Y30" s="55">
        <f t="shared" si="20"/>
        <v>0</v>
      </c>
      <c r="Z30" s="55">
        <f t="shared" si="21"/>
        <v>0</v>
      </c>
      <c r="AA30" s="55">
        <f t="shared" si="22"/>
        <v>0</v>
      </c>
      <c r="AB30" s="55">
        <f t="shared" si="23"/>
        <v>0</v>
      </c>
      <c r="AC30" s="56">
        <f t="shared" si="24"/>
        <v>0</v>
      </c>
      <c r="AD30" s="6"/>
    </row>
    <row r="31" spans="2:45" x14ac:dyDescent="0.35">
      <c r="B31" s="5"/>
      <c r="C31" s="40">
        <f t="shared" si="5"/>
        <v>45316</v>
      </c>
      <c r="D31" s="46">
        <f>SUMIFS(Einzelbeträge!$D:$D,Einzelbeträge!$C:$C,'Ausgaben 2024'!$C31)</f>
        <v>0</v>
      </c>
      <c r="E31" s="21">
        <f>SUMIFS(Einzelbeträge!$D:$D,Einzelbeträge!$C:$C,'Ausgaben 2024'!$C31,Einzelbeträge!$E:$E,'Ausgaben 2024'!E$6)</f>
        <v>0</v>
      </c>
      <c r="F31" s="21">
        <f>SUMIFS(Einzelbeträge!$D:$D,Einzelbeträge!$C:$C,'Ausgaben 2024'!$C31,Einzelbeträge!$E:$E,'Ausgaben 2024'!F$6)</f>
        <v>0</v>
      </c>
      <c r="G31" s="21">
        <f>SUMIFS(Einzelbeträge!$D:$D,Einzelbeträge!$C:$C,'Ausgaben 2024'!$C31,Einzelbeträge!$E:$E,'Ausgaben 2024'!G$6)</f>
        <v>0</v>
      </c>
      <c r="H31" s="21">
        <f>SUMIFS(Einzelbeträge!$D:$D,Einzelbeträge!$C:$C,'Ausgaben 2024'!$C31,Einzelbeträge!$E:$E,'Ausgaben 2024'!H$6)</f>
        <v>0</v>
      </c>
      <c r="I31" s="21">
        <f>SUMIFS(Einzelbeträge!$D:$D,Einzelbeträge!$C:$C,'Ausgaben 2024'!$C31,Einzelbeträge!$E:$E,'Ausgaben 2024'!I$6)</f>
        <v>0</v>
      </c>
      <c r="J31" s="21">
        <f>SUMIFS(Einzelbeträge!$D:$D,Einzelbeträge!$C:$C,'Ausgaben 2024'!$C31,Einzelbeträge!$E:$E,'Ausgaben 2024'!J$6)</f>
        <v>0</v>
      </c>
      <c r="K31" s="21">
        <f>SUMIFS(Einzelbeträge!$D:$D,Einzelbeträge!$C:$C,'Ausgaben 2024'!$C31,Einzelbeträge!$E:$E,'Ausgaben 2024'!K$6)</f>
        <v>0</v>
      </c>
      <c r="L31" s="21">
        <f>SUMIFS(Einzelbeträge!$D:$D,Einzelbeträge!$C:$C,'Ausgaben 2024'!$C31,Einzelbeträge!$E:$E,'Ausgaben 2024'!L$6)</f>
        <v>0</v>
      </c>
      <c r="M31" s="21">
        <f>SUMIFS(Einzelbeträge!$D:$D,Einzelbeträge!$C:$C,'Ausgaben 2024'!$C31,Einzelbeträge!$E:$E,'Ausgaben 2024'!M$6)</f>
        <v>0</v>
      </c>
      <c r="N31" s="35">
        <f>SUMIFS(Einzelbeträge!$D:$D,Einzelbeträge!$C:$C,'Ausgaben 2024'!$C31,Einzelbeträge!$E:$E,'Ausgaben 2024'!N$6)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24.06.2024 - 30.06.2024</v>
      </c>
      <c r="S31" s="46">
        <f t="shared" si="2"/>
        <v>0</v>
      </c>
      <c r="T31" s="55">
        <f t="shared" si="15"/>
        <v>0</v>
      </c>
      <c r="U31" s="55">
        <f t="shared" si="16"/>
        <v>0</v>
      </c>
      <c r="V31" s="55">
        <f t="shared" si="17"/>
        <v>0</v>
      </c>
      <c r="W31" s="55">
        <f t="shared" si="18"/>
        <v>0</v>
      </c>
      <c r="X31" s="55">
        <f t="shared" si="19"/>
        <v>0</v>
      </c>
      <c r="Y31" s="55">
        <f t="shared" si="20"/>
        <v>0</v>
      </c>
      <c r="Z31" s="55">
        <f t="shared" si="21"/>
        <v>0</v>
      </c>
      <c r="AA31" s="55">
        <f t="shared" si="22"/>
        <v>0</v>
      </c>
      <c r="AB31" s="55">
        <f t="shared" si="23"/>
        <v>0</v>
      </c>
      <c r="AC31" s="56">
        <f t="shared" si="24"/>
        <v>0</v>
      </c>
      <c r="AD31" s="6"/>
    </row>
    <row r="32" spans="2:45" x14ac:dyDescent="0.35">
      <c r="B32" s="5"/>
      <c r="C32" s="40">
        <f t="shared" si="5"/>
        <v>45317</v>
      </c>
      <c r="D32" s="46">
        <f>SUMIFS(Einzelbeträge!$D:$D,Einzelbeträge!$C:$C,'Ausgaben 2024'!$C32)</f>
        <v>0</v>
      </c>
      <c r="E32" s="21">
        <f>SUMIFS(Einzelbeträge!$D:$D,Einzelbeträge!$C:$C,'Ausgaben 2024'!$C32,Einzelbeträge!$E:$E,'Ausgaben 2024'!E$6)</f>
        <v>0</v>
      </c>
      <c r="F32" s="21">
        <f>SUMIFS(Einzelbeträge!$D:$D,Einzelbeträge!$C:$C,'Ausgaben 2024'!$C32,Einzelbeträge!$E:$E,'Ausgaben 2024'!F$6)</f>
        <v>0</v>
      </c>
      <c r="G32" s="21">
        <f>SUMIFS(Einzelbeträge!$D:$D,Einzelbeträge!$C:$C,'Ausgaben 2024'!$C32,Einzelbeträge!$E:$E,'Ausgaben 2024'!G$6)</f>
        <v>0</v>
      </c>
      <c r="H32" s="21">
        <f>SUMIFS(Einzelbeträge!$D:$D,Einzelbeträge!$C:$C,'Ausgaben 2024'!$C32,Einzelbeträge!$E:$E,'Ausgaben 2024'!H$6)</f>
        <v>0</v>
      </c>
      <c r="I32" s="21">
        <f>SUMIFS(Einzelbeträge!$D:$D,Einzelbeträge!$C:$C,'Ausgaben 2024'!$C32,Einzelbeträge!$E:$E,'Ausgaben 2024'!I$6)</f>
        <v>0</v>
      </c>
      <c r="J32" s="21">
        <f>SUMIFS(Einzelbeträge!$D:$D,Einzelbeträge!$C:$C,'Ausgaben 2024'!$C32,Einzelbeträge!$E:$E,'Ausgaben 2024'!J$6)</f>
        <v>0</v>
      </c>
      <c r="K32" s="21">
        <f>SUMIFS(Einzelbeträge!$D:$D,Einzelbeträge!$C:$C,'Ausgaben 2024'!$C32,Einzelbeträge!$E:$E,'Ausgaben 2024'!K$6)</f>
        <v>0</v>
      </c>
      <c r="L32" s="21">
        <f>SUMIFS(Einzelbeträge!$D:$D,Einzelbeträge!$C:$C,'Ausgaben 2024'!$C32,Einzelbeträge!$E:$E,'Ausgaben 2024'!L$6)</f>
        <v>0</v>
      </c>
      <c r="M32" s="21">
        <f>SUMIFS(Einzelbeträge!$D:$D,Einzelbeträge!$C:$C,'Ausgaben 2024'!$C32,Einzelbeträge!$E:$E,'Ausgaben 2024'!M$6)</f>
        <v>0</v>
      </c>
      <c r="N32" s="35">
        <f>SUMIFS(Einzelbeträge!$D:$D,Einzelbeträge!$C:$C,'Ausgaben 2024'!$C32,Einzelbeträge!$E:$E,'Ausgaben 2024'!N$6)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01.07.2024 - 07.07.2024</v>
      </c>
      <c r="S32" s="46">
        <f t="shared" si="2"/>
        <v>0</v>
      </c>
      <c r="T32" s="55">
        <f t="shared" si="15"/>
        <v>0</v>
      </c>
      <c r="U32" s="55">
        <f t="shared" si="16"/>
        <v>0</v>
      </c>
      <c r="V32" s="55">
        <f t="shared" si="17"/>
        <v>0</v>
      </c>
      <c r="W32" s="55">
        <f t="shared" si="18"/>
        <v>0</v>
      </c>
      <c r="X32" s="55">
        <f t="shared" si="19"/>
        <v>0</v>
      </c>
      <c r="Y32" s="55">
        <f t="shared" si="20"/>
        <v>0</v>
      </c>
      <c r="Z32" s="55">
        <f t="shared" si="21"/>
        <v>0</v>
      </c>
      <c r="AA32" s="55">
        <f t="shared" si="22"/>
        <v>0</v>
      </c>
      <c r="AB32" s="55">
        <f t="shared" si="23"/>
        <v>0</v>
      </c>
      <c r="AC32" s="56">
        <f t="shared" si="24"/>
        <v>0</v>
      </c>
      <c r="AD32" s="6"/>
    </row>
    <row r="33" spans="2:30" x14ac:dyDescent="0.35">
      <c r="B33" s="5"/>
      <c r="C33" s="40">
        <f t="shared" si="5"/>
        <v>45318</v>
      </c>
      <c r="D33" s="46">
        <f>SUMIFS(Einzelbeträge!$D:$D,Einzelbeträge!$C:$C,'Ausgaben 2024'!$C33)</f>
        <v>0</v>
      </c>
      <c r="E33" s="21">
        <f>SUMIFS(Einzelbeträge!$D:$D,Einzelbeträge!$C:$C,'Ausgaben 2024'!$C33,Einzelbeträge!$E:$E,'Ausgaben 2024'!E$6)</f>
        <v>0</v>
      </c>
      <c r="F33" s="21">
        <f>SUMIFS(Einzelbeträge!$D:$D,Einzelbeträge!$C:$C,'Ausgaben 2024'!$C33,Einzelbeträge!$E:$E,'Ausgaben 2024'!F$6)</f>
        <v>0</v>
      </c>
      <c r="G33" s="21">
        <f>SUMIFS(Einzelbeträge!$D:$D,Einzelbeträge!$C:$C,'Ausgaben 2024'!$C33,Einzelbeträge!$E:$E,'Ausgaben 2024'!G$6)</f>
        <v>0</v>
      </c>
      <c r="H33" s="21">
        <f>SUMIFS(Einzelbeträge!$D:$D,Einzelbeträge!$C:$C,'Ausgaben 2024'!$C33,Einzelbeträge!$E:$E,'Ausgaben 2024'!H$6)</f>
        <v>0</v>
      </c>
      <c r="I33" s="21">
        <f>SUMIFS(Einzelbeträge!$D:$D,Einzelbeträge!$C:$C,'Ausgaben 2024'!$C33,Einzelbeträge!$E:$E,'Ausgaben 2024'!I$6)</f>
        <v>0</v>
      </c>
      <c r="J33" s="21">
        <f>SUMIFS(Einzelbeträge!$D:$D,Einzelbeträge!$C:$C,'Ausgaben 2024'!$C33,Einzelbeträge!$E:$E,'Ausgaben 2024'!J$6)</f>
        <v>0</v>
      </c>
      <c r="K33" s="21">
        <f>SUMIFS(Einzelbeträge!$D:$D,Einzelbeträge!$C:$C,'Ausgaben 2024'!$C33,Einzelbeträge!$E:$E,'Ausgaben 2024'!K$6)</f>
        <v>0</v>
      </c>
      <c r="L33" s="21">
        <f>SUMIFS(Einzelbeträge!$D:$D,Einzelbeträge!$C:$C,'Ausgaben 2024'!$C33,Einzelbeträge!$E:$E,'Ausgaben 2024'!L$6)</f>
        <v>0</v>
      </c>
      <c r="M33" s="21">
        <f>SUMIFS(Einzelbeträge!$D:$D,Einzelbeträge!$C:$C,'Ausgaben 2024'!$C33,Einzelbeträge!$E:$E,'Ausgaben 2024'!M$6)</f>
        <v>0</v>
      </c>
      <c r="N33" s="35">
        <f>SUMIFS(Einzelbeträge!$D:$D,Einzelbeträge!$C:$C,'Ausgaben 2024'!$C33,Einzelbeträge!$E:$E,'Ausgaben 2024'!N$6)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08.07.2024 - 14.07.2024</v>
      </c>
      <c r="S33" s="46">
        <f t="shared" si="2"/>
        <v>0</v>
      </c>
      <c r="T33" s="55">
        <f t="shared" si="15"/>
        <v>0</v>
      </c>
      <c r="U33" s="55">
        <f t="shared" si="16"/>
        <v>0</v>
      </c>
      <c r="V33" s="55">
        <f t="shared" si="17"/>
        <v>0</v>
      </c>
      <c r="W33" s="55">
        <f t="shared" si="18"/>
        <v>0</v>
      </c>
      <c r="X33" s="55">
        <f t="shared" si="19"/>
        <v>0</v>
      </c>
      <c r="Y33" s="55">
        <f t="shared" si="20"/>
        <v>0</v>
      </c>
      <c r="Z33" s="55">
        <f t="shared" si="21"/>
        <v>0</v>
      </c>
      <c r="AA33" s="55">
        <f t="shared" si="22"/>
        <v>0</v>
      </c>
      <c r="AB33" s="55">
        <f t="shared" si="23"/>
        <v>0</v>
      </c>
      <c r="AC33" s="56">
        <f t="shared" si="24"/>
        <v>0</v>
      </c>
      <c r="AD33" s="6"/>
    </row>
    <row r="34" spans="2:30" x14ac:dyDescent="0.35">
      <c r="B34" s="5"/>
      <c r="C34" s="40">
        <f t="shared" si="5"/>
        <v>45319</v>
      </c>
      <c r="D34" s="46">
        <f>SUMIFS(Einzelbeträge!$D:$D,Einzelbeträge!$C:$C,'Ausgaben 2024'!$C34)</f>
        <v>0</v>
      </c>
      <c r="E34" s="21">
        <f>SUMIFS(Einzelbeträge!$D:$D,Einzelbeträge!$C:$C,'Ausgaben 2024'!$C34,Einzelbeträge!$E:$E,'Ausgaben 2024'!E$6)</f>
        <v>0</v>
      </c>
      <c r="F34" s="21">
        <f>SUMIFS(Einzelbeträge!$D:$D,Einzelbeträge!$C:$C,'Ausgaben 2024'!$C34,Einzelbeträge!$E:$E,'Ausgaben 2024'!F$6)</f>
        <v>0</v>
      </c>
      <c r="G34" s="21">
        <f>SUMIFS(Einzelbeträge!$D:$D,Einzelbeträge!$C:$C,'Ausgaben 2024'!$C34,Einzelbeträge!$E:$E,'Ausgaben 2024'!G$6)</f>
        <v>0</v>
      </c>
      <c r="H34" s="21">
        <f>SUMIFS(Einzelbeträge!$D:$D,Einzelbeträge!$C:$C,'Ausgaben 2024'!$C34,Einzelbeträge!$E:$E,'Ausgaben 2024'!H$6)</f>
        <v>0</v>
      </c>
      <c r="I34" s="21">
        <f>SUMIFS(Einzelbeträge!$D:$D,Einzelbeträge!$C:$C,'Ausgaben 2024'!$C34,Einzelbeträge!$E:$E,'Ausgaben 2024'!I$6)</f>
        <v>0</v>
      </c>
      <c r="J34" s="21">
        <f>SUMIFS(Einzelbeträge!$D:$D,Einzelbeträge!$C:$C,'Ausgaben 2024'!$C34,Einzelbeträge!$E:$E,'Ausgaben 2024'!J$6)</f>
        <v>0</v>
      </c>
      <c r="K34" s="21">
        <f>SUMIFS(Einzelbeträge!$D:$D,Einzelbeträge!$C:$C,'Ausgaben 2024'!$C34,Einzelbeträge!$E:$E,'Ausgaben 2024'!K$6)</f>
        <v>0</v>
      </c>
      <c r="L34" s="21">
        <f>SUMIFS(Einzelbeträge!$D:$D,Einzelbeträge!$C:$C,'Ausgaben 2024'!$C34,Einzelbeträge!$E:$E,'Ausgaben 2024'!L$6)</f>
        <v>0</v>
      </c>
      <c r="M34" s="21">
        <f>SUMIFS(Einzelbeträge!$D:$D,Einzelbeträge!$C:$C,'Ausgaben 2024'!$C34,Einzelbeträge!$E:$E,'Ausgaben 2024'!M$6)</f>
        <v>0</v>
      </c>
      <c r="N34" s="35">
        <f>SUMIFS(Einzelbeträge!$D:$D,Einzelbeträge!$C:$C,'Ausgaben 2024'!$C34,Einzelbeträge!$E:$E,'Ausgaben 2024'!N$6)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15.07.2024 - 21.07.2024</v>
      </c>
      <c r="S34" s="46">
        <f t="shared" si="2"/>
        <v>0</v>
      </c>
      <c r="T34" s="55">
        <f t="shared" si="15"/>
        <v>0</v>
      </c>
      <c r="U34" s="55">
        <f t="shared" si="16"/>
        <v>0</v>
      </c>
      <c r="V34" s="55">
        <f t="shared" si="17"/>
        <v>0</v>
      </c>
      <c r="W34" s="55">
        <f t="shared" si="18"/>
        <v>0</v>
      </c>
      <c r="X34" s="55">
        <f t="shared" si="19"/>
        <v>0</v>
      </c>
      <c r="Y34" s="55">
        <f t="shared" si="20"/>
        <v>0</v>
      </c>
      <c r="Z34" s="55">
        <f t="shared" si="21"/>
        <v>0</v>
      </c>
      <c r="AA34" s="55">
        <f t="shared" si="22"/>
        <v>0</v>
      </c>
      <c r="AB34" s="55">
        <f t="shared" si="23"/>
        <v>0</v>
      </c>
      <c r="AC34" s="56">
        <f t="shared" si="24"/>
        <v>0</v>
      </c>
      <c r="AD34" s="6"/>
    </row>
    <row r="35" spans="2:30" x14ac:dyDescent="0.35">
      <c r="B35" s="5"/>
      <c r="C35" s="40">
        <f t="shared" si="5"/>
        <v>45320</v>
      </c>
      <c r="D35" s="46">
        <f>SUMIFS(Einzelbeträge!$D:$D,Einzelbeträge!$C:$C,'Ausgaben 2024'!$C35)</f>
        <v>0</v>
      </c>
      <c r="E35" s="21">
        <f>SUMIFS(Einzelbeträge!$D:$D,Einzelbeträge!$C:$C,'Ausgaben 2024'!$C35,Einzelbeträge!$E:$E,'Ausgaben 2024'!E$6)</f>
        <v>0</v>
      </c>
      <c r="F35" s="21">
        <f>SUMIFS(Einzelbeträge!$D:$D,Einzelbeträge!$C:$C,'Ausgaben 2024'!$C35,Einzelbeträge!$E:$E,'Ausgaben 2024'!F$6)</f>
        <v>0</v>
      </c>
      <c r="G35" s="21">
        <f>SUMIFS(Einzelbeträge!$D:$D,Einzelbeträge!$C:$C,'Ausgaben 2024'!$C35,Einzelbeträge!$E:$E,'Ausgaben 2024'!G$6)</f>
        <v>0</v>
      </c>
      <c r="H35" s="21">
        <f>SUMIFS(Einzelbeträge!$D:$D,Einzelbeträge!$C:$C,'Ausgaben 2024'!$C35,Einzelbeträge!$E:$E,'Ausgaben 2024'!H$6)</f>
        <v>0</v>
      </c>
      <c r="I35" s="21">
        <f>SUMIFS(Einzelbeträge!$D:$D,Einzelbeträge!$C:$C,'Ausgaben 2024'!$C35,Einzelbeträge!$E:$E,'Ausgaben 2024'!I$6)</f>
        <v>0</v>
      </c>
      <c r="J35" s="21">
        <f>SUMIFS(Einzelbeträge!$D:$D,Einzelbeträge!$C:$C,'Ausgaben 2024'!$C35,Einzelbeträge!$E:$E,'Ausgaben 2024'!J$6)</f>
        <v>0</v>
      </c>
      <c r="K35" s="21">
        <f>SUMIFS(Einzelbeträge!$D:$D,Einzelbeträge!$C:$C,'Ausgaben 2024'!$C35,Einzelbeträge!$E:$E,'Ausgaben 2024'!K$6)</f>
        <v>0</v>
      </c>
      <c r="L35" s="21">
        <f>SUMIFS(Einzelbeträge!$D:$D,Einzelbeträge!$C:$C,'Ausgaben 2024'!$C35,Einzelbeträge!$E:$E,'Ausgaben 2024'!L$6)</f>
        <v>0</v>
      </c>
      <c r="M35" s="21">
        <f>SUMIFS(Einzelbeträge!$D:$D,Einzelbeträge!$C:$C,'Ausgaben 2024'!$C35,Einzelbeträge!$E:$E,'Ausgaben 2024'!M$6)</f>
        <v>0</v>
      </c>
      <c r="N35" s="35">
        <f>SUMIFS(Einzelbeträge!$D:$D,Einzelbeträge!$C:$C,'Ausgaben 2024'!$C35,Einzelbeträge!$E:$E,'Ausgaben 2024'!N$6)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22.07.2024 - 28.07.2024</v>
      </c>
      <c r="S35" s="46">
        <f t="shared" si="2"/>
        <v>0</v>
      </c>
      <c r="T35" s="55">
        <f t="shared" si="15"/>
        <v>0</v>
      </c>
      <c r="U35" s="55">
        <f t="shared" si="16"/>
        <v>0</v>
      </c>
      <c r="V35" s="55">
        <f t="shared" si="17"/>
        <v>0</v>
      </c>
      <c r="W35" s="55">
        <f t="shared" si="18"/>
        <v>0</v>
      </c>
      <c r="X35" s="55">
        <f t="shared" si="19"/>
        <v>0</v>
      </c>
      <c r="Y35" s="55">
        <f t="shared" si="20"/>
        <v>0</v>
      </c>
      <c r="Z35" s="55">
        <f t="shared" si="21"/>
        <v>0</v>
      </c>
      <c r="AA35" s="55">
        <f t="shared" si="22"/>
        <v>0</v>
      </c>
      <c r="AB35" s="55">
        <f t="shared" si="23"/>
        <v>0</v>
      </c>
      <c r="AC35" s="56">
        <f t="shared" si="24"/>
        <v>0</v>
      </c>
      <c r="AD35" s="6"/>
    </row>
    <row r="36" spans="2:30" x14ac:dyDescent="0.35">
      <c r="B36" s="5"/>
      <c r="C36" s="40">
        <f t="shared" si="5"/>
        <v>45321</v>
      </c>
      <c r="D36" s="46">
        <f>SUMIFS(Einzelbeträge!$D:$D,Einzelbeträge!$C:$C,'Ausgaben 2024'!$C36)</f>
        <v>0</v>
      </c>
      <c r="E36" s="21">
        <f>SUMIFS(Einzelbeträge!$D:$D,Einzelbeträge!$C:$C,'Ausgaben 2024'!$C36,Einzelbeträge!$E:$E,'Ausgaben 2024'!E$6)</f>
        <v>0</v>
      </c>
      <c r="F36" s="21">
        <f>SUMIFS(Einzelbeträge!$D:$D,Einzelbeträge!$C:$C,'Ausgaben 2024'!$C36,Einzelbeträge!$E:$E,'Ausgaben 2024'!F$6)</f>
        <v>0</v>
      </c>
      <c r="G36" s="21">
        <f>SUMIFS(Einzelbeträge!$D:$D,Einzelbeträge!$C:$C,'Ausgaben 2024'!$C36,Einzelbeträge!$E:$E,'Ausgaben 2024'!G$6)</f>
        <v>0</v>
      </c>
      <c r="H36" s="21">
        <f>SUMIFS(Einzelbeträge!$D:$D,Einzelbeträge!$C:$C,'Ausgaben 2024'!$C36,Einzelbeträge!$E:$E,'Ausgaben 2024'!H$6)</f>
        <v>0</v>
      </c>
      <c r="I36" s="21">
        <f>SUMIFS(Einzelbeträge!$D:$D,Einzelbeträge!$C:$C,'Ausgaben 2024'!$C36,Einzelbeträge!$E:$E,'Ausgaben 2024'!I$6)</f>
        <v>0</v>
      </c>
      <c r="J36" s="21">
        <f>SUMIFS(Einzelbeträge!$D:$D,Einzelbeträge!$C:$C,'Ausgaben 2024'!$C36,Einzelbeträge!$E:$E,'Ausgaben 2024'!J$6)</f>
        <v>0</v>
      </c>
      <c r="K36" s="21">
        <f>SUMIFS(Einzelbeträge!$D:$D,Einzelbeträge!$C:$C,'Ausgaben 2024'!$C36,Einzelbeträge!$E:$E,'Ausgaben 2024'!K$6)</f>
        <v>0</v>
      </c>
      <c r="L36" s="21">
        <f>SUMIFS(Einzelbeträge!$D:$D,Einzelbeträge!$C:$C,'Ausgaben 2024'!$C36,Einzelbeträge!$E:$E,'Ausgaben 2024'!L$6)</f>
        <v>0</v>
      </c>
      <c r="M36" s="21">
        <f>SUMIFS(Einzelbeträge!$D:$D,Einzelbeträge!$C:$C,'Ausgaben 2024'!$C36,Einzelbeträge!$E:$E,'Ausgaben 2024'!M$6)</f>
        <v>0</v>
      </c>
      <c r="N36" s="35">
        <f>SUMIFS(Einzelbeträge!$D:$D,Einzelbeträge!$C:$C,'Ausgaben 2024'!$C36,Einzelbeträge!$E:$E,'Ausgaben 2024'!N$6)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29.07.2024 - 04.08.2024</v>
      </c>
      <c r="S36" s="46">
        <f t="shared" si="2"/>
        <v>0</v>
      </c>
      <c r="T36" s="55">
        <f t="shared" si="15"/>
        <v>0</v>
      </c>
      <c r="U36" s="55">
        <f t="shared" si="16"/>
        <v>0</v>
      </c>
      <c r="V36" s="55">
        <f t="shared" si="17"/>
        <v>0</v>
      </c>
      <c r="W36" s="55">
        <f t="shared" si="18"/>
        <v>0</v>
      </c>
      <c r="X36" s="55">
        <f t="shared" si="19"/>
        <v>0</v>
      </c>
      <c r="Y36" s="55">
        <f t="shared" si="20"/>
        <v>0</v>
      </c>
      <c r="Z36" s="55">
        <f t="shared" si="21"/>
        <v>0</v>
      </c>
      <c r="AA36" s="55">
        <f t="shared" si="22"/>
        <v>0</v>
      </c>
      <c r="AB36" s="55">
        <f t="shared" si="23"/>
        <v>0</v>
      </c>
      <c r="AC36" s="56">
        <f t="shared" si="24"/>
        <v>0</v>
      </c>
      <c r="AD36" s="6"/>
    </row>
    <row r="37" spans="2:30" x14ac:dyDescent="0.35">
      <c r="B37" s="5"/>
      <c r="C37" s="31">
        <f t="shared" si="5"/>
        <v>45322</v>
      </c>
      <c r="D37" s="47">
        <f>SUMIFS(Einzelbeträge!$D:$D,Einzelbeträge!$C:$C,'Ausgaben 2024'!$C37)</f>
        <v>0</v>
      </c>
      <c r="E37" s="37">
        <f>SUMIFS(Einzelbeträge!$D:$D,Einzelbeträge!$C:$C,'Ausgaben 2024'!$C37,Einzelbeträge!$E:$E,'Ausgaben 2024'!E$6)</f>
        <v>0</v>
      </c>
      <c r="F37" s="37">
        <f>SUMIFS(Einzelbeträge!$D:$D,Einzelbeträge!$C:$C,'Ausgaben 2024'!$C37,Einzelbeträge!$E:$E,'Ausgaben 2024'!F$6)</f>
        <v>0</v>
      </c>
      <c r="G37" s="37">
        <f>SUMIFS(Einzelbeträge!$D:$D,Einzelbeträge!$C:$C,'Ausgaben 2024'!$C37,Einzelbeträge!$E:$E,'Ausgaben 2024'!G$6)</f>
        <v>0</v>
      </c>
      <c r="H37" s="37">
        <f>SUMIFS(Einzelbeträge!$D:$D,Einzelbeträge!$C:$C,'Ausgaben 2024'!$C37,Einzelbeträge!$E:$E,'Ausgaben 2024'!H$6)</f>
        <v>0</v>
      </c>
      <c r="I37" s="37">
        <f>SUMIFS(Einzelbeträge!$D:$D,Einzelbeträge!$C:$C,'Ausgaben 2024'!$C37,Einzelbeträge!$E:$E,'Ausgaben 2024'!I$6)</f>
        <v>0</v>
      </c>
      <c r="J37" s="37">
        <f>SUMIFS(Einzelbeträge!$D:$D,Einzelbeträge!$C:$C,'Ausgaben 2024'!$C37,Einzelbeträge!$E:$E,'Ausgaben 2024'!J$6)</f>
        <v>0</v>
      </c>
      <c r="K37" s="37">
        <f>SUMIFS(Einzelbeträge!$D:$D,Einzelbeträge!$C:$C,'Ausgaben 2024'!$C37,Einzelbeträge!$E:$E,'Ausgaben 2024'!K$6)</f>
        <v>0</v>
      </c>
      <c r="L37" s="37">
        <f>SUMIFS(Einzelbeträge!$D:$D,Einzelbeträge!$C:$C,'Ausgaben 2024'!$C37,Einzelbeträge!$E:$E,'Ausgaben 2024'!L$6)</f>
        <v>0</v>
      </c>
      <c r="M37" s="37">
        <f>SUMIFS(Einzelbeträge!$D:$D,Einzelbeträge!$C:$C,'Ausgaben 2024'!$C37,Einzelbeträge!$E:$E,'Ausgaben 2024'!M$6)</f>
        <v>0</v>
      </c>
      <c r="N37" s="38">
        <f>SUMIFS(Einzelbeträge!$D:$D,Einzelbeträge!$C:$C,'Ausgaben 2024'!$C37,Einzelbeträge!$E:$E,'Ausgaben 2024'!N$6)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05.08.2024 - 11.08.2024</v>
      </c>
      <c r="S37" s="46">
        <f t="shared" si="2"/>
        <v>0</v>
      </c>
      <c r="T37" s="55">
        <f t="shared" si="15"/>
        <v>0</v>
      </c>
      <c r="U37" s="55">
        <f t="shared" si="16"/>
        <v>0</v>
      </c>
      <c r="V37" s="55">
        <f t="shared" si="17"/>
        <v>0</v>
      </c>
      <c r="W37" s="55">
        <f t="shared" si="18"/>
        <v>0</v>
      </c>
      <c r="X37" s="55">
        <f t="shared" si="19"/>
        <v>0</v>
      </c>
      <c r="Y37" s="55">
        <f t="shared" si="20"/>
        <v>0</v>
      </c>
      <c r="Z37" s="55">
        <f t="shared" si="21"/>
        <v>0</v>
      </c>
      <c r="AA37" s="55">
        <f t="shared" si="22"/>
        <v>0</v>
      </c>
      <c r="AB37" s="55">
        <f t="shared" si="23"/>
        <v>0</v>
      </c>
      <c r="AC37" s="56">
        <f t="shared" si="24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12.08.2024 - 18.08.2024</v>
      </c>
      <c r="S38" s="46">
        <f t="shared" si="2"/>
        <v>0</v>
      </c>
      <c r="T38" s="55">
        <f t="shared" si="15"/>
        <v>0</v>
      </c>
      <c r="U38" s="55">
        <f t="shared" si="16"/>
        <v>0</v>
      </c>
      <c r="V38" s="55">
        <f t="shared" si="17"/>
        <v>0</v>
      </c>
      <c r="W38" s="55">
        <f t="shared" si="18"/>
        <v>0</v>
      </c>
      <c r="X38" s="55">
        <f t="shared" si="19"/>
        <v>0</v>
      </c>
      <c r="Y38" s="55">
        <f t="shared" si="20"/>
        <v>0</v>
      </c>
      <c r="Z38" s="55">
        <f t="shared" si="21"/>
        <v>0</v>
      </c>
      <c r="AA38" s="55">
        <f t="shared" si="22"/>
        <v>0</v>
      </c>
      <c r="AB38" s="55">
        <f t="shared" si="23"/>
        <v>0</v>
      </c>
      <c r="AC38" s="56">
        <f t="shared" si="24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19.08.2024 - 25.08.2024</v>
      </c>
      <c r="S39" s="46">
        <f t="shared" si="2"/>
        <v>0</v>
      </c>
      <c r="T39" s="55">
        <f t="shared" si="15"/>
        <v>0</v>
      </c>
      <c r="U39" s="55">
        <f t="shared" si="16"/>
        <v>0</v>
      </c>
      <c r="V39" s="55">
        <f t="shared" si="17"/>
        <v>0</v>
      </c>
      <c r="W39" s="55">
        <f t="shared" si="18"/>
        <v>0</v>
      </c>
      <c r="X39" s="55">
        <f t="shared" si="19"/>
        <v>0</v>
      </c>
      <c r="Y39" s="55">
        <f t="shared" si="20"/>
        <v>0</v>
      </c>
      <c r="Z39" s="55">
        <f t="shared" si="21"/>
        <v>0</v>
      </c>
      <c r="AA39" s="55">
        <f t="shared" si="22"/>
        <v>0</v>
      </c>
      <c r="AB39" s="55">
        <f t="shared" si="23"/>
        <v>0</v>
      </c>
      <c r="AC39" s="56">
        <f t="shared" si="24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26.08.2024 - 01.09.2024</v>
      </c>
      <c r="S40" s="46">
        <f t="shared" si="2"/>
        <v>0</v>
      </c>
      <c r="T40" s="55">
        <f t="shared" si="15"/>
        <v>0</v>
      </c>
      <c r="U40" s="55">
        <f t="shared" si="16"/>
        <v>0</v>
      </c>
      <c r="V40" s="55">
        <f t="shared" si="17"/>
        <v>0</v>
      </c>
      <c r="W40" s="55">
        <f t="shared" si="18"/>
        <v>0</v>
      </c>
      <c r="X40" s="55">
        <f t="shared" si="19"/>
        <v>0</v>
      </c>
      <c r="Y40" s="55">
        <f t="shared" si="20"/>
        <v>0</v>
      </c>
      <c r="Z40" s="55">
        <f t="shared" si="21"/>
        <v>0</v>
      </c>
      <c r="AA40" s="55">
        <f t="shared" si="22"/>
        <v>0</v>
      </c>
      <c r="AB40" s="55">
        <f t="shared" si="23"/>
        <v>0</v>
      </c>
      <c r="AC40" s="56">
        <f t="shared" si="24"/>
        <v>0</v>
      </c>
      <c r="AD40" s="6"/>
    </row>
    <row r="41" spans="2:30" x14ac:dyDescent="0.35">
      <c r="B41" s="5"/>
      <c r="C41" s="40">
        <f>C37+1</f>
        <v>45323</v>
      </c>
      <c r="D41" s="45">
        <f>SUMIFS(Einzelbeträge!$D:$D,Einzelbeträge!$C:$C,'Ausgaben 2024'!$C41)</f>
        <v>0</v>
      </c>
      <c r="E41" s="88">
        <f>SUMIFS(Einzelbeträge!$D:$D,Einzelbeträge!$C:$C,'Ausgaben 2024'!$C41,Einzelbeträge!$E:$E,'Ausgaben 2024'!E$6)</f>
        <v>0</v>
      </c>
      <c r="F41" s="32">
        <f>SUMIFS(Einzelbeträge!$D:$D,Einzelbeträge!$C:$C,'Ausgaben 2024'!$C41,Einzelbeträge!$E:$E,'Ausgaben 2024'!F$6)</f>
        <v>0</v>
      </c>
      <c r="G41" s="32">
        <f>SUMIFS(Einzelbeträge!$D:$D,Einzelbeträge!$C:$C,'Ausgaben 2024'!$C41,Einzelbeträge!$E:$E,'Ausgaben 2024'!G$6)</f>
        <v>0</v>
      </c>
      <c r="H41" s="32">
        <f>SUMIFS(Einzelbeträge!$D:$D,Einzelbeträge!$C:$C,'Ausgaben 2024'!$C41,Einzelbeträge!$E:$E,'Ausgaben 2024'!H$6)</f>
        <v>0</v>
      </c>
      <c r="I41" s="32">
        <f>SUMIFS(Einzelbeträge!$D:$D,Einzelbeträge!$C:$C,'Ausgaben 2024'!$C41,Einzelbeträge!$E:$E,'Ausgaben 2024'!I$6)</f>
        <v>0</v>
      </c>
      <c r="J41" s="32">
        <f>SUMIFS(Einzelbeträge!$D:$D,Einzelbeträge!$C:$C,'Ausgaben 2024'!$C41,Einzelbeträge!$E:$E,'Ausgaben 2024'!J$6)</f>
        <v>0</v>
      </c>
      <c r="K41" s="32">
        <f>SUMIFS(Einzelbeträge!$D:$D,Einzelbeträge!$C:$C,'Ausgaben 2024'!$C41,Einzelbeträge!$E:$E,'Ausgaben 2024'!K$6)</f>
        <v>0</v>
      </c>
      <c r="L41" s="32">
        <f>SUMIFS(Einzelbeträge!$D:$D,Einzelbeträge!$C:$C,'Ausgaben 2024'!$C41,Einzelbeträge!$E:$E,'Ausgaben 2024'!L$6)</f>
        <v>0</v>
      </c>
      <c r="M41" s="32">
        <f>SUMIFS(Einzelbeträge!$D:$D,Einzelbeträge!$C:$C,'Ausgaben 2024'!$C41,Einzelbeträge!$E:$E,'Ausgaben 2024'!M$6)</f>
        <v>0</v>
      </c>
      <c r="N41" s="33">
        <f>SUMIFS(Einzelbeträge!$D:$D,Einzelbeträge!$C:$C,'Ausgaben 2024'!$C41,Einzelbeträge!$E:$E,'Ausgaben 2024'!N$6)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02.09.2024 - 08.09.2024</v>
      </c>
      <c r="S41" s="46">
        <f t="shared" si="2"/>
        <v>0</v>
      </c>
      <c r="T41" s="55">
        <f t="shared" si="15"/>
        <v>0</v>
      </c>
      <c r="U41" s="55">
        <f t="shared" si="16"/>
        <v>0</v>
      </c>
      <c r="V41" s="55">
        <f t="shared" si="17"/>
        <v>0</v>
      </c>
      <c r="W41" s="55">
        <f t="shared" si="18"/>
        <v>0</v>
      </c>
      <c r="X41" s="55">
        <f t="shared" si="19"/>
        <v>0</v>
      </c>
      <c r="Y41" s="55">
        <f t="shared" si="20"/>
        <v>0</v>
      </c>
      <c r="Z41" s="55">
        <f t="shared" si="21"/>
        <v>0</v>
      </c>
      <c r="AA41" s="55">
        <f t="shared" si="22"/>
        <v>0</v>
      </c>
      <c r="AB41" s="55">
        <f t="shared" si="23"/>
        <v>0</v>
      </c>
      <c r="AC41" s="56">
        <f t="shared" si="24"/>
        <v>0</v>
      </c>
      <c r="AD41" s="6"/>
    </row>
    <row r="42" spans="2:30" x14ac:dyDescent="0.35">
      <c r="B42" s="5"/>
      <c r="C42" s="40">
        <f>C41+1</f>
        <v>45324</v>
      </c>
      <c r="D42" s="46">
        <f>SUMIFS(Einzelbeträge!$D:$D,Einzelbeträge!$C:$C,'Ausgaben 2024'!$C42)</f>
        <v>0</v>
      </c>
      <c r="E42" s="34">
        <f>SUMIFS(Einzelbeträge!$D:$D,Einzelbeträge!$C:$C,'Ausgaben 2024'!$C42,Einzelbeträge!$E:$E,'Ausgaben 2024'!E$6)</f>
        <v>0</v>
      </c>
      <c r="F42" s="21">
        <f>SUMIFS(Einzelbeträge!$D:$D,Einzelbeträge!$C:$C,'Ausgaben 2024'!$C42,Einzelbeträge!$E:$E,'Ausgaben 2024'!F$6)</f>
        <v>0</v>
      </c>
      <c r="G42" s="21">
        <f>SUMIFS(Einzelbeträge!$D:$D,Einzelbeträge!$C:$C,'Ausgaben 2024'!$C42,Einzelbeträge!$E:$E,'Ausgaben 2024'!G$6)</f>
        <v>0</v>
      </c>
      <c r="H42" s="21">
        <f>SUMIFS(Einzelbeträge!$D:$D,Einzelbeträge!$C:$C,'Ausgaben 2024'!$C42,Einzelbeträge!$E:$E,'Ausgaben 2024'!H$6)</f>
        <v>0</v>
      </c>
      <c r="I42" s="21">
        <f>SUMIFS(Einzelbeträge!$D:$D,Einzelbeträge!$C:$C,'Ausgaben 2024'!$C42,Einzelbeträge!$E:$E,'Ausgaben 2024'!I$6)</f>
        <v>0</v>
      </c>
      <c r="J42" s="21">
        <f>SUMIFS(Einzelbeträge!$D:$D,Einzelbeträge!$C:$C,'Ausgaben 2024'!$C42,Einzelbeträge!$E:$E,'Ausgaben 2024'!J$6)</f>
        <v>0</v>
      </c>
      <c r="K42" s="21">
        <f>SUMIFS(Einzelbeträge!$D:$D,Einzelbeträge!$C:$C,'Ausgaben 2024'!$C42,Einzelbeträge!$E:$E,'Ausgaben 2024'!K$6)</f>
        <v>0</v>
      </c>
      <c r="L42" s="21">
        <f>SUMIFS(Einzelbeträge!$D:$D,Einzelbeträge!$C:$C,'Ausgaben 2024'!$C42,Einzelbeträge!$E:$E,'Ausgaben 2024'!L$6)</f>
        <v>0</v>
      </c>
      <c r="M42" s="21">
        <f>SUMIFS(Einzelbeträge!$D:$D,Einzelbeträge!$C:$C,'Ausgaben 2024'!$C42,Einzelbeträge!$E:$E,'Ausgaben 2024'!M$6)</f>
        <v>0</v>
      </c>
      <c r="N42" s="35">
        <f>SUMIFS(Einzelbeträge!$D:$D,Einzelbeträge!$C:$C,'Ausgaben 2024'!$C42,Einzelbeträge!$E:$E,'Ausgaben 2024'!N$6)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09.09.2024 - 15.09.2024</v>
      </c>
      <c r="S42" s="46">
        <f t="shared" si="2"/>
        <v>0</v>
      </c>
      <c r="T42" s="55">
        <f t="shared" si="15"/>
        <v>0</v>
      </c>
      <c r="U42" s="55">
        <f t="shared" si="16"/>
        <v>0</v>
      </c>
      <c r="V42" s="55">
        <f t="shared" si="17"/>
        <v>0</v>
      </c>
      <c r="W42" s="55">
        <f t="shared" si="18"/>
        <v>0</v>
      </c>
      <c r="X42" s="55">
        <f t="shared" si="19"/>
        <v>0</v>
      </c>
      <c r="Y42" s="55">
        <f t="shared" si="20"/>
        <v>0</v>
      </c>
      <c r="Z42" s="55">
        <f t="shared" si="21"/>
        <v>0</v>
      </c>
      <c r="AA42" s="55">
        <f t="shared" si="22"/>
        <v>0</v>
      </c>
      <c r="AB42" s="55">
        <f t="shared" si="23"/>
        <v>0</v>
      </c>
      <c r="AC42" s="56">
        <f t="shared" si="24"/>
        <v>0</v>
      </c>
      <c r="AD42" s="6"/>
    </row>
    <row r="43" spans="2:30" x14ac:dyDescent="0.35">
      <c r="B43" s="5"/>
      <c r="C43" s="40">
        <f t="shared" ref="C43:C68" si="25">C42+1</f>
        <v>45325</v>
      </c>
      <c r="D43" s="46">
        <f>SUMIFS(Einzelbeträge!$D:$D,Einzelbeträge!$C:$C,'Ausgaben 2024'!$C43)</f>
        <v>0</v>
      </c>
      <c r="E43" s="34">
        <f>SUMIFS(Einzelbeträge!$D:$D,Einzelbeträge!$C:$C,'Ausgaben 2024'!$C43,Einzelbeträge!$E:$E,'Ausgaben 2024'!E$6)</f>
        <v>0</v>
      </c>
      <c r="F43" s="21">
        <f>SUMIFS(Einzelbeträge!$D:$D,Einzelbeträge!$C:$C,'Ausgaben 2024'!$C43,Einzelbeträge!$E:$E,'Ausgaben 2024'!F$6)</f>
        <v>0</v>
      </c>
      <c r="G43" s="21">
        <f>SUMIFS(Einzelbeträge!$D:$D,Einzelbeträge!$C:$C,'Ausgaben 2024'!$C43,Einzelbeträge!$E:$E,'Ausgaben 2024'!G$6)</f>
        <v>0</v>
      </c>
      <c r="H43" s="21">
        <f>SUMIFS(Einzelbeträge!$D:$D,Einzelbeträge!$C:$C,'Ausgaben 2024'!$C43,Einzelbeträge!$E:$E,'Ausgaben 2024'!H$6)</f>
        <v>0</v>
      </c>
      <c r="I43" s="21">
        <f>SUMIFS(Einzelbeträge!$D:$D,Einzelbeträge!$C:$C,'Ausgaben 2024'!$C43,Einzelbeträge!$E:$E,'Ausgaben 2024'!I$6)</f>
        <v>0</v>
      </c>
      <c r="J43" s="21">
        <f>SUMIFS(Einzelbeträge!$D:$D,Einzelbeträge!$C:$C,'Ausgaben 2024'!$C43,Einzelbeträge!$E:$E,'Ausgaben 2024'!J$6)</f>
        <v>0</v>
      </c>
      <c r="K43" s="21">
        <f>SUMIFS(Einzelbeträge!$D:$D,Einzelbeträge!$C:$C,'Ausgaben 2024'!$C43,Einzelbeträge!$E:$E,'Ausgaben 2024'!K$6)</f>
        <v>0</v>
      </c>
      <c r="L43" s="21">
        <f>SUMIFS(Einzelbeträge!$D:$D,Einzelbeträge!$C:$C,'Ausgaben 2024'!$C43,Einzelbeträge!$E:$E,'Ausgaben 2024'!L$6)</f>
        <v>0</v>
      </c>
      <c r="M43" s="21">
        <f>SUMIFS(Einzelbeträge!$D:$D,Einzelbeträge!$C:$C,'Ausgaben 2024'!$C43,Einzelbeträge!$E:$E,'Ausgaben 2024'!M$6)</f>
        <v>0</v>
      </c>
      <c r="N43" s="35">
        <f>SUMIFS(Einzelbeträge!$D:$D,Einzelbeträge!$C:$C,'Ausgaben 2024'!$C43,Einzelbeträge!$E:$E,'Ausgaben 2024'!N$6)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16.09.2024 - 22.09.2024</v>
      </c>
      <c r="S43" s="46">
        <f t="shared" si="2"/>
        <v>0</v>
      </c>
      <c r="T43" s="55">
        <f t="shared" si="15"/>
        <v>0</v>
      </c>
      <c r="U43" s="55">
        <f t="shared" si="16"/>
        <v>0</v>
      </c>
      <c r="V43" s="55">
        <f t="shared" si="17"/>
        <v>0</v>
      </c>
      <c r="W43" s="55">
        <f t="shared" si="18"/>
        <v>0</v>
      </c>
      <c r="X43" s="55">
        <f t="shared" si="19"/>
        <v>0</v>
      </c>
      <c r="Y43" s="55">
        <f t="shared" si="20"/>
        <v>0</v>
      </c>
      <c r="Z43" s="55">
        <f t="shared" si="21"/>
        <v>0</v>
      </c>
      <c r="AA43" s="55">
        <f t="shared" si="22"/>
        <v>0</v>
      </c>
      <c r="AB43" s="55">
        <f t="shared" si="23"/>
        <v>0</v>
      </c>
      <c r="AC43" s="56">
        <f t="shared" si="24"/>
        <v>0</v>
      </c>
      <c r="AD43" s="6"/>
    </row>
    <row r="44" spans="2:30" x14ac:dyDescent="0.35">
      <c r="B44" s="5"/>
      <c r="C44" s="40">
        <f t="shared" si="25"/>
        <v>45326</v>
      </c>
      <c r="D44" s="46">
        <f>SUMIFS(Einzelbeträge!$D:$D,Einzelbeträge!$C:$C,'Ausgaben 2024'!$C44)</f>
        <v>0</v>
      </c>
      <c r="E44" s="34">
        <f>SUMIFS(Einzelbeträge!$D:$D,Einzelbeträge!$C:$C,'Ausgaben 2024'!$C44,Einzelbeträge!$E:$E,'Ausgaben 2024'!E$6)</f>
        <v>0</v>
      </c>
      <c r="F44" s="21">
        <f>SUMIFS(Einzelbeträge!$D:$D,Einzelbeträge!$C:$C,'Ausgaben 2024'!$C44,Einzelbeträge!$E:$E,'Ausgaben 2024'!F$6)</f>
        <v>0</v>
      </c>
      <c r="G44" s="21">
        <f>SUMIFS(Einzelbeträge!$D:$D,Einzelbeträge!$C:$C,'Ausgaben 2024'!$C44,Einzelbeträge!$E:$E,'Ausgaben 2024'!G$6)</f>
        <v>0</v>
      </c>
      <c r="H44" s="21">
        <f>SUMIFS(Einzelbeträge!$D:$D,Einzelbeträge!$C:$C,'Ausgaben 2024'!$C44,Einzelbeträge!$E:$E,'Ausgaben 2024'!H$6)</f>
        <v>0</v>
      </c>
      <c r="I44" s="21">
        <f>SUMIFS(Einzelbeträge!$D:$D,Einzelbeträge!$C:$C,'Ausgaben 2024'!$C44,Einzelbeträge!$E:$E,'Ausgaben 2024'!I$6)</f>
        <v>0</v>
      </c>
      <c r="J44" s="21">
        <f>SUMIFS(Einzelbeträge!$D:$D,Einzelbeträge!$C:$C,'Ausgaben 2024'!$C44,Einzelbeträge!$E:$E,'Ausgaben 2024'!J$6)</f>
        <v>0</v>
      </c>
      <c r="K44" s="21">
        <f>SUMIFS(Einzelbeträge!$D:$D,Einzelbeträge!$C:$C,'Ausgaben 2024'!$C44,Einzelbeträge!$E:$E,'Ausgaben 2024'!K$6)</f>
        <v>0</v>
      </c>
      <c r="L44" s="21">
        <f>SUMIFS(Einzelbeträge!$D:$D,Einzelbeträge!$C:$C,'Ausgaben 2024'!$C44,Einzelbeträge!$E:$E,'Ausgaben 2024'!L$6)</f>
        <v>0</v>
      </c>
      <c r="M44" s="21">
        <f>SUMIFS(Einzelbeträge!$D:$D,Einzelbeträge!$C:$C,'Ausgaben 2024'!$C44,Einzelbeträge!$E:$E,'Ausgaben 2024'!M$6)</f>
        <v>0</v>
      </c>
      <c r="N44" s="35">
        <f>SUMIFS(Einzelbeträge!$D:$D,Einzelbeträge!$C:$C,'Ausgaben 2024'!$C44,Einzelbeträge!$E:$E,'Ausgaben 2024'!N$6)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23.09.2024 - 29.09.2024</v>
      </c>
      <c r="S44" s="46">
        <f t="shared" si="2"/>
        <v>0</v>
      </c>
      <c r="T44" s="55">
        <f t="shared" si="15"/>
        <v>0</v>
      </c>
      <c r="U44" s="55">
        <f t="shared" si="16"/>
        <v>0</v>
      </c>
      <c r="V44" s="55">
        <f t="shared" si="17"/>
        <v>0</v>
      </c>
      <c r="W44" s="55">
        <f t="shared" si="18"/>
        <v>0</v>
      </c>
      <c r="X44" s="55">
        <f t="shared" si="19"/>
        <v>0</v>
      </c>
      <c r="Y44" s="55">
        <f t="shared" si="20"/>
        <v>0</v>
      </c>
      <c r="Z44" s="55">
        <f t="shared" si="21"/>
        <v>0</v>
      </c>
      <c r="AA44" s="55">
        <f t="shared" si="22"/>
        <v>0</v>
      </c>
      <c r="AB44" s="55">
        <f t="shared" si="23"/>
        <v>0</v>
      </c>
      <c r="AC44" s="56">
        <f t="shared" si="24"/>
        <v>0</v>
      </c>
      <c r="AD44" s="6"/>
    </row>
    <row r="45" spans="2:30" x14ac:dyDescent="0.35">
      <c r="B45" s="5"/>
      <c r="C45" s="40">
        <f t="shared" si="25"/>
        <v>45327</v>
      </c>
      <c r="D45" s="46">
        <f>SUMIFS(Einzelbeträge!$D:$D,Einzelbeträge!$C:$C,'Ausgaben 2024'!$C45)</f>
        <v>0</v>
      </c>
      <c r="E45" s="34">
        <f>SUMIFS(Einzelbeträge!$D:$D,Einzelbeträge!$C:$C,'Ausgaben 2024'!$C45,Einzelbeträge!$E:$E,'Ausgaben 2024'!E$6)</f>
        <v>0</v>
      </c>
      <c r="F45" s="21">
        <f>SUMIFS(Einzelbeträge!$D:$D,Einzelbeträge!$C:$C,'Ausgaben 2024'!$C45,Einzelbeträge!$E:$E,'Ausgaben 2024'!F$6)</f>
        <v>0</v>
      </c>
      <c r="G45" s="21">
        <f>SUMIFS(Einzelbeträge!$D:$D,Einzelbeträge!$C:$C,'Ausgaben 2024'!$C45,Einzelbeträge!$E:$E,'Ausgaben 2024'!G$6)</f>
        <v>0</v>
      </c>
      <c r="H45" s="21">
        <f>SUMIFS(Einzelbeträge!$D:$D,Einzelbeträge!$C:$C,'Ausgaben 2024'!$C45,Einzelbeträge!$E:$E,'Ausgaben 2024'!H$6)</f>
        <v>0</v>
      </c>
      <c r="I45" s="21">
        <f>SUMIFS(Einzelbeträge!$D:$D,Einzelbeträge!$C:$C,'Ausgaben 2024'!$C45,Einzelbeträge!$E:$E,'Ausgaben 2024'!I$6)</f>
        <v>0</v>
      </c>
      <c r="J45" s="21">
        <f>SUMIFS(Einzelbeträge!$D:$D,Einzelbeträge!$C:$C,'Ausgaben 2024'!$C45,Einzelbeträge!$E:$E,'Ausgaben 2024'!J$6)</f>
        <v>0</v>
      </c>
      <c r="K45" s="21">
        <f>SUMIFS(Einzelbeträge!$D:$D,Einzelbeträge!$C:$C,'Ausgaben 2024'!$C45,Einzelbeträge!$E:$E,'Ausgaben 2024'!K$6)</f>
        <v>0</v>
      </c>
      <c r="L45" s="21">
        <f>SUMIFS(Einzelbeträge!$D:$D,Einzelbeträge!$C:$C,'Ausgaben 2024'!$C45,Einzelbeträge!$E:$E,'Ausgaben 2024'!L$6)</f>
        <v>0</v>
      </c>
      <c r="M45" s="21">
        <f>SUMIFS(Einzelbeträge!$D:$D,Einzelbeträge!$C:$C,'Ausgaben 2024'!$C45,Einzelbeträge!$E:$E,'Ausgaben 2024'!M$6)</f>
        <v>0</v>
      </c>
      <c r="N45" s="35">
        <f>SUMIFS(Einzelbeträge!$D:$D,Einzelbeträge!$C:$C,'Ausgaben 2024'!$C45,Einzelbeträge!$E:$E,'Ausgaben 2024'!N$6)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30.09.2024 - 06.10.2024</v>
      </c>
      <c r="S45" s="46">
        <f t="shared" si="2"/>
        <v>0</v>
      </c>
      <c r="T45" s="55">
        <f t="shared" si="15"/>
        <v>0</v>
      </c>
      <c r="U45" s="55">
        <f t="shared" si="16"/>
        <v>0</v>
      </c>
      <c r="V45" s="55">
        <f t="shared" si="17"/>
        <v>0</v>
      </c>
      <c r="W45" s="55">
        <f t="shared" si="18"/>
        <v>0</v>
      </c>
      <c r="X45" s="55">
        <f t="shared" si="19"/>
        <v>0</v>
      </c>
      <c r="Y45" s="55">
        <f t="shared" si="20"/>
        <v>0</v>
      </c>
      <c r="Z45" s="55">
        <f t="shared" si="21"/>
        <v>0</v>
      </c>
      <c r="AA45" s="55">
        <f t="shared" si="22"/>
        <v>0</v>
      </c>
      <c r="AB45" s="55">
        <f t="shared" si="23"/>
        <v>0</v>
      </c>
      <c r="AC45" s="56">
        <f t="shared" si="24"/>
        <v>0</v>
      </c>
      <c r="AD45" s="6"/>
    </row>
    <row r="46" spans="2:30" x14ac:dyDescent="0.35">
      <c r="B46" s="5"/>
      <c r="C46" s="40">
        <f t="shared" si="25"/>
        <v>45328</v>
      </c>
      <c r="D46" s="46">
        <f>SUMIFS(Einzelbeträge!$D:$D,Einzelbeträge!$C:$C,'Ausgaben 2024'!$C46)</f>
        <v>0</v>
      </c>
      <c r="E46" s="34">
        <f>SUMIFS(Einzelbeträge!$D:$D,Einzelbeträge!$C:$C,'Ausgaben 2024'!$C46,Einzelbeträge!$E:$E,'Ausgaben 2024'!E$6)</f>
        <v>0</v>
      </c>
      <c r="F46" s="21">
        <f>SUMIFS(Einzelbeträge!$D:$D,Einzelbeträge!$C:$C,'Ausgaben 2024'!$C46,Einzelbeträge!$E:$E,'Ausgaben 2024'!F$6)</f>
        <v>0</v>
      </c>
      <c r="G46" s="21">
        <f>SUMIFS(Einzelbeträge!$D:$D,Einzelbeträge!$C:$C,'Ausgaben 2024'!$C46,Einzelbeträge!$E:$E,'Ausgaben 2024'!G$6)</f>
        <v>0</v>
      </c>
      <c r="H46" s="21">
        <f>SUMIFS(Einzelbeträge!$D:$D,Einzelbeträge!$C:$C,'Ausgaben 2024'!$C46,Einzelbeträge!$E:$E,'Ausgaben 2024'!H$6)</f>
        <v>0</v>
      </c>
      <c r="I46" s="21">
        <f>SUMIFS(Einzelbeträge!$D:$D,Einzelbeträge!$C:$C,'Ausgaben 2024'!$C46,Einzelbeträge!$E:$E,'Ausgaben 2024'!I$6)</f>
        <v>0</v>
      </c>
      <c r="J46" s="21">
        <f>SUMIFS(Einzelbeträge!$D:$D,Einzelbeträge!$C:$C,'Ausgaben 2024'!$C46,Einzelbeträge!$E:$E,'Ausgaben 2024'!J$6)</f>
        <v>0</v>
      </c>
      <c r="K46" s="21">
        <f>SUMIFS(Einzelbeträge!$D:$D,Einzelbeträge!$C:$C,'Ausgaben 2024'!$C46,Einzelbeträge!$E:$E,'Ausgaben 2024'!K$6)</f>
        <v>0</v>
      </c>
      <c r="L46" s="21">
        <f>SUMIFS(Einzelbeträge!$D:$D,Einzelbeträge!$C:$C,'Ausgaben 2024'!$C46,Einzelbeträge!$E:$E,'Ausgaben 2024'!L$6)</f>
        <v>0</v>
      </c>
      <c r="M46" s="21">
        <f>SUMIFS(Einzelbeträge!$D:$D,Einzelbeträge!$C:$C,'Ausgaben 2024'!$C46,Einzelbeträge!$E:$E,'Ausgaben 2024'!M$6)</f>
        <v>0</v>
      </c>
      <c r="N46" s="35">
        <f>SUMIFS(Einzelbeträge!$D:$D,Einzelbeträge!$C:$C,'Ausgaben 2024'!$C46,Einzelbeträge!$E:$E,'Ausgaben 2024'!N$6)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07.10.2024 - 13.10.2024</v>
      </c>
      <c r="S46" s="46">
        <f t="shared" si="2"/>
        <v>0</v>
      </c>
      <c r="T46" s="55">
        <f t="shared" si="15"/>
        <v>0</v>
      </c>
      <c r="U46" s="55">
        <f t="shared" si="16"/>
        <v>0</v>
      </c>
      <c r="V46" s="55">
        <f t="shared" si="17"/>
        <v>0</v>
      </c>
      <c r="W46" s="55">
        <f t="shared" si="18"/>
        <v>0</v>
      </c>
      <c r="X46" s="55">
        <f t="shared" si="19"/>
        <v>0</v>
      </c>
      <c r="Y46" s="55">
        <f t="shared" si="20"/>
        <v>0</v>
      </c>
      <c r="Z46" s="55">
        <f t="shared" si="21"/>
        <v>0</v>
      </c>
      <c r="AA46" s="55">
        <f t="shared" si="22"/>
        <v>0</v>
      </c>
      <c r="AB46" s="55">
        <f t="shared" si="23"/>
        <v>0</v>
      </c>
      <c r="AC46" s="56">
        <f t="shared" si="24"/>
        <v>0</v>
      </c>
      <c r="AD46" s="6"/>
    </row>
    <row r="47" spans="2:30" x14ac:dyDescent="0.35">
      <c r="B47" s="5"/>
      <c r="C47" s="40">
        <f t="shared" si="25"/>
        <v>45329</v>
      </c>
      <c r="D47" s="46">
        <f>SUMIFS(Einzelbeträge!$D:$D,Einzelbeträge!$C:$C,'Ausgaben 2024'!$C47)</f>
        <v>0</v>
      </c>
      <c r="E47" s="34">
        <f>SUMIFS(Einzelbeträge!$D:$D,Einzelbeträge!$C:$C,'Ausgaben 2024'!$C47,Einzelbeträge!$E:$E,'Ausgaben 2024'!E$6)</f>
        <v>0</v>
      </c>
      <c r="F47" s="21">
        <f>SUMIFS(Einzelbeträge!$D:$D,Einzelbeträge!$C:$C,'Ausgaben 2024'!$C47,Einzelbeträge!$E:$E,'Ausgaben 2024'!F$6)</f>
        <v>0</v>
      </c>
      <c r="G47" s="21">
        <f>SUMIFS(Einzelbeträge!$D:$D,Einzelbeträge!$C:$C,'Ausgaben 2024'!$C47,Einzelbeträge!$E:$E,'Ausgaben 2024'!G$6)</f>
        <v>0</v>
      </c>
      <c r="H47" s="21">
        <f>SUMIFS(Einzelbeträge!$D:$D,Einzelbeträge!$C:$C,'Ausgaben 2024'!$C47,Einzelbeträge!$E:$E,'Ausgaben 2024'!H$6)</f>
        <v>0</v>
      </c>
      <c r="I47" s="21">
        <f>SUMIFS(Einzelbeträge!$D:$D,Einzelbeträge!$C:$C,'Ausgaben 2024'!$C47,Einzelbeträge!$E:$E,'Ausgaben 2024'!I$6)</f>
        <v>0</v>
      </c>
      <c r="J47" s="21">
        <f>SUMIFS(Einzelbeträge!$D:$D,Einzelbeträge!$C:$C,'Ausgaben 2024'!$C47,Einzelbeträge!$E:$E,'Ausgaben 2024'!J$6)</f>
        <v>0</v>
      </c>
      <c r="K47" s="21">
        <f>SUMIFS(Einzelbeträge!$D:$D,Einzelbeträge!$C:$C,'Ausgaben 2024'!$C47,Einzelbeträge!$E:$E,'Ausgaben 2024'!K$6)</f>
        <v>0</v>
      </c>
      <c r="L47" s="21">
        <f>SUMIFS(Einzelbeträge!$D:$D,Einzelbeträge!$C:$C,'Ausgaben 2024'!$C47,Einzelbeträge!$E:$E,'Ausgaben 2024'!L$6)</f>
        <v>0</v>
      </c>
      <c r="M47" s="21">
        <f>SUMIFS(Einzelbeträge!$D:$D,Einzelbeträge!$C:$C,'Ausgaben 2024'!$C47,Einzelbeträge!$E:$E,'Ausgaben 2024'!M$6)</f>
        <v>0</v>
      </c>
      <c r="N47" s="35">
        <f>SUMIFS(Einzelbeträge!$D:$D,Einzelbeträge!$C:$C,'Ausgaben 2024'!$C47,Einzelbeträge!$E:$E,'Ausgaben 2024'!N$6)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14.10.2024 - 20.10.2024</v>
      </c>
      <c r="S47" s="46">
        <f t="shared" si="2"/>
        <v>0</v>
      </c>
      <c r="T47" s="55">
        <f t="shared" si="15"/>
        <v>0</v>
      </c>
      <c r="U47" s="55">
        <f t="shared" si="16"/>
        <v>0</v>
      </c>
      <c r="V47" s="55">
        <f t="shared" si="17"/>
        <v>0</v>
      </c>
      <c r="W47" s="55">
        <f t="shared" si="18"/>
        <v>0</v>
      </c>
      <c r="X47" s="55">
        <f t="shared" si="19"/>
        <v>0</v>
      </c>
      <c r="Y47" s="55">
        <f t="shared" si="20"/>
        <v>0</v>
      </c>
      <c r="Z47" s="55">
        <f t="shared" si="21"/>
        <v>0</v>
      </c>
      <c r="AA47" s="55">
        <f t="shared" si="22"/>
        <v>0</v>
      </c>
      <c r="AB47" s="55">
        <f t="shared" si="23"/>
        <v>0</v>
      </c>
      <c r="AC47" s="56">
        <f t="shared" si="24"/>
        <v>0</v>
      </c>
      <c r="AD47" s="6"/>
    </row>
    <row r="48" spans="2:30" x14ac:dyDescent="0.35">
      <c r="B48" s="5"/>
      <c r="C48" s="40">
        <f t="shared" si="25"/>
        <v>45330</v>
      </c>
      <c r="D48" s="46">
        <f>SUMIFS(Einzelbeträge!$D:$D,Einzelbeträge!$C:$C,'Ausgaben 2024'!$C48)</f>
        <v>0</v>
      </c>
      <c r="E48" s="34">
        <f>SUMIFS(Einzelbeträge!$D:$D,Einzelbeträge!$C:$C,'Ausgaben 2024'!$C48,Einzelbeträge!$E:$E,'Ausgaben 2024'!E$6)</f>
        <v>0</v>
      </c>
      <c r="F48" s="21">
        <f>SUMIFS(Einzelbeträge!$D:$D,Einzelbeträge!$C:$C,'Ausgaben 2024'!$C48,Einzelbeträge!$E:$E,'Ausgaben 2024'!F$6)</f>
        <v>0</v>
      </c>
      <c r="G48" s="21">
        <f>SUMIFS(Einzelbeträge!$D:$D,Einzelbeträge!$C:$C,'Ausgaben 2024'!$C48,Einzelbeträge!$E:$E,'Ausgaben 2024'!G$6)</f>
        <v>0</v>
      </c>
      <c r="H48" s="21">
        <f>SUMIFS(Einzelbeträge!$D:$D,Einzelbeträge!$C:$C,'Ausgaben 2024'!$C48,Einzelbeträge!$E:$E,'Ausgaben 2024'!H$6)</f>
        <v>0</v>
      </c>
      <c r="I48" s="21">
        <f>SUMIFS(Einzelbeträge!$D:$D,Einzelbeträge!$C:$C,'Ausgaben 2024'!$C48,Einzelbeträge!$E:$E,'Ausgaben 2024'!I$6)</f>
        <v>0</v>
      </c>
      <c r="J48" s="21">
        <f>SUMIFS(Einzelbeträge!$D:$D,Einzelbeträge!$C:$C,'Ausgaben 2024'!$C48,Einzelbeträge!$E:$E,'Ausgaben 2024'!J$6)</f>
        <v>0</v>
      </c>
      <c r="K48" s="21">
        <f>SUMIFS(Einzelbeträge!$D:$D,Einzelbeträge!$C:$C,'Ausgaben 2024'!$C48,Einzelbeträge!$E:$E,'Ausgaben 2024'!K$6)</f>
        <v>0</v>
      </c>
      <c r="L48" s="21">
        <f>SUMIFS(Einzelbeträge!$D:$D,Einzelbeträge!$C:$C,'Ausgaben 2024'!$C48,Einzelbeträge!$E:$E,'Ausgaben 2024'!L$6)</f>
        <v>0</v>
      </c>
      <c r="M48" s="21">
        <f>SUMIFS(Einzelbeträge!$D:$D,Einzelbeträge!$C:$C,'Ausgaben 2024'!$C48,Einzelbeträge!$E:$E,'Ausgaben 2024'!M$6)</f>
        <v>0</v>
      </c>
      <c r="N48" s="35">
        <f>SUMIFS(Einzelbeträge!$D:$D,Einzelbeträge!$C:$C,'Ausgaben 2024'!$C48,Einzelbeträge!$E:$E,'Ausgaben 2024'!N$6)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21.10.2024 - 27.10.2024</v>
      </c>
      <c r="S48" s="46">
        <f t="shared" si="2"/>
        <v>0</v>
      </c>
      <c r="T48" s="55">
        <f t="shared" si="15"/>
        <v>0</v>
      </c>
      <c r="U48" s="55">
        <f t="shared" si="16"/>
        <v>0</v>
      </c>
      <c r="V48" s="55">
        <f t="shared" si="17"/>
        <v>0</v>
      </c>
      <c r="W48" s="55">
        <f t="shared" si="18"/>
        <v>0</v>
      </c>
      <c r="X48" s="55">
        <f t="shared" si="19"/>
        <v>0</v>
      </c>
      <c r="Y48" s="55">
        <f t="shared" si="20"/>
        <v>0</v>
      </c>
      <c r="Z48" s="55">
        <f t="shared" si="21"/>
        <v>0</v>
      </c>
      <c r="AA48" s="55">
        <f t="shared" si="22"/>
        <v>0</v>
      </c>
      <c r="AB48" s="55">
        <f t="shared" si="23"/>
        <v>0</v>
      </c>
      <c r="AC48" s="56">
        <f t="shared" si="24"/>
        <v>0</v>
      </c>
      <c r="AD48" s="6"/>
    </row>
    <row r="49" spans="2:30" x14ac:dyDescent="0.35">
      <c r="B49" s="5"/>
      <c r="C49" s="40">
        <f t="shared" si="25"/>
        <v>45331</v>
      </c>
      <c r="D49" s="46">
        <f>SUMIFS(Einzelbeträge!$D:$D,Einzelbeträge!$C:$C,'Ausgaben 2024'!$C49)</f>
        <v>0</v>
      </c>
      <c r="E49" s="34">
        <f>SUMIFS(Einzelbeträge!$D:$D,Einzelbeträge!$C:$C,'Ausgaben 2024'!$C49,Einzelbeträge!$E:$E,'Ausgaben 2024'!E$6)</f>
        <v>0</v>
      </c>
      <c r="F49" s="21">
        <f>SUMIFS(Einzelbeträge!$D:$D,Einzelbeträge!$C:$C,'Ausgaben 2024'!$C49,Einzelbeträge!$E:$E,'Ausgaben 2024'!F$6)</f>
        <v>0</v>
      </c>
      <c r="G49" s="21">
        <f>SUMIFS(Einzelbeträge!$D:$D,Einzelbeträge!$C:$C,'Ausgaben 2024'!$C49,Einzelbeträge!$E:$E,'Ausgaben 2024'!G$6)</f>
        <v>0</v>
      </c>
      <c r="H49" s="21">
        <f>SUMIFS(Einzelbeträge!$D:$D,Einzelbeträge!$C:$C,'Ausgaben 2024'!$C49,Einzelbeträge!$E:$E,'Ausgaben 2024'!H$6)</f>
        <v>0</v>
      </c>
      <c r="I49" s="21">
        <f>SUMIFS(Einzelbeträge!$D:$D,Einzelbeträge!$C:$C,'Ausgaben 2024'!$C49,Einzelbeträge!$E:$E,'Ausgaben 2024'!I$6)</f>
        <v>0</v>
      </c>
      <c r="J49" s="21">
        <f>SUMIFS(Einzelbeträge!$D:$D,Einzelbeträge!$C:$C,'Ausgaben 2024'!$C49,Einzelbeträge!$E:$E,'Ausgaben 2024'!J$6)</f>
        <v>0</v>
      </c>
      <c r="K49" s="21">
        <f>SUMIFS(Einzelbeträge!$D:$D,Einzelbeträge!$C:$C,'Ausgaben 2024'!$C49,Einzelbeträge!$E:$E,'Ausgaben 2024'!K$6)</f>
        <v>0</v>
      </c>
      <c r="L49" s="21">
        <f>SUMIFS(Einzelbeträge!$D:$D,Einzelbeträge!$C:$C,'Ausgaben 2024'!$C49,Einzelbeträge!$E:$E,'Ausgaben 2024'!L$6)</f>
        <v>0</v>
      </c>
      <c r="M49" s="21">
        <f>SUMIFS(Einzelbeträge!$D:$D,Einzelbeträge!$C:$C,'Ausgaben 2024'!$C49,Einzelbeträge!$E:$E,'Ausgaben 2024'!M$6)</f>
        <v>0</v>
      </c>
      <c r="N49" s="35">
        <f>SUMIFS(Einzelbeträge!$D:$D,Einzelbeträge!$C:$C,'Ausgaben 2024'!$C49,Einzelbeträge!$E:$E,'Ausgaben 2024'!N$6)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28.10.2024 - 03.11.2024</v>
      </c>
      <c r="S49" s="46">
        <f t="shared" si="2"/>
        <v>0</v>
      </c>
      <c r="T49" s="55">
        <f t="shared" si="15"/>
        <v>0</v>
      </c>
      <c r="U49" s="55">
        <f t="shared" si="16"/>
        <v>0</v>
      </c>
      <c r="V49" s="55">
        <f t="shared" si="17"/>
        <v>0</v>
      </c>
      <c r="W49" s="55">
        <f t="shared" si="18"/>
        <v>0</v>
      </c>
      <c r="X49" s="55">
        <f t="shared" si="19"/>
        <v>0</v>
      </c>
      <c r="Y49" s="55">
        <f t="shared" si="20"/>
        <v>0</v>
      </c>
      <c r="Z49" s="55">
        <f t="shared" si="21"/>
        <v>0</v>
      </c>
      <c r="AA49" s="55">
        <f t="shared" si="22"/>
        <v>0</v>
      </c>
      <c r="AB49" s="55">
        <f t="shared" si="23"/>
        <v>0</v>
      </c>
      <c r="AC49" s="56">
        <f t="shared" si="24"/>
        <v>0</v>
      </c>
      <c r="AD49" s="6"/>
    </row>
    <row r="50" spans="2:30" x14ac:dyDescent="0.35">
      <c r="B50" s="5"/>
      <c r="C50" s="40">
        <f t="shared" si="25"/>
        <v>45332</v>
      </c>
      <c r="D50" s="46">
        <f>SUMIFS(Einzelbeträge!$D:$D,Einzelbeträge!$C:$C,'Ausgaben 2024'!$C50)</f>
        <v>0</v>
      </c>
      <c r="E50" s="34">
        <f>SUMIFS(Einzelbeträge!$D:$D,Einzelbeträge!$C:$C,'Ausgaben 2024'!$C50,Einzelbeträge!$E:$E,'Ausgaben 2024'!E$6)</f>
        <v>0</v>
      </c>
      <c r="F50" s="21">
        <f>SUMIFS(Einzelbeträge!$D:$D,Einzelbeträge!$C:$C,'Ausgaben 2024'!$C50,Einzelbeträge!$E:$E,'Ausgaben 2024'!F$6)</f>
        <v>0</v>
      </c>
      <c r="G50" s="21">
        <f>SUMIFS(Einzelbeträge!$D:$D,Einzelbeträge!$C:$C,'Ausgaben 2024'!$C50,Einzelbeträge!$E:$E,'Ausgaben 2024'!G$6)</f>
        <v>0</v>
      </c>
      <c r="H50" s="21">
        <f>SUMIFS(Einzelbeträge!$D:$D,Einzelbeträge!$C:$C,'Ausgaben 2024'!$C50,Einzelbeträge!$E:$E,'Ausgaben 2024'!H$6)</f>
        <v>0</v>
      </c>
      <c r="I50" s="21">
        <f>SUMIFS(Einzelbeträge!$D:$D,Einzelbeträge!$C:$C,'Ausgaben 2024'!$C50,Einzelbeträge!$E:$E,'Ausgaben 2024'!I$6)</f>
        <v>0</v>
      </c>
      <c r="J50" s="21">
        <f>SUMIFS(Einzelbeträge!$D:$D,Einzelbeträge!$C:$C,'Ausgaben 2024'!$C50,Einzelbeträge!$E:$E,'Ausgaben 2024'!J$6)</f>
        <v>0</v>
      </c>
      <c r="K50" s="21">
        <f>SUMIFS(Einzelbeträge!$D:$D,Einzelbeträge!$C:$C,'Ausgaben 2024'!$C50,Einzelbeträge!$E:$E,'Ausgaben 2024'!K$6)</f>
        <v>0</v>
      </c>
      <c r="L50" s="21">
        <f>SUMIFS(Einzelbeträge!$D:$D,Einzelbeträge!$C:$C,'Ausgaben 2024'!$C50,Einzelbeträge!$E:$E,'Ausgaben 2024'!L$6)</f>
        <v>0</v>
      </c>
      <c r="M50" s="21">
        <f>SUMIFS(Einzelbeträge!$D:$D,Einzelbeträge!$C:$C,'Ausgaben 2024'!$C50,Einzelbeträge!$E:$E,'Ausgaben 2024'!M$6)</f>
        <v>0</v>
      </c>
      <c r="N50" s="35">
        <f>SUMIFS(Einzelbeträge!$D:$D,Einzelbeträge!$C:$C,'Ausgaben 2024'!$C50,Einzelbeträge!$E:$E,'Ausgaben 2024'!N$6)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04.11.2024 - 10.11.2024</v>
      </c>
      <c r="S50" s="46">
        <f t="shared" si="2"/>
        <v>0</v>
      </c>
      <c r="T50" s="55">
        <f t="shared" si="15"/>
        <v>0</v>
      </c>
      <c r="U50" s="55">
        <f t="shared" si="16"/>
        <v>0</v>
      </c>
      <c r="V50" s="55">
        <f t="shared" si="17"/>
        <v>0</v>
      </c>
      <c r="W50" s="55">
        <f t="shared" si="18"/>
        <v>0</v>
      </c>
      <c r="X50" s="55">
        <f t="shared" si="19"/>
        <v>0</v>
      </c>
      <c r="Y50" s="55">
        <f t="shared" si="20"/>
        <v>0</v>
      </c>
      <c r="Z50" s="55">
        <f t="shared" si="21"/>
        <v>0</v>
      </c>
      <c r="AA50" s="55">
        <f t="shared" si="22"/>
        <v>0</v>
      </c>
      <c r="AB50" s="55">
        <f t="shared" si="23"/>
        <v>0</v>
      </c>
      <c r="AC50" s="56">
        <f t="shared" si="24"/>
        <v>0</v>
      </c>
      <c r="AD50" s="6"/>
    </row>
    <row r="51" spans="2:30" x14ac:dyDescent="0.35">
      <c r="B51" s="5"/>
      <c r="C51" s="40">
        <f t="shared" si="25"/>
        <v>45333</v>
      </c>
      <c r="D51" s="46">
        <f>SUMIFS(Einzelbeträge!$D:$D,Einzelbeträge!$C:$C,'Ausgaben 2024'!$C51)</f>
        <v>0</v>
      </c>
      <c r="E51" s="34">
        <f>SUMIFS(Einzelbeträge!$D:$D,Einzelbeträge!$C:$C,'Ausgaben 2024'!$C51,Einzelbeträge!$E:$E,'Ausgaben 2024'!E$6)</f>
        <v>0</v>
      </c>
      <c r="F51" s="21">
        <f>SUMIFS(Einzelbeträge!$D:$D,Einzelbeträge!$C:$C,'Ausgaben 2024'!$C51,Einzelbeträge!$E:$E,'Ausgaben 2024'!F$6)</f>
        <v>0</v>
      </c>
      <c r="G51" s="21">
        <f>SUMIFS(Einzelbeträge!$D:$D,Einzelbeträge!$C:$C,'Ausgaben 2024'!$C51,Einzelbeträge!$E:$E,'Ausgaben 2024'!G$6)</f>
        <v>0</v>
      </c>
      <c r="H51" s="21">
        <f>SUMIFS(Einzelbeträge!$D:$D,Einzelbeträge!$C:$C,'Ausgaben 2024'!$C51,Einzelbeträge!$E:$E,'Ausgaben 2024'!H$6)</f>
        <v>0</v>
      </c>
      <c r="I51" s="21">
        <f>SUMIFS(Einzelbeträge!$D:$D,Einzelbeträge!$C:$C,'Ausgaben 2024'!$C51,Einzelbeträge!$E:$E,'Ausgaben 2024'!I$6)</f>
        <v>0</v>
      </c>
      <c r="J51" s="21">
        <f>SUMIFS(Einzelbeträge!$D:$D,Einzelbeträge!$C:$C,'Ausgaben 2024'!$C51,Einzelbeträge!$E:$E,'Ausgaben 2024'!J$6)</f>
        <v>0</v>
      </c>
      <c r="K51" s="21">
        <f>SUMIFS(Einzelbeträge!$D:$D,Einzelbeträge!$C:$C,'Ausgaben 2024'!$C51,Einzelbeträge!$E:$E,'Ausgaben 2024'!K$6)</f>
        <v>0</v>
      </c>
      <c r="L51" s="21">
        <f>SUMIFS(Einzelbeträge!$D:$D,Einzelbeträge!$C:$C,'Ausgaben 2024'!$C51,Einzelbeträge!$E:$E,'Ausgaben 2024'!L$6)</f>
        <v>0</v>
      </c>
      <c r="M51" s="21">
        <f>SUMIFS(Einzelbeträge!$D:$D,Einzelbeträge!$C:$C,'Ausgaben 2024'!$C51,Einzelbeträge!$E:$E,'Ausgaben 2024'!M$6)</f>
        <v>0</v>
      </c>
      <c r="N51" s="35">
        <f>SUMIFS(Einzelbeträge!$D:$D,Einzelbeträge!$C:$C,'Ausgaben 2024'!$C51,Einzelbeträge!$E:$E,'Ausgaben 2024'!N$6)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11.11.2024 - 17.11.2024</v>
      </c>
      <c r="S51" s="46">
        <f t="shared" si="2"/>
        <v>0</v>
      </c>
      <c r="T51" s="55">
        <f t="shared" si="15"/>
        <v>0</v>
      </c>
      <c r="U51" s="55">
        <f t="shared" si="16"/>
        <v>0</v>
      </c>
      <c r="V51" s="55">
        <f t="shared" si="17"/>
        <v>0</v>
      </c>
      <c r="W51" s="55">
        <f t="shared" si="18"/>
        <v>0</v>
      </c>
      <c r="X51" s="55">
        <f t="shared" si="19"/>
        <v>0</v>
      </c>
      <c r="Y51" s="55">
        <f t="shared" si="20"/>
        <v>0</v>
      </c>
      <c r="Z51" s="55">
        <f t="shared" si="21"/>
        <v>0</v>
      </c>
      <c r="AA51" s="55">
        <f t="shared" si="22"/>
        <v>0</v>
      </c>
      <c r="AB51" s="55">
        <f t="shared" si="23"/>
        <v>0</v>
      </c>
      <c r="AC51" s="56">
        <f t="shared" si="24"/>
        <v>0</v>
      </c>
      <c r="AD51" s="6"/>
    </row>
    <row r="52" spans="2:30" x14ac:dyDescent="0.35">
      <c r="B52" s="5"/>
      <c r="C52" s="40">
        <f t="shared" si="25"/>
        <v>45334</v>
      </c>
      <c r="D52" s="46">
        <f>SUMIFS(Einzelbeträge!$D:$D,Einzelbeträge!$C:$C,'Ausgaben 2024'!$C52)</f>
        <v>0</v>
      </c>
      <c r="E52" s="34">
        <f>SUMIFS(Einzelbeträge!$D:$D,Einzelbeträge!$C:$C,'Ausgaben 2024'!$C52,Einzelbeträge!$E:$E,'Ausgaben 2024'!E$6)</f>
        <v>0</v>
      </c>
      <c r="F52" s="21">
        <f>SUMIFS(Einzelbeträge!$D:$D,Einzelbeträge!$C:$C,'Ausgaben 2024'!$C52,Einzelbeträge!$E:$E,'Ausgaben 2024'!F$6)</f>
        <v>0</v>
      </c>
      <c r="G52" s="21">
        <f>SUMIFS(Einzelbeträge!$D:$D,Einzelbeträge!$C:$C,'Ausgaben 2024'!$C52,Einzelbeträge!$E:$E,'Ausgaben 2024'!G$6)</f>
        <v>0</v>
      </c>
      <c r="H52" s="21">
        <f>SUMIFS(Einzelbeträge!$D:$D,Einzelbeträge!$C:$C,'Ausgaben 2024'!$C52,Einzelbeträge!$E:$E,'Ausgaben 2024'!H$6)</f>
        <v>0</v>
      </c>
      <c r="I52" s="21">
        <f>SUMIFS(Einzelbeträge!$D:$D,Einzelbeträge!$C:$C,'Ausgaben 2024'!$C52,Einzelbeträge!$E:$E,'Ausgaben 2024'!I$6)</f>
        <v>0</v>
      </c>
      <c r="J52" s="21">
        <f>SUMIFS(Einzelbeträge!$D:$D,Einzelbeträge!$C:$C,'Ausgaben 2024'!$C52,Einzelbeträge!$E:$E,'Ausgaben 2024'!J$6)</f>
        <v>0</v>
      </c>
      <c r="K52" s="21">
        <f>SUMIFS(Einzelbeträge!$D:$D,Einzelbeträge!$C:$C,'Ausgaben 2024'!$C52,Einzelbeträge!$E:$E,'Ausgaben 2024'!K$6)</f>
        <v>0</v>
      </c>
      <c r="L52" s="21">
        <f>SUMIFS(Einzelbeträge!$D:$D,Einzelbeträge!$C:$C,'Ausgaben 2024'!$C52,Einzelbeträge!$E:$E,'Ausgaben 2024'!L$6)</f>
        <v>0</v>
      </c>
      <c r="M52" s="21">
        <f>SUMIFS(Einzelbeträge!$D:$D,Einzelbeträge!$C:$C,'Ausgaben 2024'!$C52,Einzelbeträge!$E:$E,'Ausgaben 2024'!M$6)</f>
        <v>0</v>
      </c>
      <c r="N52" s="35">
        <f>SUMIFS(Einzelbeträge!$D:$D,Einzelbeträge!$C:$C,'Ausgaben 2024'!$C52,Einzelbeträge!$E:$E,'Ausgaben 2024'!N$6)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18.11.2024 - 24.11.2024</v>
      </c>
      <c r="S52" s="46">
        <f t="shared" si="2"/>
        <v>0</v>
      </c>
      <c r="T52" s="55">
        <f t="shared" si="15"/>
        <v>0</v>
      </c>
      <c r="U52" s="55">
        <f t="shared" si="16"/>
        <v>0</v>
      </c>
      <c r="V52" s="55">
        <f t="shared" si="17"/>
        <v>0</v>
      </c>
      <c r="W52" s="55">
        <f t="shared" si="18"/>
        <v>0</v>
      </c>
      <c r="X52" s="55">
        <f t="shared" si="19"/>
        <v>0</v>
      </c>
      <c r="Y52" s="55">
        <f t="shared" si="20"/>
        <v>0</v>
      </c>
      <c r="Z52" s="55">
        <f t="shared" si="21"/>
        <v>0</v>
      </c>
      <c r="AA52" s="55">
        <f t="shared" si="22"/>
        <v>0</v>
      </c>
      <c r="AB52" s="55">
        <f t="shared" si="23"/>
        <v>0</v>
      </c>
      <c r="AC52" s="56">
        <f t="shared" si="24"/>
        <v>0</v>
      </c>
      <c r="AD52" s="6"/>
    </row>
    <row r="53" spans="2:30" x14ac:dyDescent="0.35">
      <c r="B53" s="5"/>
      <c r="C53" s="40">
        <f t="shared" si="25"/>
        <v>45335</v>
      </c>
      <c r="D53" s="46">
        <f>SUMIFS(Einzelbeträge!$D:$D,Einzelbeträge!$C:$C,'Ausgaben 2024'!$C53)</f>
        <v>0</v>
      </c>
      <c r="E53" s="34">
        <f>SUMIFS(Einzelbeträge!$D:$D,Einzelbeträge!$C:$C,'Ausgaben 2024'!$C53,Einzelbeträge!$E:$E,'Ausgaben 2024'!E$6)</f>
        <v>0</v>
      </c>
      <c r="F53" s="21">
        <f>SUMIFS(Einzelbeträge!$D:$D,Einzelbeträge!$C:$C,'Ausgaben 2024'!$C53,Einzelbeträge!$E:$E,'Ausgaben 2024'!F$6)</f>
        <v>0</v>
      </c>
      <c r="G53" s="21">
        <f>SUMIFS(Einzelbeträge!$D:$D,Einzelbeträge!$C:$C,'Ausgaben 2024'!$C53,Einzelbeträge!$E:$E,'Ausgaben 2024'!G$6)</f>
        <v>0</v>
      </c>
      <c r="H53" s="21">
        <f>SUMIFS(Einzelbeträge!$D:$D,Einzelbeträge!$C:$C,'Ausgaben 2024'!$C53,Einzelbeträge!$E:$E,'Ausgaben 2024'!H$6)</f>
        <v>0</v>
      </c>
      <c r="I53" s="21">
        <f>SUMIFS(Einzelbeträge!$D:$D,Einzelbeträge!$C:$C,'Ausgaben 2024'!$C53,Einzelbeträge!$E:$E,'Ausgaben 2024'!I$6)</f>
        <v>0</v>
      </c>
      <c r="J53" s="21">
        <f>SUMIFS(Einzelbeträge!$D:$D,Einzelbeträge!$C:$C,'Ausgaben 2024'!$C53,Einzelbeträge!$E:$E,'Ausgaben 2024'!J$6)</f>
        <v>0</v>
      </c>
      <c r="K53" s="21">
        <f>SUMIFS(Einzelbeträge!$D:$D,Einzelbeträge!$C:$C,'Ausgaben 2024'!$C53,Einzelbeträge!$E:$E,'Ausgaben 2024'!K$6)</f>
        <v>0</v>
      </c>
      <c r="L53" s="21">
        <f>SUMIFS(Einzelbeträge!$D:$D,Einzelbeträge!$C:$C,'Ausgaben 2024'!$C53,Einzelbeträge!$E:$E,'Ausgaben 2024'!L$6)</f>
        <v>0</v>
      </c>
      <c r="M53" s="21">
        <f>SUMIFS(Einzelbeträge!$D:$D,Einzelbeträge!$C:$C,'Ausgaben 2024'!$C53,Einzelbeträge!$E:$E,'Ausgaben 2024'!M$6)</f>
        <v>0</v>
      </c>
      <c r="N53" s="35">
        <f>SUMIFS(Einzelbeträge!$D:$D,Einzelbeträge!$C:$C,'Ausgaben 2024'!$C53,Einzelbeträge!$E:$E,'Ausgaben 2024'!N$6)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25.11.2024 - 01.12.2024</v>
      </c>
      <c r="S53" s="46">
        <f t="shared" si="2"/>
        <v>0</v>
      </c>
      <c r="T53" s="55">
        <f t="shared" si="15"/>
        <v>0</v>
      </c>
      <c r="U53" s="55">
        <f t="shared" si="16"/>
        <v>0</v>
      </c>
      <c r="V53" s="55">
        <f t="shared" si="17"/>
        <v>0</v>
      </c>
      <c r="W53" s="55">
        <f t="shared" si="18"/>
        <v>0</v>
      </c>
      <c r="X53" s="55">
        <f t="shared" si="19"/>
        <v>0</v>
      </c>
      <c r="Y53" s="55">
        <f t="shared" si="20"/>
        <v>0</v>
      </c>
      <c r="Z53" s="55">
        <f t="shared" si="21"/>
        <v>0</v>
      </c>
      <c r="AA53" s="55">
        <f t="shared" si="22"/>
        <v>0</v>
      </c>
      <c r="AB53" s="55">
        <f t="shared" si="23"/>
        <v>0</v>
      </c>
      <c r="AC53" s="56">
        <f t="shared" si="24"/>
        <v>0</v>
      </c>
      <c r="AD53" s="6"/>
    </row>
    <row r="54" spans="2:30" x14ac:dyDescent="0.35">
      <c r="B54" s="5"/>
      <c r="C54" s="40">
        <f t="shared" si="25"/>
        <v>45336</v>
      </c>
      <c r="D54" s="46">
        <f>SUMIFS(Einzelbeträge!$D:$D,Einzelbeträge!$C:$C,'Ausgaben 2024'!$C54)</f>
        <v>0</v>
      </c>
      <c r="E54" s="34">
        <f>SUMIFS(Einzelbeträge!$D:$D,Einzelbeträge!$C:$C,'Ausgaben 2024'!$C54,Einzelbeträge!$E:$E,'Ausgaben 2024'!E$6)</f>
        <v>0</v>
      </c>
      <c r="F54" s="21">
        <f>SUMIFS(Einzelbeträge!$D:$D,Einzelbeträge!$C:$C,'Ausgaben 2024'!$C54,Einzelbeträge!$E:$E,'Ausgaben 2024'!F$6)</f>
        <v>0</v>
      </c>
      <c r="G54" s="21">
        <f>SUMIFS(Einzelbeträge!$D:$D,Einzelbeträge!$C:$C,'Ausgaben 2024'!$C54,Einzelbeträge!$E:$E,'Ausgaben 2024'!G$6)</f>
        <v>0</v>
      </c>
      <c r="H54" s="21">
        <f>SUMIFS(Einzelbeträge!$D:$D,Einzelbeträge!$C:$C,'Ausgaben 2024'!$C54,Einzelbeträge!$E:$E,'Ausgaben 2024'!H$6)</f>
        <v>0</v>
      </c>
      <c r="I54" s="21">
        <f>SUMIFS(Einzelbeträge!$D:$D,Einzelbeträge!$C:$C,'Ausgaben 2024'!$C54,Einzelbeträge!$E:$E,'Ausgaben 2024'!I$6)</f>
        <v>0</v>
      </c>
      <c r="J54" s="21">
        <f>SUMIFS(Einzelbeträge!$D:$D,Einzelbeträge!$C:$C,'Ausgaben 2024'!$C54,Einzelbeträge!$E:$E,'Ausgaben 2024'!J$6)</f>
        <v>0</v>
      </c>
      <c r="K54" s="21">
        <f>SUMIFS(Einzelbeträge!$D:$D,Einzelbeträge!$C:$C,'Ausgaben 2024'!$C54,Einzelbeträge!$E:$E,'Ausgaben 2024'!K$6)</f>
        <v>0</v>
      </c>
      <c r="L54" s="21">
        <f>SUMIFS(Einzelbeträge!$D:$D,Einzelbeträge!$C:$C,'Ausgaben 2024'!$C54,Einzelbeträge!$E:$E,'Ausgaben 2024'!L$6)</f>
        <v>0</v>
      </c>
      <c r="M54" s="21">
        <f>SUMIFS(Einzelbeträge!$D:$D,Einzelbeträge!$C:$C,'Ausgaben 2024'!$C54,Einzelbeträge!$E:$E,'Ausgaben 2024'!M$6)</f>
        <v>0</v>
      </c>
      <c r="N54" s="35">
        <f>SUMIFS(Einzelbeträge!$D:$D,Einzelbeträge!$C:$C,'Ausgaben 2024'!$C54,Einzelbeträge!$E:$E,'Ausgaben 2024'!N$6)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02.12.2024 - 08.12.2024</v>
      </c>
      <c r="S54" s="46">
        <f t="shared" si="2"/>
        <v>0</v>
      </c>
      <c r="T54" s="55">
        <f t="shared" si="15"/>
        <v>0</v>
      </c>
      <c r="U54" s="55">
        <f t="shared" si="16"/>
        <v>0</v>
      </c>
      <c r="V54" s="55">
        <f t="shared" si="17"/>
        <v>0</v>
      </c>
      <c r="W54" s="55">
        <f t="shared" si="18"/>
        <v>0</v>
      </c>
      <c r="X54" s="55">
        <f t="shared" si="19"/>
        <v>0</v>
      </c>
      <c r="Y54" s="55">
        <f t="shared" si="20"/>
        <v>0</v>
      </c>
      <c r="Z54" s="55">
        <f t="shared" si="21"/>
        <v>0</v>
      </c>
      <c r="AA54" s="55">
        <f t="shared" si="22"/>
        <v>0</v>
      </c>
      <c r="AB54" s="55">
        <f t="shared" si="23"/>
        <v>0</v>
      </c>
      <c r="AC54" s="56">
        <f t="shared" si="24"/>
        <v>0</v>
      </c>
      <c r="AD54" s="6"/>
    </row>
    <row r="55" spans="2:30" x14ac:dyDescent="0.35">
      <c r="B55" s="5"/>
      <c r="C55" s="40">
        <f t="shared" si="25"/>
        <v>45337</v>
      </c>
      <c r="D55" s="46">
        <f>SUMIFS(Einzelbeträge!$D:$D,Einzelbeträge!$C:$C,'Ausgaben 2024'!$C55)</f>
        <v>0</v>
      </c>
      <c r="E55" s="34">
        <f>SUMIFS(Einzelbeträge!$D:$D,Einzelbeträge!$C:$C,'Ausgaben 2024'!$C55,Einzelbeträge!$E:$E,'Ausgaben 2024'!E$6)</f>
        <v>0</v>
      </c>
      <c r="F55" s="21">
        <f>SUMIFS(Einzelbeträge!$D:$D,Einzelbeträge!$C:$C,'Ausgaben 2024'!$C55,Einzelbeträge!$E:$E,'Ausgaben 2024'!F$6)</f>
        <v>0</v>
      </c>
      <c r="G55" s="21">
        <f>SUMIFS(Einzelbeträge!$D:$D,Einzelbeträge!$C:$C,'Ausgaben 2024'!$C55,Einzelbeträge!$E:$E,'Ausgaben 2024'!G$6)</f>
        <v>0</v>
      </c>
      <c r="H55" s="21">
        <f>SUMIFS(Einzelbeträge!$D:$D,Einzelbeträge!$C:$C,'Ausgaben 2024'!$C55,Einzelbeträge!$E:$E,'Ausgaben 2024'!H$6)</f>
        <v>0</v>
      </c>
      <c r="I55" s="21">
        <f>SUMIFS(Einzelbeträge!$D:$D,Einzelbeträge!$C:$C,'Ausgaben 2024'!$C55,Einzelbeträge!$E:$E,'Ausgaben 2024'!I$6)</f>
        <v>0</v>
      </c>
      <c r="J55" s="21">
        <f>SUMIFS(Einzelbeträge!$D:$D,Einzelbeträge!$C:$C,'Ausgaben 2024'!$C55,Einzelbeträge!$E:$E,'Ausgaben 2024'!J$6)</f>
        <v>0</v>
      </c>
      <c r="K55" s="21">
        <f>SUMIFS(Einzelbeträge!$D:$D,Einzelbeträge!$C:$C,'Ausgaben 2024'!$C55,Einzelbeträge!$E:$E,'Ausgaben 2024'!K$6)</f>
        <v>0</v>
      </c>
      <c r="L55" s="21">
        <f>SUMIFS(Einzelbeträge!$D:$D,Einzelbeträge!$C:$C,'Ausgaben 2024'!$C55,Einzelbeträge!$E:$E,'Ausgaben 2024'!L$6)</f>
        <v>0</v>
      </c>
      <c r="M55" s="21">
        <f>SUMIFS(Einzelbeträge!$D:$D,Einzelbeträge!$C:$C,'Ausgaben 2024'!$C55,Einzelbeträge!$E:$E,'Ausgaben 2024'!M$6)</f>
        <v>0</v>
      </c>
      <c r="N55" s="35">
        <f>SUMIFS(Einzelbeträge!$D:$D,Einzelbeträge!$C:$C,'Ausgaben 2024'!$C55,Einzelbeträge!$E:$E,'Ausgaben 2024'!N$6)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09.12.2024 - 15.12.2024</v>
      </c>
      <c r="S55" s="46">
        <f t="shared" si="2"/>
        <v>0</v>
      </c>
      <c r="T55" s="55">
        <f t="shared" si="15"/>
        <v>0</v>
      </c>
      <c r="U55" s="55">
        <f t="shared" si="16"/>
        <v>0</v>
      </c>
      <c r="V55" s="55">
        <f t="shared" si="17"/>
        <v>0</v>
      </c>
      <c r="W55" s="55">
        <f t="shared" si="18"/>
        <v>0</v>
      </c>
      <c r="X55" s="55">
        <f t="shared" si="19"/>
        <v>0</v>
      </c>
      <c r="Y55" s="55">
        <f t="shared" si="20"/>
        <v>0</v>
      </c>
      <c r="Z55" s="55">
        <f t="shared" si="21"/>
        <v>0</v>
      </c>
      <c r="AA55" s="55">
        <f t="shared" si="22"/>
        <v>0</v>
      </c>
      <c r="AB55" s="55">
        <f t="shared" si="23"/>
        <v>0</v>
      </c>
      <c r="AC55" s="56">
        <f t="shared" si="24"/>
        <v>0</v>
      </c>
      <c r="AD55" s="6"/>
    </row>
    <row r="56" spans="2:30" x14ac:dyDescent="0.35">
      <c r="B56" s="5"/>
      <c r="C56" s="40">
        <f t="shared" si="25"/>
        <v>45338</v>
      </c>
      <c r="D56" s="46">
        <f>SUMIFS(Einzelbeträge!$D:$D,Einzelbeträge!$C:$C,'Ausgaben 2024'!$C56)</f>
        <v>0</v>
      </c>
      <c r="E56" s="34">
        <f>SUMIFS(Einzelbeträge!$D:$D,Einzelbeträge!$C:$C,'Ausgaben 2024'!$C56,Einzelbeträge!$E:$E,'Ausgaben 2024'!E$6)</f>
        <v>0</v>
      </c>
      <c r="F56" s="21">
        <f>SUMIFS(Einzelbeträge!$D:$D,Einzelbeträge!$C:$C,'Ausgaben 2024'!$C56,Einzelbeträge!$E:$E,'Ausgaben 2024'!F$6)</f>
        <v>0</v>
      </c>
      <c r="G56" s="21">
        <f>SUMIFS(Einzelbeträge!$D:$D,Einzelbeträge!$C:$C,'Ausgaben 2024'!$C56,Einzelbeträge!$E:$E,'Ausgaben 2024'!G$6)</f>
        <v>0</v>
      </c>
      <c r="H56" s="21">
        <f>SUMIFS(Einzelbeträge!$D:$D,Einzelbeträge!$C:$C,'Ausgaben 2024'!$C56,Einzelbeträge!$E:$E,'Ausgaben 2024'!H$6)</f>
        <v>0</v>
      </c>
      <c r="I56" s="21">
        <f>SUMIFS(Einzelbeträge!$D:$D,Einzelbeträge!$C:$C,'Ausgaben 2024'!$C56,Einzelbeträge!$E:$E,'Ausgaben 2024'!I$6)</f>
        <v>0</v>
      </c>
      <c r="J56" s="21">
        <f>SUMIFS(Einzelbeträge!$D:$D,Einzelbeträge!$C:$C,'Ausgaben 2024'!$C56,Einzelbeträge!$E:$E,'Ausgaben 2024'!J$6)</f>
        <v>0</v>
      </c>
      <c r="K56" s="21">
        <f>SUMIFS(Einzelbeträge!$D:$D,Einzelbeträge!$C:$C,'Ausgaben 2024'!$C56,Einzelbeträge!$E:$E,'Ausgaben 2024'!K$6)</f>
        <v>0</v>
      </c>
      <c r="L56" s="21">
        <f>SUMIFS(Einzelbeträge!$D:$D,Einzelbeträge!$C:$C,'Ausgaben 2024'!$C56,Einzelbeträge!$E:$E,'Ausgaben 2024'!L$6)</f>
        <v>0</v>
      </c>
      <c r="M56" s="21">
        <f>SUMIFS(Einzelbeträge!$D:$D,Einzelbeträge!$C:$C,'Ausgaben 2024'!$C56,Einzelbeträge!$E:$E,'Ausgaben 2024'!M$6)</f>
        <v>0</v>
      </c>
      <c r="N56" s="35">
        <f>SUMIFS(Einzelbeträge!$D:$D,Einzelbeträge!$C:$C,'Ausgaben 2024'!$C56,Einzelbeträge!$E:$E,'Ausgaben 2024'!N$6)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16.12.2024 - 22.12.2024</v>
      </c>
      <c r="S56" s="46">
        <f t="shared" si="2"/>
        <v>0</v>
      </c>
      <c r="T56" s="55">
        <f t="shared" si="15"/>
        <v>0</v>
      </c>
      <c r="U56" s="55">
        <f t="shared" si="16"/>
        <v>0</v>
      </c>
      <c r="V56" s="55">
        <f t="shared" si="17"/>
        <v>0</v>
      </c>
      <c r="W56" s="55">
        <f t="shared" si="18"/>
        <v>0</v>
      </c>
      <c r="X56" s="55">
        <f t="shared" si="19"/>
        <v>0</v>
      </c>
      <c r="Y56" s="55">
        <f t="shared" si="20"/>
        <v>0</v>
      </c>
      <c r="Z56" s="55">
        <f t="shared" si="21"/>
        <v>0</v>
      </c>
      <c r="AA56" s="55">
        <f t="shared" si="22"/>
        <v>0</v>
      </c>
      <c r="AB56" s="55">
        <f t="shared" si="23"/>
        <v>0</v>
      </c>
      <c r="AC56" s="56">
        <f t="shared" si="24"/>
        <v>0</v>
      </c>
      <c r="AD56" s="6"/>
    </row>
    <row r="57" spans="2:30" x14ac:dyDescent="0.35">
      <c r="B57" s="5"/>
      <c r="C57" s="40">
        <f t="shared" si="25"/>
        <v>45339</v>
      </c>
      <c r="D57" s="46">
        <f>SUMIFS(Einzelbeträge!$D:$D,Einzelbeträge!$C:$C,'Ausgaben 2024'!$C57)</f>
        <v>0</v>
      </c>
      <c r="E57" s="34">
        <f>SUMIFS(Einzelbeträge!$D:$D,Einzelbeträge!$C:$C,'Ausgaben 2024'!$C57,Einzelbeträge!$E:$E,'Ausgaben 2024'!E$6)</f>
        <v>0</v>
      </c>
      <c r="F57" s="21">
        <f>SUMIFS(Einzelbeträge!$D:$D,Einzelbeträge!$C:$C,'Ausgaben 2024'!$C57,Einzelbeträge!$E:$E,'Ausgaben 2024'!F$6)</f>
        <v>0</v>
      </c>
      <c r="G57" s="21">
        <f>SUMIFS(Einzelbeträge!$D:$D,Einzelbeträge!$C:$C,'Ausgaben 2024'!$C57,Einzelbeträge!$E:$E,'Ausgaben 2024'!G$6)</f>
        <v>0</v>
      </c>
      <c r="H57" s="21">
        <f>SUMIFS(Einzelbeträge!$D:$D,Einzelbeträge!$C:$C,'Ausgaben 2024'!$C57,Einzelbeträge!$E:$E,'Ausgaben 2024'!H$6)</f>
        <v>0</v>
      </c>
      <c r="I57" s="21">
        <f>SUMIFS(Einzelbeträge!$D:$D,Einzelbeträge!$C:$C,'Ausgaben 2024'!$C57,Einzelbeträge!$E:$E,'Ausgaben 2024'!I$6)</f>
        <v>0</v>
      </c>
      <c r="J57" s="21">
        <f>SUMIFS(Einzelbeträge!$D:$D,Einzelbeträge!$C:$C,'Ausgaben 2024'!$C57,Einzelbeträge!$E:$E,'Ausgaben 2024'!J$6)</f>
        <v>0</v>
      </c>
      <c r="K57" s="21">
        <f>SUMIFS(Einzelbeträge!$D:$D,Einzelbeträge!$C:$C,'Ausgaben 2024'!$C57,Einzelbeträge!$E:$E,'Ausgaben 2024'!K$6)</f>
        <v>0</v>
      </c>
      <c r="L57" s="21">
        <f>SUMIFS(Einzelbeträge!$D:$D,Einzelbeträge!$C:$C,'Ausgaben 2024'!$C57,Einzelbeträge!$E:$E,'Ausgaben 2024'!L$6)</f>
        <v>0</v>
      </c>
      <c r="M57" s="21">
        <f>SUMIFS(Einzelbeträge!$D:$D,Einzelbeträge!$C:$C,'Ausgaben 2024'!$C57,Einzelbeträge!$E:$E,'Ausgaben 2024'!M$6)</f>
        <v>0</v>
      </c>
      <c r="N57" s="35">
        <f>SUMIFS(Einzelbeträge!$D:$D,Einzelbeträge!$C:$C,'Ausgaben 2024'!$C57,Einzelbeträge!$E:$E,'Ausgaben 2024'!N$6)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23.12.2024 - 29.12.2024</v>
      </c>
      <c r="S57" s="46">
        <f t="shared" si="2"/>
        <v>0</v>
      </c>
      <c r="T57" s="55">
        <f t="shared" si="15"/>
        <v>0</v>
      </c>
      <c r="U57" s="55">
        <f t="shared" si="16"/>
        <v>0</v>
      </c>
      <c r="V57" s="55">
        <f t="shared" si="17"/>
        <v>0</v>
      </c>
      <c r="W57" s="55">
        <f t="shared" si="18"/>
        <v>0</v>
      </c>
      <c r="X57" s="55">
        <f t="shared" si="19"/>
        <v>0</v>
      </c>
      <c r="Y57" s="55">
        <f t="shared" si="20"/>
        <v>0</v>
      </c>
      <c r="Z57" s="55">
        <f t="shared" si="21"/>
        <v>0</v>
      </c>
      <c r="AA57" s="55">
        <f t="shared" si="22"/>
        <v>0</v>
      </c>
      <c r="AB57" s="55">
        <f t="shared" si="23"/>
        <v>0</v>
      </c>
      <c r="AC57" s="56">
        <f t="shared" si="24"/>
        <v>0</v>
      </c>
      <c r="AD57" s="6"/>
    </row>
    <row r="58" spans="2:30" x14ac:dyDescent="0.35">
      <c r="B58" s="5"/>
      <c r="C58" s="40">
        <f t="shared" si="25"/>
        <v>45340</v>
      </c>
      <c r="D58" s="46">
        <f>SUMIFS(Einzelbeträge!$D:$D,Einzelbeträge!$C:$C,'Ausgaben 2024'!$C58)</f>
        <v>0</v>
      </c>
      <c r="E58" s="34">
        <f>SUMIFS(Einzelbeträge!$D:$D,Einzelbeträge!$C:$C,'Ausgaben 2024'!$C58,Einzelbeträge!$E:$E,'Ausgaben 2024'!E$6)</f>
        <v>0</v>
      </c>
      <c r="F58" s="21">
        <f>SUMIFS(Einzelbeträge!$D:$D,Einzelbeträge!$C:$C,'Ausgaben 2024'!$C58,Einzelbeträge!$E:$E,'Ausgaben 2024'!F$6)</f>
        <v>0</v>
      </c>
      <c r="G58" s="21">
        <f>SUMIFS(Einzelbeträge!$D:$D,Einzelbeträge!$C:$C,'Ausgaben 2024'!$C58,Einzelbeträge!$E:$E,'Ausgaben 2024'!G$6)</f>
        <v>0</v>
      </c>
      <c r="H58" s="21">
        <f>SUMIFS(Einzelbeträge!$D:$D,Einzelbeträge!$C:$C,'Ausgaben 2024'!$C58,Einzelbeträge!$E:$E,'Ausgaben 2024'!H$6)</f>
        <v>0</v>
      </c>
      <c r="I58" s="21">
        <f>SUMIFS(Einzelbeträge!$D:$D,Einzelbeträge!$C:$C,'Ausgaben 2024'!$C58,Einzelbeträge!$E:$E,'Ausgaben 2024'!I$6)</f>
        <v>0</v>
      </c>
      <c r="J58" s="21">
        <f>SUMIFS(Einzelbeträge!$D:$D,Einzelbeträge!$C:$C,'Ausgaben 2024'!$C58,Einzelbeträge!$E:$E,'Ausgaben 2024'!J$6)</f>
        <v>0</v>
      </c>
      <c r="K58" s="21">
        <f>SUMIFS(Einzelbeträge!$D:$D,Einzelbeträge!$C:$C,'Ausgaben 2024'!$C58,Einzelbeträge!$E:$E,'Ausgaben 2024'!K$6)</f>
        <v>0</v>
      </c>
      <c r="L58" s="21">
        <f>SUMIFS(Einzelbeträge!$D:$D,Einzelbeträge!$C:$C,'Ausgaben 2024'!$C58,Einzelbeträge!$E:$E,'Ausgaben 2024'!L$6)</f>
        <v>0</v>
      </c>
      <c r="M58" s="21">
        <f>SUMIFS(Einzelbeträge!$D:$D,Einzelbeträge!$C:$C,'Ausgaben 2024'!$C58,Einzelbeträge!$E:$E,'Ausgaben 2024'!M$6)</f>
        <v>0</v>
      </c>
      <c r="N58" s="35">
        <f>SUMIFS(Einzelbeträge!$D:$D,Einzelbeträge!$C:$C,'Ausgaben 2024'!$C58,Einzelbeträge!$E:$E,'Ausgaben 2024'!N$6)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30.12.2024 - 05.01.2025</v>
      </c>
      <c r="S58" s="47">
        <f t="shared" si="2"/>
        <v>0</v>
      </c>
      <c r="T58" s="58">
        <f t="shared" si="15"/>
        <v>0</v>
      </c>
      <c r="U58" s="58">
        <f t="shared" si="16"/>
        <v>0</v>
      </c>
      <c r="V58" s="58">
        <f t="shared" si="17"/>
        <v>0</v>
      </c>
      <c r="W58" s="58">
        <f t="shared" si="18"/>
        <v>0</v>
      </c>
      <c r="X58" s="58">
        <f t="shared" si="19"/>
        <v>0</v>
      </c>
      <c r="Y58" s="58">
        <f t="shared" si="20"/>
        <v>0</v>
      </c>
      <c r="Z58" s="58">
        <f t="shared" si="21"/>
        <v>0</v>
      </c>
      <c r="AA58" s="58">
        <f t="shared" si="22"/>
        <v>0</v>
      </c>
      <c r="AB58" s="58">
        <f t="shared" si="23"/>
        <v>0</v>
      </c>
      <c r="AC58" s="59">
        <f t="shared" si="24"/>
        <v>0</v>
      </c>
      <c r="AD58" s="6"/>
    </row>
    <row r="59" spans="2:30" ht="15" thickBot="1" x14ac:dyDescent="0.4">
      <c r="B59" s="5"/>
      <c r="C59" s="40">
        <f t="shared" si="25"/>
        <v>45341</v>
      </c>
      <c r="D59" s="46">
        <f>SUMIFS(Einzelbeträge!$D:$D,Einzelbeträge!$C:$C,'Ausgaben 2024'!$C59)</f>
        <v>0</v>
      </c>
      <c r="E59" s="34">
        <f>SUMIFS(Einzelbeträge!$D:$D,Einzelbeträge!$C:$C,'Ausgaben 2024'!$C59,Einzelbeträge!$E:$E,'Ausgaben 2024'!E$6)</f>
        <v>0</v>
      </c>
      <c r="F59" s="21">
        <f>SUMIFS(Einzelbeträge!$D:$D,Einzelbeträge!$C:$C,'Ausgaben 2024'!$C59,Einzelbeträge!$E:$E,'Ausgaben 2024'!F$6)</f>
        <v>0</v>
      </c>
      <c r="G59" s="21">
        <f>SUMIFS(Einzelbeträge!$D:$D,Einzelbeträge!$C:$C,'Ausgaben 2024'!$C59,Einzelbeträge!$E:$E,'Ausgaben 2024'!G$6)</f>
        <v>0</v>
      </c>
      <c r="H59" s="21">
        <f>SUMIFS(Einzelbeträge!$D:$D,Einzelbeträge!$C:$C,'Ausgaben 2024'!$C59,Einzelbeträge!$E:$E,'Ausgaben 2024'!H$6)</f>
        <v>0</v>
      </c>
      <c r="I59" s="21">
        <f>SUMIFS(Einzelbeträge!$D:$D,Einzelbeträge!$C:$C,'Ausgaben 2024'!$C59,Einzelbeträge!$E:$E,'Ausgaben 2024'!I$6)</f>
        <v>0</v>
      </c>
      <c r="J59" s="21">
        <f>SUMIFS(Einzelbeträge!$D:$D,Einzelbeträge!$C:$C,'Ausgaben 2024'!$C59,Einzelbeträge!$E:$E,'Ausgaben 2024'!J$6)</f>
        <v>0</v>
      </c>
      <c r="K59" s="21">
        <f>SUMIFS(Einzelbeträge!$D:$D,Einzelbeträge!$C:$C,'Ausgaben 2024'!$C59,Einzelbeträge!$E:$E,'Ausgaben 2024'!K$6)</f>
        <v>0</v>
      </c>
      <c r="L59" s="21">
        <f>SUMIFS(Einzelbeträge!$D:$D,Einzelbeträge!$C:$C,'Ausgaben 2024'!$C59,Einzelbeträge!$E:$E,'Ausgaben 2024'!L$6)</f>
        <v>0</v>
      </c>
      <c r="M59" s="21">
        <f>SUMIFS(Einzelbeträge!$D:$D,Einzelbeträge!$C:$C,'Ausgaben 2024'!$C59,Einzelbeträge!$E:$E,'Ausgaben 2024'!M$6)</f>
        <v>0</v>
      </c>
      <c r="N59" s="35">
        <f>SUMIFS(Einzelbeträge!$D:$D,Einzelbeträge!$C:$C,'Ausgaben 2024'!$C59,Einzelbeträge!$E:$E,'Ausgaben 2024'!N$6)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25"/>
        <v>45342</v>
      </c>
      <c r="D60" s="46">
        <f>SUMIFS(Einzelbeträge!$D:$D,Einzelbeträge!$C:$C,'Ausgaben 2024'!$C60)</f>
        <v>0</v>
      </c>
      <c r="E60" s="34">
        <f>SUMIFS(Einzelbeträge!$D:$D,Einzelbeträge!$C:$C,'Ausgaben 2024'!$C60,Einzelbeträge!$E:$E,'Ausgaben 2024'!E$6)</f>
        <v>0</v>
      </c>
      <c r="F60" s="21">
        <f>SUMIFS(Einzelbeträge!$D:$D,Einzelbeträge!$C:$C,'Ausgaben 2024'!$C60,Einzelbeträge!$E:$E,'Ausgaben 2024'!F$6)</f>
        <v>0</v>
      </c>
      <c r="G60" s="21">
        <f>SUMIFS(Einzelbeträge!$D:$D,Einzelbeträge!$C:$C,'Ausgaben 2024'!$C60,Einzelbeträge!$E:$E,'Ausgaben 2024'!G$6)</f>
        <v>0</v>
      </c>
      <c r="H60" s="21">
        <f>SUMIFS(Einzelbeträge!$D:$D,Einzelbeträge!$C:$C,'Ausgaben 2024'!$C60,Einzelbeträge!$E:$E,'Ausgaben 2024'!H$6)</f>
        <v>0</v>
      </c>
      <c r="I60" s="21">
        <f>SUMIFS(Einzelbeträge!$D:$D,Einzelbeträge!$C:$C,'Ausgaben 2024'!$C60,Einzelbeträge!$E:$E,'Ausgaben 2024'!I$6)</f>
        <v>0</v>
      </c>
      <c r="J60" s="21">
        <f>SUMIFS(Einzelbeträge!$D:$D,Einzelbeträge!$C:$C,'Ausgaben 2024'!$C60,Einzelbeträge!$E:$E,'Ausgaben 2024'!J$6)</f>
        <v>0</v>
      </c>
      <c r="K60" s="21">
        <f>SUMIFS(Einzelbeträge!$D:$D,Einzelbeträge!$C:$C,'Ausgaben 2024'!$C60,Einzelbeträge!$E:$E,'Ausgaben 2024'!K$6)</f>
        <v>0</v>
      </c>
      <c r="L60" s="21">
        <f>SUMIFS(Einzelbeträge!$D:$D,Einzelbeträge!$C:$C,'Ausgaben 2024'!$C60,Einzelbeträge!$E:$E,'Ausgaben 2024'!L$6)</f>
        <v>0</v>
      </c>
      <c r="M60" s="21">
        <f>SUMIFS(Einzelbeträge!$D:$D,Einzelbeträge!$C:$C,'Ausgaben 2024'!$C60,Einzelbeträge!$E:$E,'Ausgaben 2024'!M$6)</f>
        <v>0</v>
      </c>
      <c r="N60" s="35">
        <f>SUMIFS(Einzelbeträge!$D:$D,Einzelbeträge!$C:$C,'Ausgaben 2024'!$C60,Einzelbeträge!$E:$E,'Ausgaben 2024'!N$6)</f>
        <v>0</v>
      </c>
      <c r="O60" s="6"/>
    </row>
    <row r="61" spans="2:30" x14ac:dyDescent="0.35">
      <c r="B61" s="5"/>
      <c r="C61" s="40">
        <f t="shared" si="25"/>
        <v>45343</v>
      </c>
      <c r="D61" s="46">
        <f>SUMIFS(Einzelbeträge!$D:$D,Einzelbeträge!$C:$C,'Ausgaben 2024'!$C61)</f>
        <v>0</v>
      </c>
      <c r="E61" s="34">
        <f>SUMIFS(Einzelbeträge!$D:$D,Einzelbeträge!$C:$C,'Ausgaben 2024'!$C61,Einzelbeträge!$E:$E,'Ausgaben 2024'!E$6)</f>
        <v>0</v>
      </c>
      <c r="F61" s="21">
        <f>SUMIFS(Einzelbeträge!$D:$D,Einzelbeträge!$C:$C,'Ausgaben 2024'!$C61,Einzelbeträge!$E:$E,'Ausgaben 2024'!F$6)</f>
        <v>0</v>
      </c>
      <c r="G61" s="21">
        <f>SUMIFS(Einzelbeträge!$D:$D,Einzelbeträge!$C:$C,'Ausgaben 2024'!$C61,Einzelbeträge!$E:$E,'Ausgaben 2024'!G$6)</f>
        <v>0</v>
      </c>
      <c r="H61" s="21">
        <f>SUMIFS(Einzelbeträge!$D:$D,Einzelbeträge!$C:$C,'Ausgaben 2024'!$C61,Einzelbeträge!$E:$E,'Ausgaben 2024'!H$6)</f>
        <v>0</v>
      </c>
      <c r="I61" s="21">
        <f>SUMIFS(Einzelbeträge!$D:$D,Einzelbeträge!$C:$C,'Ausgaben 2024'!$C61,Einzelbeträge!$E:$E,'Ausgaben 2024'!I$6)</f>
        <v>0</v>
      </c>
      <c r="J61" s="21">
        <f>SUMIFS(Einzelbeträge!$D:$D,Einzelbeträge!$C:$C,'Ausgaben 2024'!$C61,Einzelbeträge!$E:$E,'Ausgaben 2024'!J$6)</f>
        <v>0</v>
      </c>
      <c r="K61" s="21">
        <f>SUMIFS(Einzelbeträge!$D:$D,Einzelbeträge!$C:$C,'Ausgaben 2024'!$C61,Einzelbeträge!$E:$E,'Ausgaben 2024'!K$6)</f>
        <v>0</v>
      </c>
      <c r="L61" s="21">
        <f>SUMIFS(Einzelbeträge!$D:$D,Einzelbeträge!$C:$C,'Ausgaben 2024'!$C61,Einzelbeträge!$E:$E,'Ausgaben 2024'!L$6)</f>
        <v>0</v>
      </c>
      <c r="M61" s="21">
        <f>SUMIFS(Einzelbeträge!$D:$D,Einzelbeträge!$C:$C,'Ausgaben 2024'!$C61,Einzelbeträge!$E:$E,'Ausgaben 2024'!M$6)</f>
        <v>0</v>
      </c>
      <c r="N61" s="35">
        <f>SUMIFS(Einzelbeträge!$D:$D,Einzelbeträge!$C:$C,'Ausgaben 2024'!$C61,Einzelbeträge!$E:$E,'Ausgaben 2024'!N$6)</f>
        <v>0</v>
      </c>
      <c r="O61" s="6"/>
    </row>
    <row r="62" spans="2:30" x14ac:dyDescent="0.35">
      <c r="B62" s="5"/>
      <c r="C62" s="40">
        <f t="shared" si="25"/>
        <v>45344</v>
      </c>
      <c r="D62" s="46">
        <f>SUMIFS(Einzelbeträge!$D:$D,Einzelbeträge!$C:$C,'Ausgaben 2024'!$C62)</f>
        <v>0</v>
      </c>
      <c r="E62" s="34">
        <f>SUMIFS(Einzelbeträge!$D:$D,Einzelbeträge!$C:$C,'Ausgaben 2024'!$C62,Einzelbeträge!$E:$E,'Ausgaben 2024'!E$6)</f>
        <v>0</v>
      </c>
      <c r="F62" s="21">
        <f>SUMIFS(Einzelbeträge!$D:$D,Einzelbeträge!$C:$C,'Ausgaben 2024'!$C62,Einzelbeträge!$E:$E,'Ausgaben 2024'!F$6)</f>
        <v>0</v>
      </c>
      <c r="G62" s="21">
        <f>SUMIFS(Einzelbeträge!$D:$D,Einzelbeträge!$C:$C,'Ausgaben 2024'!$C62,Einzelbeträge!$E:$E,'Ausgaben 2024'!G$6)</f>
        <v>0</v>
      </c>
      <c r="H62" s="21">
        <f>SUMIFS(Einzelbeträge!$D:$D,Einzelbeträge!$C:$C,'Ausgaben 2024'!$C62,Einzelbeträge!$E:$E,'Ausgaben 2024'!H$6)</f>
        <v>0</v>
      </c>
      <c r="I62" s="21">
        <f>SUMIFS(Einzelbeträge!$D:$D,Einzelbeträge!$C:$C,'Ausgaben 2024'!$C62,Einzelbeträge!$E:$E,'Ausgaben 2024'!I$6)</f>
        <v>0</v>
      </c>
      <c r="J62" s="21">
        <f>SUMIFS(Einzelbeträge!$D:$D,Einzelbeträge!$C:$C,'Ausgaben 2024'!$C62,Einzelbeträge!$E:$E,'Ausgaben 2024'!J$6)</f>
        <v>0</v>
      </c>
      <c r="K62" s="21">
        <f>SUMIFS(Einzelbeträge!$D:$D,Einzelbeträge!$C:$C,'Ausgaben 2024'!$C62,Einzelbeträge!$E:$E,'Ausgaben 2024'!K$6)</f>
        <v>0</v>
      </c>
      <c r="L62" s="21">
        <f>SUMIFS(Einzelbeträge!$D:$D,Einzelbeträge!$C:$C,'Ausgaben 2024'!$C62,Einzelbeträge!$E:$E,'Ausgaben 2024'!L$6)</f>
        <v>0</v>
      </c>
      <c r="M62" s="21">
        <f>SUMIFS(Einzelbeträge!$D:$D,Einzelbeträge!$C:$C,'Ausgaben 2024'!$C62,Einzelbeträge!$E:$E,'Ausgaben 2024'!M$6)</f>
        <v>0</v>
      </c>
      <c r="N62" s="35">
        <f>SUMIFS(Einzelbeträge!$D:$D,Einzelbeträge!$C:$C,'Ausgaben 2024'!$C62,Einzelbeträge!$E:$E,'Ausgaben 2024'!N$6)</f>
        <v>0</v>
      </c>
      <c r="O62" s="6"/>
    </row>
    <row r="63" spans="2:30" x14ac:dyDescent="0.35">
      <c r="B63" s="5"/>
      <c r="C63" s="40">
        <f t="shared" si="25"/>
        <v>45345</v>
      </c>
      <c r="D63" s="46">
        <f>SUMIFS(Einzelbeträge!$D:$D,Einzelbeträge!$C:$C,'Ausgaben 2024'!$C63)</f>
        <v>0</v>
      </c>
      <c r="E63" s="34">
        <f>SUMIFS(Einzelbeträge!$D:$D,Einzelbeträge!$C:$C,'Ausgaben 2024'!$C63,Einzelbeträge!$E:$E,'Ausgaben 2024'!E$6)</f>
        <v>0</v>
      </c>
      <c r="F63" s="21">
        <f>SUMIFS(Einzelbeträge!$D:$D,Einzelbeträge!$C:$C,'Ausgaben 2024'!$C63,Einzelbeträge!$E:$E,'Ausgaben 2024'!F$6)</f>
        <v>0</v>
      </c>
      <c r="G63" s="21">
        <f>SUMIFS(Einzelbeträge!$D:$D,Einzelbeträge!$C:$C,'Ausgaben 2024'!$C63,Einzelbeträge!$E:$E,'Ausgaben 2024'!G$6)</f>
        <v>0</v>
      </c>
      <c r="H63" s="21">
        <f>SUMIFS(Einzelbeträge!$D:$D,Einzelbeträge!$C:$C,'Ausgaben 2024'!$C63,Einzelbeträge!$E:$E,'Ausgaben 2024'!H$6)</f>
        <v>0</v>
      </c>
      <c r="I63" s="21">
        <f>SUMIFS(Einzelbeträge!$D:$D,Einzelbeträge!$C:$C,'Ausgaben 2024'!$C63,Einzelbeträge!$E:$E,'Ausgaben 2024'!I$6)</f>
        <v>0</v>
      </c>
      <c r="J63" s="21">
        <f>SUMIFS(Einzelbeträge!$D:$D,Einzelbeträge!$C:$C,'Ausgaben 2024'!$C63,Einzelbeträge!$E:$E,'Ausgaben 2024'!J$6)</f>
        <v>0</v>
      </c>
      <c r="K63" s="21">
        <f>SUMIFS(Einzelbeträge!$D:$D,Einzelbeträge!$C:$C,'Ausgaben 2024'!$C63,Einzelbeträge!$E:$E,'Ausgaben 2024'!K$6)</f>
        <v>0</v>
      </c>
      <c r="L63" s="21">
        <f>SUMIFS(Einzelbeträge!$D:$D,Einzelbeträge!$C:$C,'Ausgaben 2024'!$C63,Einzelbeträge!$E:$E,'Ausgaben 2024'!L$6)</f>
        <v>0</v>
      </c>
      <c r="M63" s="21">
        <f>SUMIFS(Einzelbeträge!$D:$D,Einzelbeträge!$C:$C,'Ausgaben 2024'!$C63,Einzelbeträge!$E:$E,'Ausgaben 2024'!M$6)</f>
        <v>0</v>
      </c>
      <c r="N63" s="35">
        <f>SUMIFS(Einzelbeträge!$D:$D,Einzelbeträge!$C:$C,'Ausgaben 2024'!$C63,Einzelbeträge!$E:$E,'Ausgaben 2024'!N$6)</f>
        <v>0</v>
      </c>
      <c r="O63" s="6"/>
    </row>
    <row r="64" spans="2:30" x14ac:dyDescent="0.35">
      <c r="B64" s="5"/>
      <c r="C64" s="40">
        <f t="shared" si="25"/>
        <v>45346</v>
      </c>
      <c r="D64" s="46">
        <f>SUMIFS(Einzelbeträge!$D:$D,Einzelbeträge!$C:$C,'Ausgaben 2024'!$C64)</f>
        <v>0</v>
      </c>
      <c r="E64" s="34">
        <f>SUMIFS(Einzelbeträge!$D:$D,Einzelbeträge!$C:$C,'Ausgaben 2024'!$C64,Einzelbeträge!$E:$E,'Ausgaben 2024'!E$6)</f>
        <v>0</v>
      </c>
      <c r="F64" s="21">
        <f>SUMIFS(Einzelbeträge!$D:$D,Einzelbeträge!$C:$C,'Ausgaben 2024'!$C64,Einzelbeträge!$E:$E,'Ausgaben 2024'!F$6)</f>
        <v>0</v>
      </c>
      <c r="G64" s="21">
        <f>SUMIFS(Einzelbeträge!$D:$D,Einzelbeträge!$C:$C,'Ausgaben 2024'!$C64,Einzelbeträge!$E:$E,'Ausgaben 2024'!G$6)</f>
        <v>0</v>
      </c>
      <c r="H64" s="21">
        <f>SUMIFS(Einzelbeträge!$D:$D,Einzelbeträge!$C:$C,'Ausgaben 2024'!$C64,Einzelbeträge!$E:$E,'Ausgaben 2024'!H$6)</f>
        <v>0</v>
      </c>
      <c r="I64" s="21">
        <f>SUMIFS(Einzelbeträge!$D:$D,Einzelbeträge!$C:$C,'Ausgaben 2024'!$C64,Einzelbeträge!$E:$E,'Ausgaben 2024'!I$6)</f>
        <v>0</v>
      </c>
      <c r="J64" s="21">
        <f>SUMIFS(Einzelbeträge!$D:$D,Einzelbeträge!$C:$C,'Ausgaben 2024'!$C64,Einzelbeträge!$E:$E,'Ausgaben 2024'!J$6)</f>
        <v>0</v>
      </c>
      <c r="K64" s="21">
        <f>SUMIFS(Einzelbeträge!$D:$D,Einzelbeträge!$C:$C,'Ausgaben 2024'!$C64,Einzelbeträge!$E:$E,'Ausgaben 2024'!K$6)</f>
        <v>0</v>
      </c>
      <c r="L64" s="21">
        <f>SUMIFS(Einzelbeträge!$D:$D,Einzelbeträge!$C:$C,'Ausgaben 2024'!$C64,Einzelbeträge!$E:$E,'Ausgaben 2024'!L$6)</f>
        <v>0</v>
      </c>
      <c r="M64" s="21">
        <f>SUMIFS(Einzelbeträge!$D:$D,Einzelbeträge!$C:$C,'Ausgaben 2024'!$C64,Einzelbeträge!$E:$E,'Ausgaben 2024'!M$6)</f>
        <v>0</v>
      </c>
      <c r="N64" s="35">
        <f>SUMIFS(Einzelbeträge!$D:$D,Einzelbeträge!$C:$C,'Ausgaben 2024'!$C64,Einzelbeträge!$E:$E,'Ausgaben 2024'!N$6)</f>
        <v>0</v>
      </c>
      <c r="O64" s="6"/>
    </row>
    <row r="65" spans="2:15" x14ac:dyDescent="0.35">
      <c r="B65" s="5"/>
      <c r="C65" s="40">
        <f t="shared" si="25"/>
        <v>45347</v>
      </c>
      <c r="D65" s="46">
        <f>SUMIFS(Einzelbeträge!$D:$D,Einzelbeträge!$C:$C,'Ausgaben 2024'!$C65)</f>
        <v>0</v>
      </c>
      <c r="E65" s="34">
        <f>SUMIFS(Einzelbeträge!$D:$D,Einzelbeträge!$C:$C,'Ausgaben 2024'!$C65,Einzelbeträge!$E:$E,'Ausgaben 2024'!E$6)</f>
        <v>0</v>
      </c>
      <c r="F65" s="21">
        <f>SUMIFS(Einzelbeträge!$D:$D,Einzelbeträge!$C:$C,'Ausgaben 2024'!$C65,Einzelbeträge!$E:$E,'Ausgaben 2024'!F$6)</f>
        <v>0</v>
      </c>
      <c r="G65" s="21">
        <f>SUMIFS(Einzelbeträge!$D:$D,Einzelbeträge!$C:$C,'Ausgaben 2024'!$C65,Einzelbeträge!$E:$E,'Ausgaben 2024'!G$6)</f>
        <v>0</v>
      </c>
      <c r="H65" s="21">
        <f>SUMIFS(Einzelbeträge!$D:$D,Einzelbeträge!$C:$C,'Ausgaben 2024'!$C65,Einzelbeträge!$E:$E,'Ausgaben 2024'!H$6)</f>
        <v>0</v>
      </c>
      <c r="I65" s="21">
        <f>SUMIFS(Einzelbeträge!$D:$D,Einzelbeträge!$C:$C,'Ausgaben 2024'!$C65,Einzelbeträge!$E:$E,'Ausgaben 2024'!I$6)</f>
        <v>0</v>
      </c>
      <c r="J65" s="21">
        <f>SUMIFS(Einzelbeträge!$D:$D,Einzelbeträge!$C:$C,'Ausgaben 2024'!$C65,Einzelbeträge!$E:$E,'Ausgaben 2024'!J$6)</f>
        <v>0</v>
      </c>
      <c r="K65" s="21">
        <f>SUMIFS(Einzelbeträge!$D:$D,Einzelbeträge!$C:$C,'Ausgaben 2024'!$C65,Einzelbeträge!$E:$E,'Ausgaben 2024'!K$6)</f>
        <v>0</v>
      </c>
      <c r="L65" s="21">
        <f>SUMIFS(Einzelbeträge!$D:$D,Einzelbeträge!$C:$C,'Ausgaben 2024'!$C65,Einzelbeträge!$E:$E,'Ausgaben 2024'!L$6)</f>
        <v>0</v>
      </c>
      <c r="M65" s="21">
        <f>SUMIFS(Einzelbeträge!$D:$D,Einzelbeträge!$C:$C,'Ausgaben 2024'!$C65,Einzelbeträge!$E:$E,'Ausgaben 2024'!M$6)</f>
        <v>0</v>
      </c>
      <c r="N65" s="35">
        <f>SUMIFS(Einzelbeträge!$D:$D,Einzelbeträge!$C:$C,'Ausgaben 2024'!$C65,Einzelbeträge!$E:$E,'Ausgaben 2024'!N$6)</f>
        <v>0</v>
      </c>
      <c r="O65" s="6"/>
    </row>
    <row r="66" spans="2:15" x14ac:dyDescent="0.35">
      <c r="B66" s="5"/>
      <c r="C66" s="40">
        <f t="shared" si="25"/>
        <v>45348</v>
      </c>
      <c r="D66" s="46">
        <f>SUMIFS(Einzelbeträge!$D:$D,Einzelbeträge!$C:$C,'Ausgaben 2024'!$C66)</f>
        <v>0</v>
      </c>
      <c r="E66" s="34">
        <f>SUMIFS(Einzelbeträge!$D:$D,Einzelbeträge!$C:$C,'Ausgaben 2024'!$C66,Einzelbeträge!$E:$E,'Ausgaben 2024'!E$6)</f>
        <v>0</v>
      </c>
      <c r="F66" s="21">
        <f>SUMIFS(Einzelbeträge!$D:$D,Einzelbeträge!$C:$C,'Ausgaben 2024'!$C66,Einzelbeträge!$E:$E,'Ausgaben 2024'!F$6)</f>
        <v>0</v>
      </c>
      <c r="G66" s="21">
        <f>SUMIFS(Einzelbeträge!$D:$D,Einzelbeträge!$C:$C,'Ausgaben 2024'!$C66,Einzelbeträge!$E:$E,'Ausgaben 2024'!G$6)</f>
        <v>0</v>
      </c>
      <c r="H66" s="21">
        <f>SUMIFS(Einzelbeträge!$D:$D,Einzelbeträge!$C:$C,'Ausgaben 2024'!$C66,Einzelbeträge!$E:$E,'Ausgaben 2024'!H$6)</f>
        <v>0</v>
      </c>
      <c r="I66" s="21">
        <f>SUMIFS(Einzelbeträge!$D:$D,Einzelbeträge!$C:$C,'Ausgaben 2024'!$C66,Einzelbeträge!$E:$E,'Ausgaben 2024'!I$6)</f>
        <v>0</v>
      </c>
      <c r="J66" s="21">
        <f>SUMIFS(Einzelbeträge!$D:$D,Einzelbeträge!$C:$C,'Ausgaben 2024'!$C66,Einzelbeträge!$E:$E,'Ausgaben 2024'!J$6)</f>
        <v>0</v>
      </c>
      <c r="K66" s="21">
        <f>SUMIFS(Einzelbeträge!$D:$D,Einzelbeträge!$C:$C,'Ausgaben 2024'!$C66,Einzelbeträge!$E:$E,'Ausgaben 2024'!K$6)</f>
        <v>0</v>
      </c>
      <c r="L66" s="21">
        <f>SUMIFS(Einzelbeträge!$D:$D,Einzelbeträge!$C:$C,'Ausgaben 2024'!$C66,Einzelbeträge!$E:$E,'Ausgaben 2024'!L$6)</f>
        <v>0</v>
      </c>
      <c r="M66" s="21">
        <f>SUMIFS(Einzelbeträge!$D:$D,Einzelbeträge!$C:$C,'Ausgaben 2024'!$C66,Einzelbeträge!$E:$E,'Ausgaben 2024'!M$6)</f>
        <v>0</v>
      </c>
      <c r="N66" s="35">
        <f>SUMIFS(Einzelbeträge!$D:$D,Einzelbeträge!$C:$C,'Ausgaben 2024'!$C66,Einzelbeträge!$E:$E,'Ausgaben 2024'!N$6)</f>
        <v>0</v>
      </c>
      <c r="O66" s="6"/>
    </row>
    <row r="67" spans="2:15" x14ac:dyDescent="0.35">
      <c r="B67" s="5"/>
      <c r="C67" s="40">
        <f t="shared" si="25"/>
        <v>45349</v>
      </c>
      <c r="D67" s="46">
        <f>SUMIFS(Einzelbeträge!$D:$D,Einzelbeträge!$C:$C,'Ausgaben 2024'!$C67)</f>
        <v>0</v>
      </c>
      <c r="E67" s="34">
        <f>SUMIFS(Einzelbeträge!$D:$D,Einzelbeträge!$C:$C,'Ausgaben 2024'!$C67,Einzelbeträge!$E:$E,'Ausgaben 2024'!E$6)</f>
        <v>0</v>
      </c>
      <c r="F67" s="21">
        <f>SUMIFS(Einzelbeträge!$D:$D,Einzelbeträge!$C:$C,'Ausgaben 2024'!$C67,Einzelbeträge!$E:$E,'Ausgaben 2024'!F$6)</f>
        <v>0</v>
      </c>
      <c r="G67" s="21">
        <f>SUMIFS(Einzelbeträge!$D:$D,Einzelbeträge!$C:$C,'Ausgaben 2024'!$C67,Einzelbeträge!$E:$E,'Ausgaben 2024'!G$6)</f>
        <v>0</v>
      </c>
      <c r="H67" s="21">
        <f>SUMIFS(Einzelbeträge!$D:$D,Einzelbeträge!$C:$C,'Ausgaben 2024'!$C67,Einzelbeträge!$E:$E,'Ausgaben 2024'!H$6)</f>
        <v>0</v>
      </c>
      <c r="I67" s="21">
        <f>SUMIFS(Einzelbeträge!$D:$D,Einzelbeträge!$C:$C,'Ausgaben 2024'!$C67,Einzelbeträge!$E:$E,'Ausgaben 2024'!I$6)</f>
        <v>0</v>
      </c>
      <c r="J67" s="21">
        <f>SUMIFS(Einzelbeträge!$D:$D,Einzelbeträge!$C:$C,'Ausgaben 2024'!$C67,Einzelbeträge!$E:$E,'Ausgaben 2024'!J$6)</f>
        <v>0</v>
      </c>
      <c r="K67" s="21">
        <f>SUMIFS(Einzelbeträge!$D:$D,Einzelbeträge!$C:$C,'Ausgaben 2024'!$C67,Einzelbeträge!$E:$E,'Ausgaben 2024'!K$6)</f>
        <v>0</v>
      </c>
      <c r="L67" s="21">
        <f>SUMIFS(Einzelbeträge!$D:$D,Einzelbeträge!$C:$C,'Ausgaben 2024'!$C67,Einzelbeträge!$E:$E,'Ausgaben 2024'!L$6)</f>
        <v>0</v>
      </c>
      <c r="M67" s="21">
        <f>SUMIFS(Einzelbeträge!$D:$D,Einzelbeträge!$C:$C,'Ausgaben 2024'!$C67,Einzelbeträge!$E:$E,'Ausgaben 2024'!M$6)</f>
        <v>0</v>
      </c>
      <c r="N67" s="35">
        <f>SUMIFS(Einzelbeträge!$D:$D,Einzelbeträge!$C:$C,'Ausgaben 2024'!$C67,Einzelbeträge!$E:$E,'Ausgaben 2024'!N$6)</f>
        <v>0</v>
      </c>
      <c r="O67" s="6"/>
    </row>
    <row r="68" spans="2:15" x14ac:dyDescent="0.35">
      <c r="B68" s="5"/>
      <c r="C68" s="40">
        <f t="shared" si="25"/>
        <v>45350</v>
      </c>
      <c r="D68" s="46">
        <f>SUMIFS(Einzelbeträge!$D:$D,Einzelbeträge!$C:$C,'Ausgaben 2024'!$C68)</f>
        <v>0</v>
      </c>
      <c r="E68" s="34">
        <f>SUMIFS(Einzelbeträge!$D:$D,Einzelbeträge!$C:$C,'Ausgaben 2024'!$C68,Einzelbeträge!$E:$E,'Ausgaben 2024'!E$6)</f>
        <v>0</v>
      </c>
      <c r="F68" s="21">
        <f>SUMIFS(Einzelbeträge!$D:$D,Einzelbeträge!$C:$C,'Ausgaben 2024'!$C68,Einzelbeträge!$E:$E,'Ausgaben 2024'!F$6)</f>
        <v>0</v>
      </c>
      <c r="G68" s="21">
        <f>SUMIFS(Einzelbeträge!$D:$D,Einzelbeträge!$C:$C,'Ausgaben 2024'!$C68,Einzelbeträge!$E:$E,'Ausgaben 2024'!G$6)</f>
        <v>0</v>
      </c>
      <c r="H68" s="21">
        <f>SUMIFS(Einzelbeträge!$D:$D,Einzelbeträge!$C:$C,'Ausgaben 2024'!$C68,Einzelbeträge!$E:$E,'Ausgaben 2024'!H$6)</f>
        <v>0</v>
      </c>
      <c r="I68" s="21">
        <f>SUMIFS(Einzelbeträge!$D:$D,Einzelbeträge!$C:$C,'Ausgaben 2024'!$C68,Einzelbeträge!$E:$E,'Ausgaben 2024'!I$6)</f>
        <v>0</v>
      </c>
      <c r="J68" s="21">
        <f>SUMIFS(Einzelbeträge!$D:$D,Einzelbeträge!$C:$C,'Ausgaben 2024'!$C68,Einzelbeträge!$E:$E,'Ausgaben 2024'!J$6)</f>
        <v>0</v>
      </c>
      <c r="K68" s="21">
        <f>SUMIFS(Einzelbeträge!$D:$D,Einzelbeträge!$C:$C,'Ausgaben 2024'!$C68,Einzelbeträge!$E:$E,'Ausgaben 2024'!K$6)</f>
        <v>0</v>
      </c>
      <c r="L68" s="21">
        <f>SUMIFS(Einzelbeträge!$D:$D,Einzelbeträge!$C:$C,'Ausgaben 2024'!$C68,Einzelbeträge!$E:$E,'Ausgaben 2024'!L$6)</f>
        <v>0</v>
      </c>
      <c r="M68" s="21">
        <f>SUMIFS(Einzelbeträge!$D:$D,Einzelbeträge!$C:$C,'Ausgaben 2024'!$C68,Einzelbeträge!$E:$E,'Ausgaben 2024'!M$6)</f>
        <v>0</v>
      </c>
      <c r="N68" s="35">
        <f>SUMIFS(Einzelbeträge!$D:$D,Einzelbeträge!$C:$C,'Ausgaben 2024'!$C68,Einzelbeträge!$E:$E,'Ausgaben 2024'!N$6)</f>
        <v>0</v>
      </c>
      <c r="O68" s="6"/>
    </row>
    <row r="69" spans="2:15" x14ac:dyDescent="0.35">
      <c r="B69" s="5"/>
      <c r="C69" s="31">
        <f>IF(MONTH(C68+1)=3, " ", C68+1)</f>
        <v>45351</v>
      </c>
      <c r="D69" s="47">
        <f>SUMIFS(Einzelbeträge!$D:$D,Einzelbeträge!$C:$C,'Ausgaben 2024'!$C69)</f>
        <v>0</v>
      </c>
      <c r="E69" s="36">
        <f>SUMIFS(Einzelbeträge!$D:$D,Einzelbeträge!$C:$C,'Ausgaben 2024'!$C69,Einzelbeträge!$E:$E,'Ausgaben 2024'!E$6)</f>
        <v>0</v>
      </c>
      <c r="F69" s="37">
        <f>SUMIFS(Einzelbeträge!$D:$D,Einzelbeträge!$C:$C,'Ausgaben 2024'!$C69,Einzelbeträge!$E:$E,'Ausgaben 2024'!F$6)</f>
        <v>0</v>
      </c>
      <c r="G69" s="37">
        <f>SUMIFS(Einzelbeträge!$D:$D,Einzelbeträge!$C:$C,'Ausgaben 2024'!$C69,Einzelbeträge!$E:$E,'Ausgaben 2024'!G$6)</f>
        <v>0</v>
      </c>
      <c r="H69" s="37">
        <f>SUMIFS(Einzelbeträge!$D:$D,Einzelbeträge!$C:$C,'Ausgaben 2024'!$C69,Einzelbeträge!$E:$E,'Ausgaben 2024'!H$6)</f>
        <v>0</v>
      </c>
      <c r="I69" s="37">
        <f>SUMIFS(Einzelbeträge!$D:$D,Einzelbeträge!$C:$C,'Ausgaben 2024'!$C69,Einzelbeträge!$E:$E,'Ausgaben 2024'!I$6)</f>
        <v>0</v>
      </c>
      <c r="J69" s="37">
        <f>SUMIFS(Einzelbeträge!$D:$D,Einzelbeträge!$C:$C,'Ausgaben 2024'!$C69,Einzelbeträge!$E:$E,'Ausgaben 2024'!J$6)</f>
        <v>0</v>
      </c>
      <c r="K69" s="37">
        <f>SUMIFS(Einzelbeträge!$D:$D,Einzelbeträge!$C:$C,'Ausgaben 2024'!$C69,Einzelbeträge!$E:$E,'Ausgaben 2024'!K$6)</f>
        <v>0</v>
      </c>
      <c r="L69" s="37">
        <f>SUMIFS(Einzelbeträge!$D:$D,Einzelbeträge!$C:$C,'Ausgaben 2024'!$C69,Einzelbeträge!$E:$E,'Ausgaben 2024'!L$6)</f>
        <v>0</v>
      </c>
      <c r="M69" s="37">
        <f>SUMIFS(Einzelbeträge!$D:$D,Einzelbeträge!$C:$C,'Ausgaben 2024'!$C69,Einzelbeträge!$E:$E,'Ausgaben 2024'!M$6)</f>
        <v>0</v>
      </c>
      <c r="N69" s="38">
        <f>SUMIFS(Einzelbeträge!$D:$D,Einzelbeträge!$C:$C,'Ausgaben 2024'!$C69,Einzelbeträge!$E:$E,'Ausgaben 2024'!N$6)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45352</v>
      </c>
      <c r="D73" s="45">
        <f>SUMIFS(Einzelbeträge!$D:$D,Einzelbeträge!$C:$C,'Ausgaben 2024'!$C73)</f>
        <v>0</v>
      </c>
      <c r="E73" s="88">
        <f>SUMIFS(Einzelbeträge!$D:$D,Einzelbeträge!$C:$C,'Ausgaben 2024'!$C73,Einzelbeträge!$E:$E,'Ausgaben 2024'!E$6)</f>
        <v>0</v>
      </c>
      <c r="F73" s="32">
        <f>SUMIFS(Einzelbeträge!$D:$D,Einzelbeträge!$C:$C,'Ausgaben 2024'!$C73,Einzelbeträge!$E:$E,'Ausgaben 2024'!F$6)</f>
        <v>0</v>
      </c>
      <c r="G73" s="32">
        <f>SUMIFS(Einzelbeträge!$D:$D,Einzelbeträge!$C:$C,'Ausgaben 2024'!$C73,Einzelbeträge!$E:$E,'Ausgaben 2024'!G$6)</f>
        <v>0</v>
      </c>
      <c r="H73" s="32">
        <f>SUMIFS(Einzelbeträge!$D:$D,Einzelbeträge!$C:$C,'Ausgaben 2024'!$C73,Einzelbeträge!$E:$E,'Ausgaben 2024'!H$6)</f>
        <v>0</v>
      </c>
      <c r="I73" s="32">
        <f>SUMIFS(Einzelbeträge!$D:$D,Einzelbeträge!$C:$C,'Ausgaben 2024'!$C73,Einzelbeträge!$E:$E,'Ausgaben 2024'!I$6)</f>
        <v>0</v>
      </c>
      <c r="J73" s="32">
        <f>SUMIFS(Einzelbeträge!$D:$D,Einzelbeträge!$C:$C,'Ausgaben 2024'!$C73,Einzelbeträge!$E:$E,'Ausgaben 2024'!J$6)</f>
        <v>0</v>
      </c>
      <c r="K73" s="32">
        <f>SUMIFS(Einzelbeträge!$D:$D,Einzelbeträge!$C:$C,'Ausgaben 2024'!$C73,Einzelbeträge!$E:$E,'Ausgaben 2024'!K$6)</f>
        <v>0</v>
      </c>
      <c r="L73" s="32">
        <f>SUMIFS(Einzelbeträge!$D:$D,Einzelbeträge!$C:$C,'Ausgaben 2024'!$C73,Einzelbeträge!$E:$E,'Ausgaben 2024'!L$6)</f>
        <v>0</v>
      </c>
      <c r="M73" s="32">
        <f>SUMIFS(Einzelbeträge!$D:$D,Einzelbeträge!$C:$C,'Ausgaben 2024'!$C73,Einzelbeträge!$E:$E,'Ausgaben 2024'!M$6)</f>
        <v>0</v>
      </c>
      <c r="N73" s="33">
        <f>SUMIFS(Einzelbeträge!$D:$D,Einzelbeträge!$C:$C,'Ausgaben 2024'!$C73,Einzelbeträge!$E:$E,'Ausgaben 2024'!N$6)</f>
        <v>0</v>
      </c>
      <c r="O73" s="6"/>
    </row>
    <row r="74" spans="2:15" x14ac:dyDescent="0.35">
      <c r="B74" s="5"/>
      <c r="C74" s="40">
        <f>C73+1</f>
        <v>45353</v>
      </c>
      <c r="D74" s="46">
        <f>SUMIFS(Einzelbeträge!$D:$D,Einzelbeträge!$C:$C,'Ausgaben 2024'!$C74)</f>
        <v>0</v>
      </c>
      <c r="E74" s="34">
        <f>SUMIFS(Einzelbeträge!$D:$D,Einzelbeträge!$C:$C,'Ausgaben 2024'!$C74,Einzelbeträge!$E:$E,'Ausgaben 2024'!E$6)</f>
        <v>0</v>
      </c>
      <c r="F74" s="21">
        <f>SUMIFS(Einzelbeträge!$D:$D,Einzelbeträge!$C:$C,'Ausgaben 2024'!$C74,Einzelbeträge!$E:$E,'Ausgaben 2024'!F$6)</f>
        <v>0</v>
      </c>
      <c r="G74" s="21">
        <f>SUMIFS(Einzelbeträge!$D:$D,Einzelbeträge!$C:$C,'Ausgaben 2024'!$C74,Einzelbeträge!$E:$E,'Ausgaben 2024'!G$6)</f>
        <v>0</v>
      </c>
      <c r="H74" s="21">
        <f>SUMIFS(Einzelbeträge!$D:$D,Einzelbeträge!$C:$C,'Ausgaben 2024'!$C74,Einzelbeträge!$E:$E,'Ausgaben 2024'!H$6)</f>
        <v>0</v>
      </c>
      <c r="I74" s="21">
        <f>SUMIFS(Einzelbeträge!$D:$D,Einzelbeträge!$C:$C,'Ausgaben 2024'!$C74,Einzelbeträge!$E:$E,'Ausgaben 2024'!I$6)</f>
        <v>0</v>
      </c>
      <c r="J74" s="21">
        <f>SUMIFS(Einzelbeträge!$D:$D,Einzelbeträge!$C:$C,'Ausgaben 2024'!$C74,Einzelbeträge!$E:$E,'Ausgaben 2024'!J$6)</f>
        <v>0</v>
      </c>
      <c r="K74" s="21">
        <f>SUMIFS(Einzelbeträge!$D:$D,Einzelbeträge!$C:$C,'Ausgaben 2024'!$C74,Einzelbeträge!$E:$E,'Ausgaben 2024'!K$6)</f>
        <v>0</v>
      </c>
      <c r="L74" s="21">
        <f>SUMIFS(Einzelbeträge!$D:$D,Einzelbeträge!$C:$C,'Ausgaben 2024'!$C74,Einzelbeträge!$E:$E,'Ausgaben 2024'!L$6)</f>
        <v>0</v>
      </c>
      <c r="M74" s="21">
        <f>SUMIFS(Einzelbeträge!$D:$D,Einzelbeträge!$C:$C,'Ausgaben 2024'!$C74,Einzelbeträge!$E:$E,'Ausgaben 2024'!M$6)</f>
        <v>0</v>
      </c>
      <c r="N74" s="35">
        <f>SUMIFS(Einzelbeträge!$D:$D,Einzelbeträge!$C:$C,'Ausgaben 2024'!$C74,Einzelbeträge!$E:$E,'Ausgaben 2024'!N$6)</f>
        <v>0</v>
      </c>
      <c r="O74" s="6"/>
    </row>
    <row r="75" spans="2:15" x14ac:dyDescent="0.35">
      <c r="B75" s="5"/>
      <c r="C75" s="40">
        <f t="shared" ref="C75:C103" si="26">C74+1</f>
        <v>45354</v>
      </c>
      <c r="D75" s="46">
        <f>SUMIFS(Einzelbeträge!$D:$D,Einzelbeträge!$C:$C,'Ausgaben 2024'!$C75)</f>
        <v>0</v>
      </c>
      <c r="E75" s="34">
        <f>SUMIFS(Einzelbeträge!$D:$D,Einzelbeträge!$C:$C,'Ausgaben 2024'!$C75,Einzelbeträge!$E:$E,'Ausgaben 2024'!E$6)</f>
        <v>0</v>
      </c>
      <c r="F75" s="21">
        <f>SUMIFS(Einzelbeträge!$D:$D,Einzelbeträge!$C:$C,'Ausgaben 2024'!$C75,Einzelbeträge!$E:$E,'Ausgaben 2024'!F$6)</f>
        <v>0</v>
      </c>
      <c r="G75" s="21">
        <f>SUMIFS(Einzelbeträge!$D:$D,Einzelbeträge!$C:$C,'Ausgaben 2024'!$C75,Einzelbeträge!$E:$E,'Ausgaben 2024'!G$6)</f>
        <v>0</v>
      </c>
      <c r="H75" s="21">
        <f>SUMIFS(Einzelbeträge!$D:$D,Einzelbeträge!$C:$C,'Ausgaben 2024'!$C75,Einzelbeträge!$E:$E,'Ausgaben 2024'!H$6)</f>
        <v>0</v>
      </c>
      <c r="I75" s="21">
        <f>SUMIFS(Einzelbeträge!$D:$D,Einzelbeträge!$C:$C,'Ausgaben 2024'!$C75,Einzelbeträge!$E:$E,'Ausgaben 2024'!I$6)</f>
        <v>0</v>
      </c>
      <c r="J75" s="21">
        <f>SUMIFS(Einzelbeträge!$D:$D,Einzelbeträge!$C:$C,'Ausgaben 2024'!$C75,Einzelbeträge!$E:$E,'Ausgaben 2024'!J$6)</f>
        <v>0</v>
      </c>
      <c r="K75" s="21">
        <f>SUMIFS(Einzelbeträge!$D:$D,Einzelbeträge!$C:$C,'Ausgaben 2024'!$C75,Einzelbeträge!$E:$E,'Ausgaben 2024'!K$6)</f>
        <v>0</v>
      </c>
      <c r="L75" s="21">
        <f>SUMIFS(Einzelbeträge!$D:$D,Einzelbeträge!$C:$C,'Ausgaben 2024'!$C75,Einzelbeträge!$E:$E,'Ausgaben 2024'!L$6)</f>
        <v>0</v>
      </c>
      <c r="M75" s="21">
        <f>SUMIFS(Einzelbeträge!$D:$D,Einzelbeträge!$C:$C,'Ausgaben 2024'!$C75,Einzelbeträge!$E:$E,'Ausgaben 2024'!M$6)</f>
        <v>0</v>
      </c>
      <c r="N75" s="35">
        <f>SUMIFS(Einzelbeträge!$D:$D,Einzelbeträge!$C:$C,'Ausgaben 2024'!$C75,Einzelbeträge!$E:$E,'Ausgaben 2024'!N$6)</f>
        <v>0</v>
      </c>
      <c r="O75" s="6"/>
    </row>
    <row r="76" spans="2:15" x14ac:dyDescent="0.35">
      <c r="B76" s="5"/>
      <c r="C76" s="40">
        <f t="shared" si="26"/>
        <v>45355</v>
      </c>
      <c r="D76" s="46">
        <f>SUMIFS(Einzelbeträge!$D:$D,Einzelbeträge!$C:$C,'Ausgaben 2024'!$C76)</f>
        <v>0</v>
      </c>
      <c r="E76" s="34">
        <f>SUMIFS(Einzelbeträge!$D:$D,Einzelbeträge!$C:$C,'Ausgaben 2024'!$C76,Einzelbeträge!$E:$E,'Ausgaben 2024'!E$6)</f>
        <v>0</v>
      </c>
      <c r="F76" s="21">
        <f>SUMIFS(Einzelbeträge!$D:$D,Einzelbeträge!$C:$C,'Ausgaben 2024'!$C76,Einzelbeträge!$E:$E,'Ausgaben 2024'!F$6)</f>
        <v>0</v>
      </c>
      <c r="G76" s="21">
        <f>SUMIFS(Einzelbeträge!$D:$D,Einzelbeträge!$C:$C,'Ausgaben 2024'!$C76,Einzelbeträge!$E:$E,'Ausgaben 2024'!G$6)</f>
        <v>0</v>
      </c>
      <c r="H76" s="21">
        <f>SUMIFS(Einzelbeträge!$D:$D,Einzelbeträge!$C:$C,'Ausgaben 2024'!$C76,Einzelbeträge!$E:$E,'Ausgaben 2024'!H$6)</f>
        <v>0</v>
      </c>
      <c r="I76" s="21">
        <f>SUMIFS(Einzelbeträge!$D:$D,Einzelbeträge!$C:$C,'Ausgaben 2024'!$C76,Einzelbeträge!$E:$E,'Ausgaben 2024'!I$6)</f>
        <v>0</v>
      </c>
      <c r="J76" s="21">
        <f>SUMIFS(Einzelbeträge!$D:$D,Einzelbeträge!$C:$C,'Ausgaben 2024'!$C76,Einzelbeträge!$E:$E,'Ausgaben 2024'!J$6)</f>
        <v>0</v>
      </c>
      <c r="K76" s="21">
        <f>SUMIFS(Einzelbeträge!$D:$D,Einzelbeträge!$C:$C,'Ausgaben 2024'!$C76,Einzelbeträge!$E:$E,'Ausgaben 2024'!K$6)</f>
        <v>0</v>
      </c>
      <c r="L76" s="21">
        <f>SUMIFS(Einzelbeträge!$D:$D,Einzelbeträge!$C:$C,'Ausgaben 2024'!$C76,Einzelbeträge!$E:$E,'Ausgaben 2024'!L$6)</f>
        <v>0</v>
      </c>
      <c r="M76" s="21">
        <f>SUMIFS(Einzelbeträge!$D:$D,Einzelbeträge!$C:$C,'Ausgaben 2024'!$C76,Einzelbeträge!$E:$E,'Ausgaben 2024'!M$6)</f>
        <v>0</v>
      </c>
      <c r="N76" s="35">
        <f>SUMIFS(Einzelbeträge!$D:$D,Einzelbeträge!$C:$C,'Ausgaben 2024'!$C76,Einzelbeträge!$E:$E,'Ausgaben 2024'!N$6)</f>
        <v>0</v>
      </c>
      <c r="O76" s="6"/>
    </row>
    <row r="77" spans="2:15" x14ac:dyDescent="0.35">
      <c r="B77" s="5"/>
      <c r="C77" s="40">
        <f t="shared" si="26"/>
        <v>45356</v>
      </c>
      <c r="D77" s="46">
        <f>SUMIFS(Einzelbeträge!$D:$D,Einzelbeträge!$C:$C,'Ausgaben 2024'!$C77)</f>
        <v>0</v>
      </c>
      <c r="E77" s="34">
        <f>SUMIFS(Einzelbeträge!$D:$D,Einzelbeträge!$C:$C,'Ausgaben 2024'!$C77,Einzelbeträge!$E:$E,'Ausgaben 2024'!E$6)</f>
        <v>0</v>
      </c>
      <c r="F77" s="21">
        <f>SUMIFS(Einzelbeträge!$D:$D,Einzelbeträge!$C:$C,'Ausgaben 2024'!$C77,Einzelbeträge!$E:$E,'Ausgaben 2024'!F$6)</f>
        <v>0</v>
      </c>
      <c r="G77" s="21">
        <f>SUMIFS(Einzelbeträge!$D:$D,Einzelbeträge!$C:$C,'Ausgaben 2024'!$C77,Einzelbeträge!$E:$E,'Ausgaben 2024'!G$6)</f>
        <v>0</v>
      </c>
      <c r="H77" s="21">
        <f>SUMIFS(Einzelbeträge!$D:$D,Einzelbeträge!$C:$C,'Ausgaben 2024'!$C77,Einzelbeträge!$E:$E,'Ausgaben 2024'!H$6)</f>
        <v>0</v>
      </c>
      <c r="I77" s="21">
        <f>SUMIFS(Einzelbeträge!$D:$D,Einzelbeträge!$C:$C,'Ausgaben 2024'!$C77,Einzelbeträge!$E:$E,'Ausgaben 2024'!I$6)</f>
        <v>0</v>
      </c>
      <c r="J77" s="21">
        <f>SUMIFS(Einzelbeträge!$D:$D,Einzelbeträge!$C:$C,'Ausgaben 2024'!$C77,Einzelbeträge!$E:$E,'Ausgaben 2024'!J$6)</f>
        <v>0</v>
      </c>
      <c r="K77" s="21">
        <f>SUMIFS(Einzelbeträge!$D:$D,Einzelbeträge!$C:$C,'Ausgaben 2024'!$C77,Einzelbeträge!$E:$E,'Ausgaben 2024'!K$6)</f>
        <v>0</v>
      </c>
      <c r="L77" s="21">
        <f>SUMIFS(Einzelbeträge!$D:$D,Einzelbeträge!$C:$C,'Ausgaben 2024'!$C77,Einzelbeträge!$E:$E,'Ausgaben 2024'!L$6)</f>
        <v>0</v>
      </c>
      <c r="M77" s="21">
        <f>SUMIFS(Einzelbeträge!$D:$D,Einzelbeträge!$C:$C,'Ausgaben 2024'!$C77,Einzelbeträge!$E:$E,'Ausgaben 2024'!M$6)</f>
        <v>0</v>
      </c>
      <c r="N77" s="35">
        <f>SUMIFS(Einzelbeträge!$D:$D,Einzelbeträge!$C:$C,'Ausgaben 2024'!$C77,Einzelbeträge!$E:$E,'Ausgaben 2024'!N$6)</f>
        <v>0</v>
      </c>
      <c r="O77" s="6"/>
    </row>
    <row r="78" spans="2:15" x14ac:dyDescent="0.35">
      <c r="B78" s="5"/>
      <c r="C78" s="40">
        <f t="shared" si="26"/>
        <v>45357</v>
      </c>
      <c r="D78" s="46">
        <f>SUMIFS(Einzelbeträge!$D:$D,Einzelbeträge!$C:$C,'Ausgaben 2024'!$C78)</f>
        <v>0</v>
      </c>
      <c r="E78" s="34">
        <f>SUMIFS(Einzelbeträge!$D:$D,Einzelbeträge!$C:$C,'Ausgaben 2024'!$C78,Einzelbeträge!$E:$E,'Ausgaben 2024'!E$6)</f>
        <v>0</v>
      </c>
      <c r="F78" s="21">
        <f>SUMIFS(Einzelbeträge!$D:$D,Einzelbeträge!$C:$C,'Ausgaben 2024'!$C78,Einzelbeträge!$E:$E,'Ausgaben 2024'!F$6)</f>
        <v>0</v>
      </c>
      <c r="G78" s="21">
        <f>SUMIFS(Einzelbeträge!$D:$D,Einzelbeträge!$C:$C,'Ausgaben 2024'!$C78,Einzelbeträge!$E:$E,'Ausgaben 2024'!G$6)</f>
        <v>0</v>
      </c>
      <c r="H78" s="21">
        <f>SUMIFS(Einzelbeträge!$D:$D,Einzelbeträge!$C:$C,'Ausgaben 2024'!$C78,Einzelbeträge!$E:$E,'Ausgaben 2024'!H$6)</f>
        <v>0</v>
      </c>
      <c r="I78" s="21">
        <f>SUMIFS(Einzelbeträge!$D:$D,Einzelbeträge!$C:$C,'Ausgaben 2024'!$C78,Einzelbeträge!$E:$E,'Ausgaben 2024'!I$6)</f>
        <v>0</v>
      </c>
      <c r="J78" s="21">
        <f>SUMIFS(Einzelbeträge!$D:$D,Einzelbeträge!$C:$C,'Ausgaben 2024'!$C78,Einzelbeträge!$E:$E,'Ausgaben 2024'!J$6)</f>
        <v>0</v>
      </c>
      <c r="K78" s="21">
        <f>SUMIFS(Einzelbeträge!$D:$D,Einzelbeträge!$C:$C,'Ausgaben 2024'!$C78,Einzelbeträge!$E:$E,'Ausgaben 2024'!K$6)</f>
        <v>0</v>
      </c>
      <c r="L78" s="21">
        <f>SUMIFS(Einzelbeträge!$D:$D,Einzelbeträge!$C:$C,'Ausgaben 2024'!$C78,Einzelbeträge!$E:$E,'Ausgaben 2024'!L$6)</f>
        <v>0</v>
      </c>
      <c r="M78" s="21">
        <f>SUMIFS(Einzelbeträge!$D:$D,Einzelbeträge!$C:$C,'Ausgaben 2024'!$C78,Einzelbeträge!$E:$E,'Ausgaben 2024'!M$6)</f>
        <v>0</v>
      </c>
      <c r="N78" s="35">
        <f>SUMIFS(Einzelbeträge!$D:$D,Einzelbeträge!$C:$C,'Ausgaben 2024'!$C78,Einzelbeträge!$E:$E,'Ausgaben 2024'!N$6)</f>
        <v>0</v>
      </c>
      <c r="O78" s="6"/>
    </row>
    <row r="79" spans="2:15" x14ac:dyDescent="0.35">
      <c r="B79" s="5"/>
      <c r="C79" s="40">
        <f t="shared" si="26"/>
        <v>45358</v>
      </c>
      <c r="D79" s="46">
        <f>SUMIFS(Einzelbeträge!$D:$D,Einzelbeträge!$C:$C,'Ausgaben 2024'!$C79)</f>
        <v>0</v>
      </c>
      <c r="E79" s="34">
        <f>SUMIFS(Einzelbeträge!$D:$D,Einzelbeträge!$C:$C,'Ausgaben 2024'!$C79,Einzelbeträge!$E:$E,'Ausgaben 2024'!E$6)</f>
        <v>0</v>
      </c>
      <c r="F79" s="21">
        <f>SUMIFS(Einzelbeträge!$D:$D,Einzelbeträge!$C:$C,'Ausgaben 2024'!$C79,Einzelbeträge!$E:$E,'Ausgaben 2024'!F$6)</f>
        <v>0</v>
      </c>
      <c r="G79" s="21">
        <f>SUMIFS(Einzelbeträge!$D:$D,Einzelbeträge!$C:$C,'Ausgaben 2024'!$C79,Einzelbeträge!$E:$E,'Ausgaben 2024'!G$6)</f>
        <v>0</v>
      </c>
      <c r="H79" s="21">
        <f>SUMIFS(Einzelbeträge!$D:$D,Einzelbeträge!$C:$C,'Ausgaben 2024'!$C79,Einzelbeträge!$E:$E,'Ausgaben 2024'!H$6)</f>
        <v>0</v>
      </c>
      <c r="I79" s="21">
        <f>SUMIFS(Einzelbeträge!$D:$D,Einzelbeträge!$C:$C,'Ausgaben 2024'!$C79,Einzelbeträge!$E:$E,'Ausgaben 2024'!I$6)</f>
        <v>0</v>
      </c>
      <c r="J79" s="21">
        <f>SUMIFS(Einzelbeträge!$D:$D,Einzelbeträge!$C:$C,'Ausgaben 2024'!$C79,Einzelbeträge!$E:$E,'Ausgaben 2024'!J$6)</f>
        <v>0</v>
      </c>
      <c r="K79" s="21">
        <f>SUMIFS(Einzelbeträge!$D:$D,Einzelbeträge!$C:$C,'Ausgaben 2024'!$C79,Einzelbeträge!$E:$E,'Ausgaben 2024'!K$6)</f>
        <v>0</v>
      </c>
      <c r="L79" s="21">
        <f>SUMIFS(Einzelbeträge!$D:$D,Einzelbeträge!$C:$C,'Ausgaben 2024'!$C79,Einzelbeträge!$E:$E,'Ausgaben 2024'!L$6)</f>
        <v>0</v>
      </c>
      <c r="M79" s="21">
        <f>SUMIFS(Einzelbeträge!$D:$D,Einzelbeträge!$C:$C,'Ausgaben 2024'!$C79,Einzelbeträge!$E:$E,'Ausgaben 2024'!M$6)</f>
        <v>0</v>
      </c>
      <c r="N79" s="35">
        <f>SUMIFS(Einzelbeträge!$D:$D,Einzelbeträge!$C:$C,'Ausgaben 2024'!$C79,Einzelbeträge!$E:$E,'Ausgaben 2024'!N$6)</f>
        <v>0</v>
      </c>
      <c r="O79" s="6"/>
    </row>
    <row r="80" spans="2:15" x14ac:dyDescent="0.35">
      <c r="B80" s="5"/>
      <c r="C80" s="40">
        <f t="shared" si="26"/>
        <v>45359</v>
      </c>
      <c r="D80" s="46">
        <f>SUMIFS(Einzelbeträge!$D:$D,Einzelbeträge!$C:$C,'Ausgaben 2024'!$C80)</f>
        <v>0</v>
      </c>
      <c r="E80" s="34">
        <f>SUMIFS(Einzelbeträge!$D:$D,Einzelbeträge!$C:$C,'Ausgaben 2024'!$C80,Einzelbeträge!$E:$E,'Ausgaben 2024'!E$6)</f>
        <v>0</v>
      </c>
      <c r="F80" s="21">
        <f>SUMIFS(Einzelbeträge!$D:$D,Einzelbeträge!$C:$C,'Ausgaben 2024'!$C80,Einzelbeträge!$E:$E,'Ausgaben 2024'!F$6)</f>
        <v>0</v>
      </c>
      <c r="G80" s="21">
        <f>SUMIFS(Einzelbeträge!$D:$D,Einzelbeträge!$C:$C,'Ausgaben 2024'!$C80,Einzelbeträge!$E:$E,'Ausgaben 2024'!G$6)</f>
        <v>0</v>
      </c>
      <c r="H80" s="21">
        <f>SUMIFS(Einzelbeträge!$D:$D,Einzelbeträge!$C:$C,'Ausgaben 2024'!$C80,Einzelbeträge!$E:$E,'Ausgaben 2024'!H$6)</f>
        <v>0</v>
      </c>
      <c r="I80" s="21">
        <f>SUMIFS(Einzelbeträge!$D:$D,Einzelbeträge!$C:$C,'Ausgaben 2024'!$C80,Einzelbeträge!$E:$E,'Ausgaben 2024'!I$6)</f>
        <v>0</v>
      </c>
      <c r="J80" s="21">
        <f>SUMIFS(Einzelbeträge!$D:$D,Einzelbeträge!$C:$C,'Ausgaben 2024'!$C80,Einzelbeträge!$E:$E,'Ausgaben 2024'!J$6)</f>
        <v>0</v>
      </c>
      <c r="K80" s="21">
        <f>SUMIFS(Einzelbeträge!$D:$D,Einzelbeträge!$C:$C,'Ausgaben 2024'!$C80,Einzelbeträge!$E:$E,'Ausgaben 2024'!K$6)</f>
        <v>0</v>
      </c>
      <c r="L80" s="21">
        <f>SUMIFS(Einzelbeträge!$D:$D,Einzelbeträge!$C:$C,'Ausgaben 2024'!$C80,Einzelbeträge!$E:$E,'Ausgaben 2024'!L$6)</f>
        <v>0</v>
      </c>
      <c r="M80" s="21">
        <f>SUMIFS(Einzelbeträge!$D:$D,Einzelbeträge!$C:$C,'Ausgaben 2024'!$C80,Einzelbeträge!$E:$E,'Ausgaben 2024'!M$6)</f>
        <v>0</v>
      </c>
      <c r="N80" s="35">
        <f>SUMIFS(Einzelbeträge!$D:$D,Einzelbeträge!$C:$C,'Ausgaben 2024'!$C80,Einzelbeträge!$E:$E,'Ausgaben 2024'!N$6)</f>
        <v>0</v>
      </c>
      <c r="O80" s="6"/>
    </row>
    <row r="81" spans="2:15" x14ac:dyDescent="0.35">
      <c r="B81" s="5"/>
      <c r="C81" s="40">
        <f t="shared" si="26"/>
        <v>45360</v>
      </c>
      <c r="D81" s="46">
        <f>SUMIFS(Einzelbeträge!$D:$D,Einzelbeträge!$C:$C,'Ausgaben 2024'!$C81)</f>
        <v>0</v>
      </c>
      <c r="E81" s="34">
        <f>SUMIFS(Einzelbeträge!$D:$D,Einzelbeträge!$C:$C,'Ausgaben 2024'!$C81,Einzelbeträge!$E:$E,'Ausgaben 2024'!E$6)</f>
        <v>0</v>
      </c>
      <c r="F81" s="21">
        <f>SUMIFS(Einzelbeträge!$D:$D,Einzelbeträge!$C:$C,'Ausgaben 2024'!$C81,Einzelbeträge!$E:$E,'Ausgaben 2024'!F$6)</f>
        <v>0</v>
      </c>
      <c r="G81" s="21">
        <f>SUMIFS(Einzelbeträge!$D:$D,Einzelbeträge!$C:$C,'Ausgaben 2024'!$C81,Einzelbeträge!$E:$E,'Ausgaben 2024'!G$6)</f>
        <v>0</v>
      </c>
      <c r="H81" s="21">
        <f>SUMIFS(Einzelbeträge!$D:$D,Einzelbeträge!$C:$C,'Ausgaben 2024'!$C81,Einzelbeträge!$E:$E,'Ausgaben 2024'!H$6)</f>
        <v>0</v>
      </c>
      <c r="I81" s="21">
        <f>SUMIFS(Einzelbeträge!$D:$D,Einzelbeträge!$C:$C,'Ausgaben 2024'!$C81,Einzelbeträge!$E:$E,'Ausgaben 2024'!I$6)</f>
        <v>0</v>
      </c>
      <c r="J81" s="21">
        <f>SUMIFS(Einzelbeträge!$D:$D,Einzelbeträge!$C:$C,'Ausgaben 2024'!$C81,Einzelbeträge!$E:$E,'Ausgaben 2024'!J$6)</f>
        <v>0</v>
      </c>
      <c r="K81" s="21">
        <f>SUMIFS(Einzelbeträge!$D:$D,Einzelbeträge!$C:$C,'Ausgaben 2024'!$C81,Einzelbeträge!$E:$E,'Ausgaben 2024'!K$6)</f>
        <v>0</v>
      </c>
      <c r="L81" s="21">
        <f>SUMIFS(Einzelbeträge!$D:$D,Einzelbeträge!$C:$C,'Ausgaben 2024'!$C81,Einzelbeträge!$E:$E,'Ausgaben 2024'!L$6)</f>
        <v>0</v>
      </c>
      <c r="M81" s="21">
        <f>SUMIFS(Einzelbeträge!$D:$D,Einzelbeträge!$C:$C,'Ausgaben 2024'!$C81,Einzelbeträge!$E:$E,'Ausgaben 2024'!M$6)</f>
        <v>0</v>
      </c>
      <c r="N81" s="35">
        <f>SUMIFS(Einzelbeträge!$D:$D,Einzelbeträge!$C:$C,'Ausgaben 2024'!$C81,Einzelbeträge!$E:$E,'Ausgaben 2024'!N$6)</f>
        <v>0</v>
      </c>
      <c r="O81" s="6"/>
    </row>
    <row r="82" spans="2:15" x14ac:dyDescent="0.35">
      <c r="B82" s="5"/>
      <c r="C82" s="40">
        <f t="shared" si="26"/>
        <v>45361</v>
      </c>
      <c r="D82" s="46">
        <f>SUMIFS(Einzelbeträge!$D:$D,Einzelbeträge!$C:$C,'Ausgaben 2024'!$C82)</f>
        <v>0</v>
      </c>
      <c r="E82" s="34">
        <f>SUMIFS(Einzelbeträge!$D:$D,Einzelbeträge!$C:$C,'Ausgaben 2024'!$C82,Einzelbeträge!$E:$E,'Ausgaben 2024'!E$6)</f>
        <v>0</v>
      </c>
      <c r="F82" s="21">
        <f>SUMIFS(Einzelbeträge!$D:$D,Einzelbeträge!$C:$C,'Ausgaben 2024'!$C82,Einzelbeträge!$E:$E,'Ausgaben 2024'!F$6)</f>
        <v>0</v>
      </c>
      <c r="G82" s="21">
        <f>SUMIFS(Einzelbeträge!$D:$D,Einzelbeträge!$C:$C,'Ausgaben 2024'!$C82,Einzelbeträge!$E:$E,'Ausgaben 2024'!G$6)</f>
        <v>0</v>
      </c>
      <c r="H82" s="21">
        <f>SUMIFS(Einzelbeträge!$D:$D,Einzelbeträge!$C:$C,'Ausgaben 2024'!$C82,Einzelbeträge!$E:$E,'Ausgaben 2024'!H$6)</f>
        <v>0</v>
      </c>
      <c r="I82" s="21">
        <f>SUMIFS(Einzelbeträge!$D:$D,Einzelbeträge!$C:$C,'Ausgaben 2024'!$C82,Einzelbeträge!$E:$E,'Ausgaben 2024'!I$6)</f>
        <v>0</v>
      </c>
      <c r="J82" s="21">
        <f>SUMIFS(Einzelbeträge!$D:$D,Einzelbeträge!$C:$C,'Ausgaben 2024'!$C82,Einzelbeträge!$E:$E,'Ausgaben 2024'!J$6)</f>
        <v>0</v>
      </c>
      <c r="K82" s="21">
        <f>SUMIFS(Einzelbeträge!$D:$D,Einzelbeträge!$C:$C,'Ausgaben 2024'!$C82,Einzelbeträge!$E:$E,'Ausgaben 2024'!K$6)</f>
        <v>0</v>
      </c>
      <c r="L82" s="21">
        <f>SUMIFS(Einzelbeträge!$D:$D,Einzelbeträge!$C:$C,'Ausgaben 2024'!$C82,Einzelbeträge!$E:$E,'Ausgaben 2024'!L$6)</f>
        <v>0</v>
      </c>
      <c r="M82" s="21">
        <f>SUMIFS(Einzelbeträge!$D:$D,Einzelbeträge!$C:$C,'Ausgaben 2024'!$C82,Einzelbeträge!$E:$E,'Ausgaben 2024'!M$6)</f>
        <v>0</v>
      </c>
      <c r="N82" s="35">
        <f>SUMIFS(Einzelbeträge!$D:$D,Einzelbeträge!$C:$C,'Ausgaben 2024'!$C82,Einzelbeträge!$E:$E,'Ausgaben 2024'!N$6)</f>
        <v>0</v>
      </c>
      <c r="O82" s="6"/>
    </row>
    <row r="83" spans="2:15" x14ac:dyDescent="0.35">
      <c r="B83" s="5"/>
      <c r="C83" s="40">
        <f t="shared" si="26"/>
        <v>45362</v>
      </c>
      <c r="D83" s="46">
        <f>SUMIFS(Einzelbeträge!$D:$D,Einzelbeträge!$C:$C,'Ausgaben 2024'!$C83)</f>
        <v>0</v>
      </c>
      <c r="E83" s="34">
        <f>SUMIFS(Einzelbeträge!$D:$D,Einzelbeträge!$C:$C,'Ausgaben 2024'!$C83,Einzelbeträge!$E:$E,'Ausgaben 2024'!E$6)</f>
        <v>0</v>
      </c>
      <c r="F83" s="21">
        <f>SUMIFS(Einzelbeträge!$D:$D,Einzelbeträge!$C:$C,'Ausgaben 2024'!$C83,Einzelbeträge!$E:$E,'Ausgaben 2024'!F$6)</f>
        <v>0</v>
      </c>
      <c r="G83" s="21">
        <f>SUMIFS(Einzelbeträge!$D:$D,Einzelbeträge!$C:$C,'Ausgaben 2024'!$C83,Einzelbeträge!$E:$E,'Ausgaben 2024'!G$6)</f>
        <v>0</v>
      </c>
      <c r="H83" s="21">
        <f>SUMIFS(Einzelbeträge!$D:$D,Einzelbeträge!$C:$C,'Ausgaben 2024'!$C83,Einzelbeträge!$E:$E,'Ausgaben 2024'!H$6)</f>
        <v>0</v>
      </c>
      <c r="I83" s="21">
        <f>SUMIFS(Einzelbeträge!$D:$D,Einzelbeträge!$C:$C,'Ausgaben 2024'!$C83,Einzelbeträge!$E:$E,'Ausgaben 2024'!I$6)</f>
        <v>0</v>
      </c>
      <c r="J83" s="21">
        <f>SUMIFS(Einzelbeträge!$D:$D,Einzelbeträge!$C:$C,'Ausgaben 2024'!$C83,Einzelbeträge!$E:$E,'Ausgaben 2024'!J$6)</f>
        <v>0</v>
      </c>
      <c r="K83" s="21">
        <f>SUMIFS(Einzelbeträge!$D:$D,Einzelbeträge!$C:$C,'Ausgaben 2024'!$C83,Einzelbeträge!$E:$E,'Ausgaben 2024'!K$6)</f>
        <v>0</v>
      </c>
      <c r="L83" s="21">
        <f>SUMIFS(Einzelbeträge!$D:$D,Einzelbeträge!$C:$C,'Ausgaben 2024'!$C83,Einzelbeträge!$E:$E,'Ausgaben 2024'!L$6)</f>
        <v>0</v>
      </c>
      <c r="M83" s="21">
        <f>SUMIFS(Einzelbeträge!$D:$D,Einzelbeträge!$C:$C,'Ausgaben 2024'!$C83,Einzelbeträge!$E:$E,'Ausgaben 2024'!M$6)</f>
        <v>0</v>
      </c>
      <c r="N83" s="35">
        <f>SUMIFS(Einzelbeträge!$D:$D,Einzelbeträge!$C:$C,'Ausgaben 2024'!$C83,Einzelbeträge!$E:$E,'Ausgaben 2024'!N$6)</f>
        <v>0</v>
      </c>
      <c r="O83" s="6"/>
    </row>
    <row r="84" spans="2:15" x14ac:dyDescent="0.35">
      <c r="B84" s="5"/>
      <c r="C84" s="40">
        <f t="shared" si="26"/>
        <v>45363</v>
      </c>
      <c r="D84" s="46">
        <f>SUMIFS(Einzelbeträge!$D:$D,Einzelbeträge!$C:$C,'Ausgaben 2024'!$C84)</f>
        <v>0</v>
      </c>
      <c r="E84" s="34">
        <f>SUMIFS(Einzelbeträge!$D:$D,Einzelbeträge!$C:$C,'Ausgaben 2024'!$C84,Einzelbeträge!$E:$E,'Ausgaben 2024'!E$6)</f>
        <v>0</v>
      </c>
      <c r="F84" s="21">
        <f>SUMIFS(Einzelbeträge!$D:$D,Einzelbeträge!$C:$C,'Ausgaben 2024'!$C84,Einzelbeträge!$E:$E,'Ausgaben 2024'!F$6)</f>
        <v>0</v>
      </c>
      <c r="G84" s="21">
        <f>SUMIFS(Einzelbeträge!$D:$D,Einzelbeträge!$C:$C,'Ausgaben 2024'!$C84,Einzelbeträge!$E:$E,'Ausgaben 2024'!G$6)</f>
        <v>0</v>
      </c>
      <c r="H84" s="21">
        <f>SUMIFS(Einzelbeträge!$D:$D,Einzelbeträge!$C:$C,'Ausgaben 2024'!$C84,Einzelbeträge!$E:$E,'Ausgaben 2024'!H$6)</f>
        <v>0</v>
      </c>
      <c r="I84" s="21">
        <f>SUMIFS(Einzelbeträge!$D:$D,Einzelbeträge!$C:$C,'Ausgaben 2024'!$C84,Einzelbeträge!$E:$E,'Ausgaben 2024'!I$6)</f>
        <v>0</v>
      </c>
      <c r="J84" s="21">
        <f>SUMIFS(Einzelbeträge!$D:$D,Einzelbeträge!$C:$C,'Ausgaben 2024'!$C84,Einzelbeträge!$E:$E,'Ausgaben 2024'!J$6)</f>
        <v>0</v>
      </c>
      <c r="K84" s="21">
        <f>SUMIFS(Einzelbeträge!$D:$D,Einzelbeträge!$C:$C,'Ausgaben 2024'!$C84,Einzelbeträge!$E:$E,'Ausgaben 2024'!K$6)</f>
        <v>0</v>
      </c>
      <c r="L84" s="21">
        <f>SUMIFS(Einzelbeträge!$D:$D,Einzelbeträge!$C:$C,'Ausgaben 2024'!$C84,Einzelbeträge!$E:$E,'Ausgaben 2024'!L$6)</f>
        <v>0</v>
      </c>
      <c r="M84" s="21">
        <f>SUMIFS(Einzelbeträge!$D:$D,Einzelbeträge!$C:$C,'Ausgaben 2024'!$C84,Einzelbeträge!$E:$E,'Ausgaben 2024'!M$6)</f>
        <v>0</v>
      </c>
      <c r="N84" s="35">
        <f>SUMIFS(Einzelbeträge!$D:$D,Einzelbeträge!$C:$C,'Ausgaben 2024'!$C84,Einzelbeträge!$E:$E,'Ausgaben 2024'!N$6)</f>
        <v>0</v>
      </c>
      <c r="O84" s="6"/>
    </row>
    <row r="85" spans="2:15" x14ac:dyDescent="0.35">
      <c r="B85" s="5"/>
      <c r="C85" s="40">
        <f t="shared" si="26"/>
        <v>45364</v>
      </c>
      <c r="D85" s="46">
        <f>SUMIFS(Einzelbeträge!$D:$D,Einzelbeträge!$C:$C,'Ausgaben 2024'!$C85)</f>
        <v>0</v>
      </c>
      <c r="E85" s="34">
        <f>SUMIFS(Einzelbeträge!$D:$D,Einzelbeträge!$C:$C,'Ausgaben 2024'!$C85,Einzelbeträge!$E:$E,'Ausgaben 2024'!E$6)</f>
        <v>0</v>
      </c>
      <c r="F85" s="21">
        <f>SUMIFS(Einzelbeträge!$D:$D,Einzelbeträge!$C:$C,'Ausgaben 2024'!$C85,Einzelbeträge!$E:$E,'Ausgaben 2024'!F$6)</f>
        <v>0</v>
      </c>
      <c r="G85" s="21">
        <f>SUMIFS(Einzelbeträge!$D:$D,Einzelbeträge!$C:$C,'Ausgaben 2024'!$C85,Einzelbeträge!$E:$E,'Ausgaben 2024'!G$6)</f>
        <v>0</v>
      </c>
      <c r="H85" s="21">
        <f>SUMIFS(Einzelbeträge!$D:$D,Einzelbeträge!$C:$C,'Ausgaben 2024'!$C85,Einzelbeträge!$E:$E,'Ausgaben 2024'!H$6)</f>
        <v>0</v>
      </c>
      <c r="I85" s="21">
        <f>SUMIFS(Einzelbeträge!$D:$D,Einzelbeträge!$C:$C,'Ausgaben 2024'!$C85,Einzelbeträge!$E:$E,'Ausgaben 2024'!I$6)</f>
        <v>0</v>
      </c>
      <c r="J85" s="21">
        <f>SUMIFS(Einzelbeträge!$D:$D,Einzelbeträge!$C:$C,'Ausgaben 2024'!$C85,Einzelbeträge!$E:$E,'Ausgaben 2024'!J$6)</f>
        <v>0</v>
      </c>
      <c r="K85" s="21">
        <f>SUMIFS(Einzelbeträge!$D:$D,Einzelbeträge!$C:$C,'Ausgaben 2024'!$C85,Einzelbeträge!$E:$E,'Ausgaben 2024'!K$6)</f>
        <v>0</v>
      </c>
      <c r="L85" s="21">
        <f>SUMIFS(Einzelbeträge!$D:$D,Einzelbeträge!$C:$C,'Ausgaben 2024'!$C85,Einzelbeträge!$E:$E,'Ausgaben 2024'!L$6)</f>
        <v>0</v>
      </c>
      <c r="M85" s="21">
        <f>SUMIFS(Einzelbeträge!$D:$D,Einzelbeträge!$C:$C,'Ausgaben 2024'!$C85,Einzelbeträge!$E:$E,'Ausgaben 2024'!M$6)</f>
        <v>0</v>
      </c>
      <c r="N85" s="35">
        <f>SUMIFS(Einzelbeträge!$D:$D,Einzelbeträge!$C:$C,'Ausgaben 2024'!$C85,Einzelbeträge!$E:$E,'Ausgaben 2024'!N$6)</f>
        <v>0</v>
      </c>
      <c r="O85" s="6"/>
    </row>
    <row r="86" spans="2:15" x14ac:dyDescent="0.35">
      <c r="B86" s="5"/>
      <c r="C86" s="40">
        <f t="shared" si="26"/>
        <v>45365</v>
      </c>
      <c r="D86" s="46">
        <f>SUMIFS(Einzelbeträge!$D:$D,Einzelbeträge!$C:$C,'Ausgaben 2024'!$C86)</f>
        <v>0</v>
      </c>
      <c r="E86" s="34">
        <f>SUMIFS(Einzelbeträge!$D:$D,Einzelbeträge!$C:$C,'Ausgaben 2024'!$C86,Einzelbeträge!$E:$E,'Ausgaben 2024'!E$6)</f>
        <v>0</v>
      </c>
      <c r="F86" s="21">
        <f>SUMIFS(Einzelbeträge!$D:$D,Einzelbeträge!$C:$C,'Ausgaben 2024'!$C86,Einzelbeträge!$E:$E,'Ausgaben 2024'!F$6)</f>
        <v>0</v>
      </c>
      <c r="G86" s="21">
        <f>SUMIFS(Einzelbeträge!$D:$D,Einzelbeträge!$C:$C,'Ausgaben 2024'!$C86,Einzelbeträge!$E:$E,'Ausgaben 2024'!G$6)</f>
        <v>0</v>
      </c>
      <c r="H86" s="21">
        <f>SUMIFS(Einzelbeträge!$D:$D,Einzelbeträge!$C:$C,'Ausgaben 2024'!$C86,Einzelbeträge!$E:$E,'Ausgaben 2024'!H$6)</f>
        <v>0</v>
      </c>
      <c r="I86" s="21">
        <f>SUMIFS(Einzelbeträge!$D:$D,Einzelbeträge!$C:$C,'Ausgaben 2024'!$C86,Einzelbeträge!$E:$E,'Ausgaben 2024'!I$6)</f>
        <v>0</v>
      </c>
      <c r="J86" s="21">
        <f>SUMIFS(Einzelbeträge!$D:$D,Einzelbeträge!$C:$C,'Ausgaben 2024'!$C86,Einzelbeträge!$E:$E,'Ausgaben 2024'!J$6)</f>
        <v>0</v>
      </c>
      <c r="K86" s="21">
        <f>SUMIFS(Einzelbeträge!$D:$D,Einzelbeträge!$C:$C,'Ausgaben 2024'!$C86,Einzelbeträge!$E:$E,'Ausgaben 2024'!K$6)</f>
        <v>0</v>
      </c>
      <c r="L86" s="21">
        <f>SUMIFS(Einzelbeträge!$D:$D,Einzelbeträge!$C:$C,'Ausgaben 2024'!$C86,Einzelbeträge!$E:$E,'Ausgaben 2024'!L$6)</f>
        <v>0</v>
      </c>
      <c r="M86" s="21">
        <f>SUMIFS(Einzelbeträge!$D:$D,Einzelbeträge!$C:$C,'Ausgaben 2024'!$C86,Einzelbeträge!$E:$E,'Ausgaben 2024'!M$6)</f>
        <v>0</v>
      </c>
      <c r="N86" s="35">
        <f>SUMIFS(Einzelbeträge!$D:$D,Einzelbeträge!$C:$C,'Ausgaben 2024'!$C86,Einzelbeträge!$E:$E,'Ausgaben 2024'!N$6)</f>
        <v>0</v>
      </c>
      <c r="O86" s="6"/>
    </row>
    <row r="87" spans="2:15" x14ac:dyDescent="0.35">
      <c r="B87" s="5"/>
      <c r="C87" s="40">
        <f t="shared" si="26"/>
        <v>45366</v>
      </c>
      <c r="D87" s="46">
        <f>SUMIFS(Einzelbeträge!$D:$D,Einzelbeträge!$C:$C,'Ausgaben 2024'!$C87)</f>
        <v>0</v>
      </c>
      <c r="E87" s="34">
        <f>SUMIFS(Einzelbeträge!$D:$D,Einzelbeträge!$C:$C,'Ausgaben 2024'!$C87,Einzelbeträge!$E:$E,'Ausgaben 2024'!E$6)</f>
        <v>0</v>
      </c>
      <c r="F87" s="21">
        <f>SUMIFS(Einzelbeträge!$D:$D,Einzelbeträge!$C:$C,'Ausgaben 2024'!$C87,Einzelbeträge!$E:$E,'Ausgaben 2024'!F$6)</f>
        <v>0</v>
      </c>
      <c r="G87" s="21">
        <f>SUMIFS(Einzelbeträge!$D:$D,Einzelbeträge!$C:$C,'Ausgaben 2024'!$C87,Einzelbeträge!$E:$E,'Ausgaben 2024'!G$6)</f>
        <v>0</v>
      </c>
      <c r="H87" s="21">
        <f>SUMIFS(Einzelbeträge!$D:$D,Einzelbeträge!$C:$C,'Ausgaben 2024'!$C87,Einzelbeträge!$E:$E,'Ausgaben 2024'!H$6)</f>
        <v>0</v>
      </c>
      <c r="I87" s="21">
        <f>SUMIFS(Einzelbeträge!$D:$D,Einzelbeträge!$C:$C,'Ausgaben 2024'!$C87,Einzelbeträge!$E:$E,'Ausgaben 2024'!I$6)</f>
        <v>0</v>
      </c>
      <c r="J87" s="21">
        <f>SUMIFS(Einzelbeträge!$D:$D,Einzelbeträge!$C:$C,'Ausgaben 2024'!$C87,Einzelbeträge!$E:$E,'Ausgaben 2024'!J$6)</f>
        <v>0</v>
      </c>
      <c r="K87" s="21">
        <f>SUMIFS(Einzelbeträge!$D:$D,Einzelbeträge!$C:$C,'Ausgaben 2024'!$C87,Einzelbeträge!$E:$E,'Ausgaben 2024'!K$6)</f>
        <v>0</v>
      </c>
      <c r="L87" s="21">
        <f>SUMIFS(Einzelbeträge!$D:$D,Einzelbeträge!$C:$C,'Ausgaben 2024'!$C87,Einzelbeträge!$E:$E,'Ausgaben 2024'!L$6)</f>
        <v>0</v>
      </c>
      <c r="M87" s="21">
        <f>SUMIFS(Einzelbeträge!$D:$D,Einzelbeträge!$C:$C,'Ausgaben 2024'!$C87,Einzelbeträge!$E:$E,'Ausgaben 2024'!M$6)</f>
        <v>0</v>
      </c>
      <c r="N87" s="35">
        <f>SUMIFS(Einzelbeträge!$D:$D,Einzelbeträge!$C:$C,'Ausgaben 2024'!$C87,Einzelbeträge!$E:$E,'Ausgaben 2024'!N$6)</f>
        <v>0</v>
      </c>
      <c r="O87" s="6"/>
    </row>
    <row r="88" spans="2:15" x14ac:dyDescent="0.35">
      <c r="B88" s="5"/>
      <c r="C88" s="40">
        <f t="shared" si="26"/>
        <v>45367</v>
      </c>
      <c r="D88" s="46">
        <f>SUMIFS(Einzelbeträge!$D:$D,Einzelbeträge!$C:$C,'Ausgaben 2024'!$C88)</f>
        <v>0</v>
      </c>
      <c r="E88" s="34">
        <f>SUMIFS(Einzelbeträge!$D:$D,Einzelbeträge!$C:$C,'Ausgaben 2024'!$C88,Einzelbeträge!$E:$E,'Ausgaben 2024'!E$6)</f>
        <v>0</v>
      </c>
      <c r="F88" s="21">
        <f>SUMIFS(Einzelbeträge!$D:$D,Einzelbeträge!$C:$C,'Ausgaben 2024'!$C88,Einzelbeträge!$E:$E,'Ausgaben 2024'!F$6)</f>
        <v>0</v>
      </c>
      <c r="G88" s="21">
        <f>SUMIFS(Einzelbeträge!$D:$D,Einzelbeträge!$C:$C,'Ausgaben 2024'!$C88,Einzelbeträge!$E:$E,'Ausgaben 2024'!G$6)</f>
        <v>0</v>
      </c>
      <c r="H88" s="21">
        <f>SUMIFS(Einzelbeträge!$D:$D,Einzelbeträge!$C:$C,'Ausgaben 2024'!$C88,Einzelbeträge!$E:$E,'Ausgaben 2024'!H$6)</f>
        <v>0</v>
      </c>
      <c r="I88" s="21">
        <f>SUMIFS(Einzelbeträge!$D:$D,Einzelbeträge!$C:$C,'Ausgaben 2024'!$C88,Einzelbeträge!$E:$E,'Ausgaben 2024'!I$6)</f>
        <v>0</v>
      </c>
      <c r="J88" s="21">
        <f>SUMIFS(Einzelbeträge!$D:$D,Einzelbeträge!$C:$C,'Ausgaben 2024'!$C88,Einzelbeträge!$E:$E,'Ausgaben 2024'!J$6)</f>
        <v>0</v>
      </c>
      <c r="K88" s="21">
        <f>SUMIFS(Einzelbeträge!$D:$D,Einzelbeträge!$C:$C,'Ausgaben 2024'!$C88,Einzelbeträge!$E:$E,'Ausgaben 2024'!K$6)</f>
        <v>0</v>
      </c>
      <c r="L88" s="21">
        <f>SUMIFS(Einzelbeträge!$D:$D,Einzelbeträge!$C:$C,'Ausgaben 2024'!$C88,Einzelbeträge!$E:$E,'Ausgaben 2024'!L$6)</f>
        <v>0</v>
      </c>
      <c r="M88" s="21">
        <f>SUMIFS(Einzelbeträge!$D:$D,Einzelbeträge!$C:$C,'Ausgaben 2024'!$C88,Einzelbeträge!$E:$E,'Ausgaben 2024'!M$6)</f>
        <v>0</v>
      </c>
      <c r="N88" s="35">
        <f>SUMIFS(Einzelbeträge!$D:$D,Einzelbeträge!$C:$C,'Ausgaben 2024'!$C88,Einzelbeträge!$E:$E,'Ausgaben 2024'!N$6)</f>
        <v>0</v>
      </c>
      <c r="O88" s="6"/>
    </row>
    <row r="89" spans="2:15" x14ac:dyDescent="0.35">
      <c r="B89" s="5"/>
      <c r="C89" s="40">
        <f t="shared" si="26"/>
        <v>45368</v>
      </c>
      <c r="D89" s="46">
        <f>SUMIFS(Einzelbeträge!$D:$D,Einzelbeträge!$C:$C,'Ausgaben 2024'!$C89)</f>
        <v>0</v>
      </c>
      <c r="E89" s="34">
        <f>SUMIFS(Einzelbeträge!$D:$D,Einzelbeträge!$C:$C,'Ausgaben 2024'!$C89,Einzelbeträge!$E:$E,'Ausgaben 2024'!E$6)</f>
        <v>0</v>
      </c>
      <c r="F89" s="21">
        <f>SUMIFS(Einzelbeträge!$D:$D,Einzelbeträge!$C:$C,'Ausgaben 2024'!$C89,Einzelbeträge!$E:$E,'Ausgaben 2024'!F$6)</f>
        <v>0</v>
      </c>
      <c r="G89" s="21">
        <f>SUMIFS(Einzelbeträge!$D:$D,Einzelbeträge!$C:$C,'Ausgaben 2024'!$C89,Einzelbeträge!$E:$E,'Ausgaben 2024'!G$6)</f>
        <v>0</v>
      </c>
      <c r="H89" s="21">
        <f>SUMIFS(Einzelbeträge!$D:$D,Einzelbeträge!$C:$C,'Ausgaben 2024'!$C89,Einzelbeträge!$E:$E,'Ausgaben 2024'!H$6)</f>
        <v>0</v>
      </c>
      <c r="I89" s="21">
        <f>SUMIFS(Einzelbeträge!$D:$D,Einzelbeträge!$C:$C,'Ausgaben 2024'!$C89,Einzelbeträge!$E:$E,'Ausgaben 2024'!I$6)</f>
        <v>0</v>
      </c>
      <c r="J89" s="21">
        <f>SUMIFS(Einzelbeträge!$D:$D,Einzelbeträge!$C:$C,'Ausgaben 2024'!$C89,Einzelbeträge!$E:$E,'Ausgaben 2024'!J$6)</f>
        <v>0</v>
      </c>
      <c r="K89" s="21">
        <f>SUMIFS(Einzelbeträge!$D:$D,Einzelbeträge!$C:$C,'Ausgaben 2024'!$C89,Einzelbeträge!$E:$E,'Ausgaben 2024'!K$6)</f>
        <v>0</v>
      </c>
      <c r="L89" s="21">
        <f>SUMIFS(Einzelbeträge!$D:$D,Einzelbeträge!$C:$C,'Ausgaben 2024'!$C89,Einzelbeträge!$E:$E,'Ausgaben 2024'!L$6)</f>
        <v>0</v>
      </c>
      <c r="M89" s="21">
        <f>SUMIFS(Einzelbeträge!$D:$D,Einzelbeträge!$C:$C,'Ausgaben 2024'!$C89,Einzelbeträge!$E:$E,'Ausgaben 2024'!M$6)</f>
        <v>0</v>
      </c>
      <c r="N89" s="35">
        <f>SUMIFS(Einzelbeträge!$D:$D,Einzelbeträge!$C:$C,'Ausgaben 2024'!$C89,Einzelbeträge!$E:$E,'Ausgaben 2024'!N$6)</f>
        <v>0</v>
      </c>
      <c r="O89" s="6"/>
    </row>
    <row r="90" spans="2:15" x14ac:dyDescent="0.35">
      <c r="B90" s="5"/>
      <c r="C90" s="40">
        <f t="shared" si="26"/>
        <v>45369</v>
      </c>
      <c r="D90" s="46">
        <f>SUMIFS(Einzelbeträge!$D:$D,Einzelbeträge!$C:$C,'Ausgaben 2024'!$C90)</f>
        <v>0</v>
      </c>
      <c r="E90" s="34">
        <f>SUMIFS(Einzelbeträge!$D:$D,Einzelbeträge!$C:$C,'Ausgaben 2024'!$C90,Einzelbeträge!$E:$E,'Ausgaben 2024'!E$6)</f>
        <v>0</v>
      </c>
      <c r="F90" s="21">
        <f>SUMIFS(Einzelbeträge!$D:$D,Einzelbeträge!$C:$C,'Ausgaben 2024'!$C90,Einzelbeträge!$E:$E,'Ausgaben 2024'!F$6)</f>
        <v>0</v>
      </c>
      <c r="G90" s="21">
        <f>SUMIFS(Einzelbeträge!$D:$D,Einzelbeträge!$C:$C,'Ausgaben 2024'!$C90,Einzelbeträge!$E:$E,'Ausgaben 2024'!G$6)</f>
        <v>0</v>
      </c>
      <c r="H90" s="21">
        <f>SUMIFS(Einzelbeträge!$D:$D,Einzelbeträge!$C:$C,'Ausgaben 2024'!$C90,Einzelbeträge!$E:$E,'Ausgaben 2024'!H$6)</f>
        <v>0</v>
      </c>
      <c r="I90" s="21">
        <f>SUMIFS(Einzelbeträge!$D:$D,Einzelbeträge!$C:$C,'Ausgaben 2024'!$C90,Einzelbeträge!$E:$E,'Ausgaben 2024'!I$6)</f>
        <v>0</v>
      </c>
      <c r="J90" s="21">
        <f>SUMIFS(Einzelbeträge!$D:$D,Einzelbeträge!$C:$C,'Ausgaben 2024'!$C90,Einzelbeträge!$E:$E,'Ausgaben 2024'!J$6)</f>
        <v>0</v>
      </c>
      <c r="K90" s="21">
        <f>SUMIFS(Einzelbeträge!$D:$D,Einzelbeträge!$C:$C,'Ausgaben 2024'!$C90,Einzelbeträge!$E:$E,'Ausgaben 2024'!K$6)</f>
        <v>0</v>
      </c>
      <c r="L90" s="21">
        <f>SUMIFS(Einzelbeträge!$D:$D,Einzelbeträge!$C:$C,'Ausgaben 2024'!$C90,Einzelbeträge!$E:$E,'Ausgaben 2024'!L$6)</f>
        <v>0</v>
      </c>
      <c r="M90" s="21">
        <f>SUMIFS(Einzelbeträge!$D:$D,Einzelbeträge!$C:$C,'Ausgaben 2024'!$C90,Einzelbeträge!$E:$E,'Ausgaben 2024'!M$6)</f>
        <v>0</v>
      </c>
      <c r="N90" s="35">
        <f>SUMIFS(Einzelbeträge!$D:$D,Einzelbeträge!$C:$C,'Ausgaben 2024'!$C90,Einzelbeträge!$E:$E,'Ausgaben 2024'!N$6)</f>
        <v>0</v>
      </c>
      <c r="O90" s="6"/>
    </row>
    <row r="91" spans="2:15" x14ac:dyDescent="0.35">
      <c r="B91" s="5"/>
      <c r="C91" s="40">
        <f t="shared" si="26"/>
        <v>45370</v>
      </c>
      <c r="D91" s="46">
        <f>SUMIFS(Einzelbeträge!$D:$D,Einzelbeträge!$C:$C,'Ausgaben 2024'!$C91)</f>
        <v>0</v>
      </c>
      <c r="E91" s="34">
        <f>SUMIFS(Einzelbeträge!$D:$D,Einzelbeträge!$C:$C,'Ausgaben 2024'!$C91,Einzelbeträge!$E:$E,'Ausgaben 2024'!E$6)</f>
        <v>0</v>
      </c>
      <c r="F91" s="21">
        <f>SUMIFS(Einzelbeträge!$D:$D,Einzelbeträge!$C:$C,'Ausgaben 2024'!$C91,Einzelbeträge!$E:$E,'Ausgaben 2024'!F$6)</f>
        <v>0</v>
      </c>
      <c r="G91" s="21">
        <f>SUMIFS(Einzelbeträge!$D:$D,Einzelbeträge!$C:$C,'Ausgaben 2024'!$C91,Einzelbeträge!$E:$E,'Ausgaben 2024'!G$6)</f>
        <v>0</v>
      </c>
      <c r="H91" s="21">
        <f>SUMIFS(Einzelbeträge!$D:$D,Einzelbeträge!$C:$C,'Ausgaben 2024'!$C91,Einzelbeträge!$E:$E,'Ausgaben 2024'!H$6)</f>
        <v>0</v>
      </c>
      <c r="I91" s="21">
        <f>SUMIFS(Einzelbeträge!$D:$D,Einzelbeträge!$C:$C,'Ausgaben 2024'!$C91,Einzelbeträge!$E:$E,'Ausgaben 2024'!I$6)</f>
        <v>0</v>
      </c>
      <c r="J91" s="21">
        <f>SUMIFS(Einzelbeträge!$D:$D,Einzelbeträge!$C:$C,'Ausgaben 2024'!$C91,Einzelbeträge!$E:$E,'Ausgaben 2024'!J$6)</f>
        <v>0</v>
      </c>
      <c r="K91" s="21">
        <f>SUMIFS(Einzelbeträge!$D:$D,Einzelbeträge!$C:$C,'Ausgaben 2024'!$C91,Einzelbeträge!$E:$E,'Ausgaben 2024'!K$6)</f>
        <v>0</v>
      </c>
      <c r="L91" s="21">
        <f>SUMIFS(Einzelbeträge!$D:$D,Einzelbeträge!$C:$C,'Ausgaben 2024'!$C91,Einzelbeträge!$E:$E,'Ausgaben 2024'!L$6)</f>
        <v>0</v>
      </c>
      <c r="M91" s="21">
        <f>SUMIFS(Einzelbeträge!$D:$D,Einzelbeträge!$C:$C,'Ausgaben 2024'!$C91,Einzelbeträge!$E:$E,'Ausgaben 2024'!M$6)</f>
        <v>0</v>
      </c>
      <c r="N91" s="35">
        <f>SUMIFS(Einzelbeträge!$D:$D,Einzelbeträge!$C:$C,'Ausgaben 2024'!$C91,Einzelbeträge!$E:$E,'Ausgaben 2024'!N$6)</f>
        <v>0</v>
      </c>
      <c r="O91" s="6"/>
    </row>
    <row r="92" spans="2:15" x14ac:dyDescent="0.35">
      <c r="B92" s="5"/>
      <c r="C92" s="40">
        <f t="shared" si="26"/>
        <v>45371</v>
      </c>
      <c r="D92" s="46">
        <f>SUMIFS(Einzelbeträge!$D:$D,Einzelbeträge!$C:$C,'Ausgaben 2024'!$C92)</f>
        <v>0</v>
      </c>
      <c r="E92" s="34">
        <f>SUMIFS(Einzelbeträge!$D:$D,Einzelbeträge!$C:$C,'Ausgaben 2024'!$C92,Einzelbeträge!$E:$E,'Ausgaben 2024'!E$6)</f>
        <v>0</v>
      </c>
      <c r="F92" s="21">
        <f>SUMIFS(Einzelbeträge!$D:$D,Einzelbeträge!$C:$C,'Ausgaben 2024'!$C92,Einzelbeträge!$E:$E,'Ausgaben 2024'!F$6)</f>
        <v>0</v>
      </c>
      <c r="G92" s="21">
        <f>SUMIFS(Einzelbeträge!$D:$D,Einzelbeträge!$C:$C,'Ausgaben 2024'!$C92,Einzelbeträge!$E:$E,'Ausgaben 2024'!G$6)</f>
        <v>0</v>
      </c>
      <c r="H92" s="21">
        <f>SUMIFS(Einzelbeträge!$D:$D,Einzelbeträge!$C:$C,'Ausgaben 2024'!$C92,Einzelbeträge!$E:$E,'Ausgaben 2024'!H$6)</f>
        <v>0</v>
      </c>
      <c r="I92" s="21">
        <f>SUMIFS(Einzelbeträge!$D:$D,Einzelbeträge!$C:$C,'Ausgaben 2024'!$C92,Einzelbeträge!$E:$E,'Ausgaben 2024'!I$6)</f>
        <v>0</v>
      </c>
      <c r="J92" s="21">
        <f>SUMIFS(Einzelbeträge!$D:$D,Einzelbeträge!$C:$C,'Ausgaben 2024'!$C92,Einzelbeträge!$E:$E,'Ausgaben 2024'!J$6)</f>
        <v>0</v>
      </c>
      <c r="K92" s="21">
        <f>SUMIFS(Einzelbeträge!$D:$D,Einzelbeträge!$C:$C,'Ausgaben 2024'!$C92,Einzelbeträge!$E:$E,'Ausgaben 2024'!K$6)</f>
        <v>0</v>
      </c>
      <c r="L92" s="21">
        <f>SUMIFS(Einzelbeträge!$D:$D,Einzelbeträge!$C:$C,'Ausgaben 2024'!$C92,Einzelbeträge!$E:$E,'Ausgaben 2024'!L$6)</f>
        <v>0</v>
      </c>
      <c r="M92" s="21">
        <f>SUMIFS(Einzelbeträge!$D:$D,Einzelbeträge!$C:$C,'Ausgaben 2024'!$C92,Einzelbeträge!$E:$E,'Ausgaben 2024'!M$6)</f>
        <v>0</v>
      </c>
      <c r="N92" s="35">
        <f>SUMIFS(Einzelbeträge!$D:$D,Einzelbeträge!$C:$C,'Ausgaben 2024'!$C92,Einzelbeträge!$E:$E,'Ausgaben 2024'!N$6)</f>
        <v>0</v>
      </c>
      <c r="O92" s="6"/>
    </row>
    <row r="93" spans="2:15" x14ac:dyDescent="0.35">
      <c r="B93" s="5"/>
      <c r="C93" s="40">
        <f t="shared" si="26"/>
        <v>45372</v>
      </c>
      <c r="D93" s="46">
        <f>SUMIFS(Einzelbeträge!$D:$D,Einzelbeträge!$C:$C,'Ausgaben 2024'!$C93)</f>
        <v>0</v>
      </c>
      <c r="E93" s="34">
        <f>SUMIFS(Einzelbeträge!$D:$D,Einzelbeträge!$C:$C,'Ausgaben 2024'!$C93,Einzelbeträge!$E:$E,'Ausgaben 2024'!E$6)</f>
        <v>0</v>
      </c>
      <c r="F93" s="21">
        <f>SUMIFS(Einzelbeträge!$D:$D,Einzelbeträge!$C:$C,'Ausgaben 2024'!$C93,Einzelbeträge!$E:$E,'Ausgaben 2024'!F$6)</f>
        <v>0</v>
      </c>
      <c r="G93" s="21">
        <f>SUMIFS(Einzelbeträge!$D:$D,Einzelbeträge!$C:$C,'Ausgaben 2024'!$C93,Einzelbeträge!$E:$E,'Ausgaben 2024'!G$6)</f>
        <v>0</v>
      </c>
      <c r="H93" s="21">
        <f>SUMIFS(Einzelbeträge!$D:$D,Einzelbeträge!$C:$C,'Ausgaben 2024'!$C93,Einzelbeträge!$E:$E,'Ausgaben 2024'!H$6)</f>
        <v>0</v>
      </c>
      <c r="I93" s="21">
        <f>SUMIFS(Einzelbeträge!$D:$D,Einzelbeträge!$C:$C,'Ausgaben 2024'!$C93,Einzelbeträge!$E:$E,'Ausgaben 2024'!I$6)</f>
        <v>0</v>
      </c>
      <c r="J93" s="21">
        <f>SUMIFS(Einzelbeträge!$D:$D,Einzelbeträge!$C:$C,'Ausgaben 2024'!$C93,Einzelbeträge!$E:$E,'Ausgaben 2024'!J$6)</f>
        <v>0</v>
      </c>
      <c r="K93" s="21">
        <f>SUMIFS(Einzelbeträge!$D:$D,Einzelbeträge!$C:$C,'Ausgaben 2024'!$C93,Einzelbeträge!$E:$E,'Ausgaben 2024'!K$6)</f>
        <v>0</v>
      </c>
      <c r="L93" s="21">
        <f>SUMIFS(Einzelbeträge!$D:$D,Einzelbeträge!$C:$C,'Ausgaben 2024'!$C93,Einzelbeträge!$E:$E,'Ausgaben 2024'!L$6)</f>
        <v>0</v>
      </c>
      <c r="M93" s="21">
        <f>SUMIFS(Einzelbeträge!$D:$D,Einzelbeträge!$C:$C,'Ausgaben 2024'!$C93,Einzelbeträge!$E:$E,'Ausgaben 2024'!M$6)</f>
        <v>0</v>
      </c>
      <c r="N93" s="35">
        <f>SUMIFS(Einzelbeträge!$D:$D,Einzelbeträge!$C:$C,'Ausgaben 2024'!$C93,Einzelbeträge!$E:$E,'Ausgaben 2024'!N$6)</f>
        <v>0</v>
      </c>
      <c r="O93" s="6"/>
    </row>
    <row r="94" spans="2:15" x14ac:dyDescent="0.35">
      <c r="B94" s="5"/>
      <c r="C94" s="40">
        <f t="shared" si="26"/>
        <v>45373</v>
      </c>
      <c r="D94" s="46">
        <f>SUMIFS(Einzelbeträge!$D:$D,Einzelbeträge!$C:$C,'Ausgaben 2024'!$C94)</f>
        <v>0</v>
      </c>
      <c r="E94" s="34">
        <f>SUMIFS(Einzelbeträge!$D:$D,Einzelbeträge!$C:$C,'Ausgaben 2024'!$C94,Einzelbeträge!$E:$E,'Ausgaben 2024'!E$6)</f>
        <v>0</v>
      </c>
      <c r="F94" s="21">
        <f>SUMIFS(Einzelbeträge!$D:$D,Einzelbeträge!$C:$C,'Ausgaben 2024'!$C94,Einzelbeträge!$E:$E,'Ausgaben 2024'!F$6)</f>
        <v>0</v>
      </c>
      <c r="G94" s="21">
        <f>SUMIFS(Einzelbeträge!$D:$D,Einzelbeträge!$C:$C,'Ausgaben 2024'!$C94,Einzelbeträge!$E:$E,'Ausgaben 2024'!G$6)</f>
        <v>0</v>
      </c>
      <c r="H94" s="21">
        <f>SUMIFS(Einzelbeträge!$D:$D,Einzelbeträge!$C:$C,'Ausgaben 2024'!$C94,Einzelbeträge!$E:$E,'Ausgaben 2024'!H$6)</f>
        <v>0</v>
      </c>
      <c r="I94" s="21">
        <f>SUMIFS(Einzelbeträge!$D:$D,Einzelbeträge!$C:$C,'Ausgaben 2024'!$C94,Einzelbeträge!$E:$E,'Ausgaben 2024'!I$6)</f>
        <v>0</v>
      </c>
      <c r="J94" s="21">
        <f>SUMIFS(Einzelbeträge!$D:$D,Einzelbeträge!$C:$C,'Ausgaben 2024'!$C94,Einzelbeträge!$E:$E,'Ausgaben 2024'!J$6)</f>
        <v>0</v>
      </c>
      <c r="K94" s="21">
        <f>SUMIFS(Einzelbeträge!$D:$D,Einzelbeträge!$C:$C,'Ausgaben 2024'!$C94,Einzelbeträge!$E:$E,'Ausgaben 2024'!K$6)</f>
        <v>0</v>
      </c>
      <c r="L94" s="21">
        <f>SUMIFS(Einzelbeträge!$D:$D,Einzelbeträge!$C:$C,'Ausgaben 2024'!$C94,Einzelbeträge!$E:$E,'Ausgaben 2024'!L$6)</f>
        <v>0</v>
      </c>
      <c r="M94" s="21">
        <f>SUMIFS(Einzelbeträge!$D:$D,Einzelbeträge!$C:$C,'Ausgaben 2024'!$C94,Einzelbeträge!$E:$E,'Ausgaben 2024'!M$6)</f>
        <v>0</v>
      </c>
      <c r="N94" s="35">
        <f>SUMIFS(Einzelbeträge!$D:$D,Einzelbeträge!$C:$C,'Ausgaben 2024'!$C94,Einzelbeträge!$E:$E,'Ausgaben 2024'!N$6)</f>
        <v>0</v>
      </c>
      <c r="O94" s="6"/>
    </row>
    <row r="95" spans="2:15" x14ac:dyDescent="0.35">
      <c r="B95" s="5"/>
      <c r="C95" s="40">
        <f t="shared" si="26"/>
        <v>45374</v>
      </c>
      <c r="D95" s="46">
        <f>SUMIFS(Einzelbeträge!$D:$D,Einzelbeträge!$C:$C,'Ausgaben 2024'!$C95)</f>
        <v>0</v>
      </c>
      <c r="E95" s="34">
        <f>SUMIFS(Einzelbeträge!$D:$D,Einzelbeträge!$C:$C,'Ausgaben 2024'!$C95,Einzelbeträge!$E:$E,'Ausgaben 2024'!E$6)</f>
        <v>0</v>
      </c>
      <c r="F95" s="21">
        <f>SUMIFS(Einzelbeträge!$D:$D,Einzelbeträge!$C:$C,'Ausgaben 2024'!$C95,Einzelbeträge!$E:$E,'Ausgaben 2024'!F$6)</f>
        <v>0</v>
      </c>
      <c r="G95" s="21">
        <f>SUMIFS(Einzelbeträge!$D:$D,Einzelbeträge!$C:$C,'Ausgaben 2024'!$C95,Einzelbeträge!$E:$E,'Ausgaben 2024'!G$6)</f>
        <v>0</v>
      </c>
      <c r="H95" s="21">
        <f>SUMIFS(Einzelbeträge!$D:$D,Einzelbeträge!$C:$C,'Ausgaben 2024'!$C95,Einzelbeträge!$E:$E,'Ausgaben 2024'!H$6)</f>
        <v>0</v>
      </c>
      <c r="I95" s="21">
        <f>SUMIFS(Einzelbeträge!$D:$D,Einzelbeträge!$C:$C,'Ausgaben 2024'!$C95,Einzelbeträge!$E:$E,'Ausgaben 2024'!I$6)</f>
        <v>0</v>
      </c>
      <c r="J95" s="21">
        <f>SUMIFS(Einzelbeträge!$D:$D,Einzelbeträge!$C:$C,'Ausgaben 2024'!$C95,Einzelbeträge!$E:$E,'Ausgaben 2024'!J$6)</f>
        <v>0</v>
      </c>
      <c r="K95" s="21">
        <f>SUMIFS(Einzelbeträge!$D:$D,Einzelbeträge!$C:$C,'Ausgaben 2024'!$C95,Einzelbeträge!$E:$E,'Ausgaben 2024'!K$6)</f>
        <v>0</v>
      </c>
      <c r="L95" s="21">
        <f>SUMIFS(Einzelbeträge!$D:$D,Einzelbeträge!$C:$C,'Ausgaben 2024'!$C95,Einzelbeträge!$E:$E,'Ausgaben 2024'!L$6)</f>
        <v>0</v>
      </c>
      <c r="M95" s="21">
        <f>SUMIFS(Einzelbeträge!$D:$D,Einzelbeträge!$C:$C,'Ausgaben 2024'!$C95,Einzelbeträge!$E:$E,'Ausgaben 2024'!M$6)</f>
        <v>0</v>
      </c>
      <c r="N95" s="35">
        <f>SUMIFS(Einzelbeträge!$D:$D,Einzelbeträge!$C:$C,'Ausgaben 2024'!$C95,Einzelbeträge!$E:$E,'Ausgaben 2024'!N$6)</f>
        <v>0</v>
      </c>
      <c r="O95" s="6"/>
    </row>
    <row r="96" spans="2:15" x14ac:dyDescent="0.35">
      <c r="B96" s="5"/>
      <c r="C96" s="40">
        <f t="shared" si="26"/>
        <v>45375</v>
      </c>
      <c r="D96" s="46">
        <f>SUMIFS(Einzelbeträge!$D:$D,Einzelbeträge!$C:$C,'Ausgaben 2024'!$C96)</f>
        <v>0</v>
      </c>
      <c r="E96" s="34">
        <f>SUMIFS(Einzelbeträge!$D:$D,Einzelbeträge!$C:$C,'Ausgaben 2024'!$C96,Einzelbeträge!$E:$E,'Ausgaben 2024'!E$6)</f>
        <v>0</v>
      </c>
      <c r="F96" s="21">
        <f>SUMIFS(Einzelbeträge!$D:$D,Einzelbeträge!$C:$C,'Ausgaben 2024'!$C96,Einzelbeträge!$E:$E,'Ausgaben 2024'!F$6)</f>
        <v>0</v>
      </c>
      <c r="G96" s="21">
        <f>SUMIFS(Einzelbeträge!$D:$D,Einzelbeträge!$C:$C,'Ausgaben 2024'!$C96,Einzelbeträge!$E:$E,'Ausgaben 2024'!G$6)</f>
        <v>0</v>
      </c>
      <c r="H96" s="21">
        <f>SUMIFS(Einzelbeträge!$D:$D,Einzelbeträge!$C:$C,'Ausgaben 2024'!$C96,Einzelbeträge!$E:$E,'Ausgaben 2024'!H$6)</f>
        <v>0</v>
      </c>
      <c r="I96" s="21">
        <f>SUMIFS(Einzelbeträge!$D:$D,Einzelbeträge!$C:$C,'Ausgaben 2024'!$C96,Einzelbeträge!$E:$E,'Ausgaben 2024'!I$6)</f>
        <v>0</v>
      </c>
      <c r="J96" s="21">
        <f>SUMIFS(Einzelbeträge!$D:$D,Einzelbeträge!$C:$C,'Ausgaben 2024'!$C96,Einzelbeträge!$E:$E,'Ausgaben 2024'!J$6)</f>
        <v>0</v>
      </c>
      <c r="K96" s="21">
        <f>SUMIFS(Einzelbeträge!$D:$D,Einzelbeträge!$C:$C,'Ausgaben 2024'!$C96,Einzelbeträge!$E:$E,'Ausgaben 2024'!K$6)</f>
        <v>0</v>
      </c>
      <c r="L96" s="21">
        <f>SUMIFS(Einzelbeträge!$D:$D,Einzelbeträge!$C:$C,'Ausgaben 2024'!$C96,Einzelbeträge!$E:$E,'Ausgaben 2024'!L$6)</f>
        <v>0</v>
      </c>
      <c r="M96" s="21">
        <f>SUMIFS(Einzelbeträge!$D:$D,Einzelbeträge!$C:$C,'Ausgaben 2024'!$C96,Einzelbeträge!$E:$E,'Ausgaben 2024'!M$6)</f>
        <v>0</v>
      </c>
      <c r="N96" s="35">
        <f>SUMIFS(Einzelbeträge!$D:$D,Einzelbeträge!$C:$C,'Ausgaben 2024'!$C96,Einzelbeträge!$E:$E,'Ausgaben 2024'!N$6)</f>
        <v>0</v>
      </c>
      <c r="O96" s="6"/>
    </row>
    <row r="97" spans="2:15" x14ac:dyDescent="0.35">
      <c r="B97" s="5"/>
      <c r="C97" s="40">
        <f t="shared" si="26"/>
        <v>45376</v>
      </c>
      <c r="D97" s="46">
        <f>SUMIFS(Einzelbeträge!$D:$D,Einzelbeträge!$C:$C,'Ausgaben 2024'!$C97)</f>
        <v>0</v>
      </c>
      <c r="E97" s="34">
        <f>SUMIFS(Einzelbeträge!$D:$D,Einzelbeträge!$C:$C,'Ausgaben 2024'!$C97,Einzelbeträge!$E:$E,'Ausgaben 2024'!E$6)</f>
        <v>0</v>
      </c>
      <c r="F97" s="21">
        <f>SUMIFS(Einzelbeträge!$D:$D,Einzelbeträge!$C:$C,'Ausgaben 2024'!$C97,Einzelbeträge!$E:$E,'Ausgaben 2024'!F$6)</f>
        <v>0</v>
      </c>
      <c r="G97" s="21">
        <f>SUMIFS(Einzelbeträge!$D:$D,Einzelbeträge!$C:$C,'Ausgaben 2024'!$C97,Einzelbeträge!$E:$E,'Ausgaben 2024'!G$6)</f>
        <v>0</v>
      </c>
      <c r="H97" s="21">
        <f>SUMIFS(Einzelbeträge!$D:$D,Einzelbeträge!$C:$C,'Ausgaben 2024'!$C97,Einzelbeträge!$E:$E,'Ausgaben 2024'!H$6)</f>
        <v>0</v>
      </c>
      <c r="I97" s="21">
        <f>SUMIFS(Einzelbeträge!$D:$D,Einzelbeträge!$C:$C,'Ausgaben 2024'!$C97,Einzelbeträge!$E:$E,'Ausgaben 2024'!I$6)</f>
        <v>0</v>
      </c>
      <c r="J97" s="21">
        <f>SUMIFS(Einzelbeträge!$D:$D,Einzelbeträge!$C:$C,'Ausgaben 2024'!$C97,Einzelbeträge!$E:$E,'Ausgaben 2024'!J$6)</f>
        <v>0</v>
      </c>
      <c r="K97" s="21">
        <f>SUMIFS(Einzelbeträge!$D:$D,Einzelbeträge!$C:$C,'Ausgaben 2024'!$C97,Einzelbeträge!$E:$E,'Ausgaben 2024'!K$6)</f>
        <v>0</v>
      </c>
      <c r="L97" s="21">
        <f>SUMIFS(Einzelbeträge!$D:$D,Einzelbeträge!$C:$C,'Ausgaben 2024'!$C97,Einzelbeträge!$E:$E,'Ausgaben 2024'!L$6)</f>
        <v>0</v>
      </c>
      <c r="M97" s="21">
        <f>SUMIFS(Einzelbeträge!$D:$D,Einzelbeträge!$C:$C,'Ausgaben 2024'!$C97,Einzelbeträge!$E:$E,'Ausgaben 2024'!M$6)</f>
        <v>0</v>
      </c>
      <c r="N97" s="35">
        <f>SUMIFS(Einzelbeträge!$D:$D,Einzelbeträge!$C:$C,'Ausgaben 2024'!$C97,Einzelbeträge!$E:$E,'Ausgaben 2024'!N$6)</f>
        <v>0</v>
      </c>
      <c r="O97" s="6"/>
    </row>
    <row r="98" spans="2:15" x14ac:dyDescent="0.35">
      <c r="B98" s="5"/>
      <c r="C98" s="40">
        <f t="shared" si="26"/>
        <v>45377</v>
      </c>
      <c r="D98" s="46">
        <f>SUMIFS(Einzelbeträge!$D:$D,Einzelbeträge!$C:$C,'Ausgaben 2024'!$C98)</f>
        <v>0</v>
      </c>
      <c r="E98" s="34">
        <f>SUMIFS(Einzelbeträge!$D:$D,Einzelbeträge!$C:$C,'Ausgaben 2024'!$C98,Einzelbeträge!$E:$E,'Ausgaben 2024'!E$6)</f>
        <v>0</v>
      </c>
      <c r="F98" s="21">
        <f>SUMIFS(Einzelbeträge!$D:$D,Einzelbeträge!$C:$C,'Ausgaben 2024'!$C98,Einzelbeträge!$E:$E,'Ausgaben 2024'!F$6)</f>
        <v>0</v>
      </c>
      <c r="G98" s="21">
        <f>SUMIFS(Einzelbeträge!$D:$D,Einzelbeträge!$C:$C,'Ausgaben 2024'!$C98,Einzelbeträge!$E:$E,'Ausgaben 2024'!G$6)</f>
        <v>0</v>
      </c>
      <c r="H98" s="21">
        <f>SUMIFS(Einzelbeträge!$D:$D,Einzelbeträge!$C:$C,'Ausgaben 2024'!$C98,Einzelbeträge!$E:$E,'Ausgaben 2024'!H$6)</f>
        <v>0</v>
      </c>
      <c r="I98" s="21">
        <f>SUMIFS(Einzelbeträge!$D:$D,Einzelbeträge!$C:$C,'Ausgaben 2024'!$C98,Einzelbeträge!$E:$E,'Ausgaben 2024'!I$6)</f>
        <v>0</v>
      </c>
      <c r="J98" s="21">
        <f>SUMIFS(Einzelbeträge!$D:$D,Einzelbeträge!$C:$C,'Ausgaben 2024'!$C98,Einzelbeträge!$E:$E,'Ausgaben 2024'!J$6)</f>
        <v>0</v>
      </c>
      <c r="K98" s="21">
        <f>SUMIFS(Einzelbeträge!$D:$D,Einzelbeträge!$C:$C,'Ausgaben 2024'!$C98,Einzelbeträge!$E:$E,'Ausgaben 2024'!K$6)</f>
        <v>0</v>
      </c>
      <c r="L98" s="21">
        <f>SUMIFS(Einzelbeträge!$D:$D,Einzelbeträge!$C:$C,'Ausgaben 2024'!$C98,Einzelbeträge!$E:$E,'Ausgaben 2024'!L$6)</f>
        <v>0</v>
      </c>
      <c r="M98" s="21">
        <f>SUMIFS(Einzelbeträge!$D:$D,Einzelbeträge!$C:$C,'Ausgaben 2024'!$C98,Einzelbeträge!$E:$E,'Ausgaben 2024'!M$6)</f>
        <v>0</v>
      </c>
      <c r="N98" s="35">
        <f>SUMIFS(Einzelbeträge!$D:$D,Einzelbeträge!$C:$C,'Ausgaben 2024'!$C98,Einzelbeträge!$E:$E,'Ausgaben 2024'!N$6)</f>
        <v>0</v>
      </c>
      <c r="O98" s="6"/>
    </row>
    <row r="99" spans="2:15" x14ac:dyDescent="0.35">
      <c r="B99" s="5"/>
      <c r="C99" s="40">
        <f t="shared" si="26"/>
        <v>45378</v>
      </c>
      <c r="D99" s="46">
        <f>SUMIFS(Einzelbeträge!$D:$D,Einzelbeträge!$C:$C,'Ausgaben 2024'!$C99)</f>
        <v>0</v>
      </c>
      <c r="E99" s="34">
        <f>SUMIFS(Einzelbeträge!$D:$D,Einzelbeträge!$C:$C,'Ausgaben 2024'!$C99,Einzelbeträge!$E:$E,'Ausgaben 2024'!E$6)</f>
        <v>0</v>
      </c>
      <c r="F99" s="21">
        <f>SUMIFS(Einzelbeträge!$D:$D,Einzelbeträge!$C:$C,'Ausgaben 2024'!$C99,Einzelbeträge!$E:$E,'Ausgaben 2024'!F$6)</f>
        <v>0</v>
      </c>
      <c r="G99" s="21">
        <f>SUMIFS(Einzelbeträge!$D:$D,Einzelbeträge!$C:$C,'Ausgaben 2024'!$C99,Einzelbeträge!$E:$E,'Ausgaben 2024'!G$6)</f>
        <v>0</v>
      </c>
      <c r="H99" s="21">
        <f>SUMIFS(Einzelbeträge!$D:$D,Einzelbeträge!$C:$C,'Ausgaben 2024'!$C99,Einzelbeträge!$E:$E,'Ausgaben 2024'!H$6)</f>
        <v>0</v>
      </c>
      <c r="I99" s="21">
        <f>SUMIFS(Einzelbeträge!$D:$D,Einzelbeträge!$C:$C,'Ausgaben 2024'!$C99,Einzelbeträge!$E:$E,'Ausgaben 2024'!I$6)</f>
        <v>0</v>
      </c>
      <c r="J99" s="21">
        <f>SUMIFS(Einzelbeträge!$D:$D,Einzelbeträge!$C:$C,'Ausgaben 2024'!$C99,Einzelbeträge!$E:$E,'Ausgaben 2024'!J$6)</f>
        <v>0</v>
      </c>
      <c r="K99" s="21">
        <f>SUMIFS(Einzelbeträge!$D:$D,Einzelbeträge!$C:$C,'Ausgaben 2024'!$C99,Einzelbeträge!$E:$E,'Ausgaben 2024'!K$6)</f>
        <v>0</v>
      </c>
      <c r="L99" s="21">
        <f>SUMIFS(Einzelbeträge!$D:$D,Einzelbeträge!$C:$C,'Ausgaben 2024'!$C99,Einzelbeträge!$E:$E,'Ausgaben 2024'!L$6)</f>
        <v>0</v>
      </c>
      <c r="M99" s="21">
        <f>SUMIFS(Einzelbeträge!$D:$D,Einzelbeträge!$C:$C,'Ausgaben 2024'!$C99,Einzelbeträge!$E:$E,'Ausgaben 2024'!M$6)</f>
        <v>0</v>
      </c>
      <c r="N99" s="35">
        <f>SUMIFS(Einzelbeträge!$D:$D,Einzelbeträge!$C:$C,'Ausgaben 2024'!$C99,Einzelbeträge!$E:$E,'Ausgaben 2024'!N$6)</f>
        <v>0</v>
      </c>
      <c r="O99" s="6"/>
    </row>
    <row r="100" spans="2:15" x14ac:dyDescent="0.35">
      <c r="B100" s="5"/>
      <c r="C100" s="40">
        <f t="shared" si="26"/>
        <v>45379</v>
      </c>
      <c r="D100" s="46">
        <f>SUMIFS(Einzelbeträge!$D:$D,Einzelbeträge!$C:$C,'Ausgaben 2024'!$C100)</f>
        <v>0</v>
      </c>
      <c r="E100" s="34">
        <f>SUMIFS(Einzelbeträge!$D:$D,Einzelbeträge!$C:$C,'Ausgaben 2024'!$C100,Einzelbeträge!$E:$E,'Ausgaben 2024'!E$6)</f>
        <v>0</v>
      </c>
      <c r="F100" s="21">
        <f>SUMIFS(Einzelbeträge!$D:$D,Einzelbeträge!$C:$C,'Ausgaben 2024'!$C100,Einzelbeträge!$E:$E,'Ausgaben 2024'!F$6)</f>
        <v>0</v>
      </c>
      <c r="G100" s="21">
        <f>SUMIFS(Einzelbeträge!$D:$D,Einzelbeträge!$C:$C,'Ausgaben 2024'!$C100,Einzelbeträge!$E:$E,'Ausgaben 2024'!G$6)</f>
        <v>0</v>
      </c>
      <c r="H100" s="21">
        <f>SUMIFS(Einzelbeträge!$D:$D,Einzelbeträge!$C:$C,'Ausgaben 2024'!$C100,Einzelbeträge!$E:$E,'Ausgaben 2024'!H$6)</f>
        <v>0</v>
      </c>
      <c r="I100" s="21">
        <f>SUMIFS(Einzelbeträge!$D:$D,Einzelbeträge!$C:$C,'Ausgaben 2024'!$C100,Einzelbeträge!$E:$E,'Ausgaben 2024'!I$6)</f>
        <v>0</v>
      </c>
      <c r="J100" s="21">
        <f>SUMIFS(Einzelbeträge!$D:$D,Einzelbeträge!$C:$C,'Ausgaben 2024'!$C100,Einzelbeträge!$E:$E,'Ausgaben 2024'!J$6)</f>
        <v>0</v>
      </c>
      <c r="K100" s="21">
        <f>SUMIFS(Einzelbeträge!$D:$D,Einzelbeträge!$C:$C,'Ausgaben 2024'!$C100,Einzelbeträge!$E:$E,'Ausgaben 2024'!K$6)</f>
        <v>0</v>
      </c>
      <c r="L100" s="21">
        <f>SUMIFS(Einzelbeträge!$D:$D,Einzelbeträge!$C:$C,'Ausgaben 2024'!$C100,Einzelbeträge!$E:$E,'Ausgaben 2024'!L$6)</f>
        <v>0</v>
      </c>
      <c r="M100" s="21">
        <f>SUMIFS(Einzelbeträge!$D:$D,Einzelbeträge!$C:$C,'Ausgaben 2024'!$C100,Einzelbeträge!$E:$E,'Ausgaben 2024'!M$6)</f>
        <v>0</v>
      </c>
      <c r="N100" s="35">
        <f>SUMIFS(Einzelbeträge!$D:$D,Einzelbeträge!$C:$C,'Ausgaben 2024'!$C100,Einzelbeträge!$E:$E,'Ausgaben 2024'!N$6)</f>
        <v>0</v>
      </c>
      <c r="O100" s="6"/>
    </row>
    <row r="101" spans="2:15" x14ac:dyDescent="0.35">
      <c r="B101" s="5"/>
      <c r="C101" s="40">
        <f t="shared" si="26"/>
        <v>45380</v>
      </c>
      <c r="D101" s="46">
        <f>SUMIFS(Einzelbeträge!$D:$D,Einzelbeträge!$C:$C,'Ausgaben 2024'!$C101)</f>
        <v>0</v>
      </c>
      <c r="E101" s="34">
        <f>SUMIFS(Einzelbeträge!$D:$D,Einzelbeträge!$C:$C,'Ausgaben 2024'!$C101,Einzelbeträge!$E:$E,'Ausgaben 2024'!E$6)</f>
        <v>0</v>
      </c>
      <c r="F101" s="21">
        <f>SUMIFS(Einzelbeträge!$D:$D,Einzelbeträge!$C:$C,'Ausgaben 2024'!$C101,Einzelbeträge!$E:$E,'Ausgaben 2024'!F$6)</f>
        <v>0</v>
      </c>
      <c r="G101" s="21">
        <f>SUMIFS(Einzelbeträge!$D:$D,Einzelbeträge!$C:$C,'Ausgaben 2024'!$C101,Einzelbeträge!$E:$E,'Ausgaben 2024'!G$6)</f>
        <v>0</v>
      </c>
      <c r="H101" s="21">
        <f>SUMIFS(Einzelbeträge!$D:$D,Einzelbeträge!$C:$C,'Ausgaben 2024'!$C101,Einzelbeträge!$E:$E,'Ausgaben 2024'!H$6)</f>
        <v>0</v>
      </c>
      <c r="I101" s="21">
        <f>SUMIFS(Einzelbeträge!$D:$D,Einzelbeträge!$C:$C,'Ausgaben 2024'!$C101,Einzelbeträge!$E:$E,'Ausgaben 2024'!I$6)</f>
        <v>0</v>
      </c>
      <c r="J101" s="21">
        <f>SUMIFS(Einzelbeträge!$D:$D,Einzelbeträge!$C:$C,'Ausgaben 2024'!$C101,Einzelbeträge!$E:$E,'Ausgaben 2024'!J$6)</f>
        <v>0</v>
      </c>
      <c r="K101" s="21">
        <f>SUMIFS(Einzelbeträge!$D:$D,Einzelbeträge!$C:$C,'Ausgaben 2024'!$C101,Einzelbeträge!$E:$E,'Ausgaben 2024'!K$6)</f>
        <v>0</v>
      </c>
      <c r="L101" s="21">
        <f>SUMIFS(Einzelbeträge!$D:$D,Einzelbeträge!$C:$C,'Ausgaben 2024'!$C101,Einzelbeträge!$E:$E,'Ausgaben 2024'!L$6)</f>
        <v>0</v>
      </c>
      <c r="M101" s="21">
        <f>SUMIFS(Einzelbeträge!$D:$D,Einzelbeträge!$C:$C,'Ausgaben 2024'!$C101,Einzelbeträge!$E:$E,'Ausgaben 2024'!M$6)</f>
        <v>0</v>
      </c>
      <c r="N101" s="35">
        <f>SUMIFS(Einzelbeträge!$D:$D,Einzelbeträge!$C:$C,'Ausgaben 2024'!$C101,Einzelbeträge!$E:$E,'Ausgaben 2024'!N$6)</f>
        <v>0</v>
      </c>
      <c r="O101" s="6"/>
    </row>
    <row r="102" spans="2:15" x14ac:dyDescent="0.35">
      <c r="B102" s="5"/>
      <c r="C102" s="40">
        <f t="shared" si="26"/>
        <v>45381</v>
      </c>
      <c r="D102" s="46">
        <f>SUMIFS(Einzelbeträge!$D:$D,Einzelbeträge!$C:$C,'Ausgaben 2024'!$C102)</f>
        <v>0</v>
      </c>
      <c r="E102" s="34">
        <f>SUMIFS(Einzelbeträge!$D:$D,Einzelbeträge!$C:$C,'Ausgaben 2024'!$C102,Einzelbeträge!$E:$E,'Ausgaben 2024'!E$6)</f>
        <v>0</v>
      </c>
      <c r="F102" s="21">
        <f>SUMIFS(Einzelbeträge!$D:$D,Einzelbeträge!$C:$C,'Ausgaben 2024'!$C102,Einzelbeträge!$E:$E,'Ausgaben 2024'!F$6)</f>
        <v>0</v>
      </c>
      <c r="G102" s="21">
        <f>SUMIFS(Einzelbeträge!$D:$D,Einzelbeträge!$C:$C,'Ausgaben 2024'!$C102,Einzelbeträge!$E:$E,'Ausgaben 2024'!G$6)</f>
        <v>0</v>
      </c>
      <c r="H102" s="21">
        <f>SUMIFS(Einzelbeträge!$D:$D,Einzelbeträge!$C:$C,'Ausgaben 2024'!$C102,Einzelbeträge!$E:$E,'Ausgaben 2024'!H$6)</f>
        <v>0</v>
      </c>
      <c r="I102" s="21">
        <f>SUMIFS(Einzelbeträge!$D:$D,Einzelbeträge!$C:$C,'Ausgaben 2024'!$C102,Einzelbeträge!$E:$E,'Ausgaben 2024'!I$6)</f>
        <v>0</v>
      </c>
      <c r="J102" s="21">
        <f>SUMIFS(Einzelbeträge!$D:$D,Einzelbeträge!$C:$C,'Ausgaben 2024'!$C102,Einzelbeträge!$E:$E,'Ausgaben 2024'!J$6)</f>
        <v>0</v>
      </c>
      <c r="K102" s="21">
        <f>SUMIFS(Einzelbeträge!$D:$D,Einzelbeträge!$C:$C,'Ausgaben 2024'!$C102,Einzelbeträge!$E:$E,'Ausgaben 2024'!K$6)</f>
        <v>0</v>
      </c>
      <c r="L102" s="21">
        <f>SUMIFS(Einzelbeträge!$D:$D,Einzelbeträge!$C:$C,'Ausgaben 2024'!$C102,Einzelbeträge!$E:$E,'Ausgaben 2024'!L$6)</f>
        <v>0</v>
      </c>
      <c r="M102" s="21">
        <f>SUMIFS(Einzelbeträge!$D:$D,Einzelbeträge!$C:$C,'Ausgaben 2024'!$C102,Einzelbeträge!$E:$E,'Ausgaben 2024'!M$6)</f>
        <v>0</v>
      </c>
      <c r="N102" s="35">
        <f>SUMIFS(Einzelbeträge!$D:$D,Einzelbeträge!$C:$C,'Ausgaben 2024'!$C102,Einzelbeträge!$E:$E,'Ausgaben 2024'!N$6)</f>
        <v>0</v>
      </c>
      <c r="O102" s="6"/>
    </row>
    <row r="103" spans="2:15" x14ac:dyDescent="0.35">
      <c r="B103" s="5"/>
      <c r="C103" s="31">
        <f t="shared" si="26"/>
        <v>45382</v>
      </c>
      <c r="D103" s="47">
        <f>SUMIFS(Einzelbeträge!$D:$D,Einzelbeträge!$C:$C,'Ausgaben 2024'!$C103)</f>
        <v>0</v>
      </c>
      <c r="E103" s="36">
        <f>SUMIFS(Einzelbeträge!$D:$D,Einzelbeträge!$C:$C,'Ausgaben 2024'!$C103,Einzelbeträge!$E:$E,'Ausgaben 2024'!E$6)</f>
        <v>0</v>
      </c>
      <c r="F103" s="37">
        <f>SUMIFS(Einzelbeträge!$D:$D,Einzelbeträge!$C:$C,'Ausgaben 2024'!$C103,Einzelbeträge!$E:$E,'Ausgaben 2024'!F$6)</f>
        <v>0</v>
      </c>
      <c r="G103" s="37">
        <f>SUMIFS(Einzelbeträge!$D:$D,Einzelbeträge!$C:$C,'Ausgaben 2024'!$C103,Einzelbeträge!$E:$E,'Ausgaben 2024'!G$6)</f>
        <v>0</v>
      </c>
      <c r="H103" s="37">
        <f>SUMIFS(Einzelbeträge!$D:$D,Einzelbeträge!$C:$C,'Ausgaben 2024'!$C103,Einzelbeträge!$E:$E,'Ausgaben 2024'!H$6)</f>
        <v>0</v>
      </c>
      <c r="I103" s="37">
        <f>SUMIFS(Einzelbeträge!$D:$D,Einzelbeträge!$C:$C,'Ausgaben 2024'!$C103,Einzelbeträge!$E:$E,'Ausgaben 2024'!I$6)</f>
        <v>0</v>
      </c>
      <c r="J103" s="37">
        <f>SUMIFS(Einzelbeträge!$D:$D,Einzelbeträge!$C:$C,'Ausgaben 2024'!$C103,Einzelbeträge!$E:$E,'Ausgaben 2024'!J$6)</f>
        <v>0</v>
      </c>
      <c r="K103" s="37">
        <f>SUMIFS(Einzelbeträge!$D:$D,Einzelbeträge!$C:$C,'Ausgaben 2024'!$C103,Einzelbeträge!$E:$E,'Ausgaben 2024'!K$6)</f>
        <v>0</v>
      </c>
      <c r="L103" s="37">
        <f>SUMIFS(Einzelbeträge!$D:$D,Einzelbeträge!$C:$C,'Ausgaben 2024'!$C103,Einzelbeträge!$E:$E,'Ausgaben 2024'!L$6)</f>
        <v>0</v>
      </c>
      <c r="M103" s="37">
        <f>SUMIFS(Einzelbeträge!$D:$D,Einzelbeträge!$C:$C,'Ausgaben 2024'!$C103,Einzelbeträge!$E:$E,'Ausgaben 2024'!M$6)</f>
        <v>0</v>
      </c>
      <c r="N103" s="38">
        <f>SUMIFS(Einzelbeträge!$D:$D,Einzelbeträge!$C:$C,'Ausgaben 2024'!$C103,Einzelbeträge!$E:$E,'Ausgaben 2024'!N$6)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45383</v>
      </c>
      <c r="D107" s="45">
        <f>SUMIFS(Einzelbeträge!$D:$D,Einzelbeträge!$C:$C,'Ausgaben 2024'!$C107)</f>
        <v>0</v>
      </c>
      <c r="E107" s="32">
        <f>SUMIFS(Einzelbeträge!$D:$D,Einzelbeträge!$C:$C,'Ausgaben 2024'!$C107,Einzelbeträge!$E:$E,'Ausgaben 2024'!E$6)</f>
        <v>0</v>
      </c>
      <c r="F107" s="32">
        <f>SUMIFS(Einzelbeträge!$D:$D,Einzelbeträge!$C:$C,'Ausgaben 2024'!$C107,Einzelbeträge!$E:$E,'Ausgaben 2024'!F$6)</f>
        <v>0</v>
      </c>
      <c r="G107" s="32">
        <f>SUMIFS(Einzelbeträge!$D:$D,Einzelbeträge!$C:$C,'Ausgaben 2024'!$C107,Einzelbeträge!$E:$E,'Ausgaben 2024'!G$6)</f>
        <v>0</v>
      </c>
      <c r="H107" s="32">
        <f>SUMIFS(Einzelbeträge!$D:$D,Einzelbeträge!$C:$C,'Ausgaben 2024'!$C107,Einzelbeträge!$E:$E,'Ausgaben 2024'!H$6)</f>
        <v>0</v>
      </c>
      <c r="I107" s="32">
        <f>SUMIFS(Einzelbeträge!$D:$D,Einzelbeträge!$C:$C,'Ausgaben 2024'!$C107,Einzelbeträge!$E:$E,'Ausgaben 2024'!I$6)</f>
        <v>0</v>
      </c>
      <c r="J107" s="32">
        <f>SUMIFS(Einzelbeträge!$D:$D,Einzelbeträge!$C:$C,'Ausgaben 2024'!$C107,Einzelbeträge!$E:$E,'Ausgaben 2024'!J$6)</f>
        <v>0</v>
      </c>
      <c r="K107" s="32">
        <f>SUMIFS(Einzelbeträge!$D:$D,Einzelbeträge!$C:$C,'Ausgaben 2024'!$C107,Einzelbeträge!$E:$E,'Ausgaben 2024'!K$6)</f>
        <v>0</v>
      </c>
      <c r="L107" s="32">
        <f>SUMIFS(Einzelbeträge!$D:$D,Einzelbeträge!$C:$C,'Ausgaben 2024'!$C107,Einzelbeträge!$E:$E,'Ausgaben 2024'!L$6)</f>
        <v>0</v>
      </c>
      <c r="M107" s="32">
        <f>SUMIFS(Einzelbeträge!$D:$D,Einzelbeträge!$C:$C,'Ausgaben 2024'!$C107,Einzelbeträge!$E:$E,'Ausgaben 2024'!M$6)</f>
        <v>0</v>
      </c>
      <c r="N107" s="33">
        <f>SUMIFS(Einzelbeträge!$D:$D,Einzelbeträge!$C:$C,'Ausgaben 2024'!$C107,Einzelbeträge!$E:$E,'Ausgaben 2024'!N$6)</f>
        <v>0</v>
      </c>
      <c r="O107" s="6"/>
    </row>
    <row r="108" spans="2:15" x14ac:dyDescent="0.35">
      <c r="B108" s="5"/>
      <c r="C108" s="30">
        <f>C107+1</f>
        <v>45384</v>
      </c>
      <c r="D108" s="46">
        <f>SUMIFS(Einzelbeträge!$D:$D,Einzelbeträge!$C:$C,'Ausgaben 2024'!$C108)</f>
        <v>0</v>
      </c>
      <c r="E108" s="21">
        <f>SUMIFS(Einzelbeträge!$D:$D,Einzelbeträge!$C:$C,'Ausgaben 2024'!$C108,Einzelbeträge!$E:$E,'Ausgaben 2024'!E$6)</f>
        <v>0</v>
      </c>
      <c r="F108" s="21">
        <f>SUMIFS(Einzelbeträge!$D:$D,Einzelbeträge!$C:$C,'Ausgaben 2024'!$C108,Einzelbeträge!$E:$E,'Ausgaben 2024'!F$6)</f>
        <v>0</v>
      </c>
      <c r="G108" s="21">
        <f>SUMIFS(Einzelbeträge!$D:$D,Einzelbeträge!$C:$C,'Ausgaben 2024'!$C108,Einzelbeträge!$E:$E,'Ausgaben 2024'!G$6)</f>
        <v>0</v>
      </c>
      <c r="H108" s="21">
        <f>SUMIFS(Einzelbeträge!$D:$D,Einzelbeträge!$C:$C,'Ausgaben 2024'!$C108,Einzelbeträge!$E:$E,'Ausgaben 2024'!H$6)</f>
        <v>0</v>
      </c>
      <c r="I108" s="21">
        <f>SUMIFS(Einzelbeträge!$D:$D,Einzelbeträge!$C:$C,'Ausgaben 2024'!$C108,Einzelbeträge!$E:$E,'Ausgaben 2024'!I$6)</f>
        <v>0</v>
      </c>
      <c r="J108" s="21">
        <f>SUMIFS(Einzelbeträge!$D:$D,Einzelbeträge!$C:$C,'Ausgaben 2024'!$C108,Einzelbeträge!$E:$E,'Ausgaben 2024'!J$6)</f>
        <v>0</v>
      </c>
      <c r="K108" s="21">
        <f>SUMIFS(Einzelbeträge!$D:$D,Einzelbeträge!$C:$C,'Ausgaben 2024'!$C108,Einzelbeträge!$E:$E,'Ausgaben 2024'!K$6)</f>
        <v>0</v>
      </c>
      <c r="L108" s="21">
        <f>SUMIFS(Einzelbeträge!$D:$D,Einzelbeträge!$C:$C,'Ausgaben 2024'!$C108,Einzelbeträge!$E:$E,'Ausgaben 2024'!L$6)</f>
        <v>0</v>
      </c>
      <c r="M108" s="21">
        <f>SUMIFS(Einzelbeträge!$D:$D,Einzelbeträge!$C:$C,'Ausgaben 2024'!$C108,Einzelbeträge!$E:$E,'Ausgaben 2024'!M$6)</f>
        <v>0</v>
      </c>
      <c r="N108" s="35">
        <f>SUMIFS(Einzelbeträge!$D:$D,Einzelbeträge!$C:$C,'Ausgaben 2024'!$C108,Einzelbeträge!$E:$E,'Ausgaben 2024'!N$6)</f>
        <v>0</v>
      </c>
      <c r="O108" s="6"/>
    </row>
    <row r="109" spans="2:15" x14ac:dyDescent="0.35">
      <c r="B109" s="5"/>
      <c r="C109" s="30">
        <f t="shared" ref="C109:C136" si="27">C108+1</f>
        <v>45385</v>
      </c>
      <c r="D109" s="46">
        <f>SUMIFS(Einzelbeträge!$D:$D,Einzelbeträge!$C:$C,'Ausgaben 2024'!$C109)</f>
        <v>0</v>
      </c>
      <c r="E109" s="21">
        <f>SUMIFS(Einzelbeträge!$D:$D,Einzelbeträge!$C:$C,'Ausgaben 2024'!$C109,Einzelbeträge!$E:$E,'Ausgaben 2024'!E$6)</f>
        <v>0</v>
      </c>
      <c r="F109" s="21">
        <f>SUMIFS(Einzelbeträge!$D:$D,Einzelbeträge!$C:$C,'Ausgaben 2024'!$C109,Einzelbeträge!$E:$E,'Ausgaben 2024'!F$6)</f>
        <v>0</v>
      </c>
      <c r="G109" s="21">
        <f>SUMIFS(Einzelbeträge!$D:$D,Einzelbeträge!$C:$C,'Ausgaben 2024'!$C109,Einzelbeträge!$E:$E,'Ausgaben 2024'!G$6)</f>
        <v>0</v>
      </c>
      <c r="H109" s="21">
        <f>SUMIFS(Einzelbeträge!$D:$D,Einzelbeträge!$C:$C,'Ausgaben 2024'!$C109,Einzelbeträge!$E:$E,'Ausgaben 2024'!H$6)</f>
        <v>0</v>
      </c>
      <c r="I109" s="21">
        <f>SUMIFS(Einzelbeträge!$D:$D,Einzelbeträge!$C:$C,'Ausgaben 2024'!$C109,Einzelbeträge!$E:$E,'Ausgaben 2024'!I$6)</f>
        <v>0</v>
      </c>
      <c r="J109" s="21">
        <f>SUMIFS(Einzelbeträge!$D:$D,Einzelbeträge!$C:$C,'Ausgaben 2024'!$C109,Einzelbeträge!$E:$E,'Ausgaben 2024'!J$6)</f>
        <v>0</v>
      </c>
      <c r="K109" s="21">
        <f>SUMIFS(Einzelbeträge!$D:$D,Einzelbeträge!$C:$C,'Ausgaben 2024'!$C109,Einzelbeträge!$E:$E,'Ausgaben 2024'!K$6)</f>
        <v>0</v>
      </c>
      <c r="L109" s="21">
        <f>SUMIFS(Einzelbeträge!$D:$D,Einzelbeträge!$C:$C,'Ausgaben 2024'!$C109,Einzelbeträge!$E:$E,'Ausgaben 2024'!L$6)</f>
        <v>0</v>
      </c>
      <c r="M109" s="21">
        <f>SUMIFS(Einzelbeträge!$D:$D,Einzelbeträge!$C:$C,'Ausgaben 2024'!$C109,Einzelbeträge!$E:$E,'Ausgaben 2024'!M$6)</f>
        <v>0</v>
      </c>
      <c r="N109" s="35">
        <f>SUMIFS(Einzelbeträge!$D:$D,Einzelbeträge!$C:$C,'Ausgaben 2024'!$C109,Einzelbeträge!$E:$E,'Ausgaben 2024'!N$6)</f>
        <v>0</v>
      </c>
      <c r="O109" s="6"/>
    </row>
    <row r="110" spans="2:15" x14ac:dyDescent="0.35">
      <c r="B110" s="5"/>
      <c r="C110" s="30">
        <f t="shared" si="27"/>
        <v>45386</v>
      </c>
      <c r="D110" s="46">
        <f>SUMIFS(Einzelbeträge!$D:$D,Einzelbeträge!$C:$C,'Ausgaben 2024'!$C110)</f>
        <v>0</v>
      </c>
      <c r="E110" s="21">
        <f>SUMIFS(Einzelbeträge!$D:$D,Einzelbeträge!$C:$C,'Ausgaben 2024'!$C110,Einzelbeträge!$E:$E,'Ausgaben 2024'!E$6)</f>
        <v>0</v>
      </c>
      <c r="F110" s="21">
        <f>SUMIFS(Einzelbeträge!$D:$D,Einzelbeträge!$C:$C,'Ausgaben 2024'!$C110,Einzelbeträge!$E:$E,'Ausgaben 2024'!F$6)</f>
        <v>0</v>
      </c>
      <c r="G110" s="21">
        <f>SUMIFS(Einzelbeträge!$D:$D,Einzelbeträge!$C:$C,'Ausgaben 2024'!$C110,Einzelbeträge!$E:$E,'Ausgaben 2024'!G$6)</f>
        <v>0</v>
      </c>
      <c r="H110" s="21">
        <f>SUMIFS(Einzelbeträge!$D:$D,Einzelbeträge!$C:$C,'Ausgaben 2024'!$C110,Einzelbeträge!$E:$E,'Ausgaben 2024'!H$6)</f>
        <v>0</v>
      </c>
      <c r="I110" s="21">
        <f>SUMIFS(Einzelbeträge!$D:$D,Einzelbeträge!$C:$C,'Ausgaben 2024'!$C110,Einzelbeträge!$E:$E,'Ausgaben 2024'!I$6)</f>
        <v>0</v>
      </c>
      <c r="J110" s="21">
        <f>SUMIFS(Einzelbeträge!$D:$D,Einzelbeträge!$C:$C,'Ausgaben 2024'!$C110,Einzelbeträge!$E:$E,'Ausgaben 2024'!J$6)</f>
        <v>0</v>
      </c>
      <c r="K110" s="21">
        <f>SUMIFS(Einzelbeträge!$D:$D,Einzelbeträge!$C:$C,'Ausgaben 2024'!$C110,Einzelbeträge!$E:$E,'Ausgaben 2024'!K$6)</f>
        <v>0</v>
      </c>
      <c r="L110" s="21">
        <f>SUMIFS(Einzelbeträge!$D:$D,Einzelbeträge!$C:$C,'Ausgaben 2024'!$C110,Einzelbeträge!$E:$E,'Ausgaben 2024'!L$6)</f>
        <v>0</v>
      </c>
      <c r="M110" s="21">
        <f>SUMIFS(Einzelbeträge!$D:$D,Einzelbeträge!$C:$C,'Ausgaben 2024'!$C110,Einzelbeträge!$E:$E,'Ausgaben 2024'!M$6)</f>
        <v>0</v>
      </c>
      <c r="N110" s="35">
        <f>SUMIFS(Einzelbeträge!$D:$D,Einzelbeträge!$C:$C,'Ausgaben 2024'!$C110,Einzelbeträge!$E:$E,'Ausgaben 2024'!N$6)</f>
        <v>0</v>
      </c>
      <c r="O110" s="6"/>
    </row>
    <row r="111" spans="2:15" x14ac:dyDescent="0.35">
      <c r="B111" s="5"/>
      <c r="C111" s="30">
        <f t="shared" si="27"/>
        <v>45387</v>
      </c>
      <c r="D111" s="46">
        <f>SUMIFS(Einzelbeträge!$D:$D,Einzelbeträge!$C:$C,'Ausgaben 2024'!$C111)</f>
        <v>0</v>
      </c>
      <c r="E111" s="21">
        <f>SUMIFS(Einzelbeträge!$D:$D,Einzelbeträge!$C:$C,'Ausgaben 2024'!$C111,Einzelbeträge!$E:$E,'Ausgaben 2024'!E$6)</f>
        <v>0</v>
      </c>
      <c r="F111" s="21">
        <f>SUMIFS(Einzelbeträge!$D:$D,Einzelbeträge!$C:$C,'Ausgaben 2024'!$C111,Einzelbeträge!$E:$E,'Ausgaben 2024'!F$6)</f>
        <v>0</v>
      </c>
      <c r="G111" s="21">
        <f>SUMIFS(Einzelbeträge!$D:$D,Einzelbeträge!$C:$C,'Ausgaben 2024'!$C111,Einzelbeträge!$E:$E,'Ausgaben 2024'!G$6)</f>
        <v>0</v>
      </c>
      <c r="H111" s="21">
        <f>SUMIFS(Einzelbeträge!$D:$D,Einzelbeträge!$C:$C,'Ausgaben 2024'!$C111,Einzelbeträge!$E:$E,'Ausgaben 2024'!H$6)</f>
        <v>0</v>
      </c>
      <c r="I111" s="21">
        <f>SUMIFS(Einzelbeträge!$D:$D,Einzelbeträge!$C:$C,'Ausgaben 2024'!$C111,Einzelbeträge!$E:$E,'Ausgaben 2024'!I$6)</f>
        <v>0</v>
      </c>
      <c r="J111" s="21">
        <f>SUMIFS(Einzelbeträge!$D:$D,Einzelbeträge!$C:$C,'Ausgaben 2024'!$C111,Einzelbeträge!$E:$E,'Ausgaben 2024'!J$6)</f>
        <v>0</v>
      </c>
      <c r="K111" s="21">
        <f>SUMIFS(Einzelbeträge!$D:$D,Einzelbeträge!$C:$C,'Ausgaben 2024'!$C111,Einzelbeträge!$E:$E,'Ausgaben 2024'!K$6)</f>
        <v>0</v>
      </c>
      <c r="L111" s="21">
        <f>SUMIFS(Einzelbeträge!$D:$D,Einzelbeträge!$C:$C,'Ausgaben 2024'!$C111,Einzelbeträge!$E:$E,'Ausgaben 2024'!L$6)</f>
        <v>0</v>
      </c>
      <c r="M111" s="21">
        <f>SUMIFS(Einzelbeträge!$D:$D,Einzelbeträge!$C:$C,'Ausgaben 2024'!$C111,Einzelbeträge!$E:$E,'Ausgaben 2024'!M$6)</f>
        <v>0</v>
      </c>
      <c r="N111" s="35">
        <f>SUMIFS(Einzelbeträge!$D:$D,Einzelbeträge!$C:$C,'Ausgaben 2024'!$C111,Einzelbeträge!$E:$E,'Ausgaben 2024'!N$6)</f>
        <v>0</v>
      </c>
      <c r="O111" s="6"/>
    </row>
    <row r="112" spans="2:15" x14ac:dyDescent="0.35">
      <c r="B112" s="5"/>
      <c r="C112" s="30">
        <f t="shared" si="27"/>
        <v>45388</v>
      </c>
      <c r="D112" s="46">
        <f>SUMIFS(Einzelbeträge!$D:$D,Einzelbeträge!$C:$C,'Ausgaben 2024'!$C112)</f>
        <v>0</v>
      </c>
      <c r="E112" s="21">
        <f>SUMIFS(Einzelbeträge!$D:$D,Einzelbeträge!$C:$C,'Ausgaben 2024'!$C112,Einzelbeträge!$E:$E,'Ausgaben 2024'!E$6)</f>
        <v>0</v>
      </c>
      <c r="F112" s="21">
        <f>SUMIFS(Einzelbeträge!$D:$D,Einzelbeträge!$C:$C,'Ausgaben 2024'!$C112,Einzelbeträge!$E:$E,'Ausgaben 2024'!F$6)</f>
        <v>0</v>
      </c>
      <c r="G112" s="21">
        <f>SUMIFS(Einzelbeträge!$D:$D,Einzelbeträge!$C:$C,'Ausgaben 2024'!$C112,Einzelbeträge!$E:$E,'Ausgaben 2024'!G$6)</f>
        <v>0</v>
      </c>
      <c r="H112" s="21">
        <f>SUMIFS(Einzelbeträge!$D:$D,Einzelbeträge!$C:$C,'Ausgaben 2024'!$C112,Einzelbeträge!$E:$E,'Ausgaben 2024'!H$6)</f>
        <v>0</v>
      </c>
      <c r="I112" s="21">
        <f>SUMIFS(Einzelbeträge!$D:$D,Einzelbeträge!$C:$C,'Ausgaben 2024'!$C112,Einzelbeträge!$E:$E,'Ausgaben 2024'!I$6)</f>
        <v>0</v>
      </c>
      <c r="J112" s="21">
        <f>SUMIFS(Einzelbeträge!$D:$D,Einzelbeträge!$C:$C,'Ausgaben 2024'!$C112,Einzelbeträge!$E:$E,'Ausgaben 2024'!J$6)</f>
        <v>0</v>
      </c>
      <c r="K112" s="21">
        <f>SUMIFS(Einzelbeträge!$D:$D,Einzelbeträge!$C:$C,'Ausgaben 2024'!$C112,Einzelbeträge!$E:$E,'Ausgaben 2024'!K$6)</f>
        <v>0</v>
      </c>
      <c r="L112" s="21">
        <f>SUMIFS(Einzelbeträge!$D:$D,Einzelbeträge!$C:$C,'Ausgaben 2024'!$C112,Einzelbeträge!$E:$E,'Ausgaben 2024'!L$6)</f>
        <v>0</v>
      </c>
      <c r="M112" s="21">
        <f>SUMIFS(Einzelbeträge!$D:$D,Einzelbeträge!$C:$C,'Ausgaben 2024'!$C112,Einzelbeträge!$E:$E,'Ausgaben 2024'!M$6)</f>
        <v>0</v>
      </c>
      <c r="N112" s="35">
        <f>SUMIFS(Einzelbeträge!$D:$D,Einzelbeträge!$C:$C,'Ausgaben 2024'!$C112,Einzelbeträge!$E:$E,'Ausgaben 2024'!N$6)</f>
        <v>0</v>
      </c>
      <c r="O112" s="6"/>
    </row>
    <row r="113" spans="2:15" x14ac:dyDescent="0.35">
      <c r="B113" s="5"/>
      <c r="C113" s="30">
        <f t="shared" si="27"/>
        <v>45389</v>
      </c>
      <c r="D113" s="46">
        <f>SUMIFS(Einzelbeträge!$D:$D,Einzelbeträge!$C:$C,'Ausgaben 2024'!$C113)</f>
        <v>0</v>
      </c>
      <c r="E113" s="21">
        <f>SUMIFS(Einzelbeträge!$D:$D,Einzelbeträge!$C:$C,'Ausgaben 2024'!$C113,Einzelbeträge!$E:$E,'Ausgaben 2024'!E$6)</f>
        <v>0</v>
      </c>
      <c r="F113" s="21">
        <f>SUMIFS(Einzelbeträge!$D:$D,Einzelbeträge!$C:$C,'Ausgaben 2024'!$C113,Einzelbeträge!$E:$E,'Ausgaben 2024'!F$6)</f>
        <v>0</v>
      </c>
      <c r="G113" s="21">
        <f>SUMIFS(Einzelbeträge!$D:$D,Einzelbeträge!$C:$C,'Ausgaben 2024'!$C113,Einzelbeträge!$E:$E,'Ausgaben 2024'!G$6)</f>
        <v>0</v>
      </c>
      <c r="H113" s="21">
        <f>SUMIFS(Einzelbeträge!$D:$D,Einzelbeträge!$C:$C,'Ausgaben 2024'!$C113,Einzelbeträge!$E:$E,'Ausgaben 2024'!H$6)</f>
        <v>0</v>
      </c>
      <c r="I113" s="21">
        <f>SUMIFS(Einzelbeträge!$D:$D,Einzelbeträge!$C:$C,'Ausgaben 2024'!$C113,Einzelbeträge!$E:$E,'Ausgaben 2024'!I$6)</f>
        <v>0</v>
      </c>
      <c r="J113" s="21">
        <f>SUMIFS(Einzelbeträge!$D:$D,Einzelbeträge!$C:$C,'Ausgaben 2024'!$C113,Einzelbeträge!$E:$E,'Ausgaben 2024'!J$6)</f>
        <v>0</v>
      </c>
      <c r="K113" s="21">
        <f>SUMIFS(Einzelbeträge!$D:$D,Einzelbeträge!$C:$C,'Ausgaben 2024'!$C113,Einzelbeträge!$E:$E,'Ausgaben 2024'!K$6)</f>
        <v>0</v>
      </c>
      <c r="L113" s="21">
        <f>SUMIFS(Einzelbeträge!$D:$D,Einzelbeträge!$C:$C,'Ausgaben 2024'!$C113,Einzelbeträge!$E:$E,'Ausgaben 2024'!L$6)</f>
        <v>0</v>
      </c>
      <c r="M113" s="21">
        <f>SUMIFS(Einzelbeträge!$D:$D,Einzelbeträge!$C:$C,'Ausgaben 2024'!$C113,Einzelbeträge!$E:$E,'Ausgaben 2024'!M$6)</f>
        <v>0</v>
      </c>
      <c r="N113" s="35">
        <f>SUMIFS(Einzelbeträge!$D:$D,Einzelbeträge!$C:$C,'Ausgaben 2024'!$C113,Einzelbeträge!$E:$E,'Ausgaben 2024'!N$6)</f>
        <v>0</v>
      </c>
      <c r="O113" s="6"/>
    </row>
    <row r="114" spans="2:15" x14ac:dyDescent="0.35">
      <c r="B114" s="5"/>
      <c r="C114" s="30">
        <f t="shared" si="27"/>
        <v>45390</v>
      </c>
      <c r="D114" s="46">
        <f>SUMIFS(Einzelbeträge!$D:$D,Einzelbeträge!$C:$C,'Ausgaben 2024'!$C114)</f>
        <v>0</v>
      </c>
      <c r="E114" s="21">
        <f>SUMIFS(Einzelbeträge!$D:$D,Einzelbeträge!$C:$C,'Ausgaben 2024'!$C114,Einzelbeträge!$E:$E,'Ausgaben 2024'!E$6)</f>
        <v>0</v>
      </c>
      <c r="F114" s="21">
        <f>SUMIFS(Einzelbeträge!$D:$D,Einzelbeträge!$C:$C,'Ausgaben 2024'!$C114,Einzelbeträge!$E:$E,'Ausgaben 2024'!F$6)</f>
        <v>0</v>
      </c>
      <c r="G114" s="21">
        <f>SUMIFS(Einzelbeträge!$D:$D,Einzelbeträge!$C:$C,'Ausgaben 2024'!$C114,Einzelbeträge!$E:$E,'Ausgaben 2024'!G$6)</f>
        <v>0</v>
      </c>
      <c r="H114" s="21">
        <f>SUMIFS(Einzelbeträge!$D:$D,Einzelbeträge!$C:$C,'Ausgaben 2024'!$C114,Einzelbeträge!$E:$E,'Ausgaben 2024'!H$6)</f>
        <v>0</v>
      </c>
      <c r="I114" s="21">
        <f>SUMIFS(Einzelbeträge!$D:$D,Einzelbeträge!$C:$C,'Ausgaben 2024'!$C114,Einzelbeträge!$E:$E,'Ausgaben 2024'!I$6)</f>
        <v>0</v>
      </c>
      <c r="J114" s="21">
        <f>SUMIFS(Einzelbeträge!$D:$D,Einzelbeträge!$C:$C,'Ausgaben 2024'!$C114,Einzelbeträge!$E:$E,'Ausgaben 2024'!J$6)</f>
        <v>0</v>
      </c>
      <c r="K114" s="21">
        <f>SUMIFS(Einzelbeträge!$D:$D,Einzelbeträge!$C:$C,'Ausgaben 2024'!$C114,Einzelbeträge!$E:$E,'Ausgaben 2024'!K$6)</f>
        <v>0</v>
      </c>
      <c r="L114" s="21">
        <f>SUMIFS(Einzelbeträge!$D:$D,Einzelbeträge!$C:$C,'Ausgaben 2024'!$C114,Einzelbeträge!$E:$E,'Ausgaben 2024'!L$6)</f>
        <v>0</v>
      </c>
      <c r="M114" s="21">
        <f>SUMIFS(Einzelbeträge!$D:$D,Einzelbeträge!$C:$C,'Ausgaben 2024'!$C114,Einzelbeträge!$E:$E,'Ausgaben 2024'!M$6)</f>
        <v>0</v>
      </c>
      <c r="N114" s="35">
        <f>SUMIFS(Einzelbeträge!$D:$D,Einzelbeträge!$C:$C,'Ausgaben 2024'!$C114,Einzelbeträge!$E:$E,'Ausgaben 2024'!N$6)</f>
        <v>0</v>
      </c>
      <c r="O114" s="6"/>
    </row>
    <row r="115" spans="2:15" x14ac:dyDescent="0.35">
      <c r="B115" s="5"/>
      <c r="C115" s="30">
        <f t="shared" si="27"/>
        <v>45391</v>
      </c>
      <c r="D115" s="46">
        <f>SUMIFS(Einzelbeträge!$D:$D,Einzelbeträge!$C:$C,'Ausgaben 2024'!$C115)</f>
        <v>0</v>
      </c>
      <c r="E115" s="21">
        <f>SUMIFS(Einzelbeträge!$D:$D,Einzelbeträge!$C:$C,'Ausgaben 2024'!$C115,Einzelbeträge!$E:$E,'Ausgaben 2024'!E$6)</f>
        <v>0</v>
      </c>
      <c r="F115" s="21">
        <f>SUMIFS(Einzelbeträge!$D:$D,Einzelbeträge!$C:$C,'Ausgaben 2024'!$C115,Einzelbeträge!$E:$E,'Ausgaben 2024'!F$6)</f>
        <v>0</v>
      </c>
      <c r="G115" s="21">
        <f>SUMIFS(Einzelbeträge!$D:$D,Einzelbeträge!$C:$C,'Ausgaben 2024'!$C115,Einzelbeträge!$E:$E,'Ausgaben 2024'!G$6)</f>
        <v>0</v>
      </c>
      <c r="H115" s="21">
        <f>SUMIFS(Einzelbeträge!$D:$D,Einzelbeträge!$C:$C,'Ausgaben 2024'!$C115,Einzelbeträge!$E:$E,'Ausgaben 2024'!H$6)</f>
        <v>0</v>
      </c>
      <c r="I115" s="21">
        <f>SUMIFS(Einzelbeträge!$D:$D,Einzelbeträge!$C:$C,'Ausgaben 2024'!$C115,Einzelbeträge!$E:$E,'Ausgaben 2024'!I$6)</f>
        <v>0</v>
      </c>
      <c r="J115" s="21">
        <f>SUMIFS(Einzelbeträge!$D:$D,Einzelbeträge!$C:$C,'Ausgaben 2024'!$C115,Einzelbeträge!$E:$E,'Ausgaben 2024'!J$6)</f>
        <v>0</v>
      </c>
      <c r="K115" s="21">
        <f>SUMIFS(Einzelbeträge!$D:$D,Einzelbeträge!$C:$C,'Ausgaben 2024'!$C115,Einzelbeträge!$E:$E,'Ausgaben 2024'!K$6)</f>
        <v>0</v>
      </c>
      <c r="L115" s="21">
        <f>SUMIFS(Einzelbeträge!$D:$D,Einzelbeträge!$C:$C,'Ausgaben 2024'!$C115,Einzelbeträge!$E:$E,'Ausgaben 2024'!L$6)</f>
        <v>0</v>
      </c>
      <c r="M115" s="21">
        <f>SUMIFS(Einzelbeträge!$D:$D,Einzelbeträge!$C:$C,'Ausgaben 2024'!$C115,Einzelbeträge!$E:$E,'Ausgaben 2024'!M$6)</f>
        <v>0</v>
      </c>
      <c r="N115" s="35">
        <f>SUMIFS(Einzelbeträge!$D:$D,Einzelbeträge!$C:$C,'Ausgaben 2024'!$C115,Einzelbeträge!$E:$E,'Ausgaben 2024'!N$6)</f>
        <v>0</v>
      </c>
      <c r="O115" s="6"/>
    </row>
    <row r="116" spans="2:15" x14ac:dyDescent="0.35">
      <c r="B116" s="5"/>
      <c r="C116" s="30">
        <f t="shared" si="27"/>
        <v>45392</v>
      </c>
      <c r="D116" s="46">
        <f>SUMIFS(Einzelbeträge!$D:$D,Einzelbeträge!$C:$C,'Ausgaben 2024'!$C116)</f>
        <v>0</v>
      </c>
      <c r="E116" s="21">
        <f>SUMIFS(Einzelbeträge!$D:$D,Einzelbeträge!$C:$C,'Ausgaben 2024'!$C116,Einzelbeträge!$E:$E,'Ausgaben 2024'!E$6)</f>
        <v>0</v>
      </c>
      <c r="F116" s="21">
        <f>SUMIFS(Einzelbeträge!$D:$D,Einzelbeträge!$C:$C,'Ausgaben 2024'!$C116,Einzelbeträge!$E:$E,'Ausgaben 2024'!F$6)</f>
        <v>0</v>
      </c>
      <c r="G116" s="21">
        <f>SUMIFS(Einzelbeträge!$D:$D,Einzelbeträge!$C:$C,'Ausgaben 2024'!$C116,Einzelbeträge!$E:$E,'Ausgaben 2024'!G$6)</f>
        <v>0</v>
      </c>
      <c r="H116" s="21">
        <f>SUMIFS(Einzelbeträge!$D:$D,Einzelbeträge!$C:$C,'Ausgaben 2024'!$C116,Einzelbeträge!$E:$E,'Ausgaben 2024'!H$6)</f>
        <v>0</v>
      </c>
      <c r="I116" s="21">
        <f>SUMIFS(Einzelbeträge!$D:$D,Einzelbeträge!$C:$C,'Ausgaben 2024'!$C116,Einzelbeträge!$E:$E,'Ausgaben 2024'!I$6)</f>
        <v>0</v>
      </c>
      <c r="J116" s="21">
        <f>SUMIFS(Einzelbeträge!$D:$D,Einzelbeträge!$C:$C,'Ausgaben 2024'!$C116,Einzelbeträge!$E:$E,'Ausgaben 2024'!J$6)</f>
        <v>0</v>
      </c>
      <c r="K116" s="21">
        <f>SUMIFS(Einzelbeträge!$D:$D,Einzelbeträge!$C:$C,'Ausgaben 2024'!$C116,Einzelbeträge!$E:$E,'Ausgaben 2024'!K$6)</f>
        <v>0</v>
      </c>
      <c r="L116" s="21">
        <f>SUMIFS(Einzelbeträge!$D:$D,Einzelbeträge!$C:$C,'Ausgaben 2024'!$C116,Einzelbeträge!$E:$E,'Ausgaben 2024'!L$6)</f>
        <v>0</v>
      </c>
      <c r="M116" s="21">
        <f>SUMIFS(Einzelbeträge!$D:$D,Einzelbeträge!$C:$C,'Ausgaben 2024'!$C116,Einzelbeträge!$E:$E,'Ausgaben 2024'!M$6)</f>
        <v>0</v>
      </c>
      <c r="N116" s="35">
        <f>SUMIFS(Einzelbeträge!$D:$D,Einzelbeträge!$C:$C,'Ausgaben 2024'!$C116,Einzelbeträge!$E:$E,'Ausgaben 2024'!N$6)</f>
        <v>0</v>
      </c>
      <c r="O116" s="6"/>
    </row>
    <row r="117" spans="2:15" x14ac:dyDescent="0.35">
      <c r="B117" s="5"/>
      <c r="C117" s="30">
        <f t="shared" si="27"/>
        <v>45393</v>
      </c>
      <c r="D117" s="46">
        <f>SUMIFS(Einzelbeträge!$D:$D,Einzelbeträge!$C:$C,'Ausgaben 2024'!$C117)</f>
        <v>0</v>
      </c>
      <c r="E117" s="21">
        <f>SUMIFS(Einzelbeträge!$D:$D,Einzelbeträge!$C:$C,'Ausgaben 2024'!$C117,Einzelbeträge!$E:$E,'Ausgaben 2024'!E$6)</f>
        <v>0</v>
      </c>
      <c r="F117" s="21">
        <f>SUMIFS(Einzelbeträge!$D:$D,Einzelbeträge!$C:$C,'Ausgaben 2024'!$C117,Einzelbeträge!$E:$E,'Ausgaben 2024'!F$6)</f>
        <v>0</v>
      </c>
      <c r="G117" s="21">
        <f>SUMIFS(Einzelbeträge!$D:$D,Einzelbeträge!$C:$C,'Ausgaben 2024'!$C117,Einzelbeträge!$E:$E,'Ausgaben 2024'!G$6)</f>
        <v>0</v>
      </c>
      <c r="H117" s="21">
        <f>SUMIFS(Einzelbeträge!$D:$D,Einzelbeträge!$C:$C,'Ausgaben 2024'!$C117,Einzelbeträge!$E:$E,'Ausgaben 2024'!H$6)</f>
        <v>0</v>
      </c>
      <c r="I117" s="21">
        <f>SUMIFS(Einzelbeträge!$D:$D,Einzelbeträge!$C:$C,'Ausgaben 2024'!$C117,Einzelbeträge!$E:$E,'Ausgaben 2024'!I$6)</f>
        <v>0</v>
      </c>
      <c r="J117" s="21">
        <f>SUMIFS(Einzelbeträge!$D:$D,Einzelbeträge!$C:$C,'Ausgaben 2024'!$C117,Einzelbeträge!$E:$E,'Ausgaben 2024'!J$6)</f>
        <v>0</v>
      </c>
      <c r="K117" s="21">
        <f>SUMIFS(Einzelbeträge!$D:$D,Einzelbeträge!$C:$C,'Ausgaben 2024'!$C117,Einzelbeträge!$E:$E,'Ausgaben 2024'!K$6)</f>
        <v>0</v>
      </c>
      <c r="L117" s="21">
        <f>SUMIFS(Einzelbeträge!$D:$D,Einzelbeträge!$C:$C,'Ausgaben 2024'!$C117,Einzelbeträge!$E:$E,'Ausgaben 2024'!L$6)</f>
        <v>0</v>
      </c>
      <c r="M117" s="21">
        <f>SUMIFS(Einzelbeträge!$D:$D,Einzelbeträge!$C:$C,'Ausgaben 2024'!$C117,Einzelbeträge!$E:$E,'Ausgaben 2024'!M$6)</f>
        <v>0</v>
      </c>
      <c r="N117" s="35">
        <f>SUMIFS(Einzelbeträge!$D:$D,Einzelbeträge!$C:$C,'Ausgaben 2024'!$C117,Einzelbeträge!$E:$E,'Ausgaben 2024'!N$6)</f>
        <v>0</v>
      </c>
      <c r="O117" s="6"/>
    </row>
    <row r="118" spans="2:15" x14ac:dyDescent="0.35">
      <c r="B118" s="5"/>
      <c r="C118" s="30">
        <f t="shared" si="27"/>
        <v>45394</v>
      </c>
      <c r="D118" s="46">
        <f>SUMIFS(Einzelbeträge!$D:$D,Einzelbeträge!$C:$C,'Ausgaben 2024'!$C118)</f>
        <v>0</v>
      </c>
      <c r="E118" s="21">
        <f>SUMIFS(Einzelbeträge!$D:$D,Einzelbeträge!$C:$C,'Ausgaben 2024'!$C118,Einzelbeträge!$E:$E,'Ausgaben 2024'!E$6)</f>
        <v>0</v>
      </c>
      <c r="F118" s="21">
        <f>SUMIFS(Einzelbeträge!$D:$D,Einzelbeträge!$C:$C,'Ausgaben 2024'!$C118,Einzelbeträge!$E:$E,'Ausgaben 2024'!F$6)</f>
        <v>0</v>
      </c>
      <c r="G118" s="21">
        <f>SUMIFS(Einzelbeträge!$D:$D,Einzelbeträge!$C:$C,'Ausgaben 2024'!$C118,Einzelbeträge!$E:$E,'Ausgaben 2024'!G$6)</f>
        <v>0</v>
      </c>
      <c r="H118" s="21">
        <f>SUMIFS(Einzelbeträge!$D:$D,Einzelbeträge!$C:$C,'Ausgaben 2024'!$C118,Einzelbeträge!$E:$E,'Ausgaben 2024'!H$6)</f>
        <v>0</v>
      </c>
      <c r="I118" s="21">
        <f>SUMIFS(Einzelbeträge!$D:$D,Einzelbeträge!$C:$C,'Ausgaben 2024'!$C118,Einzelbeträge!$E:$E,'Ausgaben 2024'!I$6)</f>
        <v>0</v>
      </c>
      <c r="J118" s="21">
        <f>SUMIFS(Einzelbeträge!$D:$D,Einzelbeträge!$C:$C,'Ausgaben 2024'!$C118,Einzelbeträge!$E:$E,'Ausgaben 2024'!J$6)</f>
        <v>0</v>
      </c>
      <c r="K118" s="21">
        <f>SUMIFS(Einzelbeträge!$D:$D,Einzelbeträge!$C:$C,'Ausgaben 2024'!$C118,Einzelbeträge!$E:$E,'Ausgaben 2024'!K$6)</f>
        <v>0</v>
      </c>
      <c r="L118" s="21">
        <f>SUMIFS(Einzelbeträge!$D:$D,Einzelbeträge!$C:$C,'Ausgaben 2024'!$C118,Einzelbeträge!$E:$E,'Ausgaben 2024'!L$6)</f>
        <v>0</v>
      </c>
      <c r="M118" s="21">
        <f>SUMIFS(Einzelbeträge!$D:$D,Einzelbeträge!$C:$C,'Ausgaben 2024'!$C118,Einzelbeträge!$E:$E,'Ausgaben 2024'!M$6)</f>
        <v>0</v>
      </c>
      <c r="N118" s="35">
        <f>SUMIFS(Einzelbeträge!$D:$D,Einzelbeträge!$C:$C,'Ausgaben 2024'!$C118,Einzelbeträge!$E:$E,'Ausgaben 2024'!N$6)</f>
        <v>0</v>
      </c>
      <c r="O118" s="6"/>
    </row>
    <row r="119" spans="2:15" x14ac:dyDescent="0.35">
      <c r="B119" s="5"/>
      <c r="C119" s="30">
        <f t="shared" si="27"/>
        <v>45395</v>
      </c>
      <c r="D119" s="46">
        <f>SUMIFS(Einzelbeträge!$D:$D,Einzelbeträge!$C:$C,'Ausgaben 2024'!$C119)</f>
        <v>0</v>
      </c>
      <c r="E119" s="21">
        <f>SUMIFS(Einzelbeträge!$D:$D,Einzelbeträge!$C:$C,'Ausgaben 2024'!$C119,Einzelbeträge!$E:$E,'Ausgaben 2024'!E$6)</f>
        <v>0</v>
      </c>
      <c r="F119" s="21">
        <f>SUMIFS(Einzelbeträge!$D:$D,Einzelbeträge!$C:$C,'Ausgaben 2024'!$C119,Einzelbeträge!$E:$E,'Ausgaben 2024'!F$6)</f>
        <v>0</v>
      </c>
      <c r="G119" s="21">
        <f>SUMIFS(Einzelbeträge!$D:$D,Einzelbeträge!$C:$C,'Ausgaben 2024'!$C119,Einzelbeträge!$E:$E,'Ausgaben 2024'!G$6)</f>
        <v>0</v>
      </c>
      <c r="H119" s="21">
        <f>SUMIFS(Einzelbeträge!$D:$D,Einzelbeträge!$C:$C,'Ausgaben 2024'!$C119,Einzelbeträge!$E:$E,'Ausgaben 2024'!H$6)</f>
        <v>0</v>
      </c>
      <c r="I119" s="21">
        <f>SUMIFS(Einzelbeträge!$D:$D,Einzelbeträge!$C:$C,'Ausgaben 2024'!$C119,Einzelbeträge!$E:$E,'Ausgaben 2024'!I$6)</f>
        <v>0</v>
      </c>
      <c r="J119" s="21">
        <f>SUMIFS(Einzelbeträge!$D:$D,Einzelbeträge!$C:$C,'Ausgaben 2024'!$C119,Einzelbeträge!$E:$E,'Ausgaben 2024'!J$6)</f>
        <v>0</v>
      </c>
      <c r="K119" s="21">
        <f>SUMIFS(Einzelbeträge!$D:$D,Einzelbeträge!$C:$C,'Ausgaben 2024'!$C119,Einzelbeträge!$E:$E,'Ausgaben 2024'!K$6)</f>
        <v>0</v>
      </c>
      <c r="L119" s="21">
        <f>SUMIFS(Einzelbeträge!$D:$D,Einzelbeträge!$C:$C,'Ausgaben 2024'!$C119,Einzelbeträge!$E:$E,'Ausgaben 2024'!L$6)</f>
        <v>0</v>
      </c>
      <c r="M119" s="21">
        <f>SUMIFS(Einzelbeträge!$D:$D,Einzelbeträge!$C:$C,'Ausgaben 2024'!$C119,Einzelbeträge!$E:$E,'Ausgaben 2024'!M$6)</f>
        <v>0</v>
      </c>
      <c r="N119" s="35">
        <f>SUMIFS(Einzelbeträge!$D:$D,Einzelbeträge!$C:$C,'Ausgaben 2024'!$C119,Einzelbeträge!$E:$E,'Ausgaben 2024'!N$6)</f>
        <v>0</v>
      </c>
      <c r="O119" s="6"/>
    </row>
    <row r="120" spans="2:15" x14ac:dyDescent="0.35">
      <c r="B120" s="5"/>
      <c r="C120" s="30">
        <f t="shared" si="27"/>
        <v>45396</v>
      </c>
      <c r="D120" s="46">
        <f>SUMIFS(Einzelbeträge!$D:$D,Einzelbeträge!$C:$C,'Ausgaben 2024'!$C120)</f>
        <v>0</v>
      </c>
      <c r="E120" s="21">
        <f>SUMIFS(Einzelbeträge!$D:$D,Einzelbeträge!$C:$C,'Ausgaben 2024'!$C120,Einzelbeträge!$E:$E,'Ausgaben 2024'!E$6)</f>
        <v>0</v>
      </c>
      <c r="F120" s="21">
        <f>SUMIFS(Einzelbeträge!$D:$D,Einzelbeträge!$C:$C,'Ausgaben 2024'!$C120,Einzelbeträge!$E:$E,'Ausgaben 2024'!F$6)</f>
        <v>0</v>
      </c>
      <c r="G120" s="21">
        <f>SUMIFS(Einzelbeträge!$D:$D,Einzelbeträge!$C:$C,'Ausgaben 2024'!$C120,Einzelbeträge!$E:$E,'Ausgaben 2024'!G$6)</f>
        <v>0</v>
      </c>
      <c r="H120" s="21">
        <f>SUMIFS(Einzelbeträge!$D:$D,Einzelbeträge!$C:$C,'Ausgaben 2024'!$C120,Einzelbeträge!$E:$E,'Ausgaben 2024'!H$6)</f>
        <v>0</v>
      </c>
      <c r="I120" s="21">
        <f>SUMIFS(Einzelbeträge!$D:$D,Einzelbeträge!$C:$C,'Ausgaben 2024'!$C120,Einzelbeträge!$E:$E,'Ausgaben 2024'!I$6)</f>
        <v>0</v>
      </c>
      <c r="J120" s="21">
        <f>SUMIFS(Einzelbeträge!$D:$D,Einzelbeträge!$C:$C,'Ausgaben 2024'!$C120,Einzelbeträge!$E:$E,'Ausgaben 2024'!J$6)</f>
        <v>0</v>
      </c>
      <c r="K120" s="21">
        <f>SUMIFS(Einzelbeträge!$D:$D,Einzelbeträge!$C:$C,'Ausgaben 2024'!$C120,Einzelbeträge!$E:$E,'Ausgaben 2024'!K$6)</f>
        <v>0</v>
      </c>
      <c r="L120" s="21">
        <f>SUMIFS(Einzelbeträge!$D:$D,Einzelbeträge!$C:$C,'Ausgaben 2024'!$C120,Einzelbeträge!$E:$E,'Ausgaben 2024'!L$6)</f>
        <v>0</v>
      </c>
      <c r="M120" s="21">
        <f>SUMIFS(Einzelbeträge!$D:$D,Einzelbeträge!$C:$C,'Ausgaben 2024'!$C120,Einzelbeträge!$E:$E,'Ausgaben 2024'!M$6)</f>
        <v>0</v>
      </c>
      <c r="N120" s="35">
        <f>SUMIFS(Einzelbeträge!$D:$D,Einzelbeträge!$C:$C,'Ausgaben 2024'!$C120,Einzelbeträge!$E:$E,'Ausgaben 2024'!N$6)</f>
        <v>0</v>
      </c>
      <c r="O120" s="6"/>
    </row>
    <row r="121" spans="2:15" x14ac:dyDescent="0.35">
      <c r="B121" s="5"/>
      <c r="C121" s="30">
        <f t="shared" si="27"/>
        <v>45397</v>
      </c>
      <c r="D121" s="46">
        <f>SUMIFS(Einzelbeträge!$D:$D,Einzelbeträge!$C:$C,'Ausgaben 2024'!$C121)</f>
        <v>0</v>
      </c>
      <c r="E121" s="21">
        <f>SUMIFS(Einzelbeträge!$D:$D,Einzelbeträge!$C:$C,'Ausgaben 2024'!$C121,Einzelbeträge!$E:$E,'Ausgaben 2024'!E$6)</f>
        <v>0</v>
      </c>
      <c r="F121" s="21">
        <f>SUMIFS(Einzelbeträge!$D:$D,Einzelbeträge!$C:$C,'Ausgaben 2024'!$C121,Einzelbeträge!$E:$E,'Ausgaben 2024'!F$6)</f>
        <v>0</v>
      </c>
      <c r="G121" s="21">
        <f>SUMIFS(Einzelbeträge!$D:$D,Einzelbeträge!$C:$C,'Ausgaben 2024'!$C121,Einzelbeträge!$E:$E,'Ausgaben 2024'!G$6)</f>
        <v>0</v>
      </c>
      <c r="H121" s="21">
        <f>SUMIFS(Einzelbeträge!$D:$D,Einzelbeträge!$C:$C,'Ausgaben 2024'!$C121,Einzelbeträge!$E:$E,'Ausgaben 2024'!H$6)</f>
        <v>0</v>
      </c>
      <c r="I121" s="21">
        <f>SUMIFS(Einzelbeträge!$D:$D,Einzelbeträge!$C:$C,'Ausgaben 2024'!$C121,Einzelbeträge!$E:$E,'Ausgaben 2024'!I$6)</f>
        <v>0</v>
      </c>
      <c r="J121" s="21">
        <f>SUMIFS(Einzelbeträge!$D:$D,Einzelbeträge!$C:$C,'Ausgaben 2024'!$C121,Einzelbeträge!$E:$E,'Ausgaben 2024'!J$6)</f>
        <v>0</v>
      </c>
      <c r="K121" s="21">
        <f>SUMIFS(Einzelbeträge!$D:$D,Einzelbeträge!$C:$C,'Ausgaben 2024'!$C121,Einzelbeträge!$E:$E,'Ausgaben 2024'!K$6)</f>
        <v>0</v>
      </c>
      <c r="L121" s="21">
        <f>SUMIFS(Einzelbeträge!$D:$D,Einzelbeträge!$C:$C,'Ausgaben 2024'!$C121,Einzelbeträge!$E:$E,'Ausgaben 2024'!L$6)</f>
        <v>0</v>
      </c>
      <c r="M121" s="21">
        <f>SUMIFS(Einzelbeträge!$D:$D,Einzelbeträge!$C:$C,'Ausgaben 2024'!$C121,Einzelbeträge!$E:$E,'Ausgaben 2024'!M$6)</f>
        <v>0</v>
      </c>
      <c r="N121" s="35">
        <f>SUMIFS(Einzelbeträge!$D:$D,Einzelbeträge!$C:$C,'Ausgaben 2024'!$C121,Einzelbeträge!$E:$E,'Ausgaben 2024'!N$6)</f>
        <v>0</v>
      </c>
      <c r="O121" s="6"/>
    </row>
    <row r="122" spans="2:15" x14ac:dyDescent="0.35">
      <c r="B122" s="5"/>
      <c r="C122" s="30">
        <f t="shared" si="27"/>
        <v>45398</v>
      </c>
      <c r="D122" s="46">
        <f>SUMIFS(Einzelbeträge!$D:$D,Einzelbeträge!$C:$C,'Ausgaben 2024'!$C122)</f>
        <v>0</v>
      </c>
      <c r="E122" s="21">
        <f>SUMIFS(Einzelbeträge!$D:$D,Einzelbeträge!$C:$C,'Ausgaben 2024'!$C122,Einzelbeträge!$E:$E,'Ausgaben 2024'!E$6)</f>
        <v>0</v>
      </c>
      <c r="F122" s="21">
        <f>SUMIFS(Einzelbeträge!$D:$D,Einzelbeträge!$C:$C,'Ausgaben 2024'!$C122,Einzelbeträge!$E:$E,'Ausgaben 2024'!F$6)</f>
        <v>0</v>
      </c>
      <c r="G122" s="21">
        <f>SUMIFS(Einzelbeträge!$D:$D,Einzelbeträge!$C:$C,'Ausgaben 2024'!$C122,Einzelbeträge!$E:$E,'Ausgaben 2024'!G$6)</f>
        <v>0</v>
      </c>
      <c r="H122" s="21">
        <f>SUMIFS(Einzelbeträge!$D:$D,Einzelbeträge!$C:$C,'Ausgaben 2024'!$C122,Einzelbeträge!$E:$E,'Ausgaben 2024'!H$6)</f>
        <v>0</v>
      </c>
      <c r="I122" s="21">
        <f>SUMIFS(Einzelbeträge!$D:$D,Einzelbeträge!$C:$C,'Ausgaben 2024'!$C122,Einzelbeträge!$E:$E,'Ausgaben 2024'!I$6)</f>
        <v>0</v>
      </c>
      <c r="J122" s="21">
        <f>SUMIFS(Einzelbeträge!$D:$D,Einzelbeträge!$C:$C,'Ausgaben 2024'!$C122,Einzelbeträge!$E:$E,'Ausgaben 2024'!J$6)</f>
        <v>0</v>
      </c>
      <c r="K122" s="21">
        <f>SUMIFS(Einzelbeträge!$D:$D,Einzelbeträge!$C:$C,'Ausgaben 2024'!$C122,Einzelbeträge!$E:$E,'Ausgaben 2024'!K$6)</f>
        <v>0</v>
      </c>
      <c r="L122" s="21">
        <f>SUMIFS(Einzelbeträge!$D:$D,Einzelbeträge!$C:$C,'Ausgaben 2024'!$C122,Einzelbeträge!$E:$E,'Ausgaben 2024'!L$6)</f>
        <v>0</v>
      </c>
      <c r="M122" s="21">
        <f>SUMIFS(Einzelbeträge!$D:$D,Einzelbeträge!$C:$C,'Ausgaben 2024'!$C122,Einzelbeträge!$E:$E,'Ausgaben 2024'!M$6)</f>
        <v>0</v>
      </c>
      <c r="N122" s="35">
        <f>SUMIFS(Einzelbeträge!$D:$D,Einzelbeträge!$C:$C,'Ausgaben 2024'!$C122,Einzelbeträge!$E:$E,'Ausgaben 2024'!N$6)</f>
        <v>0</v>
      </c>
      <c r="O122" s="6"/>
    </row>
    <row r="123" spans="2:15" x14ac:dyDescent="0.35">
      <c r="B123" s="5"/>
      <c r="C123" s="30">
        <f t="shared" si="27"/>
        <v>45399</v>
      </c>
      <c r="D123" s="46">
        <f>SUMIFS(Einzelbeträge!$D:$D,Einzelbeträge!$C:$C,'Ausgaben 2024'!$C123)</f>
        <v>0</v>
      </c>
      <c r="E123" s="21">
        <f>SUMIFS(Einzelbeträge!$D:$D,Einzelbeträge!$C:$C,'Ausgaben 2024'!$C123,Einzelbeträge!$E:$E,'Ausgaben 2024'!E$6)</f>
        <v>0</v>
      </c>
      <c r="F123" s="21">
        <f>SUMIFS(Einzelbeträge!$D:$D,Einzelbeträge!$C:$C,'Ausgaben 2024'!$C123,Einzelbeträge!$E:$E,'Ausgaben 2024'!F$6)</f>
        <v>0</v>
      </c>
      <c r="G123" s="21">
        <f>SUMIFS(Einzelbeträge!$D:$D,Einzelbeträge!$C:$C,'Ausgaben 2024'!$C123,Einzelbeträge!$E:$E,'Ausgaben 2024'!G$6)</f>
        <v>0</v>
      </c>
      <c r="H123" s="21">
        <f>SUMIFS(Einzelbeträge!$D:$D,Einzelbeträge!$C:$C,'Ausgaben 2024'!$C123,Einzelbeträge!$E:$E,'Ausgaben 2024'!H$6)</f>
        <v>0</v>
      </c>
      <c r="I123" s="21">
        <f>SUMIFS(Einzelbeträge!$D:$D,Einzelbeträge!$C:$C,'Ausgaben 2024'!$C123,Einzelbeträge!$E:$E,'Ausgaben 2024'!I$6)</f>
        <v>0</v>
      </c>
      <c r="J123" s="21">
        <f>SUMIFS(Einzelbeträge!$D:$D,Einzelbeträge!$C:$C,'Ausgaben 2024'!$C123,Einzelbeträge!$E:$E,'Ausgaben 2024'!J$6)</f>
        <v>0</v>
      </c>
      <c r="K123" s="21">
        <f>SUMIFS(Einzelbeträge!$D:$D,Einzelbeträge!$C:$C,'Ausgaben 2024'!$C123,Einzelbeträge!$E:$E,'Ausgaben 2024'!K$6)</f>
        <v>0</v>
      </c>
      <c r="L123" s="21">
        <f>SUMIFS(Einzelbeträge!$D:$D,Einzelbeträge!$C:$C,'Ausgaben 2024'!$C123,Einzelbeträge!$E:$E,'Ausgaben 2024'!L$6)</f>
        <v>0</v>
      </c>
      <c r="M123" s="21">
        <f>SUMIFS(Einzelbeträge!$D:$D,Einzelbeträge!$C:$C,'Ausgaben 2024'!$C123,Einzelbeträge!$E:$E,'Ausgaben 2024'!M$6)</f>
        <v>0</v>
      </c>
      <c r="N123" s="35">
        <f>SUMIFS(Einzelbeträge!$D:$D,Einzelbeträge!$C:$C,'Ausgaben 2024'!$C123,Einzelbeträge!$E:$E,'Ausgaben 2024'!N$6)</f>
        <v>0</v>
      </c>
      <c r="O123" s="6"/>
    </row>
    <row r="124" spans="2:15" x14ac:dyDescent="0.35">
      <c r="B124" s="5"/>
      <c r="C124" s="30">
        <f t="shared" si="27"/>
        <v>45400</v>
      </c>
      <c r="D124" s="46">
        <f>SUMIFS(Einzelbeträge!$D:$D,Einzelbeträge!$C:$C,'Ausgaben 2024'!$C124)</f>
        <v>0</v>
      </c>
      <c r="E124" s="21">
        <f>SUMIFS(Einzelbeträge!$D:$D,Einzelbeträge!$C:$C,'Ausgaben 2024'!$C124,Einzelbeträge!$E:$E,'Ausgaben 2024'!E$6)</f>
        <v>0</v>
      </c>
      <c r="F124" s="21">
        <f>SUMIFS(Einzelbeträge!$D:$D,Einzelbeträge!$C:$C,'Ausgaben 2024'!$C124,Einzelbeträge!$E:$E,'Ausgaben 2024'!F$6)</f>
        <v>0</v>
      </c>
      <c r="G124" s="21">
        <f>SUMIFS(Einzelbeträge!$D:$D,Einzelbeträge!$C:$C,'Ausgaben 2024'!$C124,Einzelbeträge!$E:$E,'Ausgaben 2024'!G$6)</f>
        <v>0</v>
      </c>
      <c r="H124" s="21">
        <f>SUMIFS(Einzelbeträge!$D:$D,Einzelbeträge!$C:$C,'Ausgaben 2024'!$C124,Einzelbeträge!$E:$E,'Ausgaben 2024'!H$6)</f>
        <v>0</v>
      </c>
      <c r="I124" s="21">
        <f>SUMIFS(Einzelbeträge!$D:$D,Einzelbeträge!$C:$C,'Ausgaben 2024'!$C124,Einzelbeträge!$E:$E,'Ausgaben 2024'!I$6)</f>
        <v>0</v>
      </c>
      <c r="J124" s="21">
        <f>SUMIFS(Einzelbeträge!$D:$D,Einzelbeträge!$C:$C,'Ausgaben 2024'!$C124,Einzelbeträge!$E:$E,'Ausgaben 2024'!J$6)</f>
        <v>0</v>
      </c>
      <c r="K124" s="21">
        <f>SUMIFS(Einzelbeträge!$D:$D,Einzelbeträge!$C:$C,'Ausgaben 2024'!$C124,Einzelbeträge!$E:$E,'Ausgaben 2024'!K$6)</f>
        <v>0</v>
      </c>
      <c r="L124" s="21">
        <f>SUMIFS(Einzelbeträge!$D:$D,Einzelbeträge!$C:$C,'Ausgaben 2024'!$C124,Einzelbeträge!$E:$E,'Ausgaben 2024'!L$6)</f>
        <v>0</v>
      </c>
      <c r="M124" s="21">
        <f>SUMIFS(Einzelbeträge!$D:$D,Einzelbeträge!$C:$C,'Ausgaben 2024'!$C124,Einzelbeträge!$E:$E,'Ausgaben 2024'!M$6)</f>
        <v>0</v>
      </c>
      <c r="N124" s="35">
        <f>SUMIFS(Einzelbeträge!$D:$D,Einzelbeträge!$C:$C,'Ausgaben 2024'!$C124,Einzelbeträge!$E:$E,'Ausgaben 2024'!N$6)</f>
        <v>0</v>
      </c>
      <c r="O124" s="6"/>
    </row>
    <row r="125" spans="2:15" x14ac:dyDescent="0.35">
      <c r="B125" s="5"/>
      <c r="C125" s="30">
        <f t="shared" si="27"/>
        <v>45401</v>
      </c>
      <c r="D125" s="46">
        <f>SUMIFS(Einzelbeträge!$D:$D,Einzelbeträge!$C:$C,'Ausgaben 2024'!$C125)</f>
        <v>0</v>
      </c>
      <c r="E125" s="21">
        <f>SUMIFS(Einzelbeträge!$D:$D,Einzelbeträge!$C:$C,'Ausgaben 2024'!$C125,Einzelbeträge!$E:$E,'Ausgaben 2024'!E$6)</f>
        <v>0</v>
      </c>
      <c r="F125" s="21">
        <f>SUMIFS(Einzelbeträge!$D:$D,Einzelbeträge!$C:$C,'Ausgaben 2024'!$C125,Einzelbeträge!$E:$E,'Ausgaben 2024'!F$6)</f>
        <v>0</v>
      </c>
      <c r="G125" s="21">
        <f>SUMIFS(Einzelbeträge!$D:$D,Einzelbeträge!$C:$C,'Ausgaben 2024'!$C125,Einzelbeträge!$E:$E,'Ausgaben 2024'!G$6)</f>
        <v>0</v>
      </c>
      <c r="H125" s="21">
        <f>SUMIFS(Einzelbeträge!$D:$D,Einzelbeträge!$C:$C,'Ausgaben 2024'!$C125,Einzelbeträge!$E:$E,'Ausgaben 2024'!H$6)</f>
        <v>0</v>
      </c>
      <c r="I125" s="21">
        <f>SUMIFS(Einzelbeträge!$D:$D,Einzelbeträge!$C:$C,'Ausgaben 2024'!$C125,Einzelbeträge!$E:$E,'Ausgaben 2024'!I$6)</f>
        <v>0</v>
      </c>
      <c r="J125" s="21">
        <f>SUMIFS(Einzelbeträge!$D:$D,Einzelbeträge!$C:$C,'Ausgaben 2024'!$C125,Einzelbeträge!$E:$E,'Ausgaben 2024'!J$6)</f>
        <v>0</v>
      </c>
      <c r="K125" s="21">
        <f>SUMIFS(Einzelbeträge!$D:$D,Einzelbeträge!$C:$C,'Ausgaben 2024'!$C125,Einzelbeträge!$E:$E,'Ausgaben 2024'!K$6)</f>
        <v>0</v>
      </c>
      <c r="L125" s="21">
        <f>SUMIFS(Einzelbeträge!$D:$D,Einzelbeträge!$C:$C,'Ausgaben 2024'!$C125,Einzelbeträge!$E:$E,'Ausgaben 2024'!L$6)</f>
        <v>0</v>
      </c>
      <c r="M125" s="21">
        <f>SUMIFS(Einzelbeträge!$D:$D,Einzelbeträge!$C:$C,'Ausgaben 2024'!$C125,Einzelbeträge!$E:$E,'Ausgaben 2024'!M$6)</f>
        <v>0</v>
      </c>
      <c r="N125" s="35">
        <f>SUMIFS(Einzelbeträge!$D:$D,Einzelbeträge!$C:$C,'Ausgaben 2024'!$C125,Einzelbeträge!$E:$E,'Ausgaben 2024'!N$6)</f>
        <v>0</v>
      </c>
      <c r="O125" s="6"/>
    </row>
    <row r="126" spans="2:15" x14ac:dyDescent="0.35">
      <c r="B126" s="5"/>
      <c r="C126" s="30">
        <f t="shared" si="27"/>
        <v>45402</v>
      </c>
      <c r="D126" s="46">
        <f>SUMIFS(Einzelbeträge!$D:$D,Einzelbeträge!$C:$C,'Ausgaben 2024'!$C126)</f>
        <v>0</v>
      </c>
      <c r="E126" s="21">
        <f>SUMIFS(Einzelbeträge!$D:$D,Einzelbeträge!$C:$C,'Ausgaben 2024'!$C126,Einzelbeträge!$E:$E,'Ausgaben 2024'!E$6)</f>
        <v>0</v>
      </c>
      <c r="F126" s="21">
        <f>SUMIFS(Einzelbeträge!$D:$D,Einzelbeträge!$C:$C,'Ausgaben 2024'!$C126,Einzelbeträge!$E:$E,'Ausgaben 2024'!F$6)</f>
        <v>0</v>
      </c>
      <c r="G126" s="21">
        <f>SUMIFS(Einzelbeträge!$D:$D,Einzelbeträge!$C:$C,'Ausgaben 2024'!$C126,Einzelbeträge!$E:$E,'Ausgaben 2024'!G$6)</f>
        <v>0</v>
      </c>
      <c r="H126" s="21">
        <f>SUMIFS(Einzelbeträge!$D:$D,Einzelbeträge!$C:$C,'Ausgaben 2024'!$C126,Einzelbeträge!$E:$E,'Ausgaben 2024'!H$6)</f>
        <v>0</v>
      </c>
      <c r="I126" s="21">
        <f>SUMIFS(Einzelbeträge!$D:$D,Einzelbeträge!$C:$C,'Ausgaben 2024'!$C126,Einzelbeträge!$E:$E,'Ausgaben 2024'!I$6)</f>
        <v>0</v>
      </c>
      <c r="J126" s="21">
        <f>SUMIFS(Einzelbeträge!$D:$D,Einzelbeträge!$C:$C,'Ausgaben 2024'!$C126,Einzelbeträge!$E:$E,'Ausgaben 2024'!J$6)</f>
        <v>0</v>
      </c>
      <c r="K126" s="21">
        <f>SUMIFS(Einzelbeträge!$D:$D,Einzelbeträge!$C:$C,'Ausgaben 2024'!$C126,Einzelbeträge!$E:$E,'Ausgaben 2024'!K$6)</f>
        <v>0</v>
      </c>
      <c r="L126" s="21">
        <f>SUMIFS(Einzelbeträge!$D:$D,Einzelbeträge!$C:$C,'Ausgaben 2024'!$C126,Einzelbeträge!$E:$E,'Ausgaben 2024'!L$6)</f>
        <v>0</v>
      </c>
      <c r="M126" s="21">
        <f>SUMIFS(Einzelbeträge!$D:$D,Einzelbeträge!$C:$C,'Ausgaben 2024'!$C126,Einzelbeträge!$E:$E,'Ausgaben 2024'!M$6)</f>
        <v>0</v>
      </c>
      <c r="N126" s="35">
        <f>SUMIFS(Einzelbeträge!$D:$D,Einzelbeträge!$C:$C,'Ausgaben 2024'!$C126,Einzelbeträge!$E:$E,'Ausgaben 2024'!N$6)</f>
        <v>0</v>
      </c>
      <c r="O126" s="6"/>
    </row>
    <row r="127" spans="2:15" x14ac:dyDescent="0.35">
      <c r="B127" s="5"/>
      <c r="C127" s="30">
        <f t="shared" si="27"/>
        <v>45403</v>
      </c>
      <c r="D127" s="46">
        <f>SUMIFS(Einzelbeträge!$D:$D,Einzelbeträge!$C:$C,'Ausgaben 2024'!$C127)</f>
        <v>0</v>
      </c>
      <c r="E127" s="21">
        <f>SUMIFS(Einzelbeträge!$D:$D,Einzelbeträge!$C:$C,'Ausgaben 2024'!$C127,Einzelbeträge!$E:$E,'Ausgaben 2024'!E$6)</f>
        <v>0</v>
      </c>
      <c r="F127" s="21">
        <f>SUMIFS(Einzelbeträge!$D:$D,Einzelbeträge!$C:$C,'Ausgaben 2024'!$C127,Einzelbeträge!$E:$E,'Ausgaben 2024'!F$6)</f>
        <v>0</v>
      </c>
      <c r="G127" s="21">
        <f>SUMIFS(Einzelbeträge!$D:$D,Einzelbeträge!$C:$C,'Ausgaben 2024'!$C127,Einzelbeträge!$E:$E,'Ausgaben 2024'!G$6)</f>
        <v>0</v>
      </c>
      <c r="H127" s="21">
        <f>SUMIFS(Einzelbeträge!$D:$D,Einzelbeträge!$C:$C,'Ausgaben 2024'!$C127,Einzelbeträge!$E:$E,'Ausgaben 2024'!H$6)</f>
        <v>0</v>
      </c>
      <c r="I127" s="21">
        <f>SUMIFS(Einzelbeträge!$D:$D,Einzelbeträge!$C:$C,'Ausgaben 2024'!$C127,Einzelbeträge!$E:$E,'Ausgaben 2024'!I$6)</f>
        <v>0</v>
      </c>
      <c r="J127" s="21">
        <f>SUMIFS(Einzelbeträge!$D:$D,Einzelbeträge!$C:$C,'Ausgaben 2024'!$C127,Einzelbeträge!$E:$E,'Ausgaben 2024'!J$6)</f>
        <v>0</v>
      </c>
      <c r="K127" s="21">
        <f>SUMIFS(Einzelbeträge!$D:$D,Einzelbeträge!$C:$C,'Ausgaben 2024'!$C127,Einzelbeträge!$E:$E,'Ausgaben 2024'!K$6)</f>
        <v>0</v>
      </c>
      <c r="L127" s="21">
        <f>SUMIFS(Einzelbeträge!$D:$D,Einzelbeträge!$C:$C,'Ausgaben 2024'!$C127,Einzelbeträge!$E:$E,'Ausgaben 2024'!L$6)</f>
        <v>0</v>
      </c>
      <c r="M127" s="21">
        <f>SUMIFS(Einzelbeträge!$D:$D,Einzelbeträge!$C:$C,'Ausgaben 2024'!$C127,Einzelbeträge!$E:$E,'Ausgaben 2024'!M$6)</f>
        <v>0</v>
      </c>
      <c r="N127" s="35">
        <f>SUMIFS(Einzelbeträge!$D:$D,Einzelbeträge!$C:$C,'Ausgaben 2024'!$C127,Einzelbeträge!$E:$E,'Ausgaben 2024'!N$6)</f>
        <v>0</v>
      </c>
      <c r="O127" s="6"/>
    </row>
    <row r="128" spans="2:15" x14ac:dyDescent="0.35">
      <c r="B128" s="5"/>
      <c r="C128" s="30">
        <f t="shared" si="27"/>
        <v>45404</v>
      </c>
      <c r="D128" s="46">
        <f>SUMIFS(Einzelbeträge!$D:$D,Einzelbeträge!$C:$C,'Ausgaben 2024'!$C128)</f>
        <v>0</v>
      </c>
      <c r="E128" s="21">
        <f>SUMIFS(Einzelbeträge!$D:$D,Einzelbeträge!$C:$C,'Ausgaben 2024'!$C128,Einzelbeträge!$E:$E,'Ausgaben 2024'!E$6)</f>
        <v>0</v>
      </c>
      <c r="F128" s="21">
        <f>SUMIFS(Einzelbeträge!$D:$D,Einzelbeträge!$C:$C,'Ausgaben 2024'!$C128,Einzelbeträge!$E:$E,'Ausgaben 2024'!F$6)</f>
        <v>0</v>
      </c>
      <c r="G128" s="21">
        <f>SUMIFS(Einzelbeträge!$D:$D,Einzelbeträge!$C:$C,'Ausgaben 2024'!$C128,Einzelbeträge!$E:$E,'Ausgaben 2024'!G$6)</f>
        <v>0</v>
      </c>
      <c r="H128" s="21">
        <f>SUMIFS(Einzelbeträge!$D:$D,Einzelbeträge!$C:$C,'Ausgaben 2024'!$C128,Einzelbeträge!$E:$E,'Ausgaben 2024'!H$6)</f>
        <v>0</v>
      </c>
      <c r="I128" s="21">
        <f>SUMIFS(Einzelbeträge!$D:$D,Einzelbeträge!$C:$C,'Ausgaben 2024'!$C128,Einzelbeträge!$E:$E,'Ausgaben 2024'!I$6)</f>
        <v>0</v>
      </c>
      <c r="J128" s="21">
        <f>SUMIFS(Einzelbeträge!$D:$D,Einzelbeträge!$C:$C,'Ausgaben 2024'!$C128,Einzelbeträge!$E:$E,'Ausgaben 2024'!J$6)</f>
        <v>0</v>
      </c>
      <c r="K128" s="21">
        <f>SUMIFS(Einzelbeträge!$D:$D,Einzelbeträge!$C:$C,'Ausgaben 2024'!$C128,Einzelbeträge!$E:$E,'Ausgaben 2024'!K$6)</f>
        <v>0</v>
      </c>
      <c r="L128" s="21">
        <f>SUMIFS(Einzelbeträge!$D:$D,Einzelbeträge!$C:$C,'Ausgaben 2024'!$C128,Einzelbeträge!$E:$E,'Ausgaben 2024'!L$6)</f>
        <v>0</v>
      </c>
      <c r="M128" s="21">
        <f>SUMIFS(Einzelbeträge!$D:$D,Einzelbeträge!$C:$C,'Ausgaben 2024'!$C128,Einzelbeträge!$E:$E,'Ausgaben 2024'!M$6)</f>
        <v>0</v>
      </c>
      <c r="N128" s="35">
        <f>SUMIFS(Einzelbeträge!$D:$D,Einzelbeträge!$C:$C,'Ausgaben 2024'!$C128,Einzelbeträge!$E:$E,'Ausgaben 2024'!N$6)</f>
        <v>0</v>
      </c>
      <c r="O128" s="6"/>
    </row>
    <row r="129" spans="2:15" x14ac:dyDescent="0.35">
      <c r="B129" s="5"/>
      <c r="C129" s="30">
        <f t="shared" si="27"/>
        <v>45405</v>
      </c>
      <c r="D129" s="46">
        <f>SUMIFS(Einzelbeträge!$D:$D,Einzelbeträge!$C:$C,'Ausgaben 2024'!$C129)</f>
        <v>0</v>
      </c>
      <c r="E129" s="21">
        <f>SUMIFS(Einzelbeträge!$D:$D,Einzelbeträge!$C:$C,'Ausgaben 2024'!$C129,Einzelbeträge!$E:$E,'Ausgaben 2024'!E$6)</f>
        <v>0</v>
      </c>
      <c r="F129" s="21">
        <f>SUMIFS(Einzelbeträge!$D:$D,Einzelbeträge!$C:$C,'Ausgaben 2024'!$C129,Einzelbeträge!$E:$E,'Ausgaben 2024'!F$6)</f>
        <v>0</v>
      </c>
      <c r="G129" s="21">
        <f>SUMIFS(Einzelbeträge!$D:$D,Einzelbeträge!$C:$C,'Ausgaben 2024'!$C129,Einzelbeträge!$E:$E,'Ausgaben 2024'!G$6)</f>
        <v>0</v>
      </c>
      <c r="H129" s="21">
        <f>SUMIFS(Einzelbeträge!$D:$D,Einzelbeträge!$C:$C,'Ausgaben 2024'!$C129,Einzelbeträge!$E:$E,'Ausgaben 2024'!H$6)</f>
        <v>0</v>
      </c>
      <c r="I129" s="21">
        <f>SUMIFS(Einzelbeträge!$D:$D,Einzelbeträge!$C:$C,'Ausgaben 2024'!$C129,Einzelbeträge!$E:$E,'Ausgaben 2024'!I$6)</f>
        <v>0</v>
      </c>
      <c r="J129" s="21">
        <f>SUMIFS(Einzelbeträge!$D:$D,Einzelbeträge!$C:$C,'Ausgaben 2024'!$C129,Einzelbeträge!$E:$E,'Ausgaben 2024'!J$6)</f>
        <v>0</v>
      </c>
      <c r="K129" s="21">
        <f>SUMIFS(Einzelbeträge!$D:$D,Einzelbeträge!$C:$C,'Ausgaben 2024'!$C129,Einzelbeträge!$E:$E,'Ausgaben 2024'!K$6)</f>
        <v>0</v>
      </c>
      <c r="L129" s="21">
        <f>SUMIFS(Einzelbeträge!$D:$D,Einzelbeträge!$C:$C,'Ausgaben 2024'!$C129,Einzelbeträge!$E:$E,'Ausgaben 2024'!L$6)</f>
        <v>0</v>
      </c>
      <c r="M129" s="21">
        <f>SUMIFS(Einzelbeträge!$D:$D,Einzelbeträge!$C:$C,'Ausgaben 2024'!$C129,Einzelbeträge!$E:$E,'Ausgaben 2024'!M$6)</f>
        <v>0</v>
      </c>
      <c r="N129" s="35">
        <f>SUMIFS(Einzelbeträge!$D:$D,Einzelbeträge!$C:$C,'Ausgaben 2024'!$C129,Einzelbeträge!$E:$E,'Ausgaben 2024'!N$6)</f>
        <v>0</v>
      </c>
      <c r="O129" s="6"/>
    </row>
    <row r="130" spans="2:15" x14ac:dyDescent="0.35">
      <c r="B130" s="5"/>
      <c r="C130" s="30">
        <f t="shared" si="27"/>
        <v>45406</v>
      </c>
      <c r="D130" s="46">
        <f>SUMIFS(Einzelbeträge!$D:$D,Einzelbeträge!$C:$C,'Ausgaben 2024'!$C130)</f>
        <v>0</v>
      </c>
      <c r="E130" s="21">
        <f>SUMIFS(Einzelbeträge!$D:$D,Einzelbeträge!$C:$C,'Ausgaben 2024'!$C130,Einzelbeträge!$E:$E,'Ausgaben 2024'!E$6)</f>
        <v>0</v>
      </c>
      <c r="F130" s="21">
        <f>SUMIFS(Einzelbeträge!$D:$D,Einzelbeträge!$C:$C,'Ausgaben 2024'!$C130,Einzelbeträge!$E:$E,'Ausgaben 2024'!F$6)</f>
        <v>0</v>
      </c>
      <c r="G130" s="21">
        <f>SUMIFS(Einzelbeträge!$D:$D,Einzelbeträge!$C:$C,'Ausgaben 2024'!$C130,Einzelbeträge!$E:$E,'Ausgaben 2024'!G$6)</f>
        <v>0</v>
      </c>
      <c r="H130" s="21">
        <f>SUMIFS(Einzelbeträge!$D:$D,Einzelbeträge!$C:$C,'Ausgaben 2024'!$C130,Einzelbeträge!$E:$E,'Ausgaben 2024'!H$6)</f>
        <v>0</v>
      </c>
      <c r="I130" s="21">
        <f>SUMIFS(Einzelbeträge!$D:$D,Einzelbeträge!$C:$C,'Ausgaben 2024'!$C130,Einzelbeträge!$E:$E,'Ausgaben 2024'!I$6)</f>
        <v>0</v>
      </c>
      <c r="J130" s="21">
        <f>SUMIFS(Einzelbeträge!$D:$D,Einzelbeträge!$C:$C,'Ausgaben 2024'!$C130,Einzelbeträge!$E:$E,'Ausgaben 2024'!J$6)</f>
        <v>0</v>
      </c>
      <c r="K130" s="21">
        <f>SUMIFS(Einzelbeträge!$D:$D,Einzelbeträge!$C:$C,'Ausgaben 2024'!$C130,Einzelbeträge!$E:$E,'Ausgaben 2024'!K$6)</f>
        <v>0</v>
      </c>
      <c r="L130" s="21">
        <f>SUMIFS(Einzelbeträge!$D:$D,Einzelbeträge!$C:$C,'Ausgaben 2024'!$C130,Einzelbeträge!$E:$E,'Ausgaben 2024'!L$6)</f>
        <v>0</v>
      </c>
      <c r="M130" s="21">
        <f>SUMIFS(Einzelbeträge!$D:$D,Einzelbeträge!$C:$C,'Ausgaben 2024'!$C130,Einzelbeträge!$E:$E,'Ausgaben 2024'!M$6)</f>
        <v>0</v>
      </c>
      <c r="N130" s="35">
        <f>SUMIFS(Einzelbeträge!$D:$D,Einzelbeträge!$C:$C,'Ausgaben 2024'!$C130,Einzelbeträge!$E:$E,'Ausgaben 2024'!N$6)</f>
        <v>0</v>
      </c>
      <c r="O130" s="6"/>
    </row>
    <row r="131" spans="2:15" x14ac:dyDescent="0.35">
      <c r="B131" s="5"/>
      <c r="C131" s="30">
        <f t="shared" si="27"/>
        <v>45407</v>
      </c>
      <c r="D131" s="46">
        <f>SUMIFS(Einzelbeträge!$D:$D,Einzelbeträge!$C:$C,'Ausgaben 2024'!$C131)</f>
        <v>0</v>
      </c>
      <c r="E131" s="21">
        <f>SUMIFS(Einzelbeträge!$D:$D,Einzelbeträge!$C:$C,'Ausgaben 2024'!$C131,Einzelbeträge!$E:$E,'Ausgaben 2024'!E$6)</f>
        <v>0</v>
      </c>
      <c r="F131" s="21">
        <f>SUMIFS(Einzelbeträge!$D:$D,Einzelbeträge!$C:$C,'Ausgaben 2024'!$C131,Einzelbeträge!$E:$E,'Ausgaben 2024'!F$6)</f>
        <v>0</v>
      </c>
      <c r="G131" s="21">
        <f>SUMIFS(Einzelbeträge!$D:$D,Einzelbeträge!$C:$C,'Ausgaben 2024'!$C131,Einzelbeträge!$E:$E,'Ausgaben 2024'!G$6)</f>
        <v>0</v>
      </c>
      <c r="H131" s="21">
        <f>SUMIFS(Einzelbeträge!$D:$D,Einzelbeträge!$C:$C,'Ausgaben 2024'!$C131,Einzelbeträge!$E:$E,'Ausgaben 2024'!H$6)</f>
        <v>0</v>
      </c>
      <c r="I131" s="21">
        <f>SUMIFS(Einzelbeträge!$D:$D,Einzelbeträge!$C:$C,'Ausgaben 2024'!$C131,Einzelbeträge!$E:$E,'Ausgaben 2024'!I$6)</f>
        <v>0</v>
      </c>
      <c r="J131" s="21">
        <f>SUMIFS(Einzelbeträge!$D:$D,Einzelbeträge!$C:$C,'Ausgaben 2024'!$C131,Einzelbeträge!$E:$E,'Ausgaben 2024'!J$6)</f>
        <v>0</v>
      </c>
      <c r="K131" s="21">
        <f>SUMIFS(Einzelbeträge!$D:$D,Einzelbeträge!$C:$C,'Ausgaben 2024'!$C131,Einzelbeträge!$E:$E,'Ausgaben 2024'!K$6)</f>
        <v>0</v>
      </c>
      <c r="L131" s="21">
        <f>SUMIFS(Einzelbeträge!$D:$D,Einzelbeträge!$C:$C,'Ausgaben 2024'!$C131,Einzelbeträge!$E:$E,'Ausgaben 2024'!L$6)</f>
        <v>0</v>
      </c>
      <c r="M131" s="21">
        <f>SUMIFS(Einzelbeträge!$D:$D,Einzelbeträge!$C:$C,'Ausgaben 2024'!$C131,Einzelbeträge!$E:$E,'Ausgaben 2024'!M$6)</f>
        <v>0</v>
      </c>
      <c r="N131" s="35">
        <f>SUMIFS(Einzelbeträge!$D:$D,Einzelbeträge!$C:$C,'Ausgaben 2024'!$C131,Einzelbeträge!$E:$E,'Ausgaben 2024'!N$6)</f>
        <v>0</v>
      </c>
      <c r="O131" s="6"/>
    </row>
    <row r="132" spans="2:15" x14ac:dyDescent="0.35">
      <c r="B132" s="5"/>
      <c r="C132" s="30">
        <f t="shared" si="27"/>
        <v>45408</v>
      </c>
      <c r="D132" s="46">
        <f>SUMIFS(Einzelbeträge!$D:$D,Einzelbeträge!$C:$C,'Ausgaben 2024'!$C132)</f>
        <v>0</v>
      </c>
      <c r="E132" s="21">
        <f>SUMIFS(Einzelbeträge!$D:$D,Einzelbeträge!$C:$C,'Ausgaben 2024'!$C132,Einzelbeträge!$E:$E,'Ausgaben 2024'!E$6)</f>
        <v>0</v>
      </c>
      <c r="F132" s="21">
        <f>SUMIFS(Einzelbeträge!$D:$D,Einzelbeträge!$C:$C,'Ausgaben 2024'!$C132,Einzelbeträge!$E:$E,'Ausgaben 2024'!F$6)</f>
        <v>0</v>
      </c>
      <c r="G132" s="21">
        <f>SUMIFS(Einzelbeträge!$D:$D,Einzelbeträge!$C:$C,'Ausgaben 2024'!$C132,Einzelbeträge!$E:$E,'Ausgaben 2024'!G$6)</f>
        <v>0</v>
      </c>
      <c r="H132" s="21">
        <f>SUMIFS(Einzelbeträge!$D:$D,Einzelbeträge!$C:$C,'Ausgaben 2024'!$C132,Einzelbeträge!$E:$E,'Ausgaben 2024'!H$6)</f>
        <v>0</v>
      </c>
      <c r="I132" s="21">
        <f>SUMIFS(Einzelbeträge!$D:$D,Einzelbeträge!$C:$C,'Ausgaben 2024'!$C132,Einzelbeträge!$E:$E,'Ausgaben 2024'!I$6)</f>
        <v>0</v>
      </c>
      <c r="J132" s="21">
        <f>SUMIFS(Einzelbeträge!$D:$D,Einzelbeträge!$C:$C,'Ausgaben 2024'!$C132,Einzelbeträge!$E:$E,'Ausgaben 2024'!J$6)</f>
        <v>0</v>
      </c>
      <c r="K132" s="21">
        <f>SUMIFS(Einzelbeträge!$D:$D,Einzelbeträge!$C:$C,'Ausgaben 2024'!$C132,Einzelbeträge!$E:$E,'Ausgaben 2024'!K$6)</f>
        <v>0</v>
      </c>
      <c r="L132" s="21">
        <f>SUMIFS(Einzelbeträge!$D:$D,Einzelbeträge!$C:$C,'Ausgaben 2024'!$C132,Einzelbeträge!$E:$E,'Ausgaben 2024'!L$6)</f>
        <v>0</v>
      </c>
      <c r="M132" s="21">
        <f>SUMIFS(Einzelbeträge!$D:$D,Einzelbeträge!$C:$C,'Ausgaben 2024'!$C132,Einzelbeträge!$E:$E,'Ausgaben 2024'!M$6)</f>
        <v>0</v>
      </c>
      <c r="N132" s="35">
        <f>SUMIFS(Einzelbeträge!$D:$D,Einzelbeträge!$C:$C,'Ausgaben 2024'!$C132,Einzelbeträge!$E:$E,'Ausgaben 2024'!N$6)</f>
        <v>0</v>
      </c>
      <c r="O132" s="6"/>
    </row>
    <row r="133" spans="2:15" x14ac:dyDescent="0.35">
      <c r="B133" s="5"/>
      <c r="C133" s="30">
        <f t="shared" si="27"/>
        <v>45409</v>
      </c>
      <c r="D133" s="46">
        <f>SUMIFS(Einzelbeträge!$D:$D,Einzelbeträge!$C:$C,'Ausgaben 2024'!$C133)</f>
        <v>0</v>
      </c>
      <c r="E133" s="21">
        <f>SUMIFS(Einzelbeträge!$D:$D,Einzelbeträge!$C:$C,'Ausgaben 2024'!$C133,Einzelbeträge!$E:$E,'Ausgaben 2024'!E$6)</f>
        <v>0</v>
      </c>
      <c r="F133" s="21">
        <f>SUMIFS(Einzelbeträge!$D:$D,Einzelbeträge!$C:$C,'Ausgaben 2024'!$C133,Einzelbeträge!$E:$E,'Ausgaben 2024'!F$6)</f>
        <v>0</v>
      </c>
      <c r="G133" s="21">
        <f>SUMIFS(Einzelbeträge!$D:$D,Einzelbeträge!$C:$C,'Ausgaben 2024'!$C133,Einzelbeträge!$E:$E,'Ausgaben 2024'!G$6)</f>
        <v>0</v>
      </c>
      <c r="H133" s="21">
        <f>SUMIFS(Einzelbeträge!$D:$D,Einzelbeträge!$C:$C,'Ausgaben 2024'!$C133,Einzelbeträge!$E:$E,'Ausgaben 2024'!H$6)</f>
        <v>0</v>
      </c>
      <c r="I133" s="21">
        <f>SUMIFS(Einzelbeträge!$D:$D,Einzelbeträge!$C:$C,'Ausgaben 2024'!$C133,Einzelbeträge!$E:$E,'Ausgaben 2024'!I$6)</f>
        <v>0</v>
      </c>
      <c r="J133" s="21">
        <f>SUMIFS(Einzelbeträge!$D:$D,Einzelbeträge!$C:$C,'Ausgaben 2024'!$C133,Einzelbeträge!$E:$E,'Ausgaben 2024'!J$6)</f>
        <v>0</v>
      </c>
      <c r="K133" s="21">
        <f>SUMIFS(Einzelbeträge!$D:$D,Einzelbeträge!$C:$C,'Ausgaben 2024'!$C133,Einzelbeträge!$E:$E,'Ausgaben 2024'!K$6)</f>
        <v>0</v>
      </c>
      <c r="L133" s="21">
        <f>SUMIFS(Einzelbeträge!$D:$D,Einzelbeträge!$C:$C,'Ausgaben 2024'!$C133,Einzelbeträge!$E:$E,'Ausgaben 2024'!L$6)</f>
        <v>0</v>
      </c>
      <c r="M133" s="21">
        <f>SUMIFS(Einzelbeträge!$D:$D,Einzelbeträge!$C:$C,'Ausgaben 2024'!$C133,Einzelbeträge!$E:$E,'Ausgaben 2024'!M$6)</f>
        <v>0</v>
      </c>
      <c r="N133" s="35">
        <f>SUMIFS(Einzelbeträge!$D:$D,Einzelbeträge!$C:$C,'Ausgaben 2024'!$C133,Einzelbeträge!$E:$E,'Ausgaben 2024'!N$6)</f>
        <v>0</v>
      </c>
      <c r="O133" s="6"/>
    </row>
    <row r="134" spans="2:15" x14ac:dyDescent="0.35">
      <c r="B134" s="5"/>
      <c r="C134" s="30">
        <f t="shared" si="27"/>
        <v>45410</v>
      </c>
      <c r="D134" s="46">
        <f>SUMIFS(Einzelbeträge!$D:$D,Einzelbeträge!$C:$C,'Ausgaben 2024'!$C134)</f>
        <v>0</v>
      </c>
      <c r="E134" s="21">
        <f>SUMIFS(Einzelbeträge!$D:$D,Einzelbeträge!$C:$C,'Ausgaben 2024'!$C134,Einzelbeträge!$E:$E,'Ausgaben 2024'!E$6)</f>
        <v>0</v>
      </c>
      <c r="F134" s="21">
        <f>SUMIFS(Einzelbeträge!$D:$D,Einzelbeträge!$C:$C,'Ausgaben 2024'!$C134,Einzelbeträge!$E:$E,'Ausgaben 2024'!F$6)</f>
        <v>0</v>
      </c>
      <c r="G134" s="21">
        <f>SUMIFS(Einzelbeträge!$D:$D,Einzelbeträge!$C:$C,'Ausgaben 2024'!$C134,Einzelbeträge!$E:$E,'Ausgaben 2024'!G$6)</f>
        <v>0</v>
      </c>
      <c r="H134" s="21">
        <f>SUMIFS(Einzelbeträge!$D:$D,Einzelbeträge!$C:$C,'Ausgaben 2024'!$C134,Einzelbeträge!$E:$E,'Ausgaben 2024'!H$6)</f>
        <v>0</v>
      </c>
      <c r="I134" s="21">
        <f>SUMIFS(Einzelbeträge!$D:$D,Einzelbeträge!$C:$C,'Ausgaben 2024'!$C134,Einzelbeträge!$E:$E,'Ausgaben 2024'!I$6)</f>
        <v>0</v>
      </c>
      <c r="J134" s="21">
        <f>SUMIFS(Einzelbeträge!$D:$D,Einzelbeträge!$C:$C,'Ausgaben 2024'!$C134,Einzelbeträge!$E:$E,'Ausgaben 2024'!J$6)</f>
        <v>0</v>
      </c>
      <c r="K134" s="21">
        <f>SUMIFS(Einzelbeträge!$D:$D,Einzelbeträge!$C:$C,'Ausgaben 2024'!$C134,Einzelbeträge!$E:$E,'Ausgaben 2024'!K$6)</f>
        <v>0</v>
      </c>
      <c r="L134" s="21">
        <f>SUMIFS(Einzelbeträge!$D:$D,Einzelbeträge!$C:$C,'Ausgaben 2024'!$C134,Einzelbeträge!$E:$E,'Ausgaben 2024'!L$6)</f>
        <v>0</v>
      </c>
      <c r="M134" s="21">
        <f>SUMIFS(Einzelbeträge!$D:$D,Einzelbeträge!$C:$C,'Ausgaben 2024'!$C134,Einzelbeträge!$E:$E,'Ausgaben 2024'!M$6)</f>
        <v>0</v>
      </c>
      <c r="N134" s="35">
        <f>SUMIFS(Einzelbeträge!$D:$D,Einzelbeträge!$C:$C,'Ausgaben 2024'!$C134,Einzelbeträge!$E:$E,'Ausgaben 2024'!N$6)</f>
        <v>0</v>
      </c>
      <c r="O134" s="6"/>
    </row>
    <row r="135" spans="2:15" x14ac:dyDescent="0.35">
      <c r="B135" s="5"/>
      <c r="C135" s="30">
        <f t="shared" si="27"/>
        <v>45411</v>
      </c>
      <c r="D135" s="46">
        <f>SUMIFS(Einzelbeträge!$D:$D,Einzelbeträge!$C:$C,'Ausgaben 2024'!$C135)</f>
        <v>0</v>
      </c>
      <c r="E135" s="21">
        <f>SUMIFS(Einzelbeträge!$D:$D,Einzelbeträge!$C:$C,'Ausgaben 2024'!$C135,Einzelbeträge!$E:$E,'Ausgaben 2024'!E$6)</f>
        <v>0</v>
      </c>
      <c r="F135" s="21">
        <f>SUMIFS(Einzelbeträge!$D:$D,Einzelbeträge!$C:$C,'Ausgaben 2024'!$C135,Einzelbeträge!$E:$E,'Ausgaben 2024'!F$6)</f>
        <v>0</v>
      </c>
      <c r="G135" s="21">
        <f>SUMIFS(Einzelbeträge!$D:$D,Einzelbeträge!$C:$C,'Ausgaben 2024'!$C135,Einzelbeträge!$E:$E,'Ausgaben 2024'!G$6)</f>
        <v>0</v>
      </c>
      <c r="H135" s="21">
        <f>SUMIFS(Einzelbeträge!$D:$D,Einzelbeträge!$C:$C,'Ausgaben 2024'!$C135,Einzelbeträge!$E:$E,'Ausgaben 2024'!H$6)</f>
        <v>0</v>
      </c>
      <c r="I135" s="21">
        <f>SUMIFS(Einzelbeträge!$D:$D,Einzelbeträge!$C:$C,'Ausgaben 2024'!$C135,Einzelbeträge!$E:$E,'Ausgaben 2024'!I$6)</f>
        <v>0</v>
      </c>
      <c r="J135" s="21">
        <f>SUMIFS(Einzelbeträge!$D:$D,Einzelbeträge!$C:$C,'Ausgaben 2024'!$C135,Einzelbeträge!$E:$E,'Ausgaben 2024'!J$6)</f>
        <v>0</v>
      </c>
      <c r="K135" s="21">
        <f>SUMIFS(Einzelbeträge!$D:$D,Einzelbeträge!$C:$C,'Ausgaben 2024'!$C135,Einzelbeträge!$E:$E,'Ausgaben 2024'!K$6)</f>
        <v>0</v>
      </c>
      <c r="L135" s="21">
        <f>SUMIFS(Einzelbeträge!$D:$D,Einzelbeträge!$C:$C,'Ausgaben 2024'!$C135,Einzelbeträge!$E:$E,'Ausgaben 2024'!L$6)</f>
        <v>0</v>
      </c>
      <c r="M135" s="21">
        <f>SUMIFS(Einzelbeträge!$D:$D,Einzelbeträge!$C:$C,'Ausgaben 2024'!$C135,Einzelbeträge!$E:$E,'Ausgaben 2024'!M$6)</f>
        <v>0</v>
      </c>
      <c r="N135" s="35">
        <f>SUMIFS(Einzelbeträge!$D:$D,Einzelbeträge!$C:$C,'Ausgaben 2024'!$C135,Einzelbeträge!$E:$E,'Ausgaben 2024'!N$6)</f>
        <v>0</v>
      </c>
      <c r="O135" s="6"/>
    </row>
    <row r="136" spans="2:15" x14ac:dyDescent="0.35">
      <c r="B136" s="5"/>
      <c r="C136" s="31">
        <f t="shared" si="27"/>
        <v>45412</v>
      </c>
      <c r="D136" s="47">
        <f>SUMIFS(Einzelbeträge!$D:$D,Einzelbeträge!$C:$C,'Ausgaben 2024'!$C136)</f>
        <v>0</v>
      </c>
      <c r="E136" s="37">
        <f>SUMIFS(Einzelbeträge!$D:$D,Einzelbeträge!$C:$C,'Ausgaben 2024'!$C136,Einzelbeträge!$E:$E,'Ausgaben 2024'!E$6)</f>
        <v>0</v>
      </c>
      <c r="F136" s="37">
        <f>SUMIFS(Einzelbeträge!$D:$D,Einzelbeträge!$C:$C,'Ausgaben 2024'!$C136,Einzelbeträge!$E:$E,'Ausgaben 2024'!F$6)</f>
        <v>0</v>
      </c>
      <c r="G136" s="37">
        <f>SUMIFS(Einzelbeträge!$D:$D,Einzelbeträge!$C:$C,'Ausgaben 2024'!$C136,Einzelbeträge!$E:$E,'Ausgaben 2024'!G$6)</f>
        <v>0</v>
      </c>
      <c r="H136" s="37">
        <f>SUMIFS(Einzelbeträge!$D:$D,Einzelbeträge!$C:$C,'Ausgaben 2024'!$C136,Einzelbeträge!$E:$E,'Ausgaben 2024'!H$6)</f>
        <v>0</v>
      </c>
      <c r="I136" s="37">
        <f>SUMIFS(Einzelbeträge!$D:$D,Einzelbeträge!$C:$C,'Ausgaben 2024'!$C136,Einzelbeträge!$E:$E,'Ausgaben 2024'!I$6)</f>
        <v>0</v>
      </c>
      <c r="J136" s="37">
        <f>SUMIFS(Einzelbeträge!$D:$D,Einzelbeträge!$C:$C,'Ausgaben 2024'!$C136,Einzelbeträge!$E:$E,'Ausgaben 2024'!J$6)</f>
        <v>0</v>
      </c>
      <c r="K136" s="37">
        <f>SUMIFS(Einzelbeträge!$D:$D,Einzelbeträge!$C:$C,'Ausgaben 2024'!$C136,Einzelbeträge!$E:$E,'Ausgaben 2024'!K$6)</f>
        <v>0</v>
      </c>
      <c r="L136" s="37">
        <f>SUMIFS(Einzelbeträge!$D:$D,Einzelbeträge!$C:$C,'Ausgaben 2024'!$C136,Einzelbeträge!$E:$E,'Ausgaben 2024'!L$6)</f>
        <v>0</v>
      </c>
      <c r="M136" s="37">
        <f>SUMIFS(Einzelbeträge!$D:$D,Einzelbeträge!$C:$C,'Ausgaben 2024'!$C136,Einzelbeträge!$E:$E,'Ausgaben 2024'!M$6)</f>
        <v>0</v>
      </c>
      <c r="N136" s="38">
        <f>SUMIFS(Einzelbeträge!$D:$D,Einzelbeträge!$C:$C,'Ausgaben 2024'!$C136,Einzelbeträge!$E:$E,'Ausgaben 2024'!N$6)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45413</v>
      </c>
      <c r="D140" s="45">
        <f>SUMIFS(Einzelbeträge!$D:$D,Einzelbeträge!$C:$C,'Ausgaben 2024'!$C140)</f>
        <v>0</v>
      </c>
      <c r="E140" s="32">
        <f>SUMIFS(Einzelbeträge!$D:$D,Einzelbeträge!$C:$C,'Ausgaben 2024'!$C140,Einzelbeträge!$E:$E,'Ausgaben 2024'!E$6)</f>
        <v>0</v>
      </c>
      <c r="F140" s="32">
        <f>SUMIFS(Einzelbeträge!$D:$D,Einzelbeträge!$C:$C,'Ausgaben 2024'!$C140,Einzelbeträge!$E:$E,'Ausgaben 2024'!F$6)</f>
        <v>0</v>
      </c>
      <c r="G140" s="32">
        <f>SUMIFS(Einzelbeträge!$D:$D,Einzelbeträge!$C:$C,'Ausgaben 2024'!$C140,Einzelbeträge!$E:$E,'Ausgaben 2024'!G$6)</f>
        <v>0</v>
      </c>
      <c r="H140" s="32">
        <f>SUMIFS(Einzelbeträge!$D:$D,Einzelbeträge!$C:$C,'Ausgaben 2024'!$C140,Einzelbeträge!$E:$E,'Ausgaben 2024'!H$6)</f>
        <v>0</v>
      </c>
      <c r="I140" s="32">
        <f>SUMIFS(Einzelbeträge!$D:$D,Einzelbeträge!$C:$C,'Ausgaben 2024'!$C140,Einzelbeträge!$E:$E,'Ausgaben 2024'!I$6)</f>
        <v>0</v>
      </c>
      <c r="J140" s="32">
        <f>SUMIFS(Einzelbeträge!$D:$D,Einzelbeträge!$C:$C,'Ausgaben 2024'!$C140,Einzelbeträge!$E:$E,'Ausgaben 2024'!J$6)</f>
        <v>0</v>
      </c>
      <c r="K140" s="32">
        <f>SUMIFS(Einzelbeträge!$D:$D,Einzelbeträge!$C:$C,'Ausgaben 2024'!$C140,Einzelbeträge!$E:$E,'Ausgaben 2024'!K$6)</f>
        <v>0</v>
      </c>
      <c r="L140" s="32">
        <f>SUMIFS(Einzelbeträge!$D:$D,Einzelbeträge!$C:$C,'Ausgaben 2024'!$C140,Einzelbeträge!$E:$E,'Ausgaben 2024'!L$6)</f>
        <v>0</v>
      </c>
      <c r="M140" s="32">
        <f>SUMIFS(Einzelbeträge!$D:$D,Einzelbeträge!$C:$C,'Ausgaben 2024'!$C140,Einzelbeträge!$E:$E,'Ausgaben 2024'!M$6)</f>
        <v>0</v>
      </c>
      <c r="N140" s="33">
        <f>SUMIFS(Einzelbeträge!$D:$D,Einzelbeträge!$C:$C,'Ausgaben 2024'!$C140,Einzelbeträge!$E:$E,'Ausgaben 2024'!N$6)</f>
        <v>0</v>
      </c>
      <c r="O140" s="6"/>
    </row>
    <row r="141" spans="2:15" x14ac:dyDescent="0.35">
      <c r="B141" s="5"/>
      <c r="C141" s="40">
        <f>C140+1</f>
        <v>45414</v>
      </c>
      <c r="D141" s="46">
        <f>SUMIFS(Einzelbeträge!$D:$D,Einzelbeträge!$C:$C,'Ausgaben 2024'!$C141)</f>
        <v>0</v>
      </c>
      <c r="E141" s="21">
        <f>SUMIFS(Einzelbeträge!$D:$D,Einzelbeträge!$C:$C,'Ausgaben 2024'!$C141,Einzelbeträge!$E:$E,'Ausgaben 2024'!E$6)</f>
        <v>0</v>
      </c>
      <c r="F141" s="21">
        <f>SUMIFS(Einzelbeträge!$D:$D,Einzelbeträge!$C:$C,'Ausgaben 2024'!$C141,Einzelbeträge!$E:$E,'Ausgaben 2024'!F$6)</f>
        <v>0</v>
      </c>
      <c r="G141" s="21">
        <f>SUMIFS(Einzelbeträge!$D:$D,Einzelbeträge!$C:$C,'Ausgaben 2024'!$C141,Einzelbeträge!$E:$E,'Ausgaben 2024'!G$6)</f>
        <v>0</v>
      </c>
      <c r="H141" s="21">
        <f>SUMIFS(Einzelbeträge!$D:$D,Einzelbeträge!$C:$C,'Ausgaben 2024'!$C141,Einzelbeträge!$E:$E,'Ausgaben 2024'!H$6)</f>
        <v>0</v>
      </c>
      <c r="I141" s="21">
        <f>SUMIFS(Einzelbeträge!$D:$D,Einzelbeträge!$C:$C,'Ausgaben 2024'!$C141,Einzelbeträge!$E:$E,'Ausgaben 2024'!I$6)</f>
        <v>0</v>
      </c>
      <c r="J141" s="21">
        <f>SUMIFS(Einzelbeträge!$D:$D,Einzelbeträge!$C:$C,'Ausgaben 2024'!$C141,Einzelbeträge!$E:$E,'Ausgaben 2024'!J$6)</f>
        <v>0</v>
      </c>
      <c r="K141" s="21">
        <f>SUMIFS(Einzelbeträge!$D:$D,Einzelbeträge!$C:$C,'Ausgaben 2024'!$C141,Einzelbeträge!$E:$E,'Ausgaben 2024'!K$6)</f>
        <v>0</v>
      </c>
      <c r="L141" s="21">
        <f>SUMIFS(Einzelbeträge!$D:$D,Einzelbeträge!$C:$C,'Ausgaben 2024'!$C141,Einzelbeträge!$E:$E,'Ausgaben 2024'!L$6)</f>
        <v>0</v>
      </c>
      <c r="M141" s="21">
        <f>SUMIFS(Einzelbeträge!$D:$D,Einzelbeträge!$C:$C,'Ausgaben 2024'!$C141,Einzelbeträge!$E:$E,'Ausgaben 2024'!M$6)</f>
        <v>0</v>
      </c>
      <c r="N141" s="35">
        <f>SUMIFS(Einzelbeträge!$D:$D,Einzelbeträge!$C:$C,'Ausgaben 2024'!$C141,Einzelbeträge!$E:$E,'Ausgaben 2024'!N$6)</f>
        <v>0</v>
      </c>
      <c r="O141" s="6"/>
    </row>
    <row r="142" spans="2:15" x14ac:dyDescent="0.35">
      <c r="B142" s="5"/>
      <c r="C142" s="40">
        <f t="shared" ref="C142:C170" si="28">C141+1</f>
        <v>45415</v>
      </c>
      <c r="D142" s="46">
        <f>SUMIFS(Einzelbeträge!$D:$D,Einzelbeträge!$C:$C,'Ausgaben 2024'!$C142)</f>
        <v>0</v>
      </c>
      <c r="E142" s="21">
        <f>SUMIFS(Einzelbeträge!$D:$D,Einzelbeträge!$C:$C,'Ausgaben 2024'!$C142,Einzelbeträge!$E:$E,'Ausgaben 2024'!E$6)</f>
        <v>0</v>
      </c>
      <c r="F142" s="21">
        <f>SUMIFS(Einzelbeträge!$D:$D,Einzelbeträge!$C:$C,'Ausgaben 2024'!$C142,Einzelbeträge!$E:$E,'Ausgaben 2024'!F$6)</f>
        <v>0</v>
      </c>
      <c r="G142" s="21">
        <f>SUMIFS(Einzelbeträge!$D:$D,Einzelbeträge!$C:$C,'Ausgaben 2024'!$C142,Einzelbeträge!$E:$E,'Ausgaben 2024'!G$6)</f>
        <v>0</v>
      </c>
      <c r="H142" s="21">
        <f>SUMIFS(Einzelbeträge!$D:$D,Einzelbeträge!$C:$C,'Ausgaben 2024'!$C142,Einzelbeträge!$E:$E,'Ausgaben 2024'!H$6)</f>
        <v>0</v>
      </c>
      <c r="I142" s="21">
        <f>SUMIFS(Einzelbeträge!$D:$D,Einzelbeträge!$C:$C,'Ausgaben 2024'!$C142,Einzelbeträge!$E:$E,'Ausgaben 2024'!I$6)</f>
        <v>0</v>
      </c>
      <c r="J142" s="21">
        <f>SUMIFS(Einzelbeträge!$D:$D,Einzelbeträge!$C:$C,'Ausgaben 2024'!$C142,Einzelbeträge!$E:$E,'Ausgaben 2024'!J$6)</f>
        <v>0</v>
      </c>
      <c r="K142" s="21">
        <f>SUMIFS(Einzelbeträge!$D:$D,Einzelbeträge!$C:$C,'Ausgaben 2024'!$C142,Einzelbeträge!$E:$E,'Ausgaben 2024'!K$6)</f>
        <v>0</v>
      </c>
      <c r="L142" s="21">
        <f>SUMIFS(Einzelbeträge!$D:$D,Einzelbeträge!$C:$C,'Ausgaben 2024'!$C142,Einzelbeträge!$E:$E,'Ausgaben 2024'!L$6)</f>
        <v>0</v>
      </c>
      <c r="M142" s="21">
        <f>SUMIFS(Einzelbeträge!$D:$D,Einzelbeträge!$C:$C,'Ausgaben 2024'!$C142,Einzelbeträge!$E:$E,'Ausgaben 2024'!M$6)</f>
        <v>0</v>
      </c>
      <c r="N142" s="35">
        <f>SUMIFS(Einzelbeträge!$D:$D,Einzelbeträge!$C:$C,'Ausgaben 2024'!$C142,Einzelbeträge!$E:$E,'Ausgaben 2024'!N$6)</f>
        <v>0</v>
      </c>
      <c r="O142" s="6"/>
    </row>
    <row r="143" spans="2:15" x14ac:dyDescent="0.35">
      <c r="B143" s="5"/>
      <c r="C143" s="40">
        <f t="shared" si="28"/>
        <v>45416</v>
      </c>
      <c r="D143" s="46">
        <f>SUMIFS(Einzelbeträge!$D:$D,Einzelbeträge!$C:$C,'Ausgaben 2024'!$C143)</f>
        <v>0</v>
      </c>
      <c r="E143" s="21">
        <f>SUMIFS(Einzelbeträge!$D:$D,Einzelbeträge!$C:$C,'Ausgaben 2024'!$C143,Einzelbeträge!$E:$E,'Ausgaben 2024'!E$6)</f>
        <v>0</v>
      </c>
      <c r="F143" s="21">
        <f>SUMIFS(Einzelbeträge!$D:$D,Einzelbeträge!$C:$C,'Ausgaben 2024'!$C143,Einzelbeträge!$E:$E,'Ausgaben 2024'!F$6)</f>
        <v>0</v>
      </c>
      <c r="G143" s="21">
        <f>SUMIFS(Einzelbeträge!$D:$D,Einzelbeträge!$C:$C,'Ausgaben 2024'!$C143,Einzelbeträge!$E:$E,'Ausgaben 2024'!G$6)</f>
        <v>0</v>
      </c>
      <c r="H143" s="21">
        <f>SUMIFS(Einzelbeträge!$D:$D,Einzelbeträge!$C:$C,'Ausgaben 2024'!$C143,Einzelbeträge!$E:$E,'Ausgaben 2024'!H$6)</f>
        <v>0</v>
      </c>
      <c r="I143" s="21">
        <f>SUMIFS(Einzelbeträge!$D:$D,Einzelbeträge!$C:$C,'Ausgaben 2024'!$C143,Einzelbeträge!$E:$E,'Ausgaben 2024'!I$6)</f>
        <v>0</v>
      </c>
      <c r="J143" s="21">
        <f>SUMIFS(Einzelbeträge!$D:$D,Einzelbeträge!$C:$C,'Ausgaben 2024'!$C143,Einzelbeträge!$E:$E,'Ausgaben 2024'!J$6)</f>
        <v>0</v>
      </c>
      <c r="K143" s="21">
        <f>SUMIFS(Einzelbeträge!$D:$D,Einzelbeträge!$C:$C,'Ausgaben 2024'!$C143,Einzelbeträge!$E:$E,'Ausgaben 2024'!K$6)</f>
        <v>0</v>
      </c>
      <c r="L143" s="21">
        <f>SUMIFS(Einzelbeträge!$D:$D,Einzelbeträge!$C:$C,'Ausgaben 2024'!$C143,Einzelbeträge!$E:$E,'Ausgaben 2024'!L$6)</f>
        <v>0</v>
      </c>
      <c r="M143" s="21">
        <f>SUMIFS(Einzelbeträge!$D:$D,Einzelbeträge!$C:$C,'Ausgaben 2024'!$C143,Einzelbeträge!$E:$E,'Ausgaben 2024'!M$6)</f>
        <v>0</v>
      </c>
      <c r="N143" s="35">
        <f>SUMIFS(Einzelbeträge!$D:$D,Einzelbeträge!$C:$C,'Ausgaben 2024'!$C143,Einzelbeträge!$E:$E,'Ausgaben 2024'!N$6)</f>
        <v>0</v>
      </c>
      <c r="O143" s="6"/>
    </row>
    <row r="144" spans="2:15" x14ac:dyDescent="0.35">
      <c r="B144" s="5"/>
      <c r="C144" s="40">
        <f t="shared" si="28"/>
        <v>45417</v>
      </c>
      <c r="D144" s="46">
        <f>SUMIFS(Einzelbeträge!$D:$D,Einzelbeträge!$C:$C,'Ausgaben 2024'!$C144)</f>
        <v>0</v>
      </c>
      <c r="E144" s="21">
        <f>SUMIFS(Einzelbeträge!$D:$D,Einzelbeträge!$C:$C,'Ausgaben 2024'!$C144,Einzelbeträge!$E:$E,'Ausgaben 2024'!E$6)</f>
        <v>0</v>
      </c>
      <c r="F144" s="21">
        <f>SUMIFS(Einzelbeträge!$D:$D,Einzelbeträge!$C:$C,'Ausgaben 2024'!$C144,Einzelbeträge!$E:$E,'Ausgaben 2024'!F$6)</f>
        <v>0</v>
      </c>
      <c r="G144" s="21">
        <f>SUMIFS(Einzelbeträge!$D:$D,Einzelbeträge!$C:$C,'Ausgaben 2024'!$C144,Einzelbeträge!$E:$E,'Ausgaben 2024'!G$6)</f>
        <v>0</v>
      </c>
      <c r="H144" s="21">
        <f>SUMIFS(Einzelbeträge!$D:$D,Einzelbeträge!$C:$C,'Ausgaben 2024'!$C144,Einzelbeträge!$E:$E,'Ausgaben 2024'!H$6)</f>
        <v>0</v>
      </c>
      <c r="I144" s="21">
        <f>SUMIFS(Einzelbeträge!$D:$D,Einzelbeträge!$C:$C,'Ausgaben 2024'!$C144,Einzelbeträge!$E:$E,'Ausgaben 2024'!I$6)</f>
        <v>0</v>
      </c>
      <c r="J144" s="21">
        <f>SUMIFS(Einzelbeträge!$D:$D,Einzelbeträge!$C:$C,'Ausgaben 2024'!$C144,Einzelbeträge!$E:$E,'Ausgaben 2024'!J$6)</f>
        <v>0</v>
      </c>
      <c r="K144" s="21">
        <f>SUMIFS(Einzelbeträge!$D:$D,Einzelbeträge!$C:$C,'Ausgaben 2024'!$C144,Einzelbeträge!$E:$E,'Ausgaben 2024'!K$6)</f>
        <v>0</v>
      </c>
      <c r="L144" s="21">
        <f>SUMIFS(Einzelbeträge!$D:$D,Einzelbeträge!$C:$C,'Ausgaben 2024'!$C144,Einzelbeträge!$E:$E,'Ausgaben 2024'!L$6)</f>
        <v>0</v>
      </c>
      <c r="M144" s="21">
        <f>SUMIFS(Einzelbeträge!$D:$D,Einzelbeträge!$C:$C,'Ausgaben 2024'!$C144,Einzelbeträge!$E:$E,'Ausgaben 2024'!M$6)</f>
        <v>0</v>
      </c>
      <c r="N144" s="35">
        <f>SUMIFS(Einzelbeträge!$D:$D,Einzelbeträge!$C:$C,'Ausgaben 2024'!$C144,Einzelbeträge!$E:$E,'Ausgaben 2024'!N$6)</f>
        <v>0</v>
      </c>
      <c r="O144" s="6"/>
    </row>
    <row r="145" spans="2:15" x14ac:dyDescent="0.35">
      <c r="B145" s="5"/>
      <c r="C145" s="40">
        <f t="shared" si="28"/>
        <v>45418</v>
      </c>
      <c r="D145" s="46">
        <f>SUMIFS(Einzelbeträge!$D:$D,Einzelbeträge!$C:$C,'Ausgaben 2024'!$C145)</f>
        <v>0</v>
      </c>
      <c r="E145" s="21">
        <f>SUMIFS(Einzelbeträge!$D:$D,Einzelbeträge!$C:$C,'Ausgaben 2024'!$C145,Einzelbeträge!$E:$E,'Ausgaben 2024'!E$6)</f>
        <v>0</v>
      </c>
      <c r="F145" s="21">
        <f>SUMIFS(Einzelbeträge!$D:$D,Einzelbeträge!$C:$C,'Ausgaben 2024'!$C145,Einzelbeträge!$E:$E,'Ausgaben 2024'!F$6)</f>
        <v>0</v>
      </c>
      <c r="G145" s="21">
        <f>SUMIFS(Einzelbeträge!$D:$D,Einzelbeträge!$C:$C,'Ausgaben 2024'!$C145,Einzelbeträge!$E:$E,'Ausgaben 2024'!G$6)</f>
        <v>0</v>
      </c>
      <c r="H145" s="21">
        <f>SUMIFS(Einzelbeträge!$D:$D,Einzelbeträge!$C:$C,'Ausgaben 2024'!$C145,Einzelbeträge!$E:$E,'Ausgaben 2024'!H$6)</f>
        <v>0</v>
      </c>
      <c r="I145" s="21">
        <f>SUMIFS(Einzelbeträge!$D:$D,Einzelbeträge!$C:$C,'Ausgaben 2024'!$C145,Einzelbeträge!$E:$E,'Ausgaben 2024'!I$6)</f>
        <v>0</v>
      </c>
      <c r="J145" s="21">
        <f>SUMIFS(Einzelbeträge!$D:$D,Einzelbeträge!$C:$C,'Ausgaben 2024'!$C145,Einzelbeträge!$E:$E,'Ausgaben 2024'!J$6)</f>
        <v>0</v>
      </c>
      <c r="K145" s="21">
        <f>SUMIFS(Einzelbeträge!$D:$D,Einzelbeträge!$C:$C,'Ausgaben 2024'!$C145,Einzelbeträge!$E:$E,'Ausgaben 2024'!K$6)</f>
        <v>0</v>
      </c>
      <c r="L145" s="21">
        <f>SUMIFS(Einzelbeträge!$D:$D,Einzelbeträge!$C:$C,'Ausgaben 2024'!$C145,Einzelbeträge!$E:$E,'Ausgaben 2024'!L$6)</f>
        <v>0</v>
      </c>
      <c r="M145" s="21">
        <f>SUMIFS(Einzelbeträge!$D:$D,Einzelbeträge!$C:$C,'Ausgaben 2024'!$C145,Einzelbeträge!$E:$E,'Ausgaben 2024'!M$6)</f>
        <v>0</v>
      </c>
      <c r="N145" s="35">
        <f>SUMIFS(Einzelbeträge!$D:$D,Einzelbeträge!$C:$C,'Ausgaben 2024'!$C145,Einzelbeträge!$E:$E,'Ausgaben 2024'!N$6)</f>
        <v>0</v>
      </c>
      <c r="O145" s="6"/>
    </row>
    <row r="146" spans="2:15" x14ac:dyDescent="0.35">
      <c r="B146" s="5"/>
      <c r="C146" s="40">
        <f t="shared" si="28"/>
        <v>45419</v>
      </c>
      <c r="D146" s="46">
        <f>SUMIFS(Einzelbeträge!$D:$D,Einzelbeträge!$C:$C,'Ausgaben 2024'!$C146)</f>
        <v>0</v>
      </c>
      <c r="E146" s="21">
        <f>SUMIFS(Einzelbeträge!$D:$D,Einzelbeträge!$C:$C,'Ausgaben 2024'!$C146,Einzelbeträge!$E:$E,'Ausgaben 2024'!E$6)</f>
        <v>0</v>
      </c>
      <c r="F146" s="21">
        <f>SUMIFS(Einzelbeträge!$D:$D,Einzelbeträge!$C:$C,'Ausgaben 2024'!$C146,Einzelbeträge!$E:$E,'Ausgaben 2024'!F$6)</f>
        <v>0</v>
      </c>
      <c r="G146" s="21">
        <f>SUMIFS(Einzelbeträge!$D:$D,Einzelbeträge!$C:$C,'Ausgaben 2024'!$C146,Einzelbeträge!$E:$E,'Ausgaben 2024'!G$6)</f>
        <v>0</v>
      </c>
      <c r="H146" s="21">
        <f>SUMIFS(Einzelbeträge!$D:$D,Einzelbeträge!$C:$C,'Ausgaben 2024'!$C146,Einzelbeträge!$E:$E,'Ausgaben 2024'!H$6)</f>
        <v>0</v>
      </c>
      <c r="I146" s="21">
        <f>SUMIFS(Einzelbeträge!$D:$D,Einzelbeträge!$C:$C,'Ausgaben 2024'!$C146,Einzelbeträge!$E:$E,'Ausgaben 2024'!I$6)</f>
        <v>0</v>
      </c>
      <c r="J146" s="21">
        <f>SUMIFS(Einzelbeträge!$D:$D,Einzelbeträge!$C:$C,'Ausgaben 2024'!$C146,Einzelbeträge!$E:$E,'Ausgaben 2024'!J$6)</f>
        <v>0</v>
      </c>
      <c r="K146" s="21">
        <f>SUMIFS(Einzelbeträge!$D:$D,Einzelbeträge!$C:$C,'Ausgaben 2024'!$C146,Einzelbeträge!$E:$E,'Ausgaben 2024'!K$6)</f>
        <v>0</v>
      </c>
      <c r="L146" s="21">
        <f>SUMIFS(Einzelbeträge!$D:$D,Einzelbeträge!$C:$C,'Ausgaben 2024'!$C146,Einzelbeträge!$E:$E,'Ausgaben 2024'!L$6)</f>
        <v>0</v>
      </c>
      <c r="M146" s="21">
        <f>SUMIFS(Einzelbeträge!$D:$D,Einzelbeträge!$C:$C,'Ausgaben 2024'!$C146,Einzelbeträge!$E:$E,'Ausgaben 2024'!M$6)</f>
        <v>0</v>
      </c>
      <c r="N146" s="35">
        <f>SUMIFS(Einzelbeträge!$D:$D,Einzelbeträge!$C:$C,'Ausgaben 2024'!$C146,Einzelbeträge!$E:$E,'Ausgaben 2024'!N$6)</f>
        <v>0</v>
      </c>
      <c r="O146" s="6"/>
    </row>
    <row r="147" spans="2:15" x14ac:dyDescent="0.35">
      <c r="B147" s="5"/>
      <c r="C147" s="40">
        <f t="shared" si="28"/>
        <v>45420</v>
      </c>
      <c r="D147" s="46">
        <f>SUMIFS(Einzelbeträge!$D:$D,Einzelbeträge!$C:$C,'Ausgaben 2024'!$C147)</f>
        <v>0</v>
      </c>
      <c r="E147" s="21">
        <f>SUMIFS(Einzelbeträge!$D:$D,Einzelbeträge!$C:$C,'Ausgaben 2024'!$C147,Einzelbeträge!$E:$E,'Ausgaben 2024'!E$6)</f>
        <v>0</v>
      </c>
      <c r="F147" s="21">
        <f>SUMIFS(Einzelbeträge!$D:$D,Einzelbeträge!$C:$C,'Ausgaben 2024'!$C147,Einzelbeträge!$E:$E,'Ausgaben 2024'!F$6)</f>
        <v>0</v>
      </c>
      <c r="G147" s="21">
        <f>SUMIFS(Einzelbeträge!$D:$D,Einzelbeträge!$C:$C,'Ausgaben 2024'!$C147,Einzelbeträge!$E:$E,'Ausgaben 2024'!G$6)</f>
        <v>0</v>
      </c>
      <c r="H147" s="21">
        <f>SUMIFS(Einzelbeträge!$D:$D,Einzelbeträge!$C:$C,'Ausgaben 2024'!$C147,Einzelbeträge!$E:$E,'Ausgaben 2024'!H$6)</f>
        <v>0</v>
      </c>
      <c r="I147" s="21">
        <f>SUMIFS(Einzelbeträge!$D:$D,Einzelbeträge!$C:$C,'Ausgaben 2024'!$C147,Einzelbeträge!$E:$E,'Ausgaben 2024'!I$6)</f>
        <v>0</v>
      </c>
      <c r="J147" s="21">
        <f>SUMIFS(Einzelbeträge!$D:$D,Einzelbeträge!$C:$C,'Ausgaben 2024'!$C147,Einzelbeträge!$E:$E,'Ausgaben 2024'!J$6)</f>
        <v>0</v>
      </c>
      <c r="K147" s="21">
        <f>SUMIFS(Einzelbeträge!$D:$D,Einzelbeträge!$C:$C,'Ausgaben 2024'!$C147,Einzelbeträge!$E:$E,'Ausgaben 2024'!K$6)</f>
        <v>0</v>
      </c>
      <c r="L147" s="21">
        <f>SUMIFS(Einzelbeträge!$D:$D,Einzelbeträge!$C:$C,'Ausgaben 2024'!$C147,Einzelbeträge!$E:$E,'Ausgaben 2024'!L$6)</f>
        <v>0</v>
      </c>
      <c r="M147" s="21">
        <f>SUMIFS(Einzelbeträge!$D:$D,Einzelbeträge!$C:$C,'Ausgaben 2024'!$C147,Einzelbeträge!$E:$E,'Ausgaben 2024'!M$6)</f>
        <v>0</v>
      </c>
      <c r="N147" s="35">
        <f>SUMIFS(Einzelbeträge!$D:$D,Einzelbeträge!$C:$C,'Ausgaben 2024'!$C147,Einzelbeträge!$E:$E,'Ausgaben 2024'!N$6)</f>
        <v>0</v>
      </c>
      <c r="O147" s="6"/>
    </row>
    <row r="148" spans="2:15" x14ac:dyDescent="0.35">
      <c r="B148" s="5"/>
      <c r="C148" s="40">
        <f t="shared" si="28"/>
        <v>45421</v>
      </c>
      <c r="D148" s="46">
        <f>SUMIFS(Einzelbeträge!$D:$D,Einzelbeträge!$C:$C,'Ausgaben 2024'!$C148)</f>
        <v>0</v>
      </c>
      <c r="E148" s="21">
        <f>SUMIFS(Einzelbeträge!$D:$D,Einzelbeträge!$C:$C,'Ausgaben 2024'!$C148,Einzelbeträge!$E:$E,'Ausgaben 2024'!E$6)</f>
        <v>0</v>
      </c>
      <c r="F148" s="21">
        <f>SUMIFS(Einzelbeträge!$D:$D,Einzelbeträge!$C:$C,'Ausgaben 2024'!$C148,Einzelbeträge!$E:$E,'Ausgaben 2024'!F$6)</f>
        <v>0</v>
      </c>
      <c r="G148" s="21">
        <f>SUMIFS(Einzelbeträge!$D:$D,Einzelbeträge!$C:$C,'Ausgaben 2024'!$C148,Einzelbeträge!$E:$E,'Ausgaben 2024'!G$6)</f>
        <v>0</v>
      </c>
      <c r="H148" s="21">
        <f>SUMIFS(Einzelbeträge!$D:$D,Einzelbeträge!$C:$C,'Ausgaben 2024'!$C148,Einzelbeträge!$E:$E,'Ausgaben 2024'!H$6)</f>
        <v>0</v>
      </c>
      <c r="I148" s="21">
        <f>SUMIFS(Einzelbeträge!$D:$D,Einzelbeträge!$C:$C,'Ausgaben 2024'!$C148,Einzelbeträge!$E:$E,'Ausgaben 2024'!I$6)</f>
        <v>0</v>
      </c>
      <c r="J148" s="21">
        <f>SUMIFS(Einzelbeträge!$D:$D,Einzelbeträge!$C:$C,'Ausgaben 2024'!$C148,Einzelbeträge!$E:$E,'Ausgaben 2024'!J$6)</f>
        <v>0</v>
      </c>
      <c r="K148" s="21">
        <f>SUMIFS(Einzelbeträge!$D:$D,Einzelbeträge!$C:$C,'Ausgaben 2024'!$C148,Einzelbeträge!$E:$E,'Ausgaben 2024'!K$6)</f>
        <v>0</v>
      </c>
      <c r="L148" s="21">
        <f>SUMIFS(Einzelbeträge!$D:$D,Einzelbeträge!$C:$C,'Ausgaben 2024'!$C148,Einzelbeträge!$E:$E,'Ausgaben 2024'!L$6)</f>
        <v>0</v>
      </c>
      <c r="M148" s="21">
        <f>SUMIFS(Einzelbeträge!$D:$D,Einzelbeträge!$C:$C,'Ausgaben 2024'!$C148,Einzelbeträge!$E:$E,'Ausgaben 2024'!M$6)</f>
        <v>0</v>
      </c>
      <c r="N148" s="35">
        <f>SUMIFS(Einzelbeträge!$D:$D,Einzelbeträge!$C:$C,'Ausgaben 2024'!$C148,Einzelbeträge!$E:$E,'Ausgaben 2024'!N$6)</f>
        <v>0</v>
      </c>
      <c r="O148" s="6"/>
    </row>
    <row r="149" spans="2:15" x14ac:dyDescent="0.35">
      <c r="B149" s="5"/>
      <c r="C149" s="40">
        <f t="shared" si="28"/>
        <v>45422</v>
      </c>
      <c r="D149" s="46">
        <f>SUMIFS(Einzelbeträge!$D:$D,Einzelbeträge!$C:$C,'Ausgaben 2024'!$C149)</f>
        <v>0</v>
      </c>
      <c r="E149" s="21">
        <f>SUMIFS(Einzelbeträge!$D:$D,Einzelbeträge!$C:$C,'Ausgaben 2024'!$C149,Einzelbeträge!$E:$E,'Ausgaben 2024'!E$6)</f>
        <v>0</v>
      </c>
      <c r="F149" s="21">
        <f>SUMIFS(Einzelbeträge!$D:$D,Einzelbeträge!$C:$C,'Ausgaben 2024'!$C149,Einzelbeträge!$E:$E,'Ausgaben 2024'!F$6)</f>
        <v>0</v>
      </c>
      <c r="G149" s="21">
        <f>SUMIFS(Einzelbeträge!$D:$D,Einzelbeträge!$C:$C,'Ausgaben 2024'!$C149,Einzelbeträge!$E:$E,'Ausgaben 2024'!G$6)</f>
        <v>0</v>
      </c>
      <c r="H149" s="21">
        <f>SUMIFS(Einzelbeträge!$D:$D,Einzelbeträge!$C:$C,'Ausgaben 2024'!$C149,Einzelbeträge!$E:$E,'Ausgaben 2024'!H$6)</f>
        <v>0</v>
      </c>
      <c r="I149" s="21">
        <f>SUMIFS(Einzelbeträge!$D:$D,Einzelbeträge!$C:$C,'Ausgaben 2024'!$C149,Einzelbeträge!$E:$E,'Ausgaben 2024'!I$6)</f>
        <v>0</v>
      </c>
      <c r="J149" s="21">
        <f>SUMIFS(Einzelbeträge!$D:$D,Einzelbeträge!$C:$C,'Ausgaben 2024'!$C149,Einzelbeträge!$E:$E,'Ausgaben 2024'!J$6)</f>
        <v>0</v>
      </c>
      <c r="K149" s="21">
        <f>SUMIFS(Einzelbeträge!$D:$D,Einzelbeträge!$C:$C,'Ausgaben 2024'!$C149,Einzelbeträge!$E:$E,'Ausgaben 2024'!K$6)</f>
        <v>0</v>
      </c>
      <c r="L149" s="21">
        <f>SUMIFS(Einzelbeträge!$D:$D,Einzelbeträge!$C:$C,'Ausgaben 2024'!$C149,Einzelbeträge!$E:$E,'Ausgaben 2024'!L$6)</f>
        <v>0</v>
      </c>
      <c r="M149" s="21">
        <f>SUMIFS(Einzelbeträge!$D:$D,Einzelbeträge!$C:$C,'Ausgaben 2024'!$C149,Einzelbeträge!$E:$E,'Ausgaben 2024'!M$6)</f>
        <v>0</v>
      </c>
      <c r="N149" s="35">
        <f>SUMIFS(Einzelbeträge!$D:$D,Einzelbeträge!$C:$C,'Ausgaben 2024'!$C149,Einzelbeträge!$E:$E,'Ausgaben 2024'!N$6)</f>
        <v>0</v>
      </c>
      <c r="O149" s="6"/>
    </row>
    <row r="150" spans="2:15" x14ac:dyDescent="0.35">
      <c r="B150" s="5"/>
      <c r="C150" s="40">
        <f t="shared" si="28"/>
        <v>45423</v>
      </c>
      <c r="D150" s="46">
        <f>SUMIFS(Einzelbeträge!$D:$D,Einzelbeträge!$C:$C,'Ausgaben 2024'!$C150)</f>
        <v>0</v>
      </c>
      <c r="E150" s="21">
        <f>SUMIFS(Einzelbeträge!$D:$D,Einzelbeträge!$C:$C,'Ausgaben 2024'!$C150,Einzelbeträge!$E:$E,'Ausgaben 2024'!E$6)</f>
        <v>0</v>
      </c>
      <c r="F150" s="21">
        <f>SUMIFS(Einzelbeträge!$D:$D,Einzelbeträge!$C:$C,'Ausgaben 2024'!$C150,Einzelbeträge!$E:$E,'Ausgaben 2024'!F$6)</f>
        <v>0</v>
      </c>
      <c r="G150" s="21">
        <f>SUMIFS(Einzelbeträge!$D:$D,Einzelbeträge!$C:$C,'Ausgaben 2024'!$C150,Einzelbeträge!$E:$E,'Ausgaben 2024'!G$6)</f>
        <v>0</v>
      </c>
      <c r="H150" s="21">
        <f>SUMIFS(Einzelbeträge!$D:$D,Einzelbeträge!$C:$C,'Ausgaben 2024'!$C150,Einzelbeträge!$E:$E,'Ausgaben 2024'!H$6)</f>
        <v>0</v>
      </c>
      <c r="I150" s="21">
        <f>SUMIFS(Einzelbeträge!$D:$D,Einzelbeträge!$C:$C,'Ausgaben 2024'!$C150,Einzelbeträge!$E:$E,'Ausgaben 2024'!I$6)</f>
        <v>0</v>
      </c>
      <c r="J150" s="21">
        <f>SUMIFS(Einzelbeträge!$D:$D,Einzelbeträge!$C:$C,'Ausgaben 2024'!$C150,Einzelbeträge!$E:$E,'Ausgaben 2024'!J$6)</f>
        <v>0</v>
      </c>
      <c r="K150" s="21">
        <f>SUMIFS(Einzelbeträge!$D:$D,Einzelbeträge!$C:$C,'Ausgaben 2024'!$C150,Einzelbeträge!$E:$E,'Ausgaben 2024'!K$6)</f>
        <v>0</v>
      </c>
      <c r="L150" s="21">
        <f>SUMIFS(Einzelbeträge!$D:$D,Einzelbeträge!$C:$C,'Ausgaben 2024'!$C150,Einzelbeträge!$E:$E,'Ausgaben 2024'!L$6)</f>
        <v>0</v>
      </c>
      <c r="M150" s="21">
        <f>SUMIFS(Einzelbeträge!$D:$D,Einzelbeträge!$C:$C,'Ausgaben 2024'!$C150,Einzelbeträge!$E:$E,'Ausgaben 2024'!M$6)</f>
        <v>0</v>
      </c>
      <c r="N150" s="35">
        <f>SUMIFS(Einzelbeträge!$D:$D,Einzelbeträge!$C:$C,'Ausgaben 2024'!$C150,Einzelbeträge!$E:$E,'Ausgaben 2024'!N$6)</f>
        <v>0</v>
      </c>
      <c r="O150" s="6"/>
    </row>
    <row r="151" spans="2:15" x14ac:dyDescent="0.35">
      <c r="B151" s="5"/>
      <c r="C151" s="40">
        <f t="shared" si="28"/>
        <v>45424</v>
      </c>
      <c r="D151" s="46">
        <f>SUMIFS(Einzelbeträge!$D:$D,Einzelbeträge!$C:$C,'Ausgaben 2024'!$C151)</f>
        <v>0</v>
      </c>
      <c r="E151" s="21">
        <f>SUMIFS(Einzelbeträge!$D:$D,Einzelbeträge!$C:$C,'Ausgaben 2024'!$C151,Einzelbeträge!$E:$E,'Ausgaben 2024'!E$6)</f>
        <v>0</v>
      </c>
      <c r="F151" s="21">
        <f>SUMIFS(Einzelbeträge!$D:$D,Einzelbeträge!$C:$C,'Ausgaben 2024'!$C151,Einzelbeträge!$E:$E,'Ausgaben 2024'!F$6)</f>
        <v>0</v>
      </c>
      <c r="G151" s="21">
        <f>SUMIFS(Einzelbeträge!$D:$D,Einzelbeträge!$C:$C,'Ausgaben 2024'!$C151,Einzelbeträge!$E:$E,'Ausgaben 2024'!G$6)</f>
        <v>0</v>
      </c>
      <c r="H151" s="21">
        <f>SUMIFS(Einzelbeträge!$D:$D,Einzelbeträge!$C:$C,'Ausgaben 2024'!$C151,Einzelbeträge!$E:$E,'Ausgaben 2024'!H$6)</f>
        <v>0</v>
      </c>
      <c r="I151" s="21">
        <f>SUMIFS(Einzelbeträge!$D:$D,Einzelbeträge!$C:$C,'Ausgaben 2024'!$C151,Einzelbeträge!$E:$E,'Ausgaben 2024'!I$6)</f>
        <v>0</v>
      </c>
      <c r="J151" s="21">
        <f>SUMIFS(Einzelbeträge!$D:$D,Einzelbeträge!$C:$C,'Ausgaben 2024'!$C151,Einzelbeträge!$E:$E,'Ausgaben 2024'!J$6)</f>
        <v>0</v>
      </c>
      <c r="K151" s="21">
        <f>SUMIFS(Einzelbeträge!$D:$D,Einzelbeträge!$C:$C,'Ausgaben 2024'!$C151,Einzelbeträge!$E:$E,'Ausgaben 2024'!K$6)</f>
        <v>0</v>
      </c>
      <c r="L151" s="21">
        <f>SUMIFS(Einzelbeträge!$D:$D,Einzelbeträge!$C:$C,'Ausgaben 2024'!$C151,Einzelbeträge!$E:$E,'Ausgaben 2024'!L$6)</f>
        <v>0</v>
      </c>
      <c r="M151" s="21">
        <f>SUMIFS(Einzelbeträge!$D:$D,Einzelbeträge!$C:$C,'Ausgaben 2024'!$C151,Einzelbeträge!$E:$E,'Ausgaben 2024'!M$6)</f>
        <v>0</v>
      </c>
      <c r="N151" s="35">
        <f>SUMIFS(Einzelbeträge!$D:$D,Einzelbeträge!$C:$C,'Ausgaben 2024'!$C151,Einzelbeträge!$E:$E,'Ausgaben 2024'!N$6)</f>
        <v>0</v>
      </c>
      <c r="O151" s="6"/>
    </row>
    <row r="152" spans="2:15" x14ac:dyDescent="0.35">
      <c r="B152" s="5"/>
      <c r="C152" s="40">
        <f t="shared" si="28"/>
        <v>45425</v>
      </c>
      <c r="D152" s="46">
        <f>SUMIFS(Einzelbeträge!$D:$D,Einzelbeträge!$C:$C,'Ausgaben 2024'!$C152)</f>
        <v>0</v>
      </c>
      <c r="E152" s="21">
        <f>SUMIFS(Einzelbeträge!$D:$D,Einzelbeträge!$C:$C,'Ausgaben 2024'!$C152,Einzelbeträge!$E:$E,'Ausgaben 2024'!E$6)</f>
        <v>0</v>
      </c>
      <c r="F152" s="21">
        <f>SUMIFS(Einzelbeträge!$D:$D,Einzelbeträge!$C:$C,'Ausgaben 2024'!$C152,Einzelbeträge!$E:$E,'Ausgaben 2024'!F$6)</f>
        <v>0</v>
      </c>
      <c r="G152" s="21">
        <f>SUMIFS(Einzelbeträge!$D:$D,Einzelbeträge!$C:$C,'Ausgaben 2024'!$C152,Einzelbeträge!$E:$E,'Ausgaben 2024'!G$6)</f>
        <v>0</v>
      </c>
      <c r="H152" s="21">
        <f>SUMIFS(Einzelbeträge!$D:$D,Einzelbeträge!$C:$C,'Ausgaben 2024'!$C152,Einzelbeträge!$E:$E,'Ausgaben 2024'!H$6)</f>
        <v>0</v>
      </c>
      <c r="I152" s="21">
        <f>SUMIFS(Einzelbeträge!$D:$D,Einzelbeträge!$C:$C,'Ausgaben 2024'!$C152,Einzelbeträge!$E:$E,'Ausgaben 2024'!I$6)</f>
        <v>0</v>
      </c>
      <c r="J152" s="21">
        <f>SUMIFS(Einzelbeträge!$D:$D,Einzelbeträge!$C:$C,'Ausgaben 2024'!$C152,Einzelbeträge!$E:$E,'Ausgaben 2024'!J$6)</f>
        <v>0</v>
      </c>
      <c r="K152" s="21">
        <f>SUMIFS(Einzelbeträge!$D:$D,Einzelbeträge!$C:$C,'Ausgaben 2024'!$C152,Einzelbeträge!$E:$E,'Ausgaben 2024'!K$6)</f>
        <v>0</v>
      </c>
      <c r="L152" s="21">
        <f>SUMIFS(Einzelbeträge!$D:$D,Einzelbeträge!$C:$C,'Ausgaben 2024'!$C152,Einzelbeträge!$E:$E,'Ausgaben 2024'!L$6)</f>
        <v>0</v>
      </c>
      <c r="M152" s="21">
        <f>SUMIFS(Einzelbeträge!$D:$D,Einzelbeträge!$C:$C,'Ausgaben 2024'!$C152,Einzelbeträge!$E:$E,'Ausgaben 2024'!M$6)</f>
        <v>0</v>
      </c>
      <c r="N152" s="35">
        <f>SUMIFS(Einzelbeträge!$D:$D,Einzelbeträge!$C:$C,'Ausgaben 2024'!$C152,Einzelbeträge!$E:$E,'Ausgaben 2024'!N$6)</f>
        <v>0</v>
      </c>
      <c r="O152" s="6"/>
    </row>
    <row r="153" spans="2:15" x14ac:dyDescent="0.35">
      <c r="B153" s="5"/>
      <c r="C153" s="40">
        <f t="shared" si="28"/>
        <v>45426</v>
      </c>
      <c r="D153" s="46">
        <f>SUMIFS(Einzelbeträge!$D:$D,Einzelbeträge!$C:$C,'Ausgaben 2024'!$C153)</f>
        <v>0</v>
      </c>
      <c r="E153" s="21">
        <f>SUMIFS(Einzelbeträge!$D:$D,Einzelbeträge!$C:$C,'Ausgaben 2024'!$C153,Einzelbeträge!$E:$E,'Ausgaben 2024'!E$6)</f>
        <v>0</v>
      </c>
      <c r="F153" s="21">
        <f>SUMIFS(Einzelbeträge!$D:$D,Einzelbeträge!$C:$C,'Ausgaben 2024'!$C153,Einzelbeträge!$E:$E,'Ausgaben 2024'!F$6)</f>
        <v>0</v>
      </c>
      <c r="G153" s="21">
        <f>SUMIFS(Einzelbeträge!$D:$D,Einzelbeträge!$C:$C,'Ausgaben 2024'!$C153,Einzelbeträge!$E:$E,'Ausgaben 2024'!G$6)</f>
        <v>0</v>
      </c>
      <c r="H153" s="21">
        <f>SUMIFS(Einzelbeträge!$D:$D,Einzelbeträge!$C:$C,'Ausgaben 2024'!$C153,Einzelbeträge!$E:$E,'Ausgaben 2024'!H$6)</f>
        <v>0</v>
      </c>
      <c r="I153" s="21">
        <f>SUMIFS(Einzelbeträge!$D:$D,Einzelbeträge!$C:$C,'Ausgaben 2024'!$C153,Einzelbeträge!$E:$E,'Ausgaben 2024'!I$6)</f>
        <v>0</v>
      </c>
      <c r="J153" s="21">
        <f>SUMIFS(Einzelbeträge!$D:$D,Einzelbeträge!$C:$C,'Ausgaben 2024'!$C153,Einzelbeträge!$E:$E,'Ausgaben 2024'!J$6)</f>
        <v>0</v>
      </c>
      <c r="K153" s="21">
        <f>SUMIFS(Einzelbeträge!$D:$D,Einzelbeträge!$C:$C,'Ausgaben 2024'!$C153,Einzelbeträge!$E:$E,'Ausgaben 2024'!K$6)</f>
        <v>0</v>
      </c>
      <c r="L153" s="21">
        <f>SUMIFS(Einzelbeträge!$D:$D,Einzelbeträge!$C:$C,'Ausgaben 2024'!$C153,Einzelbeträge!$E:$E,'Ausgaben 2024'!L$6)</f>
        <v>0</v>
      </c>
      <c r="M153" s="21">
        <f>SUMIFS(Einzelbeträge!$D:$D,Einzelbeträge!$C:$C,'Ausgaben 2024'!$C153,Einzelbeträge!$E:$E,'Ausgaben 2024'!M$6)</f>
        <v>0</v>
      </c>
      <c r="N153" s="35">
        <f>SUMIFS(Einzelbeträge!$D:$D,Einzelbeträge!$C:$C,'Ausgaben 2024'!$C153,Einzelbeträge!$E:$E,'Ausgaben 2024'!N$6)</f>
        <v>0</v>
      </c>
      <c r="O153" s="6"/>
    </row>
    <row r="154" spans="2:15" x14ac:dyDescent="0.35">
      <c r="B154" s="5"/>
      <c r="C154" s="40">
        <f t="shared" si="28"/>
        <v>45427</v>
      </c>
      <c r="D154" s="46">
        <f>SUMIFS(Einzelbeträge!$D:$D,Einzelbeträge!$C:$C,'Ausgaben 2024'!$C154)</f>
        <v>0</v>
      </c>
      <c r="E154" s="21">
        <f>SUMIFS(Einzelbeträge!$D:$D,Einzelbeträge!$C:$C,'Ausgaben 2024'!$C154,Einzelbeträge!$E:$E,'Ausgaben 2024'!E$6)</f>
        <v>0</v>
      </c>
      <c r="F154" s="21">
        <f>SUMIFS(Einzelbeträge!$D:$D,Einzelbeträge!$C:$C,'Ausgaben 2024'!$C154,Einzelbeträge!$E:$E,'Ausgaben 2024'!F$6)</f>
        <v>0</v>
      </c>
      <c r="G154" s="21">
        <f>SUMIFS(Einzelbeträge!$D:$D,Einzelbeträge!$C:$C,'Ausgaben 2024'!$C154,Einzelbeträge!$E:$E,'Ausgaben 2024'!G$6)</f>
        <v>0</v>
      </c>
      <c r="H154" s="21">
        <f>SUMIFS(Einzelbeträge!$D:$D,Einzelbeträge!$C:$C,'Ausgaben 2024'!$C154,Einzelbeträge!$E:$E,'Ausgaben 2024'!H$6)</f>
        <v>0</v>
      </c>
      <c r="I154" s="21">
        <f>SUMIFS(Einzelbeträge!$D:$D,Einzelbeträge!$C:$C,'Ausgaben 2024'!$C154,Einzelbeträge!$E:$E,'Ausgaben 2024'!I$6)</f>
        <v>0</v>
      </c>
      <c r="J154" s="21">
        <f>SUMIFS(Einzelbeträge!$D:$D,Einzelbeträge!$C:$C,'Ausgaben 2024'!$C154,Einzelbeträge!$E:$E,'Ausgaben 2024'!J$6)</f>
        <v>0</v>
      </c>
      <c r="K154" s="21">
        <f>SUMIFS(Einzelbeträge!$D:$D,Einzelbeträge!$C:$C,'Ausgaben 2024'!$C154,Einzelbeträge!$E:$E,'Ausgaben 2024'!K$6)</f>
        <v>0</v>
      </c>
      <c r="L154" s="21">
        <f>SUMIFS(Einzelbeträge!$D:$D,Einzelbeträge!$C:$C,'Ausgaben 2024'!$C154,Einzelbeträge!$E:$E,'Ausgaben 2024'!L$6)</f>
        <v>0</v>
      </c>
      <c r="M154" s="21">
        <f>SUMIFS(Einzelbeträge!$D:$D,Einzelbeträge!$C:$C,'Ausgaben 2024'!$C154,Einzelbeträge!$E:$E,'Ausgaben 2024'!M$6)</f>
        <v>0</v>
      </c>
      <c r="N154" s="35">
        <f>SUMIFS(Einzelbeträge!$D:$D,Einzelbeträge!$C:$C,'Ausgaben 2024'!$C154,Einzelbeträge!$E:$E,'Ausgaben 2024'!N$6)</f>
        <v>0</v>
      </c>
      <c r="O154" s="6"/>
    </row>
    <row r="155" spans="2:15" x14ac:dyDescent="0.35">
      <c r="B155" s="5"/>
      <c r="C155" s="40">
        <f t="shared" si="28"/>
        <v>45428</v>
      </c>
      <c r="D155" s="46">
        <f>SUMIFS(Einzelbeträge!$D:$D,Einzelbeträge!$C:$C,'Ausgaben 2024'!$C155)</f>
        <v>0</v>
      </c>
      <c r="E155" s="21">
        <f>SUMIFS(Einzelbeträge!$D:$D,Einzelbeträge!$C:$C,'Ausgaben 2024'!$C155,Einzelbeträge!$E:$E,'Ausgaben 2024'!E$6)</f>
        <v>0</v>
      </c>
      <c r="F155" s="21">
        <f>SUMIFS(Einzelbeträge!$D:$D,Einzelbeträge!$C:$C,'Ausgaben 2024'!$C155,Einzelbeträge!$E:$E,'Ausgaben 2024'!F$6)</f>
        <v>0</v>
      </c>
      <c r="G155" s="21">
        <f>SUMIFS(Einzelbeträge!$D:$D,Einzelbeträge!$C:$C,'Ausgaben 2024'!$C155,Einzelbeträge!$E:$E,'Ausgaben 2024'!G$6)</f>
        <v>0</v>
      </c>
      <c r="H155" s="21">
        <f>SUMIFS(Einzelbeträge!$D:$D,Einzelbeträge!$C:$C,'Ausgaben 2024'!$C155,Einzelbeträge!$E:$E,'Ausgaben 2024'!H$6)</f>
        <v>0</v>
      </c>
      <c r="I155" s="21">
        <f>SUMIFS(Einzelbeträge!$D:$D,Einzelbeträge!$C:$C,'Ausgaben 2024'!$C155,Einzelbeträge!$E:$E,'Ausgaben 2024'!I$6)</f>
        <v>0</v>
      </c>
      <c r="J155" s="21">
        <f>SUMIFS(Einzelbeträge!$D:$D,Einzelbeträge!$C:$C,'Ausgaben 2024'!$C155,Einzelbeträge!$E:$E,'Ausgaben 2024'!J$6)</f>
        <v>0</v>
      </c>
      <c r="K155" s="21">
        <f>SUMIFS(Einzelbeträge!$D:$D,Einzelbeträge!$C:$C,'Ausgaben 2024'!$C155,Einzelbeträge!$E:$E,'Ausgaben 2024'!K$6)</f>
        <v>0</v>
      </c>
      <c r="L155" s="21">
        <f>SUMIFS(Einzelbeträge!$D:$D,Einzelbeträge!$C:$C,'Ausgaben 2024'!$C155,Einzelbeträge!$E:$E,'Ausgaben 2024'!L$6)</f>
        <v>0</v>
      </c>
      <c r="M155" s="21">
        <f>SUMIFS(Einzelbeträge!$D:$D,Einzelbeträge!$C:$C,'Ausgaben 2024'!$C155,Einzelbeträge!$E:$E,'Ausgaben 2024'!M$6)</f>
        <v>0</v>
      </c>
      <c r="N155" s="35">
        <f>SUMIFS(Einzelbeträge!$D:$D,Einzelbeträge!$C:$C,'Ausgaben 2024'!$C155,Einzelbeträge!$E:$E,'Ausgaben 2024'!N$6)</f>
        <v>0</v>
      </c>
      <c r="O155" s="6"/>
    </row>
    <row r="156" spans="2:15" x14ac:dyDescent="0.35">
      <c r="B156" s="5"/>
      <c r="C156" s="40">
        <f t="shared" si="28"/>
        <v>45429</v>
      </c>
      <c r="D156" s="46">
        <f>SUMIFS(Einzelbeträge!$D:$D,Einzelbeträge!$C:$C,'Ausgaben 2024'!$C156)</f>
        <v>0</v>
      </c>
      <c r="E156" s="21">
        <f>SUMIFS(Einzelbeträge!$D:$D,Einzelbeträge!$C:$C,'Ausgaben 2024'!$C156,Einzelbeträge!$E:$E,'Ausgaben 2024'!E$6)</f>
        <v>0</v>
      </c>
      <c r="F156" s="21">
        <f>SUMIFS(Einzelbeträge!$D:$D,Einzelbeträge!$C:$C,'Ausgaben 2024'!$C156,Einzelbeträge!$E:$E,'Ausgaben 2024'!F$6)</f>
        <v>0</v>
      </c>
      <c r="G156" s="21">
        <f>SUMIFS(Einzelbeträge!$D:$D,Einzelbeträge!$C:$C,'Ausgaben 2024'!$C156,Einzelbeträge!$E:$E,'Ausgaben 2024'!G$6)</f>
        <v>0</v>
      </c>
      <c r="H156" s="21">
        <f>SUMIFS(Einzelbeträge!$D:$D,Einzelbeträge!$C:$C,'Ausgaben 2024'!$C156,Einzelbeträge!$E:$E,'Ausgaben 2024'!H$6)</f>
        <v>0</v>
      </c>
      <c r="I156" s="21">
        <f>SUMIFS(Einzelbeträge!$D:$D,Einzelbeträge!$C:$C,'Ausgaben 2024'!$C156,Einzelbeträge!$E:$E,'Ausgaben 2024'!I$6)</f>
        <v>0</v>
      </c>
      <c r="J156" s="21">
        <f>SUMIFS(Einzelbeträge!$D:$D,Einzelbeträge!$C:$C,'Ausgaben 2024'!$C156,Einzelbeträge!$E:$E,'Ausgaben 2024'!J$6)</f>
        <v>0</v>
      </c>
      <c r="K156" s="21">
        <f>SUMIFS(Einzelbeträge!$D:$D,Einzelbeträge!$C:$C,'Ausgaben 2024'!$C156,Einzelbeträge!$E:$E,'Ausgaben 2024'!K$6)</f>
        <v>0</v>
      </c>
      <c r="L156" s="21">
        <f>SUMIFS(Einzelbeträge!$D:$D,Einzelbeträge!$C:$C,'Ausgaben 2024'!$C156,Einzelbeträge!$E:$E,'Ausgaben 2024'!L$6)</f>
        <v>0</v>
      </c>
      <c r="M156" s="21">
        <f>SUMIFS(Einzelbeträge!$D:$D,Einzelbeträge!$C:$C,'Ausgaben 2024'!$C156,Einzelbeträge!$E:$E,'Ausgaben 2024'!M$6)</f>
        <v>0</v>
      </c>
      <c r="N156" s="35">
        <f>SUMIFS(Einzelbeträge!$D:$D,Einzelbeträge!$C:$C,'Ausgaben 2024'!$C156,Einzelbeträge!$E:$E,'Ausgaben 2024'!N$6)</f>
        <v>0</v>
      </c>
      <c r="O156" s="6"/>
    </row>
    <row r="157" spans="2:15" x14ac:dyDescent="0.35">
      <c r="B157" s="5"/>
      <c r="C157" s="40">
        <f t="shared" si="28"/>
        <v>45430</v>
      </c>
      <c r="D157" s="46">
        <f>SUMIFS(Einzelbeträge!$D:$D,Einzelbeträge!$C:$C,'Ausgaben 2024'!$C157)</f>
        <v>0</v>
      </c>
      <c r="E157" s="21">
        <f>SUMIFS(Einzelbeträge!$D:$D,Einzelbeträge!$C:$C,'Ausgaben 2024'!$C157,Einzelbeträge!$E:$E,'Ausgaben 2024'!E$6)</f>
        <v>0</v>
      </c>
      <c r="F157" s="21">
        <f>SUMIFS(Einzelbeträge!$D:$D,Einzelbeträge!$C:$C,'Ausgaben 2024'!$C157,Einzelbeträge!$E:$E,'Ausgaben 2024'!F$6)</f>
        <v>0</v>
      </c>
      <c r="G157" s="21">
        <f>SUMIFS(Einzelbeträge!$D:$D,Einzelbeträge!$C:$C,'Ausgaben 2024'!$C157,Einzelbeträge!$E:$E,'Ausgaben 2024'!G$6)</f>
        <v>0</v>
      </c>
      <c r="H157" s="21">
        <f>SUMIFS(Einzelbeträge!$D:$D,Einzelbeträge!$C:$C,'Ausgaben 2024'!$C157,Einzelbeträge!$E:$E,'Ausgaben 2024'!H$6)</f>
        <v>0</v>
      </c>
      <c r="I157" s="21">
        <f>SUMIFS(Einzelbeträge!$D:$D,Einzelbeträge!$C:$C,'Ausgaben 2024'!$C157,Einzelbeträge!$E:$E,'Ausgaben 2024'!I$6)</f>
        <v>0</v>
      </c>
      <c r="J157" s="21">
        <f>SUMIFS(Einzelbeträge!$D:$D,Einzelbeträge!$C:$C,'Ausgaben 2024'!$C157,Einzelbeträge!$E:$E,'Ausgaben 2024'!J$6)</f>
        <v>0</v>
      </c>
      <c r="K157" s="21">
        <f>SUMIFS(Einzelbeträge!$D:$D,Einzelbeträge!$C:$C,'Ausgaben 2024'!$C157,Einzelbeträge!$E:$E,'Ausgaben 2024'!K$6)</f>
        <v>0</v>
      </c>
      <c r="L157" s="21">
        <f>SUMIFS(Einzelbeträge!$D:$D,Einzelbeträge!$C:$C,'Ausgaben 2024'!$C157,Einzelbeträge!$E:$E,'Ausgaben 2024'!L$6)</f>
        <v>0</v>
      </c>
      <c r="M157" s="21">
        <f>SUMIFS(Einzelbeträge!$D:$D,Einzelbeträge!$C:$C,'Ausgaben 2024'!$C157,Einzelbeträge!$E:$E,'Ausgaben 2024'!M$6)</f>
        <v>0</v>
      </c>
      <c r="N157" s="35">
        <f>SUMIFS(Einzelbeträge!$D:$D,Einzelbeträge!$C:$C,'Ausgaben 2024'!$C157,Einzelbeträge!$E:$E,'Ausgaben 2024'!N$6)</f>
        <v>0</v>
      </c>
      <c r="O157" s="6"/>
    </row>
    <row r="158" spans="2:15" x14ac:dyDescent="0.35">
      <c r="B158" s="5"/>
      <c r="C158" s="40">
        <f t="shared" si="28"/>
        <v>45431</v>
      </c>
      <c r="D158" s="46">
        <f>SUMIFS(Einzelbeträge!$D:$D,Einzelbeträge!$C:$C,'Ausgaben 2024'!$C158)</f>
        <v>0</v>
      </c>
      <c r="E158" s="21">
        <f>SUMIFS(Einzelbeträge!$D:$D,Einzelbeträge!$C:$C,'Ausgaben 2024'!$C158,Einzelbeträge!$E:$E,'Ausgaben 2024'!E$6)</f>
        <v>0</v>
      </c>
      <c r="F158" s="21">
        <f>SUMIFS(Einzelbeträge!$D:$D,Einzelbeträge!$C:$C,'Ausgaben 2024'!$C158,Einzelbeträge!$E:$E,'Ausgaben 2024'!F$6)</f>
        <v>0</v>
      </c>
      <c r="G158" s="21">
        <f>SUMIFS(Einzelbeträge!$D:$D,Einzelbeträge!$C:$C,'Ausgaben 2024'!$C158,Einzelbeträge!$E:$E,'Ausgaben 2024'!G$6)</f>
        <v>0</v>
      </c>
      <c r="H158" s="21">
        <f>SUMIFS(Einzelbeträge!$D:$D,Einzelbeträge!$C:$C,'Ausgaben 2024'!$C158,Einzelbeträge!$E:$E,'Ausgaben 2024'!H$6)</f>
        <v>0</v>
      </c>
      <c r="I158" s="21">
        <f>SUMIFS(Einzelbeträge!$D:$D,Einzelbeträge!$C:$C,'Ausgaben 2024'!$C158,Einzelbeträge!$E:$E,'Ausgaben 2024'!I$6)</f>
        <v>0</v>
      </c>
      <c r="J158" s="21">
        <f>SUMIFS(Einzelbeträge!$D:$D,Einzelbeträge!$C:$C,'Ausgaben 2024'!$C158,Einzelbeträge!$E:$E,'Ausgaben 2024'!J$6)</f>
        <v>0</v>
      </c>
      <c r="K158" s="21">
        <f>SUMIFS(Einzelbeträge!$D:$D,Einzelbeträge!$C:$C,'Ausgaben 2024'!$C158,Einzelbeträge!$E:$E,'Ausgaben 2024'!K$6)</f>
        <v>0</v>
      </c>
      <c r="L158" s="21">
        <f>SUMIFS(Einzelbeträge!$D:$D,Einzelbeträge!$C:$C,'Ausgaben 2024'!$C158,Einzelbeträge!$E:$E,'Ausgaben 2024'!L$6)</f>
        <v>0</v>
      </c>
      <c r="M158" s="21">
        <f>SUMIFS(Einzelbeträge!$D:$D,Einzelbeträge!$C:$C,'Ausgaben 2024'!$C158,Einzelbeträge!$E:$E,'Ausgaben 2024'!M$6)</f>
        <v>0</v>
      </c>
      <c r="N158" s="35">
        <f>SUMIFS(Einzelbeträge!$D:$D,Einzelbeträge!$C:$C,'Ausgaben 2024'!$C158,Einzelbeträge!$E:$E,'Ausgaben 2024'!N$6)</f>
        <v>0</v>
      </c>
      <c r="O158" s="6"/>
    </row>
    <row r="159" spans="2:15" x14ac:dyDescent="0.35">
      <c r="B159" s="5"/>
      <c r="C159" s="40">
        <f t="shared" si="28"/>
        <v>45432</v>
      </c>
      <c r="D159" s="46">
        <f>SUMIFS(Einzelbeträge!$D:$D,Einzelbeträge!$C:$C,'Ausgaben 2024'!$C159)</f>
        <v>0</v>
      </c>
      <c r="E159" s="21">
        <f>SUMIFS(Einzelbeträge!$D:$D,Einzelbeträge!$C:$C,'Ausgaben 2024'!$C159,Einzelbeträge!$E:$E,'Ausgaben 2024'!E$6)</f>
        <v>0</v>
      </c>
      <c r="F159" s="21">
        <f>SUMIFS(Einzelbeträge!$D:$D,Einzelbeträge!$C:$C,'Ausgaben 2024'!$C159,Einzelbeträge!$E:$E,'Ausgaben 2024'!F$6)</f>
        <v>0</v>
      </c>
      <c r="G159" s="21">
        <f>SUMIFS(Einzelbeträge!$D:$D,Einzelbeträge!$C:$C,'Ausgaben 2024'!$C159,Einzelbeträge!$E:$E,'Ausgaben 2024'!G$6)</f>
        <v>0</v>
      </c>
      <c r="H159" s="21">
        <f>SUMIFS(Einzelbeträge!$D:$D,Einzelbeträge!$C:$C,'Ausgaben 2024'!$C159,Einzelbeträge!$E:$E,'Ausgaben 2024'!H$6)</f>
        <v>0</v>
      </c>
      <c r="I159" s="21">
        <f>SUMIFS(Einzelbeträge!$D:$D,Einzelbeträge!$C:$C,'Ausgaben 2024'!$C159,Einzelbeträge!$E:$E,'Ausgaben 2024'!I$6)</f>
        <v>0</v>
      </c>
      <c r="J159" s="21">
        <f>SUMIFS(Einzelbeträge!$D:$D,Einzelbeträge!$C:$C,'Ausgaben 2024'!$C159,Einzelbeträge!$E:$E,'Ausgaben 2024'!J$6)</f>
        <v>0</v>
      </c>
      <c r="K159" s="21">
        <f>SUMIFS(Einzelbeträge!$D:$D,Einzelbeträge!$C:$C,'Ausgaben 2024'!$C159,Einzelbeträge!$E:$E,'Ausgaben 2024'!K$6)</f>
        <v>0</v>
      </c>
      <c r="L159" s="21">
        <f>SUMIFS(Einzelbeträge!$D:$D,Einzelbeträge!$C:$C,'Ausgaben 2024'!$C159,Einzelbeträge!$E:$E,'Ausgaben 2024'!L$6)</f>
        <v>0</v>
      </c>
      <c r="M159" s="21">
        <f>SUMIFS(Einzelbeträge!$D:$D,Einzelbeträge!$C:$C,'Ausgaben 2024'!$C159,Einzelbeträge!$E:$E,'Ausgaben 2024'!M$6)</f>
        <v>0</v>
      </c>
      <c r="N159" s="35">
        <f>SUMIFS(Einzelbeträge!$D:$D,Einzelbeträge!$C:$C,'Ausgaben 2024'!$C159,Einzelbeträge!$E:$E,'Ausgaben 2024'!N$6)</f>
        <v>0</v>
      </c>
      <c r="O159" s="6"/>
    </row>
    <row r="160" spans="2:15" x14ac:dyDescent="0.35">
      <c r="B160" s="5"/>
      <c r="C160" s="40">
        <f t="shared" si="28"/>
        <v>45433</v>
      </c>
      <c r="D160" s="46">
        <f>SUMIFS(Einzelbeträge!$D:$D,Einzelbeträge!$C:$C,'Ausgaben 2024'!$C160)</f>
        <v>0</v>
      </c>
      <c r="E160" s="21">
        <f>SUMIFS(Einzelbeträge!$D:$D,Einzelbeträge!$C:$C,'Ausgaben 2024'!$C160,Einzelbeträge!$E:$E,'Ausgaben 2024'!E$6)</f>
        <v>0</v>
      </c>
      <c r="F160" s="21">
        <f>SUMIFS(Einzelbeträge!$D:$D,Einzelbeträge!$C:$C,'Ausgaben 2024'!$C160,Einzelbeträge!$E:$E,'Ausgaben 2024'!F$6)</f>
        <v>0</v>
      </c>
      <c r="G160" s="21">
        <f>SUMIFS(Einzelbeträge!$D:$D,Einzelbeträge!$C:$C,'Ausgaben 2024'!$C160,Einzelbeträge!$E:$E,'Ausgaben 2024'!G$6)</f>
        <v>0</v>
      </c>
      <c r="H160" s="21">
        <f>SUMIFS(Einzelbeträge!$D:$D,Einzelbeträge!$C:$C,'Ausgaben 2024'!$C160,Einzelbeträge!$E:$E,'Ausgaben 2024'!H$6)</f>
        <v>0</v>
      </c>
      <c r="I160" s="21">
        <f>SUMIFS(Einzelbeträge!$D:$D,Einzelbeträge!$C:$C,'Ausgaben 2024'!$C160,Einzelbeträge!$E:$E,'Ausgaben 2024'!I$6)</f>
        <v>0</v>
      </c>
      <c r="J160" s="21">
        <f>SUMIFS(Einzelbeträge!$D:$D,Einzelbeträge!$C:$C,'Ausgaben 2024'!$C160,Einzelbeträge!$E:$E,'Ausgaben 2024'!J$6)</f>
        <v>0</v>
      </c>
      <c r="K160" s="21">
        <f>SUMIFS(Einzelbeträge!$D:$D,Einzelbeträge!$C:$C,'Ausgaben 2024'!$C160,Einzelbeträge!$E:$E,'Ausgaben 2024'!K$6)</f>
        <v>0</v>
      </c>
      <c r="L160" s="21">
        <f>SUMIFS(Einzelbeträge!$D:$D,Einzelbeträge!$C:$C,'Ausgaben 2024'!$C160,Einzelbeträge!$E:$E,'Ausgaben 2024'!L$6)</f>
        <v>0</v>
      </c>
      <c r="M160" s="21">
        <f>SUMIFS(Einzelbeträge!$D:$D,Einzelbeträge!$C:$C,'Ausgaben 2024'!$C160,Einzelbeträge!$E:$E,'Ausgaben 2024'!M$6)</f>
        <v>0</v>
      </c>
      <c r="N160" s="35">
        <f>SUMIFS(Einzelbeträge!$D:$D,Einzelbeträge!$C:$C,'Ausgaben 2024'!$C160,Einzelbeträge!$E:$E,'Ausgaben 2024'!N$6)</f>
        <v>0</v>
      </c>
      <c r="O160" s="6"/>
    </row>
    <row r="161" spans="2:15" x14ac:dyDescent="0.35">
      <c r="B161" s="5"/>
      <c r="C161" s="40">
        <f t="shared" si="28"/>
        <v>45434</v>
      </c>
      <c r="D161" s="46">
        <f>SUMIFS(Einzelbeträge!$D:$D,Einzelbeträge!$C:$C,'Ausgaben 2024'!$C161)</f>
        <v>0</v>
      </c>
      <c r="E161" s="21">
        <f>SUMIFS(Einzelbeträge!$D:$D,Einzelbeträge!$C:$C,'Ausgaben 2024'!$C161,Einzelbeträge!$E:$E,'Ausgaben 2024'!E$6)</f>
        <v>0</v>
      </c>
      <c r="F161" s="21">
        <f>SUMIFS(Einzelbeträge!$D:$D,Einzelbeträge!$C:$C,'Ausgaben 2024'!$C161,Einzelbeträge!$E:$E,'Ausgaben 2024'!F$6)</f>
        <v>0</v>
      </c>
      <c r="G161" s="21">
        <f>SUMIFS(Einzelbeträge!$D:$D,Einzelbeträge!$C:$C,'Ausgaben 2024'!$C161,Einzelbeträge!$E:$E,'Ausgaben 2024'!G$6)</f>
        <v>0</v>
      </c>
      <c r="H161" s="21">
        <f>SUMIFS(Einzelbeträge!$D:$D,Einzelbeträge!$C:$C,'Ausgaben 2024'!$C161,Einzelbeträge!$E:$E,'Ausgaben 2024'!H$6)</f>
        <v>0</v>
      </c>
      <c r="I161" s="21">
        <f>SUMIFS(Einzelbeträge!$D:$D,Einzelbeträge!$C:$C,'Ausgaben 2024'!$C161,Einzelbeträge!$E:$E,'Ausgaben 2024'!I$6)</f>
        <v>0</v>
      </c>
      <c r="J161" s="21">
        <f>SUMIFS(Einzelbeträge!$D:$D,Einzelbeträge!$C:$C,'Ausgaben 2024'!$C161,Einzelbeträge!$E:$E,'Ausgaben 2024'!J$6)</f>
        <v>0</v>
      </c>
      <c r="K161" s="21">
        <f>SUMIFS(Einzelbeträge!$D:$D,Einzelbeträge!$C:$C,'Ausgaben 2024'!$C161,Einzelbeträge!$E:$E,'Ausgaben 2024'!K$6)</f>
        <v>0</v>
      </c>
      <c r="L161" s="21">
        <f>SUMIFS(Einzelbeträge!$D:$D,Einzelbeträge!$C:$C,'Ausgaben 2024'!$C161,Einzelbeträge!$E:$E,'Ausgaben 2024'!L$6)</f>
        <v>0</v>
      </c>
      <c r="M161" s="21">
        <f>SUMIFS(Einzelbeträge!$D:$D,Einzelbeträge!$C:$C,'Ausgaben 2024'!$C161,Einzelbeträge!$E:$E,'Ausgaben 2024'!M$6)</f>
        <v>0</v>
      </c>
      <c r="N161" s="35">
        <f>SUMIFS(Einzelbeträge!$D:$D,Einzelbeträge!$C:$C,'Ausgaben 2024'!$C161,Einzelbeträge!$E:$E,'Ausgaben 2024'!N$6)</f>
        <v>0</v>
      </c>
      <c r="O161" s="6"/>
    </row>
    <row r="162" spans="2:15" x14ac:dyDescent="0.35">
      <c r="B162" s="5"/>
      <c r="C162" s="40">
        <f t="shared" si="28"/>
        <v>45435</v>
      </c>
      <c r="D162" s="46">
        <f>SUMIFS(Einzelbeträge!$D:$D,Einzelbeträge!$C:$C,'Ausgaben 2024'!$C162)</f>
        <v>0</v>
      </c>
      <c r="E162" s="21">
        <f>SUMIFS(Einzelbeträge!$D:$D,Einzelbeträge!$C:$C,'Ausgaben 2024'!$C162,Einzelbeträge!$E:$E,'Ausgaben 2024'!E$6)</f>
        <v>0</v>
      </c>
      <c r="F162" s="21">
        <f>SUMIFS(Einzelbeträge!$D:$D,Einzelbeträge!$C:$C,'Ausgaben 2024'!$C162,Einzelbeträge!$E:$E,'Ausgaben 2024'!F$6)</f>
        <v>0</v>
      </c>
      <c r="G162" s="21">
        <f>SUMIFS(Einzelbeträge!$D:$D,Einzelbeträge!$C:$C,'Ausgaben 2024'!$C162,Einzelbeträge!$E:$E,'Ausgaben 2024'!G$6)</f>
        <v>0</v>
      </c>
      <c r="H162" s="21">
        <f>SUMIFS(Einzelbeträge!$D:$D,Einzelbeträge!$C:$C,'Ausgaben 2024'!$C162,Einzelbeträge!$E:$E,'Ausgaben 2024'!H$6)</f>
        <v>0</v>
      </c>
      <c r="I162" s="21">
        <f>SUMIFS(Einzelbeträge!$D:$D,Einzelbeträge!$C:$C,'Ausgaben 2024'!$C162,Einzelbeträge!$E:$E,'Ausgaben 2024'!I$6)</f>
        <v>0</v>
      </c>
      <c r="J162" s="21">
        <f>SUMIFS(Einzelbeträge!$D:$D,Einzelbeträge!$C:$C,'Ausgaben 2024'!$C162,Einzelbeträge!$E:$E,'Ausgaben 2024'!J$6)</f>
        <v>0</v>
      </c>
      <c r="K162" s="21">
        <f>SUMIFS(Einzelbeträge!$D:$D,Einzelbeträge!$C:$C,'Ausgaben 2024'!$C162,Einzelbeträge!$E:$E,'Ausgaben 2024'!K$6)</f>
        <v>0</v>
      </c>
      <c r="L162" s="21">
        <f>SUMIFS(Einzelbeträge!$D:$D,Einzelbeträge!$C:$C,'Ausgaben 2024'!$C162,Einzelbeträge!$E:$E,'Ausgaben 2024'!L$6)</f>
        <v>0</v>
      </c>
      <c r="M162" s="21">
        <f>SUMIFS(Einzelbeträge!$D:$D,Einzelbeträge!$C:$C,'Ausgaben 2024'!$C162,Einzelbeträge!$E:$E,'Ausgaben 2024'!M$6)</f>
        <v>0</v>
      </c>
      <c r="N162" s="35">
        <f>SUMIFS(Einzelbeträge!$D:$D,Einzelbeträge!$C:$C,'Ausgaben 2024'!$C162,Einzelbeträge!$E:$E,'Ausgaben 2024'!N$6)</f>
        <v>0</v>
      </c>
      <c r="O162" s="6"/>
    </row>
    <row r="163" spans="2:15" x14ac:dyDescent="0.35">
      <c r="B163" s="5"/>
      <c r="C163" s="40">
        <f t="shared" si="28"/>
        <v>45436</v>
      </c>
      <c r="D163" s="46">
        <f>SUMIFS(Einzelbeträge!$D:$D,Einzelbeträge!$C:$C,'Ausgaben 2024'!$C163)</f>
        <v>0</v>
      </c>
      <c r="E163" s="21">
        <f>SUMIFS(Einzelbeträge!$D:$D,Einzelbeträge!$C:$C,'Ausgaben 2024'!$C163,Einzelbeträge!$E:$E,'Ausgaben 2024'!E$6)</f>
        <v>0</v>
      </c>
      <c r="F163" s="21">
        <f>SUMIFS(Einzelbeträge!$D:$D,Einzelbeträge!$C:$C,'Ausgaben 2024'!$C163,Einzelbeträge!$E:$E,'Ausgaben 2024'!F$6)</f>
        <v>0</v>
      </c>
      <c r="G163" s="21">
        <f>SUMIFS(Einzelbeträge!$D:$D,Einzelbeträge!$C:$C,'Ausgaben 2024'!$C163,Einzelbeträge!$E:$E,'Ausgaben 2024'!G$6)</f>
        <v>0</v>
      </c>
      <c r="H163" s="21">
        <f>SUMIFS(Einzelbeträge!$D:$D,Einzelbeträge!$C:$C,'Ausgaben 2024'!$C163,Einzelbeträge!$E:$E,'Ausgaben 2024'!H$6)</f>
        <v>0</v>
      </c>
      <c r="I163" s="21">
        <f>SUMIFS(Einzelbeträge!$D:$D,Einzelbeträge!$C:$C,'Ausgaben 2024'!$C163,Einzelbeträge!$E:$E,'Ausgaben 2024'!I$6)</f>
        <v>0</v>
      </c>
      <c r="J163" s="21">
        <f>SUMIFS(Einzelbeträge!$D:$D,Einzelbeträge!$C:$C,'Ausgaben 2024'!$C163,Einzelbeträge!$E:$E,'Ausgaben 2024'!J$6)</f>
        <v>0</v>
      </c>
      <c r="K163" s="21">
        <f>SUMIFS(Einzelbeträge!$D:$D,Einzelbeträge!$C:$C,'Ausgaben 2024'!$C163,Einzelbeträge!$E:$E,'Ausgaben 2024'!K$6)</f>
        <v>0</v>
      </c>
      <c r="L163" s="21">
        <f>SUMIFS(Einzelbeträge!$D:$D,Einzelbeträge!$C:$C,'Ausgaben 2024'!$C163,Einzelbeträge!$E:$E,'Ausgaben 2024'!L$6)</f>
        <v>0</v>
      </c>
      <c r="M163" s="21">
        <f>SUMIFS(Einzelbeträge!$D:$D,Einzelbeträge!$C:$C,'Ausgaben 2024'!$C163,Einzelbeträge!$E:$E,'Ausgaben 2024'!M$6)</f>
        <v>0</v>
      </c>
      <c r="N163" s="35">
        <f>SUMIFS(Einzelbeträge!$D:$D,Einzelbeträge!$C:$C,'Ausgaben 2024'!$C163,Einzelbeträge!$E:$E,'Ausgaben 2024'!N$6)</f>
        <v>0</v>
      </c>
      <c r="O163" s="6"/>
    </row>
    <row r="164" spans="2:15" x14ac:dyDescent="0.35">
      <c r="B164" s="5"/>
      <c r="C164" s="40">
        <f t="shared" si="28"/>
        <v>45437</v>
      </c>
      <c r="D164" s="46">
        <f>SUMIFS(Einzelbeträge!$D:$D,Einzelbeträge!$C:$C,'Ausgaben 2024'!$C164)</f>
        <v>0</v>
      </c>
      <c r="E164" s="21">
        <f>SUMIFS(Einzelbeträge!$D:$D,Einzelbeträge!$C:$C,'Ausgaben 2024'!$C164,Einzelbeträge!$E:$E,'Ausgaben 2024'!E$6)</f>
        <v>0</v>
      </c>
      <c r="F164" s="21">
        <f>SUMIFS(Einzelbeträge!$D:$D,Einzelbeträge!$C:$C,'Ausgaben 2024'!$C164,Einzelbeträge!$E:$E,'Ausgaben 2024'!F$6)</f>
        <v>0</v>
      </c>
      <c r="G164" s="21">
        <f>SUMIFS(Einzelbeträge!$D:$D,Einzelbeträge!$C:$C,'Ausgaben 2024'!$C164,Einzelbeträge!$E:$E,'Ausgaben 2024'!G$6)</f>
        <v>0</v>
      </c>
      <c r="H164" s="21">
        <f>SUMIFS(Einzelbeträge!$D:$D,Einzelbeträge!$C:$C,'Ausgaben 2024'!$C164,Einzelbeträge!$E:$E,'Ausgaben 2024'!H$6)</f>
        <v>0</v>
      </c>
      <c r="I164" s="21">
        <f>SUMIFS(Einzelbeträge!$D:$D,Einzelbeträge!$C:$C,'Ausgaben 2024'!$C164,Einzelbeträge!$E:$E,'Ausgaben 2024'!I$6)</f>
        <v>0</v>
      </c>
      <c r="J164" s="21">
        <f>SUMIFS(Einzelbeträge!$D:$D,Einzelbeträge!$C:$C,'Ausgaben 2024'!$C164,Einzelbeträge!$E:$E,'Ausgaben 2024'!J$6)</f>
        <v>0</v>
      </c>
      <c r="K164" s="21">
        <f>SUMIFS(Einzelbeträge!$D:$D,Einzelbeträge!$C:$C,'Ausgaben 2024'!$C164,Einzelbeträge!$E:$E,'Ausgaben 2024'!K$6)</f>
        <v>0</v>
      </c>
      <c r="L164" s="21">
        <f>SUMIFS(Einzelbeträge!$D:$D,Einzelbeträge!$C:$C,'Ausgaben 2024'!$C164,Einzelbeträge!$E:$E,'Ausgaben 2024'!L$6)</f>
        <v>0</v>
      </c>
      <c r="M164" s="21">
        <f>SUMIFS(Einzelbeträge!$D:$D,Einzelbeträge!$C:$C,'Ausgaben 2024'!$C164,Einzelbeträge!$E:$E,'Ausgaben 2024'!M$6)</f>
        <v>0</v>
      </c>
      <c r="N164" s="35">
        <f>SUMIFS(Einzelbeträge!$D:$D,Einzelbeträge!$C:$C,'Ausgaben 2024'!$C164,Einzelbeträge!$E:$E,'Ausgaben 2024'!N$6)</f>
        <v>0</v>
      </c>
      <c r="O164" s="6"/>
    </row>
    <row r="165" spans="2:15" x14ac:dyDescent="0.35">
      <c r="B165" s="5"/>
      <c r="C165" s="40">
        <f t="shared" si="28"/>
        <v>45438</v>
      </c>
      <c r="D165" s="46">
        <f>SUMIFS(Einzelbeträge!$D:$D,Einzelbeträge!$C:$C,'Ausgaben 2024'!$C165)</f>
        <v>0</v>
      </c>
      <c r="E165" s="21">
        <f>SUMIFS(Einzelbeträge!$D:$D,Einzelbeträge!$C:$C,'Ausgaben 2024'!$C165,Einzelbeträge!$E:$E,'Ausgaben 2024'!E$6)</f>
        <v>0</v>
      </c>
      <c r="F165" s="21">
        <f>SUMIFS(Einzelbeträge!$D:$D,Einzelbeträge!$C:$C,'Ausgaben 2024'!$C165,Einzelbeträge!$E:$E,'Ausgaben 2024'!F$6)</f>
        <v>0</v>
      </c>
      <c r="G165" s="21">
        <f>SUMIFS(Einzelbeträge!$D:$D,Einzelbeträge!$C:$C,'Ausgaben 2024'!$C165,Einzelbeträge!$E:$E,'Ausgaben 2024'!G$6)</f>
        <v>0</v>
      </c>
      <c r="H165" s="21">
        <f>SUMIFS(Einzelbeträge!$D:$D,Einzelbeträge!$C:$C,'Ausgaben 2024'!$C165,Einzelbeträge!$E:$E,'Ausgaben 2024'!H$6)</f>
        <v>0</v>
      </c>
      <c r="I165" s="21">
        <f>SUMIFS(Einzelbeträge!$D:$D,Einzelbeträge!$C:$C,'Ausgaben 2024'!$C165,Einzelbeträge!$E:$E,'Ausgaben 2024'!I$6)</f>
        <v>0</v>
      </c>
      <c r="J165" s="21">
        <f>SUMIFS(Einzelbeträge!$D:$D,Einzelbeträge!$C:$C,'Ausgaben 2024'!$C165,Einzelbeträge!$E:$E,'Ausgaben 2024'!J$6)</f>
        <v>0</v>
      </c>
      <c r="K165" s="21">
        <f>SUMIFS(Einzelbeträge!$D:$D,Einzelbeträge!$C:$C,'Ausgaben 2024'!$C165,Einzelbeträge!$E:$E,'Ausgaben 2024'!K$6)</f>
        <v>0</v>
      </c>
      <c r="L165" s="21">
        <f>SUMIFS(Einzelbeträge!$D:$D,Einzelbeträge!$C:$C,'Ausgaben 2024'!$C165,Einzelbeträge!$E:$E,'Ausgaben 2024'!L$6)</f>
        <v>0</v>
      </c>
      <c r="M165" s="21">
        <f>SUMIFS(Einzelbeträge!$D:$D,Einzelbeträge!$C:$C,'Ausgaben 2024'!$C165,Einzelbeträge!$E:$E,'Ausgaben 2024'!M$6)</f>
        <v>0</v>
      </c>
      <c r="N165" s="35">
        <f>SUMIFS(Einzelbeträge!$D:$D,Einzelbeträge!$C:$C,'Ausgaben 2024'!$C165,Einzelbeträge!$E:$E,'Ausgaben 2024'!N$6)</f>
        <v>0</v>
      </c>
      <c r="O165" s="6"/>
    </row>
    <row r="166" spans="2:15" x14ac:dyDescent="0.35">
      <c r="B166" s="5"/>
      <c r="C166" s="40">
        <f t="shared" si="28"/>
        <v>45439</v>
      </c>
      <c r="D166" s="46">
        <f>SUMIFS(Einzelbeträge!$D:$D,Einzelbeträge!$C:$C,'Ausgaben 2024'!$C166)</f>
        <v>0</v>
      </c>
      <c r="E166" s="21">
        <f>SUMIFS(Einzelbeträge!$D:$D,Einzelbeträge!$C:$C,'Ausgaben 2024'!$C166,Einzelbeträge!$E:$E,'Ausgaben 2024'!E$6)</f>
        <v>0</v>
      </c>
      <c r="F166" s="21">
        <f>SUMIFS(Einzelbeträge!$D:$D,Einzelbeträge!$C:$C,'Ausgaben 2024'!$C166,Einzelbeträge!$E:$E,'Ausgaben 2024'!F$6)</f>
        <v>0</v>
      </c>
      <c r="G166" s="21">
        <f>SUMIFS(Einzelbeträge!$D:$D,Einzelbeträge!$C:$C,'Ausgaben 2024'!$C166,Einzelbeträge!$E:$E,'Ausgaben 2024'!G$6)</f>
        <v>0</v>
      </c>
      <c r="H166" s="21">
        <f>SUMIFS(Einzelbeträge!$D:$D,Einzelbeträge!$C:$C,'Ausgaben 2024'!$C166,Einzelbeträge!$E:$E,'Ausgaben 2024'!H$6)</f>
        <v>0</v>
      </c>
      <c r="I166" s="21">
        <f>SUMIFS(Einzelbeträge!$D:$D,Einzelbeträge!$C:$C,'Ausgaben 2024'!$C166,Einzelbeträge!$E:$E,'Ausgaben 2024'!I$6)</f>
        <v>0</v>
      </c>
      <c r="J166" s="21">
        <f>SUMIFS(Einzelbeträge!$D:$D,Einzelbeträge!$C:$C,'Ausgaben 2024'!$C166,Einzelbeträge!$E:$E,'Ausgaben 2024'!J$6)</f>
        <v>0</v>
      </c>
      <c r="K166" s="21">
        <f>SUMIFS(Einzelbeträge!$D:$D,Einzelbeträge!$C:$C,'Ausgaben 2024'!$C166,Einzelbeträge!$E:$E,'Ausgaben 2024'!K$6)</f>
        <v>0</v>
      </c>
      <c r="L166" s="21">
        <f>SUMIFS(Einzelbeträge!$D:$D,Einzelbeträge!$C:$C,'Ausgaben 2024'!$C166,Einzelbeträge!$E:$E,'Ausgaben 2024'!L$6)</f>
        <v>0</v>
      </c>
      <c r="M166" s="21">
        <f>SUMIFS(Einzelbeträge!$D:$D,Einzelbeträge!$C:$C,'Ausgaben 2024'!$C166,Einzelbeträge!$E:$E,'Ausgaben 2024'!M$6)</f>
        <v>0</v>
      </c>
      <c r="N166" s="35">
        <f>SUMIFS(Einzelbeträge!$D:$D,Einzelbeträge!$C:$C,'Ausgaben 2024'!$C166,Einzelbeträge!$E:$E,'Ausgaben 2024'!N$6)</f>
        <v>0</v>
      </c>
      <c r="O166" s="6"/>
    </row>
    <row r="167" spans="2:15" x14ac:dyDescent="0.35">
      <c r="B167" s="5"/>
      <c r="C167" s="40">
        <f t="shared" si="28"/>
        <v>45440</v>
      </c>
      <c r="D167" s="46">
        <f>SUMIFS(Einzelbeträge!$D:$D,Einzelbeträge!$C:$C,'Ausgaben 2024'!$C167)</f>
        <v>0</v>
      </c>
      <c r="E167" s="21">
        <f>SUMIFS(Einzelbeträge!$D:$D,Einzelbeträge!$C:$C,'Ausgaben 2024'!$C167,Einzelbeträge!$E:$E,'Ausgaben 2024'!E$6)</f>
        <v>0</v>
      </c>
      <c r="F167" s="21">
        <f>SUMIFS(Einzelbeträge!$D:$D,Einzelbeträge!$C:$C,'Ausgaben 2024'!$C167,Einzelbeträge!$E:$E,'Ausgaben 2024'!F$6)</f>
        <v>0</v>
      </c>
      <c r="G167" s="21">
        <f>SUMIFS(Einzelbeträge!$D:$D,Einzelbeträge!$C:$C,'Ausgaben 2024'!$C167,Einzelbeträge!$E:$E,'Ausgaben 2024'!G$6)</f>
        <v>0</v>
      </c>
      <c r="H167" s="21">
        <f>SUMIFS(Einzelbeträge!$D:$D,Einzelbeträge!$C:$C,'Ausgaben 2024'!$C167,Einzelbeträge!$E:$E,'Ausgaben 2024'!H$6)</f>
        <v>0</v>
      </c>
      <c r="I167" s="21">
        <f>SUMIFS(Einzelbeträge!$D:$D,Einzelbeträge!$C:$C,'Ausgaben 2024'!$C167,Einzelbeträge!$E:$E,'Ausgaben 2024'!I$6)</f>
        <v>0</v>
      </c>
      <c r="J167" s="21">
        <f>SUMIFS(Einzelbeträge!$D:$D,Einzelbeträge!$C:$C,'Ausgaben 2024'!$C167,Einzelbeträge!$E:$E,'Ausgaben 2024'!J$6)</f>
        <v>0</v>
      </c>
      <c r="K167" s="21">
        <f>SUMIFS(Einzelbeträge!$D:$D,Einzelbeträge!$C:$C,'Ausgaben 2024'!$C167,Einzelbeträge!$E:$E,'Ausgaben 2024'!K$6)</f>
        <v>0</v>
      </c>
      <c r="L167" s="21">
        <f>SUMIFS(Einzelbeträge!$D:$D,Einzelbeträge!$C:$C,'Ausgaben 2024'!$C167,Einzelbeträge!$E:$E,'Ausgaben 2024'!L$6)</f>
        <v>0</v>
      </c>
      <c r="M167" s="21">
        <f>SUMIFS(Einzelbeträge!$D:$D,Einzelbeträge!$C:$C,'Ausgaben 2024'!$C167,Einzelbeträge!$E:$E,'Ausgaben 2024'!M$6)</f>
        <v>0</v>
      </c>
      <c r="N167" s="35">
        <f>SUMIFS(Einzelbeträge!$D:$D,Einzelbeträge!$C:$C,'Ausgaben 2024'!$C167,Einzelbeträge!$E:$E,'Ausgaben 2024'!N$6)</f>
        <v>0</v>
      </c>
      <c r="O167" s="6"/>
    </row>
    <row r="168" spans="2:15" x14ac:dyDescent="0.35">
      <c r="B168" s="5"/>
      <c r="C168" s="40">
        <f t="shared" si="28"/>
        <v>45441</v>
      </c>
      <c r="D168" s="46">
        <f>SUMIFS(Einzelbeträge!$D:$D,Einzelbeträge!$C:$C,'Ausgaben 2024'!$C168)</f>
        <v>0</v>
      </c>
      <c r="E168" s="21">
        <f>SUMIFS(Einzelbeträge!$D:$D,Einzelbeträge!$C:$C,'Ausgaben 2024'!$C168,Einzelbeträge!$E:$E,'Ausgaben 2024'!E$6)</f>
        <v>0</v>
      </c>
      <c r="F168" s="21">
        <f>SUMIFS(Einzelbeträge!$D:$D,Einzelbeträge!$C:$C,'Ausgaben 2024'!$C168,Einzelbeträge!$E:$E,'Ausgaben 2024'!F$6)</f>
        <v>0</v>
      </c>
      <c r="G168" s="21">
        <f>SUMIFS(Einzelbeträge!$D:$D,Einzelbeträge!$C:$C,'Ausgaben 2024'!$C168,Einzelbeträge!$E:$E,'Ausgaben 2024'!G$6)</f>
        <v>0</v>
      </c>
      <c r="H168" s="21">
        <f>SUMIFS(Einzelbeträge!$D:$D,Einzelbeträge!$C:$C,'Ausgaben 2024'!$C168,Einzelbeträge!$E:$E,'Ausgaben 2024'!H$6)</f>
        <v>0</v>
      </c>
      <c r="I168" s="21">
        <f>SUMIFS(Einzelbeträge!$D:$D,Einzelbeträge!$C:$C,'Ausgaben 2024'!$C168,Einzelbeträge!$E:$E,'Ausgaben 2024'!I$6)</f>
        <v>0</v>
      </c>
      <c r="J168" s="21">
        <f>SUMIFS(Einzelbeträge!$D:$D,Einzelbeträge!$C:$C,'Ausgaben 2024'!$C168,Einzelbeträge!$E:$E,'Ausgaben 2024'!J$6)</f>
        <v>0</v>
      </c>
      <c r="K168" s="21">
        <f>SUMIFS(Einzelbeträge!$D:$D,Einzelbeträge!$C:$C,'Ausgaben 2024'!$C168,Einzelbeträge!$E:$E,'Ausgaben 2024'!K$6)</f>
        <v>0</v>
      </c>
      <c r="L168" s="21">
        <f>SUMIFS(Einzelbeträge!$D:$D,Einzelbeträge!$C:$C,'Ausgaben 2024'!$C168,Einzelbeträge!$E:$E,'Ausgaben 2024'!L$6)</f>
        <v>0</v>
      </c>
      <c r="M168" s="21">
        <f>SUMIFS(Einzelbeträge!$D:$D,Einzelbeträge!$C:$C,'Ausgaben 2024'!$C168,Einzelbeträge!$E:$E,'Ausgaben 2024'!M$6)</f>
        <v>0</v>
      </c>
      <c r="N168" s="35">
        <f>SUMIFS(Einzelbeträge!$D:$D,Einzelbeträge!$C:$C,'Ausgaben 2024'!$C168,Einzelbeträge!$E:$E,'Ausgaben 2024'!N$6)</f>
        <v>0</v>
      </c>
      <c r="O168" s="6"/>
    </row>
    <row r="169" spans="2:15" x14ac:dyDescent="0.35">
      <c r="B169" s="5"/>
      <c r="C169" s="40">
        <f t="shared" si="28"/>
        <v>45442</v>
      </c>
      <c r="D169" s="46">
        <f>SUMIFS(Einzelbeträge!$D:$D,Einzelbeträge!$C:$C,'Ausgaben 2024'!$C169)</f>
        <v>0</v>
      </c>
      <c r="E169" s="21">
        <f>SUMIFS(Einzelbeträge!$D:$D,Einzelbeträge!$C:$C,'Ausgaben 2024'!$C169,Einzelbeträge!$E:$E,'Ausgaben 2024'!E$6)</f>
        <v>0</v>
      </c>
      <c r="F169" s="21">
        <f>SUMIFS(Einzelbeträge!$D:$D,Einzelbeträge!$C:$C,'Ausgaben 2024'!$C169,Einzelbeträge!$E:$E,'Ausgaben 2024'!F$6)</f>
        <v>0</v>
      </c>
      <c r="G169" s="21">
        <f>SUMIFS(Einzelbeträge!$D:$D,Einzelbeträge!$C:$C,'Ausgaben 2024'!$C169,Einzelbeträge!$E:$E,'Ausgaben 2024'!G$6)</f>
        <v>0</v>
      </c>
      <c r="H169" s="21">
        <f>SUMIFS(Einzelbeträge!$D:$D,Einzelbeträge!$C:$C,'Ausgaben 2024'!$C169,Einzelbeträge!$E:$E,'Ausgaben 2024'!H$6)</f>
        <v>0</v>
      </c>
      <c r="I169" s="21">
        <f>SUMIFS(Einzelbeträge!$D:$D,Einzelbeträge!$C:$C,'Ausgaben 2024'!$C169,Einzelbeträge!$E:$E,'Ausgaben 2024'!I$6)</f>
        <v>0</v>
      </c>
      <c r="J169" s="21">
        <f>SUMIFS(Einzelbeträge!$D:$D,Einzelbeträge!$C:$C,'Ausgaben 2024'!$C169,Einzelbeträge!$E:$E,'Ausgaben 2024'!J$6)</f>
        <v>0</v>
      </c>
      <c r="K169" s="21">
        <f>SUMIFS(Einzelbeträge!$D:$D,Einzelbeträge!$C:$C,'Ausgaben 2024'!$C169,Einzelbeträge!$E:$E,'Ausgaben 2024'!K$6)</f>
        <v>0</v>
      </c>
      <c r="L169" s="21">
        <f>SUMIFS(Einzelbeträge!$D:$D,Einzelbeträge!$C:$C,'Ausgaben 2024'!$C169,Einzelbeträge!$E:$E,'Ausgaben 2024'!L$6)</f>
        <v>0</v>
      </c>
      <c r="M169" s="21">
        <f>SUMIFS(Einzelbeträge!$D:$D,Einzelbeträge!$C:$C,'Ausgaben 2024'!$C169,Einzelbeträge!$E:$E,'Ausgaben 2024'!M$6)</f>
        <v>0</v>
      </c>
      <c r="N169" s="35">
        <f>SUMIFS(Einzelbeträge!$D:$D,Einzelbeträge!$C:$C,'Ausgaben 2024'!$C169,Einzelbeträge!$E:$E,'Ausgaben 2024'!N$6)</f>
        <v>0</v>
      </c>
      <c r="O169" s="6"/>
    </row>
    <row r="170" spans="2:15" x14ac:dyDescent="0.35">
      <c r="B170" s="5"/>
      <c r="C170" s="31">
        <f t="shared" si="28"/>
        <v>45443</v>
      </c>
      <c r="D170" s="47">
        <f>SUMIFS(Einzelbeträge!$D:$D,Einzelbeträge!$C:$C,'Ausgaben 2024'!$C170)</f>
        <v>0</v>
      </c>
      <c r="E170" s="37">
        <f>SUMIFS(Einzelbeträge!$D:$D,Einzelbeträge!$C:$C,'Ausgaben 2024'!$C170,Einzelbeträge!$E:$E,'Ausgaben 2024'!E$6)</f>
        <v>0</v>
      </c>
      <c r="F170" s="37">
        <f>SUMIFS(Einzelbeträge!$D:$D,Einzelbeträge!$C:$C,'Ausgaben 2024'!$C170,Einzelbeträge!$E:$E,'Ausgaben 2024'!F$6)</f>
        <v>0</v>
      </c>
      <c r="G170" s="37">
        <f>SUMIFS(Einzelbeträge!$D:$D,Einzelbeträge!$C:$C,'Ausgaben 2024'!$C170,Einzelbeträge!$E:$E,'Ausgaben 2024'!G$6)</f>
        <v>0</v>
      </c>
      <c r="H170" s="37">
        <f>SUMIFS(Einzelbeträge!$D:$D,Einzelbeträge!$C:$C,'Ausgaben 2024'!$C170,Einzelbeträge!$E:$E,'Ausgaben 2024'!H$6)</f>
        <v>0</v>
      </c>
      <c r="I170" s="37">
        <f>SUMIFS(Einzelbeträge!$D:$D,Einzelbeträge!$C:$C,'Ausgaben 2024'!$C170,Einzelbeträge!$E:$E,'Ausgaben 2024'!I$6)</f>
        <v>0</v>
      </c>
      <c r="J170" s="37">
        <f>SUMIFS(Einzelbeträge!$D:$D,Einzelbeträge!$C:$C,'Ausgaben 2024'!$C170,Einzelbeträge!$E:$E,'Ausgaben 2024'!J$6)</f>
        <v>0</v>
      </c>
      <c r="K170" s="37">
        <f>SUMIFS(Einzelbeträge!$D:$D,Einzelbeträge!$C:$C,'Ausgaben 2024'!$C170,Einzelbeträge!$E:$E,'Ausgaben 2024'!K$6)</f>
        <v>0</v>
      </c>
      <c r="L170" s="37">
        <f>SUMIFS(Einzelbeträge!$D:$D,Einzelbeträge!$C:$C,'Ausgaben 2024'!$C170,Einzelbeträge!$E:$E,'Ausgaben 2024'!L$6)</f>
        <v>0</v>
      </c>
      <c r="M170" s="37">
        <f>SUMIFS(Einzelbeträge!$D:$D,Einzelbeträge!$C:$C,'Ausgaben 2024'!$C170,Einzelbeträge!$E:$E,'Ausgaben 2024'!M$6)</f>
        <v>0</v>
      </c>
      <c r="N170" s="38">
        <f>SUMIFS(Einzelbeträge!$D:$D,Einzelbeträge!$C:$C,'Ausgaben 2024'!$C170,Einzelbeträge!$E:$E,'Ausgaben 2024'!N$6)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45444</v>
      </c>
      <c r="D174" s="45">
        <f>SUMIFS(Einzelbeträge!$D:$D,Einzelbeträge!$C:$C,'Ausgaben 2024'!$C174)</f>
        <v>0</v>
      </c>
      <c r="E174" s="32">
        <f>SUMIFS(Einzelbeträge!$D:$D,Einzelbeträge!$C:$C,'Ausgaben 2024'!$C174,Einzelbeträge!$E:$E,'Ausgaben 2024'!E$6)</f>
        <v>0</v>
      </c>
      <c r="F174" s="32">
        <f>SUMIFS(Einzelbeträge!$D:$D,Einzelbeträge!$C:$C,'Ausgaben 2024'!$C174,Einzelbeträge!$E:$E,'Ausgaben 2024'!F$6)</f>
        <v>0</v>
      </c>
      <c r="G174" s="32">
        <f>SUMIFS(Einzelbeträge!$D:$D,Einzelbeträge!$C:$C,'Ausgaben 2024'!$C174,Einzelbeträge!$E:$E,'Ausgaben 2024'!G$6)</f>
        <v>0</v>
      </c>
      <c r="H174" s="32">
        <f>SUMIFS(Einzelbeträge!$D:$D,Einzelbeträge!$C:$C,'Ausgaben 2024'!$C174,Einzelbeträge!$E:$E,'Ausgaben 2024'!H$6)</f>
        <v>0</v>
      </c>
      <c r="I174" s="32">
        <f>SUMIFS(Einzelbeträge!$D:$D,Einzelbeträge!$C:$C,'Ausgaben 2024'!$C174,Einzelbeträge!$E:$E,'Ausgaben 2024'!I$6)</f>
        <v>0</v>
      </c>
      <c r="J174" s="32">
        <f>SUMIFS(Einzelbeträge!$D:$D,Einzelbeträge!$C:$C,'Ausgaben 2024'!$C174,Einzelbeträge!$E:$E,'Ausgaben 2024'!J$6)</f>
        <v>0</v>
      </c>
      <c r="K174" s="32">
        <f>SUMIFS(Einzelbeträge!$D:$D,Einzelbeträge!$C:$C,'Ausgaben 2024'!$C174,Einzelbeträge!$E:$E,'Ausgaben 2024'!K$6)</f>
        <v>0</v>
      </c>
      <c r="L174" s="32">
        <f>SUMIFS(Einzelbeträge!$D:$D,Einzelbeträge!$C:$C,'Ausgaben 2024'!$C174,Einzelbeträge!$E:$E,'Ausgaben 2024'!L$6)</f>
        <v>0</v>
      </c>
      <c r="M174" s="32">
        <f>SUMIFS(Einzelbeträge!$D:$D,Einzelbeträge!$C:$C,'Ausgaben 2024'!$C174,Einzelbeträge!$E:$E,'Ausgaben 2024'!M$6)</f>
        <v>0</v>
      </c>
      <c r="N174" s="33">
        <f>SUMIFS(Einzelbeträge!$D:$D,Einzelbeträge!$C:$C,'Ausgaben 2024'!$C174,Einzelbeträge!$E:$E,'Ausgaben 2024'!N$6)</f>
        <v>0</v>
      </c>
      <c r="O174" s="6"/>
    </row>
    <row r="175" spans="2:15" x14ac:dyDescent="0.35">
      <c r="B175" s="5"/>
      <c r="C175" s="30">
        <f>C174+1</f>
        <v>45445</v>
      </c>
      <c r="D175" s="46">
        <f>SUMIFS(Einzelbeträge!$D:$D,Einzelbeträge!$C:$C,'Ausgaben 2024'!$C175)</f>
        <v>0</v>
      </c>
      <c r="E175" s="21">
        <f>SUMIFS(Einzelbeträge!$D:$D,Einzelbeträge!$C:$C,'Ausgaben 2024'!$C175,Einzelbeträge!$E:$E,'Ausgaben 2024'!E$6)</f>
        <v>0</v>
      </c>
      <c r="F175" s="21">
        <f>SUMIFS(Einzelbeträge!$D:$D,Einzelbeträge!$C:$C,'Ausgaben 2024'!$C175,Einzelbeträge!$E:$E,'Ausgaben 2024'!F$6)</f>
        <v>0</v>
      </c>
      <c r="G175" s="21">
        <f>SUMIFS(Einzelbeträge!$D:$D,Einzelbeträge!$C:$C,'Ausgaben 2024'!$C175,Einzelbeträge!$E:$E,'Ausgaben 2024'!G$6)</f>
        <v>0</v>
      </c>
      <c r="H175" s="21">
        <f>SUMIFS(Einzelbeträge!$D:$D,Einzelbeträge!$C:$C,'Ausgaben 2024'!$C175,Einzelbeträge!$E:$E,'Ausgaben 2024'!H$6)</f>
        <v>0</v>
      </c>
      <c r="I175" s="21">
        <f>SUMIFS(Einzelbeträge!$D:$D,Einzelbeträge!$C:$C,'Ausgaben 2024'!$C175,Einzelbeträge!$E:$E,'Ausgaben 2024'!I$6)</f>
        <v>0</v>
      </c>
      <c r="J175" s="21">
        <f>SUMIFS(Einzelbeträge!$D:$D,Einzelbeträge!$C:$C,'Ausgaben 2024'!$C175,Einzelbeträge!$E:$E,'Ausgaben 2024'!J$6)</f>
        <v>0</v>
      </c>
      <c r="K175" s="21">
        <f>SUMIFS(Einzelbeträge!$D:$D,Einzelbeträge!$C:$C,'Ausgaben 2024'!$C175,Einzelbeträge!$E:$E,'Ausgaben 2024'!K$6)</f>
        <v>0</v>
      </c>
      <c r="L175" s="21">
        <f>SUMIFS(Einzelbeträge!$D:$D,Einzelbeträge!$C:$C,'Ausgaben 2024'!$C175,Einzelbeträge!$E:$E,'Ausgaben 2024'!L$6)</f>
        <v>0</v>
      </c>
      <c r="M175" s="21">
        <f>SUMIFS(Einzelbeträge!$D:$D,Einzelbeträge!$C:$C,'Ausgaben 2024'!$C175,Einzelbeträge!$E:$E,'Ausgaben 2024'!M$6)</f>
        <v>0</v>
      </c>
      <c r="N175" s="35">
        <f>SUMIFS(Einzelbeträge!$D:$D,Einzelbeträge!$C:$C,'Ausgaben 2024'!$C175,Einzelbeträge!$E:$E,'Ausgaben 2024'!N$6)</f>
        <v>0</v>
      </c>
      <c r="O175" s="6"/>
    </row>
    <row r="176" spans="2:15" x14ac:dyDescent="0.35">
      <c r="B176" s="5"/>
      <c r="C176" s="30">
        <f t="shared" ref="C176:C203" si="29">C175+1</f>
        <v>45446</v>
      </c>
      <c r="D176" s="46">
        <f>SUMIFS(Einzelbeträge!$D:$D,Einzelbeträge!$C:$C,'Ausgaben 2024'!$C176)</f>
        <v>0</v>
      </c>
      <c r="E176" s="21">
        <f>SUMIFS(Einzelbeträge!$D:$D,Einzelbeträge!$C:$C,'Ausgaben 2024'!$C176,Einzelbeträge!$E:$E,'Ausgaben 2024'!E$6)</f>
        <v>0</v>
      </c>
      <c r="F176" s="21">
        <f>SUMIFS(Einzelbeträge!$D:$D,Einzelbeträge!$C:$C,'Ausgaben 2024'!$C176,Einzelbeträge!$E:$E,'Ausgaben 2024'!F$6)</f>
        <v>0</v>
      </c>
      <c r="G176" s="21">
        <f>SUMIFS(Einzelbeträge!$D:$D,Einzelbeträge!$C:$C,'Ausgaben 2024'!$C176,Einzelbeträge!$E:$E,'Ausgaben 2024'!G$6)</f>
        <v>0</v>
      </c>
      <c r="H176" s="21">
        <f>SUMIFS(Einzelbeträge!$D:$D,Einzelbeträge!$C:$C,'Ausgaben 2024'!$C176,Einzelbeträge!$E:$E,'Ausgaben 2024'!H$6)</f>
        <v>0</v>
      </c>
      <c r="I176" s="21">
        <f>SUMIFS(Einzelbeträge!$D:$D,Einzelbeträge!$C:$C,'Ausgaben 2024'!$C176,Einzelbeträge!$E:$E,'Ausgaben 2024'!I$6)</f>
        <v>0</v>
      </c>
      <c r="J176" s="21">
        <f>SUMIFS(Einzelbeträge!$D:$D,Einzelbeträge!$C:$C,'Ausgaben 2024'!$C176,Einzelbeträge!$E:$E,'Ausgaben 2024'!J$6)</f>
        <v>0</v>
      </c>
      <c r="K176" s="21">
        <f>SUMIFS(Einzelbeträge!$D:$D,Einzelbeträge!$C:$C,'Ausgaben 2024'!$C176,Einzelbeträge!$E:$E,'Ausgaben 2024'!K$6)</f>
        <v>0</v>
      </c>
      <c r="L176" s="21">
        <f>SUMIFS(Einzelbeträge!$D:$D,Einzelbeträge!$C:$C,'Ausgaben 2024'!$C176,Einzelbeträge!$E:$E,'Ausgaben 2024'!L$6)</f>
        <v>0</v>
      </c>
      <c r="M176" s="21">
        <f>SUMIFS(Einzelbeträge!$D:$D,Einzelbeträge!$C:$C,'Ausgaben 2024'!$C176,Einzelbeträge!$E:$E,'Ausgaben 2024'!M$6)</f>
        <v>0</v>
      </c>
      <c r="N176" s="35">
        <f>SUMIFS(Einzelbeträge!$D:$D,Einzelbeträge!$C:$C,'Ausgaben 2024'!$C176,Einzelbeträge!$E:$E,'Ausgaben 2024'!N$6)</f>
        <v>0</v>
      </c>
      <c r="O176" s="6"/>
    </row>
    <row r="177" spans="2:15" x14ac:dyDescent="0.35">
      <c r="B177" s="5"/>
      <c r="C177" s="30">
        <f t="shared" si="29"/>
        <v>45447</v>
      </c>
      <c r="D177" s="46">
        <f>SUMIFS(Einzelbeträge!$D:$D,Einzelbeträge!$C:$C,'Ausgaben 2024'!$C177)</f>
        <v>0</v>
      </c>
      <c r="E177" s="21">
        <f>SUMIFS(Einzelbeträge!$D:$D,Einzelbeträge!$C:$C,'Ausgaben 2024'!$C177,Einzelbeträge!$E:$E,'Ausgaben 2024'!E$6)</f>
        <v>0</v>
      </c>
      <c r="F177" s="21">
        <f>SUMIFS(Einzelbeträge!$D:$D,Einzelbeträge!$C:$C,'Ausgaben 2024'!$C177,Einzelbeträge!$E:$E,'Ausgaben 2024'!F$6)</f>
        <v>0</v>
      </c>
      <c r="G177" s="21">
        <f>SUMIFS(Einzelbeträge!$D:$D,Einzelbeträge!$C:$C,'Ausgaben 2024'!$C177,Einzelbeträge!$E:$E,'Ausgaben 2024'!G$6)</f>
        <v>0</v>
      </c>
      <c r="H177" s="21">
        <f>SUMIFS(Einzelbeträge!$D:$D,Einzelbeträge!$C:$C,'Ausgaben 2024'!$C177,Einzelbeträge!$E:$E,'Ausgaben 2024'!H$6)</f>
        <v>0</v>
      </c>
      <c r="I177" s="21">
        <f>SUMIFS(Einzelbeträge!$D:$D,Einzelbeträge!$C:$C,'Ausgaben 2024'!$C177,Einzelbeträge!$E:$E,'Ausgaben 2024'!I$6)</f>
        <v>0</v>
      </c>
      <c r="J177" s="21">
        <f>SUMIFS(Einzelbeträge!$D:$D,Einzelbeträge!$C:$C,'Ausgaben 2024'!$C177,Einzelbeträge!$E:$E,'Ausgaben 2024'!J$6)</f>
        <v>0</v>
      </c>
      <c r="K177" s="21">
        <f>SUMIFS(Einzelbeträge!$D:$D,Einzelbeträge!$C:$C,'Ausgaben 2024'!$C177,Einzelbeträge!$E:$E,'Ausgaben 2024'!K$6)</f>
        <v>0</v>
      </c>
      <c r="L177" s="21">
        <f>SUMIFS(Einzelbeträge!$D:$D,Einzelbeträge!$C:$C,'Ausgaben 2024'!$C177,Einzelbeträge!$E:$E,'Ausgaben 2024'!L$6)</f>
        <v>0</v>
      </c>
      <c r="M177" s="21">
        <f>SUMIFS(Einzelbeträge!$D:$D,Einzelbeträge!$C:$C,'Ausgaben 2024'!$C177,Einzelbeträge!$E:$E,'Ausgaben 2024'!M$6)</f>
        <v>0</v>
      </c>
      <c r="N177" s="35">
        <f>SUMIFS(Einzelbeträge!$D:$D,Einzelbeträge!$C:$C,'Ausgaben 2024'!$C177,Einzelbeträge!$E:$E,'Ausgaben 2024'!N$6)</f>
        <v>0</v>
      </c>
      <c r="O177" s="6"/>
    </row>
    <row r="178" spans="2:15" x14ac:dyDescent="0.35">
      <c r="B178" s="5"/>
      <c r="C178" s="30">
        <f t="shared" si="29"/>
        <v>45448</v>
      </c>
      <c r="D178" s="46">
        <f>SUMIFS(Einzelbeträge!$D:$D,Einzelbeträge!$C:$C,'Ausgaben 2024'!$C178)</f>
        <v>0</v>
      </c>
      <c r="E178" s="21">
        <f>SUMIFS(Einzelbeträge!$D:$D,Einzelbeträge!$C:$C,'Ausgaben 2024'!$C178,Einzelbeträge!$E:$E,'Ausgaben 2024'!E$6)</f>
        <v>0</v>
      </c>
      <c r="F178" s="21">
        <f>SUMIFS(Einzelbeträge!$D:$D,Einzelbeträge!$C:$C,'Ausgaben 2024'!$C178,Einzelbeträge!$E:$E,'Ausgaben 2024'!F$6)</f>
        <v>0</v>
      </c>
      <c r="G178" s="21">
        <f>SUMIFS(Einzelbeträge!$D:$D,Einzelbeträge!$C:$C,'Ausgaben 2024'!$C178,Einzelbeträge!$E:$E,'Ausgaben 2024'!G$6)</f>
        <v>0</v>
      </c>
      <c r="H178" s="21">
        <f>SUMIFS(Einzelbeträge!$D:$D,Einzelbeträge!$C:$C,'Ausgaben 2024'!$C178,Einzelbeträge!$E:$E,'Ausgaben 2024'!H$6)</f>
        <v>0</v>
      </c>
      <c r="I178" s="21">
        <f>SUMIFS(Einzelbeträge!$D:$D,Einzelbeträge!$C:$C,'Ausgaben 2024'!$C178,Einzelbeträge!$E:$E,'Ausgaben 2024'!I$6)</f>
        <v>0</v>
      </c>
      <c r="J178" s="21">
        <f>SUMIFS(Einzelbeträge!$D:$D,Einzelbeträge!$C:$C,'Ausgaben 2024'!$C178,Einzelbeträge!$E:$E,'Ausgaben 2024'!J$6)</f>
        <v>0</v>
      </c>
      <c r="K178" s="21">
        <f>SUMIFS(Einzelbeträge!$D:$D,Einzelbeträge!$C:$C,'Ausgaben 2024'!$C178,Einzelbeträge!$E:$E,'Ausgaben 2024'!K$6)</f>
        <v>0</v>
      </c>
      <c r="L178" s="21">
        <f>SUMIFS(Einzelbeträge!$D:$D,Einzelbeträge!$C:$C,'Ausgaben 2024'!$C178,Einzelbeträge!$E:$E,'Ausgaben 2024'!L$6)</f>
        <v>0</v>
      </c>
      <c r="M178" s="21">
        <f>SUMIFS(Einzelbeträge!$D:$D,Einzelbeträge!$C:$C,'Ausgaben 2024'!$C178,Einzelbeträge!$E:$E,'Ausgaben 2024'!M$6)</f>
        <v>0</v>
      </c>
      <c r="N178" s="35">
        <f>SUMIFS(Einzelbeträge!$D:$D,Einzelbeträge!$C:$C,'Ausgaben 2024'!$C178,Einzelbeträge!$E:$E,'Ausgaben 2024'!N$6)</f>
        <v>0</v>
      </c>
      <c r="O178" s="6"/>
    </row>
    <row r="179" spans="2:15" x14ac:dyDescent="0.35">
      <c r="B179" s="5"/>
      <c r="C179" s="30">
        <f t="shared" si="29"/>
        <v>45449</v>
      </c>
      <c r="D179" s="46">
        <f>SUMIFS(Einzelbeträge!$D:$D,Einzelbeträge!$C:$C,'Ausgaben 2024'!$C179)</f>
        <v>0</v>
      </c>
      <c r="E179" s="21">
        <f>SUMIFS(Einzelbeträge!$D:$D,Einzelbeträge!$C:$C,'Ausgaben 2024'!$C179,Einzelbeträge!$E:$E,'Ausgaben 2024'!E$6)</f>
        <v>0</v>
      </c>
      <c r="F179" s="21">
        <f>SUMIFS(Einzelbeträge!$D:$D,Einzelbeträge!$C:$C,'Ausgaben 2024'!$C179,Einzelbeträge!$E:$E,'Ausgaben 2024'!F$6)</f>
        <v>0</v>
      </c>
      <c r="G179" s="21">
        <f>SUMIFS(Einzelbeträge!$D:$D,Einzelbeträge!$C:$C,'Ausgaben 2024'!$C179,Einzelbeträge!$E:$E,'Ausgaben 2024'!G$6)</f>
        <v>0</v>
      </c>
      <c r="H179" s="21">
        <f>SUMIFS(Einzelbeträge!$D:$D,Einzelbeträge!$C:$C,'Ausgaben 2024'!$C179,Einzelbeträge!$E:$E,'Ausgaben 2024'!H$6)</f>
        <v>0</v>
      </c>
      <c r="I179" s="21">
        <f>SUMIFS(Einzelbeträge!$D:$D,Einzelbeträge!$C:$C,'Ausgaben 2024'!$C179,Einzelbeträge!$E:$E,'Ausgaben 2024'!I$6)</f>
        <v>0</v>
      </c>
      <c r="J179" s="21">
        <f>SUMIFS(Einzelbeträge!$D:$D,Einzelbeträge!$C:$C,'Ausgaben 2024'!$C179,Einzelbeträge!$E:$E,'Ausgaben 2024'!J$6)</f>
        <v>0</v>
      </c>
      <c r="K179" s="21">
        <f>SUMIFS(Einzelbeträge!$D:$D,Einzelbeträge!$C:$C,'Ausgaben 2024'!$C179,Einzelbeträge!$E:$E,'Ausgaben 2024'!K$6)</f>
        <v>0</v>
      </c>
      <c r="L179" s="21">
        <f>SUMIFS(Einzelbeträge!$D:$D,Einzelbeträge!$C:$C,'Ausgaben 2024'!$C179,Einzelbeträge!$E:$E,'Ausgaben 2024'!L$6)</f>
        <v>0</v>
      </c>
      <c r="M179" s="21">
        <f>SUMIFS(Einzelbeträge!$D:$D,Einzelbeträge!$C:$C,'Ausgaben 2024'!$C179,Einzelbeträge!$E:$E,'Ausgaben 2024'!M$6)</f>
        <v>0</v>
      </c>
      <c r="N179" s="35">
        <f>SUMIFS(Einzelbeträge!$D:$D,Einzelbeträge!$C:$C,'Ausgaben 2024'!$C179,Einzelbeträge!$E:$E,'Ausgaben 2024'!N$6)</f>
        <v>0</v>
      </c>
      <c r="O179" s="6"/>
    </row>
    <row r="180" spans="2:15" x14ac:dyDescent="0.35">
      <c r="B180" s="5"/>
      <c r="C180" s="30">
        <f t="shared" si="29"/>
        <v>45450</v>
      </c>
      <c r="D180" s="46">
        <f>SUMIFS(Einzelbeträge!$D:$D,Einzelbeträge!$C:$C,'Ausgaben 2024'!$C180)</f>
        <v>0</v>
      </c>
      <c r="E180" s="21">
        <f>SUMIFS(Einzelbeträge!$D:$D,Einzelbeträge!$C:$C,'Ausgaben 2024'!$C180,Einzelbeträge!$E:$E,'Ausgaben 2024'!E$6)</f>
        <v>0</v>
      </c>
      <c r="F180" s="21">
        <f>SUMIFS(Einzelbeträge!$D:$D,Einzelbeträge!$C:$C,'Ausgaben 2024'!$C180,Einzelbeträge!$E:$E,'Ausgaben 2024'!F$6)</f>
        <v>0</v>
      </c>
      <c r="G180" s="21">
        <f>SUMIFS(Einzelbeträge!$D:$D,Einzelbeträge!$C:$C,'Ausgaben 2024'!$C180,Einzelbeträge!$E:$E,'Ausgaben 2024'!G$6)</f>
        <v>0</v>
      </c>
      <c r="H180" s="21">
        <f>SUMIFS(Einzelbeträge!$D:$D,Einzelbeträge!$C:$C,'Ausgaben 2024'!$C180,Einzelbeträge!$E:$E,'Ausgaben 2024'!H$6)</f>
        <v>0</v>
      </c>
      <c r="I180" s="21">
        <f>SUMIFS(Einzelbeträge!$D:$D,Einzelbeträge!$C:$C,'Ausgaben 2024'!$C180,Einzelbeträge!$E:$E,'Ausgaben 2024'!I$6)</f>
        <v>0</v>
      </c>
      <c r="J180" s="21">
        <f>SUMIFS(Einzelbeträge!$D:$D,Einzelbeträge!$C:$C,'Ausgaben 2024'!$C180,Einzelbeträge!$E:$E,'Ausgaben 2024'!J$6)</f>
        <v>0</v>
      </c>
      <c r="K180" s="21">
        <f>SUMIFS(Einzelbeträge!$D:$D,Einzelbeträge!$C:$C,'Ausgaben 2024'!$C180,Einzelbeträge!$E:$E,'Ausgaben 2024'!K$6)</f>
        <v>0</v>
      </c>
      <c r="L180" s="21">
        <f>SUMIFS(Einzelbeträge!$D:$D,Einzelbeträge!$C:$C,'Ausgaben 2024'!$C180,Einzelbeträge!$E:$E,'Ausgaben 2024'!L$6)</f>
        <v>0</v>
      </c>
      <c r="M180" s="21">
        <f>SUMIFS(Einzelbeträge!$D:$D,Einzelbeträge!$C:$C,'Ausgaben 2024'!$C180,Einzelbeträge!$E:$E,'Ausgaben 2024'!M$6)</f>
        <v>0</v>
      </c>
      <c r="N180" s="35">
        <f>SUMIFS(Einzelbeträge!$D:$D,Einzelbeträge!$C:$C,'Ausgaben 2024'!$C180,Einzelbeträge!$E:$E,'Ausgaben 2024'!N$6)</f>
        <v>0</v>
      </c>
      <c r="O180" s="6"/>
    </row>
    <row r="181" spans="2:15" x14ac:dyDescent="0.35">
      <c r="B181" s="5"/>
      <c r="C181" s="30">
        <f t="shared" si="29"/>
        <v>45451</v>
      </c>
      <c r="D181" s="46">
        <f>SUMIFS(Einzelbeträge!$D:$D,Einzelbeträge!$C:$C,'Ausgaben 2024'!$C181)</f>
        <v>0</v>
      </c>
      <c r="E181" s="21">
        <f>SUMIFS(Einzelbeträge!$D:$D,Einzelbeträge!$C:$C,'Ausgaben 2024'!$C181,Einzelbeträge!$E:$E,'Ausgaben 2024'!E$6)</f>
        <v>0</v>
      </c>
      <c r="F181" s="21">
        <f>SUMIFS(Einzelbeträge!$D:$D,Einzelbeträge!$C:$C,'Ausgaben 2024'!$C181,Einzelbeträge!$E:$E,'Ausgaben 2024'!F$6)</f>
        <v>0</v>
      </c>
      <c r="G181" s="21">
        <f>SUMIFS(Einzelbeträge!$D:$D,Einzelbeträge!$C:$C,'Ausgaben 2024'!$C181,Einzelbeträge!$E:$E,'Ausgaben 2024'!G$6)</f>
        <v>0</v>
      </c>
      <c r="H181" s="21">
        <f>SUMIFS(Einzelbeträge!$D:$D,Einzelbeträge!$C:$C,'Ausgaben 2024'!$C181,Einzelbeträge!$E:$E,'Ausgaben 2024'!H$6)</f>
        <v>0</v>
      </c>
      <c r="I181" s="21">
        <f>SUMIFS(Einzelbeträge!$D:$D,Einzelbeträge!$C:$C,'Ausgaben 2024'!$C181,Einzelbeträge!$E:$E,'Ausgaben 2024'!I$6)</f>
        <v>0</v>
      </c>
      <c r="J181" s="21">
        <f>SUMIFS(Einzelbeträge!$D:$D,Einzelbeträge!$C:$C,'Ausgaben 2024'!$C181,Einzelbeträge!$E:$E,'Ausgaben 2024'!J$6)</f>
        <v>0</v>
      </c>
      <c r="K181" s="21">
        <f>SUMIFS(Einzelbeträge!$D:$D,Einzelbeträge!$C:$C,'Ausgaben 2024'!$C181,Einzelbeträge!$E:$E,'Ausgaben 2024'!K$6)</f>
        <v>0</v>
      </c>
      <c r="L181" s="21">
        <f>SUMIFS(Einzelbeträge!$D:$D,Einzelbeträge!$C:$C,'Ausgaben 2024'!$C181,Einzelbeträge!$E:$E,'Ausgaben 2024'!L$6)</f>
        <v>0</v>
      </c>
      <c r="M181" s="21">
        <f>SUMIFS(Einzelbeträge!$D:$D,Einzelbeträge!$C:$C,'Ausgaben 2024'!$C181,Einzelbeträge!$E:$E,'Ausgaben 2024'!M$6)</f>
        <v>0</v>
      </c>
      <c r="N181" s="35">
        <f>SUMIFS(Einzelbeträge!$D:$D,Einzelbeträge!$C:$C,'Ausgaben 2024'!$C181,Einzelbeträge!$E:$E,'Ausgaben 2024'!N$6)</f>
        <v>0</v>
      </c>
      <c r="O181" s="6"/>
    </row>
    <row r="182" spans="2:15" x14ac:dyDescent="0.35">
      <c r="B182" s="5"/>
      <c r="C182" s="30">
        <f t="shared" si="29"/>
        <v>45452</v>
      </c>
      <c r="D182" s="46">
        <f>SUMIFS(Einzelbeträge!$D:$D,Einzelbeträge!$C:$C,'Ausgaben 2024'!$C182)</f>
        <v>0</v>
      </c>
      <c r="E182" s="21">
        <f>SUMIFS(Einzelbeträge!$D:$D,Einzelbeträge!$C:$C,'Ausgaben 2024'!$C182,Einzelbeträge!$E:$E,'Ausgaben 2024'!E$6)</f>
        <v>0</v>
      </c>
      <c r="F182" s="21">
        <f>SUMIFS(Einzelbeträge!$D:$D,Einzelbeträge!$C:$C,'Ausgaben 2024'!$C182,Einzelbeträge!$E:$E,'Ausgaben 2024'!F$6)</f>
        <v>0</v>
      </c>
      <c r="G182" s="21">
        <f>SUMIFS(Einzelbeträge!$D:$D,Einzelbeträge!$C:$C,'Ausgaben 2024'!$C182,Einzelbeträge!$E:$E,'Ausgaben 2024'!G$6)</f>
        <v>0</v>
      </c>
      <c r="H182" s="21">
        <f>SUMIFS(Einzelbeträge!$D:$D,Einzelbeträge!$C:$C,'Ausgaben 2024'!$C182,Einzelbeträge!$E:$E,'Ausgaben 2024'!H$6)</f>
        <v>0</v>
      </c>
      <c r="I182" s="21">
        <f>SUMIFS(Einzelbeträge!$D:$D,Einzelbeträge!$C:$C,'Ausgaben 2024'!$C182,Einzelbeträge!$E:$E,'Ausgaben 2024'!I$6)</f>
        <v>0</v>
      </c>
      <c r="J182" s="21">
        <f>SUMIFS(Einzelbeträge!$D:$D,Einzelbeträge!$C:$C,'Ausgaben 2024'!$C182,Einzelbeträge!$E:$E,'Ausgaben 2024'!J$6)</f>
        <v>0</v>
      </c>
      <c r="K182" s="21">
        <f>SUMIFS(Einzelbeträge!$D:$D,Einzelbeträge!$C:$C,'Ausgaben 2024'!$C182,Einzelbeträge!$E:$E,'Ausgaben 2024'!K$6)</f>
        <v>0</v>
      </c>
      <c r="L182" s="21">
        <f>SUMIFS(Einzelbeträge!$D:$D,Einzelbeträge!$C:$C,'Ausgaben 2024'!$C182,Einzelbeträge!$E:$E,'Ausgaben 2024'!L$6)</f>
        <v>0</v>
      </c>
      <c r="M182" s="21">
        <f>SUMIFS(Einzelbeträge!$D:$D,Einzelbeträge!$C:$C,'Ausgaben 2024'!$C182,Einzelbeträge!$E:$E,'Ausgaben 2024'!M$6)</f>
        <v>0</v>
      </c>
      <c r="N182" s="35">
        <f>SUMIFS(Einzelbeträge!$D:$D,Einzelbeträge!$C:$C,'Ausgaben 2024'!$C182,Einzelbeträge!$E:$E,'Ausgaben 2024'!N$6)</f>
        <v>0</v>
      </c>
      <c r="O182" s="6"/>
    </row>
    <row r="183" spans="2:15" x14ac:dyDescent="0.35">
      <c r="B183" s="5"/>
      <c r="C183" s="30">
        <f t="shared" si="29"/>
        <v>45453</v>
      </c>
      <c r="D183" s="46">
        <f>SUMIFS(Einzelbeträge!$D:$D,Einzelbeträge!$C:$C,'Ausgaben 2024'!$C183)</f>
        <v>0</v>
      </c>
      <c r="E183" s="21">
        <f>SUMIFS(Einzelbeträge!$D:$D,Einzelbeträge!$C:$C,'Ausgaben 2024'!$C183,Einzelbeträge!$E:$E,'Ausgaben 2024'!E$6)</f>
        <v>0</v>
      </c>
      <c r="F183" s="21">
        <f>SUMIFS(Einzelbeträge!$D:$D,Einzelbeträge!$C:$C,'Ausgaben 2024'!$C183,Einzelbeträge!$E:$E,'Ausgaben 2024'!F$6)</f>
        <v>0</v>
      </c>
      <c r="G183" s="21">
        <f>SUMIFS(Einzelbeträge!$D:$D,Einzelbeträge!$C:$C,'Ausgaben 2024'!$C183,Einzelbeträge!$E:$E,'Ausgaben 2024'!G$6)</f>
        <v>0</v>
      </c>
      <c r="H183" s="21">
        <f>SUMIFS(Einzelbeträge!$D:$D,Einzelbeträge!$C:$C,'Ausgaben 2024'!$C183,Einzelbeträge!$E:$E,'Ausgaben 2024'!H$6)</f>
        <v>0</v>
      </c>
      <c r="I183" s="21">
        <f>SUMIFS(Einzelbeträge!$D:$D,Einzelbeträge!$C:$C,'Ausgaben 2024'!$C183,Einzelbeträge!$E:$E,'Ausgaben 2024'!I$6)</f>
        <v>0</v>
      </c>
      <c r="J183" s="21">
        <f>SUMIFS(Einzelbeträge!$D:$D,Einzelbeträge!$C:$C,'Ausgaben 2024'!$C183,Einzelbeträge!$E:$E,'Ausgaben 2024'!J$6)</f>
        <v>0</v>
      </c>
      <c r="K183" s="21">
        <f>SUMIFS(Einzelbeträge!$D:$D,Einzelbeträge!$C:$C,'Ausgaben 2024'!$C183,Einzelbeträge!$E:$E,'Ausgaben 2024'!K$6)</f>
        <v>0</v>
      </c>
      <c r="L183" s="21">
        <f>SUMIFS(Einzelbeträge!$D:$D,Einzelbeträge!$C:$C,'Ausgaben 2024'!$C183,Einzelbeträge!$E:$E,'Ausgaben 2024'!L$6)</f>
        <v>0</v>
      </c>
      <c r="M183" s="21">
        <f>SUMIFS(Einzelbeträge!$D:$D,Einzelbeträge!$C:$C,'Ausgaben 2024'!$C183,Einzelbeträge!$E:$E,'Ausgaben 2024'!M$6)</f>
        <v>0</v>
      </c>
      <c r="N183" s="35">
        <f>SUMIFS(Einzelbeträge!$D:$D,Einzelbeträge!$C:$C,'Ausgaben 2024'!$C183,Einzelbeträge!$E:$E,'Ausgaben 2024'!N$6)</f>
        <v>0</v>
      </c>
      <c r="O183" s="6"/>
    </row>
    <row r="184" spans="2:15" x14ac:dyDescent="0.35">
      <c r="B184" s="5"/>
      <c r="C184" s="30">
        <f t="shared" si="29"/>
        <v>45454</v>
      </c>
      <c r="D184" s="46">
        <f>SUMIFS(Einzelbeträge!$D:$D,Einzelbeträge!$C:$C,'Ausgaben 2024'!$C184)</f>
        <v>0</v>
      </c>
      <c r="E184" s="21">
        <f>SUMIFS(Einzelbeträge!$D:$D,Einzelbeträge!$C:$C,'Ausgaben 2024'!$C184,Einzelbeträge!$E:$E,'Ausgaben 2024'!E$6)</f>
        <v>0</v>
      </c>
      <c r="F184" s="21">
        <f>SUMIFS(Einzelbeträge!$D:$D,Einzelbeträge!$C:$C,'Ausgaben 2024'!$C184,Einzelbeträge!$E:$E,'Ausgaben 2024'!F$6)</f>
        <v>0</v>
      </c>
      <c r="G184" s="21">
        <f>SUMIFS(Einzelbeträge!$D:$D,Einzelbeträge!$C:$C,'Ausgaben 2024'!$C184,Einzelbeträge!$E:$E,'Ausgaben 2024'!G$6)</f>
        <v>0</v>
      </c>
      <c r="H184" s="21">
        <f>SUMIFS(Einzelbeträge!$D:$D,Einzelbeträge!$C:$C,'Ausgaben 2024'!$C184,Einzelbeträge!$E:$E,'Ausgaben 2024'!H$6)</f>
        <v>0</v>
      </c>
      <c r="I184" s="21">
        <f>SUMIFS(Einzelbeträge!$D:$D,Einzelbeträge!$C:$C,'Ausgaben 2024'!$C184,Einzelbeträge!$E:$E,'Ausgaben 2024'!I$6)</f>
        <v>0</v>
      </c>
      <c r="J184" s="21">
        <f>SUMIFS(Einzelbeträge!$D:$D,Einzelbeträge!$C:$C,'Ausgaben 2024'!$C184,Einzelbeträge!$E:$E,'Ausgaben 2024'!J$6)</f>
        <v>0</v>
      </c>
      <c r="K184" s="21">
        <f>SUMIFS(Einzelbeträge!$D:$D,Einzelbeträge!$C:$C,'Ausgaben 2024'!$C184,Einzelbeträge!$E:$E,'Ausgaben 2024'!K$6)</f>
        <v>0</v>
      </c>
      <c r="L184" s="21">
        <f>SUMIFS(Einzelbeträge!$D:$D,Einzelbeträge!$C:$C,'Ausgaben 2024'!$C184,Einzelbeträge!$E:$E,'Ausgaben 2024'!L$6)</f>
        <v>0</v>
      </c>
      <c r="M184" s="21">
        <f>SUMIFS(Einzelbeträge!$D:$D,Einzelbeträge!$C:$C,'Ausgaben 2024'!$C184,Einzelbeträge!$E:$E,'Ausgaben 2024'!M$6)</f>
        <v>0</v>
      </c>
      <c r="N184" s="35">
        <f>SUMIFS(Einzelbeträge!$D:$D,Einzelbeträge!$C:$C,'Ausgaben 2024'!$C184,Einzelbeträge!$E:$E,'Ausgaben 2024'!N$6)</f>
        <v>0</v>
      </c>
      <c r="O184" s="6"/>
    </row>
    <row r="185" spans="2:15" x14ac:dyDescent="0.35">
      <c r="B185" s="5"/>
      <c r="C185" s="30">
        <f t="shared" si="29"/>
        <v>45455</v>
      </c>
      <c r="D185" s="46">
        <f>SUMIFS(Einzelbeträge!$D:$D,Einzelbeträge!$C:$C,'Ausgaben 2024'!$C185)</f>
        <v>0</v>
      </c>
      <c r="E185" s="21">
        <f>SUMIFS(Einzelbeträge!$D:$D,Einzelbeträge!$C:$C,'Ausgaben 2024'!$C185,Einzelbeträge!$E:$E,'Ausgaben 2024'!E$6)</f>
        <v>0</v>
      </c>
      <c r="F185" s="21">
        <f>SUMIFS(Einzelbeträge!$D:$D,Einzelbeträge!$C:$C,'Ausgaben 2024'!$C185,Einzelbeträge!$E:$E,'Ausgaben 2024'!F$6)</f>
        <v>0</v>
      </c>
      <c r="G185" s="21">
        <f>SUMIFS(Einzelbeträge!$D:$D,Einzelbeträge!$C:$C,'Ausgaben 2024'!$C185,Einzelbeträge!$E:$E,'Ausgaben 2024'!G$6)</f>
        <v>0</v>
      </c>
      <c r="H185" s="21">
        <f>SUMIFS(Einzelbeträge!$D:$D,Einzelbeträge!$C:$C,'Ausgaben 2024'!$C185,Einzelbeträge!$E:$E,'Ausgaben 2024'!H$6)</f>
        <v>0</v>
      </c>
      <c r="I185" s="21">
        <f>SUMIFS(Einzelbeträge!$D:$D,Einzelbeträge!$C:$C,'Ausgaben 2024'!$C185,Einzelbeträge!$E:$E,'Ausgaben 2024'!I$6)</f>
        <v>0</v>
      </c>
      <c r="J185" s="21">
        <f>SUMIFS(Einzelbeträge!$D:$D,Einzelbeträge!$C:$C,'Ausgaben 2024'!$C185,Einzelbeträge!$E:$E,'Ausgaben 2024'!J$6)</f>
        <v>0</v>
      </c>
      <c r="K185" s="21">
        <f>SUMIFS(Einzelbeträge!$D:$D,Einzelbeträge!$C:$C,'Ausgaben 2024'!$C185,Einzelbeträge!$E:$E,'Ausgaben 2024'!K$6)</f>
        <v>0</v>
      </c>
      <c r="L185" s="21">
        <f>SUMIFS(Einzelbeträge!$D:$D,Einzelbeträge!$C:$C,'Ausgaben 2024'!$C185,Einzelbeträge!$E:$E,'Ausgaben 2024'!L$6)</f>
        <v>0</v>
      </c>
      <c r="M185" s="21">
        <f>SUMIFS(Einzelbeträge!$D:$D,Einzelbeträge!$C:$C,'Ausgaben 2024'!$C185,Einzelbeträge!$E:$E,'Ausgaben 2024'!M$6)</f>
        <v>0</v>
      </c>
      <c r="N185" s="35">
        <f>SUMIFS(Einzelbeträge!$D:$D,Einzelbeträge!$C:$C,'Ausgaben 2024'!$C185,Einzelbeträge!$E:$E,'Ausgaben 2024'!N$6)</f>
        <v>0</v>
      </c>
      <c r="O185" s="6"/>
    </row>
    <row r="186" spans="2:15" x14ac:dyDescent="0.35">
      <c r="B186" s="5"/>
      <c r="C186" s="30">
        <f t="shared" si="29"/>
        <v>45456</v>
      </c>
      <c r="D186" s="46">
        <f>SUMIFS(Einzelbeträge!$D:$D,Einzelbeträge!$C:$C,'Ausgaben 2024'!$C186)</f>
        <v>0</v>
      </c>
      <c r="E186" s="21">
        <f>SUMIFS(Einzelbeträge!$D:$D,Einzelbeträge!$C:$C,'Ausgaben 2024'!$C186,Einzelbeträge!$E:$E,'Ausgaben 2024'!E$6)</f>
        <v>0</v>
      </c>
      <c r="F186" s="21">
        <f>SUMIFS(Einzelbeträge!$D:$D,Einzelbeträge!$C:$C,'Ausgaben 2024'!$C186,Einzelbeträge!$E:$E,'Ausgaben 2024'!F$6)</f>
        <v>0</v>
      </c>
      <c r="G186" s="21">
        <f>SUMIFS(Einzelbeträge!$D:$D,Einzelbeträge!$C:$C,'Ausgaben 2024'!$C186,Einzelbeträge!$E:$E,'Ausgaben 2024'!G$6)</f>
        <v>0</v>
      </c>
      <c r="H186" s="21">
        <f>SUMIFS(Einzelbeträge!$D:$D,Einzelbeträge!$C:$C,'Ausgaben 2024'!$C186,Einzelbeträge!$E:$E,'Ausgaben 2024'!H$6)</f>
        <v>0</v>
      </c>
      <c r="I186" s="21">
        <f>SUMIFS(Einzelbeträge!$D:$D,Einzelbeträge!$C:$C,'Ausgaben 2024'!$C186,Einzelbeträge!$E:$E,'Ausgaben 2024'!I$6)</f>
        <v>0</v>
      </c>
      <c r="J186" s="21">
        <f>SUMIFS(Einzelbeträge!$D:$D,Einzelbeträge!$C:$C,'Ausgaben 2024'!$C186,Einzelbeträge!$E:$E,'Ausgaben 2024'!J$6)</f>
        <v>0</v>
      </c>
      <c r="K186" s="21">
        <f>SUMIFS(Einzelbeträge!$D:$D,Einzelbeträge!$C:$C,'Ausgaben 2024'!$C186,Einzelbeträge!$E:$E,'Ausgaben 2024'!K$6)</f>
        <v>0</v>
      </c>
      <c r="L186" s="21">
        <f>SUMIFS(Einzelbeträge!$D:$D,Einzelbeträge!$C:$C,'Ausgaben 2024'!$C186,Einzelbeträge!$E:$E,'Ausgaben 2024'!L$6)</f>
        <v>0</v>
      </c>
      <c r="M186" s="21">
        <f>SUMIFS(Einzelbeträge!$D:$D,Einzelbeträge!$C:$C,'Ausgaben 2024'!$C186,Einzelbeträge!$E:$E,'Ausgaben 2024'!M$6)</f>
        <v>0</v>
      </c>
      <c r="N186" s="35">
        <f>SUMIFS(Einzelbeträge!$D:$D,Einzelbeträge!$C:$C,'Ausgaben 2024'!$C186,Einzelbeträge!$E:$E,'Ausgaben 2024'!N$6)</f>
        <v>0</v>
      </c>
      <c r="O186" s="6"/>
    </row>
    <row r="187" spans="2:15" x14ac:dyDescent="0.35">
      <c r="B187" s="5"/>
      <c r="C187" s="30">
        <f t="shared" si="29"/>
        <v>45457</v>
      </c>
      <c r="D187" s="46">
        <f>SUMIFS(Einzelbeträge!$D:$D,Einzelbeträge!$C:$C,'Ausgaben 2024'!$C187)</f>
        <v>0</v>
      </c>
      <c r="E187" s="21">
        <f>SUMIFS(Einzelbeträge!$D:$D,Einzelbeträge!$C:$C,'Ausgaben 2024'!$C187,Einzelbeträge!$E:$E,'Ausgaben 2024'!E$6)</f>
        <v>0</v>
      </c>
      <c r="F187" s="21">
        <f>SUMIFS(Einzelbeträge!$D:$D,Einzelbeträge!$C:$C,'Ausgaben 2024'!$C187,Einzelbeträge!$E:$E,'Ausgaben 2024'!F$6)</f>
        <v>0</v>
      </c>
      <c r="G187" s="21">
        <f>SUMIFS(Einzelbeträge!$D:$D,Einzelbeträge!$C:$C,'Ausgaben 2024'!$C187,Einzelbeträge!$E:$E,'Ausgaben 2024'!G$6)</f>
        <v>0</v>
      </c>
      <c r="H187" s="21">
        <f>SUMIFS(Einzelbeträge!$D:$D,Einzelbeträge!$C:$C,'Ausgaben 2024'!$C187,Einzelbeträge!$E:$E,'Ausgaben 2024'!H$6)</f>
        <v>0</v>
      </c>
      <c r="I187" s="21">
        <f>SUMIFS(Einzelbeträge!$D:$D,Einzelbeträge!$C:$C,'Ausgaben 2024'!$C187,Einzelbeträge!$E:$E,'Ausgaben 2024'!I$6)</f>
        <v>0</v>
      </c>
      <c r="J187" s="21">
        <f>SUMIFS(Einzelbeträge!$D:$D,Einzelbeträge!$C:$C,'Ausgaben 2024'!$C187,Einzelbeträge!$E:$E,'Ausgaben 2024'!J$6)</f>
        <v>0</v>
      </c>
      <c r="K187" s="21">
        <f>SUMIFS(Einzelbeträge!$D:$D,Einzelbeträge!$C:$C,'Ausgaben 2024'!$C187,Einzelbeträge!$E:$E,'Ausgaben 2024'!K$6)</f>
        <v>0</v>
      </c>
      <c r="L187" s="21">
        <f>SUMIFS(Einzelbeträge!$D:$D,Einzelbeträge!$C:$C,'Ausgaben 2024'!$C187,Einzelbeträge!$E:$E,'Ausgaben 2024'!L$6)</f>
        <v>0</v>
      </c>
      <c r="M187" s="21">
        <f>SUMIFS(Einzelbeträge!$D:$D,Einzelbeträge!$C:$C,'Ausgaben 2024'!$C187,Einzelbeträge!$E:$E,'Ausgaben 2024'!M$6)</f>
        <v>0</v>
      </c>
      <c r="N187" s="35">
        <f>SUMIFS(Einzelbeträge!$D:$D,Einzelbeträge!$C:$C,'Ausgaben 2024'!$C187,Einzelbeträge!$E:$E,'Ausgaben 2024'!N$6)</f>
        <v>0</v>
      </c>
      <c r="O187" s="6"/>
    </row>
    <row r="188" spans="2:15" x14ac:dyDescent="0.35">
      <c r="B188" s="5"/>
      <c r="C188" s="30">
        <f t="shared" si="29"/>
        <v>45458</v>
      </c>
      <c r="D188" s="46">
        <f>SUMIFS(Einzelbeträge!$D:$D,Einzelbeträge!$C:$C,'Ausgaben 2024'!$C188)</f>
        <v>0</v>
      </c>
      <c r="E188" s="21">
        <f>SUMIFS(Einzelbeträge!$D:$D,Einzelbeträge!$C:$C,'Ausgaben 2024'!$C188,Einzelbeträge!$E:$E,'Ausgaben 2024'!E$6)</f>
        <v>0</v>
      </c>
      <c r="F188" s="21">
        <f>SUMIFS(Einzelbeträge!$D:$D,Einzelbeträge!$C:$C,'Ausgaben 2024'!$C188,Einzelbeträge!$E:$E,'Ausgaben 2024'!F$6)</f>
        <v>0</v>
      </c>
      <c r="G188" s="21">
        <f>SUMIFS(Einzelbeträge!$D:$D,Einzelbeträge!$C:$C,'Ausgaben 2024'!$C188,Einzelbeträge!$E:$E,'Ausgaben 2024'!G$6)</f>
        <v>0</v>
      </c>
      <c r="H188" s="21">
        <f>SUMIFS(Einzelbeträge!$D:$D,Einzelbeträge!$C:$C,'Ausgaben 2024'!$C188,Einzelbeträge!$E:$E,'Ausgaben 2024'!H$6)</f>
        <v>0</v>
      </c>
      <c r="I188" s="21">
        <f>SUMIFS(Einzelbeträge!$D:$D,Einzelbeträge!$C:$C,'Ausgaben 2024'!$C188,Einzelbeträge!$E:$E,'Ausgaben 2024'!I$6)</f>
        <v>0</v>
      </c>
      <c r="J188" s="21">
        <f>SUMIFS(Einzelbeträge!$D:$D,Einzelbeträge!$C:$C,'Ausgaben 2024'!$C188,Einzelbeträge!$E:$E,'Ausgaben 2024'!J$6)</f>
        <v>0</v>
      </c>
      <c r="K188" s="21">
        <f>SUMIFS(Einzelbeträge!$D:$D,Einzelbeträge!$C:$C,'Ausgaben 2024'!$C188,Einzelbeträge!$E:$E,'Ausgaben 2024'!K$6)</f>
        <v>0</v>
      </c>
      <c r="L188" s="21">
        <f>SUMIFS(Einzelbeträge!$D:$D,Einzelbeträge!$C:$C,'Ausgaben 2024'!$C188,Einzelbeträge!$E:$E,'Ausgaben 2024'!L$6)</f>
        <v>0</v>
      </c>
      <c r="M188" s="21">
        <f>SUMIFS(Einzelbeträge!$D:$D,Einzelbeträge!$C:$C,'Ausgaben 2024'!$C188,Einzelbeträge!$E:$E,'Ausgaben 2024'!M$6)</f>
        <v>0</v>
      </c>
      <c r="N188" s="35">
        <f>SUMIFS(Einzelbeträge!$D:$D,Einzelbeträge!$C:$C,'Ausgaben 2024'!$C188,Einzelbeträge!$E:$E,'Ausgaben 2024'!N$6)</f>
        <v>0</v>
      </c>
      <c r="O188" s="6"/>
    </row>
    <row r="189" spans="2:15" x14ac:dyDescent="0.35">
      <c r="B189" s="5"/>
      <c r="C189" s="30">
        <f t="shared" si="29"/>
        <v>45459</v>
      </c>
      <c r="D189" s="46">
        <f>SUMIFS(Einzelbeträge!$D:$D,Einzelbeträge!$C:$C,'Ausgaben 2024'!$C189)</f>
        <v>0</v>
      </c>
      <c r="E189" s="21">
        <f>SUMIFS(Einzelbeträge!$D:$D,Einzelbeträge!$C:$C,'Ausgaben 2024'!$C189,Einzelbeträge!$E:$E,'Ausgaben 2024'!E$6)</f>
        <v>0</v>
      </c>
      <c r="F189" s="21">
        <f>SUMIFS(Einzelbeträge!$D:$D,Einzelbeträge!$C:$C,'Ausgaben 2024'!$C189,Einzelbeträge!$E:$E,'Ausgaben 2024'!F$6)</f>
        <v>0</v>
      </c>
      <c r="G189" s="21">
        <f>SUMIFS(Einzelbeträge!$D:$D,Einzelbeträge!$C:$C,'Ausgaben 2024'!$C189,Einzelbeträge!$E:$E,'Ausgaben 2024'!G$6)</f>
        <v>0</v>
      </c>
      <c r="H189" s="21">
        <f>SUMIFS(Einzelbeträge!$D:$D,Einzelbeträge!$C:$C,'Ausgaben 2024'!$C189,Einzelbeträge!$E:$E,'Ausgaben 2024'!H$6)</f>
        <v>0</v>
      </c>
      <c r="I189" s="21">
        <f>SUMIFS(Einzelbeträge!$D:$D,Einzelbeträge!$C:$C,'Ausgaben 2024'!$C189,Einzelbeträge!$E:$E,'Ausgaben 2024'!I$6)</f>
        <v>0</v>
      </c>
      <c r="J189" s="21">
        <f>SUMIFS(Einzelbeträge!$D:$D,Einzelbeträge!$C:$C,'Ausgaben 2024'!$C189,Einzelbeträge!$E:$E,'Ausgaben 2024'!J$6)</f>
        <v>0</v>
      </c>
      <c r="K189" s="21">
        <f>SUMIFS(Einzelbeträge!$D:$D,Einzelbeträge!$C:$C,'Ausgaben 2024'!$C189,Einzelbeträge!$E:$E,'Ausgaben 2024'!K$6)</f>
        <v>0</v>
      </c>
      <c r="L189" s="21">
        <f>SUMIFS(Einzelbeträge!$D:$D,Einzelbeträge!$C:$C,'Ausgaben 2024'!$C189,Einzelbeträge!$E:$E,'Ausgaben 2024'!L$6)</f>
        <v>0</v>
      </c>
      <c r="M189" s="21">
        <f>SUMIFS(Einzelbeträge!$D:$D,Einzelbeträge!$C:$C,'Ausgaben 2024'!$C189,Einzelbeträge!$E:$E,'Ausgaben 2024'!M$6)</f>
        <v>0</v>
      </c>
      <c r="N189" s="35">
        <f>SUMIFS(Einzelbeträge!$D:$D,Einzelbeträge!$C:$C,'Ausgaben 2024'!$C189,Einzelbeträge!$E:$E,'Ausgaben 2024'!N$6)</f>
        <v>0</v>
      </c>
      <c r="O189" s="6"/>
    </row>
    <row r="190" spans="2:15" x14ac:dyDescent="0.35">
      <c r="B190" s="5"/>
      <c r="C190" s="30">
        <f t="shared" si="29"/>
        <v>45460</v>
      </c>
      <c r="D190" s="46">
        <f>SUMIFS(Einzelbeträge!$D:$D,Einzelbeträge!$C:$C,'Ausgaben 2024'!$C190)</f>
        <v>0</v>
      </c>
      <c r="E190" s="21">
        <f>SUMIFS(Einzelbeträge!$D:$D,Einzelbeträge!$C:$C,'Ausgaben 2024'!$C190,Einzelbeträge!$E:$E,'Ausgaben 2024'!E$6)</f>
        <v>0</v>
      </c>
      <c r="F190" s="21">
        <f>SUMIFS(Einzelbeträge!$D:$D,Einzelbeträge!$C:$C,'Ausgaben 2024'!$C190,Einzelbeträge!$E:$E,'Ausgaben 2024'!F$6)</f>
        <v>0</v>
      </c>
      <c r="G190" s="21">
        <f>SUMIFS(Einzelbeträge!$D:$D,Einzelbeträge!$C:$C,'Ausgaben 2024'!$C190,Einzelbeträge!$E:$E,'Ausgaben 2024'!G$6)</f>
        <v>0</v>
      </c>
      <c r="H190" s="21">
        <f>SUMIFS(Einzelbeträge!$D:$D,Einzelbeträge!$C:$C,'Ausgaben 2024'!$C190,Einzelbeträge!$E:$E,'Ausgaben 2024'!H$6)</f>
        <v>0</v>
      </c>
      <c r="I190" s="21">
        <f>SUMIFS(Einzelbeträge!$D:$D,Einzelbeträge!$C:$C,'Ausgaben 2024'!$C190,Einzelbeträge!$E:$E,'Ausgaben 2024'!I$6)</f>
        <v>0</v>
      </c>
      <c r="J190" s="21">
        <f>SUMIFS(Einzelbeträge!$D:$D,Einzelbeträge!$C:$C,'Ausgaben 2024'!$C190,Einzelbeträge!$E:$E,'Ausgaben 2024'!J$6)</f>
        <v>0</v>
      </c>
      <c r="K190" s="21">
        <f>SUMIFS(Einzelbeträge!$D:$D,Einzelbeträge!$C:$C,'Ausgaben 2024'!$C190,Einzelbeträge!$E:$E,'Ausgaben 2024'!K$6)</f>
        <v>0</v>
      </c>
      <c r="L190" s="21">
        <f>SUMIFS(Einzelbeträge!$D:$D,Einzelbeträge!$C:$C,'Ausgaben 2024'!$C190,Einzelbeträge!$E:$E,'Ausgaben 2024'!L$6)</f>
        <v>0</v>
      </c>
      <c r="M190" s="21">
        <f>SUMIFS(Einzelbeträge!$D:$D,Einzelbeträge!$C:$C,'Ausgaben 2024'!$C190,Einzelbeträge!$E:$E,'Ausgaben 2024'!M$6)</f>
        <v>0</v>
      </c>
      <c r="N190" s="35">
        <f>SUMIFS(Einzelbeträge!$D:$D,Einzelbeträge!$C:$C,'Ausgaben 2024'!$C190,Einzelbeträge!$E:$E,'Ausgaben 2024'!N$6)</f>
        <v>0</v>
      </c>
      <c r="O190" s="6"/>
    </row>
    <row r="191" spans="2:15" x14ac:dyDescent="0.35">
      <c r="B191" s="5"/>
      <c r="C191" s="30">
        <f t="shared" si="29"/>
        <v>45461</v>
      </c>
      <c r="D191" s="46">
        <f>SUMIFS(Einzelbeträge!$D:$D,Einzelbeträge!$C:$C,'Ausgaben 2024'!$C191)</f>
        <v>0</v>
      </c>
      <c r="E191" s="21">
        <f>SUMIFS(Einzelbeträge!$D:$D,Einzelbeträge!$C:$C,'Ausgaben 2024'!$C191,Einzelbeträge!$E:$E,'Ausgaben 2024'!E$6)</f>
        <v>0</v>
      </c>
      <c r="F191" s="21">
        <f>SUMIFS(Einzelbeträge!$D:$D,Einzelbeträge!$C:$C,'Ausgaben 2024'!$C191,Einzelbeträge!$E:$E,'Ausgaben 2024'!F$6)</f>
        <v>0</v>
      </c>
      <c r="G191" s="21">
        <f>SUMIFS(Einzelbeträge!$D:$D,Einzelbeträge!$C:$C,'Ausgaben 2024'!$C191,Einzelbeträge!$E:$E,'Ausgaben 2024'!G$6)</f>
        <v>0</v>
      </c>
      <c r="H191" s="21">
        <f>SUMIFS(Einzelbeträge!$D:$D,Einzelbeträge!$C:$C,'Ausgaben 2024'!$C191,Einzelbeträge!$E:$E,'Ausgaben 2024'!H$6)</f>
        <v>0</v>
      </c>
      <c r="I191" s="21">
        <f>SUMIFS(Einzelbeträge!$D:$D,Einzelbeträge!$C:$C,'Ausgaben 2024'!$C191,Einzelbeträge!$E:$E,'Ausgaben 2024'!I$6)</f>
        <v>0</v>
      </c>
      <c r="J191" s="21">
        <f>SUMIFS(Einzelbeträge!$D:$D,Einzelbeträge!$C:$C,'Ausgaben 2024'!$C191,Einzelbeträge!$E:$E,'Ausgaben 2024'!J$6)</f>
        <v>0</v>
      </c>
      <c r="K191" s="21">
        <f>SUMIFS(Einzelbeträge!$D:$D,Einzelbeträge!$C:$C,'Ausgaben 2024'!$C191,Einzelbeträge!$E:$E,'Ausgaben 2024'!K$6)</f>
        <v>0</v>
      </c>
      <c r="L191" s="21">
        <f>SUMIFS(Einzelbeträge!$D:$D,Einzelbeträge!$C:$C,'Ausgaben 2024'!$C191,Einzelbeträge!$E:$E,'Ausgaben 2024'!L$6)</f>
        <v>0</v>
      </c>
      <c r="M191" s="21">
        <f>SUMIFS(Einzelbeträge!$D:$D,Einzelbeträge!$C:$C,'Ausgaben 2024'!$C191,Einzelbeträge!$E:$E,'Ausgaben 2024'!M$6)</f>
        <v>0</v>
      </c>
      <c r="N191" s="35">
        <f>SUMIFS(Einzelbeträge!$D:$D,Einzelbeträge!$C:$C,'Ausgaben 2024'!$C191,Einzelbeträge!$E:$E,'Ausgaben 2024'!N$6)</f>
        <v>0</v>
      </c>
      <c r="O191" s="6"/>
    </row>
    <row r="192" spans="2:15" x14ac:dyDescent="0.35">
      <c r="B192" s="5"/>
      <c r="C192" s="30">
        <f t="shared" si="29"/>
        <v>45462</v>
      </c>
      <c r="D192" s="46">
        <f>SUMIFS(Einzelbeträge!$D:$D,Einzelbeträge!$C:$C,'Ausgaben 2024'!$C192)</f>
        <v>0</v>
      </c>
      <c r="E192" s="21">
        <f>SUMIFS(Einzelbeträge!$D:$D,Einzelbeträge!$C:$C,'Ausgaben 2024'!$C192,Einzelbeträge!$E:$E,'Ausgaben 2024'!E$6)</f>
        <v>0</v>
      </c>
      <c r="F192" s="21">
        <f>SUMIFS(Einzelbeträge!$D:$D,Einzelbeträge!$C:$C,'Ausgaben 2024'!$C192,Einzelbeträge!$E:$E,'Ausgaben 2024'!F$6)</f>
        <v>0</v>
      </c>
      <c r="G192" s="21">
        <f>SUMIFS(Einzelbeträge!$D:$D,Einzelbeträge!$C:$C,'Ausgaben 2024'!$C192,Einzelbeträge!$E:$E,'Ausgaben 2024'!G$6)</f>
        <v>0</v>
      </c>
      <c r="H192" s="21">
        <f>SUMIFS(Einzelbeträge!$D:$D,Einzelbeträge!$C:$C,'Ausgaben 2024'!$C192,Einzelbeträge!$E:$E,'Ausgaben 2024'!H$6)</f>
        <v>0</v>
      </c>
      <c r="I192" s="21">
        <f>SUMIFS(Einzelbeträge!$D:$D,Einzelbeträge!$C:$C,'Ausgaben 2024'!$C192,Einzelbeträge!$E:$E,'Ausgaben 2024'!I$6)</f>
        <v>0</v>
      </c>
      <c r="J192" s="21">
        <f>SUMIFS(Einzelbeträge!$D:$D,Einzelbeträge!$C:$C,'Ausgaben 2024'!$C192,Einzelbeträge!$E:$E,'Ausgaben 2024'!J$6)</f>
        <v>0</v>
      </c>
      <c r="K192" s="21">
        <f>SUMIFS(Einzelbeträge!$D:$D,Einzelbeträge!$C:$C,'Ausgaben 2024'!$C192,Einzelbeträge!$E:$E,'Ausgaben 2024'!K$6)</f>
        <v>0</v>
      </c>
      <c r="L192" s="21">
        <f>SUMIFS(Einzelbeträge!$D:$D,Einzelbeträge!$C:$C,'Ausgaben 2024'!$C192,Einzelbeträge!$E:$E,'Ausgaben 2024'!L$6)</f>
        <v>0</v>
      </c>
      <c r="M192" s="21">
        <f>SUMIFS(Einzelbeträge!$D:$D,Einzelbeträge!$C:$C,'Ausgaben 2024'!$C192,Einzelbeträge!$E:$E,'Ausgaben 2024'!M$6)</f>
        <v>0</v>
      </c>
      <c r="N192" s="35">
        <f>SUMIFS(Einzelbeträge!$D:$D,Einzelbeträge!$C:$C,'Ausgaben 2024'!$C192,Einzelbeträge!$E:$E,'Ausgaben 2024'!N$6)</f>
        <v>0</v>
      </c>
      <c r="O192" s="6"/>
    </row>
    <row r="193" spans="2:15" x14ac:dyDescent="0.35">
      <c r="B193" s="5"/>
      <c r="C193" s="30">
        <f t="shared" si="29"/>
        <v>45463</v>
      </c>
      <c r="D193" s="46">
        <f>SUMIFS(Einzelbeträge!$D:$D,Einzelbeträge!$C:$C,'Ausgaben 2024'!$C193)</f>
        <v>0</v>
      </c>
      <c r="E193" s="21">
        <f>SUMIFS(Einzelbeträge!$D:$D,Einzelbeträge!$C:$C,'Ausgaben 2024'!$C193,Einzelbeträge!$E:$E,'Ausgaben 2024'!E$6)</f>
        <v>0</v>
      </c>
      <c r="F193" s="21">
        <f>SUMIFS(Einzelbeträge!$D:$D,Einzelbeträge!$C:$C,'Ausgaben 2024'!$C193,Einzelbeträge!$E:$E,'Ausgaben 2024'!F$6)</f>
        <v>0</v>
      </c>
      <c r="G193" s="21">
        <f>SUMIFS(Einzelbeträge!$D:$D,Einzelbeträge!$C:$C,'Ausgaben 2024'!$C193,Einzelbeträge!$E:$E,'Ausgaben 2024'!G$6)</f>
        <v>0</v>
      </c>
      <c r="H193" s="21">
        <f>SUMIFS(Einzelbeträge!$D:$D,Einzelbeträge!$C:$C,'Ausgaben 2024'!$C193,Einzelbeträge!$E:$E,'Ausgaben 2024'!H$6)</f>
        <v>0</v>
      </c>
      <c r="I193" s="21">
        <f>SUMIFS(Einzelbeträge!$D:$D,Einzelbeträge!$C:$C,'Ausgaben 2024'!$C193,Einzelbeträge!$E:$E,'Ausgaben 2024'!I$6)</f>
        <v>0</v>
      </c>
      <c r="J193" s="21">
        <f>SUMIFS(Einzelbeträge!$D:$D,Einzelbeträge!$C:$C,'Ausgaben 2024'!$C193,Einzelbeträge!$E:$E,'Ausgaben 2024'!J$6)</f>
        <v>0</v>
      </c>
      <c r="K193" s="21">
        <f>SUMIFS(Einzelbeträge!$D:$D,Einzelbeträge!$C:$C,'Ausgaben 2024'!$C193,Einzelbeträge!$E:$E,'Ausgaben 2024'!K$6)</f>
        <v>0</v>
      </c>
      <c r="L193" s="21">
        <f>SUMIFS(Einzelbeträge!$D:$D,Einzelbeträge!$C:$C,'Ausgaben 2024'!$C193,Einzelbeträge!$E:$E,'Ausgaben 2024'!L$6)</f>
        <v>0</v>
      </c>
      <c r="M193" s="21">
        <f>SUMIFS(Einzelbeträge!$D:$D,Einzelbeträge!$C:$C,'Ausgaben 2024'!$C193,Einzelbeträge!$E:$E,'Ausgaben 2024'!M$6)</f>
        <v>0</v>
      </c>
      <c r="N193" s="35">
        <f>SUMIFS(Einzelbeträge!$D:$D,Einzelbeträge!$C:$C,'Ausgaben 2024'!$C193,Einzelbeträge!$E:$E,'Ausgaben 2024'!N$6)</f>
        <v>0</v>
      </c>
      <c r="O193" s="6"/>
    </row>
    <row r="194" spans="2:15" x14ac:dyDescent="0.35">
      <c r="B194" s="5"/>
      <c r="C194" s="30">
        <f t="shared" si="29"/>
        <v>45464</v>
      </c>
      <c r="D194" s="46">
        <f>SUMIFS(Einzelbeträge!$D:$D,Einzelbeträge!$C:$C,'Ausgaben 2024'!$C194)</f>
        <v>0</v>
      </c>
      <c r="E194" s="21">
        <f>SUMIFS(Einzelbeträge!$D:$D,Einzelbeträge!$C:$C,'Ausgaben 2024'!$C194,Einzelbeträge!$E:$E,'Ausgaben 2024'!E$6)</f>
        <v>0</v>
      </c>
      <c r="F194" s="21">
        <f>SUMIFS(Einzelbeträge!$D:$D,Einzelbeträge!$C:$C,'Ausgaben 2024'!$C194,Einzelbeträge!$E:$E,'Ausgaben 2024'!F$6)</f>
        <v>0</v>
      </c>
      <c r="G194" s="21">
        <f>SUMIFS(Einzelbeträge!$D:$D,Einzelbeträge!$C:$C,'Ausgaben 2024'!$C194,Einzelbeträge!$E:$E,'Ausgaben 2024'!G$6)</f>
        <v>0</v>
      </c>
      <c r="H194" s="21">
        <f>SUMIFS(Einzelbeträge!$D:$D,Einzelbeträge!$C:$C,'Ausgaben 2024'!$C194,Einzelbeträge!$E:$E,'Ausgaben 2024'!H$6)</f>
        <v>0</v>
      </c>
      <c r="I194" s="21">
        <f>SUMIFS(Einzelbeträge!$D:$D,Einzelbeträge!$C:$C,'Ausgaben 2024'!$C194,Einzelbeträge!$E:$E,'Ausgaben 2024'!I$6)</f>
        <v>0</v>
      </c>
      <c r="J194" s="21">
        <f>SUMIFS(Einzelbeträge!$D:$D,Einzelbeträge!$C:$C,'Ausgaben 2024'!$C194,Einzelbeträge!$E:$E,'Ausgaben 2024'!J$6)</f>
        <v>0</v>
      </c>
      <c r="K194" s="21">
        <f>SUMIFS(Einzelbeträge!$D:$D,Einzelbeträge!$C:$C,'Ausgaben 2024'!$C194,Einzelbeträge!$E:$E,'Ausgaben 2024'!K$6)</f>
        <v>0</v>
      </c>
      <c r="L194" s="21">
        <f>SUMIFS(Einzelbeträge!$D:$D,Einzelbeträge!$C:$C,'Ausgaben 2024'!$C194,Einzelbeträge!$E:$E,'Ausgaben 2024'!L$6)</f>
        <v>0</v>
      </c>
      <c r="M194" s="21">
        <f>SUMIFS(Einzelbeträge!$D:$D,Einzelbeträge!$C:$C,'Ausgaben 2024'!$C194,Einzelbeträge!$E:$E,'Ausgaben 2024'!M$6)</f>
        <v>0</v>
      </c>
      <c r="N194" s="35">
        <f>SUMIFS(Einzelbeträge!$D:$D,Einzelbeträge!$C:$C,'Ausgaben 2024'!$C194,Einzelbeträge!$E:$E,'Ausgaben 2024'!N$6)</f>
        <v>0</v>
      </c>
      <c r="O194" s="6"/>
    </row>
    <row r="195" spans="2:15" x14ac:dyDescent="0.35">
      <c r="B195" s="5"/>
      <c r="C195" s="30">
        <f t="shared" si="29"/>
        <v>45465</v>
      </c>
      <c r="D195" s="46">
        <f>SUMIFS(Einzelbeträge!$D:$D,Einzelbeträge!$C:$C,'Ausgaben 2024'!$C195)</f>
        <v>0</v>
      </c>
      <c r="E195" s="21">
        <f>SUMIFS(Einzelbeträge!$D:$D,Einzelbeträge!$C:$C,'Ausgaben 2024'!$C195,Einzelbeträge!$E:$E,'Ausgaben 2024'!E$6)</f>
        <v>0</v>
      </c>
      <c r="F195" s="21">
        <f>SUMIFS(Einzelbeträge!$D:$D,Einzelbeträge!$C:$C,'Ausgaben 2024'!$C195,Einzelbeträge!$E:$E,'Ausgaben 2024'!F$6)</f>
        <v>0</v>
      </c>
      <c r="G195" s="21">
        <f>SUMIFS(Einzelbeträge!$D:$D,Einzelbeträge!$C:$C,'Ausgaben 2024'!$C195,Einzelbeträge!$E:$E,'Ausgaben 2024'!G$6)</f>
        <v>0</v>
      </c>
      <c r="H195" s="21">
        <f>SUMIFS(Einzelbeträge!$D:$D,Einzelbeträge!$C:$C,'Ausgaben 2024'!$C195,Einzelbeträge!$E:$E,'Ausgaben 2024'!H$6)</f>
        <v>0</v>
      </c>
      <c r="I195" s="21">
        <f>SUMIFS(Einzelbeträge!$D:$D,Einzelbeträge!$C:$C,'Ausgaben 2024'!$C195,Einzelbeträge!$E:$E,'Ausgaben 2024'!I$6)</f>
        <v>0</v>
      </c>
      <c r="J195" s="21">
        <f>SUMIFS(Einzelbeträge!$D:$D,Einzelbeträge!$C:$C,'Ausgaben 2024'!$C195,Einzelbeträge!$E:$E,'Ausgaben 2024'!J$6)</f>
        <v>0</v>
      </c>
      <c r="K195" s="21">
        <f>SUMIFS(Einzelbeträge!$D:$D,Einzelbeträge!$C:$C,'Ausgaben 2024'!$C195,Einzelbeträge!$E:$E,'Ausgaben 2024'!K$6)</f>
        <v>0</v>
      </c>
      <c r="L195" s="21">
        <f>SUMIFS(Einzelbeträge!$D:$D,Einzelbeträge!$C:$C,'Ausgaben 2024'!$C195,Einzelbeträge!$E:$E,'Ausgaben 2024'!L$6)</f>
        <v>0</v>
      </c>
      <c r="M195" s="21">
        <f>SUMIFS(Einzelbeträge!$D:$D,Einzelbeträge!$C:$C,'Ausgaben 2024'!$C195,Einzelbeträge!$E:$E,'Ausgaben 2024'!M$6)</f>
        <v>0</v>
      </c>
      <c r="N195" s="35">
        <f>SUMIFS(Einzelbeträge!$D:$D,Einzelbeträge!$C:$C,'Ausgaben 2024'!$C195,Einzelbeträge!$E:$E,'Ausgaben 2024'!N$6)</f>
        <v>0</v>
      </c>
      <c r="O195" s="6"/>
    </row>
    <row r="196" spans="2:15" x14ac:dyDescent="0.35">
      <c r="B196" s="5"/>
      <c r="C196" s="30">
        <f t="shared" si="29"/>
        <v>45466</v>
      </c>
      <c r="D196" s="46">
        <f>SUMIFS(Einzelbeträge!$D:$D,Einzelbeträge!$C:$C,'Ausgaben 2024'!$C196)</f>
        <v>0</v>
      </c>
      <c r="E196" s="21">
        <f>SUMIFS(Einzelbeträge!$D:$D,Einzelbeträge!$C:$C,'Ausgaben 2024'!$C196,Einzelbeträge!$E:$E,'Ausgaben 2024'!E$6)</f>
        <v>0</v>
      </c>
      <c r="F196" s="21">
        <f>SUMIFS(Einzelbeträge!$D:$D,Einzelbeträge!$C:$C,'Ausgaben 2024'!$C196,Einzelbeträge!$E:$E,'Ausgaben 2024'!F$6)</f>
        <v>0</v>
      </c>
      <c r="G196" s="21">
        <f>SUMIFS(Einzelbeträge!$D:$D,Einzelbeträge!$C:$C,'Ausgaben 2024'!$C196,Einzelbeträge!$E:$E,'Ausgaben 2024'!G$6)</f>
        <v>0</v>
      </c>
      <c r="H196" s="21">
        <f>SUMIFS(Einzelbeträge!$D:$D,Einzelbeträge!$C:$C,'Ausgaben 2024'!$C196,Einzelbeträge!$E:$E,'Ausgaben 2024'!H$6)</f>
        <v>0</v>
      </c>
      <c r="I196" s="21">
        <f>SUMIFS(Einzelbeträge!$D:$D,Einzelbeträge!$C:$C,'Ausgaben 2024'!$C196,Einzelbeträge!$E:$E,'Ausgaben 2024'!I$6)</f>
        <v>0</v>
      </c>
      <c r="J196" s="21">
        <f>SUMIFS(Einzelbeträge!$D:$D,Einzelbeträge!$C:$C,'Ausgaben 2024'!$C196,Einzelbeträge!$E:$E,'Ausgaben 2024'!J$6)</f>
        <v>0</v>
      </c>
      <c r="K196" s="21">
        <f>SUMIFS(Einzelbeträge!$D:$D,Einzelbeträge!$C:$C,'Ausgaben 2024'!$C196,Einzelbeträge!$E:$E,'Ausgaben 2024'!K$6)</f>
        <v>0</v>
      </c>
      <c r="L196" s="21">
        <f>SUMIFS(Einzelbeträge!$D:$D,Einzelbeträge!$C:$C,'Ausgaben 2024'!$C196,Einzelbeträge!$E:$E,'Ausgaben 2024'!L$6)</f>
        <v>0</v>
      </c>
      <c r="M196" s="21">
        <f>SUMIFS(Einzelbeträge!$D:$D,Einzelbeträge!$C:$C,'Ausgaben 2024'!$C196,Einzelbeträge!$E:$E,'Ausgaben 2024'!M$6)</f>
        <v>0</v>
      </c>
      <c r="N196" s="35">
        <f>SUMIFS(Einzelbeträge!$D:$D,Einzelbeträge!$C:$C,'Ausgaben 2024'!$C196,Einzelbeträge!$E:$E,'Ausgaben 2024'!N$6)</f>
        <v>0</v>
      </c>
      <c r="O196" s="6"/>
    </row>
    <row r="197" spans="2:15" x14ac:dyDescent="0.35">
      <c r="B197" s="5"/>
      <c r="C197" s="30">
        <f t="shared" si="29"/>
        <v>45467</v>
      </c>
      <c r="D197" s="46">
        <f>SUMIFS(Einzelbeträge!$D:$D,Einzelbeträge!$C:$C,'Ausgaben 2024'!$C197)</f>
        <v>0</v>
      </c>
      <c r="E197" s="21">
        <f>SUMIFS(Einzelbeträge!$D:$D,Einzelbeträge!$C:$C,'Ausgaben 2024'!$C197,Einzelbeträge!$E:$E,'Ausgaben 2024'!E$6)</f>
        <v>0</v>
      </c>
      <c r="F197" s="21">
        <f>SUMIFS(Einzelbeträge!$D:$D,Einzelbeträge!$C:$C,'Ausgaben 2024'!$C197,Einzelbeträge!$E:$E,'Ausgaben 2024'!F$6)</f>
        <v>0</v>
      </c>
      <c r="G197" s="21">
        <f>SUMIFS(Einzelbeträge!$D:$D,Einzelbeträge!$C:$C,'Ausgaben 2024'!$C197,Einzelbeträge!$E:$E,'Ausgaben 2024'!G$6)</f>
        <v>0</v>
      </c>
      <c r="H197" s="21">
        <f>SUMIFS(Einzelbeträge!$D:$D,Einzelbeträge!$C:$C,'Ausgaben 2024'!$C197,Einzelbeträge!$E:$E,'Ausgaben 2024'!H$6)</f>
        <v>0</v>
      </c>
      <c r="I197" s="21">
        <f>SUMIFS(Einzelbeträge!$D:$D,Einzelbeträge!$C:$C,'Ausgaben 2024'!$C197,Einzelbeträge!$E:$E,'Ausgaben 2024'!I$6)</f>
        <v>0</v>
      </c>
      <c r="J197" s="21">
        <f>SUMIFS(Einzelbeträge!$D:$D,Einzelbeträge!$C:$C,'Ausgaben 2024'!$C197,Einzelbeträge!$E:$E,'Ausgaben 2024'!J$6)</f>
        <v>0</v>
      </c>
      <c r="K197" s="21">
        <f>SUMIFS(Einzelbeträge!$D:$D,Einzelbeträge!$C:$C,'Ausgaben 2024'!$C197,Einzelbeträge!$E:$E,'Ausgaben 2024'!K$6)</f>
        <v>0</v>
      </c>
      <c r="L197" s="21">
        <f>SUMIFS(Einzelbeträge!$D:$D,Einzelbeträge!$C:$C,'Ausgaben 2024'!$C197,Einzelbeträge!$E:$E,'Ausgaben 2024'!L$6)</f>
        <v>0</v>
      </c>
      <c r="M197" s="21">
        <f>SUMIFS(Einzelbeträge!$D:$D,Einzelbeträge!$C:$C,'Ausgaben 2024'!$C197,Einzelbeträge!$E:$E,'Ausgaben 2024'!M$6)</f>
        <v>0</v>
      </c>
      <c r="N197" s="35">
        <f>SUMIFS(Einzelbeträge!$D:$D,Einzelbeträge!$C:$C,'Ausgaben 2024'!$C197,Einzelbeträge!$E:$E,'Ausgaben 2024'!N$6)</f>
        <v>0</v>
      </c>
      <c r="O197" s="6"/>
    </row>
    <row r="198" spans="2:15" x14ac:dyDescent="0.35">
      <c r="B198" s="5"/>
      <c r="C198" s="30">
        <f t="shared" si="29"/>
        <v>45468</v>
      </c>
      <c r="D198" s="46">
        <f>SUMIFS(Einzelbeträge!$D:$D,Einzelbeträge!$C:$C,'Ausgaben 2024'!$C198)</f>
        <v>0</v>
      </c>
      <c r="E198" s="21">
        <f>SUMIFS(Einzelbeträge!$D:$D,Einzelbeträge!$C:$C,'Ausgaben 2024'!$C198,Einzelbeträge!$E:$E,'Ausgaben 2024'!E$6)</f>
        <v>0</v>
      </c>
      <c r="F198" s="21">
        <f>SUMIFS(Einzelbeträge!$D:$D,Einzelbeträge!$C:$C,'Ausgaben 2024'!$C198,Einzelbeträge!$E:$E,'Ausgaben 2024'!F$6)</f>
        <v>0</v>
      </c>
      <c r="G198" s="21">
        <f>SUMIFS(Einzelbeträge!$D:$D,Einzelbeträge!$C:$C,'Ausgaben 2024'!$C198,Einzelbeträge!$E:$E,'Ausgaben 2024'!G$6)</f>
        <v>0</v>
      </c>
      <c r="H198" s="21">
        <f>SUMIFS(Einzelbeträge!$D:$D,Einzelbeträge!$C:$C,'Ausgaben 2024'!$C198,Einzelbeträge!$E:$E,'Ausgaben 2024'!H$6)</f>
        <v>0</v>
      </c>
      <c r="I198" s="21">
        <f>SUMIFS(Einzelbeträge!$D:$D,Einzelbeträge!$C:$C,'Ausgaben 2024'!$C198,Einzelbeträge!$E:$E,'Ausgaben 2024'!I$6)</f>
        <v>0</v>
      </c>
      <c r="J198" s="21">
        <f>SUMIFS(Einzelbeträge!$D:$D,Einzelbeträge!$C:$C,'Ausgaben 2024'!$C198,Einzelbeträge!$E:$E,'Ausgaben 2024'!J$6)</f>
        <v>0</v>
      </c>
      <c r="K198" s="21">
        <f>SUMIFS(Einzelbeträge!$D:$D,Einzelbeträge!$C:$C,'Ausgaben 2024'!$C198,Einzelbeträge!$E:$E,'Ausgaben 2024'!K$6)</f>
        <v>0</v>
      </c>
      <c r="L198" s="21">
        <f>SUMIFS(Einzelbeträge!$D:$D,Einzelbeträge!$C:$C,'Ausgaben 2024'!$C198,Einzelbeträge!$E:$E,'Ausgaben 2024'!L$6)</f>
        <v>0</v>
      </c>
      <c r="M198" s="21">
        <f>SUMIFS(Einzelbeträge!$D:$D,Einzelbeträge!$C:$C,'Ausgaben 2024'!$C198,Einzelbeträge!$E:$E,'Ausgaben 2024'!M$6)</f>
        <v>0</v>
      </c>
      <c r="N198" s="35">
        <f>SUMIFS(Einzelbeträge!$D:$D,Einzelbeträge!$C:$C,'Ausgaben 2024'!$C198,Einzelbeträge!$E:$E,'Ausgaben 2024'!N$6)</f>
        <v>0</v>
      </c>
      <c r="O198" s="6"/>
    </row>
    <row r="199" spans="2:15" x14ac:dyDescent="0.35">
      <c r="B199" s="5"/>
      <c r="C199" s="30">
        <f t="shared" si="29"/>
        <v>45469</v>
      </c>
      <c r="D199" s="46">
        <f>SUMIFS(Einzelbeträge!$D:$D,Einzelbeträge!$C:$C,'Ausgaben 2024'!$C199)</f>
        <v>0</v>
      </c>
      <c r="E199" s="21">
        <f>SUMIFS(Einzelbeträge!$D:$D,Einzelbeträge!$C:$C,'Ausgaben 2024'!$C199,Einzelbeträge!$E:$E,'Ausgaben 2024'!E$6)</f>
        <v>0</v>
      </c>
      <c r="F199" s="21">
        <f>SUMIFS(Einzelbeträge!$D:$D,Einzelbeträge!$C:$C,'Ausgaben 2024'!$C199,Einzelbeträge!$E:$E,'Ausgaben 2024'!F$6)</f>
        <v>0</v>
      </c>
      <c r="G199" s="21">
        <f>SUMIFS(Einzelbeträge!$D:$D,Einzelbeträge!$C:$C,'Ausgaben 2024'!$C199,Einzelbeträge!$E:$E,'Ausgaben 2024'!G$6)</f>
        <v>0</v>
      </c>
      <c r="H199" s="21">
        <f>SUMIFS(Einzelbeträge!$D:$D,Einzelbeträge!$C:$C,'Ausgaben 2024'!$C199,Einzelbeträge!$E:$E,'Ausgaben 2024'!H$6)</f>
        <v>0</v>
      </c>
      <c r="I199" s="21">
        <f>SUMIFS(Einzelbeträge!$D:$D,Einzelbeträge!$C:$C,'Ausgaben 2024'!$C199,Einzelbeträge!$E:$E,'Ausgaben 2024'!I$6)</f>
        <v>0</v>
      </c>
      <c r="J199" s="21">
        <f>SUMIFS(Einzelbeträge!$D:$D,Einzelbeträge!$C:$C,'Ausgaben 2024'!$C199,Einzelbeträge!$E:$E,'Ausgaben 2024'!J$6)</f>
        <v>0</v>
      </c>
      <c r="K199" s="21">
        <f>SUMIFS(Einzelbeträge!$D:$D,Einzelbeträge!$C:$C,'Ausgaben 2024'!$C199,Einzelbeträge!$E:$E,'Ausgaben 2024'!K$6)</f>
        <v>0</v>
      </c>
      <c r="L199" s="21">
        <f>SUMIFS(Einzelbeträge!$D:$D,Einzelbeträge!$C:$C,'Ausgaben 2024'!$C199,Einzelbeträge!$E:$E,'Ausgaben 2024'!L$6)</f>
        <v>0</v>
      </c>
      <c r="M199" s="21">
        <f>SUMIFS(Einzelbeträge!$D:$D,Einzelbeträge!$C:$C,'Ausgaben 2024'!$C199,Einzelbeträge!$E:$E,'Ausgaben 2024'!M$6)</f>
        <v>0</v>
      </c>
      <c r="N199" s="35">
        <f>SUMIFS(Einzelbeträge!$D:$D,Einzelbeträge!$C:$C,'Ausgaben 2024'!$C199,Einzelbeträge!$E:$E,'Ausgaben 2024'!N$6)</f>
        <v>0</v>
      </c>
      <c r="O199" s="6"/>
    </row>
    <row r="200" spans="2:15" x14ac:dyDescent="0.35">
      <c r="B200" s="5"/>
      <c r="C200" s="30">
        <f t="shared" si="29"/>
        <v>45470</v>
      </c>
      <c r="D200" s="46">
        <f>SUMIFS(Einzelbeträge!$D:$D,Einzelbeträge!$C:$C,'Ausgaben 2024'!$C200)</f>
        <v>0</v>
      </c>
      <c r="E200" s="21">
        <f>SUMIFS(Einzelbeträge!$D:$D,Einzelbeträge!$C:$C,'Ausgaben 2024'!$C200,Einzelbeträge!$E:$E,'Ausgaben 2024'!E$6)</f>
        <v>0</v>
      </c>
      <c r="F200" s="21">
        <f>SUMIFS(Einzelbeträge!$D:$D,Einzelbeträge!$C:$C,'Ausgaben 2024'!$C200,Einzelbeträge!$E:$E,'Ausgaben 2024'!F$6)</f>
        <v>0</v>
      </c>
      <c r="G200" s="21">
        <f>SUMIFS(Einzelbeträge!$D:$D,Einzelbeträge!$C:$C,'Ausgaben 2024'!$C200,Einzelbeträge!$E:$E,'Ausgaben 2024'!G$6)</f>
        <v>0</v>
      </c>
      <c r="H200" s="21">
        <f>SUMIFS(Einzelbeträge!$D:$D,Einzelbeträge!$C:$C,'Ausgaben 2024'!$C200,Einzelbeträge!$E:$E,'Ausgaben 2024'!H$6)</f>
        <v>0</v>
      </c>
      <c r="I200" s="21">
        <f>SUMIFS(Einzelbeträge!$D:$D,Einzelbeträge!$C:$C,'Ausgaben 2024'!$C200,Einzelbeträge!$E:$E,'Ausgaben 2024'!I$6)</f>
        <v>0</v>
      </c>
      <c r="J200" s="21">
        <f>SUMIFS(Einzelbeträge!$D:$D,Einzelbeträge!$C:$C,'Ausgaben 2024'!$C200,Einzelbeträge!$E:$E,'Ausgaben 2024'!J$6)</f>
        <v>0</v>
      </c>
      <c r="K200" s="21">
        <f>SUMIFS(Einzelbeträge!$D:$D,Einzelbeträge!$C:$C,'Ausgaben 2024'!$C200,Einzelbeträge!$E:$E,'Ausgaben 2024'!K$6)</f>
        <v>0</v>
      </c>
      <c r="L200" s="21">
        <f>SUMIFS(Einzelbeträge!$D:$D,Einzelbeträge!$C:$C,'Ausgaben 2024'!$C200,Einzelbeträge!$E:$E,'Ausgaben 2024'!L$6)</f>
        <v>0</v>
      </c>
      <c r="M200" s="21">
        <f>SUMIFS(Einzelbeträge!$D:$D,Einzelbeträge!$C:$C,'Ausgaben 2024'!$C200,Einzelbeträge!$E:$E,'Ausgaben 2024'!M$6)</f>
        <v>0</v>
      </c>
      <c r="N200" s="35">
        <f>SUMIFS(Einzelbeträge!$D:$D,Einzelbeträge!$C:$C,'Ausgaben 2024'!$C200,Einzelbeträge!$E:$E,'Ausgaben 2024'!N$6)</f>
        <v>0</v>
      </c>
      <c r="O200" s="6"/>
    </row>
    <row r="201" spans="2:15" x14ac:dyDescent="0.35">
      <c r="B201" s="5"/>
      <c r="C201" s="30">
        <f t="shared" si="29"/>
        <v>45471</v>
      </c>
      <c r="D201" s="46">
        <f>SUMIFS(Einzelbeträge!$D:$D,Einzelbeträge!$C:$C,'Ausgaben 2024'!$C201)</f>
        <v>0</v>
      </c>
      <c r="E201" s="21">
        <f>SUMIFS(Einzelbeträge!$D:$D,Einzelbeträge!$C:$C,'Ausgaben 2024'!$C201,Einzelbeträge!$E:$E,'Ausgaben 2024'!E$6)</f>
        <v>0</v>
      </c>
      <c r="F201" s="21">
        <f>SUMIFS(Einzelbeträge!$D:$D,Einzelbeträge!$C:$C,'Ausgaben 2024'!$C201,Einzelbeträge!$E:$E,'Ausgaben 2024'!F$6)</f>
        <v>0</v>
      </c>
      <c r="G201" s="21">
        <f>SUMIFS(Einzelbeträge!$D:$D,Einzelbeträge!$C:$C,'Ausgaben 2024'!$C201,Einzelbeträge!$E:$E,'Ausgaben 2024'!G$6)</f>
        <v>0</v>
      </c>
      <c r="H201" s="21">
        <f>SUMIFS(Einzelbeträge!$D:$D,Einzelbeträge!$C:$C,'Ausgaben 2024'!$C201,Einzelbeträge!$E:$E,'Ausgaben 2024'!H$6)</f>
        <v>0</v>
      </c>
      <c r="I201" s="21">
        <f>SUMIFS(Einzelbeträge!$D:$D,Einzelbeträge!$C:$C,'Ausgaben 2024'!$C201,Einzelbeträge!$E:$E,'Ausgaben 2024'!I$6)</f>
        <v>0</v>
      </c>
      <c r="J201" s="21">
        <f>SUMIFS(Einzelbeträge!$D:$D,Einzelbeträge!$C:$C,'Ausgaben 2024'!$C201,Einzelbeträge!$E:$E,'Ausgaben 2024'!J$6)</f>
        <v>0</v>
      </c>
      <c r="K201" s="21">
        <f>SUMIFS(Einzelbeträge!$D:$D,Einzelbeträge!$C:$C,'Ausgaben 2024'!$C201,Einzelbeträge!$E:$E,'Ausgaben 2024'!K$6)</f>
        <v>0</v>
      </c>
      <c r="L201" s="21">
        <f>SUMIFS(Einzelbeträge!$D:$D,Einzelbeträge!$C:$C,'Ausgaben 2024'!$C201,Einzelbeträge!$E:$E,'Ausgaben 2024'!L$6)</f>
        <v>0</v>
      </c>
      <c r="M201" s="21">
        <f>SUMIFS(Einzelbeträge!$D:$D,Einzelbeträge!$C:$C,'Ausgaben 2024'!$C201,Einzelbeträge!$E:$E,'Ausgaben 2024'!M$6)</f>
        <v>0</v>
      </c>
      <c r="N201" s="35">
        <f>SUMIFS(Einzelbeträge!$D:$D,Einzelbeträge!$C:$C,'Ausgaben 2024'!$C201,Einzelbeträge!$E:$E,'Ausgaben 2024'!N$6)</f>
        <v>0</v>
      </c>
      <c r="O201" s="6"/>
    </row>
    <row r="202" spans="2:15" x14ac:dyDescent="0.35">
      <c r="B202" s="5"/>
      <c r="C202" s="30">
        <f t="shared" si="29"/>
        <v>45472</v>
      </c>
      <c r="D202" s="46">
        <f>SUMIFS(Einzelbeträge!$D:$D,Einzelbeträge!$C:$C,'Ausgaben 2024'!$C202)</f>
        <v>0</v>
      </c>
      <c r="E202" s="21">
        <f>SUMIFS(Einzelbeträge!$D:$D,Einzelbeträge!$C:$C,'Ausgaben 2024'!$C202,Einzelbeträge!$E:$E,'Ausgaben 2024'!E$6)</f>
        <v>0</v>
      </c>
      <c r="F202" s="21">
        <f>SUMIFS(Einzelbeträge!$D:$D,Einzelbeträge!$C:$C,'Ausgaben 2024'!$C202,Einzelbeträge!$E:$E,'Ausgaben 2024'!F$6)</f>
        <v>0</v>
      </c>
      <c r="G202" s="21">
        <f>SUMIFS(Einzelbeträge!$D:$D,Einzelbeträge!$C:$C,'Ausgaben 2024'!$C202,Einzelbeträge!$E:$E,'Ausgaben 2024'!G$6)</f>
        <v>0</v>
      </c>
      <c r="H202" s="21">
        <f>SUMIFS(Einzelbeträge!$D:$D,Einzelbeträge!$C:$C,'Ausgaben 2024'!$C202,Einzelbeträge!$E:$E,'Ausgaben 2024'!H$6)</f>
        <v>0</v>
      </c>
      <c r="I202" s="21">
        <f>SUMIFS(Einzelbeträge!$D:$D,Einzelbeträge!$C:$C,'Ausgaben 2024'!$C202,Einzelbeträge!$E:$E,'Ausgaben 2024'!I$6)</f>
        <v>0</v>
      </c>
      <c r="J202" s="21">
        <f>SUMIFS(Einzelbeträge!$D:$D,Einzelbeträge!$C:$C,'Ausgaben 2024'!$C202,Einzelbeträge!$E:$E,'Ausgaben 2024'!J$6)</f>
        <v>0</v>
      </c>
      <c r="K202" s="21">
        <f>SUMIFS(Einzelbeträge!$D:$D,Einzelbeträge!$C:$C,'Ausgaben 2024'!$C202,Einzelbeträge!$E:$E,'Ausgaben 2024'!K$6)</f>
        <v>0</v>
      </c>
      <c r="L202" s="21">
        <f>SUMIFS(Einzelbeträge!$D:$D,Einzelbeträge!$C:$C,'Ausgaben 2024'!$C202,Einzelbeträge!$E:$E,'Ausgaben 2024'!L$6)</f>
        <v>0</v>
      </c>
      <c r="M202" s="21">
        <f>SUMIFS(Einzelbeträge!$D:$D,Einzelbeträge!$C:$C,'Ausgaben 2024'!$C202,Einzelbeträge!$E:$E,'Ausgaben 2024'!M$6)</f>
        <v>0</v>
      </c>
      <c r="N202" s="35">
        <f>SUMIFS(Einzelbeträge!$D:$D,Einzelbeträge!$C:$C,'Ausgaben 2024'!$C202,Einzelbeträge!$E:$E,'Ausgaben 2024'!N$6)</f>
        <v>0</v>
      </c>
      <c r="O202" s="6"/>
    </row>
    <row r="203" spans="2:15" x14ac:dyDescent="0.35">
      <c r="B203" s="5"/>
      <c r="C203" s="31">
        <f t="shared" si="29"/>
        <v>45473</v>
      </c>
      <c r="D203" s="47">
        <f>SUMIFS(Einzelbeträge!$D:$D,Einzelbeträge!$C:$C,'Ausgaben 2024'!$C203)</f>
        <v>0</v>
      </c>
      <c r="E203" s="37">
        <f>SUMIFS(Einzelbeträge!$D:$D,Einzelbeträge!$C:$C,'Ausgaben 2024'!$C203,Einzelbeträge!$E:$E,'Ausgaben 2024'!E$6)</f>
        <v>0</v>
      </c>
      <c r="F203" s="37">
        <f>SUMIFS(Einzelbeträge!$D:$D,Einzelbeträge!$C:$C,'Ausgaben 2024'!$C203,Einzelbeträge!$E:$E,'Ausgaben 2024'!F$6)</f>
        <v>0</v>
      </c>
      <c r="G203" s="37">
        <f>SUMIFS(Einzelbeträge!$D:$D,Einzelbeträge!$C:$C,'Ausgaben 2024'!$C203,Einzelbeträge!$E:$E,'Ausgaben 2024'!G$6)</f>
        <v>0</v>
      </c>
      <c r="H203" s="37">
        <f>SUMIFS(Einzelbeträge!$D:$D,Einzelbeträge!$C:$C,'Ausgaben 2024'!$C203,Einzelbeträge!$E:$E,'Ausgaben 2024'!H$6)</f>
        <v>0</v>
      </c>
      <c r="I203" s="37">
        <f>SUMIFS(Einzelbeträge!$D:$D,Einzelbeträge!$C:$C,'Ausgaben 2024'!$C203,Einzelbeträge!$E:$E,'Ausgaben 2024'!I$6)</f>
        <v>0</v>
      </c>
      <c r="J203" s="37">
        <f>SUMIFS(Einzelbeträge!$D:$D,Einzelbeträge!$C:$C,'Ausgaben 2024'!$C203,Einzelbeträge!$E:$E,'Ausgaben 2024'!J$6)</f>
        <v>0</v>
      </c>
      <c r="K203" s="37">
        <f>SUMIFS(Einzelbeträge!$D:$D,Einzelbeträge!$C:$C,'Ausgaben 2024'!$C203,Einzelbeträge!$E:$E,'Ausgaben 2024'!K$6)</f>
        <v>0</v>
      </c>
      <c r="L203" s="37">
        <f>SUMIFS(Einzelbeträge!$D:$D,Einzelbeträge!$C:$C,'Ausgaben 2024'!$C203,Einzelbeträge!$E:$E,'Ausgaben 2024'!L$6)</f>
        <v>0</v>
      </c>
      <c r="M203" s="37">
        <f>SUMIFS(Einzelbeträge!$D:$D,Einzelbeträge!$C:$C,'Ausgaben 2024'!$C203,Einzelbeträge!$E:$E,'Ausgaben 2024'!M$6)</f>
        <v>0</v>
      </c>
      <c r="N203" s="38">
        <f>SUMIFS(Einzelbeträge!$D:$D,Einzelbeträge!$C:$C,'Ausgaben 2024'!$C203,Einzelbeträge!$E:$E,'Ausgaben 2024'!N$6)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45474</v>
      </c>
      <c r="D207" s="45">
        <f>SUMIFS(Einzelbeträge!$D:$D,Einzelbeträge!$C:$C,'Ausgaben 2024'!$C207)</f>
        <v>0</v>
      </c>
      <c r="E207" s="32">
        <f>SUMIFS(Einzelbeträge!$D:$D,Einzelbeträge!$C:$C,'Ausgaben 2024'!$C207,Einzelbeträge!$E:$E,'Ausgaben 2024'!E$6)</f>
        <v>0</v>
      </c>
      <c r="F207" s="32">
        <f>SUMIFS(Einzelbeträge!$D:$D,Einzelbeträge!$C:$C,'Ausgaben 2024'!$C207,Einzelbeträge!$E:$E,'Ausgaben 2024'!F$6)</f>
        <v>0</v>
      </c>
      <c r="G207" s="32">
        <f>SUMIFS(Einzelbeträge!$D:$D,Einzelbeträge!$C:$C,'Ausgaben 2024'!$C207,Einzelbeträge!$E:$E,'Ausgaben 2024'!G$6)</f>
        <v>0</v>
      </c>
      <c r="H207" s="32">
        <f>SUMIFS(Einzelbeträge!$D:$D,Einzelbeträge!$C:$C,'Ausgaben 2024'!$C207,Einzelbeträge!$E:$E,'Ausgaben 2024'!H$6)</f>
        <v>0</v>
      </c>
      <c r="I207" s="32">
        <f>SUMIFS(Einzelbeträge!$D:$D,Einzelbeträge!$C:$C,'Ausgaben 2024'!$C207,Einzelbeträge!$E:$E,'Ausgaben 2024'!I$6)</f>
        <v>0</v>
      </c>
      <c r="J207" s="32">
        <f>SUMIFS(Einzelbeträge!$D:$D,Einzelbeträge!$C:$C,'Ausgaben 2024'!$C207,Einzelbeträge!$E:$E,'Ausgaben 2024'!J$6)</f>
        <v>0</v>
      </c>
      <c r="K207" s="32">
        <f>SUMIFS(Einzelbeträge!$D:$D,Einzelbeträge!$C:$C,'Ausgaben 2024'!$C207,Einzelbeträge!$E:$E,'Ausgaben 2024'!K$6)</f>
        <v>0</v>
      </c>
      <c r="L207" s="32">
        <f>SUMIFS(Einzelbeträge!$D:$D,Einzelbeträge!$C:$C,'Ausgaben 2024'!$C207,Einzelbeträge!$E:$E,'Ausgaben 2024'!L$6)</f>
        <v>0</v>
      </c>
      <c r="M207" s="32">
        <f>SUMIFS(Einzelbeträge!$D:$D,Einzelbeträge!$C:$C,'Ausgaben 2024'!$C207,Einzelbeträge!$E:$E,'Ausgaben 2024'!M$6)</f>
        <v>0</v>
      </c>
      <c r="N207" s="33">
        <f>SUMIFS(Einzelbeträge!$D:$D,Einzelbeträge!$C:$C,'Ausgaben 2024'!$C207,Einzelbeträge!$E:$E,'Ausgaben 2024'!N$6)</f>
        <v>0</v>
      </c>
      <c r="O207" s="6"/>
    </row>
    <row r="208" spans="2:15" x14ac:dyDescent="0.35">
      <c r="B208" s="5"/>
      <c r="C208" s="40">
        <f>C207+1</f>
        <v>45475</v>
      </c>
      <c r="D208" s="46">
        <f>SUMIFS(Einzelbeträge!$D:$D,Einzelbeträge!$C:$C,'Ausgaben 2024'!$C208)</f>
        <v>0</v>
      </c>
      <c r="E208" s="21">
        <f>SUMIFS(Einzelbeträge!$D:$D,Einzelbeträge!$C:$C,'Ausgaben 2024'!$C208,Einzelbeträge!$E:$E,'Ausgaben 2024'!E$6)</f>
        <v>0</v>
      </c>
      <c r="F208" s="21">
        <f>SUMIFS(Einzelbeträge!$D:$D,Einzelbeträge!$C:$C,'Ausgaben 2024'!$C208,Einzelbeträge!$E:$E,'Ausgaben 2024'!F$6)</f>
        <v>0</v>
      </c>
      <c r="G208" s="21">
        <f>SUMIFS(Einzelbeträge!$D:$D,Einzelbeträge!$C:$C,'Ausgaben 2024'!$C208,Einzelbeträge!$E:$E,'Ausgaben 2024'!G$6)</f>
        <v>0</v>
      </c>
      <c r="H208" s="21">
        <f>SUMIFS(Einzelbeträge!$D:$D,Einzelbeträge!$C:$C,'Ausgaben 2024'!$C208,Einzelbeträge!$E:$E,'Ausgaben 2024'!H$6)</f>
        <v>0</v>
      </c>
      <c r="I208" s="21">
        <f>SUMIFS(Einzelbeträge!$D:$D,Einzelbeträge!$C:$C,'Ausgaben 2024'!$C208,Einzelbeträge!$E:$E,'Ausgaben 2024'!I$6)</f>
        <v>0</v>
      </c>
      <c r="J208" s="21">
        <f>SUMIFS(Einzelbeträge!$D:$D,Einzelbeträge!$C:$C,'Ausgaben 2024'!$C208,Einzelbeträge!$E:$E,'Ausgaben 2024'!J$6)</f>
        <v>0</v>
      </c>
      <c r="K208" s="21">
        <f>SUMIFS(Einzelbeträge!$D:$D,Einzelbeträge!$C:$C,'Ausgaben 2024'!$C208,Einzelbeträge!$E:$E,'Ausgaben 2024'!K$6)</f>
        <v>0</v>
      </c>
      <c r="L208" s="21">
        <f>SUMIFS(Einzelbeträge!$D:$D,Einzelbeträge!$C:$C,'Ausgaben 2024'!$C208,Einzelbeträge!$E:$E,'Ausgaben 2024'!L$6)</f>
        <v>0</v>
      </c>
      <c r="M208" s="21">
        <f>SUMIFS(Einzelbeträge!$D:$D,Einzelbeträge!$C:$C,'Ausgaben 2024'!$C208,Einzelbeträge!$E:$E,'Ausgaben 2024'!M$6)</f>
        <v>0</v>
      </c>
      <c r="N208" s="35">
        <f>SUMIFS(Einzelbeträge!$D:$D,Einzelbeträge!$C:$C,'Ausgaben 2024'!$C208,Einzelbeträge!$E:$E,'Ausgaben 2024'!N$6)</f>
        <v>0</v>
      </c>
      <c r="O208" s="6"/>
    </row>
    <row r="209" spans="2:15" x14ac:dyDescent="0.35">
      <c r="B209" s="5"/>
      <c r="C209" s="40">
        <f t="shared" ref="C209:C237" si="30">C208+1</f>
        <v>45476</v>
      </c>
      <c r="D209" s="46">
        <f>SUMIFS(Einzelbeträge!$D:$D,Einzelbeträge!$C:$C,'Ausgaben 2024'!$C209)</f>
        <v>0</v>
      </c>
      <c r="E209" s="21">
        <f>SUMIFS(Einzelbeträge!$D:$D,Einzelbeträge!$C:$C,'Ausgaben 2024'!$C209,Einzelbeträge!$E:$E,'Ausgaben 2024'!E$6)</f>
        <v>0</v>
      </c>
      <c r="F209" s="21">
        <f>SUMIFS(Einzelbeträge!$D:$D,Einzelbeträge!$C:$C,'Ausgaben 2024'!$C209,Einzelbeträge!$E:$E,'Ausgaben 2024'!F$6)</f>
        <v>0</v>
      </c>
      <c r="G209" s="21">
        <f>SUMIFS(Einzelbeträge!$D:$D,Einzelbeträge!$C:$C,'Ausgaben 2024'!$C209,Einzelbeträge!$E:$E,'Ausgaben 2024'!G$6)</f>
        <v>0</v>
      </c>
      <c r="H209" s="21">
        <f>SUMIFS(Einzelbeträge!$D:$D,Einzelbeträge!$C:$C,'Ausgaben 2024'!$C209,Einzelbeträge!$E:$E,'Ausgaben 2024'!H$6)</f>
        <v>0</v>
      </c>
      <c r="I209" s="21">
        <f>SUMIFS(Einzelbeträge!$D:$D,Einzelbeträge!$C:$C,'Ausgaben 2024'!$C209,Einzelbeträge!$E:$E,'Ausgaben 2024'!I$6)</f>
        <v>0</v>
      </c>
      <c r="J209" s="21">
        <f>SUMIFS(Einzelbeträge!$D:$D,Einzelbeträge!$C:$C,'Ausgaben 2024'!$C209,Einzelbeträge!$E:$E,'Ausgaben 2024'!J$6)</f>
        <v>0</v>
      </c>
      <c r="K209" s="21">
        <f>SUMIFS(Einzelbeträge!$D:$D,Einzelbeträge!$C:$C,'Ausgaben 2024'!$C209,Einzelbeträge!$E:$E,'Ausgaben 2024'!K$6)</f>
        <v>0</v>
      </c>
      <c r="L209" s="21">
        <f>SUMIFS(Einzelbeträge!$D:$D,Einzelbeträge!$C:$C,'Ausgaben 2024'!$C209,Einzelbeträge!$E:$E,'Ausgaben 2024'!L$6)</f>
        <v>0</v>
      </c>
      <c r="M209" s="21">
        <f>SUMIFS(Einzelbeträge!$D:$D,Einzelbeträge!$C:$C,'Ausgaben 2024'!$C209,Einzelbeträge!$E:$E,'Ausgaben 2024'!M$6)</f>
        <v>0</v>
      </c>
      <c r="N209" s="35">
        <f>SUMIFS(Einzelbeträge!$D:$D,Einzelbeträge!$C:$C,'Ausgaben 2024'!$C209,Einzelbeträge!$E:$E,'Ausgaben 2024'!N$6)</f>
        <v>0</v>
      </c>
      <c r="O209" s="6"/>
    </row>
    <row r="210" spans="2:15" x14ac:dyDescent="0.35">
      <c r="B210" s="5"/>
      <c r="C210" s="40">
        <f t="shared" si="30"/>
        <v>45477</v>
      </c>
      <c r="D210" s="46">
        <f>SUMIFS(Einzelbeträge!$D:$D,Einzelbeträge!$C:$C,'Ausgaben 2024'!$C210)</f>
        <v>0</v>
      </c>
      <c r="E210" s="21">
        <f>SUMIFS(Einzelbeträge!$D:$D,Einzelbeträge!$C:$C,'Ausgaben 2024'!$C210,Einzelbeträge!$E:$E,'Ausgaben 2024'!E$6)</f>
        <v>0</v>
      </c>
      <c r="F210" s="21">
        <f>SUMIFS(Einzelbeträge!$D:$D,Einzelbeträge!$C:$C,'Ausgaben 2024'!$C210,Einzelbeträge!$E:$E,'Ausgaben 2024'!F$6)</f>
        <v>0</v>
      </c>
      <c r="G210" s="21">
        <f>SUMIFS(Einzelbeträge!$D:$D,Einzelbeträge!$C:$C,'Ausgaben 2024'!$C210,Einzelbeträge!$E:$E,'Ausgaben 2024'!G$6)</f>
        <v>0</v>
      </c>
      <c r="H210" s="21">
        <f>SUMIFS(Einzelbeträge!$D:$D,Einzelbeträge!$C:$C,'Ausgaben 2024'!$C210,Einzelbeträge!$E:$E,'Ausgaben 2024'!H$6)</f>
        <v>0</v>
      </c>
      <c r="I210" s="21">
        <f>SUMIFS(Einzelbeträge!$D:$D,Einzelbeträge!$C:$C,'Ausgaben 2024'!$C210,Einzelbeträge!$E:$E,'Ausgaben 2024'!I$6)</f>
        <v>0</v>
      </c>
      <c r="J210" s="21">
        <f>SUMIFS(Einzelbeträge!$D:$D,Einzelbeträge!$C:$C,'Ausgaben 2024'!$C210,Einzelbeträge!$E:$E,'Ausgaben 2024'!J$6)</f>
        <v>0</v>
      </c>
      <c r="K210" s="21">
        <f>SUMIFS(Einzelbeträge!$D:$D,Einzelbeträge!$C:$C,'Ausgaben 2024'!$C210,Einzelbeträge!$E:$E,'Ausgaben 2024'!K$6)</f>
        <v>0</v>
      </c>
      <c r="L210" s="21">
        <f>SUMIFS(Einzelbeträge!$D:$D,Einzelbeträge!$C:$C,'Ausgaben 2024'!$C210,Einzelbeträge!$E:$E,'Ausgaben 2024'!L$6)</f>
        <v>0</v>
      </c>
      <c r="M210" s="21">
        <f>SUMIFS(Einzelbeträge!$D:$D,Einzelbeträge!$C:$C,'Ausgaben 2024'!$C210,Einzelbeträge!$E:$E,'Ausgaben 2024'!M$6)</f>
        <v>0</v>
      </c>
      <c r="N210" s="35">
        <f>SUMIFS(Einzelbeträge!$D:$D,Einzelbeträge!$C:$C,'Ausgaben 2024'!$C210,Einzelbeträge!$E:$E,'Ausgaben 2024'!N$6)</f>
        <v>0</v>
      </c>
      <c r="O210" s="6"/>
    </row>
    <row r="211" spans="2:15" x14ac:dyDescent="0.35">
      <c r="B211" s="5"/>
      <c r="C211" s="40">
        <f t="shared" si="30"/>
        <v>45478</v>
      </c>
      <c r="D211" s="46">
        <f>SUMIFS(Einzelbeträge!$D:$D,Einzelbeträge!$C:$C,'Ausgaben 2024'!$C211)</f>
        <v>0</v>
      </c>
      <c r="E211" s="21">
        <f>SUMIFS(Einzelbeträge!$D:$D,Einzelbeträge!$C:$C,'Ausgaben 2024'!$C211,Einzelbeträge!$E:$E,'Ausgaben 2024'!E$6)</f>
        <v>0</v>
      </c>
      <c r="F211" s="21">
        <f>SUMIFS(Einzelbeträge!$D:$D,Einzelbeträge!$C:$C,'Ausgaben 2024'!$C211,Einzelbeträge!$E:$E,'Ausgaben 2024'!F$6)</f>
        <v>0</v>
      </c>
      <c r="G211" s="21">
        <f>SUMIFS(Einzelbeträge!$D:$D,Einzelbeträge!$C:$C,'Ausgaben 2024'!$C211,Einzelbeträge!$E:$E,'Ausgaben 2024'!G$6)</f>
        <v>0</v>
      </c>
      <c r="H211" s="21">
        <f>SUMIFS(Einzelbeträge!$D:$D,Einzelbeträge!$C:$C,'Ausgaben 2024'!$C211,Einzelbeträge!$E:$E,'Ausgaben 2024'!H$6)</f>
        <v>0</v>
      </c>
      <c r="I211" s="21">
        <f>SUMIFS(Einzelbeträge!$D:$D,Einzelbeträge!$C:$C,'Ausgaben 2024'!$C211,Einzelbeträge!$E:$E,'Ausgaben 2024'!I$6)</f>
        <v>0</v>
      </c>
      <c r="J211" s="21">
        <f>SUMIFS(Einzelbeträge!$D:$D,Einzelbeträge!$C:$C,'Ausgaben 2024'!$C211,Einzelbeträge!$E:$E,'Ausgaben 2024'!J$6)</f>
        <v>0</v>
      </c>
      <c r="K211" s="21">
        <f>SUMIFS(Einzelbeträge!$D:$D,Einzelbeträge!$C:$C,'Ausgaben 2024'!$C211,Einzelbeträge!$E:$E,'Ausgaben 2024'!K$6)</f>
        <v>0</v>
      </c>
      <c r="L211" s="21">
        <f>SUMIFS(Einzelbeträge!$D:$D,Einzelbeträge!$C:$C,'Ausgaben 2024'!$C211,Einzelbeträge!$E:$E,'Ausgaben 2024'!L$6)</f>
        <v>0</v>
      </c>
      <c r="M211" s="21">
        <f>SUMIFS(Einzelbeträge!$D:$D,Einzelbeträge!$C:$C,'Ausgaben 2024'!$C211,Einzelbeträge!$E:$E,'Ausgaben 2024'!M$6)</f>
        <v>0</v>
      </c>
      <c r="N211" s="35">
        <f>SUMIFS(Einzelbeträge!$D:$D,Einzelbeträge!$C:$C,'Ausgaben 2024'!$C211,Einzelbeträge!$E:$E,'Ausgaben 2024'!N$6)</f>
        <v>0</v>
      </c>
      <c r="O211" s="6"/>
    </row>
    <row r="212" spans="2:15" x14ac:dyDescent="0.35">
      <c r="B212" s="5"/>
      <c r="C212" s="40">
        <f t="shared" si="30"/>
        <v>45479</v>
      </c>
      <c r="D212" s="46">
        <f>SUMIFS(Einzelbeträge!$D:$D,Einzelbeträge!$C:$C,'Ausgaben 2024'!$C212)</f>
        <v>0</v>
      </c>
      <c r="E212" s="21">
        <f>SUMIFS(Einzelbeträge!$D:$D,Einzelbeträge!$C:$C,'Ausgaben 2024'!$C212,Einzelbeträge!$E:$E,'Ausgaben 2024'!E$6)</f>
        <v>0</v>
      </c>
      <c r="F212" s="21">
        <f>SUMIFS(Einzelbeträge!$D:$D,Einzelbeträge!$C:$C,'Ausgaben 2024'!$C212,Einzelbeträge!$E:$E,'Ausgaben 2024'!F$6)</f>
        <v>0</v>
      </c>
      <c r="G212" s="21">
        <f>SUMIFS(Einzelbeträge!$D:$D,Einzelbeträge!$C:$C,'Ausgaben 2024'!$C212,Einzelbeträge!$E:$E,'Ausgaben 2024'!G$6)</f>
        <v>0</v>
      </c>
      <c r="H212" s="21">
        <f>SUMIFS(Einzelbeträge!$D:$D,Einzelbeträge!$C:$C,'Ausgaben 2024'!$C212,Einzelbeträge!$E:$E,'Ausgaben 2024'!H$6)</f>
        <v>0</v>
      </c>
      <c r="I212" s="21">
        <f>SUMIFS(Einzelbeträge!$D:$D,Einzelbeträge!$C:$C,'Ausgaben 2024'!$C212,Einzelbeträge!$E:$E,'Ausgaben 2024'!I$6)</f>
        <v>0</v>
      </c>
      <c r="J212" s="21">
        <f>SUMIFS(Einzelbeträge!$D:$D,Einzelbeträge!$C:$C,'Ausgaben 2024'!$C212,Einzelbeträge!$E:$E,'Ausgaben 2024'!J$6)</f>
        <v>0</v>
      </c>
      <c r="K212" s="21">
        <f>SUMIFS(Einzelbeträge!$D:$D,Einzelbeträge!$C:$C,'Ausgaben 2024'!$C212,Einzelbeträge!$E:$E,'Ausgaben 2024'!K$6)</f>
        <v>0</v>
      </c>
      <c r="L212" s="21">
        <f>SUMIFS(Einzelbeträge!$D:$D,Einzelbeträge!$C:$C,'Ausgaben 2024'!$C212,Einzelbeträge!$E:$E,'Ausgaben 2024'!L$6)</f>
        <v>0</v>
      </c>
      <c r="M212" s="21">
        <f>SUMIFS(Einzelbeträge!$D:$D,Einzelbeträge!$C:$C,'Ausgaben 2024'!$C212,Einzelbeträge!$E:$E,'Ausgaben 2024'!M$6)</f>
        <v>0</v>
      </c>
      <c r="N212" s="35">
        <f>SUMIFS(Einzelbeträge!$D:$D,Einzelbeträge!$C:$C,'Ausgaben 2024'!$C212,Einzelbeträge!$E:$E,'Ausgaben 2024'!N$6)</f>
        <v>0</v>
      </c>
      <c r="O212" s="6"/>
    </row>
    <row r="213" spans="2:15" x14ac:dyDescent="0.35">
      <c r="B213" s="5"/>
      <c r="C213" s="40">
        <f t="shared" si="30"/>
        <v>45480</v>
      </c>
      <c r="D213" s="46">
        <f>SUMIFS(Einzelbeträge!$D:$D,Einzelbeträge!$C:$C,'Ausgaben 2024'!$C213)</f>
        <v>0</v>
      </c>
      <c r="E213" s="21">
        <f>SUMIFS(Einzelbeträge!$D:$D,Einzelbeträge!$C:$C,'Ausgaben 2024'!$C213,Einzelbeträge!$E:$E,'Ausgaben 2024'!E$6)</f>
        <v>0</v>
      </c>
      <c r="F213" s="21">
        <f>SUMIFS(Einzelbeträge!$D:$D,Einzelbeträge!$C:$C,'Ausgaben 2024'!$C213,Einzelbeträge!$E:$E,'Ausgaben 2024'!F$6)</f>
        <v>0</v>
      </c>
      <c r="G213" s="21">
        <f>SUMIFS(Einzelbeträge!$D:$D,Einzelbeträge!$C:$C,'Ausgaben 2024'!$C213,Einzelbeträge!$E:$E,'Ausgaben 2024'!G$6)</f>
        <v>0</v>
      </c>
      <c r="H213" s="21">
        <f>SUMIFS(Einzelbeträge!$D:$D,Einzelbeträge!$C:$C,'Ausgaben 2024'!$C213,Einzelbeträge!$E:$E,'Ausgaben 2024'!H$6)</f>
        <v>0</v>
      </c>
      <c r="I213" s="21">
        <f>SUMIFS(Einzelbeträge!$D:$D,Einzelbeträge!$C:$C,'Ausgaben 2024'!$C213,Einzelbeträge!$E:$E,'Ausgaben 2024'!I$6)</f>
        <v>0</v>
      </c>
      <c r="J213" s="21">
        <f>SUMIFS(Einzelbeträge!$D:$D,Einzelbeträge!$C:$C,'Ausgaben 2024'!$C213,Einzelbeträge!$E:$E,'Ausgaben 2024'!J$6)</f>
        <v>0</v>
      </c>
      <c r="K213" s="21">
        <f>SUMIFS(Einzelbeträge!$D:$D,Einzelbeträge!$C:$C,'Ausgaben 2024'!$C213,Einzelbeträge!$E:$E,'Ausgaben 2024'!K$6)</f>
        <v>0</v>
      </c>
      <c r="L213" s="21">
        <f>SUMIFS(Einzelbeträge!$D:$D,Einzelbeträge!$C:$C,'Ausgaben 2024'!$C213,Einzelbeträge!$E:$E,'Ausgaben 2024'!L$6)</f>
        <v>0</v>
      </c>
      <c r="M213" s="21">
        <f>SUMIFS(Einzelbeträge!$D:$D,Einzelbeträge!$C:$C,'Ausgaben 2024'!$C213,Einzelbeträge!$E:$E,'Ausgaben 2024'!M$6)</f>
        <v>0</v>
      </c>
      <c r="N213" s="35">
        <f>SUMIFS(Einzelbeträge!$D:$D,Einzelbeträge!$C:$C,'Ausgaben 2024'!$C213,Einzelbeträge!$E:$E,'Ausgaben 2024'!N$6)</f>
        <v>0</v>
      </c>
      <c r="O213" s="6"/>
    </row>
    <row r="214" spans="2:15" x14ac:dyDescent="0.35">
      <c r="B214" s="5"/>
      <c r="C214" s="40">
        <f t="shared" si="30"/>
        <v>45481</v>
      </c>
      <c r="D214" s="46">
        <f>SUMIFS(Einzelbeträge!$D:$D,Einzelbeträge!$C:$C,'Ausgaben 2024'!$C214)</f>
        <v>0</v>
      </c>
      <c r="E214" s="21">
        <f>SUMIFS(Einzelbeträge!$D:$D,Einzelbeträge!$C:$C,'Ausgaben 2024'!$C214,Einzelbeträge!$E:$E,'Ausgaben 2024'!E$6)</f>
        <v>0</v>
      </c>
      <c r="F214" s="21">
        <f>SUMIFS(Einzelbeträge!$D:$D,Einzelbeträge!$C:$C,'Ausgaben 2024'!$C214,Einzelbeträge!$E:$E,'Ausgaben 2024'!F$6)</f>
        <v>0</v>
      </c>
      <c r="G214" s="21">
        <f>SUMIFS(Einzelbeträge!$D:$D,Einzelbeträge!$C:$C,'Ausgaben 2024'!$C214,Einzelbeträge!$E:$E,'Ausgaben 2024'!G$6)</f>
        <v>0</v>
      </c>
      <c r="H214" s="21">
        <f>SUMIFS(Einzelbeträge!$D:$D,Einzelbeträge!$C:$C,'Ausgaben 2024'!$C214,Einzelbeträge!$E:$E,'Ausgaben 2024'!H$6)</f>
        <v>0</v>
      </c>
      <c r="I214" s="21">
        <f>SUMIFS(Einzelbeträge!$D:$D,Einzelbeträge!$C:$C,'Ausgaben 2024'!$C214,Einzelbeträge!$E:$E,'Ausgaben 2024'!I$6)</f>
        <v>0</v>
      </c>
      <c r="J214" s="21">
        <f>SUMIFS(Einzelbeträge!$D:$D,Einzelbeträge!$C:$C,'Ausgaben 2024'!$C214,Einzelbeträge!$E:$E,'Ausgaben 2024'!J$6)</f>
        <v>0</v>
      </c>
      <c r="K214" s="21">
        <f>SUMIFS(Einzelbeträge!$D:$D,Einzelbeträge!$C:$C,'Ausgaben 2024'!$C214,Einzelbeträge!$E:$E,'Ausgaben 2024'!K$6)</f>
        <v>0</v>
      </c>
      <c r="L214" s="21">
        <f>SUMIFS(Einzelbeträge!$D:$D,Einzelbeträge!$C:$C,'Ausgaben 2024'!$C214,Einzelbeträge!$E:$E,'Ausgaben 2024'!L$6)</f>
        <v>0</v>
      </c>
      <c r="M214" s="21">
        <f>SUMIFS(Einzelbeträge!$D:$D,Einzelbeträge!$C:$C,'Ausgaben 2024'!$C214,Einzelbeträge!$E:$E,'Ausgaben 2024'!M$6)</f>
        <v>0</v>
      </c>
      <c r="N214" s="35">
        <f>SUMIFS(Einzelbeträge!$D:$D,Einzelbeträge!$C:$C,'Ausgaben 2024'!$C214,Einzelbeträge!$E:$E,'Ausgaben 2024'!N$6)</f>
        <v>0</v>
      </c>
      <c r="O214" s="6"/>
    </row>
    <row r="215" spans="2:15" x14ac:dyDescent="0.35">
      <c r="B215" s="5"/>
      <c r="C215" s="40">
        <f t="shared" si="30"/>
        <v>45482</v>
      </c>
      <c r="D215" s="46">
        <f>SUMIFS(Einzelbeträge!$D:$D,Einzelbeträge!$C:$C,'Ausgaben 2024'!$C215)</f>
        <v>0</v>
      </c>
      <c r="E215" s="21">
        <f>SUMIFS(Einzelbeträge!$D:$D,Einzelbeträge!$C:$C,'Ausgaben 2024'!$C215,Einzelbeträge!$E:$E,'Ausgaben 2024'!E$6)</f>
        <v>0</v>
      </c>
      <c r="F215" s="21">
        <f>SUMIFS(Einzelbeträge!$D:$D,Einzelbeträge!$C:$C,'Ausgaben 2024'!$C215,Einzelbeträge!$E:$E,'Ausgaben 2024'!F$6)</f>
        <v>0</v>
      </c>
      <c r="G215" s="21">
        <f>SUMIFS(Einzelbeträge!$D:$D,Einzelbeträge!$C:$C,'Ausgaben 2024'!$C215,Einzelbeträge!$E:$E,'Ausgaben 2024'!G$6)</f>
        <v>0</v>
      </c>
      <c r="H215" s="21">
        <f>SUMIFS(Einzelbeträge!$D:$D,Einzelbeträge!$C:$C,'Ausgaben 2024'!$C215,Einzelbeträge!$E:$E,'Ausgaben 2024'!H$6)</f>
        <v>0</v>
      </c>
      <c r="I215" s="21">
        <f>SUMIFS(Einzelbeträge!$D:$D,Einzelbeträge!$C:$C,'Ausgaben 2024'!$C215,Einzelbeträge!$E:$E,'Ausgaben 2024'!I$6)</f>
        <v>0</v>
      </c>
      <c r="J215" s="21">
        <f>SUMIFS(Einzelbeträge!$D:$D,Einzelbeträge!$C:$C,'Ausgaben 2024'!$C215,Einzelbeträge!$E:$E,'Ausgaben 2024'!J$6)</f>
        <v>0</v>
      </c>
      <c r="K215" s="21">
        <f>SUMIFS(Einzelbeträge!$D:$D,Einzelbeträge!$C:$C,'Ausgaben 2024'!$C215,Einzelbeträge!$E:$E,'Ausgaben 2024'!K$6)</f>
        <v>0</v>
      </c>
      <c r="L215" s="21">
        <f>SUMIFS(Einzelbeträge!$D:$D,Einzelbeträge!$C:$C,'Ausgaben 2024'!$C215,Einzelbeträge!$E:$E,'Ausgaben 2024'!L$6)</f>
        <v>0</v>
      </c>
      <c r="M215" s="21">
        <f>SUMIFS(Einzelbeträge!$D:$D,Einzelbeträge!$C:$C,'Ausgaben 2024'!$C215,Einzelbeträge!$E:$E,'Ausgaben 2024'!M$6)</f>
        <v>0</v>
      </c>
      <c r="N215" s="35">
        <f>SUMIFS(Einzelbeträge!$D:$D,Einzelbeträge!$C:$C,'Ausgaben 2024'!$C215,Einzelbeträge!$E:$E,'Ausgaben 2024'!N$6)</f>
        <v>0</v>
      </c>
      <c r="O215" s="6"/>
    </row>
    <row r="216" spans="2:15" x14ac:dyDescent="0.35">
      <c r="B216" s="5"/>
      <c r="C216" s="40">
        <f t="shared" si="30"/>
        <v>45483</v>
      </c>
      <c r="D216" s="46">
        <f>SUMIFS(Einzelbeträge!$D:$D,Einzelbeträge!$C:$C,'Ausgaben 2024'!$C216)</f>
        <v>0</v>
      </c>
      <c r="E216" s="21">
        <f>SUMIFS(Einzelbeträge!$D:$D,Einzelbeträge!$C:$C,'Ausgaben 2024'!$C216,Einzelbeträge!$E:$E,'Ausgaben 2024'!E$6)</f>
        <v>0</v>
      </c>
      <c r="F216" s="21">
        <f>SUMIFS(Einzelbeträge!$D:$D,Einzelbeträge!$C:$C,'Ausgaben 2024'!$C216,Einzelbeträge!$E:$E,'Ausgaben 2024'!F$6)</f>
        <v>0</v>
      </c>
      <c r="G216" s="21">
        <f>SUMIFS(Einzelbeträge!$D:$D,Einzelbeträge!$C:$C,'Ausgaben 2024'!$C216,Einzelbeträge!$E:$E,'Ausgaben 2024'!G$6)</f>
        <v>0</v>
      </c>
      <c r="H216" s="21">
        <f>SUMIFS(Einzelbeträge!$D:$D,Einzelbeträge!$C:$C,'Ausgaben 2024'!$C216,Einzelbeträge!$E:$E,'Ausgaben 2024'!H$6)</f>
        <v>0</v>
      </c>
      <c r="I216" s="21">
        <f>SUMIFS(Einzelbeträge!$D:$D,Einzelbeträge!$C:$C,'Ausgaben 2024'!$C216,Einzelbeträge!$E:$E,'Ausgaben 2024'!I$6)</f>
        <v>0</v>
      </c>
      <c r="J216" s="21">
        <f>SUMIFS(Einzelbeträge!$D:$D,Einzelbeträge!$C:$C,'Ausgaben 2024'!$C216,Einzelbeträge!$E:$E,'Ausgaben 2024'!J$6)</f>
        <v>0</v>
      </c>
      <c r="K216" s="21">
        <f>SUMIFS(Einzelbeträge!$D:$D,Einzelbeträge!$C:$C,'Ausgaben 2024'!$C216,Einzelbeträge!$E:$E,'Ausgaben 2024'!K$6)</f>
        <v>0</v>
      </c>
      <c r="L216" s="21">
        <f>SUMIFS(Einzelbeträge!$D:$D,Einzelbeträge!$C:$C,'Ausgaben 2024'!$C216,Einzelbeträge!$E:$E,'Ausgaben 2024'!L$6)</f>
        <v>0</v>
      </c>
      <c r="M216" s="21">
        <f>SUMIFS(Einzelbeträge!$D:$D,Einzelbeträge!$C:$C,'Ausgaben 2024'!$C216,Einzelbeträge!$E:$E,'Ausgaben 2024'!M$6)</f>
        <v>0</v>
      </c>
      <c r="N216" s="35">
        <f>SUMIFS(Einzelbeträge!$D:$D,Einzelbeträge!$C:$C,'Ausgaben 2024'!$C216,Einzelbeträge!$E:$E,'Ausgaben 2024'!N$6)</f>
        <v>0</v>
      </c>
      <c r="O216" s="6"/>
    </row>
    <row r="217" spans="2:15" x14ac:dyDescent="0.35">
      <c r="B217" s="5"/>
      <c r="C217" s="40">
        <f t="shared" si="30"/>
        <v>45484</v>
      </c>
      <c r="D217" s="46">
        <f>SUMIFS(Einzelbeträge!$D:$D,Einzelbeträge!$C:$C,'Ausgaben 2024'!$C217)</f>
        <v>0</v>
      </c>
      <c r="E217" s="21">
        <f>SUMIFS(Einzelbeträge!$D:$D,Einzelbeträge!$C:$C,'Ausgaben 2024'!$C217,Einzelbeträge!$E:$E,'Ausgaben 2024'!E$6)</f>
        <v>0</v>
      </c>
      <c r="F217" s="21">
        <f>SUMIFS(Einzelbeträge!$D:$D,Einzelbeträge!$C:$C,'Ausgaben 2024'!$C217,Einzelbeträge!$E:$E,'Ausgaben 2024'!F$6)</f>
        <v>0</v>
      </c>
      <c r="G217" s="21">
        <f>SUMIFS(Einzelbeträge!$D:$D,Einzelbeträge!$C:$C,'Ausgaben 2024'!$C217,Einzelbeträge!$E:$E,'Ausgaben 2024'!G$6)</f>
        <v>0</v>
      </c>
      <c r="H217" s="21">
        <f>SUMIFS(Einzelbeträge!$D:$D,Einzelbeträge!$C:$C,'Ausgaben 2024'!$C217,Einzelbeträge!$E:$E,'Ausgaben 2024'!H$6)</f>
        <v>0</v>
      </c>
      <c r="I217" s="21">
        <f>SUMIFS(Einzelbeträge!$D:$D,Einzelbeträge!$C:$C,'Ausgaben 2024'!$C217,Einzelbeträge!$E:$E,'Ausgaben 2024'!I$6)</f>
        <v>0</v>
      </c>
      <c r="J217" s="21">
        <f>SUMIFS(Einzelbeträge!$D:$D,Einzelbeträge!$C:$C,'Ausgaben 2024'!$C217,Einzelbeträge!$E:$E,'Ausgaben 2024'!J$6)</f>
        <v>0</v>
      </c>
      <c r="K217" s="21">
        <f>SUMIFS(Einzelbeträge!$D:$D,Einzelbeträge!$C:$C,'Ausgaben 2024'!$C217,Einzelbeträge!$E:$E,'Ausgaben 2024'!K$6)</f>
        <v>0</v>
      </c>
      <c r="L217" s="21">
        <f>SUMIFS(Einzelbeträge!$D:$D,Einzelbeträge!$C:$C,'Ausgaben 2024'!$C217,Einzelbeträge!$E:$E,'Ausgaben 2024'!L$6)</f>
        <v>0</v>
      </c>
      <c r="M217" s="21">
        <f>SUMIFS(Einzelbeträge!$D:$D,Einzelbeträge!$C:$C,'Ausgaben 2024'!$C217,Einzelbeträge!$E:$E,'Ausgaben 2024'!M$6)</f>
        <v>0</v>
      </c>
      <c r="N217" s="35">
        <f>SUMIFS(Einzelbeträge!$D:$D,Einzelbeträge!$C:$C,'Ausgaben 2024'!$C217,Einzelbeträge!$E:$E,'Ausgaben 2024'!N$6)</f>
        <v>0</v>
      </c>
      <c r="O217" s="6"/>
    </row>
    <row r="218" spans="2:15" x14ac:dyDescent="0.35">
      <c r="B218" s="5"/>
      <c r="C218" s="40">
        <f t="shared" si="30"/>
        <v>45485</v>
      </c>
      <c r="D218" s="46">
        <f>SUMIFS(Einzelbeträge!$D:$D,Einzelbeträge!$C:$C,'Ausgaben 2024'!$C218)</f>
        <v>0</v>
      </c>
      <c r="E218" s="21">
        <f>SUMIFS(Einzelbeträge!$D:$D,Einzelbeträge!$C:$C,'Ausgaben 2024'!$C218,Einzelbeträge!$E:$E,'Ausgaben 2024'!E$6)</f>
        <v>0</v>
      </c>
      <c r="F218" s="21">
        <f>SUMIFS(Einzelbeträge!$D:$D,Einzelbeträge!$C:$C,'Ausgaben 2024'!$C218,Einzelbeträge!$E:$E,'Ausgaben 2024'!F$6)</f>
        <v>0</v>
      </c>
      <c r="G218" s="21">
        <f>SUMIFS(Einzelbeträge!$D:$D,Einzelbeträge!$C:$C,'Ausgaben 2024'!$C218,Einzelbeträge!$E:$E,'Ausgaben 2024'!G$6)</f>
        <v>0</v>
      </c>
      <c r="H218" s="21">
        <f>SUMIFS(Einzelbeträge!$D:$D,Einzelbeträge!$C:$C,'Ausgaben 2024'!$C218,Einzelbeträge!$E:$E,'Ausgaben 2024'!H$6)</f>
        <v>0</v>
      </c>
      <c r="I218" s="21">
        <f>SUMIFS(Einzelbeträge!$D:$D,Einzelbeträge!$C:$C,'Ausgaben 2024'!$C218,Einzelbeträge!$E:$E,'Ausgaben 2024'!I$6)</f>
        <v>0</v>
      </c>
      <c r="J218" s="21">
        <f>SUMIFS(Einzelbeträge!$D:$D,Einzelbeträge!$C:$C,'Ausgaben 2024'!$C218,Einzelbeträge!$E:$E,'Ausgaben 2024'!J$6)</f>
        <v>0</v>
      </c>
      <c r="K218" s="21">
        <f>SUMIFS(Einzelbeträge!$D:$D,Einzelbeträge!$C:$C,'Ausgaben 2024'!$C218,Einzelbeträge!$E:$E,'Ausgaben 2024'!K$6)</f>
        <v>0</v>
      </c>
      <c r="L218" s="21">
        <f>SUMIFS(Einzelbeträge!$D:$D,Einzelbeträge!$C:$C,'Ausgaben 2024'!$C218,Einzelbeträge!$E:$E,'Ausgaben 2024'!L$6)</f>
        <v>0</v>
      </c>
      <c r="M218" s="21">
        <f>SUMIFS(Einzelbeträge!$D:$D,Einzelbeträge!$C:$C,'Ausgaben 2024'!$C218,Einzelbeträge!$E:$E,'Ausgaben 2024'!M$6)</f>
        <v>0</v>
      </c>
      <c r="N218" s="35">
        <f>SUMIFS(Einzelbeträge!$D:$D,Einzelbeträge!$C:$C,'Ausgaben 2024'!$C218,Einzelbeträge!$E:$E,'Ausgaben 2024'!N$6)</f>
        <v>0</v>
      </c>
      <c r="O218" s="6"/>
    </row>
    <row r="219" spans="2:15" x14ac:dyDescent="0.35">
      <c r="B219" s="5"/>
      <c r="C219" s="40">
        <f t="shared" si="30"/>
        <v>45486</v>
      </c>
      <c r="D219" s="46">
        <f>SUMIFS(Einzelbeträge!$D:$D,Einzelbeträge!$C:$C,'Ausgaben 2024'!$C219)</f>
        <v>0</v>
      </c>
      <c r="E219" s="21">
        <f>SUMIFS(Einzelbeträge!$D:$D,Einzelbeträge!$C:$C,'Ausgaben 2024'!$C219,Einzelbeträge!$E:$E,'Ausgaben 2024'!E$6)</f>
        <v>0</v>
      </c>
      <c r="F219" s="21">
        <f>SUMIFS(Einzelbeträge!$D:$D,Einzelbeträge!$C:$C,'Ausgaben 2024'!$C219,Einzelbeträge!$E:$E,'Ausgaben 2024'!F$6)</f>
        <v>0</v>
      </c>
      <c r="G219" s="21">
        <f>SUMIFS(Einzelbeträge!$D:$D,Einzelbeträge!$C:$C,'Ausgaben 2024'!$C219,Einzelbeträge!$E:$E,'Ausgaben 2024'!G$6)</f>
        <v>0</v>
      </c>
      <c r="H219" s="21">
        <f>SUMIFS(Einzelbeträge!$D:$D,Einzelbeträge!$C:$C,'Ausgaben 2024'!$C219,Einzelbeträge!$E:$E,'Ausgaben 2024'!H$6)</f>
        <v>0</v>
      </c>
      <c r="I219" s="21">
        <f>SUMIFS(Einzelbeträge!$D:$D,Einzelbeträge!$C:$C,'Ausgaben 2024'!$C219,Einzelbeträge!$E:$E,'Ausgaben 2024'!I$6)</f>
        <v>0</v>
      </c>
      <c r="J219" s="21">
        <f>SUMIFS(Einzelbeträge!$D:$D,Einzelbeträge!$C:$C,'Ausgaben 2024'!$C219,Einzelbeträge!$E:$E,'Ausgaben 2024'!J$6)</f>
        <v>0</v>
      </c>
      <c r="K219" s="21">
        <f>SUMIFS(Einzelbeträge!$D:$D,Einzelbeträge!$C:$C,'Ausgaben 2024'!$C219,Einzelbeträge!$E:$E,'Ausgaben 2024'!K$6)</f>
        <v>0</v>
      </c>
      <c r="L219" s="21">
        <f>SUMIFS(Einzelbeträge!$D:$D,Einzelbeträge!$C:$C,'Ausgaben 2024'!$C219,Einzelbeträge!$E:$E,'Ausgaben 2024'!L$6)</f>
        <v>0</v>
      </c>
      <c r="M219" s="21">
        <f>SUMIFS(Einzelbeträge!$D:$D,Einzelbeträge!$C:$C,'Ausgaben 2024'!$C219,Einzelbeträge!$E:$E,'Ausgaben 2024'!M$6)</f>
        <v>0</v>
      </c>
      <c r="N219" s="35">
        <f>SUMIFS(Einzelbeträge!$D:$D,Einzelbeträge!$C:$C,'Ausgaben 2024'!$C219,Einzelbeträge!$E:$E,'Ausgaben 2024'!N$6)</f>
        <v>0</v>
      </c>
      <c r="O219" s="6"/>
    </row>
    <row r="220" spans="2:15" x14ac:dyDescent="0.35">
      <c r="B220" s="5"/>
      <c r="C220" s="40">
        <f t="shared" si="30"/>
        <v>45487</v>
      </c>
      <c r="D220" s="46">
        <f>SUMIFS(Einzelbeträge!$D:$D,Einzelbeträge!$C:$C,'Ausgaben 2024'!$C220)</f>
        <v>0</v>
      </c>
      <c r="E220" s="21">
        <f>SUMIFS(Einzelbeträge!$D:$D,Einzelbeträge!$C:$C,'Ausgaben 2024'!$C220,Einzelbeträge!$E:$E,'Ausgaben 2024'!E$6)</f>
        <v>0</v>
      </c>
      <c r="F220" s="21">
        <f>SUMIFS(Einzelbeträge!$D:$D,Einzelbeträge!$C:$C,'Ausgaben 2024'!$C220,Einzelbeträge!$E:$E,'Ausgaben 2024'!F$6)</f>
        <v>0</v>
      </c>
      <c r="G220" s="21">
        <f>SUMIFS(Einzelbeträge!$D:$D,Einzelbeträge!$C:$C,'Ausgaben 2024'!$C220,Einzelbeträge!$E:$E,'Ausgaben 2024'!G$6)</f>
        <v>0</v>
      </c>
      <c r="H220" s="21">
        <f>SUMIFS(Einzelbeträge!$D:$D,Einzelbeträge!$C:$C,'Ausgaben 2024'!$C220,Einzelbeträge!$E:$E,'Ausgaben 2024'!H$6)</f>
        <v>0</v>
      </c>
      <c r="I220" s="21">
        <f>SUMIFS(Einzelbeträge!$D:$D,Einzelbeträge!$C:$C,'Ausgaben 2024'!$C220,Einzelbeträge!$E:$E,'Ausgaben 2024'!I$6)</f>
        <v>0</v>
      </c>
      <c r="J220" s="21">
        <f>SUMIFS(Einzelbeträge!$D:$D,Einzelbeträge!$C:$C,'Ausgaben 2024'!$C220,Einzelbeträge!$E:$E,'Ausgaben 2024'!J$6)</f>
        <v>0</v>
      </c>
      <c r="K220" s="21">
        <f>SUMIFS(Einzelbeträge!$D:$D,Einzelbeträge!$C:$C,'Ausgaben 2024'!$C220,Einzelbeträge!$E:$E,'Ausgaben 2024'!K$6)</f>
        <v>0</v>
      </c>
      <c r="L220" s="21">
        <f>SUMIFS(Einzelbeträge!$D:$D,Einzelbeträge!$C:$C,'Ausgaben 2024'!$C220,Einzelbeträge!$E:$E,'Ausgaben 2024'!L$6)</f>
        <v>0</v>
      </c>
      <c r="M220" s="21">
        <f>SUMIFS(Einzelbeträge!$D:$D,Einzelbeträge!$C:$C,'Ausgaben 2024'!$C220,Einzelbeträge!$E:$E,'Ausgaben 2024'!M$6)</f>
        <v>0</v>
      </c>
      <c r="N220" s="35">
        <f>SUMIFS(Einzelbeträge!$D:$D,Einzelbeträge!$C:$C,'Ausgaben 2024'!$C220,Einzelbeträge!$E:$E,'Ausgaben 2024'!N$6)</f>
        <v>0</v>
      </c>
      <c r="O220" s="6"/>
    </row>
    <row r="221" spans="2:15" x14ac:dyDescent="0.35">
      <c r="B221" s="5"/>
      <c r="C221" s="40">
        <f t="shared" si="30"/>
        <v>45488</v>
      </c>
      <c r="D221" s="46">
        <f>SUMIFS(Einzelbeträge!$D:$D,Einzelbeträge!$C:$C,'Ausgaben 2024'!$C221)</f>
        <v>0</v>
      </c>
      <c r="E221" s="21">
        <f>SUMIFS(Einzelbeträge!$D:$D,Einzelbeträge!$C:$C,'Ausgaben 2024'!$C221,Einzelbeträge!$E:$E,'Ausgaben 2024'!E$6)</f>
        <v>0</v>
      </c>
      <c r="F221" s="21">
        <f>SUMIFS(Einzelbeträge!$D:$D,Einzelbeträge!$C:$C,'Ausgaben 2024'!$C221,Einzelbeträge!$E:$E,'Ausgaben 2024'!F$6)</f>
        <v>0</v>
      </c>
      <c r="G221" s="21">
        <f>SUMIFS(Einzelbeträge!$D:$D,Einzelbeträge!$C:$C,'Ausgaben 2024'!$C221,Einzelbeträge!$E:$E,'Ausgaben 2024'!G$6)</f>
        <v>0</v>
      </c>
      <c r="H221" s="21">
        <f>SUMIFS(Einzelbeträge!$D:$D,Einzelbeträge!$C:$C,'Ausgaben 2024'!$C221,Einzelbeträge!$E:$E,'Ausgaben 2024'!H$6)</f>
        <v>0</v>
      </c>
      <c r="I221" s="21">
        <f>SUMIFS(Einzelbeträge!$D:$D,Einzelbeträge!$C:$C,'Ausgaben 2024'!$C221,Einzelbeträge!$E:$E,'Ausgaben 2024'!I$6)</f>
        <v>0</v>
      </c>
      <c r="J221" s="21">
        <f>SUMIFS(Einzelbeträge!$D:$D,Einzelbeträge!$C:$C,'Ausgaben 2024'!$C221,Einzelbeträge!$E:$E,'Ausgaben 2024'!J$6)</f>
        <v>0</v>
      </c>
      <c r="K221" s="21">
        <f>SUMIFS(Einzelbeträge!$D:$D,Einzelbeträge!$C:$C,'Ausgaben 2024'!$C221,Einzelbeträge!$E:$E,'Ausgaben 2024'!K$6)</f>
        <v>0</v>
      </c>
      <c r="L221" s="21">
        <f>SUMIFS(Einzelbeträge!$D:$D,Einzelbeträge!$C:$C,'Ausgaben 2024'!$C221,Einzelbeträge!$E:$E,'Ausgaben 2024'!L$6)</f>
        <v>0</v>
      </c>
      <c r="M221" s="21">
        <f>SUMIFS(Einzelbeträge!$D:$D,Einzelbeträge!$C:$C,'Ausgaben 2024'!$C221,Einzelbeträge!$E:$E,'Ausgaben 2024'!M$6)</f>
        <v>0</v>
      </c>
      <c r="N221" s="35">
        <f>SUMIFS(Einzelbeträge!$D:$D,Einzelbeträge!$C:$C,'Ausgaben 2024'!$C221,Einzelbeträge!$E:$E,'Ausgaben 2024'!N$6)</f>
        <v>0</v>
      </c>
      <c r="O221" s="6"/>
    </row>
    <row r="222" spans="2:15" x14ac:dyDescent="0.35">
      <c r="B222" s="5"/>
      <c r="C222" s="40">
        <f t="shared" si="30"/>
        <v>45489</v>
      </c>
      <c r="D222" s="46">
        <f>SUMIFS(Einzelbeträge!$D:$D,Einzelbeträge!$C:$C,'Ausgaben 2024'!$C222)</f>
        <v>0</v>
      </c>
      <c r="E222" s="21">
        <f>SUMIFS(Einzelbeträge!$D:$D,Einzelbeträge!$C:$C,'Ausgaben 2024'!$C222,Einzelbeträge!$E:$E,'Ausgaben 2024'!E$6)</f>
        <v>0</v>
      </c>
      <c r="F222" s="21">
        <f>SUMIFS(Einzelbeträge!$D:$D,Einzelbeträge!$C:$C,'Ausgaben 2024'!$C222,Einzelbeträge!$E:$E,'Ausgaben 2024'!F$6)</f>
        <v>0</v>
      </c>
      <c r="G222" s="21">
        <f>SUMIFS(Einzelbeträge!$D:$D,Einzelbeträge!$C:$C,'Ausgaben 2024'!$C222,Einzelbeträge!$E:$E,'Ausgaben 2024'!G$6)</f>
        <v>0</v>
      </c>
      <c r="H222" s="21">
        <f>SUMIFS(Einzelbeträge!$D:$D,Einzelbeträge!$C:$C,'Ausgaben 2024'!$C222,Einzelbeträge!$E:$E,'Ausgaben 2024'!H$6)</f>
        <v>0</v>
      </c>
      <c r="I222" s="21">
        <f>SUMIFS(Einzelbeträge!$D:$D,Einzelbeträge!$C:$C,'Ausgaben 2024'!$C222,Einzelbeträge!$E:$E,'Ausgaben 2024'!I$6)</f>
        <v>0</v>
      </c>
      <c r="J222" s="21">
        <f>SUMIFS(Einzelbeträge!$D:$D,Einzelbeträge!$C:$C,'Ausgaben 2024'!$C222,Einzelbeträge!$E:$E,'Ausgaben 2024'!J$6)</f>
        <v>0</v>
      </c>
      <c r="K222" s="21">
        <f>SUMIFS(Einzelbeträge!$D:$D,Einzelbeträge!$C:$C,'Ausgaben 2024'!$C222,Einzelbeträge!$E:$E,'Ausgaben 2024'!K$6)</f>
        <v>0</v>
      </c>
      <c r="L222" s="21">
        <f>SUMIFS(Einzelbeträge!$D:$D,Einzelbeträge!$C:$C,'Ausgaben 2024'!$C222,Einzelbeträge!$E:$E,'Ausgaben 2024'!L$6)</f>
        <v>0</v>
      </c>
      <c r="M222" s="21">
        <f>SUMIFS(Einzelbeträge!$D:$D,Einzelbeträge!$C:$C,'Ausgaben 2024'!$C222,Einzelbeträge!$E:$E,'Ausgaben 2024'!M$6)</f>
        <v>0</v>
      </c>
      <c r="N222" s="35">
        <f>SUMIFS(Einzelbeträge!$D:$D,Einzelbeträge!$C:$C,'Ausgaben 2024'!$C222,Einzelbeträge!$E:$E,'Ausgaben 2024'!N$6)</f>
        <v>0</v>
      </c>
      <c r="O222" s="6"/>
    </row>
    <row r="223" spans="2:15" x14ac:dyDescent="0.35">
      <c r="B223" s="5"/>
      <c r="C223" s="40">
        <f t="shared" si="30"/>
        <v>45490</v>
      </c>
      <c r="D223" s="46">
        <f>SUMIFS(Einzelbeträge!$D:$D,Einzelbeträge!$C:$C,'Ausgaben 2024'!$C223)</f>
        <v>0</v>
      </c>
      <c r="E223" s="21">
        <f>SUMIFS(Einzelbeträge!$D:$D,Einzelbeträge!$C:$C,'Ausgaben 2024'!$C223,Einzelbeträge!$E:$E,'Ausgaben 2024'!E$6)</f>
        <v>0</v>
      </c>
      <c r="F223" s="21">
        <f>SUMIFS(Einzelbeträge!$D:$D,Einzelbeträge!$C:$C,'Ausgaben 2024'!$C223,Einzelbeträge!$E:$E,'Ausgaben 2024'!F$6)</f>
        <v>0</v>
      </c>
      <c r="G223" s="21">
        <f>SUMIFS(Einzelbeträge!$D:$D,Einzelbeträge!$C:$C,'Ausgaben 2024'!$C223,Einzelbeträge!$E:$E,'Ausgaben 2024'!G$6)</f>
        <v>0</v>
      </c>
      <c r="H223" s="21">
        <f>SUMIFS(Einzelbeträge!$D:$D,Einzelbeträge!$C:$C,'Ausgaben 2024'!$C223,Einzelbeträge!$E:$E,'Ausgaben 2024'!H$6)</f>
        <v>0</v>
      </c>
      <c r="I223" s="21">
        <f>SUMIFS(Einzelbeträge!$D:$D,Einzelbeträge!$C:$C,'Ausgaben 2024'!$C223,Einzelbeträge!$E:$E,'Ausgaben 2024'!I$6)</f>
        <v>0</v>
      </c>
      <c r="J223" s="21">
        <f>SUMIFS(Einzelbeträge!$D:$D,Einzelbeträge!$C:$C,'Ausgaben 2024'!$C223,Einzelbeträge!$E:$E,'Ausgaben 2024'!J$6)</f>
        <v>0</v>
      </c>
      <c r="K223" s="21">
        <f>SUMIFS(Einzelbeträge!$D:$D,Einzelbeträge!$C:$C,'Ausgaben 2024'!$C223,Einzelbeträge!$E:$E,'Ausgaben 2024'!K$6)</f>
        <v>0</v>
      </c>
      <c r="L223" s="21">
        <f>SUMIFS(Einzelbeträge!$D:$D,Einzelbeträge!$C:$C,'Ausgaben 2024'!$C223,Einzelbeträge!$E:$E,'Ausgaben 2024'!L$6)</f>
        <v>0</v>
      </c>
      <c r="M223" s="21">
        <f>SUMIFS(Einzelbeträge!$D:$D,Einzelbeträge!$C:$C,'Ausgaben 2024'!$C223,Einzelbeträge!$E:$E,'Ausgaben 2024'!M$6)</f>
        <v>0</v>
      </c>
      <c r="N223" s="35">
        <f>SUMIFS(Einzelbeträge!$D:$D,Einzelbeträge!$C:$C,'Ausgaben 2024'!$C223,Einzelbeträge!$E:$E,'Ausgaben 2024'!N$6)</f>
        <v>0</v>
      </c>
      <c r="O223" s="6"/>
    </row>
    <row r="224" spans="2:15" x14ac:dyDescent="0.35">
      <c r="B224" s="5"/>
      <c r="C224" s="40">
        <f t="shared" si="30"/>
        <v>45491</v>
      </c>
      <c r="D224" s="46">
        <f>SUMIFS(Einzelbeträge!$D:$D,Einzelbeträge!$C:$C,'Ausgaben 2024'!$C224)</f>
        <v>0</v>
      </c>
      <c r="E224" s="21">
        <f>SUMIFS(Einzelbeträge!$D:$D,Einzelbeträge!$C:$C,'Ausgaben 2024'!$C224,Einzelbeträge!$E:$E,'Ausgaben 2024'!E$6)</f>
        <v>0</v>
      </c>
      <c r="F224" s="21">
        <f>SUMIFS(Einzelbeträge!$D:$D,Einzelbeträge!$C:$C,'Ausgaben 2024'!$C224,Einzelbeträge!$E:$E,'Ausgaben 2024'!F$6)</f>
        <v>0</v>
      </c>
      <c r="G224" s="21">
        <f>SUMIFS(Einzelbeträge!$D:$D,Einzelbeträge!$C:$C,'Ausgaben 2024'!$C224,Einzelbeträge!$E:$E,'Ausgaben 2024'!G$6)</f>
        <v>0</v>
      </c>
      <c r="H224" s="21">
        <f>SUMIFS(Einzelbeträge!$D:$D,Einzelbeträge!$C:$C,'Ausgaben 2024'!$C224,Einzelbeträge!$E:$E,'Ausgaben 2024'!H$6)</f>
        <v>0</v>
      </c>
      <c r="I224" s="21">
        <f>SUMIFS(Einzelbeträge!$D:$D,Einzelbeträge!$C:$C,'Ausgaben 2024'!$C224,Einzelbeträge!$E:$E,'Ausgaben 2024'!I$6)</f>
        <v>0</v>
      </c>
      <c r="J224" s="21">
        <f>SUMIFS(Einzelbeträge!$D:$D,Einzelbeträge!$C:$C,'Ausgaben 2024'!$C224,Einzelbeträge!$E:$E,'Ausgaben 2024'!J$6)</f>
        <v>0</v>
      </c>
      <c r="K224" s="21">
        <f>SUMIFS(Einzelbeträge!$D:$D,Einzelbeträge!$C:$C,'Ausgaben 2024'!$C224,Einzelbeträge!$E:$E,'Ausgaben 2024'!K$6)</f>
        <v>0</v>
      </c>
      <c r="L224" s="21">
        <f>SUMIFS(Einzelbeträge!$D:$D,Einzelbeträge!$C:$C,'Ausgaben 2024'!$C224,Einzelbeträge!$E:$E,'Ausgaben 2024'!L$6)</f>
        <v>0</v>
      </c>
      <c r="M224" s="21">
        <f>SUMIFS(Einzelbeträge!$D:$D,Einzelbeträge!$C:$C,'Ausgaben 2024'!$C224,Einzelbeträge!$E:$E,'Ausgaben 2024'!M$6)</f>
        <v>0</v>
      </c>
      <c r="N224" s="35">
        <f>SUMIFS(Einzelbeträge!$D:$D,Einzelbeträge!$C:$C,'Ausgaben 2024'!$C224,Einzelbeträge!$E:$E,'Ausgaben 2024'!N$6)</f>
        <v>0</v>
      </c>
      <c r="O224" s="6"/>
    </row>
    <row r="225" spans="2:15" x14ac:dyDescent="0.35">
      <c r="B225" s="5"/>
      <c r="C225" s="40">
        <f t="shared" si="30"/>
        <v>45492</v>
      </c>
      <c r="D225" s="46">
        <f>SUMIFS(Einzelbeträge!$D:$D,Einzelbeträge!$C:$C,'Ausgaben 2024'!$C225)</f>
        <v>0</v>
      </c>
      <c r="E225" s="21">
        <f>SUMIFS(Einzelbeträge!$D:$D,Einzelbeträge!$C:$C,'Ausgaben 2024'!$C225,Einzelbeträge!$E:$E,'Ausgaben 2024'!E$6)</f>
        <v>0</v>
      </c>
      <c r="F225" s="21">
        <f>SUMIFS(Einzelbeträge!$D:$D,Einzelbeträge!$C:$C,'Ausgaben 2024'!$C225,Einzelbeträge!$E:$E,'Ausgaben 2024'!F$6)</f>
        <v>0</v>
      </c>
      <c r="G225" s="21">
        <f>SUMIFS(Einzelbeträge!$D:$D,Einzelbeträge!$C:$C,'Ausgaben 2024'!$C225,Einzelbeträge!$E:$E,'Ausgaben 2024'!G$6)</f>
        <v>0</v>
      </c>
      <c r="H225" s="21">
        <f>SUMIFS(Einzelbeträge!$D:$D,Einzelbeträge!$C:$C,'Ausgaben 2024'!$C225,Einzelbeträge!$E:$E,'Ausgaben 2024'!H$6)</f>
        <v>0</v>
      </c>
      <c r="I225" s="21">
        <f>SUMIFS(Einzelbeträge!$D:$D,Einzelbeträge!$C:$C,'Ausgaben 2024'!$C225,Einzelbeträge!$E:$E,'Ausgaben 2024'!I$6)</f>
        <v>0</v>
      </c>
      <c r="J225" s="21">
        <f>SUMIFS(Einzelbeträge!$D:$D,Einzelbeträge!$C:$C,'Ausgaben 2024'!$C225,Einzelbeträge!$E:$E,'Ausgaben 2024'!J$6)</f>
        <v>0</v>
      </c>
      <c r="K225" s="21">
        <f>SUMIFS(Einzelbeträge!$D:$D,Einzelbeträge!$C:$C,'Ausgaben 2024'!$C225,Einzelbeträge!$E:$E,'Ausgaben 2024'!K$6)</f>
        <v>0</v>
      </c>
      <c r="L225" s="21">
        <f>SUMIFS(Einzelbeträge!$D:$D,Einzelbeträge!$C:$C,'Ausgaben 2024'!$C225,Einzelbeträge!$E:$E,'Ausgaben 2024'!L$6)</f>
        <v>0</v>
      </c>
      <c r="M225" s="21">
        <f>SUMIFS(Einzelbeträge!$D:$D,Einzelbeträge!$C:$C,'Ausgaben 2024'!$C225,Einzelbeträge!$E:$E,'Ausgaben 2024'!M$6)</f>
        <v>0</v>
      </c>
      <c r="N225" s="35">
        <f>SUMIFS(Einzelbeträge!$D:$D,Einzelbeträge!$C:$C,'Ausgaben 2024'!$C225,Einzelbeträge!$E:$E,'Ausgaben 2024'!N$6)</f>
        <v>0</v>
      </c>
      <c r="O225" s="6"/>
    </row>
    <row r="226" spans="2:15" x14ac:dyDescent="0.35">
      <c r="B226" s="5"/>
      <c r="C226" s="40">
        <f t="shared" si="30"/>
        <v>45493</v>
      </c>
      <c r="D226" s="46">
        <f>SUMIFS(Einzelbeträge!$D:$D,Einzelbeträge!$C:$C,'Ausgaben 2024'!$C226)</f>
        <v>0</v>
      </c>
      <c r="E226" s="21">
        <f>SUMIFS(Einzelbeträge!$D:$D,Einzelbeträge!$C:$C,'Ausgaben 2024'!$C226,Einzelbeträge!$E:$E,'Ausgaben 2024'!E$6)</f>
        <v>0</v>
      </c>
      <c r="F226" s="21">
        <f>SUMIFS(Einzelbeträge!$D:$D,Einzelbeträge!$C:$C,'Ausgaben 2024'!$C226,Einzelbeträge!$E:$E,'Ausgaben 2024'!F$6)</f>
        <v>0</v>
      </c>
      <c r="G226" s="21">
        <f>SUMIFS(Einzelbeträge!$D:$D,Einzelbeträge!$C:$C,'Ausgaben 2024'!$C226,Einzelbeträge!$E:$E,'Ausgaben 2024'!G$6)</f>
        <v>0</v>
      </c>
      <c r="H226" s="21">
        <f>SUMIFS(Einzelbeträge!$D:$D,Einzelbeträge!$C:$C,'Ausgaben 2024'!$C226,Einzelbeträge!$E:$E,'Ausgaben 2024'!H$6)</f>
        <v>0</v>
      </c>
      <c r="I226" s="21">
        <f>SUMIFS(Einzelbeträge!$D:$D,Einzelbeträge!$C:$C,'Ausgaben 2024'!$C226,Einzelbeträge!$E:$E,'Ausgaben 2024'!I$6)</f>
        <v>0</v>
      </c>
      <c r="J226" s="21">
        <f>SUMIFS(Einzelbeträge!$D:$D,Einzelbeträge!$C:$C,'Ausgaben 2024'!$C226,Einzelbeträge!$E:$E,'Ausgaben 2024'!J$6)</f>
        <v>0</v>
      </c>
      <c r="K226" s="21">
        <f>SUMIFS(Einzelbeträge!$D:$D,Einzelbeträge!$C:$C,'Ausgaben 2024'!$C226,Einzelbeträge!$E:$E,'Ausgaben 2024'!K$6)</f>
        <v>0</v>
      </c>
      <c r="L226" s="21">
        <f>SUMIFS(Einzelbeträge!$D:$D,Einzelbeträge!$C:$C,'Ausgaben 2024'!$C226,Einzelbeträge!$E:$E,'Ausgaben 2024'!L$6)</f>
        <v>0</v>
      </c>
      <c r="M226" s="21">
        <f>SUMIFS(Einzelbeträge!$D:$D,Einzelbeträge!$C:$C,'Ausgaben 2024'!$C226,Einzelbeträge!$E:$E,'Ausgaben 2024'!M$6)</f>
        <v>0</v>
      </c>
      <c r="N226" s="35">
        <f>SUMIFS(Einzelbeträge!$D:$D,Einzelbeträge!$C:$C,'Ausgaben 2024'!$C226,Einzelbeträge!$E:$E,'Ausgaben 2024'!N$6)</f>
        <v>0</v>
      </c>
      <c r="O226" s="6"/>
    </row>
    <row r="227" spans="2:15" x14ac:dyDescent="0.35">
      <c r="B227" s="5"/>
      <c r="C227" s="40">
        <f t="shared" si="30"/>
        <v>45494</v>
      </c>
      <c r="D227" s="46">
        <f>SUMIFS(Einzelbeträge!$D:$D,Einzelbeträge!$C:$C,'Ausgaben 2024'!$C227)</f>
        <v>0</v>
      </c>
      <c r="E227" s="21">
        <f>SUMIFS(Einzelbeträge!$D:$D,Einzelbeträge!$C:$C,'Ausgaben 2024'!$C227,Einzelbeträge!$E:$E,'Ausgaben 2024'!E$6)</f>
        <v>0</v>
      </c>
      <c r="F227" s="21">
        <f>SUMIFS(Einzelbeträge!$D:$D,Einzelbeträge!$C:$C,'Ausgaben 2024'!$C227,Einzelbeträge!$E:$E,'Ausgaben 2024'!F$6)</f>
        <v>0</v>
      </c>
      <c r="G227" s="21">
        <f>SUMIFS(Einzelbeträge!$D:$D,Einzelbeträge!$C:$C,'Ausgaben 2024'!$C227,Einzelbeträge!$E:$E,'Ausgaben 2024'!G$6)</f>
        <v>0</v>
      </c>
      <c r="H227" s="21">
        <f>SUMIFS(Einzelbeträge!$D:$D,Einzelbeträge!$C:$C,'Ausgaben 2024'!$C227,Einzelbeträge!$E:$E,'Ausgaben 2024'!H$6)</f>
        <v>0</v>
      </c>
      <c r="I227" s="21">
        <f>SUMIFS(Einzelbeträge!$D:$D,Einzelbeträge!$C:$C,'Ausgaben 2024'!$C227,Einzelbeträge!$E:$E,'Ausgaben 2024'!I$6)</f>
        <v>0</v>
      </c>
      <c r="J227" s="21">
        <f>SUMIFS(Einzelbeträge!$D:$D,Einzelbeträge!$C:$C,'Ausgaben 2024'!$C227,Einzelbeträge!$E:$E,'Ausgaben 2024'!J$6)</f>
        <v>0</v>
      </c>
      <c r="K227" s="21">
        <f>SUMIFS(Einzelbeträge!$D:$D,Einzelbeträge!$C:$C,'Ausgaben 2024'!$C227,Einzelbeträge!$E:$E,'Ausgaben 2024'!K$6)</f>
        <v>0</v>
      </c>
      <c r="L227" s="21">
        <f>SUMIFS(Einzelbeträge!$D:$D,Einzelbeträge!$C:$C,'Ausgaben 2024'!$C227,Einzelbeträge!$E:$E,'Ausgaben 2024'!L$6)</f>
        <v>0</v>
      </c>
      <c r="M227" s="21">
        <f>SUMIFS(Einzelbeträge!$D:$D,Einzelbeträge!$C:$C,'Ausgaben 2024'!$C227,Einzelbeträge!$E:$E,'Ausgaben 2024'!M$6)</f>
        <v>0</v>
      </c>
      <c r="N227" s="35">
        <f>SUMIFS(Einzelbeträge!$D:$D,Einzelbeträge!$C:$C,'Ausgaben 2024'!$C227,Einzelbeträge!$E:$E,'Ausgaben 2024'!N$6)</f>
        <v>0</v>
      </c>
      <c r="O227" s="6"/>
    </row>
    <row r="228" spans="2:15" x14ac:dyDescent="0.35">
      <c r="B228" s="5"/>
      <c r="C228" s="40">
        <f t="shared" si="30"/>
        <v>45495</v>
      </c>
      <c r="D228" s="46">
        <f>SUMIFS(Einzelbeträge!$D:$D,Einzelbeträge!$C:$C,'Ausgaben 2024'!$C228)</f>
        <v>0</v>
      </c>
      <c r="E228" s="21">
        <f>SUMIFS(Einzelbeträge!$D:$D,Einzelbeträge!$C:$C,'Ausgaben 2024'!$C228,Einzelbeträge!$E:$E,'Ausgaben 2024'!E$6)</f>
        <v>0</v>
      </c>
      <c r="F228" s="21">
        <f>SUMIFS(Einzelbeträge!$D:$D,Einzelbeträge!$C:$C,'Ausgaben 2024'!$C228,Einzelbeträge!$E:$E,'Ausgaben 2024'!F$6)</f>
        <v>0</v>
      </c>
      <c r="G228" s="21">
        <f>SUMIFS(Einzelbeträge!$D:$D,Einzelbeträge!$C:$C,'Ausgaben 2024'!$C228,Einzelbeträge!$E:$E,'Ausgaben 2024'!G$6)</f>
        <v>0</v>
      </c>
      <c r="H228" s="21">
        <f>SUMIFS(Einzelbeträge!$D:$D,Einzelbeträge!$C:$C,'Ausgaben 2024'!$C228,Einzelbeträge!$E:$E,'Ausgaben 2024'!H$6)</f>
        <v>0</v>
      </c>
      <c r="I228" s="21">
        <f>SUMIFS(Einzelbeträge!$D:$D,Einzelbeträge!$C:$C,'Ausgaben 2024'!$C228,Einzelbeträge!$E:$E,'Ausgaben 2024'!I$6)</f>
        <v>0</v>
      </c>
      <c r="J228" s="21">
        <f>SUMIFS(Einzelbeträge!$D:$D,Einzelbeträge!$C:$C,'Ausgaben 2024'!$C228,Einzelbeträge!$E:$E,'Ausgaben 2024'!J$6)</f>
        <v>0</v>
      </c>
      <c r="K228" s="21">
        <f>SUMIFS(Einzelbeträge!$D:$D,Einzelbeträge!$C:$C,'Ausgaben 2024'!$C228,Einzelbeträge!$E:$E,'Ausgaben 2024'!K$6)</f>
        <v>0</v>
      </c>
      <c r="L228" s="21">
        <f>SUMIFS(Einzelbeträge!$D:$D,Einzelbeträge!$C:$C,'Ausgaben 2024'!$C228,Einzelbeträge!$E:$E,'Ausgaben 2024'!L$6)</f>
        <v>0</v>
      </c>
      <c r="M228" s="21">
        <f>SUMIFS(Einzelbeträge!$D:$D,Einzelbeträge!$C:$C,'Ausgaben 2024'!$C228,Einzelbeträge!$E:$E,'Ausgaben 2024'!M$6)</f>
        <v>0</v>
      </c>
      <c r="N228" s="35">
        <f>SUMIFS(Einzelbeträge!$D:$D,Einzelbeträge!$C:$C,'Ausgaben 2024'!$C228,Einzelbeträge!$E:$E,'Ausgaben 2024'!N$6)</f>
        <v>0</v>
      </c>
      <c r="O228" s="6"/>
    </row>
    <row r="229" spans="2:15" x14ac:dyDescent="0.35">
      <c r="B229" s="5"/>
      <c r="C229" s="40">
        <f t="shared" si="30"/>
        <v>45496</v>
      </c>
      <c r="D229" s="46">
        <f>SUMIFS(Einzelbeträge!$D:$D,Einzelbeträge!$C:$C,'Ausgaben 2024'!$C229)</f>
        <v>0</v>
      </c>
      <c r="E229" s="21">
        <f>SUMIFS(Einzelbeträge!$D:$D,Einzelbeträge!$C:$C,'Ausgaben 2024'!$C229,Einzelbeträge!$E:$E,'Ausgaben 2024'!E$6)</f>
        <v>0</v>
      </c>
      <c r="F229" s="21">
        <f>SUMIFS(Einzelbeträge!$D:$D,Einzelbeträge!$C:$C,'Ausgaben 2024'!$C229,Einzelbeträge!$E:$E,'Ausgaben 2024'!F$6)</f>
        <v>0</v>
      </c>
      <c r="G229" s="21">
        <f>SUMIFS(Einzelbeträge!$D:$D,Einzelbeträge!$C:$C,'Ausgaben 2024'!$C229,Einzelbeträge!$E:$E,'Ausgaben 2024'!G$6)</f>
        <v>0</v>
      </c>
      <c r="H229" s="21">
        <f>SUMIFS(Einzelbeträge!$D:$D,Einzelbeträge!$C:$C,'Ausgaben 2024'!$C229,Einzelbeträge!$E:$E,'Ausgaben 2024'!H$6)</f>
        <v>0</v>
      </c>
      <c r="I229" s="21">
        <f>SUMIFS(Einzelbeträge!$D:$D,Einzelbeträge!$C:$C,'Ausgaben 2024'!$C229,Einzelbeträge!$E:$E,'Ausgaben 2024'!I$6)</f>
        <v>0</v>
      </c>
      <c r="J229" s="21">
        <f>SUMIFS(Einzelbeträge!$D:$D,Einzelbeträge!$C:$C,'Ausgaben 2024'!$C229,Einzelbeträge!$E:$E,'Ausgaben 2024'!J$6)</f>
        <v>0</v>
      </c>
      <c r="K229" s="21">
        <f>SUMIFS(Einzelbeträge!$D:$D,Einzelbeträge!$C:$C,'Ausgaben 2024'!$C229,Einzelbeträge!$E:$E,'Ausgaben 2024'!K$6)</f>
        <v>0</v>
      </c>
      <c r="L229" s="21">
        <f>SUMIFS(Einzelbeträge!$D:$D,Einzelbeträge!$C:$C,'Ausgaben 2024'!$C229,Einzelbeträge!$E:$E,'Ausgaben 2024'!L$6)</f>
        <v>0</v>
      </c>
      <c r="M229" s="21">
        <f>SUMIFS(Einzelbeträge!$D:$D,Einzelbeträge!$C:$C,'Ausgaben 2024'!$C229,Einzelbeträge!$E:$E,'Ausgaben 2024'!M$6)</f>
        <v>0</v>
      </c>
      <c r="N229" s="35">
        <f>SUMIFS(Einzelbeträge!$D:$D,Einzelbeträge!$C:$C,'Ausgaben 2024'!$C229,Einzelbeträge!$E:$E,'Ausgaben 2024'!N$6)</f>
        <v>0</v>
      </c>
      <c r="O229" s="6"/>
    </row>
    <row r="230" spans="2:15" x14ac:dyDescent="0.35">
      <c r="B230" s="5"/>
      <c r="C230" s="40">
        <f t="shared" si="30"/>
        <v>45497</v>
      </c>
      <c r="D230" s="46">
        <f>SUMIFS(Einzelbeträge!$D:$D,Einzelbeträge!$C:$C,'Ausgaben 2024'!$C230)</f>
        <v>0</v>
      </c>
      <c r="E230" s="21">
        <f>SUMIFS(Einzelbeträge!$D:$D,Einzelbeträge!$C:$C,'Ausgaben 2024'!$C230,Einzelbeträge!$E:$E,'Ausgaben 2024'!E$6)</f>
        <v>0</v>
      </c>
      <c r="F230" s="21">
        <f>SUMIFS(Einzelbeträge!$D:$D,Einzelbeträge!$C:$C,'Ausgaben 2024'!$C230,Einzelbeträge!$E:$E,'Ausgaben 2024'!F$6)</f>
        <v>0</v>
      </c>
      <c r="G230" s="21">
        <f>SUMIFS(Einzelbeträge!$D:$D,Einzelbeträge!$C:$C,'Ausgaben 2024'!$C230,Einzelbeträge!$E:$E,'Ausgaben 2024'!G$6)</f>
        <v>0</v>
      </c>
      <c r="H230" s="21">
        <f>SUMIFS(Einzelbeträge!$D:$D,Einzelbeträge!$C:$C,'Ausgaben 2024'!$C230,Einzelbeträge!$E:$E,'Ausgaben 2024'!H$6)</f>
        <v>0</v>
      </c>
      <c r="I230" s="21">
        <f>SUMIFS(Einzelbeträge!$D:$D,Einzelbeträge!$C:$C,'Ausgaben 2024'!$C230,Einzelbeträge!$E:$E,'Ausgaben 2024'!I$6)</f>
        <v>0</v>
      </c>
      <c r="J230" s="21">
        <f>SUMIFS(Einzelbeträge!$D:$D,Einzelbeträge!$C:$C,'Ausgaben 2024'!$C230,Einzelbeträge!$E:$E,'Ausgaben 2024'!J$6)</f>
        <v>0</v>
      </c>
      <c r="K230" s="21">
        <f>SUMIFS(Einzelbeträge!$D:$D,Einzelbeträge!$C:$C,'Ausgaben 2024'!$C230,Einzelbeträge!$E:$E,'Ausgaben 2024'!K$6)</f>
        <v>0</v>
      </c>
      <c r="L230" s="21">
        <f>SUMIFS(Einzelbeträge!$D:$D,Einzelbeträge!$C:$C,'Ausgaben 2024'!$C230,Einzelbeträge!$E:$E,'Ausgaben 2024'!L$6)</f>
        <v>0</v>
      </c>
      <c r="M230" s="21">
        <f>SUMIFS(Einzelbeträge!$D:$D,Einzelbeträge!$C:$C,'Ausgaben 2024'!$C230,Einzelbeträge!$E:$E,'Ausgaben 2024'!M$6)</f>
        <v>0</v>
      </c>
      <c r="N230" s="35">
        <f>SUMIFS(Einzelbeträge!$D:$D,Einzelbeträge!$C:$C,'Ausgaben 2024'!$C230,Einzelbeträge!$E:$E,'Ausgaben 2024'!N$6)</f>
        <v>0</v>
      </c>
      <c r="O230" s="6"/>
    </row>
    <row r="231" spans="2:15" x14ac:dyDescent="0.35">
      <c r="B231" s="5"/>
      <c r="C231" s="40">
        <f t="shared" si="30"/>
        <v>45498</v>
      </c>
      <c r="D231" s="46">
        <f>SUMIFS(Einzelbeträge!$D:$D,Einzelbeträge!$C:$C,'Ausgaben 2024'!$C231)</f>
        <v>0</v>
      </c>
      <c r="E231" s="21">
        <f>SUMIFS(Einzelbeträge!$D:$D,Einzelbeträge!$C:$C,'Ausgaben 2024'!$C231,Einzelbeträge!$E:$E,'Ausgaben 2024'!E$6)</f>
        <v>0</v>
      </c>
      <c r="F231" s="21">
        <f>SUMIFS(Einzelbeträge!$D:$D,Einzelbeträge!$C:$C,'Ausgaben 2024'!$C231,Einzelbeträge!$E:$E,'Ausgaben 2024'!F$6)</f>
        <v>0</v>
      </c>
      <c r="G231" s="21">
        <f>SUMIFS(Einzelbeträge!$D:$D,Einzelbeträge!$C:$C,'Ausgaben 2024'!$C231,Einzelbeträge!$E:$E,'Ausgaben 2024'!G$6)</f>
        <v>0</v>
      </c>
      <c r="H231" s="21">
        <f>SUMIFS(Einzelbeträge!$D:$D,Einzelbeträge!$C:$C,'Ausgaben 2024'!$C231,Einzelbeträge!$E:$E,'Ausgaben 2024'!H$6)</f>
        <v>0</v>
      </c>
      <c r="I231" s="21">
        <f>SUMIFS(Einzelbeträge!$D:$D,Einzelbeträge!$C:$C,'Ausgaben 2024'!$C231,Einzelbeträge!$E:$E,'Ausgaben 2024'!I$6)</f>
        <v>0</v>
      </c>
      <c r="J231" s="21">
        <f>SUMIFS(Einzelbeträge!$D:$D,Einzelbeträge!$C:$C,'Ausgaben 2024'!$C231,Einzelbeträge!$E:$E,'Ausgaben 2024'!J$6)</f>
        <v>0</v>
      </c>
      <c r="K231" s="21">
        <f>SUMIFS(Einzelbeträge!$D:$D,Einzelbeträge!$C:$C,'Ausgaben 2024'!$C231,Einzelbeträge!$E:$E,'Ausgaben 2024'!K$6)</f>
        <v>0</v>
      </c>
      <c r="L231" s="21">
        <f>SUMIFS(Einzelbeträge!$D:$D,Einzelbeträge!$C:$C,'Ausgaben 2024'!$C231,Einzelbeträge!$E:$E,'Ausgaben 2024'!L$6)</f>
        <v>0</v>
      </c>
      <c r="M231" s="21">
        <f>SUMIFS(Einzelbeträge!$D:$D,Einzelbeträge!$C:$C,'Ausgaben 2024'!$C231,Einzelbeträge!$E:$E,'Ausgaben 2024'!M$6)</f>
        <v>0</v>
      </c>
      <c r="N231" s="35">
        <f>SUMIFS(Einzelbeträge!$D:$D,Einzelbeträge!$C:$C,'Ausgaben 2024'!$C231,Einzelbeträge!$E:$E,'Ausgaben 2024'!N$6)</f>
        <v>0</v>
      </c>
      <c r="O231" s="6"/>
    </row>
    <row r="232" spans="2:15" x14ac:dyDescent="0.35">
      <c r="B232" s="5"/>
      <c r="C232" s="40">
        <f t="shared" si="30"/>
        <v>45499</v>
      </c>
      <c r="D232" s="46">
        <f>SUMIFS(Einzelbeträge!$D:$D,Einzelbeträge!$C:$C,'Ausgaben 2024'!$C232)</f>
        <v>0</v>
      </c>
      <c r="E232" s="21">
        <f>SUMIFS(Einzelbeträge!$D:$D,Einzelbeträge!$C:$C,'Ausgaben 2024'!$C232,Einzelbeträge!$E:$E,'Ausgaben 2024'!E$6)</f>
        <v>0</v>
      </c>
      <c r="F232" s="21">
        <f>SUMIFS(Einzelbeträge!$D:$D,Einzelbeträge!$C:$C,'Ausgaben 2024'!$C232,Einzelbeträge!$E:$E,'Ausgaben 2024'!F$6)</f>
        <v>0</v>
      </c>
      <c r="G232" s="21">
        <f>SUMIFS(Einzelbeträge!$D:$D,Einzelbeträge!$C:$C,'Ausgaben 2024'!$C232,Einzelbeträge!$E:$E,'Ausgaben 2024'!G$6)</f>
        <v>0</v>
      </c>
      <c r="H232" s="21">
        <f>SUMIFS(Einzelbeträge!$D:$D,Einzelbeträge!$C:$C,'Ausgaben 2024'!$C232,Einzelbeträge!$E:$E,'Ausgaben 2024'!H$6)</f>
        <v>0</v>
      </c>
      <c r="I232" s="21">
        <f>SUMIFS(Einzelbeträge!$D:$D,Einzelbeträge!$C:$C,'Ausgaben 2024'!$C232,Einzelbeträge!$E:$E,'Ausgaben 2024'!I$6)</f>
        <v>0</v>
      </c>
      <c r="J232" s="21">
        <f>SUMIFS(Einzelbeträge!$D:$D,Einzelbeträge!$C:$C,'Ausgaben 2024'!$C232,Einzelbeträge!$E:$E,'Ausgaben 2024'!J$6)</f>
        <v>0</v>
      </c>
      <c r="K232" s="21">
        <f>SUMIFS(Einzelbeträge!$D:$D,Einzelbeträge!$C:$C,'Ausgaben 2024'!$C232,Einzelbeträge!$E:$E,'Ausgaben 2024'!K$6)</f>
        <v>0</v>
      </c>
      <c r="L232" s="21">
        <f>SUMIFS(Einzelbeträge!$D:$D,Einzelbeträge!$C:$C,'Ausgaben 2024'!$C232,Einzelbeträge!$E:$E,'Ausgaben 2024'!L$6)</f>
        <v>0</v>
      </c>
      <c r="M232" s="21">
        <f>SUMIFS(Einzelbeträge!$D:$D,Einzelbeträge!$C:$C,'Ausgaben 2024'!$C232,Einzelbeträge!$E:$E,'Ausgaben 2024'!M$6)</f>
        <v>0</v>
      </c>
      <c r="N232" s="35">
        <f>SUMIFS(Einzelbeträge!$D:$D,Einzelbeträge!$C:$C,'Ausgaben 2024'!$C232,Einzelbeträge!$E:$E,'Ausgaben 2024'!N$6)</f>
        <v>0</v>
      </c>
      <c r="O232" s="6"/>
    </row>
    <row r="233" spans="2:15" x14ac:dyDescent="0.35">
      <c r="B233" s="5"/>
      <c r="C233" s="40">
        <f t="shared" si="30"/>
        <v>45500</v>
      </c>
      <c r="D233" s="46">
        <f>SUMIFS(Einzelbeträge!$D:$D,Einzelbeträge!$C:$C,'Ausgaben 2024'!$C233)</f>
        <v>0</v>
      </c>
      <c r="E233" s="21">
        <f>SUMIFS(Einzelbeträge!$D:$D,Einzelbeträge!$C:$C,'Ausgaben 2024'!$C233,Einzelbeträge!$E:$E,'Ausgaben 2024'!E$6)</f>
        <v>0</v>
      </c>
      <c r="F233" s="21">
        <f>SUMIFS(Einzelbeträge!$D:$D,Einzelbeträge!$C:$C,'Ausgaben 2024'!$C233,Einzelbeträge!$E:$E,'Ausgaben 2024'!F$6)</f>
        <v>0</v>
      </c>
      <c r="G233" s="21">
        <f>SUMIFS(Einzelbeträge!$D:$D,Einzelbeträge!$C:$C,'Ausgaben 2024'!$C233,Einzelbeträge!$E:$E,'Ausgaben 2024'!G$6)</f>
        <v>0</v>
      </c>
      <c r="H233" s="21">
        <f>SUMIFS(Einzelbeträge!$D:$D,Einzelbeträge!$C:$C,'Ausgaben 2024'!$C233,Einzelbeträge!$E:$E,'Ausgaben 2024'!H$6)</f>
        <v>0</v>
      </c>
      <c r="I233" s="21">
        <f>SUMIFS(Einzelbeträge!$D:$D,Einzelbeträge!$C:$C,'Ausgaben 2024'!$C233,Einzelbeträge!$E:$E,'Ausgaben 2024'!I$6)</f>
        <v>0</v>
      </c>
      <c r="J233" s="21">
        <f>SUMIFS(Einzelbeträge!$D:$D,Einzelbeträge!$C:$C,'Ausgaben 2024'!$C233,Einzelbeträge!$E:$E,'Ausgaben 2024'!J$6)</f>
        <v>0</v>
      </c>
      <c r="K233" s="21">
        <f>SUMIFS(Einzelbeträge!$D:$D,Einzelbeträge!$C:$C,'Ausgaben 2024'!$C233,Einzelbeträge!$E:$E,'Ausgaben 2024'!K$6)</f>
        <v>0</v>
      </c>
      <c r="L233" s="21">
        <f>SUMIFS(Einzelbeträge!$D:$D,Einzelbeträge!$C:$C,'Ausgaben 2024'!$C233,Einzelbeträge!$E:$E,'Ausgaben 2024'!L$6)</f>
        <v>0</v>
      </c>
      <c r="M233" s="21">
        <f>SUMIFS(Einzelbeträge!$D:$D,Einzelbeträge!$C:$C,'Ausgaben 2024'!$C233,Einzelbeträge!$E:$E,'Ausgaben 2024'!M$6)</f>
        <v>0</v>
      </c>
      <c r="N233" s="35">
        <f>SUMIFS(Einzelbeträge!$D:$D,Einzelbeträge!$C:$C,'Ausgaben 2024'!$C233,Einzelbeträge!$E:$E,'Ausgaben 2024'!N$6)</f>
        <v>0</v>
      </c>
      <c r="O233" s="6"/>
    </row>
    <row r="234" spans="2:15" x14ac:dyDescent="0.35">
      <c r="B234" s="5"/>
      <c r="C234" s="40">
        <f t="shared" si="30"/>
        <v>45501</v>
      </c>
      <c r="D234" s="46">
        <f>SUMIFS(Einzelbeträge!$D:$D,Einzelbeträge!$C:$C,'Ausgaben 2024'!$C234)</f>
        <v>0</v>
      </c>
      <c r="E234" s="21">
        <f>SUMIFS(Einzelbeträge!$D:$D,Einzelbeträge!$C:$C,'Ausgaben 2024'!$C234,Einzelbeträge!$E:$E,'Ausgaben 2024'!E$6)</f>
        <v>0</v>
      </c>
      <c r="F234" s="21">
        <f>SUMIFS(Einzelbeträge!$D:$D,Einzelbeträge!$C:$C,'Ausgaben 2024'!$C234,Einzelbeträge!$E:$E,'Ausgaben 2024'!F$6)</f>
        <v>0</v>
      </c>
      <c r="G234" s="21">
        <f>SUMIFS(Einzelbeträge!$D:$D,Einzelbeträge!$C:$C,'Ausgaben 2024'!$C234,Einzelbeträge!$E:$E,'Ausgaben 2024'!G$6)</f>
        <v>0</v>
      </c>
      <c r="H234" s="21">
        <f>SUMIFS(Einzelbeträge!$D:$D,Einzelbeträge!$C:$C,'Ausgaben 2024'!$C234,Einzelbeträge!$E:$E,'Ausgaben 2024'!H$6)</f>
        <v>0</v>
      </c>
      <c r="I234" s="21">
        <f>SUMIFS(Einzelbeträge!$D:$D,Einzelbeträge!$C:$C,'Ausgaben 2024'!$C234,Einzelbeträge!$E:$E,'Ausgaben 2024'!I$6)</f>
        <v>0</v>
      </c>
      <c r="J234" s="21">
        <f>SUMIFS(Einzelbeträge!$D:$D,Einzelbeträge!$C:$C,'Ausgaben 2024'!$C234,Einzelbeträge!$E:$E,'Ausgaben 2024'!J$6)</f>
        <v>0</v>
      </c>
      <c r="K234" s="21">
        <f>SUMIFS(Einzelbeträge!$D:$D,Einzelbeträge!$C:$C,'Ausgaben 2024'!$C234,Einzelbeträge!$E:$E,'Ausgaben 2024'!K$6)</f>
        <v>0</v>
      </c>
      <c r="L234" s="21">
        <f>SUMIFS(Einzelbeträge!$D:$D,Einzelbeträge!$C:$C,'Ausgaben 2024'!$C234,Einzelbeträge!$E:$E,'Ausgaben 2024'!L$6)</f>
        <v>0</v>
      </c>
      <c r="M234" s="21">
        <f>SUMIFS(Einzelbeträge!$D:$D,Einzelbeträge!$C:$C,'Ausgaben 2024'!$C234,Einzelbeträge!$E:$E,'Ausgaben 2024'!M$6)</f>
        <v>0</v>
      </c>
      <c r="N234" s="35">
        <f>SUMIFS(Einzelbeträge!$D:$D,Einzelbeträge!$C:$C,'Ausgaben 2024'!$C234,Einzelbeträge!$E:$E,'Ausgaben 2024'!N$6)</f>
        <v>0</v>
      </c>
      <c r="O234" s="6"/>
    </row>
    <row r="235" spans="2:15" x14ac:dyDescent="0.35">
      <c r="B235" s="5"/>
      <c r="C235" s="40">
        <f t="shared" si="30"/>
        <v>45502</v>
      </c>
      <c r="D235" s="46">
        <f>SUMIFS(Einzelbeträge!$D:$D,Einzelbeträge!$C:$C,'Ausgaben 2024'!$C235)</f>
        <v>0</v>
      </c>
      <c r="E235" s="21">
        <f>SUMIFS(Einzelbeträge!$D:$D,Einzelbeträge!$C:$C,'Ausgaben 2024'!$C235,Einzelbeträge!$E:$E,'Ausgaben 2024'!E$6)</f>
        <v>0</v>
      </c>
      <c r="F235" s="21">
        <f>SUMIFS(Einzelbeträge!$D:$D,Einzelbeträge!$C:$C,'Ausgaben 2024'!$C235,Einzelbeträge!$E:$E,'Ausgaben 2024'!F$6)</f>
        <v>0</v>
      </c>
      <c r="G235" s="21">
        <f>SUMIFS(Einzelbeträge!$D:$D,Einzelbeträge!$C:$C,'Ausgaben 2024'!$C235,Einzelbeträge!$E:$E,'Ausgaben 2024'!G$6)</f>
        <v>0</v>
      </c>
      <c r="H235" s="21">
        <f>SUMIFS(Einzelbeträge!$D:$D,Einzelbeträge!$C:$C,'Ausgaben 2024'!$C235,Einzelbeträge!$E:$E,'Ausgaben 2024'!H$6)</f>
        <v>0</v>
      </c>
      <c r="I235" s="21">
        <f>SUMIFS(Einzelbeträge!$D:$D,Einzelbeträge!$C:$C,'Ausgaben 2024'!$C235,Einzelbeträge!$E:$E,'Ausgaben 2024'!I$6)</f>
        <v>0</v>
      </c>
      <c r="J235" s="21">
        <f>SUMIFS(Einzelbeträge!$D:$D,Einzelbeträge!$C:$C,'Ausgaben 2024'!$C235,Einzelbeträge!$E:$E,'Ausgaben 2024'!J$6)</f>
        <v>0</v>
      </c>
      <c r="K235" s="21">
        <f>SUMIFS(Einzelbeträge!$D:$D,Einzelbeträge!$C:$C,'Ausgaben 2024'!$C235,Einzelbeträge!$E:$E,'Ausgaben 2024'!K$6)</f>
        <v>0</v>
      </c>
      <c r="L235" s="21">
        <f>SUMIFS(Einzelbeträge!$D:$D,Einzelbeträge!$C:$C,'Ausgaben 2024'!$C235,Einzelbeträge!$E:$E,'Ausgaben 2024'!L$6)</f>
        <v>0</v>
      </c>
      <c r="M235" s="21">
        <f>SUMIFS(Einzelbeträge!$D:$D,Einzelbeträge!$C:$C,'Ausgaben 2024'!$C235,Einzelbeträge!$E:$E,'Ausgaben 2024'!M$6)</f>
        <v>0</v>
      </c>
      <c r="N235" s="35">
        <f>SUMIFS(Einzelbeträge!$D:$D,Einzelbeträge!$C:$C,'Ausgaben 2024'!$C235,Einzelbeträge!$E:$E,'Ausgaben 2024'!N$6)</f>
        <v>0</v>
      </c>
      <c r="O235" s="6"/>
    </row>
    <row r="236" spans="2:15" x14ac:dyDescent="0.35">
      <c r="B236" s="5"/>
      <c r="C236" s="40">
        <f t="shared" si="30"/>
        <v>45503</v>
      </c>
      <c r="D236" s="46">
        <f>SUMIFS(Einzelbeträge!$D:$D,Einzelbeträge!$C:$C,'Ausgaben 2024'!$C236)</f>
        <v>0</v>
      </c>
      <c r="E236" s="21">
        <f>SUMIFS(Einzelbeträge!$D:$D,Einzelbeträge!$C:$C,'Ausgaben 2024'!$C236,Einzelbeträge!$E:$E,'Ausgaben 2024'!E$6)</f>
        <v>0</v>
      </c>
      <c r="F236" s="21">
        <f>SUMIFS(Einzelbeträge!$D:$D,Einzelbeträge!$C:$C,'Ausgaben 2024'!$C236,Einzelbeträge!$E:$E,'Ausgaben 2024'!F$6)</f>
        <v>0</v>
      </c>
      <c r="G236" s="21">
        <f>SUMIFS(Einzelbeträge!$D:$D,Einzelbeträge!$C:$C,'Ausgaben 2024'!$C236,Einzelbeträge!$E:$E,'Ausgaben 2024'!G$6)</f>
        <v>0</v>
      </c>
      <c r="H236" s="21">
        <f>SUMIFS(Einzelbeträge!$D:$D,Einzelbeträge!$C:$C,'Ausgaben 2024'!$C236,Einzelbeträge!$E:$E,'Ausgaben 2024'!H$6)</f>
        <v>0</v>
      </c>
      <c r="I236" s="21">
        <f>SUMIFS(Einzelbeträge!$D:$D,Einzelbeträge!$C:$C,'Ausgaben 2024'!$C236,Einzelbeträge!$E:$E,'Ausgaben 2024'!I$6)</f>
        <v>0</v>
      </c>
      <c r="J236" s="21">
        <f>SUMIFS(Einzelbeträge!$D:$D,Einzelbeträge!$C:$C,'Ausgaben 2024'!$C236,Einzelbeträge!$E:$E,'Ausgaben 2024'!J$6)</f>
        <v>0</v>
      </c>
      <c r="K236" s="21">
        <f>SUMIFS(Einzelbeträge!$D:$D,Einzelbeträge!$C:$C,'Ausgaben 2024'!$C236,Einzelbeträge!$E:$E,'Ausgaben 2024'!K$6)</f>
        <v>0</v>
      </c>
      <c r="L236" s="21">
        <f>SUMIFS(Einzelbeträge!$D:$D,Einzelbeträge!$C:$C,'Ausgaben 2024'!$C236,Einzelbeträge!$E:$E,'Ausgaben 2024'!L$6)</f>
        <v>0</v>
      </c>
      <c r="M236" s="21">
        <f>SUMIFS(Einzelbeträge!$D:$D,Einzelbeträge!$C:$C,'Ausgaben 2024'!$C236,Einzelbeträge!$E:$E,'Ausgaben 2024'!M$6)</f>
        <v>0</v>
      </c>
      <c r="N236" s="35">
        <f>SUMIFS(Einzelbeträge!$D:$D,Einzelbeträge!$C:$C,'Ausgaben 2024'!$C236,Einzelbeträge!$E:$E,'Ausgaben 2024'!N$6)</f>
        <v>0</v>
      </c>
      <c r="O236" s="6"/>
    </row>
    <row r="237" spans="2:15" x14ac:dyDescent="0.35">
      <c r="B237" s="5"/>
      <c r="C237" s="31">
        <f t="shared" si="30"/>
        <v>45504</v>
      </c>
      <c r="D237" s="47">
        <f>SUMIFS(Einzelbeträge!$D:$D,Einzelbeträge!$C:$C,'Ausgaben 2024'!$C237)</f>
        <v>0</v>
      </c>
      <c r="E237" s="37">
        <f>SUMIFS(Einzelbeträge!$D:$D,Einzelbeträge!$C:$C,'Ausgaben 2024'!$C237,Einzelbeträge!$E:$E,'Ausgaben 2024'!E$6)</f>
        <v>0</v>
      </c>
      <c r="F237" s="37">
        <f>SUMIFS(Einzelbeträge!$D:$D,Einzelbeträge!$C:$C,'Ausgaben 2024'!$C237,Einzelbeträge!$E:$E,'Ausgaben 2024'!F$6)</f>
        <v>0</v>
      </c>
      <c r="G237" s="37">
        <f>SUMIFS(Einzelbeträge!$D:$D,Einzelbeträge!$C:$C,'Ausgaben 2024'!$C237,Einzelbeträge!$E:$E,'Ausgaben 2024'!G$6)</f>
        <v>0</v>
      </c>
      <c r="H237" s="37">
        <f>SUMIFS(Einzelbeträge!$D:$D,Einzelbeträge!$C:$C,'Ausgaben 2024'!$C237,Einzelbeträge!$E:$E,'Ausgaben 2024'!H$6)</f>
        <v>0</v>
      </c>
      <c r="I237" s="37">
        <f>SUMIFS(Einzelbeträge!$D:$D,Einzelbeträge!$C:$C,'Ausgaben 2024'!$C237,Einzelbeträge!$E:$E,'Ausgaben 2024'!I$6)</f>
        <v>0</v>
      </c>
      <c r="J237" s="37">
        <f>SUMIFS(Einzelbeträge!$D:$D,Einzelbeträge!$C:$C,'Ausgaben 2024'!$C237,Einzelbeträge!$E:$E,'Ausgaben 2024'!J$6)</f>
        <v>0</v>
      </c>
      <c r="K237" s="37">
        <f>SUMIFS(Einzelbeträge!$D:$D,Einzelbeträge!$C:$C,'Ausgaben 2024'!$C237,Einzelbeträge!$E:$E,'Ausgaben 2024'!K$6)</f>
        <v>0</v>
      </c>
      <c r="L237" s="37">
        <f>SUMIFS(Einzelbeträge!$D:$D,Einzelbeträge!$C:$C,'Ausgaben 2024'!$C237,Einzelbeträge!$E:$E,'Ausgaben 2024'!L$6)</f>
        <v>0</v>
      </c>
      <c r="M237" s="37">
        <f>SUMIFS(Einzelbeträge!$D:$D,Einzelbeträge!$C:$C,'Ausgaben 2024'!$C237,Einzelbeträge!$E:$E,'Ausgaben 2024'!M$6)</f>
        <v>0</v>
      </c>
      <c r="N237" s="38">
        <f>SUMIFS(Einzelbeträge!$D:$D,Einzelbeträge!$C:$C,'Ausgaben 2024'!$C237,Einzelbeträge!$E:$E,'Ausgaben 2024'!N$6)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45505</v>
      </c>
      <c r="D241" s="45">
        <f>SUMIFS(Einzelbeträge!$D:$D,Einzelbeträge!$C:$C,'Ausgaben 2024'!$C241)</f>
        <v>0</v>
      </c>
      <c r="E241" s="32">
        <f>SUMIFS(Einzelbeträge!$D:$D,Einzelbeträge!$C:$C,'Ausgaben 2024'!$C241,Einzelbeträge!$E:$E,'Ausgaben 2024'!E$6)</f>
        <v>0</v>
      </c>
      <c r="F241" s="32">
        <f>SUMIFS(Einzelbeträge!$D:$D,Einzelbeträge!$C:$C,'Ausgaben 2024'!$C241,Einzelbeträge!$E:$E,'Ausgaben 2024'!F$6)</f>
        <v>0</v>
      </c>
      <c r="G241" s="32">
        <f>SUMIFS(Einzelbeträge!$D:$D,Einzelbeträge!$C:$C,'Ausgaben 2024'!$C241,Einzelbeträge!$E:$E,'Ausgaben 2024'!G$6)</f>
        <v>0</v>
      </c>
      <c r="H241" s="32">
        <f>SUMIFS(Einzelbeträge!$D:$D,Einzelbeträge!$C:$C,'Ausgaben 2024'!$C241,Einzelbeträge!$E:$E,'Ausgaben 2024'!H$6)</f>
        <v>0</v>
      </c>
      <c r="I241" s="32">
        <f>SUMIFS(Einzelbeträge!$D:$D,Einzelbeträge!$C:$C,'Ausgaben 2024'!$C241,Einzelbeträge!$E:$E,'Ausgaben 2024'!I$6)</f>
        <v>0</v>
      </c>
      <c r="J241" s="32">
        <f>SUMIFS(Einzelbeträge!$D:$D,Einzelbeträge!$C:$C,'Ausgaben 2024'!$C241,Einzelbeträge!$E:$E,'Ausgaben 2024'!J$6)</f>
        <v>0</v>
      </c>
      <c r="K241" s="32">
        <f>SUMIFS(Einzelbeträge!$D:$D,Einzelbeträge!$C:$C,'Ausgaben 2024'!$C241,Einzelbeträge!$E:$E,'Ausgaben 2024'!K$6)</f>
        <v>0</v>
      </c>
      <c r="L241" s="32">
        <f>SUMIFS(Einzelbeträge!$D:$D,Einzelbeträge!$C:$C,'Ausgaben 2024'!$C241,Einzelbeträge!$E:$E,'Ausgaben 2024'!L$6)</f>
        <v>0</v>
      </c>
      <c r="M241" s="32">
        <f>SUMIFS(Einzelbeträge!$D:$D,Einzelbeträge!$C:$C,'Ausgaben 2024'!$C241,Einzelbeträge!$E:$E,'Ausgaben 2024'!M$6)</f>
        <v>0</v>
      </c>
      <c r="N241" s="33">
        <f>SUMIFS(Einzelbeträge!$D:$D,Einzelbeträge!$C:$C,'Ausgaben 2024'!$C241,Einzelbeträge!$E:$E,'Ausgaben 2024'!N$6)</f>
        <v>0</v>
      </c>
      <c r="O241" s="6"/>
    </row>
    <row r="242" spans="2:15" x14ac:dyDescent="0.35">
      <c r="B242" s="5"/>
      <c r="C242" s="40">
        <f>C241+1</f>
        <v>45506</v>
      </c>
      <c r="D242" s="46">
        <f>SUMIFS(Einzelbeträge!$D:$D,Einzelbeträge!$C:$C,'Ausgaben 2024'!$C242)</f>
        <v>0</v>
      </c>
      <c r="E242" s="21">
        <f>SUMIFS(Einzelbeträge!$D:$D,Einzelbeträge!$C:$C,'Ausgaben 2024'!$C242,Einzelbeträge!$E:$E,'Ausgaben 2024'!E$6)</f>
        <v>0</v>
      </c>
      <c r="F242" s="21">
        <f>SUMIFS(Einzelbeträge!$D:$D,Einzelbeträge!$C:$C,'Ausgaben 2024'!$C242,Einzelbeträge!$E:$E,'Ausgaben 2024'!F$6)</f>
        <v>0</v>
      </c>
      <c r="G242" s="21">
        <f>SUMIFS(Einzelbeträge!$D:$D,Einzelbeträge!$C:$C,'Ausgaben 2024'!$C242,Einzelbeträge!$E:$E,'Ausgaben 2024'!G$6)</f>
        <v>0</v>
      </c>
      <c r="H242" s="21">
        <f>SUMIFS(Einzelbeträge!$D:$D,Einzelbeträge!$C:$C,'Ausgaben 2024'!$C242,Einzelbeträge!$E:$E,'Ausgaben 2024'!H$6)</f>
        <v>0</v>
      </c>
      <c r="I242" s="21">
        <f>SUMIFS(Einzelbeträge!$D:$D,Einzelbeträge!$C:$C,'Ausgaben 2024'!$C242,Einzelbeträge!$E:$E,'Ausgaben 2024'!I$6)</f>
        <v>0</v>
      </c>
      <c r="J242" s="21">
        <f>SUMIFS(Einzelbeträge!$D:$D,Einzelbeträge!$C:$C,'Ausgaben 2024'!$C242,Einzelbeträge!$E:$E,'Ausgaben 2024'!J$6)</f>
        <v>0</v>
      </c>
      <c r="K242" s="21">
        <f>SUMIFS(Einzelbeträge!$D:$D,Einzelbeträge!$C:$C,'Ausgaben 2024'!$C242,Einzelbeträge!$E:$E,'Ausgaben 2024'!K$6)</f>
        <v>0</v>
      </c>
      <c r="L242" s="21">
        <f>SUMIFS(Einzelbeträge!$D:$D,Einzelbeträge!$C:$C,'Ausgaben 2024'!$C242,Einzelbeträge!$E:$E,'Ausgaben 2024'!L$6)</f>
        <v>0</v>
      </c>
      <c r="M242" s="21">
        <f>SUMIFS(Einzelbeträge!$D:$D,Einzelbeträge!$C:$C,'Ausgaben 2024'!$C242,Einzelbeträge!$E:$E,'Ausgaben 2024'!M$6)</f>
        <v>0</v>
      </c>
      <c r="N242" s="35">
        <f>SUMIFS(Einzelbeträge!$D:$D,Einzelbeträge!$C:$C,'Ausgaben 2024'!$C242,Einzelbeträge!$E:$E,'Ausgaben 2024'!N$6)</f>
        <v>0</v>
      </c>
      <c r="O242" s="6"/>
    </row>
    <row r="243" spans="2:15" x14ac:dyDescent="0.35">
      <c r="B243" s="5"/>
      <c r="C243" s="40">
        <f t="shared" ref="C243:C271" si="31">C242+1</f>
        <v>45507</v>
      </c>
      <c r="D243" s="46">
        <f>SUMIFS(Einzelbeträge!$D:$D,Einzelbeträge!$C:$C,'Ausgaben 2024'!$C243)</f>
        <v>0</v>
      </c>
      <c r="E243" s="21">
        <f>SUMIFS(Einzelbeträge!$D:$D,Einzelbeträge!$C:$C,'Ausgaben 2024'!$C243,Einzelbeträge!$E:$E,'Ausgaben 2024'!E$6)</f>
        <v>0</v>
      </c>
      <c r="F243" s="21">
        <f>SUMIFS(Einzelbeträge!$D:$D,Einzelbeträge!$C:$C,'Ausgaben 2024'!$C243,Einzelbeträge!$E:$E,'Ausgaben 2024'!F$6)</f>
        <v>0</v>
      </c>
      <c r="G243" s="21">
        <f>SUMIFS(Einzelbeträge!$D:$D,Einzelbeträge!$C:$C,'Ausgaben 2024'!$C243,Einzelbeträge!$E:$E,'Ausgaben 2024'!G$6)</f>
        <v>0</v>
      </c>
      <c r="H243" s="21">
        <f>SUMIFS(Einzelbeträge!$D:$D,Einzelbeträge!$C:$C,'Ausgaben 2024'!$C243,Einzelbeträge!$E:$E,'Ausgaben 2024'!H$6)</f>
        <v>0</v>
      </c>
      <c r="I243" s="21">
        <f>SUMIFS(Einzelbeträge!$D:$D,Einzelbeträge!$C:$C,'Ausgaben 2024'!$C243,Einzelbeträge!$E:$E,'Ausgaben 2024'!I$6)</f>
        <v>0</v>
      </c>
      <c r="J243" s="21">
        <f>SUMIFS(Einzelbeträge!$D:$D,Einzelbeträge!$C:$C,'Ausgaben 2024'!$C243,Einzelbeträge!$E:$E,'Ausgaben 2024'!J$6)</f>
        <v>0</v>
      </c>
      <c r="K243" s="21">
        <f>SUMIFS(Einzelbeträge!$D:$D,Einzelbeträge!$C:$C,'Ausgaben 2024'!$C243,Einzelbeträge!$E:$E,'Ausgaben 2024'!K$6)</f>
        <v>0</v>
      </c>
      <c r="L243" s="21">
        <f>SUMIFS(Einzelbeträge!$D:$D,Einzelbeträge!$C:$C,'Ausgaben 2024'!$C243,Einzelbeträge!$E:$E,'Ausgaben 2024'!L$6)</f>
        <v>0</v>
      </c>
      <c r="M243" s="21">
        <f>SUMIFS(Einzelbeträge!$D:$D,Einzelbeträge!$C:$C,'Ausgaben 2024'!$C243,Einzelbeträge!$E:$E,'Ausgaben 2024'!M$6)</f>
        <v>0</v>
      </c>
      <c r="N243" s="35">
        <f>SUMIFS(Einzelbeträge!$D:$D,Einzelbeträge!$C:$C,'Ausgaben 2024'!$C243,Einzelbeträge!$E:$E,'Ausgaben 2024'!N$6)</f>
        <v>0</v>
      </c>
      <c r="O243" s="6"/>
    </row>
    <row r="244" spans="2:15" x14ac:dyDescent="0.35">
      <c r="B244" s="5"/>
      <c r="C244" s="40">
        <f t="shared" si="31"/>
        <v>45508</v>
      </c>
      <c r="D244" s="46">
        <f>SUMIFS(Einzelbeträge!$D:$D,Einzelbeträge!$C:$C,'Ausgaben 2024'!$C244)</f>
        <v>0</v>
      </c>
      <c r="E244" s="21">
        <f>SUMIFS(Einzelbeträge!$D:$D,Einzelbeträge!$C:$C,'Ausgaben 2024'!$C244,Einzelbeträge!$E:$E,'Ausgaben 2024'!E$6)</f>
        <v>0</v>
      </c>
      <c r="F244" s="21">
        <f>SUMIFS(Einzelbeträge!$D:$D,Einzelbeträge!$C:$C,'Ausgaben 2024'!$C244,Einzelbeträge!$E:$E,'Ausgaben 2024'!F$6)</f>
        <v>0</v>
      </c>
      <c r="G244" s="21">
        <f>SUMIFS(Einzelbeträge!$D:$D,Einzelbeträge!$C:$C,'Ausgaben 2024'!$C244,Einzelbeträge!$E:$E,'Ausgaben 2024'!G$6)</f>
        <v>0</v>
      </c>
      <c r="H244" s="21">
        <f>SUMIFS(Einzelbeträge!$D:$D,Einzelbeträge!$C:$C,'Ausgaben 2024'!$C244,Einzelbeträge!$E:$E,'Ausgaben 2024'!H$6)</f>
        <v>0</v>
      </c>
      <c r="I244" s="21">
        <f>SUMIFS(Einzelbeträge!$D:$D,Einzelbeträge!$C:$C,'Ausgaben 2024'!$C244,Einzelbeträge!$E:$E,'Ausgaben 2024'!I$6)</f>
        <v>0</v>
      </c>
      <c r="J244" s="21">
        <f>SUMIFS(Einzelbeträge!$D:$D,Einzelbeträge!$C:$C,'Ausgaben 2024'!$C244,Einzelbeträge!$E:$E,'Ausgaben 2024'!J$6)</f>
        <v>0</v>
      </c>
      <c r="K244" s="21">
        <f>SUMIFS(Einzelbeträge!$D:$D,Einzelbeträge!$C:$C,'Ausgaben 2024'!$C244,Einzelbeträge!$E:$E,'Ausgaben 2024'!K$6)</f>
        <v>0</v>
      </c>
      <c r="L244" s="21">
        <f>SUMIFS(Einzelbeträge!$D:$D,Einzelbeträge!$C:$C,'Ausgaben 2024'!$C244,Einzelbeträge!$E:$E,'Ausgaben 2024'!L$6)</f>
        <v>0</v>
      </c>
      <c r="M244" s="21">
        <f>SUMIFS(Einzelbeträge!$D:$D,Einzelbeträge!$C:$C,'Ausgaben 2024'!$C244,Einzelbeträge!$E:$E,'Ausgaben 2024'!M$6)</f>
        <v>0</v>
      </c>
      <c r="N244" s="35">
        <f>SUMIFS(Einzelbeträge!$D:$D,Einzelbeträge!$C:$C,'Ausgaben 2024'!$C244,Einzelbeträge!$E:$E,'Ausgaben 2024'!N$6)</f>
        <v>0</v>
      </c>
      <c r="O244" s="6"/>
    </row>
    <row r="245" spans="2:15" x14ac:dyDescent="0.35">
      <c r="B245" s="5"/>
      <c r="C245" s="40">
        <f t="shared" si="31"/>
        <v>45509</v>
      </c>
      <c r="D245" s="46">
        <f>SUMIFS(Einzelbeträge!$D:$D,Einzelbeträge!$C:$C,'Ausgaben 2024'!$C245)</f>
        <v>0</v>
      </c>
      <c r="E245" s="21">
        <f>SUMIFS(Einzelbeträge!$D:$D,Einzelbeträge!$C:$C,'Ausgaben 2024'!$C245,Einzelbeträge!$E:$E,'Ausgaben 2024'!E$6)</f>
        <v>0</v>
      </c>
      <c r="F245" s="21">
        <f>SUMIFS(Einzelbeträge!$D:$D,Einzelbeträge!$C:$C,'Ausgaben 2024'!$C245,Einzelbeträge!$E:$E,'Ausgaben 2024'!F$6)</f>
        <v>0</v>
      </c>
      <c r="G245" s="21">
        <f>SUMIFS(Einzelbeträge!$D:$D,Einzelbeträge!$C:$C,'Ausgaben 2024'!$C245,Einzelbeträge!$E:$E,'Ausgaben 2024'!G$6)</f>
        <v>0</v>
      </c>
      <c r="H245" s="21">
        <f>SUMIFS(Einzelbeträge!$D:$D,Einzelbeträge!$C:$C,'Ausgaben 2024'!$C245,Einzelbeträge!$E:$E,'Ausgaben 2024'!H$6)</f>
        <v>0</v>
      </c>
      <c r="I245" s="21">
        <f>SUMIFS(Einzelbeträge!$D:$D,Einzelbeträge!$C:$C,'Ausgaben 2024'!$C245,Einzelbeträge!$E:$E,'Ausgaben 2024'!I$6)</f>
        <v>0</v>
      </c>
      <c r="J245" s="21">
        <f>SUMIFS(Einzelbeträge!$D:$D,Einzelbeträge!$C:$C,'Ausgaben 2024'!$C245,Einzelbeträge!$E:$E,'Ausgaben 2024'!J$6)</f>
        <v>0</v>
      </c>
      <c r="K245" s="21">
        <f>SUMIFS(Einzelbeträge!$D:$D,Einzelbeträge!$C:$C,'Ausgaben 2024'!$C245,Einzelbeträge!$E:$E,'Ausgaben 2024'!K$6)</f>
        <v>0</v>
      </c>
      <c r="L245" s="21">
        <f>SUMIFS(Einzelbeträge!$D:$D,Einzelbeträge!$C:$C,'Ausgaben 2024'!$C245,Einzelbeträge!$E:$E,'Ausgaben 2024'!L$6)</f>
        <v>0</v>
      </c>
      <c r="M245" s="21">
        <f>SUMIFS(Einzelbeträge!$D:$D,Einzelbeträge!$C:$C,'Ausgaben 2024'!$C245,Einzelbeträge!$E:$E,'Ausgaben 2024'!M$6)</f>
        <v>0</v>
      </c>
      <c r="N245" s="35">
        <f>SUMIFS(Einzelbeträge!$D:$D,Einzelbeträge!$C:$C,'Ausgaben 2024'!$C245,Einzelbeträge!$E:$E,'Ausgaben 2024'!N$6)</f>
        <v>0</v>
      </c>
      <c r="O245" s="6"/>
    </row>
    <row r="246" spans="2:15" x14ac:dyDescent="0.35">
      <c r="B246" s="5"/>
      <c r="C246" s="40">
        <f t="shared" si="31"/>
        <v>45510</v>
      </c>
      <c r="D246" s="46">
        <f>SUMIFS(Einzelbeträge!$D:$D,Einzelbeträge!$C:$C,'Ausgaben 2024'!$C246)</f>
        <v>0</v>
      </c>
      <c r="E246" s="21">
        <f>SUMIFS(Einzelbeträge!$D:$D,Einzelbeträge!$C:$C,'Ausgaben 2024'!$C246,Einzelbeträge!$E:$E,'Ausgaben 2024'!E$6)</f>
        <v>0</v>
      </c>
      <c r="F246" s="21">
        <f>SUMIFS(Einzelbeträge!$D:$D,Einzelbeträge!$C:$C,'Ausgaben 2024'!$C246,Einzelbeträge!$E:$E,'Ausgaben 2024'!F$6)</f>
        <v>0</v>
      </c>
      <c r="G246" s="21">
        <f>SUMIFS(Einzelbeträge!$D:$D,Einzelbeträge!$C:$C,'Ausgaben 2024'!$C246,Einzelbeträge!$E:$E,'Ausgaben 2024'!G$6)</f>
        <v>0</v>
      </c>
      <c r="H246" s="21">
        <f>SUMIFS(Einzelbeträge!$D:$D,Einzelbeträge!$C:$C,'Ausgaben 2024'!$C246,Einzelbeträge!$E:$E,'Ausgaben 2024'!H$6)</f>
        <v>0</v>
      </c>
      <c r="I246" s="21">
        <f>SUMIFS(Einzelbeträge!$D:$D,Einzelbeträge!$C:$C,'Ausgaben 2024'!$C246,Einzelbeträge!$E:$E,'Ausgaben 2024'!I$6)</f>
        <v>0</v>
      </c>
      <c r="J246" s="21">
        <f>SUMIFS(Einzelbeträge!$D:$D,Einzelbeträge!$C:$C,'Ausgaben 2024'!$C246,Einzelbeträge!$E:$E,'Ausgaben 2024'!J$6)</f>
        <v>0</v>
      </c>
      <c r="K246" s="21">
        <f>SUMIFS(Einzelbeträge!$D:$D,Einzelbeträge!$C:$C,'Ausgaben 2024'!$C246,Einzelbeträge!$E:$E,'Ausgaben 2024'!K$6)</f>
        <v>0</v>
      </c>
      <c r="L246" s="21">
        <f>SUMIFS(Einzelbeträge!$D:$D,Einzelbeträge!$C:$C,'Ausgaben 2024'!$C246,Einzelbeträge!$E:$E,'Ausgaben 2024'!L$6)</f>
        <v>0</v>
      </c>
      <c r="M246" s="21">
        <f>SUMIFS(Einzelbeträge!$D:$D,Einzelbeträge!$C:$C,'Ausgaben 2024'!$C246,Einzelbeträge!$E:$E,'Ausgaben 2024'!M$6)</f>
        <v>0</v>
      </c>
      <c r="N246" s="35">
        <f>SUMIFS(Einzelbeträge!$D:$D,Einzelbeträge!$C:$C,'Ausgaben 2024'!$C246,Einzelbeträge!$E:$E,'Ausgaben 2024'!N$6)</f>
        <v>0</v>
      </c>
      <c r="O246" s="6"/>
    </row>
    <row r="247" spans="2:15" x14ac:dyDescent="0.35">
      <c r="B247" s="5"/>
      <c r="C247" s="40">
        <f t="shared" si="31"/>
        <v>45511</v>
      </c>
      <c r="D247" s="46">
        <f>SUMIFS(Einzelbeträge!$D:$D,Einzelbeträge!$C:$C,'Ausgaben 2024'!$C247)</f>
        <v>0</v>
      </c>
      <c r="E247" s="21">
        <f>SUMIFS(Einzelbeträge!$D:$D,Einzelbeträge!$C:$C,'Ausgaben 2024'!$C247,Einzelbeträge!$E:$E,'Ausgaben 2024'!E$6)</f>
        <v>0</v>
      </c>
      <c r="F247" s="21">
        <f>SUMIFS(Einzelbeträge!$D:$D,Einzelbeträge!$C:$C,'Ausgaben 2024'!$C247,Einzelbeträge!$E:$E,'Ausgaben 2024'!F$6)</f>
        <v>0</v>
      </c>
      <c r="G247" s="21">
        <f>SUMIFS(Einzelbeträge!$D:$D,Einzelbeträge!$C:$C,'Ausgaben 2024'!$C247,Einzelbeträge!$E:$E,'Ausgaben 2024'!G$6)</f>
        <v>0</v>
      </c>
      <c r="H247" s="21">
        <f>SUMIFS(Einzelbeträge!$D:$D,Einzelbeträge!$C:$C,'Ausgaben 2024'!$C247,Einzelbeträge!$E:$E,'Ausgaben 2024'!H$6)</f>
        <v>0</v>
      </c>
      <c r="I247" s="21">
        <f>SUMIFS(Einzelbeträge!$D:$D,Einzelbeträge!$C:$C,'Ausgaben 2024'!$C247,Einzelbeträge!$E:$E,'Ausgaben 2024'!I$6)</f>
        <v>0</v>
      </c>
      <c r="J247" s="21">
        <f>SUMIFS(Einzelbeträge!$D:$D,Einzelbeträge!$C:$C,'Ausgaben 2024'!$C247,Einzelbeträge!$E:$E,'Ausgaben 2024'!J$6)</f>
        <v>0</v>
      </c>
      <c r="K247" s="21">
        <f>SUMIFS(Einzelbeträge!$D:$D,Einzelbeträge!$C:$C,'Ausgaben 2024'!$C247,Einzelbeträge!$E:$E,'Ausgaben 2024'!K$6)</f>
        <v>0</v>
      </c>
      <c r="L247" s="21">
        <f>SUMIFS(Einzelbeträge!$D:$D,Einzelbeträge!$C:$C,'Ausgaben 2024'!$C247,Einzelbeträge!$E:$E,'Ausgaben 2024'!L$6)</f>
        <v>0</v>
      </c>
      <c r="M247" s="21">
        <f>SUMIFS(Einzelbeträge!$D:$D,Einzelbeträge!$C:$C,'Ausgaben 2024'!$C247,Einzelbeträge!$E:$E,'Ausgaben 2024'!M$6)</f>
        <v>0</v>
      </c>
      <c r="N247" s="35">
        <f>SUMIFS(Einzelbeträge!$D:$D,Einzelbeträge!$C:$C,'Ausgaben 2024'!$C247,Einzelbeträge!$E:$E,'Ausgaben 2024'!N$6)</f>
        <v>0</v>
      </c>
      <c r="O247" s="6"/>
    </row>
    <row r="248" spans="2:15" x14ac:dyDescent="0.35">
      <c r="B248" s="5"/>
      <c r="C248" s="40">
        <f t="shared" si="31"/>
        <v>45512</v>
      </c>
      <c r="D248" s="46">
        <f>SUMIFS(Einzelbeträge!$D:$D,Einzelbeträge!$C:$C,'Ausgaben 2024'!$C248)</f>
        <v>0</v>
      </c>
      <c r="E248" s="21">
        <f>SUMIFS(Einzelbeträge!$D:$D,Einzelbeträge!$C:$C,'Ausgaben 2024'!$C248,Einzelbeträge!$E:$E,'Ausgaben 2024'!E$6)</f>
        <v>0</v>
      </c>
      <c r="F248" s="21">
        <f>SUMIFS(Einzelbeträge!$D:$D,Einzelbeträge!$C:$C,'Ausgaben 2024'!$C248,Einzelbeträge!$E:$E,'Ausgaben 2024'!F$6)</f>
        <v>0</v>
      </c>
      <c r="G248" s="21">
        <f>SUMIFS(Einzelbeträge!$D:$D,Einzelbeträge!$C:$C,'Ausgaben 2024'!$C248,Einzelbeträge!$E:$E,'Ausgaben 2024'!G$6)</f>
        <v>0</v>
      </c>
      <c r="H248" s="21">
        <f>SUMIFS(Einzelbeträge!$D:$D,Einzelbeträge!$C:$C,'Ausgaben 2024'!$C248,Einzelbeträge!$E:$E,'Ausgaben 2024'!H$6)</f>
        <v>0</v>
      </c>
      <c r="I248" s="21">
        <f>SUMIFS(Einzelbeträge!$D:$D,Einzelbeträge!$C:$C,'Ausgaben 2024'!$C248,Einzelbeträge!$E:$E,'Ausgaben 2024'!I$6)</f>
        <v>0</v>
      </c>
      <c r="J248" s="21">
        <f>SUMIFS(Einzelbeträge!$D:$D,Einzelbeträge!$C:$C,'Ausgaben 2024'!$C248,Einzelbeträge!$E:$E,'Ausgaben 2024'!J$6)</f>
        <v>0</v>
      </c>
      <c r="K248" s="21">
        <f>SUMIFS(Einzelbeträge!$D:$D,Einzelbeträge!$C:$C,'Ausgaben 2024'!$C248,Einzelbeträge!$E:$E,'Ausgaben 2024'!K$6)</f>
        <v>0</v>
      </c>
      <c r="L248" s="21">
        <f>SUMIFS(Einzelbeträge!$D:$D,Einzelbeträge!$C:$C,'Ausgaben 2024'!$C248,Einzelbeträge!$E:$E,'Ausgaben 2024'!L$6)</f>
        <v>0</v>
      </c>
      <c r="M248" s="21">
        <f>SUMIFS(Einzelbeträge!$D:$D,Einzelbeträge!$C:$C,'Ausgaben 2024'!$C248,Einzelbeträge!$E:$E,'Ausgaben 2024'!M$6)</f>
        <v>0</v>
      </c>
      <c r="N248" s="35">
        <f>SUMIFS(Einzelbeträge!$D:$D,Einzelbeträge!$C:$C,'Ausgaben 2024'!$C248,Einzelbeträge!$E:$E,'Ausgaben 2024'!N$6)</f>
        <v>0</v>
      </c>
      <c r="O248" s="6"/>
    </row>
    <row r="249" spans="2:15" x14ac:dyDescent="0.35">
      <c r="B249" s="5"/>
      <c r="C249" s="40">
        <f t="shared" si="31"/>
        <v>45513</v>
      </c>
      <c r="D249" s="46">
        <f>SUMIFS(Einzelbeträge!$D:$D,Einzelbeträge!$C:$C,'Ausgaben 2024'!$C249)</f>
        <v>0</v>
      </c>
      <c r="E249" s="21">
        <f>SUMIFS(Einzelbeträge!$D:$D,Einzelbeträge!$C:$C,'Ausgaben 2024'!$C249,Einzelbeträge!$E:$E,'Ausgaben 2024'!E$6)</f>
        <v>0</v>
      </c>
      <c r="F249" s="21">
        <f>SUMIFS(Einzelbeträge!$D:$D,Einzelbeträge!$C:$C,'Ausgaben 2024'!$C249,Einzelbeträge!$E:$E,'Ausgaben 2024'!F$6)</f>
        <v>0</v>
      </c>
      <c r="G249" s="21">
        <f>SUMIFS(Einzelbeträge!$D:$D,Einzelbeträge!$C:$C,'Ausgaben 2024'!$C249,Einzelbeträge!$E:$E,'Ausgaben 2024'!G$6)</f>
        <v>0</v>
      </c>
      <c r="H249" s="21">
        <f>SUMIFS(Einzelbeträge!$D:$D,Einzelbeträge!$C:$C,'Ausgaben 2024'!$C249,Einzelbeträge!$E:$E,'Ausgaben 2024'!H$6)</f>
        <v>0</v>
      </c>
      <c r="I249" s="21">
        <f>SUMIFS(Einzelbeträge!$D:$D,Einzelbeträge!$C:$C,'Ausgaben 2024'!$C249,Einzelbeträge!$E:$E,'Ausgaben 2024'!I$6)</f>
        <v>0</v>
      </c>
      <c r="J249" s="21">
        <f>SUMIFS(Einzelbeträge!$D:$D,Einzelbeträge!$C:$C,'Ausgaben 2024'!$C249,Einzelbeträge!$E:$E,'Ausgaben 2024'!J$6)</f>
        <v>0</v>
      </c>
      <c r="K249" s="21">
        <f>SUMIFS(Einzelbeträge!$D:$D,Einzelbeträge!$C:$C,'Ausgaben 2024'!$C249,Einzelbeträge!$E:$E,'Ausgaben 2024'!K$6)</f>
        <v>0</v>
      </c>
      <c r="L249" s="21">
        <f>SUMIFS(Einzelbeträge!$D:$D,Einzelbeträge!$C:$C,'Ausgaben 2024'!$C249,Einzelbeträge!$E:$E,'Ausgaben 2024'!L$6)</f>
        <v>0</v>
      </c>
      <c r="M249" s="21">
        <f>SUMIFS(Einzelbeträge!$D:$D,Einzelbeträge!$C:$C,'Ausgaben 2024'!$C249,Einzelbeträge!$E:$E,'Ausgaben 2024'!M$6)</f>
        <v>0</v>
      </c>
      <c r="N249" s="35">
        <f>SUMIFS(Einzelbeträge!$D:$D,Einzelbeträge!$C:$C,'Ausgaben 2024'!$C249,Einzelbeträge!$E:$E,'Ausgaben 2024'!N$6)</f>
        <v>0</v>
      </c>
      <c r="O249" s="6"/>
    </row>
    <row r="250" spans="2:15" x14ac:dyDescent="0.35">
      <c r="B250" s="5"/>
      <c r="C250" s="40">
        <f t="shared" si="31"/>
        <v>45514</v>
      </c>
      <c r="D250" s="46">
        <f>SUMIFS(Einzelbeträge!$D:$D,Einzelbeträge!$C:$C,'Ausgaben 2024'!$C250)</f>
        <v>0</v>
      </c>
      <c r="E250" s="21">
        <f>SUMIFS(Einzelbeträge!$D:$D,Einzelbeträge!$C:$C,'Ausgaben 2024'!$C250,Einzelbeträge!$E:$E,'Ausgaben 2024'!E$6)</f>
        <v>0</v>
      </c>
      <c r="F250" s="21">
        <f>SUMIFS(Einzelbeträge!$D:$D,Einzelbeträge!$C:$C,'Ausgaben 2024'!$C250,Einzelbeträge!$E:$E,'Ausgaben 2024'!F$6)</f>
        <v>0</v>
      </c>
      <c r="G250" s="21">
        <f>SUMIFS(Einzelbeträge!$D:$D,Einzelbeträge!$C:$C,'Ausgaben 2024'!$C250,Einzelbeträge!$E:$E,'Ausgaben 2024'!G$6)</f>
        <v>0</v>
      </c>
      <c r="H250" s="21">
        <f>SUMIFS(Einzelbeträge!$D:$D,Einzelbeträge!$C:$C,'Ausgaben 2024'!$C250,Einzelbeträge!$E:$E,'Ausgaben 2024'!H$6)</f>
        <v>0</v>
      </c>
      <c r="I250" s="21">
        <f>SUMIFS(Einzelbeträge!$D:$D,Einzelbeträge!$C:$C,'Ausgaben 2024'!$C250,Einzelbeträge!$E:$E,'Ausgaben 2024'!I$6)</f>
        <v>0</v>
      </c>
      <c r="J250" s="21">
        <f>SUMIFS(Einzelbeträge!$D:$D,Einzelbeträge!$C:$C,'Ausgaben 2024'!$C250,Einzelbeträge!$E:$E,'Ausgaben 2024'!J$6)</f>
        <v>0</v>
      </c>
      <c r="K250" s="21">
        <f>SUMIFS(Einzelbeträge!$D:$D,Einzelbeträge!$C:$C,'Ausgaben 2024'!$C250,Einzelbeträge!$E:$E,'Ausgaben 2024'!K$6)</f>
        <v>0</v>
      </c>
      <c r="L250" s="21">
        <f>SUMIFS(Einzelbeträge!$D:$D,Einzelbeträge!$C:$C,'Ausgaben 2024'!$C250,Einzelbeträge!$E:$E,'Ausgaben 2024'!L$6)</f>
        <v>0</v>
      </c>
      <c r="M250" s="21">
        <f>SUMIFS(Einzelbeträge!$D:$D,Einzelbeträge!$C:$C,'Ausgaben 2024'!$C250,Einzelbeträge!$E:$E,'Ausgaben 2024'!M$6)</f>
        <v>0</v>
      </c>
      <c r="N250" s="35">
        <f>SUMIFS(Einzelbeträge!$D:$D,Einzelbeträge!$C:$C,'Ausgaben 2024'!$C250,Einzelbeträge!$E:$E,'Ausgaben 2024'!N$6)</f>
        <v>0</v>
      </c>
      <c r="O250" s="6"/>
    </row>
    <row r="251" spans="2:15" x14ac:dyDescent="0.35">
      <c r="B251" s="5"/>
      <c r="C251" s="40">
        <f t="shared" si="31"/>
        <v>45515</v>
      </c>
      <c r="D251" s="46">
        <f>SUMIFS(Einzelbeträge!$D:$D,Einzelbeträge!$C:$C,'Ausgaben 2024'!$C251)</f>
        <v>0</v>
      </c>
      <c r="E251" s="21">
        <f>SUMIFS(Einzelbeträge!$D:$D,Einzelbeträge!$C:$C,'Ausgaben 2024'!$C251,Einzelbeträge!$E:$E,'Ausgaben 2024'!E$6)</f>
        <v>0</v>
      </c>
      <c r="F251" s="21">
        <f>SUMIFS(Einzelbeträge!$D:$D,Einzelbeträge!$C:$C,'Ausgaben 2024'!$C251,Einzelbeträge!$E:$E,'Ausgaben 2024'!F$6)</f>
        <v>0</v>
      </c>
      <c r="G251" s="21">
        <f>SUMIFS(Einzelbeträge!$D:$D,Einzelbeträge!$C:$C,'Ausgaben 2024'!$C251,Einzelbeträge!$E:$E,'Ausgaben 2024'!G$6)</f>
        <v>0</v>
      </c>
      <c r="H251" s="21">
        <f>SUMIFS(Einzelbeträge!$D:$D,Einzelbeträge!$C:$C,'Ausgaben 2024'!$C251,Einzelbeträge!$E:$E,'Ausgaben 2024'!H$6)</f>
        <v>0</v>
      </c>
      <c r="I251" s="21">
        <f>SUMIFS(Einzelbeträge!$D:$D,Einzelbeträge!$C:$C,'Ausgaben 2024'!$C251,Einzelbeträge!$E:$E,'Ausgaben 2024'!I$6)</f>
        <v>0</v>
      </c>
      <c r="J251" s="21">
        <f>SUMIFS(Einzelbeträge!$D:$D,Einzelbeträge!$C:$C,'Ausgaben 2024'!$C251,Einzelbeträge!$E:$E,'Ausgaben 2024'!J$6)</f>
        <v>0</v>
      </c>
      <c r="K251" s="21">
        <f>SUMIFS(Einzelbeträge!$D:$D,Einzelbeträge!$C:$C,'Ausgaben 2024'!$C251,Einzelbeträge!$E:$E,'Ausgaben 2024'!K$6)</f>
        <v>0</v>
      </c>
      <c r="L251" s="21">
        <f>SUMIFS(Einzelbeträge!$D:$D,Einzelbeträge!$C:$C,'Ausgaben 2024'!$C251,Einzelbeträge!$E:$E,'Ausgaben 2024'!L$6)</f>
        <v>0</v>
      </c>
      <c r="M251" s="21">
        <f>SUMIFS(Einzelbeträge!$D:$D,Einzelbeträge!$C:$C,'Ausgaben 2024'!$C251,Einzelbeträge!$E:$E,'Ausgaben 2024'!M$6)</f>
        <v>0</v>
      </c>
      <c r="N251" s="35">
        <f>SUMIFS(Einzelbeträge!$D:$D,Einzelbeträge!$C:$C,'Ausgaben 2024'!$C251,Einzelbeträge!$E:$E,'Ausgaben 2024'!N$6)</f>
        <v>0</v>
      </c>
      <c r="O251" s="6"/>
    </row>
    <row r="252" spans="2:15" x14ac:dyDescent="0.35">
      <c r="B252" s="5"/>
      <c r="C252" s="40">
        <f t="shared" si="31"/>
        <v>45516</v>
      </c>
      <c r="D252" s="46">
        <f>SUMIFS(Einzelbeträge!$D:$D,Einzelbeträge!$C:$C,'Ausgaben 2024'!$C252)</f>
        <v>0</v>
      </c>
      <c r="E252" s="21">
        <f>SUMIFS(Einzelbeträge!$D:$D,Einzelbeträge!$C:$C,'Ausgaben 2024'!$C252,Einzelbeträge!$E:$E,'Ausgaben 2024'!E$6)</f>
        <v>0</v>
      </c>
      <c r="F252" s="21">
        <f>SUMIFS(Einzelbeträge!$D:$D,Einzelbeträge!$C:$C,'Ausgaben 2024'!$C252,Einzelbeträge!$E:$E,'Ausgaben 2024'!F$6)</f>
        <v>0</v>
      </c>
      <c r="G252" s="21">
        <f>SUMIFS(Einzelbeträge!$D:$D,Einzelbeträge!$C:$C,'Ausgaben 2024'!$C252,Einzelbeträge!$E:$E,'Ausgaben 2024'!G$6)</f>
        <v>0</v>
      </c>
      <c r="H252" s="21">
        <f>SUMIFS(Einzelbeträge!$D:$D,Einzelbeträge!$C:$C,'Ausgaben 2024'!$C252,Einzelbeträge!$E:$E,'Ausgaben 2024'!H$6)</f>
        <v>0</v>
      </c>
      <c r="I252" s="21">
        <f>SUMIFS(Einzelbeträge!$D:$D,Einzelbeträge!$C:$C,'Ausgaben 2024'!$C252,Einzelbeträge!$E:$E,'Ausgaben 2024'!I$6)</f>
        <v>0</v>
      </c>
      <c r="J252" s="21">
        <f>SUMIFS(Einzelbeträge!$D:$D,Einzelbeträge!$C:$C,'Ausgaben 2024'!$C252,Einzelbeträge!$E:$E,'Ausgaben 2024'!J$6)</f>
        <v>0</v>
      </c>
      <c r="K252" s="21">
        <f>SUMIFS(Einzelbeträge!$D:$D,Einzelbeträge!$C:$C,'Ausgaben 2024'!$C252,Einzelbeträge!$E:$E,'Ausgaben 2024'!K$6)</f>
        <v>0</v>
      </c>
      <c r="L252" s="21">
        <f>SUMIFS(Einzelbeträge!$D:$D,Einzelbeträge!$C:$C,'Ausgaben 2024'!$C252,Einzelbeträge!$E:$E,'Ausgaben 2024'!L$6)</f>
        <v>0</v>
      </c>
      <c r="M252" s="21">
        <f>SUMIFS(Einzelbeträge!$D:$D,Einzelbeträge!$C:$C,'Ausgaben 2024'!$C252,Einzelbeträge!$E:$E,'Ausgaben 2024'!M$6)</f>
        <v>0</v>
      </c>
      <c r="N252" s="35">
        <f>SUMIFS(Einzelbeträge!$D:$D,Einzelbeträge!$C:$C,'Ausgaben 2024'!$C252,Einzelbeträge!$E:$E,'Ausgaben 2024'!N$6)</f>
        <v>0</v>
      </c>
      <c r="O252" s="6"/>
    </row>
    <row r="253" spans="2:15" x14ac:dyDescent="0.35">
      <c r="B253" s="5"/>
      <c r="C253" s="40">
        <f t="shared" si="31"/>
        <v>45517</v>
      </c>
      <c r="D253" s="46">
        <f>SUMIFS(Einzelbeträge!$D:$D,Einzelbeträge!$C:$C,'Ausgaben 2024'!$C253)</f>
        <v>0</v>
      </c>
      <c r="E253" s="21">
        <f>SUMIFS(Einzelbeträge!$D:$D,Einzelbeträge!$C:$C,'Ausgaben 2024'!$C253,Einzelbeträge!$E:$E,'Ausgaben 2024'!E$6)</f>
        <v>0</v>
      </c>
      <c r="F253" s="21">
        <f>SUMIFS(Einzelbeträge!$D:$D,Einzelbeträge!$C:$C,'Ausgaben 2024'!$C253,Einzelbeträge!$E:$E,'Ausgaben 2024'!F$6)</f>
        <v>0</v>
      </c>
      <c r="G253" s="21">
        <f>SUMIFS(Einzelbeträge!$D:$D,Einzelbeträge!$C:$C,'Ausgaben 2024'!$C253,Einzelbeträge!$E:$E,'Ausgaben 2024'!G$6)</f>
        <v>0</v>
      </c>
      <c r="H253" s="21">
        <f>SUMIFS(Einzelbeträge!$D:$D,Einzelbeträge!$C:$C,'Ausgaben 2024'!$C253,Einzelbeträge!$E:$E,'Ausgaben 2024'!H$6)</f>
        <v>0</v>
      </c>
      <c r="I253" s="21">
        <f>SUMIFS(Einzelbeträge!$D:$D,Einzelbeträge!$C:$C,'Ausgaben 2024'!$C253,Einzelbeträge!$E:$E,'Ausgaben 2024'!I$6)</f>
        <v>0</v>
      </c>
      <c r="J253" s="21">
        <f>SUMIFS(Einzelbeträge!$D:$D,Einzelbeträge!$C:$C,'Ausgaben 2024'!$C253,Einzelbeträge!$E:$E,'Ausgaben 2024'!J$6)</f>
        <v>0</v>
      </c>
      <c r="K253" s="21">
        <f>SUMIFS(Einzelbeträge!$D:$D,Einzelbeträge!$C:$C,'Ausgaben 2024'!$C253,Einzelbeträge!$E:$E,'Ausgaben 2024'!K$6)</f>
        <v>0</v>
      </c>
      <c r="L253" s="21">
        <f>SUMIFS(Einzelbeträge!$D:$D,Einzelbeträge!$C:$C,'Ausgaben 2024'!$C253,Einzelbeträge!$E:$E,'Ausgaben 2024'!L$6)</f>
        <v>0</v>
      </c>
      <c r="M253" s="21">
        <f>SUMIFS(Einzelbeträge!$D:$D,Einzelbeträge!$C:$C,'Ausgaben 2024'!$C253,Einzelbeträge!$E:$E,'Ausgaben 2024'!M$6)</f>
        <v>0</v>
      </c>
      <c r="N253" s="35">
        <f>SUMIFS(Einzelbeträge!$D:$D,Einzelbeträge!$C:$C,'Ausgaben 2024'!$C253,Einzelbeträge!$E:$E,'Ausgaben 2024'!N$6)</f>
        <v>0</v>
      </c>
      <c r="O253" s="6"/>
    </row>
    <row r="254" spans="2:15" x14ac:dyDescent="0.35">
      <c r="B254" s="5"/>
      <c r="C254" s="40">
        <f t="shared" si="31"/>
        <v>45518</v>
      </c>
      <c r="D254" s="46">
        <f>SUMIFS(Einzelbeträge!$D:$D,Einzelbeträge!$C:$C,'Ausgaben 2024'!$C254)</f>
        <v>0</v>
      </c>
      <c r="E254" s="21">
        <f>SUMIFS(Einzelbeträge!$D:$D,Einzelbeträge!$C:$C,'Ausgaben 2024'!$C254,Einzelbeträge!$E:$E,'Ausgaben 2024'!E$6)</f>
        <v>0</v>
      </c>
      <c r="F254" s="21">
        <f>SUMIFS(Einzelbeträge!$D:$D,Einzelbeträge!$C:$C,'Ausgaben 2024'!$C254,Einzelbeträge!$E:$E,'Ausgaben 2024'!F$6)</f>
        <v>0</v>
      </c>
      <c r="G254" s="21">
        <f>SUMIFS(Einzelbeträge!$D:$D,Einzelbeträge!$C:$C,'Ausgaben 2024'!$C254,Einzelbeträge!$E:$E,'Ausgaben 2024'!G$6)</f>
        <v>0</v>
      </c>
      <c r="H254" s="21">
        <f>SUMIFS(Einzelbeträge!$D:$D,Einzelbeträge!$C:$C,'Ausgaben 2024'!$C254,Einzelbeträge!$E:$E,'Ausgaben 2024'!H$6)</f>
        <v>0</v>
      </c>
      <c r="I254" s="21">
        <f>SUMIFS(Einzelbeträge!$D:$D,Einzelbeträge!$C:$C,'Ausgaben 2024'!$C254,Einzelbeträge!$E:$E,'Ausgaben 2024'!I$6)</f>
        <v>0</v>
      </c>
      <c r="J254" s="21">
        <f>SUMIFS(Einzelbeträge!$D:$D,Einzelbeträge!$C:$C,'Ausgaben 2024'!$C254,Einzelbeträge!$E:$E,'Ausgaben 2024'!J$6)</f>
        <v>0</v>
      </c>
      <c r="K254" s="21">
        <f>SUMIFS(Einzelbeträge!$D:$D,Einzelbeträge!$C:$C,'Ausgaben 2024'!$C254,Einzelbeträge!$E:$E,'Ausgaben 2024'!K$6)</f>
        <v>0</v>
      </c>
      <c r="L254" s="21">
        <f>SUMIFS(Einzelbeträge!$D:$D,Einzelbeträge!$C:$C,'Ausgaben 2024'!$C254,Einzelbeträge!$E:$E,'Ausgaben 2024'!L$6)</f>
        <v>0</v>
      </c>
      <c r="M254" s="21">
        <f>SUMIFS(Einzelbeträge!$D:$D,Einzelbeträge!$C:$C,'Ausgaben 2024'!$C254,Einzelbeträge!$E:$E,'Ausgaben 2024'!M$6)</f>
        <v>0</v>
      </c>
      <c r="N254" s="35">
        <f>SUMIFS(Einzelbeträge!$D:$D,Einzelbeträge!$C:$C,'Ausgaben 2024'!$C254,Einzelbeträge!$E:$E,'Ausgaben 2024'!N$6)</f>
        <v>0</v>
      </c>
      <c r="O254" s="6"/>
    </row>
    <row r="255" spans="2:15" x14ac:dyDescent="0.35">
      <c r="B255" s="5"/>
      <c r="C255" s="40">
        <f t="shared" si="31"/>
        <v>45519</v>
      </c>
      <c r="D255" s="46">
        <f>SUMIFS(Einzelbeträge!$D:$D,Einzelbeträge!$C:$C,'Ausgaben 2024'!$C255)</f>
        <v>0</v>
      </c>
      <c r="E255" s="21">
        <f>SUMIFS(Einzelbeträge!$D:$D,Einzelbeträge!$C:$C,'Ausgaben 2024'!$C255,Einzelbeträge!$E:$E,'Ausgaben 2024'!E$6)</f>
        <v>0</v>
      </c>
      <c r="F255" s="21">
        <f>SUMIFS(Einzelbeträge!$D:$D,Einzelbeträge!$C:$C,'Ausgaben 2024'!$C255,Einzelbeträge!$E:$E,'Ausgaben 2024'!F$6)</f>
        <v>0</v>
      </c>
      <c r="G255" s="21">
        <f>SUMIFS(Einzelbeträge!$D:$D,Einzelbeträge!$C:$C,'Ausgaben 2024'!$C255,Einzelbeträge!$E:$E,'Ausgaben 2024'!G$6)</f>
        <v>0</v>
      </c>
      <c r="H255" s="21">
        <f>SUMIFS(Einzelbeträge!$D:$D,Einzelbeträge!$C:$C,'Ausgaben 2024'!$C255,Einzelbeträge!$E:$E,'Ausgaben 2024'!H$6)</f>
        <v>0</v>
      </c>
      <c r="I255" s="21">
        <f>SUMIFS(Einzelbeträge!$D:$D,Einzelbeträge!$C:$C,'Ausgaben 2024'!$C255,Einzelbeträge!$E:$E,'Ausgaben 2024'!I$6)</f>
        <v>0</v>
      </c>
      <c r="J255" s="21">
        <f>SUMIFS(Einzelbeträge!$D:$D,Einzelbeträge!$C:$C,'Ausgaben 2024'!$C255,Einzelbeträge!$E:$E,'Ausgaben 2024'!J$6)</f>
        <v>0</v>
      </c>
      <c r="K255" s="21">
        <f>SUMIFS(Einzelbeträge!$D:$D,Einzelbeträge!$C:$C,'Ausgaben 2024'!$C255,Einzelbeträge!$E:$E,'Ausgaben 2024'!K$6)</f>
        <v>0</v>
      </c>
      <c r="L255" s="21">
        <f>SUMIFS(Einzelbeträge!$D:$D,Einzelbeträge!$C:$C,'Ausgaben 2024'!$C255,Einzelbeträge!$E:$E,'Ausgaben 2024'!L$6)</f>
        <v>0</v>
      </c>
      <c r="M255" s="21">
        <f>SUMIFS(Einzelbeträge!$D:$D,Einzelbeträge!$C:$C,'Ausgaben 2024'!$C255,Einzelbeträge!$E:$E,'Ausgaben 2024'!M$6)</f>
        <v>0</v>
      </c>
      <c r="N255" s="35">
        <f>SUMIFS(Einzelbeträge!$D:$D,Einzelbeträge!$C:$C,'Ausgaben 2024'!$C255,Einzelbeträge!$E:$E,'Ausgaben 2024'!N$6)</f>
        <v>0</v>
      </c>
      <c r="O255" s="6"/>
    </row>
    <row r="256" spans="2:15" x14ac:dyDescent="0.35">
      <c r="B256" s="5"/>
      <c r="C256" s="40">
        <f t="shared" si="31"/>
        <v>45520</v>
      </c>
      <c r="D256" s="46">
        <f>SUMIFS(Einzelbeträge!$D:$D,Einzelbeträge!$C:$C,'Ausgaben 2024'!$C256)</f>
        <v>0</v>
      </c>
      <c r="E256" s="21">
        <f>SUMIFS(Einzelbeträge!$D:$D,Einzelbeträge!$C:$C,'Ausgaben 2024'!$C256,Einzelbeträge!$E:$E,'Ausgaben 2024'!E$6)</f>
        <v>0</v>
      </c>
      <c r="F256" s="21">
        <f>SUMIFS(Einzelbeträge!$D:$D,Einzelbeträge!$C:$C,'Ausgaben 2024'!$C256,Einzelbeträge!$E:$E,'Ausgaben 2024'!F$6)</f>
        <v>0</v>
      </c>
      <c r="G256" s="21">
        <f>SUMIFS(Einzelbeträge!$D:$D,Einzelbeträge!$C:$C,'Ausgaben 2024'!$C256,Einzelbeträge!$E:$E,'Ausgaben 2024'!G$6)</f>
        <v>0</v>
      </c>
      <c r="H256" s="21">
        <f>SUMIFS(Einzelbeträge!$D:$D,Einzelbeträge!$C:$C,'Ausgaben 2024'!$C256,Einzelbeträge!$E:$E,'Ausgaben 2024'!H$6)</f>
        <v>0</v>
      </c>
      <c r="I256" s="21">
        <f>SUMIFS(Einzelbeträge!$D:$D,Einzelbeträge!$C:$C,'Ausgaben 2024'!$C256,Einzelbeträge!$E:$E,'Ausgaben 2024'!I$6)</f>
        <v>0</v>
      </c>
      <c r="J256" s="21">
        <f>SUMIFS(Einzelbeträge!$D:$D,Einzelbeträge!$C:$C,'Ausgaben 2024'!$C256,Einzelbeträge!$E:$E,'Ausgaben 2024'!J$6)</f>
        <v>0</v>
      </c>
      <c r="K256" s="21">
        <f>SUMIFS(Einzelbeträge!$D:$D,Einzelbeträge!$C:$C,'Ausgaben 2024'!$C256,Einzelbeträge!$E:$E,'Ausgaben 2024'!K$6)</f>
        <v>0</v>
      </c>
      <c r="L256" s="21">
        <f>SUMIFS(Einzelbeträge!$D:$D,Einzelbeträge!$C:$C,'Ausgaben 2024'!$C256,Einzelbeträge!$E:$E,'Ausgaben 2024'!L$6)</f>
        <v>0</v>
      </c>
      <c r="M256" s="21">
        <f>SUMIFS(Einzelbeträge!$D:$D,Einzelbeträge!$C:$C,'Ausgaben 2024'!$C256,Einzelbeträge!$E:$E,'Ausgaben 2024'!M$6)</f>
        <v>0</v>
      </c>
      <c r="N256" s="35">
        <f>SUMIFS(Einzelbeträge!$D:$D,Einzelbeträge!$C:$C,'Ausgaben 2024'!$C256,Einzelbeträge!$E:$E,'Ausgaben 2024'!N$6)</f>
        <v>0</v>
      </c>
      <c r="O256" s="6"/>
    </row>
    <row r="257" spans="2:15" x14ac:dyDescent="0.35">
      <c r="B257" s="5"/>
      <c r="C257" s="40">
        <f t="shared" si="31"/>
        <v>45521</v>
      </c>
      <c r="D257" s="46">
        <f>SUMIFS(Einzelbeträge!$D:$D,Einzelbeträge!$C:$C,'Ausgaben 2024'!$C257)</f>
        <v>0</v>
      </c>
      <c r="E257" s="21">
        <f>SUMIFS(Einzelbeträge!$D:$D,Einzelbeträge!$C:$C,'Ausgaben 2024'!$C257,Einzelbeträge!$E:$E,'Ausgaben 2024'!E$6)</f>
        <v>0</v>
      </c>
      <c r="F257" s="21">
        <f>SUMIFS(Einzelbeträge!$D:$D,Einzelbeträge!$C:$C,'Ausgaben 2024'!$C257,Einzelbeträge!$E:$E,'Ausgaben 2024'!F$6)</f>
        <v>0</v>
      </c>
      <c r="G257" s="21">
        <f>SUMIFS(Einzelbeträge!$D:$D,Einzelbeträge!$C:$C,'Ausgaben 2024'!$C257,Einzelbeträge!$E:$E,'Ausgaben 2024'!G$6)</f>
        <v>0</v>
      </c>
      <c r="H257" s="21">
        <f>SUMIFS(Einzelbeträge!$D:$D,Einzelbeträge!$C:$C,'Ausgaben 2024'!$C257,Einzelbeträge!$E:$E,'Ausgaben 2024'!H$6)</f>
        <v>0</v>
      </c>
      <c r="I257" s="21">
        <f>SUMIFS(Einzelbeträge!$D:$D,Einzelbeträge!$C:$C,'Ausgaben 2024'!$C257,Einzelbeträge!$E:$E,'Ausgaben 2024'!I$6)</f>
        <v>0</v>
      </c>
      <c r="J257" s="21">
        <f>SUMIFS(Einzelbeträge!$D:$D,Einzelbeträge!$C:$C,'Ausgaben 2024'!$C257,Einzelbeträge!$E:$E,'Ausgaben 2024'!J$6)</f>
        <v>0</v>
      </c>
      <c r="K257" s="21">
        <f>SUMIFS(Einzelbeträge!$D:$D,Einzelbeträge!$C:$C,'Ausgaben 2024'!$C257,Einzelbeträge!$E:$E,'Ausgaben 2024'!K$6)</f>
        <v>0</v>
      </c>
      <c r="L257" s="21">
        <f>SUMIFS(Einzelbeträge!$D:$D,Einzelbeträge!$C:$C,'Ausgaben 2024'!$C257,Einzelbeträge!$E:$E,'Ausgaben 2024'!L$6)</f>
        <v>0</v>
      </c>
      <c r="M257" s="21">
        <f>SUMIFS(Einzelbeträge!$D:$D,Einzelbeträge!$C:$C,'Ausgaben 2024'!$C257,Einzelbeträge!$E:$E,'Ausgaben 2024'!M$6)</f>
        <v>0</v>
      </c>
      <c r="N257" s="35">
        <f>SUMIFS(Einzelbeträge!$D:$D,Einzelbeträge!$C:$C,'Ausgaben 2024'!$C257,Einzelbeträge!$E:$E,'Ausgaben 2024'!N$6)</f>
        <v>0</v>
      </c>
      <c r="O257" s="6"/>
    </row>
    <row r="258" spans="2:15" x14ac:dyDescent="0.35">
      <c r="B258" s="5"/>
      <c r="C258" s="40">
        <f t="shared" si="31"/>
        <v>45522</v>
      </c>
      <c r="D258" s="46">
        <f>SUMIFS(Einzelbeträge!$D:$D,Einzelbeträge!$C:$C,'Ausgaben 2024'!$C258)</f>
        <v>0</v>
      </c>
      <c r="E258" s="21">
        <f>SUMIFS(Einzelbeträge!$D:$D,Einzelbeträge!$C:$C,'Ausgaben 2024'!$C258,Einzelbeträge!$E:$E,'Ausgaben 2024'!E$6)</f>
        <v>0</v>
      </c>
      <c r="F258" s="21">
        <f>SUMIFS(Einzelbeträge!$D:$D,Einzelbeträge!$C:$C,'Ausgaben 2024'!$C258,Einzelbeträge!$E:$E,'Ausgaben 2024'!F$6)</f>
        <v>0</v>
      </c>
      <c r="G258" s="21">
        <f>SUMIFS(Einzelbeträge!$D:$D,Einzelbeträge!$C:$C,'Ausgaben 2024'!$C258,Einzelbeträge!$E:$E,'Ausgaben 2024'!G$6)</f>
        <v>0</v>
      </c>
      <c r="H258" s="21">
        <f>SUMIFS(Einzelbeträge!$D:$D,Einzelbeträge!$C:$C,'Ausgaben 2024'!$C258,Einzelbeträge!$E:$E,'Ausgaben 2024'!H$6)</f>
        <v>0</v>
      </c>
      <c r="I258" s="21">
        <f>SUMIFS(Einzelbeträge!$D:$D,Einzelbeträge!$C:$C,'Ausgaben 2024'!$C258,Einzelbeträge!$E:$E,'Ausgaben 2024'!I$6)</f>
        <v>0</v>
      </c>
      <c r="J258" s="21">
        <f>SUMIFS(Einzelbeträge!$D:$D,Einzelbeträge!$C:$C,'Ausgaben 2024'!$C258,Einzelbeträge!$E:$E,'Ausgaben 2024'!J$6)</f>
        <v>0</v>
      </c>
      <c r="K258" s="21">
        <f>SUMIFS(Einzelbeträge!$D:$D,Einzelbeträge!$C:$C,'Ausgaben 2024'!$C258,Einzelbeträge!$E:$E,'Ausgaben 2024'!K$6)</f>
        <v>0</v>
      </c>
      <c r="L258" s="21">
        <f>SUMIFS(Einzelbeträge!$D:$D,Einzelbeträge!$C:$C,'Ausgaben 2024'!$C258,Einzelbeträge!$E:$E,'Ausgaben 2024'!L$6)</f>
        <v>0</v>
      </c>
      <c r="M258" s="21">
        <f>SUMIFS(Einzelbeträge!$D:$D,Einzelbeträge!$C:$C,'Ausgaben 2024'!$C258,Einzelbeträge!$E:$E,'Ausgaben 2024'!M$6)</f>
        <v>0</v>
      </c>
      <c r="N258" s="35">
        <f>SUMIFS(Einzelbeträge!$D:$D,Einzelbeträge!$C:$C,'Ausgaben 2024'!$C258,Einzelbeträge!$E:$E,'Ausgaben 2024'!N$6)</f>
        <v>0</v>
      </c>
      <c r="O258" s="6"/>
    </row>
    <row r="259" spans="2:15" x14ac:dyDescent="0.35">
      <c r="B259" s="5"/>
      <c r="C259" s="40">
        <f t="shared" si="31"/>
        <v>45523</v>
      </c>
      <c r="D259" s="46">
        <f>SUMIFS(Einzelbeträge!$D:$D,Einzelbeträge!$C:$C,'Ausgaben 2024'!$C259)</f>
        <v>0</v>
      </c>
      <c r="E259" s="21">
        <f>SUMIFS(Einzelbeträge!$D:$D,Einzelbeträge!$C:$C,'Ausgaben 2024'!$C259,Einzelbeträge!$E:$E,'Ausgaben 2024'!E$6)</f>
        <v>0</v>
      </c>
      <c r="F259" s="21">
        <f>SUMIFS(Einzelbeträge!$D:$D,Einzelbeträge!$C:$C,'Ausgaben 2024'!$C259,Einzelbeträge!$E:$E,'Ausgaben 2024'!F$6)</f>
        <v>0</v>
      </c>
      <c r="G259" s="21">
        <f>SUMIFS(Einzelbeträge!$D:$D,Einzelbeträge!$C:$C,'Ausgaben 2024'!$C259,Einzelbeträge!$E:$E,'Ausgaben 2024'!G$6)</f>
        <v>0</v>
      </c>
      <c r="H259" s="21">
        <f>SUMIFS(Einzelbeträge!$D:$D,Einzelbeträge!$C:$C,'Ausgaben 2024'!$C259,Einzelbeträge!$E:$E,'Ausgaben 2024'!H$6)</f>
        <v>0</v>
      </c>
      <c r="I259" s="21">
        <f>SUMIFS(Einzelbeträge!$D:$D,Einzelbeträge!$C:$C,'Ausgaben 2024'!$C259,Einzelbeträge!$E:$E,'Ausgaben 2024'!I$6)</f>
        <v>0</v>
      </c>
      <c r="J259" s="21">
        <f>SUMIFS(Einzelbeträge!$D:$D,Einzelbeträge!$C:$C,'Ausgaben 2024'!$C259,Einzelbeträge!$E:$E,'Ausgaben 2024'!J$6)</f>
        <v>0</v>
      </c>
      <c r="K259" s="21">
        <f>SUMIFS(Einzelbeträge!$D:$D,Einzelbeträge!$C:$C,'Ausgaben 2024'!$C259,Einzelbeträge!$E:$E,'Ausgaben 2024'!K$6)</f>
        <v>0</v>
      </c>
      <c r="L259" s="21">
        <f>SUMIFS(Einzelbeträge!$D:$D,Einzelbeträge!$C:$C,'Ausgaben 2024'!$C259,Einzelbeträge!$E:$E,'Ausgaben 2024'!L$6)</f>
        <v>0</v>
      </c>
      <c r="M259" s="21">
        <f>SUMIFS(Einzelbeträge!$D:$D,Einzelbeträge!$C:$C,'Ausgaben 2024'!$C259,Einzelbeträge!$E:$E,'Ausgaben 2024'!M$6)</f>
        <v>0</v>
      </c>
      <c r="N259" s="35">
        <f>SUMIFS(Einzelbeträge!$D:$D,Einzelbeträge!$C:$C,'Ausgaben 2024'!$C259,Einzelbeträge!$E:$E,'Ausgaben 2024'!N$6)</f>
        <v>0</v>
      </c>
      <c r="O259" s="6"/>
    </row>
    <row r="260" spans="2:15" x14ac:dyDescent="0.35">
      <c r="B260" s="5"/>
      <c r="C260" s="40">
        <f t="shared" si="31"/>
        <v>45524</v>
      </c>
      <c r="D260" s="46">
        <f>SUMIFS(Einzelbeträge!$D:$D,Einzelbeträge!$C:$C,'Ausgaben 2024'!$C260)</f>
        <v>0</v>
      </c>
      <c r="E260" s="21">
        <f>SUMIFS(Einzelbeträge!$D:$D,Einzelbeträge!$C:$C,'Ausgaben 2024'!$C260,Einzelbeträge!$E:$E,'Ausgaben 2024'!E$6)</f>
        <v>0</v>
      </c>
      <c r="F260" s="21">
        <f>SUMIFS(Einzelbeträge!$D:$D,Einzelbeträge!$C:$C,'Ausgaben 2024'!$C260,Einzelbeträge!$E:$E,'Ausgaben 2024'!F$6)</f>
        <v>0</v>
      </c>
      <c r="G260" s="21">
        <f>SUMIFS(Einzelbeträge!$D:$D,Einzelbeträge!$C:$C,'Ausgaben 2024'!$C260,Einzelbeträge!$E:$E,'Ausgaben 2024'!G$6)</f>
        <v>0</v>
      </c>
      <c r="H260" s="21">
        <f>SUMIFS(Einzelbeträge!$D:$D,Einzelbeträge!$C:$C,'Ausgaben 2024'!$C260,Einzelbeträge!$E:$E,'Ausgaben 2024'!H$6)</f>
        <v>0</v>
      </c>
      <c r="I260" s="21">
        <f>SUMIFS(Einzelbeträge!$D:$D,Einzelbeträge!$C:$C,'Ausgaben 2024'!$C260,Einzelbeträge!$E:$E,'Ausgaben 2024'!I$6)</f>
        <v>0</v>
      </c>
      <c r="J260" s="21">
        <f>SUMIFS(Einzelbeträge!$D:$D,Einzelbeträge!$C:$C,'Ausgaben 2024'!$C260,Einzelbeträge!$E:$E,'Ausgaben 2024'!J$6)</f>
        <v>0</v>
      </c>
      <c r="K260" s="21">
        <f>SUMIFS(Einzelbeträge!$D:$D,Einzelbeträge!$C:$C,'Ausgaben 2024'!$C260,Einzelbeträge!$E:$E,'Ausgaben 2024'!K$6)</f>
        <v>0</v>
      </c>
      <c r="L260" s="21">
        <f>SUMIFS(Einzelbeträge!$D:$D,Einzelbeträge!$C:$C,'Ausgaben 2024'!$C260,Einzelbeträge!$E:$E,'Ausgaben 2024'!L$6)</f>
        <v>0</v>
      </c>
      <c r="M260" s="21">
        <f>SUMIFS(Einzelbeträge!$D:$D,Einzelbeträge!$C:$C,'Ausgaben 2024'!$C260,Einzelbeträge!$E:$E,'Ausgaben 2024'!M$6)</f>
        <v>0</v>
      </c>
      <c r="N260" s="35">
        <f>SUMIFS(Einzelbeträge!$D:$D,Einzelbeträge!$C:$C,'Ausgaben 2024'!$C260,Einzelbeträge!$E:$E,'Ausgaben 2024'!N$6)</f>
        <v>0</v>
      </c>
      <c r="O260" s="6"/>
    </row>
    <row r="261" spans="2:15" x14ac:dyDescent="0.35">
      <c r="B261" s="5"/>
      <c r="C261" s="40">
        <f t="shared" si="31"/>
        <v>45525</v>
      </c>
      <c r="D261" s="46">
        <f>SUMIFS(Einzelbeträge!$D:$D,Einzelbeträge!$C:$C,'Ausgaben 2024'!$C261)</f>
        <v>0</v>
      </c>
      <c r="E261" s="21">
        <f>SUMIFS(Einzelbeträge!$D:$D,Einzelbeträge!$C:$C,'Ausgaben 2024'!$C261,Einzelbeträge!$E:$E,'Ausgaben 2024'!E$6)</f>
        <v>0</v>
      </c>
      <c r="F261" s="21">
        <f>SUMIFS(Einzelbeträge!$D:$D,Einzelbeträge!$C:$C,'Ausgaben 2024'!$C261,Einzelbeträge!$E:$E,'Ausgaben 2024'!F$6)</f>
        <v>0</v>
      </c>
      <c r="G261" s="21">
        <f>SUMIFS(Einzelbeträge!$D:$D,Einzelbeträge!$C:$C,'Ausgaben 2024'!$C261,Einzelbeträge!$E:$E,'Ausgaben 2024'!G$6)</f>
        <v>0</v>
      </c>
      <c r="H261" s="21">
        <f>SUMIFS(Einzelbeträge!$D:$D,Einzelbeträge!$C:$C,'Ausgaben 2024'!$C261,Einzelbeträge!$E:$E,'Ausgaben 2024'!H$6)</f>
        <v>0</v>
      </c>
      <c r="I261" s="21">
        <f>SUMIFS(Einzelbeträge!$D:$D,Einzelbeträge!$C:$C,'Ausgaben 2024'!$C261,Einzelbeträge!$E:$E,'Ausgaben 2024'!I$6)</f>
        <v>0</v>
      </c>
      <c r="J261" s="21">
        <f>SUMIFS(Einzelbeträge!$D:$D,Einzelbeträge!$C:$C,'Ausgaben 2024'!$C261,Einzelbeträge!$E:$E,'Ausgaben 2024'!J$6)</f>
        <v>0</v>
      </c>
      <c r="K261" s="21">
        <f>SUMIFS(Einzelbeträge!$D:$D,Einzelbeträge!$C:$C,'Ausgaben 2024'!$C261,Einzelbeträge!$E:$E,'Ausgaben 2024'!K$6)</f>
        <v>0</v>
      </c>
      <c r="L261" s="21">
        <f>SUMIFS(Einzelbeträge!$D:$D,Einzelbeträge!$C:$C,'Ausgaben 2024'!$C261,Einzelbeträge!$E:$E,'Ausgaben 2024'!L$6)</f>
        <v>0</v>
      </c>
      <c r="M261" s="21">
        <f>SUMIFS(Einzelbeträge!$D:$D,Einzelbeträge!$C:$C,'Ausgaben 2024'!$C261,Einzelbeträge!$E:$E,'Ausgaben 2024'!M$6)</f>
        <v>0</v>
      </c>
      <c r="N261" s="35">
        <f>SUMIFS(Einzelbeträge!$D:$D,Einzelbeträge!$C:$C,'Ausgaben 2024'!$C261,Einzelbeträge!$E:$E,'Ausgaben 2024'!N$6)</f>
        <v>0</v>
      </c>
      <c r="O261" s="6"/>
    </row>
    <row r="262" spans="2:15" x14ac:dyDescent="0.35">
      <c r="B262" s="5"/>
      <c r="C262" s="40">
        <f t="shared" si="31"/>
        <v>45526</v>
      </c>
      <c r="D262" s="46">
        <f>SUMIFS(Einzelbeträge!$D:$D,Einzelbeträge!$C:$C,'Ausgaben 2024'!$C262)</f>
        <v>0</v>
      </c>
      <c r="E262" s="21">
        <f>SUMIFS(Einzelbeträge!$D:$D,Einzelbeträge!$C:$C,'Ausgaben 2024'!$C262,Einzelbeträge!$E:$E,'Ausgaben 2024'!E$6)</f>
        <v>0</v>
      </c>
      <c r="F262" s="21">
        <f>SUMIFS(Einzelbeträge!$D:$D,Einzelbeträge!$C:$C,'Ausgaben 2024'!$C262,Einzelbeträge!$E:$E,'Ausgaben 2024'!F$6)</f>
        <v>0</v>
      </c>
      <c r="G262" s="21">
        <f>SUMIFS(Einzelbeträge!$D:$D,Einzelbeträge!$C:$C,'Ausgaben 2024'!$C262,Einzelbeträge!$E:$E,'Ausgaben 2024'!G$6)</f>
        <v>0</v>
      </c>
      <c r="H262" s="21">
        <f>SUMIFS(Einzelbeträge!$D:$D,Einzelbeträge!$C:$C,'Ausgaben 2024'!$C262,Einzelbeträge!$E:$E,'Ausgaben 2024'!H$6)</f>
        <v>0</v>
      </c>
      <c r="I262" s="21">
        <f>SUMIFS(Einzelbeträge!$D:$D,Einzelbeträge!$C:$C,'Ausgaben 2024'!$C262,Einzelbeträge!$E:$E,'Ausgaben 2024'!I$6)</f>
        <v>0</v>
      </c>
      <c r="J262" s="21">
        <f>SUMIFS(Einzelbeträge!$D:$D,Einzelbeträge!$C:$C,'Ausgaben 2024'!$C262,Einzelbeträge!$E:$E,'Ausgaben 2024'!J$6)</f>
        <v>0</v>
      </c>
      <c r="K262" s="21">
        <f>SUMIFS(Einzelbeträge!$D:$D,Einzelbeträge!$C:$C,'Ausgaben 2024'!$C262,Einzelbeträge!$E:$E,'Ausgaben 2024'!K$6)</f>
        <v>0</v>
      </c>
      <c r="L262" s="21">
        <f>SUMIFS(Einzelbeträge!$D:$D,Einzelbeträge!$C:$C,'Ausgaben 2024'!$C262,Einzelbeträge!$E:$E,'Ausgaben 2024'!L$6)</f>
        <v>0</v>
      </c>
      <c r="M262" s="21">
        <f>SUMIFS(Einzelbeträge!$D:$D,Einzelbeträge!$C:$C,'Ausgaben 2024'!$C262,Einzelbeträge!$E:$E,'Ausgaben 2024'!M$6)</f>
        <v>0</v>
      </c>
      <c r="N262" s="35">
        <f>SUMIFS(Einzelbeträge!$D:$D,Einzelbeträge!$C:$C,'Ausgaben 2024'!$C262,Einzelbeträge!$E:$E,'Ausgaben 2024'!N$6)</f>
        <v>0</v>
      </c>
      <c r="O262" s="6"/>
    </row>
    <row r="263" spans="2:15" x14ac:dyDescent="0.35">
      <c r="B263" s="5"/>
      <c r="C263" s="40">
        <f t="shared" si="31"/>
        <v>45527</v>
      </c>
      <c r="D263" s="46">
        <f>SUMIFS(Einzelbeträge!$D:$D,Einzelbeträge!$C:$C,'Ausgaben 2024'!$C263)</f>
        <v>0</v>
      </c>
      <c r="E263" s="21">
        <f>SUMIFS(Einzelbeträge!$D:$D,Einzelbeträge!$C:$C,'Ausgaben 2024'!$C263,Einzelbeträge!$E:$E,'Ausgaben 2024'!E$6)</f>
        <v>0</v>
      </c>
      <c r="F263" s="21">
        <f>SUMIFS(Einzelbeträge!$D:$D,Einzelbeträge!$C:$C,'Ausgaben 2024'!$C263,Einzelbeträge!$E:$E,'Ausgaben 2024'!F$6)</f>
        <v>0</v>
      </c>
      <c r="G263" s="21">
        <f>SUMIFS(Einzelbeträge!$D:$D,Einzelbeträge!$C:$C,'Ausgaben 2024'!$C263,Einzelbeträge!$E:$E,'Ausgaben 2024'!G$6)</f>
        <v>0</v>
      </c>
      <c r="H263" s="21">
        <f>SUMIFS(Einzelbeträge!$D:$D,Einzelbeträge!$C:$C,'Ausgaben 2024'!$C263,Einzelbeträge!$E:$E,'Ausgaben 2024'!H$6)</f>
        <v>0</v>
      </c>
      <c r="I263" s="21">
        <f>SUMIFS(Einzelbeträge!$D:$D,Einzelbeträge!$C:$C,'Ausgaben 2024'!$C263,Einzelbeträge!$E:$E,'Ausgaben 2024'!I$6)</f>
        <v>0</v>
      </c>
      <c r="J263" s="21">
        <f>SUMIFS(Einzelbeträge!$D:$D,Einzelbeträge!$C:$C,'Ausgaben 2024'!$C263,Einzelbeträge!$E:$E,'Ausgaben 2024'!J$6)</f>
        <v>0</v>
      </c>
      <c r="K263" s="21">
        <f>SUMIFS(Einzelbeträge!$D:$D,Einzelbeträge!$C:$C,'Ausgaben 2024'!$C263,Einzelbeträge!$E:$E,'Ausgaben 2024'!K$6)</f>
        <v>0</v>
      </c>
      <c r="L263" s="21">
        <f>SUMIFS(Einzelbeträge!$D:$D,Einzelbeträge!$C:$C,'Ausgaben 2024'!$C263,Einzelbeträge!$E:$E,'Ausgaben 2024'!L$6)</f>
        <v>0</v>
      </c>
      <c r="M263" s="21">
        <f>SUMIFS(Einzelbeträge!$D:$D,Einzelbeträge!$C:$C,'Ausgaben 2024'!$C263,Einzelbeträge!$E:$E,'Ausgaben 2024'!M$6)</f>
        <v>0</v>
      </c>
      <c r="N263" s="35">
        <f>SUMIFS(Einzelbeträge!$D:$D,Einzelbeträge!$C:$C,'Ausgaben 2024'!$C263,Einzelbeträge!$E:$E,'Ausgaben 2024'!N$6)</f>
        <v>0</v>
      </c>
      <c r="O263" s="6"/>
    </row>
    <row r="264" spans="2:15" x14ac:dyDescent="0.35">
      <c r="B264" s="5"/>
      <c r="C264" s="40">
        <f t="shared" si="31"/>
        <v>45528</v>
      </c>
      <c r="D264" s="46">
        <f>SUMIFS(Einzelbeträge!$D:$D,Einzelbeträge!$C:$C,'Ausgaben 2024'!$C264)</f>
        <v>0</v>
      </c>
      <c r="E264" s="21">
        <f>SUMIFS(Einzelbeträge!$D:$D,Einzelbeträge!$C:$C,'Ausgaben 2024'!$C264,Einzelbeträge!$E:$E,'Ausgaben 2024'!E$6)</f>
        <v>0</v>
      </c>
      <c r="F264" s="21">
        <f>SUMIFS(Einzelbeträge!$D:$D,Einzelbeträge!$C:$C,'Ausgaben 2024'!$C264,Einzelbeträge!$E:$E,'Ausgaben 2024'!F$6)</f>
        <v>0</v>
      </c>
      <c r="G264" s="21">
        <f>SUMIFS(Einzelbeträge!$D:$D,Einzelbeträge!$C:$C,'Ausgaben 2024'!$C264,Einzelbeträge!$E:$E,'Ausgaben 2024'!G$6)</f>
        <v>0</v>
      </c>
      <c r="H264" s="21">
        <f>SUMIFS(Einzelbeträge!$D:$D,Einzelbeträge!$C:$C,'Ausgaben 2024'!$C264,Einzelbeträge!$E:$E,'Ausgaben 2024'!H$6)</f>
        <v>0</v>
      </c>
      <c r="I264" s="21">
        <f>SUMIFS(Einzelbeträge!$D:$D,Einzelbeträge!$C:$C,'Ausgaben 2024'!$C264,Einzelbeträge!$E:$E,'Ausgaben 2024'!I$6)</f>
        <v>0</v>
      </c>
      <c r="J264" s="21">
        <f>SUMIFS(Einzelbeträge!$D:$D,Einzelbeträge!$C:$C,'Ausgaben 2024'!$C264,Einzelbeträge!$E:$E,'Ausgaben 2024'!J$6)</f>
        <v>0</v>
      </c>
      <c r="K264" s="21">
        <f>SUMIFS(Einzelbeträge!$D:$D,Einzelbeträge!$C:$C,'Ausgaben 2024'!$C264,Einzelbeträge!$E:$E,'Ausgaben 2024'!K$6)</f>
        <v>0</v>
      </c>
      <c r="L264" s="21">
        <f>SUMIFS(Einzelbeträge!$D:$D,Einzelbeträge!$C:$C,'Ausgaben 2024'!$C264,Einzelbeträge!$E:$E,'Ausgaben 2024'!L$6)</f>
        <v>0</v>
      </c>
      <c r="M264" s="21">
        <f>SUMIFS(Einzelbeträge!$D:$D,Einzelbeträge!$C:$C,'Ausgaben 2024'!$C264,Einzelbeträge!$E:$E,'Ausgaben 2024'!M$6)</f>
        <v>0</v>
      </c>
      <c r="N264" s="35">
        <f>SUMIFS(Einzelbeträge!$D:$D,Einzelbeträge!$C:$C,'Ausgaben 2024'!$C264,Einzelbeträge!$E:$E,'Ausgaben 2024'!N$6)</f>
        <v>0</v>
      </c>
      <c r="O264" s="6"/>
    </row>
    <row r="265" spans="2:15" x14ac:dyDescent="0.35">
      <c r="B265" s="5"/>
      <c r="C265" s="40">
        <f t="shared" si="31"/>
        <v>45529</v>
      </c>
      <c r="D265" s="46">
        <f>SUMIFS(Einzelbeträge!$D:$D,Einzelbeträge!$C:$C,'Ausgaben 2024'!$C265)</f>
        <v>0</v>
      </c>
      <c r="E265" s="21">
        <f>SUMIFS(Einzelbeträge!$D:$D,Einzelbeträge!$C:$C,'Ausgaben 2024'!$C265,Einzelbeträge!$E:$E,'Ausgaben 2024'!E$6)</f>
        <v>0</v>
      </c>
      <c r="F265" s="21">
        <f>SUMIFS(Einzelbeträge!$D:$D,Einzelbeträge!$C:$C,'Ausgaben 2024'!$C265,Einzelbeträge!$E:$E,'Ausgaben 2024'!F$6)</f>
        <v>0</v>
      </c>
      <c r="G265" s="21">
        <f>SUMIFS(Einzelbeträge!$D:$D,Einzelbeträge!$C:$C,'Ausgaben 2024'!$C265,Einzelbeträge!$E:$E,'Ausgaben 2024'!G$6)</f>
        <v>0</v>
      </c>
      <c r="H265" s="21">
        <f>SUMIFS(Einzelbeträge!$D:$D,Einzelbeträge!$C:$C,'Ausgaben 2024'!$C265,Einzelbeträge!$E:$E,'Ausgaben 2024'!H$6)</f>
        <v>0</v>
      </c>
      <c r="I265" s="21">
        <f>SUMIFS(Einzelbeträge!$D:$D,Einzelbeträge!$C:$C,'Ausgaben 2024'!$C265,Einzelbeträge!$E:$E,'Ausgaben 2024'!I$6)</f>
        <v>0</v>
      </c>
      <c r="J265" s="21">
        <f>SUMIFS(Einzelbeträge!$D:$D,Einzelbeträge!$C:$C,'Ausgaben 2024'!$C265,Einzelbeträge!$E:$E,'Ausgaben 2024'!J$6)</f>
        <v>0</v>
      </c>
      <c r="K265" s="21">
        <f>SUMIFS(Einzelbeträge!$D:$D,Einzelbeträge!$C:$C,'Ausgaben 2024'!$C265,Einzelbeträge!$E:$E,'Ausgaben 2024'!K$6)</f>
        <v>0</v>
      </c>
      <c r="L265" s="21">
        <f>SUMIFS(Einzelbeträge!$D:$D,Einzelbeträge!$C:$C,'Ausgaben 2024'!$C265,Einzelbeträge!$E:$E,'Ausgaben 2024'!L$6)</f>
        <v>0</v>
      </c>
      <c r="M265" s="21">
        <f>SUMIFS(Einzelbeträge!$D:$D,Einzelbeträge!$C:$C,'Ausgaben 2024'!$C265,Einzelbeträge!$E:$E,'Ausgaben 2024'!M$6)</f>
        <v>0</v>
      </c>
      <c r="N265" s="35">
        <f>SUMIFS(Einzelbeträge!$D:$D,Einzelbeträge!$C:$C,'Ausgaben 2024'!$C265,Einzelbeträge!$E:$E,'Ausgaben 2024'!N$6)</f>
        <v>0</v>
      </c>
      <c r="O265" s="6"/>
    </row>
    <row r="266" spans="2:15" x14ac:dyDescent="0.35">
      <c r="B266" s="5"/>
      <c r="C266" s="40">
        <f t="shared" si="31"/>
        <v>45530</v>
      </c>
      <c r="D266" s="46">
        <f>SUMIFS(Einzelbeträge!$D:$D,Einzelbeträge!$C:$C,'Ausgaben 2024'!$C266)</f>
        <v>0</v>
      </c>
      <c r="E266" s="21">
        <f>SUMIFS(Einzelbeträge!$D:$D,Einzelbeträge!$C:$C,'Ausgaben 2024'!$C266,Einzelbeträge!$E:$E,'Ausgaben 2024'!E$6)</f>
        <v>0</v>
      </c>
      <c r="F266" s="21">
        <f>SUMIFS(Einzelbeträge!$D:$D,Einzelbeträge!$C:$C,'Ausgaben 2024'!$C266,Einzelbeträge!$E:$E,'Ausgaben 2024'!F$6)</f>
        <v>0</v>
      </c>
      <c r="G266" s="21">
        <f>SUMIFS(Einzelbeträge!$D:$D,Einzelbeträge!$C:$C,'Ausgaben 2024'!$C266,Einzelbeträge!$E:$E,'Ausgaben 2024'!G$6)</f>
        <v>0</v>
      </c>
      <c r="H266" s="21">
        <f>SUMIFS(Einzelbeträge!$D:$D,Einzelbeträge!$C:$C,'Ausgaben 2024'!$C266,Einzelbeträge!$E:$E,'Ausgaben 2024'!H$6)</f>
        <v>0</v>
      </c>
      <c r="I266" s="21">
        <f>SUMIFS(Einzelbeträge!$D:$D,Einzelbeträge!$C:$C,'Ausgaben 2024'!$C266,Einzelbeträge!$E:$E,'Ausgaben 2024'!I$6)</f>
        <v>0</v>
      </c>
      <c r="J266" s="21">
        <f>SUMIFS(Einzelbeträge!$D:$D,Einzelbeträge!$C:$C,'Ausgaben 2024'!$C266,Einzelbeträge!$E:$E,'Ausgaben 2024'!J$6)</f>
        <v>0</v>
      </c>
      <c r="K266" s="21">
        <f>SUMIFS(Einzelbeträge!$D:$D,Einzelbeträge!$C:$C,'Ausgaben 2024'!$C266,Einzelbeträge!$E:$E,'Ausgaben 2024'!K$6)</f>
        <v>0</v>
      </c>
      <c r="L266" s="21">
        <f>SUMIFS(Einzelbeträge!$D:$D,Einzelbeträge!$C:$C,'Ausgaben 2024'!$C266,Einzelbeträge!$E:$E,'Ausgaben 2024'!L$6)</f>
        <v>0</v>
      </c>
      <c r="M266" s="21">
        <f>SUMIFS(Einzelbeträge!$D:$D,Einzelbeträge!$C:$C,'Ausgaben 2024'!$C266,Einzelbeträge!$E:$E,'Ausgaben 2024'!M$6)</f>
        <v>0</v>
      </c>
      <c r="N266" s="35">
        <f>SUMIFS(Einzelbeträge!$D:$D,Einzelbeträge!$C:$C,'Ausgaben 2024'!$C266,Einzelbeträge!$E:$E,'Ausgaben 2024'!N$6)</f>
        <v>0</v>
      </c>
      <c r="O266" s="6"/>
    </row>
    <row r="267" spans="2:15" x14ac:dyDescent="0.35">
      <c r="B267" s="5"/>
      <c r="C267" s="40">
        <f t="shared" si="31"/>
        <v>45531</v>
      </c>
      <c r="D267" s="46">
        <f>SUMIFS(Einzelbeträge!$D:$D,Einzelbeträge!$C:$C,'Ausgaben 2024'!$C267)</f>
        <v>0</v>
      </c>
      <c r="E267" s="21">
        <f>SUMIFS(Einzelbeträge!$D:$D,Einzelbeträge!$C:$C,'Ausgaben 2024'!$C267,Einzelbeträge!$E:$E,'Ausgaben 2024'!E$6)</f>
        <v>0</v>
      </c>
      <c r="F267" s="21">
        <f>SUMIFS(Einzelbeträge!$D:$D,Einzelbeträge!$C:$C,'Ausgaben 2024'!$C267,Einzelbeträge!$E:$E,'Ausgaben 2024'!F$6)</f>
        <v>0</v>
      </c>
      <c r="G267" s="21">
        <f>SUMIFS(Einzelbeträge!$D:$D,Einzelbeträge!$C:$C,'Ausgaben 2024'!$C267,Einzelbeträge!$E:$E,'Ausgaben 2024'!G$6)</f>
        <v>0</v>
      </c>
      <c r="H267" s="21">
        <f>SUMIFS(Einzelbeträge!$D:$D,Einzelbeträge!$C:$C,'Ausgaben 2024'!$C267,Einzelbeträge!$E:$E,'Ausgaben 2024'!H$6)</f>
        <v>0</v>
      </c>
      <c r="I267" s="21">
        <f>SUMIFS(Einzelbeträge!$D:$D,Einzelbeträge!$C:$C,'Ausgaben 2024'!$C267,Einzelbeträge!$E:$E,'Ausgaben 2024'!I$6)</f>
        <v>0</v>
      </c>
      <c r="J267" s="21">
        <f>SUMIFS(Einzelbeträge!$D:$D,Einzelbeträge!$C:$C,'Ausgaben 2024'!$C267,Einzelbeträge!$E:$E,'Ausgaben 2024'!J$6)</f>
        <v>0</v>
      </c>
      <c r="K267" s="21">
        <f>SUMIFS(Einzelbeträge!$D:$D,Einzelbeträge!$C:$C,'Ausgaben 2024'!$C267,Einzelbeträge!$E:$E,'Ausgaben 2024'!K$6)</f>
        <v>0</v>
      </c>
      <c r="L267" s="21">
        <f>SUMIFS(Einzelbeträge!$D:$D,Einzelbeträge!$C:$C,'Ausgaben 2024'!$C267,Einzelbeträge!$E:$E,'Ausgaben 2024'!L$6)</f>
        <v>0</v>
      </c>
      <c r="M267" s="21">
        <f>SUMIFS(Einzelbeträge!$D:$D,Einzelbeträge!$C:$C,'Ausgaben 2024'!$C267,Einzelbeträge!$E:$E,'Ausgaben 2024'!M$6)</f>
        <v>0</v>
      </c>
      <c r="N267" s="35">
        <f>SUMIFS(Einzelbeträge!$D:$D,Einzelbeträge!$C:$C,'Ausgaben 2024'!$C267,Einzelbeträge!$E:$E,'Ausgaben 2024'!N$6)</f>
        <v>0</v>
      </c>
      <c r="O267" s="6"/>
    </row>
    <row r="268" spans="2:15" x14ac:dyDescent="0.35">
      <c r="B268" s="5"/>
      <c r="C268" s="40">
        <f t="shared" si="31"/>
        <v>45532</v>
      </c>
      <c r="D268" s="46">
        <f>SUMIFS(Einzelbeträge!$D:$D,Einzelbeträge!$C:$C,'Ausgaben 2024'!$C268)</f>
        <v>0</v>
      </c>
      <c r="E268" s="21">
        <f>SUMIFS(Einzelbeträge!$D:$D,Einzelbeträge!$C:$C,'Ausgaben 2024'!$C268,Einzelbeträge!$E:$E,'Ausgaben 2024'!E$6)</f>
        <v>0</v>
      </c>
      <c r="F268" s="21">
        <f>SUMIFS(Einzelbeträge!$D:$D,Einzelbeträge!$C:$C,'Ausgaben 2024'!$C268,Einzelbeträge!$E:$E,'Ausgaben 2024'!F$6)</f>
        <v>0</v>
      </c>
      <c r="G268" s="21">
        <f>SUMIFS(Einzelbeträge!$D:$D,Einzelbeträge!$C:$C,'Ausgaben 2024'!$C268,Einzelbeträge!$E:$E,'Ausgaben 2024'!G$6)</f>
        <v>0</v>
      </c>
      <c r="H268" s="21">
        <f>SUMIFS(Einzelbeträge!$D:$D,Einzelbeträge!$C:$C,'Ausgaben 2024'!$C268,Einzelbeträge!$E:$E,'Ausgaben 2024'!H$6)</f>
        <v>0</v>
      </c>
      <c r="I268" s="21">
        <f>SUMIFS(Einzelbeträge!$D:$D,Einzelbeträge!$C:$C,'Ausgaben 2024'!$C268,Einzelbeträge!$E:$E,'Ausgaben 2024'!I$6)</f>
        <v>0</v>
      </c>
      <c r="J268" s="21">
        <f>SUMIFS(Einzelbeträge!$D:$D,Einzelbeträge!$C:$C,'Ausgaben 2024'!$C268,Einzelbeträge!$E:$E,'Ausgaben 2024'!J$6)</f>
        <v>0</v>
      </c>
      <c r="K268" s="21">
        <f>SUMIFS(Einzelbeträge!$D:$D,Einzelbeträge!$C:$C,'Ausgaben 2024'!$C268,Einzelbeträge!$E:$E,'Ausgaben 2024'!K$6)</f>
        <v>0</v>
      </c>
      <c r="L268" s="21">
        <f>SUMIFS(Einzelbeträge!$D:$D,Einzelbeträge!$C:$C,'Ausgaben 2024'!$C268,Einzelbeträge!$E:$E,'Ausgaben 2024'!L$6)</f>
        <v>0</v>
      </c>
      <c r="M268" s="21">
        <f>SUMIFS(Einzelbeträge!$D:$D,Einzelbeträge!$C:$C,'Ausgaben 2024'!$C268,Einzelbeträge!$E:$E,'Ausgaben 2024'!M$6)</f>
        <v>0</v>
      </c>
      <c r="N268" s="35">
        <f>SUMIFS(Einzelbeträge!$D:$D,Einzelbeträge!$C:$C,'Ausgaben 2024'!$C268,Einzelbeträge!$E:$E,'Ausgaben 2024'!N$6)</f>
        <v>0</v>
      </c>
      <c r="O268" s="6"/>
    </row>
    <row r="269" spans="2:15" x14ac:dyDescent="0.35">
      <c r="B269" s="5"/>
      <c r="C269" s="40">
        <f t="shared" si="31"/>
        <v>45533</v>
      </c>
      <c r="D269" s="46">
        <f>SUMIFS(Einzelbeträge!$D:$D,Einzelbeträge!$C:$C,'Ausgaben 2024'!$C269)</f>
        <v>0</v>
      </c>
      <c r="E269" s="21">
        <f>SUMIFS(Einzelbeträge!$D:$D,Einzelbeträge!$C:$C,'Ausgaben 2024'!$C269,Einzelbeträge!$E:$E,'Ausgaben 2024'!E$6)</f>
        <v>0</v>
      </c>
      <c r="F269" s="21">
        <f>SUMIFS(Einzelbeträge!$D:$D,Einzelbeträge!$C:$C,'Ausgaben 2024'!$C269,Einzelbeträge!$E:$E,'Ausgaben 2024'!F$6)</f>
        <v>0</v>
      </c>
      <c r="G269" s="21">
        <f>SUMIFS(Einzelbeträge!$D:$D,Einzelbeträge!$C:$C,'Ausgaben 2024'!$C269,Einzelbeträge!$E:$E,'Ausgaben 2024'!G$6)</f>
        <v>0</v>
      </c>
      <c r="H269" s="21">
        <f>SUMIFS(Einzelbeträge!$D:$D,Einzelbeträge!$C:$C,'Ausgaben 2024'!$C269,Einzelbeträge!$E:$E,'Ausgaben 2024'!H$6)</f>
        <v>0</v>
      </c>
      <c r="I269" s="21">
        <f>SUMIFS(Einzelbeträge!$D:$D,Einzelbeträge!$C:$C,'Ausgaben 2024'!$C269,Einzelbeträge!$E:$E,'Ausgaben 2024'!I$6)</f>
        <v>0</v>
      </c>
      <c r="J269" s="21">
        <f>SUMIFS(Einzelbeträge!$D:$D,Einzelbeträge!$C:$C,'Ausgaben 2024'!$C269,Einzelbeträge!$E:$E,'Ausgaben 2024'!J$6)</f>
        <v>0</v>
      </c>
      <c r="K269" s="21">
        <f>SUMIFS(Einzelbeträge!$D:$D,Einzelbeträge!$C:$C,'Ausgaben 2024'!$C269,Einzelbeträge!$E:$E,'Ausgaben 2024'!K$6)</f>
        <v>0</v>
      </c>
      <c r="L269" s="21">
        <f>SUMIFS(Einzelbeträge!$D:$D,Einzelbeträge!$C:$C,'Ausgaben 2024'!$C269,Einzelbeträge!$E:$E,'Ausgaben 2024'!L$6)</f>
        <v>0</v>
      </c>
      <c r="M269" s="21">
        <f>SUMIFS(Einzelbeträge!$D:$D,Einzelbeträge!$C:$C,'Ausgaben 2024'!$C269,Einzelbeträge!$E:$E,'Ausgaben 2024'!M$6)</f>
        <v>0</v>
      </c>
      <c r="N269" s="35">
        <f>SUMIFS(Einzelbeträge!$D:$D,Einzelbeträge!$C:$C,'Ausgaben 2024'!$C269,Einzelbeträge!$E:$E,'Ausgaben 2024'!N$6)</f>
        <v>0</v>
      </c>
      <c r="O269" s="6"/>
    </row>
    <row r="270" spans="2:15" x14ac:dyDescent="0.35">
      <c r="B270" s="5"/>
      <c r="C270" s="40">
        <f t="shared" si="31"/>
        <v>45534</v>
      </c>
      <c r="D270" s="46">
        <f>SUMIFS(Einzelbeträge!$D:$D,Einzelbeträge!$C:$C,'Ausgaben 2024'!$C270)</f>
        <v>0</v>
      </c>
      <c r="E270" s="21">
        <f>SUMIFS(Einzelbeträge!$D:$D,Einzelbeträge!$C:$C,'Ausgaben 2024'!$C270,Einzelbeträge!$E:$E,'Ausgaben 2024'!E$6)</f>
        <v>0</v>
      </c>
      <c r="F270" s="21">
        <f>SUMIFS(Einzelbeträge!$D:$D,Einzelbeträge!$C:$C,'Ausgaben 2024'!$C270,Einzelbeträge!$E:$E,'Ausgaben 2024'!F$6)</f>
        <v>0</v>
      </c>
      <c r="G270" s="21">
        <f>SUMIFS(Einzelbeträge!$D:$D,Einzelbeträge!$C:$C,'Ausgaben 2024'!$C270,Einzelbeträge!$E:$E,'Ausgaben 2024'!G$6)</f>
        <v>0</v>
      </c>
      <c r="H270" s="21">
        <f>SUMIFS(Einzelbeträge!$D:$D,Einzelbeträge!$C:$C,'Ausgaben 2024'!$C270,Einzelbeträge!$E:$E,'Ausgaben 2024'!H$6)</f>
        <v>0</v>
      </c>
      <c r="I270" s="21">
        <f>SUMIFS(Einzelbeträge!$D:$D,Einzelbeträge!$C:$C,'Ausgaben 2024'!$C270,Einzelbeträge!$E:$E,'Ausgaben 2024'!I$6)</f>
        <v>0</v>
      </c>
      <c r="J270" s="21">
        <f>SUMIFS(Einzelbeträge!$D:$D,Einzelbeträge!$C:$C,'Ausgaben 2024'!$C270,Einzelbeträge!$E:$E,'Ausgaben 2024'!J$6)</f>
        <v>0</v>
      </c>
      <c r="K270" s="21">
        <f>SUMIFS(Einzelbeträge!$D:$D,Einzelbeträge!$C:$C,'Ausgaben 2024'!$C270,Einzelbeträge!$E:$E,'Ausgaben 2024'!K$6)</f>
        <v>0</v>
      </c>
      <c r="L270" s="21">
        <f>SUMIFS(Einzelbeträge!$D:$D,Einzelbeträge!$C:$C,'Ausgaben 2024'!$C270,Einzelbeträge!$E:$E,'Ausgaben 2024'!L$6)</f>
        <v>0</v>
      </c>
      <c r="M270" s="21">
        <f>SUMIFS(Einzelbeträge!$D:$D,Einzelbeträge!$C:$C,'Ausgaben 2024'!$C270,Einzelbeträge!$E:$E,'Ausgaben 2024'!M$6)</f>
        <v>0</v>
      </c>
      <c r="N270" s="35">
        <f>SUMIFS(Einzelbeträge!$D:$D,Einzelbeträge!$C:$C,'Ausgaben 2024'!$C270,Einzelbeträge!$E:$E,'Ausgaben 2024'!N$6)</f>
        <v>0</v>
      </c>
      <c r="O270" s="6"/>
    </row>
    <row r="271" spans="2:15" x14ac:dyDescent="0.35">
      <c r="B271" s="5"/>
      <c r="C271" s="31">
        <f t="shared" si="31"/>
        <v>45535</v>
      </c>
      <c r="D271" s="47">
        <f>SUMIFS(Einzelbeträge!$D:$D,Einzelbeträge!$C:$C,'Ausgaben 2024'!$C271)</f>
        <v>0</v>
      </c>
      <c r="E271" s="37">
        <f>SUMIFS(Einzelbeträge!$D:$D,Einzelbeträge!$C:$C,'Ausgaben 2024'!$C271,Einzelbeträge!$E:$E,'Ausgaben 2024'!E$6)</f>
        <v>0</v>
      </c>
      <c r="F271" s="37">
        <f>SUMIFS(Einzelbeträge!$D:$D,Einzelbeträge!$C:$C,'Ausgaben 2024'!$C271,Einzelbeträge!$E:$E,'Ausgaben 2024'!F$6)</f>
        <v>0</v>
      </c>
      <c r="G271" s="37">
        <f>SUMIFS(Einzelbeträge!$D:$D,Einzelbeträge!$C:$C,'Ausgaben 2024'!$C271,Einzelbeträge!$E:$E,'Ausgaben 2024'!G$6)</f>
        <v>0</v>
      </c>
      <c r="H271" s="37">
        <f>SUMIFS(Einzelbeträge!$D:$D,Einzelbeträge!$C:$C,'Ausgaben 2024'!$C271,Einzelbeträge!$E:$E,'Ausgaben 2024'!H$6)</f>
        <v>0</v>
      </c>
      <c r="I271" s="37">
        <f>SUMIFS(Einzelbeträge!$D:$D,Einzelbeträge!$C:$C,'Ausgaben 2024'!$C271,Einzelbeträge!$E:$E,'Ausgaben 2024'!I$6)</f>
        <v>0</v>
      </c>
      <c r="J271" s="37">
        <f>SUMIFS(Einzelbeträge!$D:$D,Einzelbeträge!$C:$C,'Ausgaben 2024'!$C271,Einzelbeträge!$E:$E,'Ausgaben 2024'!J$6)</f>
        <v>0</v>
      </c>
      <c r="K271" s="37">
        <f>SUMIFS(Einzelbeträge!$D:$D,Einzelbeträge!$C:$C,'Ausgaben 2024'!$C271,Einzelbeträge!$E:$E,'Ausgaben 2024'!K$6)</f>
        <v>0</v>
      </c>
      <c r="L271" s="37">
        <f>SUMIFS(Einzelbeträge!$D:$D,Einzelbeträge!$C:$C,'Ausgaben 2024'!$C271,Einzelbeträge!$E:$E,'Ausgaben 2024'!L$6)</f>
        <v>0</v>
      </c>
      <c r="M271" s="37">
        <f>SUMIFS(Einzelbeträge!$D:$D,Einzelbeträge!$C:$C,'Ausgaben 2024'!$C271,Einzelbeträge!$E:$E,'Ausgaben 2024'!M$6)</f>
        <v>0</v>
      </c>
      <c r="N271" s="38">
        <f>SUMIFS(Einzelbeträge!$D:$D,Einzelbeträge!$C:$C,'Ausgaben 2024'!$C271,Einzelbeträge!$E:$E,'Ausgaben 2024'!N$6)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45536</v>
      </c>
      <c r="D275" s="45">
        <f>SUMIFS(Einzelbeträge!$D:$D,Einzelbeträge!$C:$C,'Ausgaben 2024'!$C275)</f>
        <v>0</v>
      </c>
      <c r="E275" s="32">
        <f>SUMIFS(Einzelbeträge!$D:$D,Einzelbeträge!$C:$C,'Ausgaben 2024'!$C275,Einzelbeträge!$E:$E,'Ausgaben 2024'!E$6)</f>
        <v>0</v>
      </c>
      <c r="F275" s="32">
        <f>SUMIFS(Einzelbeträge!$D:$D,Einzelbeträge!$C:$C,'Ausgaben 2024'!$C275,Einzelbeträge!$E:$E,'Ausgaben 2024'!F$6)</f>
        <v>0</v>
      </c>
      <c r="G275" s="32">
        <f>SUMIFS(Einzelbeträge!$D:$D,Einzelbeträge!$C:$C,'Ausgaben 2024'!$C275,Einzelbeträge!$E:$E,'Ausgaben 2024'!G$6)</f>
        <v>0</v>
      </c>
      <c r="H275" s="32">
        <f>SUMIFS(Einzelbeträge!$D:$D,Einzelbeträge!$C:$C,'Ausgaben 2024'!$C275,Einzelbeträge!$E:$E,'Ausgaben 2024'!H$6)</f>
        <v>0</v>
      </c>
      <c r="I275" s="32">
        <f>SUMIFS(Einzelbeträge!$D:$D,Einzelbeträge!$C:$C,'Ausgaben 2024'!$C275,Einzelbeträge!$E:$E,'Ausgaben 2024'!I$6)</f>
        <v>0</v>
      </c>
      <c r="J275" s="32">
        <f>SUMIFS(Einzelbeträge!$D:$D,Einzelbeträge!$C:$C,'Ausgaben 2024'!$C275,Einzelbeträge!$E:$E,'Ausgaben 2024'!J$6)</f>
        <v>0</v>
      </c>
      <c r="K275" s="32">
        <f>SUMIFS(Einzelbeträge!$D:$D,Einzelbeträge!$C:$C,'Ausgaben 2024'!$C275,Einzelbeträge!$E:$E,'Ausgaben 2024'!K$6)</f>
        <v>0</v>
      </c>
      <c r="L275" s="32">
        <f>SUMIFS(Einzelbeträge!$D:$D,Einzelbeträge!$C:$C,'Ausgaben 2024'!$C275,Einzelbeträge!$E:$E,'Ausgaben 2024'!L$6)</f>
        <v>0</v>
      </c>
      <c r="M275" s="32">
        <f>SUMIFS(Einzelbeträge!$D:$D,Einzelbeträge!$C:$C,'Ausgaben 2024'!$C275,Einzelbeträge!$E:$E,'Ausgaben 2024'!M$6)</f>
        <v>0</v>
      </c>
      <c r="N275" s="33">
        <f>SUMIFS(Einzelbeträge!$D:$D,Einzelbeträge!$C:$C,'Ausgaben 2024'!$C275,Einzelbeträge!$E:$E,'Ausgaben 2024'!N$6)</f>
        <v>0</v>
      </c>
      <c r="O275" s="6"/>
    </row>
    <row r="276" spans="2:15" x14ac:dyDescent="0.35">
      <c r="B276" s="5"/>
      <c r="C276" s="30">
        <f>C275+1</f>
        <v>45537</v>
      </c>
      <c r="D276" s="46">
        <f>SUMIFS(Einzelbeträge!$D:$D,Einzelbeträge!$C:$C,'Ausgaben 2024'!$C276)</f>
        <v>0</v>
      </c>
      <c r="E276" s="21">
        <f>SUMIFS(Einzelbeträge!$D:$D,Einzelbeträge!$C:$C,'Ausgaben 2024'!$C276,Einzelbeträge!$E:$E,'Ausgaben 2024'!E$6)</f>
        <v>0</v>
      </c>
      <c r="F276" s="21">
        <f>SUMIFS(Einzelbeträge!$D:$D,Einzelbeträge!$C:$C,'Ausgaben 2024'!$C276,Einzelbeträge!$E:$E,'Ausgaben 2024'!F$6)</f>
        <v>0</v>
      </c>
      <c r="G276" s="21">
        <f>SUMIFS(Einzelbeträge!$D:$D,Einzelbeträge!$C:$C,'Ausgaben 2024'!$C276,Einzelbeträge!$E:$E,'Ausgaben 2024'!G$6)</f>
        <v>0</v>
      </c>
      <c r="H276" s="21">
        <f>SUMIFS(Einzelbeträge!$D:$D,Einzelbeträge!$C:$C,'Ausgaben 2024'!$C276,Einzelbeträge!$E:$E,'Ausgaben 2024'!H$6)</f>
        <v>0</v>
      </c>
      <c r="I276" s="21">
        <f>SUMIFS(Einzelbeträge!$D:$D,Einzelbeträge!$C:$C,'Ausgaben 2024'!$C276,Einzelbeträge!$E:$E,'Ausgaben 2024'!I$6)</f>
        <v>0</v>
      </c>
      <c r="J276" s="21">
        <f>SUMIFS(Einzelbeträge!$D:$D,Einzelbeträge!$C:$C,'Ausgaben 2024'!$C276,Einzelbeträge!$E:$E,'Ausgaben 2024'!J$6)</f>
        <v>0</v>
      </c>
      <c r="K276" s="21">
        <f>SUMIFS(Einzelbeträge!$D:$D,Einzelbeträge!$C:$C,'Ausgaben 2024'!$C276,Einzelbeträge!$E:$E,'Ausgaben 2024'!K$6)</f>
        <v>0</v>
      </c>
      <c r="L276" s="21">
        <f>SUMIFS(Einzelbeträge!$D:$D,Einzelbeträge!$C:$C,'Ausgaben 2024'!$C276,Einzelbeträge!$E:$E,'Ausgaben 2024'!L$6)</f>
        <v>0</v>
      </c>
      <c r="M276" s="21">
        <f>SUMIFS(Einzelbeträge!$D:$D,Einzelbeträge!$C:$C,'Ausgaben 2024'!$C276,Einzelbeträge!$E:$E,'Ausgaben 2024'!M$6)</f>
        <v>0</v>
      </c>
      <c r="N276" s="35">
        <f>SUMIFS(Einzelbeträge!$D:$D,Einzelbeträge!$C:$C,'Ausgaben 2024'!$C276,Einzelbeträge!$E:$E,'Ausgaben 2024'!N$6)</f>
        <v>0</v>
      </c>
      <c r="O276" s="6"/>
    </row>
    <row r="277" spans="2:15" x14ac:dyDescent="0.35">
      <c r="B277" s="5"/>
      <c r="C277" s="30">
        <f t="shared" ref="C277:C304" si="32">C276+1</f>
        <v>45538</v>
      </c>
      <c r="D277" s="46">
        <f>SUMIFS(Einzelbeträge!$D:$D,Einzelbeträge!$C:$C,'Ausgaben 2024'!$C277)</f>
        <v>0</v>
      </c>
      <c r="E277" s="21">
        <f>SUMIFS(Einzelbeträge!$D:$D,Einzelbeträge!$C:$C,'Ausgaben 2024'!$C277,Einzelbeträge!$E:$E,'Ausgaben 2024'!E$6)</f>
        <v>0</v>
      </c>
      <c r="F277" s="21">
        <f>SUMIFS(Einzelbeträge!$D:$D,Einzelbeträge!$C:$C,'Ausgaben 2024'!$C277,Einzelbeträge!$E:$E,'Ausgaben 2024'!F$6)</f>
        <v>0</v>
      </c>
      <c r="G277" s="21">
        <f>SUMIFS(Einzelbeträge!$D:$D,Einzelbeträge!$C:$C,'Ausgaben 2024'!$C277,Einzelbeträge!$E:$E,'Ausgaben 2024'!G$6)</f>
        <v>0</v>
      </c>
      <c r="H277" s="21">
        <f>SUMIFS(Einzelbeträge!$D:$D,Einzelbeträge!$C:$C,'Ausgaben 2024'!$C277,Einzelbeträge!$E:$E,'Ausgaben 2024'!H$6)</f>
        <v>0</v>
      </c>
      <c r="I277" s="21">
        <f>SUMIFS(Einzelbeträge!$D:$D,Einzelbeträge!$C:$C,'Ausgaben 2024'!$C277,Einzelbeträge!$E:$E,'Ausgaben 2024'!I$6)</f>
        <v>0</v>
      </c>
      <c r="J277" s="21">
        <f>SUMIFS(Einzelbeträge!$D:$D,Einzelbeträge!$C:$C,'Ausgaben 2024'!$C277,Einzelbeträge!$E:$E,'Ausgaben 2024'!J$6)</f>
        <v>0</v>
      </c>
      <c r="K277" s="21">
        <f>SUMIFS(Einzelbeträge!$D:$D,Einzelbeträge!$C:$C,'Ausgaben 2024'!$C277,Einzelbeträge!$E:$E,'Ausgaben 2024'!K$6)</f>
        <v>0</v>
      </c>
      <c r="L277" s="21">
        <f>SUMIFS(Einzelbeträge!$D:$D,Einzelbeträge!$C:$C,'Ausgaben 2024'!$C277,Einzelbeträge!$E:$E,'Ausgaben 2024'!L$6)</f>
        <v>0</v>
      </c>
      <c r="M277" s="21">
        <f>SUMIFS(Einzelbeträge!$D:$D,Einzelbeträge!$C:$C,'Ausgaben 2024'!$C277,Einzelbeträge!$E:$E,'Ausgaben 2024'!M$6)</f>
        <v>0</v>
      </c>
      <c r="N277" s="35">
        <f>SUMIFS(Einzelbeträge!$D:$D,Einzelbeträge!$C:$C,'Ausgaben 2024'!$C277,Einzelbeträge!$E:$E,'Ausgaben 2024'!N$6)</f>
        <v>0</v>
      </c>
      <c r="O277" s="6"/>
    </row>
    <row r="278" spans="2:15" x14ac:dyDescent="0.35">
      <c r="B278" s="5"/>
      <c r="C278" s="30">
        <f t="shared" si="32"/>
        <v>45539</v>
      </c>
      <c r="D278" s="46">
        <f>SUMIFS(Einzelbeträge!$D:$D,Einzelbeträge!$C:$C,'Ausgaben 2024'!$C278)</f>
        <v>0</v>
      </c>
      <c r="E278" s="21">
        <f>SUMIFS(Einzelbeträge!$D:$D,Einzelbeträge!$C:$C,'Ausgaben 2024'!$C278,Einzelbeträge!$E:$E,'Ausgaben 2024'!E$6)</f>
        <v>0</v>
      </c>
      <c r="F278" s="21">
        <f>SUMIFS(Einzelbeträge!$D:$D,Einzelbeträge!$C:$C,'Ausgaben 2024'!$C278,Einzelbeträge!$E:$E,'Ausgaben 2024'!F$6)</f>
        <v>0</v>
      </c>
      <c r="G278" s="21">
        <f>SUMIFS(Einzelbeträge!$D:$D,Einzelbeträge!$C:$C,'Ausgaben 2024'!$C278,Einzelbeträge!$E:$E,'Ausgaben 2024'!G$6)</f>
        <v>0</v>
      </c>
      <c r="H278" s="21">
        <f>SUMIFS(Einzelbeträge!$D:$D,Einzelbeträge!$C:$C,'Ausgaben 2024'!$C278,Einzelbeträge!$E:$E,'Ausgaben 2024'!H$6)</f>
        <v>0</v>
      </c>
      <c r="I278" s="21">
        <f>SUMIFS(Einzelbeträge!$D:$D,Einzelbeträge!$C:$C,'Ausgaben 2024'!$C278,Einzelbeträge!$E:$E,'Ausgaben 2024'!I$6)</f>
        <v>0</v>
      </c>
      <c r="J278" s="21">
        <f>SUMIFS(Einzelbeträge!$D:$D,Einzelbeträge!$C:$C,'Ausgaben 2024'!$C278,Einzelbeträge!$E:$E,'Ausgaben 2024'!J$6)</f>
        <v>0</v>
      </c>
      <c r="K278" s="21">
        <f>SUMIFS(Einzelbeträge!$D:$D,Einzelbeträge!$C:$C,'Ausgaben 2024'!$C278,Einzelbeträge!$E:$E,'Ausgaben 2024'!K$6)</f>
        <v>0</v>
      </c>
      <c r="L278" s="21">
        <f>SUMIFS(Einzelbeträge!$D:$D,Einzelbeträge!$C:$C,'Ausgaben 2024'!$C278,Einzelbeträge!$E:$E,'Ausgaben 2024'!L$6)</f>
        <v>0</v>
      </c>
      <c r="M278" s="21">
        <f>SUMIFS(Einzelbeträge!$D:$D,Einzelbeträge!$C:$C,'Ausgaben 2024'!$C278,Einzelbeträge!$E:$E,'Ausgaben 2024'!M$6)</f>
        <v>0</v>
      </c>
      <c r="N278" s="35">
        <f>SUMIFS(Einzelbeträge!$D:$D,Einzelbeträge!$C:$C,'Ausgaben 2024'!$C278,Einzelbeträge!$E:$E,'Ausgaben 2024'!N$6)</f>
        <v>0</v>
      </c>
      <c r="O278" s="6"/>
    </row>
    <row r="279" spans="2:15" x14ac:dyDescent="0.35">
      <c r="B279" s="5"/>
      <c r="C279" s="30">
        <f t="shared" si="32"/>
        <v>45540</v>
      </c>
      <c r="D279" s="46">
        <f>SUMIFS(Einzelbeträge!$D:$D,Einzelbeträge!$C:$C,'Ausgaben 2024'!$C279)</f>
        <v>0</v>
      </c>
      <c r="E279" s="21">
        <f>SUMIFS(Einzelbeträge!$D:$D,Einzelbeträge!$C:$C,'Ausgaben 2024'!$C279,Einzelbeträge!$E:$E,'Ausgaben 2024'!E$6)</f>
        <v>0</v>
      </c>
      <c r="F279" s="21">
        <f>SUMIFS(Einzelbeträge!$D:$D,Einzelbeträge!$C:$C,'Ausgaben 2024'!$C279,Einzelbeträge!$E:$E,'Ausgaben 2024'!F$6)</f>
        <v>0</v>
      </c>
      <c r="G279" s="21">
        <f>SUMIFS(Einzelbeträge!$D:$D,Einzelbeträge!$C:$C,'Ausgaben 2024'!$C279,Einzelbeträge!$E:$E,'Ausgaben 2024'!G$6)</f>
        <v>0</v>
      </c>
      <c r="H279" s="21">
        <f>SUMIFS(Einzelbeträge!$D:$D,Einzelbeträge!$C:$C,'Ausgaben 2024'!$C279,Einzelbeträge!$E:$E,'Ausgaben 2024'!H$6)</f>
        <v>0</v>
      </c>
      <c r="I279" s="21">
        <f>SUMIFS(Einzelbeträge!$D:$D,Einzelbeträge!$C:$C,'Ausgaben 2024'!$C279,Einzelbeträge!$E:$E,'Ausgaben 2024'!I$6)</f>
        <v>0</v>
      </c>
      <c r="J279" s="21">
        <f>SUMIFS(Einzelbeträge!$D:$D,Einzelbeträge!$C:$C,'Ausgaben 2024'!$C279,Einzelbeträge!$E:$E,'Ausgaben 2024'!J$6)</f>
        <v>0</v>
      </c>
      <c r="K279" s="21">
        <f>SUMIFS(Einzelbeträge!$D:$D,Einzelbeträge!$C:$C,'Ausgaben 2024'!$C279,Einzelbeträge!$E:$E,'Ausgaben 2024'!K$6)</f>
        <v>0</v>
      </c>
      <c r="L279" s="21">
        <f>SUMIFS(Einzelbeträge!$D:$D,Einzelbeträge!$C:$C,'Ausgaben 2024'!$C279,Einzelbeträge!$E:$E,'Ausgaben 2024'!L$6)</f>
        <v>0</v>
      </c>
      <c r="M279" s="21">
        <f>SUMIFS(Einzelbeträge!$D:$D,Einzelbeträge!$C:$C,'Ausgaben 2024'!$C279,Einzelbeträge!$E:$E,'Ausgaben 2024'!M$6)</f>
        <v>0</v>
      </c>
      <c r="N279" s="35">
        <f>SUMIFS(Einzelbeträge!$D:$D,Einzelbeträge!$C:$C,'Ausgaben 2024'!$C279,Einzelbeträge!$E:$E,'Ausgaben 2024'!N$6)</f>
        <v>0</v>
      </c>
      <c r="O279" s="6"/>
    </row>
    <row r="280" spans="2:15" x14ac:dyDescent="0.35">
      <c r="B280" s="5"/>
      <c r="C280" s="30">
        <f t="shared" si="32"/>
        <v>45541</v>
      </c>
      <c r="D280" s="46">
        <f>SUMIFS(Einzelbeträge!$D:$D,Einzelbeträge!$C:$C,'Ausgaben 2024'!$C280)</f>
        <v>0</v>
      </c>
      <c r="E280" s="21">
        <f>SUMIFS(Einzelbeträge!$D:$D,Einzelbeträge!$C:$C,'Ausgaben 2024'!$C280,Einzelbeträge!$E:$E,'Ausgaben 2024'!E$6)</f>
        <v>0</v>
      </c>
      <c r="F280" s="21">
        <f>SUMIFS(Einzelbeträge!$D:$D,Einzelbeträge!$C:$C,'Ausgaben 2024'!$C280,Einzelbeträge!$E:$E,'Ausgaben 2024'!F$6)</f>
        <v>0</v>
      </c>
      <c r="G280" s="21">
        <f>SUMIFS(Einzelbeträge!$D:$D,Einzelbeträge!$C:$C,'Ausgaben 2024'!$C280,Einzelbeträge!$E:$E,'Ausgaben 2024'!G$6)</f>
        <v>0</v>
      </c>
      <c r="H280" s="21">
        <f>SUMIFS(Einzelbeträge!$D:$D,Einzelbeträge!$C:$C,'Ausgaben 2024'!$C280,Einzelbeträge!$E:$E,'Ausgaben 2024'!H$6)</f>
        <v>0</v>
      </c>
      <c r="I280" s="21">
        <f>SUMIFS(Einzelbeträge!$D:$D,Einzelbeträge!$C:$C,'Ausgaben 2024'!$C280,Einzelbeträge!$E:$E,'Ausgaben 2024'!I$6)</f>
        <v>0</v>
      </c>
      <c r="J280" s="21">
        <f>SUMIFS(Einzelbeträge!$D:$D,Einzelbeträge!$C:$C,'Ausgaben 2024'!$C280,Einzelbeträge!$E:$E,'Ausgaben 2024'!J$6)</f>
        <v>0</v>
      </c>
      <c r="K280" s="21">
        <f>SUMIFS(Einzelbeträge!$D:$D,Einzelbeträge!$C:$C,'Ausgaben 2024'!$C280,Einzelbeträge!$E:$E,'Ausgaben 2024'!K$6)</f>
        <v>0</v>
      </c>
      <c r="L280" s="21">
        <f>SUMIFS(Einzelbeträge!$D:$D,Einzelbeträge!$C:$C,'Ausgaben 2024'!$C280,Einzelbeträge!$E:$E,'Ausgaben 2024'!L$6)</f>
        <v>0</v>
      </c>
      <c r="M280" s="21">
        <f>SUMIFS(Einzelbeträge!$D:$D,Einzelbeträge!$C:$C,'Ausgaben 2024'!$C280,Einzelbeträge!$E:$E,'Ausgaben 2024'!M$6)</f>
        <v>0</v>
      </c>
      <c r="N280" s="35">
        <f>SUMIFS(Einzelbeträge!$D:$D,Einzelbeträge!$C:$C,'Ausgaben 2024'!$C280,Einzelbeträge!$E:$E,'Ausgaben 2024'!N$6)</f>
        <v>0</v>
      </c>
      <c r="O280" s="6"/>
    </row>
    <row r="281" spans="2:15" x14ac:dyDescent="0.35">
      <c r="B281" s="5"/>
      <c r="C281" s="30">
        <f t="shared" si="32"/>
        <v>45542</v>
      </c>
      <c r="D281" s="46">
        <f>SUMIFS(Einzelbeträge!$D:$D,Einzelbeträge!$C:$C,'Ausgaben 2024'!$C281)</f>
        <v>0</v>
      </c>
      <c r="E281" s="21">
        <f>SUMIFS(Einzelbeträge!$D:$D,Einzelbeträge!$C:$C,'Ausgaben 2024'!$C281,Einzelbeträge!$E:$E,'Ausgaben 2024'!E$6)</f>
        <v>0</v>
      </c>
      <c r="F281" s="21">
        <f>SUMIFS(Einzelbeträge!$D:$D,Einzelbeträge!$C:$C,'Ausgaben 2024'!$C281,Einzelbeträge!$E:$E,'Ausgaben 2024'!F$6)</f>
        <v>0</v>
      </c>
      <c r="G281" s="21">
        <f>SUMIFS(Einzelbeträge!$D:$D,Einzelbeträge!$C:$C,'Ausgaben 2024'!$C281,Einzelbeträge!$E:$E,'Ausgaben 2024'!G$6)</f>
        <v>0</v>
      </c>
      <c r="H281" s="21">
        <f>SUMIFS(Einzelbeträge!$D:$D,Einzelbeträge!$C:$C,'Ausgaben 2024'!$C281,Einzelbeträge!$E:$E,'Ausgaben 2024'!H$6)</f>
        <v>0</v>
      </c>
      <c r="I281" s="21">
        <f>SUMIFS(Einzelbeträge!$D:$D,Einzelbeträge!$C:$C,'Ausgaben 2024'!$C281,Einzelbeträge!$E:$E,'Ausgaben 2024'!I$6)</f>
        <v>0</v>
      </c>
      <c r="J281" s="21">
        <f>SUMIFS(Einzelbeträge!$D:$D,Einzelbeträge!$C:$C,'Ausgaben 2024'!$C281,Einzelbeträge!$E:$E,'Ausgaben 2024'!J$6)</f>
        <v>0</v>
      </c>
      <c r="K281" s="21">
        <f>SUMIFS(Einzelbeträge!$D:$D,Einzelbeträge!$C:$C,'Ausgaben 2024'!$C281,Einzelbeträge!$E:$E,'Ausgaben 2024'!K$6)</f>
        <v>0</v>
      </c>
      <c r="L281" s="21">
        <f>SUMIFS(Einzelbeträge!$D:$D,Einzelbeträge!$C:$C,'Ausgaben 2024'!$C281,Einzelbeträge!$E:$E,'Ausgaben 2024'!L$6)</f>
        <v>0</v>
      </c>
      <c r="M281" s="21">
        <f>SUMIFS(Einzelbeträge!$D:$D,Einzelbeträge!$C:$C,'Ausgaben 2024'!$C281,Einzelbeträge!$E:$E,'Ausgaben 2024'!M$6)</f>
        <v>0</v>
      </c>
      <c r="N281" s="35">
        <f>SUMIFS(Einzelbeträge!$D:$D,Einzelbeträge!$C:$C,'Ausgaben 2024'!$C281,Einzelbeträge!$E:$E,'Ausgaben 2024'!N$6)</f>
        <v>0</v>
      </c>
      <c r="O281" s="6"/>
    </row>
    <row r="282" spans="2:15" x14ac:dyDescent="0.35">
      <c r="B282" s="5"/>
      <c r="C282" s="30">
        <f t="shared" si="32"/>
        <v>45543</v>
      </c>
      <c r="D282" s="46">
        <f>SUMIFS(Einzelbeträge!$D:$D,Einzelbeträge!$C:$C,'Ausgaben 2024'!$C282)</f>
        <v>0</v>
      </c>
      <c r="E282" s="21">
        <f>SUMIFS(Einzelbeträge!$D:$D,Einzelbeträge!$C:$C,'Ausgaben 2024'!$C282,Einzelbeträge!$E:$E,'Ausgaben 2024'!E$6)</f>
        <v>0</v>
      </c>
      <c r="F282" s="21">
        <f>SUMIFS(Einzelbeträge!$D:$D,Einzelbeträge!$C:$C,'Ausgaben 2024'!$C282,Einzelbeträge!$E:$E,'Ausgaben 2024'!F$6)</f>
        <v>0</v>
      </c>
      <c r="G282" s="21">
        <f>SUMIFS(Einzelbeträge!$D:$D,Einzelbeträge!$C:$C,'Ausgaben 2024'!$C282,Einzelbeträge!$E:$E,'Ausgaben 2024'!G$6)</f>
        <v>0</v>
      </c>
      <c r="H282" s="21">
        <f>SUMIFS(Einzelbeträge!$D:$D,Einzelbeträge!$C:$C,'Ausgaben 2024'!$C282,Einzelbeträge!$E:$E,'Ausgaben 2024'!H$6)</f>
        <v>0</v>
      </c>
      <c r="I282" s="21">
        <f>SUMIFS(Einzelbeträge!$D:$D,Einzelbeträge!$C:$C,'Ausgaben 2024'!$C282,Einzelbeträge!$E:$E,'Ausgaben 2024'!I$6)</f>
        <v>0</v>
      </c>
      <c r="J282" s="21">
        <f>SUMIFS(Einzelbeträge!$D:$D,Einzelbeträge!$C:$C,'Ausgaben 2024'!$C282,Einzelbeträge!$E:$E,'Ausgaben 2024'!J$6)</f>
        <v>0</v>
      </c>
      <c r="K282" s="21">
        <f>SUMIFS(Einzelbeträge!$D:$D,Einzelbeträge!$C:$C,'Ausgaben 2024'!$C282,Einzelbeträge!$E:$E,'Ausgaben 2024'!K$6)</f>
        <v>0</v>
      </c>
      <c r="L282" s="21">
        <f>SUMIFS(Einzelbeträge!$D:$D,Einzelbeträge!$C:$C,'Ausgaben 2024'!$C282,Einzelbeträge!$E:$E,'Ausgaben 2024'!L$6)</f>
        <v>0</v>
      </c>
      <c r="M282" s="21">
        <f>SUMIFS(Einzelbeträge!$D:$D,Einzelbeträge!$C:$C,'Ausgaben 2024'!$C282,Einzelbeträge!$E:$E,'Ausgaben 2024'!M$6)</f>
        <v>0</v>
      </c>
      <c r="N282" s="35">
        <f>SUMIFS(Einzelbeträge!$D:$D,Einzelbeträge!$C:$C,'Ausgaben 2024'!$C282,Einzelbeträge!$E:$E,'Ausgaben 2024'!N$6)</f>
        <v>0</v>
      </c>
      <c r="O282" s="6"/>
    </row>
    <row r="283" spans="2:15" x14ac:dyDescent="0.35">
      <c r="B283" s="5"/>
      <c r="C283" s="30">
        <f t="shared" si="32"/>
        <v>45544</v>
      </c>
      <c r="D283" s="46">
        <f>SUMIFS(Einzelbeträge!$D:$D,Einzelbeträge!$C:$C,'Ausgaben 2024'!$C283)</f>
        <v>0</v>
      </c>
      <c r="E283" s="21">
        <f>SUMIFS(Einzelbeträge!$D:$D,Einzelbeträge!$C:$C,'Ausgaben 2024'!$C283,Einzelbeträge!$E:$E,'Ausgaben 2024'!E$6)</f>
        <v>0</v>
      </c>
      <c r="F283" s="21">
        <f>SUMIFS(Einzelbeträge!$D:$D,Einzelbeträge!$C:$C,'Ausgaben 2024'!$C283,Einzelbeträge!$E:$E,'Ausgaben 2024'!F$6)</f>
        <v>0</v>
      </c>
      <c r="G283" s="21">
        <f>SUMIFS(Einzelbeträge!$D:$D,Einzelbeträge!$C:$C,'Ausgaben 2024'!$C283,Einzelbeträge!$E:$E,'Ausgaben 2024'!G$6)</f>
        <v>0</v>
      </c>
      <c r="H283" s="21">
        <f>SUMIFS(Einzelbeträge!$D:$D,Einzelbeträge!$C:$C,'Ausgaben 2024'!$C283,Einzelbeträge!$E:$E,'Ausgaben 2024'!H$6)</f>
        <v>0</v>
      </c>
      <c r="I283" s="21">
        <f>SUMIFS(Einzelbeträge!$D:$D,Einzelbeträge!$C:$C,'Ausgaben 2024'!$C283,Einzelbeträge!$E:$E,'Ausgaben 2024'!I$6)</f>
        <v>0</v>
      </c>
      <c r="J283" s="21">
        <f>SUMIFS(Einzelbeträge!$D:$D,Einzelbeträge!$C:$C,'Ausgaben 2024'!$C283,Einzelbeträge!$E:$E,'Ausgaben 2024'!J$6)</f>
        <v>0</v>
      </c>
      <c r="K283" s="21">
        <f>SUMIFS(Einzelbeträge!$D:$D,Einzelbeträge!$C:$C,'Ausgaben 2024'!$C283,Einzelbeträge!$E:$E,'Ausgaben 2024'!K$6)</f>
        <v>0</v>
      </c>
      <c r="L283" s="21">
        <f>SUMIFS(Einzelbeträge!$D:$D,Einzelbeträge!$C:$C,'Ausgaben 2024'!$C283,Einzelbeträge!$E:$E,'Ausgaben 2024'!L$6)</f>
        <v>0</v>
      </c>
      <c r="M283" s="21">
        <f>SUMIFS(Einzelbeträge!$D:$D,Einzelbeträge!$C:$C,'Ausgaben 2024'!$C283,Einzelbeträge!$E:$E,'Ausgaben 2024'!M$6)</f>
        <v>0</v>
      </c>
      <c r="N283" s="35">
        <f>SUMIFS(Einzelbeträge!$D:$D,Einzelbeträge!$C:$C,'Ausgaben 2024'!$C283,Einzelbeträge!$E:$E,'Ausgaben 2024'!N$6)</f>
        <v>0</v>
      </c>
      <c r="O283" s="6"/>
    </row>
    <row r="284" spans="2:15" x14ac:dyDescent="0.35">
      <c r="B284" s="5"/>
      <c r="C284" s="30">
        <f t="shared" si="32"/>
        <v>45545</v>
      </c>
      <c r="D284" s="46">
        <f>SUMIFS(Einzelbeträge!$D:$D,Einzelbeträge!$C:$C,'Ausgaben 2024'!$C284)</f>
        <v>0</v>
      </c>
      <c r="E284" s="21">
        <f>SUMIFS(Einzelbeträge!$D:$D,Einzelbeträge!$C:$C,'Ausgaben 2024'!$C284,Einzelbeträge!$E:$E,'Ausgaben 2024'!E$6)</f>
        <v>0</v>
      </c>
      <c r="F284" s="21">
        <f>SUMIFS(Einzelbeträge!$D:$D,Einzelbeträge!$C:$C,'Ausgaben 2024'!$C284,Einzelbeträge!$E:$E,'Ausgaben 2024'!F$6)</f>
        <v>0</v>
      </c>
      <c r="G284" s="21">
        <f>SUMIFS(Einzelbeträge!$D:$D,Einzelbeträge!$C:$C,'Ausgaben 2024'!$C284,Einzelbeträge!$E:$E,'Ausgaben 2024'!G$6)</f>
        <v>0</v>
      </c>
      <c r="H284" s="21">
        <f>SUMIFS(Einzelbeträge!$D:$D,Einzelbeträge!$C:$C,'Ausgaben 2024'!$C284,Einzelbeträge!$E:$E,'Ausgaben 2024'!H$6)</f>
        <v>0</v>
      </c>
      <c r="I284" s="21">
        <f>SUMIFS(Einzelbeträge!$D:$D,Einzelbeträge!$C:$C,'Ausgaben 2024'!$C284,Einzelbeträge!$E:$E,'Ausgaben 2024'!I$6)</f>
        <v>0</v>
      </c>
      <c r="J284" s="21">
        <f>SUMIFS(Einzelbeträge!$D:$D,Einzelbeträge!$C:$C,'Ausgaben 2024'!$C284,Einzelbeträge!$E:$E,'Ausgaben 2024'!J$6)</f>
        <v>0</v>
      </c>
      <c r="K284" s="21">
        <f>SUMIFS(Einzelbeträge!$D:$D,Einzelbeträge!$C:$C,'Ausgaben 2024'!$C284,Einzelbeträge!$E:$E,'Ausgaben 2024'!K$6)</f>
        <v>0</v>
      </c>
      <c r="L284" s="21">
        <f>SUMIFS(Einzelbeträge!$D:$D,Einzelbeträge!$C:$C,'Ausgaben 2024'!$C284,Einzelbeträge!$E:$E,'Ausgaben 2024'!L$6)</f>
        <v>0</v>
      </c>
      <c r="M284" s="21">
        <f>SUMIFS(Einzelbeträge!$D:$D,Einzelbeträge!$C:$C,'Ausgaben 2024'!$C284,Einzelbeträge!$E:$E,'Ausgaben 2024'!M$6)</f>
        <v>0</v>
      </c>
      <c r="N284" s="35">
        <f>SUMIFS(Einzelbeträge!$D:$D,Einzelbeträge!$C:$C,'Ausgaben 2024'!$C284,Einzelbeträge!$E:$E,'Ausgaben 2024'!N$6)</f>
        <v>0</v>
      </c>
      <c r="O284" s="6"/>
    </row>
    <row r="285" spans="2:15" x14ac:dyDescent="0.35">
      <c r="B285" s="5"/>
      <c r="C285" s="30">
        <f t="shared" si="32"/>
        <v>45546</v>
      </c>
      <c r="D285" s="46">
        <f>SUMIFS(Einzelbeträge!$D:$D,Einzelbeträge!$C:$C,'Ausgaben 2024'!$C285)</f>
        <v>0</v>
      </c>
      <c r="E285" s="21">
        <f>SUMIFS(Einzelbeträge!$D:$D,Einzelbeträge!$C:$C,'Ausgaben 2024'!$C285,Einzelbeträge!$E:$E,'Ausgaben 2024'!E$6)</f>
        <v>0</v>
      </c>
      <c r="F285" s="21">
        <f>SUMIFS(Einzelbeträge!$D:$D,Einzelbeträge!$C:$C,'Ausgaben 2024'!$C285,Einzelbeträge!$E:$E,'Ausgaben 2024'!F$6)</f>
        <v>0</v>
      </c>
      <c r="G285" s="21">
        <f>SUMIFS(Einzelbeträge!$D:$D,Einzelbeträge!$C:$C,'Ausgaben 2024'!$C285,Einzelbeträge!$E:$E,'Ausgaben 2024'!G$6)</f>
        <v>0</v>
      </c>
      <c r="H285" s="21">
        <f>SUMIFS(Einzelbeträge!$D:$D,Einzelbeträge!$C:$C,'Ausgaben 2024'!$C285,Einzelbeträge!$E:$E,'Ausgaben 2024'!H$6)</f>
        <v>0</v>
      </c>
      <c r="I285" s="21">
        <f>SUMIFS(Einzelbeträge!$D:$D,Einzelbeträge!$C:$C,'Ausgaben 2024'!$C285,Einzelbeträge!$E:$E,'Ausgaben 2024'!I$6)</f>
        <v>0</v>
      </c>
      <c r="J285" s="21">
        <f>SUMIFS(Einzelbeträge!$D:$D,Einzelbeträge!$C:$C,'Ausgaben 2024'!$C285,Einzelbeträge!$E:$E,'Ausgaben 2024'!J$6)</f>
        <v>0</v>
      </c>
      <c r="K285" s="21">
        <f>SUMIFS(Einzelbeträge!$D:$D,Einzelbeträge!$C:$C,'Ausgaben 2024'!$C285,Einzelbeträge!$E:$E,'Ausgaben 2024'!K$6)</f>
        <v>0</v>
      </c>
      <c r="L285" s="21">
        <f>SUMIFS(Einzelbeträge!$D:$D,Einzelbeträge!$C:$C,'Ausgaben 2024'!$C285,Einzelbeträge!$E:$E,'Ausgaben 2024'!L$6)</f>
        <v>0</v>
      </c>
      <c r="M285" s="21">
        <f>SUMIFS(Einzelbeträge!$D:$D,Einzelbeträge!$C:$C,'Ausgaben 2024'!$C285,Einzelbeträge!$E:$E,'Ausgaben 2024'!M$6)</f>
        <v>0</v>
      </c>
      <c r="N285" s="35">
        <f>SUMIFS(Einzelbeträge!$D:$D,Einzelbeträge!$C:$C,'Ausgaben 2024'!$C285,Einzelbeträge!$E:$E,'Ausgaben 2024'!N$6)</f>
        <v>0</v>
      </c>
      <c r="O285" s="6"/>
    </row>
    <row r="286" spans="2:15" x14ac:dyDescent="0.35">
      <c r="B286" s="5"/>
      <c r="C286" s="30">
        <f t="shared" si="32"/>
        <v>45547</v>
      </c>
      <c r="D286" s="46">
        <f>SUMIFS(Einzelbeträge!$D:$D,Einzelbeträge!$C:$C,'Ausgaben 2024'!$C286)</f>
        <v>0</v>
      </c>
      <c r="E286" s="21">
        <f>SUMIFS(Einzelbeträge!$D:$D,Einzelbeträge!$C:$C,'Ausgaben 2024'!$C286,Einzelbeträge!$E:$E,'Ausgaben 2024'!E$6)</f>
        <v>0</v>
      </c>
      <c r="F286" s="21">
        <f>SUMIFS(Einzelbeträge!$D:$D,Einzelbeträge!$C:$C,'Ausgaben 2024'!$C286,Einzelbeträge!$E:$E,'Ausgaben 2024'!F$6)</f>
        <v>0</v>
      </c>
      <c r="G286" s="21">
        <f>SUMIFS(Einzelbeträge!$D:$D,Einzelbeträge!$C:$C,'Ausgaben 2024'!$C286,Einzelbeträge!$E:$E,'Ausgaben 2024'!G$6)</f>
        <v>0</v>
      </c>
      <c r="H286" s="21">
        <f>SUMIFS(Einzelbeträge!$D:$D,Einzelbeträge!$C:$C,'Ausgaben 2024'!$C286,Einzelbeträge!$E:$E,'Ausgaben 2024'!H$6)</f>
        <v>0</v>
      </c>
      <c r="I286" s="21">
        <f>SUMIFS(Einzelbeträge!$D:$D,Einzelbeträge!$C:$C,'Ausgaben 2024'!$C286,Einzelbeträge!$E:$E,'Ausgaben 2024'!I$6)</f>
        <v>0</v>
      </c>
      <c r="J286" s="21">
        <f>SUMIFS(Einzelbeträge!$D:$D,Einzelbeträge!$C:$C,'Ausgaben 2024'!$C286,Einzelbeträge!$E:$E,'Ausgaben 2024'!J$6)</f>
        <v>0</v>
      </c>
      <c r="K286" s="21">
        <f>SUMIFS(Einzelbeträge!$D:$D,Einzelbeträge!$C:$C,'Ausgaben 2024'!$C286,Einzelbeträge!$E:$E,'Ausgaben 2024'!K$6)</f>
        <v>0</v>
      </c>
      <c r="L286" s="21">
        <f>SUMIFS(Einzelbeträge!$D:$D,Einzelbeträge!$C:$C,'Ausgaben 2024'!$C286,Einzelbeträge!$E:$E,'Ausgaben 2024'!L$6)</f>
        <v>0</v>
      </c>
      <c r="M286" s="21">
        <f>SUMIFS(Einzelbeträge!$D:$D,Einzelbeträge!$C:$C,'Ausgaben 2024'!$C286,Einzelbeträge!$E:$E,'Ausgaben 2024'!M$6)</f>
        <v>0</v>
      </c>
      <c r="N286" s="35">
        <f>SUMIFS(Einzelbeträge!$D:$D,Einzelbeträge!$C:$C,'Ausgaben 2024'!$C286,Einzelbeträge!$E:$E,'Ausgaben 2024'!N$6)</f>
        <v>0</v>
      </c>
      <c r="O286" s="6"/>
    </row>
    <row r="287" spans="2:15" x14ac:dyDescent="0.35">
      <c r="B287" s="5"/>
      <c r="C287" s="30">
        <f t="shared" si="32"/>
        <v>45548</v>
      </c>
      <c r="D287" s="46">
        <f>SUMIFS(Einzelbeträge!$D:$D,Einzelbeträge!$C:$C,'Ausgaben 2024'!$C287)</f>
        <v>0</v>
      </c>
      <c r="E287" s="21">
        <f>SUMIFS(Einzelbeträge!$D:$D,Einzelbeträge!$C:$C,'Ausgaben 2024'!$C287,Einzelbeträge!$E:$E,'Ausgaben 2024'!E$6)</f>
        <v>0</v>
      </c>
      <c r="F287" s="21">
        <f>SUMIFS(Einzelbeträge!$D:$D,Einzelbeträge!$C:$C,'Ausgaben 2024'!$C287,Einzelbeträge!$E:$E,'Ausgaben 2024'!F$6)</f>
        <v>0</v>
      </c>
      <c r="G287" s="21">
        <f>SUMIFS(Einzelbeträge!$D:$D,Einzelbeträge!$C:$C,'Ausgaben 2024'!$C287,Einzelbeträge!$E:$E,'Ausgaben 2024'!G$6)</f>
        <v>0</v>
      </c>
      <c r="H287" s="21">
        <f>SUMIFS(Einzelbeträge!$D:$D,Einzelbeträge!$C:$C,'Ausgaben 2024'!$C287,Einzelbeträge!$E:$E,'Ausgaben 2024'!H$6)</f>
        <v>0</v>
      </c>
      <c r="I287" s="21">
        <f>SUMIFS(Einzelbeträge!$D:$D,Einzelbeträge!$C:$C,'Ausgaben 2024'!$C287,Einzelbeträge!$E:$E,'Ausgaben 2024'!I$6)</f>
        <v>0</v>
      </c>
      <c r="J287" s="21">
        <f>SUMIFS(Einzelbeträge!$D:$D,Einzelbeträge!$C:$C,'Ausgaben 2024'!$C287,Einzelbeträge!$E:$E,'Ausgaben 2024'!J$6)</f>
        <v>0</v>
      </c>
      <c r="K287" s="21">
        <f>SUMIFS(Einzelbeträge!$D:$D,Einzelbeträge!$C:$C,'Ausgaben 2024'!$C287,Einzelbeträge!$E:$E,'Ausgaben 2024'!K$6)</f>
        <v>0</v>
      </c>
      <c r="L287" s="21">
        <f>SUMIFS(Einzelbeträge!$D:$D,Einzelbeträge!$C:$C,'Ausgaben 2024'!$C287,Einzelbeträge!$E:$E,'Ausgaben 2024'!L$6)</f>
        <v>0</v>
      </c>
      <c r="M287" s="21">
        <f>SUMIFS(Einzelbeträge!$D:$D,Einzelbeträge!$C:$C,'Ausgaben 2024'!$C287,Einzelbeträge!$E:$E,'Ausgaben 2024'!M$6)</f>
        <v>0</v>
      </c>
      <c r="N287" s="35">
        <f>SUMIFS(Einzelbeträge!$D:$D,Einzelbeträge!$C:$C,'Ausgaben 2024'!$C287,Einzelbeträge!$E:$E,'Ausgaben 2024'!N$6)</f>
        <v>0</v>
      </c>
      <c r="O287" s="6"/>
    </row>
    <row r="288" spans="2:15" x14ac:dyDescent="0.35">
      <c r="B288" s="5"/>
      <c r="C288" s="30">
        <f t="shared" si="32"/>
        <v>45549</v>
      </c>
      <c r="D288" s="46">
        <f>SUMIFS(Einzelbeträge!$D:$D,Einzelbeträge!$C:$C,'Ausgaben 2024'!$C288)</f>
        <v>0</v>
      </c>
      <c r="E288" s="21">
        <f>SUMIFS(Einzelbeträge!$D:$D,Einzelbeträge!$C:$C,'Ausgaben 2024'!$C288,Einzelbeträge!$E:$E,'Ausgaben 2024'!E$6)</f>
        <v>0</v>
      </c>
      <c r="F288" s="21">
        <f>SUMIFS(Einzelbeträge!$D:$D,Einzelbeträge!$C:$C,'Ausgaben 2024'!$C288,Einzelbeträge!$E:$E,'Ausgaben 2024'!F$6)</f>
        <v>0</v>
      </c>
      <c r="G288" s="21">
        <f>SUMIFS(Einzelbeträge!$D:$D,Einzelbeträge!$C:$C,'Ausgaben 2024'!$C288,Einzelbeträge!$E:$E,'Ausgaben 2024'!G$6)</f>
        <v>0</v>
      </c>
      <c r="H288" s="21">
        <f>SUMIFS(Einzelbeträge!$D:$D,Einzelbeträge!$C:$C,'Ausgaben 2024'!$C288,Einzelbeträge!$E:$E,'Ausgaben 2024'!H$6)</f>
        <v>0</v>
      </c>
      <c r="I288" s="21">
        <f>SUMIFS(Einzelbeträge!$D:$D,Einzelbeträge!$C:$C,'Ausgaben 2024'!$C288,Einzelbeträge!$E:$E,'Ausgaben 2024'!I$6)</f>
        <v>0</v>
      </c>
      <c r="J288" s="21">
        <f>SUMIFS(Einzelbeträge!$D:$D,Einzelbeträge!$C:$C,'Ausgaben 2024'!$C288,Einzelbeträge!$E:$E,'Ausgaben 2024'!J$6)</f>
        <v>0</v>
      </c>
      <c r="K288" s="21">
        <f>SUMIFS(Einzelbeträge!$D:$D,Einzelbeträge!$C:$C,'Ausgaben 2024'!$C288,Einzelbeträge!$E:$E,'Ausgaben 2024'!K$6)</f>
        <v>0</v>
      </c>
      <c r="L288" s="21">
        <f>SUMIFS(Einzelbeträge!$D:$D,Einzelbeträge!$C:$C,'Ausgaben 2024'!$C288,Einzelbeträge!$E:$E,'Ausgaben 2024'!L$6)</f>
        <v>0</v>
      </c>
      <c r="M288" s="21">
        <f>SUMIFS(Einzelbeträge!$D:$D,Einzelbeträge!$C:$C,'Ausgaben 2024'!$C288,Einzelbeträge!$E:$E,'Ausgaben 2024'!M$6)</f>
        <v>0</v>
      </c>
      <c r="N288" s="35">
        <f>SUMIFS(Einzelbeträge!$D:$D,Einzelbeträge!$C:$C,'Ausgaben 2024'!$C288,Einzelbeträge!$E:$E,'Ausgaben 2024'!N$6)</f>
        <v>0</v>
      </c>
      <c r="O288" s="6"/>
    </row>
    <row r="289" spans="2:15" x14ac:dyDescent="0.35">
      <c r="B289" s="5"/>
      <c r="C289" s="30">
        <f t="shared" si="32"/>
        <v>45550</v>
      </c>
      <c r="D289" s="46">
        <f>SUMIFS(Einzelbeträge!$D:$D,Einzelbeträge!$C:$C,'Ausgaben 2024'!$C289)</f>
        <v>0</v>
      </c>
      <c r="E289" s="21">
        <f>SUMIFS(Einzelbeträge!$D:$D,Einzelbeträge!$C:$C,'Ausgaben 2024'!$C289,Einzelbeträge!$E:$E,'Ausgaben 2024'!E$6)</f>
        <v>0</v>
      </c>
      <c r="F289" s="21">
        <f>SUMIFS(Einzelbeträge!$D:$D,Einzelbeträge!$C:$C,'Ausgaben 2024'!$C289,Einzelbeträge!$E:$E,'Ausgaben 2024'!F$6)</f>
        <v>0</v>
      </c>
      <c r="G289" s="21">
        <f>SUMIFS(Einzelbeträge!$D:$D,Einzelbeträge!$C:$C,'Ausgaben 2024'!$C289,Einzelbeträge!$E:$E,'Ausgaben 2024'!G$6)</f>
        <v>0</v>
      </c>
      <c r="H289" s="21">
        <f>SUMIFS(Einzelbeträge!$D:$D,Einzelbeträge!$C:$C,'Ausgaben 2024'!$C289,Einzelbeträge!$E:$E,'Ausgaben 2024'!H$6)</f>
        <v>0</v>
      </c>
      <c r="I289" s="21">
        <f>SUMIFS(Einzelbeträge!$D:$D,Einzelbeträge!$C:$C,'Ausgaben 2024'!$C289,Einzelbeträge!$E:$E,'Ausgaben 2024'!I$6)</f>
        <v>0</v>
      </c>
      <c r="J289" s="21">
        <f>SUMIFS(Einzelbeträge!$D:$D,Einzelbeträge!$C:$C,'Ausgaben 2024'!$C289,Einzelbeträge!$E:$E,'Ausgaben 2024'!J$6)</f>
        <v>0</v>
      </c>
      <c r="K289" s="21">
        <f>SUMIFS(Einzelbeträge!$D:$D,Einzelbeträge!$C:$C,'Ausgaben 2024'!$C289,Einzelbeträge!$E:$E,'Ausgaben 2024'!K$6)</f>
        <v>0</v>
      </c>
      <c r="L289" s="21">
        <f>SUMIFS(Einzelbeträge!$D:$D,Einzelbeträge!$C:$C,'Ausgaben 2024'!$C289,Einzelbeträge!$E:$E,'Ausgaben 2024'!L$6)</f>
        <v>0</v>
      </c>
      <c r="M289" s="21">
        <f>SUMIFS(Einzelbeträge!$D:$D,Einzelbeträge!$C:$C,'Ausgaben 2024'!$C289,Einzelbeträge!$E:$E,'Ausgaben 2024'!M$6)</f>
        <v>0</v>
      </c>
      <c r="N289" s="35">
        <f>SUMIFS(Einzelbeträge!$D:$D,Einzelbeträge!$C:$C,'Ausgaben 2024'!$C289,Einzelbeträge!$E:$E,'Ausgaben 2024'!N$6)</f>
        <v>0</v>
      </c>
      <c r="O289" s="6"/>
    </row>
    <row r="290" spans="2:15" x14ac:dyDescent="0.35">
      <c r="B290" s="5"/>
      <c r="C290" s="30">
        <f t="shared" si="32"/>
        <v>45551</v>
      </c>
      <c r="D290" s="46">
        <f>SUMIFS(Einzelbeträge!$D:$D,Einzelbeträge!$C:$C,'Ausgaben 2024'!$C290)</f>
        <v>0</v>
      </c>
      <c r="E290" s="21">
        <f>SUMIFS(Einzelbeträge!$D:$D,Einzelbeträge!$C:$C,'Ausgaben 2024'!$C290,Einzelbeträge!$E:$E,'Ausgaben 2024'!E$6)</f>
        <v>0</v>
      </c>
      <c r="F290" s="21">
        <f>SUMIFS(Einzelbeträge!$D:$D,Einzelbeträge!$C:$C,'Ausgaben 2024'!$C290,Einzelbeträge!$E:$E,'Ausgaben 2024'!F$6)</f>
        <v>0</v>
      </c>
      <c r="G290" s="21">
        <f>SUMIFS(Einzelbeträge!$D:$D,Einzelbeträge!$C:$C,'Ausgaben 2024'!$C290,Einzelbeträge!$E:$E,'Ausgaben 2024'!G$6)</f>
        <v>0</v>
      </c>
      <c r="H290" s="21">
        <f>SUMIFS(Einzelbeträge!$D:$D,Einzelbeträge!$C:$C,'Ausgaben 2024'!$C290,Einzelbeträge!$E:$E,'Ausgaben 2024'!H$6)</f>
        <v>0</v>
      </c>
      <c r="I290" s="21">
        <f>SUMIFS(Einzelbeträge!$D:$D,Einzelbeträge!$C:$C,'Ausgaben 2024'!$C290,Einzelbeträge!$E:$E,'Ausgaben 2024'!I$6)</f>
        <v>0</v>
      </c>
      <c r="J290" s="21">
        <f>SUMIFS(Einzelbeträge!$D:$D,Einzelbeträge!$C:$C,'Ausgaben 2024'!$C290,Einzelbeträge!$E:$E,'Ausgaben 2024'!J$6)</f>
        <v>0</v>
      </c>
      <c r="K290" s="21">
        <f>SUMIFS(Einzelbeträge!$D:$D,Einzelbeträge!$C:$C,'Ausgaben 2024'!$C290,Einzelbeträge!$E:$E,'Ausgaben 2024'!K$6)</f>
        <v>0</v>
      </c>
      <c r="L290" s="21">
        <f>SUMIFS(Einzelbeträge!$D:$D,Einzelbeträge!$C:$C,'Ausgaben 2024'!$C290,Einzelbeträge!$E:$E,'Ausgaben 2024'!L$6)</f>
        <v>0</v>
      </c>
      <c r="M290" s="21">
        <f>SUMIFS(Einzelbeträge!$D:$D,Einzelbeträge!$C:$C,'Ausgaben 2024'!$C290,Einzelbeträge!$E:$E,'Ausgaben 2024'!M$6)</f>
        <v>0</v>
      </c>
      <c r="N290" s="35">
        <f>SUMIFS(Einzelbeträge!$D:$D,Einzelbeträge!$C:$C,'Ausgaben 2024'!$C290,Einzelbeträge!$E:$E,'Ausgaben 2024'!N$6)</f>
        <v>0</v>
      </c>
      <c r="O290" s="6"/>
    </row>
    <row r="291" spans="2:15" x14ac:dyDescent="0.35">
      <c r="B291" s="5"/>
      <c r="C291" s="30">
        <f t="shared" si="32"/>
        <v>45552</v>
      </c>
      <c r="D291" s="46">
        <f>SUMIFS(Einzelbeträge!$D:$D,Einzelbeträge!$C:$C,'Ausgaben 2024'!$C291)</f>
        <v>0</v>
      </c>
      <c r="E291" s="21">
        <f>SUMIFS(Einzelbeträge!$D:$D,Einzelbeträge!$C:$C,'Ausgaben 2024'!$C291,Einzelbeträge!$E:$E,'Ausgaben 2024'!E$6)</f>
        <v>0</v>
      </c>
      <c r="F291" s="21">
        <f>SUMIFS(Einzelbeträge!$D:$D,Einzelbeträge!$C:$C,'Ausgaben 2024'!$C291,Einzelbeträge!$E:$E,'Ausgaben 2024'!F$6)</f>
        <v>0</v>
      </c>
      <c r="G291" s="21">
        <f>SUMIFS(Einzelbeträge!$D:$D,Einzelbeträge!$C:$C,'Ausgaben 2024'!$C291,Einzelbeträge!$E:$E,'Ausgaben 2024'!G$6)</f>
        <v>0</v>
      </c>
      <c r="H291" s="21">
        <f>SUMIFS(Einzelbeträge!$D:$D,Einzelbeträge!$C:$C,'Ausgaben 2024'!$C291,Einzelbeträge!$E:$E,'Ausgaben 2024'!H$6)</f>
        <v>0</v>
      </c>
      <c r="I291" s="21">
        <f>SUMIFS(Einzelbeträge!$D:$D,Einzelbeträge!$C:$C,'Ausgaben 2024'!$C291,Einzelbeträge!$E:$E,'Ausgaben 2024'!I$6)</f>
        <v>0</v>
      </c>
      <c r="J291" s="21">
        <f>SUMIFS(Einzelbeträge!$D:$D,Einzelbeträge!$C:$C,'Ausgaben 2024'!$C291,Einzelbeträge!$E:$E,'Ausgaben 2024'!J$6)</f>
        <v>0</v>
      </c>
      <c r="K291" s="21">
        <f>SUMIFS(Einzelbeträge!$D:$D,Einzelbeträge!$C:$C,'Ausgaben 2024'!$C291,Einzelbeträge!$E:$E,'Ausgaben 2024'!K$6)</f>
        <v>0</v>
      </c>
      <c r="L291" s="21">
        <f>SUMIFS(Einzelbeträge!$D:$D,Einzelbeträge!$C:$C,'Ausgaben 2024'!$C291,Einzelbeträge!$E:$E,'Ausgaben 2024'!L$6)</f>
        <v>0</v>
      </c>
      <c r="M291" s="21">
        <f>SUMIFS(Einzelbeträge!$D:$D,Einzelbeträge!$C:$C,'Ausgaben 2024'!$C291,Einzelbeträge!$E:$E,'Ausgaben 2024'!M$6)</f>
        <v>0</v>
      </c>
      <c r="N291" s="35">
        <f>SUMIFS(Einzelbeträge!$D:$D,Einzelbeträge!$C:$C,'Ausgaben 2024'!$C291,Einzelbeträge!$E:$E,'Ausgaben 2024'!N$6)</f>
        <v>0</v>
      </c>
      <c r="O291" s="6"/>
    </row>
    <row r="292" spans="2:15" x14ac:dyDescent="0.35">
      <c r="B292" s="5"/>
      <c r="C292" s="30">
        <f t="shared" si="32"/>
        <v>45553</v>
      </c>
      <c r="D292" s="46">
        <f>SUMIFS(Einzelbeträge!$D:$D,Einzelbeträge!$C:$C,'Ausgaben 2024'!$C292)</f>
        <v>0</v>
      </c>
      <c r="E292" s="21">
        <f>SUMIFS(Einzelbeträge!$D:$D,Einzelbeträge!$C:$C,'Ausgaben 2024'!$C292,Einzelbeträge!$E:$E,'Ausgaben 2024'!E$6)</f>
        <v>0</v>
      </c>
      <c r="F292" s="21">
        <f>SUMIFS(Einzelbeträge!$D:$D,Einzelbeträge!$C:$C,'Ausgaben 2024'!$C292,Einzelbeträge!$E:$E,'Ausgaben 2024'!F$6)</f>
        <v>0</v>
      </c>
      <c r="G292" s="21">
        <f>SUMIFS(Einzelbeträge!$D:$D,Einzelbeträge!$C:$C,'Ausgaben 2024'!$C292,Einzelbeträge!$E:$E,'Ausgaben 2024'!G$6)</f>
        <v>0</v>
      </c>
      <c r="H292" s="21">
        <f>SUMIFS(Einzelbeträge!$D:$D,Einzelbeträge!$C:$C,'Ausgaben 2024'!$C292,Einzelbeträge!$E:$E,'Ausgaben 2024'!H$6)</f>
        <v>0</v>
      </c>
      <c r="I292" s="21">
        <f>SUMIFS(Einzelbeträge!$D:$D,Einzelbeträge!$C:$C,'Ausgaben 2024'!$C292,Einzelbeträge!$E:$E,'Ausgaben 2024'!I$6)</f>
        <v>0</v>
      </c>
      <c r="J292" s="21">
        <f>SUMIFS(Einzelbeträge!$D:$D,Einzelbeträge!$C:$C,'Ausgaben 2024'!$C292,Einzelbeträge!$E:$E,'Ausgaben 2024'!J$6)</f>
        <v>0</v>
      </c>
      <c r="K292" s="21">
        <f>SUMIFS(Einzelbeträge!$D:$D,Einzelbeträge!$C:$C,'Ausgaben 2024'!$C292,Einzelbeträge!$E:$E,'Ausgaben 2024'!K$6)</f>
        <v>0</v>
      </c>
      <c r="L292" s="21">
        <f>SUMIFS(Einzelbeträge!$D:$D,Einzelbeträge!$C:$C,'Ausgaben 2024'!$C292,Einzelbeträge!$E:$E,'Ausgaben 2024'!L$6)</f>
        <v>0</v>
      </c>
      <c r="M292" s="21">
        <f>SUMIFS(Einzelbeträge!$D:$D,Einzelbeträge!$C:$C,'Ausgaben 2024'!$C292,Einzelbeträge!$E:$E,'Ausgaben 2024'!M$6)</f>
        <v>0</v>
      </c>
      <c r="N292" s="35">
        <f>SUMIFS(Einzelbeträge!$D:$D,Einzelbeträge!$C:$C,'Ausgaben 2024'!$C292,Einzelbeträge!$E:$E,'Ausgaben 2024'!N$6)</f>
        <v>0</v>
      </c>
      <c r="O292" s="6"/>
    </row>
    <row r="293" spans="2:15" x14ac:dyDescent="0.35">
      <c r="B293" s="5"/>
      <c r="C293" s="30">
        <f t="shared" si="32"/>
        <v>45554</v>
      </c>
      <c r="D293" s="46">
        <f>SUMIFS(Einzelbeträge!$D:$D,Einzelbeträge!$C:$C,'Ausgaben 2024'!$C293)</f>
        <v>0</v>
      </c>
      <c r="E293" s="21">
        <f>SUMIFS(Einzelbeträge!$D:$D,Einzelbeträge!$C:$C,'Ausgaben 2024'!$C293,Einzelbeträge!$E:$E,'Ausgaben 2024'!E$6)</f>
        <v>0</v>
      </c>
      <c r="F293" s="21">
        <f>SUMIFS(Einzelbeträge!$D:$D,Einzelbeträge!$C:$C,'Ausgaben 2024'!$C293,Einzelbeträge!$E:$E,'Ausgaben 2024'!F$6)</f>
        <v>0</v>
      </c>
      <c r="G293" s="21">
        <f>SUMIFS(Einzelbeträge!$D:$D,Einzelbeträge!$C:$C,'Ausgaben 2024'!$C293,Einzelbeträge!$E:$E,'Ausgaben 2024'!G$6)</f>
        <v>0</v>
      </c>
      <c r="H293" s="21">
        <f>SUMIFS(Einzelbeträge!$D:$D,Einzelbeträge!$C:$C,'Ausgaben 2024'!$C293,Einzelbeträge!$E:$E,'Ausgaben 2024'!H$6)</f>
        <v>0</v>
      </c>
      <c r="I293" s="21">
        <f>SUMIFS(Einzelbeträge!$D:$D,Einzelbeträge!$C:$C,'Ausgaben 2024'!$C293,Einzelbeträge!$E:$E,'Ausgaben 2024'!I$6)</f>
        <v>0</v>
      </c>
      <c r="J293" s="21">
        <f>SUMIFS(Einzelbeträge!$D:$D,Einzelbeträge!$C:$C,'Ausgaben 2024'!$C293,Einzelbeträge!$E:$E,'Ausgaben 2024'!J$6)</f>
        <v>0</v>
      </c>
      <c r="K293" s="21">
        <f>SUMIFS(Einzelbeträge!$D:$D,Einzelbeträge!$C:$C,'Ausgaben 2024'!$C293,Einzelbeträge!$E:$E,'Ausgaben 2024'!K$6)</f>
        <v>0</v>
      </c>
      <c r="L293" s="21">
        <f>SUMIFS(Einzelbeträge!$D:$D,Einzelbeträge!$C:$C,'Ausgaben 2024'!$C293,Einzelbeträge!$E:$E,'Ausgaben 2024'!L$6)</f>
        <v>0</v>
      </c>
      <c r="M293" s="21">
        <f>SUMIFS(Einzelbeträge!$D:$D,Einzelbeträge!$C:$C,'Ausgaben 2024'!$C293,Einzelbeträge!$E:$E,'Ausgaben 2024'!M$6)</f>
        <v>0</v>
      </c>
      <c r="N293" s="35">
        <f>SUMIFS(Einzelbeträge!$D:$D,Einzelbeträge!$C:$C,'Ausgaben 2024'!$C293,Einzelbeträge!$E:$E,'Ausgaben 2024'!N$6)</f>
        <v>0</v>
      </c>
      <c r="O293" s="6"/>
    </row>
    <row r="294" spans="2:15" x14ac:dyDescent="0.35">
      <c r="B294" s="5"/>
      <c r="C294" s="30">
        <f t="shared" si="32"/>
        <v>45555</v>
      </c>
      <c r="D294" s="46">
        <f>SUMIFS(Einzelbeträge!$D:$D,Einzelbeträge!$C:$C,'Ausgaben 2024'!$C294)</f>
        <v>0</v>
      </c>
      <c r="E294" s="21">
        <f>SUMIFS(Einzelbeträge!$D:$D,Einzelbeträge!$C:$C,'Ausgaben 2024'!$C294,Einzelbeträge!$E:$E,'Ausgaben 2024'!E$6)</f>
        <v>0</v>
      </c>
      <c r="F294" s="21">
        <f>SUMIFS(Einzelbeträge!$D:$D,Einzelbeträge!$C:$C,'Ausgaben 2024'!$C294,Einzelbeträge!$E:$E,'Ausgaben 2024'!F$6)</f>
        <v>0</v>
      </c>
      <c r="G294" s="21">
        <f>SUMIFS(Einzelbeträge!$D:$D,Einzelbeträge!$C:$C,'Ausgaben 2024'!$C294,Einzelbeträge!$E:$E,'Ausgaben 2024'!G$6)</f>
        <v>0</v>
      </c>
      <c r="H294" s="21">
        <f>SUMIFS(Einzelbeträge!$D:$D,Einzelbeträge!$C:$C,'Ausgaben 2024'!$C294,Einzelbeträge!$E:$E,'Ausgaben 2024'!H$6)</f>
        <v>0</v>
      </c>
      <c r="I294" s="21">
        <f>SUMIFS(Einzelbeträge!$D:$D,Einzelbeträge!$C:$C,'Ausgaben 2024'!$C294,Einzelbeträge!$E:$E,'Ausgaben 2024'!I$6)</f>
        <v>0</v>
      </c>
      <c r="J294" s="21">
        <f>SUMIFS(Einzelbeträge!$D:$D,Einzelbeträge!$C:$C,'Ausgaben 2024'!$C294,Einzelbeträge!$E:$E,'Ausgaben 2024'!J$6)</f>
        <v>0</v>
      </c>
      <c r="K294" s="21">
        <f>SUMIFS(Einzelbeträge!$D:$D,Einzelbeträge!$C:$C,'Ausgaben 2024'!$C294,Einzelbeträge!$E:$E,'Ausgaben 2024'!K$6)</f>
        <v>0</v>
      </c>
      <c r="L294" s="21">
        <f>SUMIFS(Einzelbeträge!$D:$D,Einzelbeträge!$C:$C,'Ausgaben 2024'!$C294,Einzelbeträge!$E:$E,'Ausgaben 2024'!L$6)</f>
        <v>0</v>
      </c>
      <c r="M294" s="21">
        <f>SUMIFS(Einzelbeträge!$D:$D,Einzelbeträge!$C:$C,'Ausgaben 2024'!$C294,Einzelbeträge!$E:$E,'Ausgaben 2024'!M$6)</f>
        <v>0</v>
      </c>
      <c r="N294" s="35">
        <f>SUMIFS(Einzelbeträge!$D:$D,Einzelbeträge!$C:$C,'Ausgaben 2024'!$C294,Einzelbeträge!$E:$E,'Ausgaben 2024'!N$6)</f>
        <v>0</v>
      </c>
      <c r="O294" s="6"/>
    </row>
    <row r="295" spans="2:15" x14ac:dyDescent="0.35">
      <c r="B295" s="5"/>
      <c r="C295" s="30">
        <f t="shared" si="32"/>
        <v>45556</v>
      </c>
      <c r="D295" s="46">
        <f>SUMIFS(Einzelbeträge!$D:$D,Einzelbeträge!$C:$C,'Ausgaben 2024'!$C295)</f>
        <v>0</v>
      </c>
      <c r="E295" s="21">
        <f>SUMIFS(Einzelbeträge!$D:$D,Einzelbeträge!$C:$C,'Ausgaben 2024'!$C295,Einzelbeträge!$E:$E,'Ausgaben 2024'!E$6)</f>
        <v>0</v>
      </c>
      <c r="F295" s="21">
        <f>SUMIFS(Einzelbeträge!$D:$D,Einzelbeträge!$C:$C,'Ausgaben 2024'!$C295,Einzelbeträge!$E:$E,'Ausgaben 2024'!F$6)</f>
        <v>0</v>
      </c>
      <c r="G295" s="21">
        <f>SUMIFS(Einzelbeträge!$D:$D,Einzelbeträge!$C:$C,'Ausgaben 2024'!$C295,Einzelbeträge!$E:$E,'Ausgaben 2024'!G$6)</f>
        <v>0</v>
      </c>
      <c r="H295" s="21">
        <f>SUMIFS(Einzelbeträge!$D:$D,Einzelbeträge!$C:$C,'Ausgaben 2024'!$C295,Einzelbeträge!$E:$E,'Ausgaben 2024'!H$6)</f>
        <v>0</v>
      </c>
      <c r="I295" s="21">
        <f>SUMIFS(Einzelbeträge!$D:$D,Einzelbeträge!$C:$C,'Ausgaben 2024'!$C295,Einzelbeträge!$E:$E,'Ausgaben 2024'!I$6)</f>
        <v>0</v>
      </c>
      <c r="J295" s="21">
        <f>SUMIFS(Einzelbeträge!$D:$D,Einzelbeträge!$C:$C,'Ausgaben 2024'!$C295,Einzelbeträge!$E:$E,'Ausgaben 2024'!J$6)</f>
        <v>0</v>
      </c>
      <c r="K295" s="21">
        <f>SUMIFS(Einzelbeträge!$D:$D,Einzelbeträge!$C:$C,'Ausgaben 2024'!$C295,Einzelbeträge!$E:$E,'Ausgaben 2024'!K$6)</f>
        <v>0</v>
      </c>
      <c r="L295" s="21">
        <f>SUMIFS(Einzelbeträge!$D:$D,Einzelbeträge!$C:$C,'Ausgaben 2024'!$C295,Einzelbeträge!$E:$E,'Ausgaben 2024'!L$6)</f>
        <v>0</v>
      </c>
      <c r="M295" s="21">
        <f>SUMIFS(Einzelbeträge!$D:$D,Einzelbeträge!$C:$C,'Ausgaben 2024'!$C295,Einzelbeträge!$E:$E,'Ausgaben 2024'!M$6)</f>
        <v>0</v>
      </c>
      <c r="N295" s="35">
        <f>SUMIFS(Einzelbeträge!$D:$D,Einzelbeträge!$C:$C,'Ausgaben 2024'!$C295,Einzelbeträge!$E:$E,'Ausgaben 2024'!N$6)</f>
        <v>0</v>
      </c>
      <c r="O295" s="6"/>
    </row>
    <row r="296" spans="2:15" x14ac:dyDescent="0.35">
      <c r="B296" s="5"/>
      <c r="C296" s="30">
        <f t="shared" si="32"/>
        <v>45557</v>
      </c>
      <c r="D296" s="46">
        <f>SUMIFS(Einzelbeträge!$D:$D,Einzelbeträge!$C:$C,'Ausgaben 2024'!$C296)</f>
        <v>0</v>
      </c>
      <c r="E296" s="21">
        <f>SUMIFS(Einzelbeträge!$D:$D,Einzelbeträge!$C:$C,'Ausgaben 2024'!$C296,Einzelbeträge!$E:$E,'Ausgaben 2024'!E$6)</f>
        <v>0</v>
      </c>
      <c r="F296" s="21">
        <f>SUMIFS(Einzelbeträge!$D:$D,Einzelbeträge!$C:$C,'Ausgaben 2024'!$C296,Einzelbeträge!$E:$E,'Ausgaben 2024'!F$6)</f>
        <v>0</v>
      </c>
      <c r="G296" s="21">
        <f>SUMIFS(Einzelbeträge!$D:$D,Einzelbeträge!$C:$C,'Ausgaben 2024'!$C296,Einzelbeträge!$E:$E,'Ausgaben 2024'!G$6)</f>
        <v>0</v>
      </c>
      <c r="H296" s="21">
        <f>SUMIFS(Einzelbeträge!$D:$D,Einzelbeträge!$C:$C,'Ausgaben 2024'!$C296,Einzelbeträge!$E:$E,'Ausgaben 2024'!H$6)</f>
        <v>0</v>
      </c>
      <c r="I296" s="21">
        <f>SUMIFS(Einzelbeträge!$D:$D,Einzelbeträge!$C:$C,'Ausgaben 2024'!$C296,Einzelbeträge!$E:$E,'Ausgaben 2024'!I$6)</f>
        <v>0</v>
      </c>
      <c r="J296" s="21">
        <f>SUMIFS(Einzelbeträge!$D:$D,Einzelbeträge!$C:$C,'Ausgaben 2024'!$C296,Einzelbeträge!$E:$E,'Ausgaben 2024'!J$6)</f>
        <v>0</v>
      </c>
      <c r="K296" s="21">
        <f>SUMIFS(Einzelbeträge!$D:$D,Einzelbeträge!$C:$C,'Ausgaben 2024'!$C296,Einzelbeträge!$E:$E,'Ausgaben 2024'!K$6)</f>
        <v>0</v>
      </c>
      <c r="L296" s="21">
        <f>SUMIFS(Einzelbeträge!$D:$D,Einzelbeträge!$C:$C,'Ausgaben 2024'!$C296,Einzelbeträge!$E:$E,'Ausgaben 2024'!L$6)</f>
        <v>0</v>
      </c>
      <c r="M296" s="21">
        <f>SUMIFS(Einzelbeträge!$D:$D,Einzelbeträge!$C:$C,'Ausgaben 2024'!$C296,Einzelbeträge!$E:$E,'Ausgaben 2024'!M$6)</f>
        <v>0</v>
      </c>
      <c r="N296" s="35">
        <f>SUMIFS(Einzelbeträge!$D:$D,Einzelbeträge!$C:$C,'Ausgaben 2024'!$C296,Einzelbeträge!$E:$E,'Ausgaben 2024'!N$6)</f>
        <v>0</v>
      </c>
      <c r="O296" s="6"/>
    </row>
    <row r="297" spans="2:15" x14ac:dyDescent="0.35">
      <c r="B297" s="5"/>
      <c r="C297" s="30">
        <f t="shared" si="32"/>
        <v>45558</v>
      </c>
      <c r="D297" s="46">
        <f>SUMIFS(Einzelbeträge!$D:$D,Einzelbeträge!$C:$C,'Ausgaben 2024'!$C297)</f>
        <v>0</v>
      </c>
      <c r="E297" s="21">
        <f>SUMIFS(Einzelbeträge!$D:$D,Einzelbeträge!$C:$C,'Ausgaben 2024'!$C297,Einzelbeträge!$E:$E,'Ausgaben 2024'!E$6)</f>
        <v>0</v>
      </c>
      <c r="F297" s="21">
        <f>SUMIFS(Einzelbeträge!$D:$D,Einzelbeträge!$C:$C,'Ausgaben 2024'!$C297,Einzelbeträge!$E:$E,'Ausgaben 2024'!F$6)</f>
        <v>0</v>
      </c>
      <c r="G297" s="21">
        <f>SUMIFS(Einzelbeträge!$D:$D,Einzelbeträge!$C:$C,'Ausgaben 2024'!$C297,Einzelbeträge!$E:$E,'Ausgaben 2024'!G$6)</f>
        <v>0</v>
      </c>
      <c r="H297" s="21">
        <f>SUMIFS(Einzelbeträge!$D:$D,Einzelbeträge!$C:$C,'Ausgaben 2024'!$C297,Einzelbeträge!$E:$E,'Ausgaben 2024'!H$6)</f>
        <v>0</v>
      </c>
      <c r="I297" s="21">
        <f>SUMIFS(Einzelbeträge!$D:$D,Einzelbeträge!$C:$C,'Ausgaben 2024'!$C297,Einzelbeträge!$E:$E,'Ausgaben 2024'!I$6)</f>
        <v>0</v>
      </c>
      <c r="J297" s="21">
        <f>SUMIFS(Einzelbeträge!$D:$D,Einzelbeträge!$C:$C,'Ausgaben 2024'!$C297,Einzelbeträge!$E:$E,'Ausgaben 2024'!J$6)</f>
        <v>0</v>
      </c>
      <c r="K297" s="21">
        <f>SUMIFS(Einzelbeträge!$D:$D,Einzelbeträge!$C:$C,'Ausgaben 2024'!$C297,Einzelbeträge!$E:$E,'Ausgaben 2024'!K$6)</f>
        <v>0</v>
      </c>
      <c r="L297" s="21">
        <f>SUMIFS(Einzelbeträge!$D:$D,Einzelbeträge!$C:$C,'Ausgaben 2024'!$C297,Einzelbeträge!$E:$E,'Ausgaben 2024'!L$6)</f>
        <v>0</v>
      </c>
      <c r="M297" s="21">
        <f>SUMIFS(Einzelbeträge!$D:$D,Einzelbeträge!$C:$C,'Ausgaben 2024'!$C297,Einzelbeträge!$E:$E,'Ausgaben 2024'!M$6)</f>
        <v>0</v>
      </c>
      <c r="N297" s="35">
        <f>SUMIFS(Einzelbeträge!$D:$D,Einzelbeträge!$C:$C,'Ausgaben 2024'!$C297,Einzelbeträge!$E:$E,'Ausgaben 2024'!N$6)</f>
        <v>0</v>
      </c>
      <c r="O297" s="6"/>
    </row>
    <row r="298" spans="2:15" x14ac:dyDescent="0.35">
      <c r="B298" s="5"/>
      <c r="C298" s="30">
        <f t="shared" si="32"/>
        <v>45559</v>
      </c>
      <c r="D298" s="46">
        <f>SUMIFS(Einzelbeträge!$D:$D,Einzelbeträge!$C:$C,'Ausgaben 2024'!$C298)</f>
        <v>0</v>
      </c>
      <c r="E298" s="21">
        <f>SUMIFS(Einzelbeträge!$D:$D,Einzelbeträge!$C:$C,'Ausgaben 2024'!$C298,Einzelbeträge!$E:$E,'Ausgaben 2024'!E$6)</f>
        <v>0</v>
      </c>
      <c r="F298" s="21">
        <f>SUMIFS(Einzelbeträge!$D:$D,Einzelbeträge!$C:$C,'Ausgaben 2024'!$C298,Einzelbeträge!$E:$E,'Ausgaben 2024'!F$6)</f>
        <v>0</v>
      </c>
      <c r="G298" s="21">
        <f>SUMIFS(Einzelbeträge!$D:$D,Einzelbeträge!$C:$C,'Ausgaben 2024'!$C298,Einzelbeträge!$E:$E,'Ausgaben 2024'!G$6)</f>
        <v>0</v>
      </c>
      <c r="H298" s="21">
        <f>SUMIFS(Einzelbeträge!$D:$D,Einzelbeträge!$C:$C,'Ausgaben 2024'!$C298,Einzelbeträge!$E:$E,'Ausgaben 2024'!H$6)</f>
        <v>0</v>
      </c>
      <c r="I298" s="21">
        <f>SUMIFS(Einzelbeträge!$D:$D,Einzelbeträge!$C:$C,'Ausgaben 2024'!$C298,Einzelbeträge!$E:$E,'Ausgaben 2024'!I$6)</f>
        <v>0</v>
      </c>
      <c r="J298" s="21">
        <f>SUMIFS(Einzelbeträge!$D:$D,Einzelbeträge!$C:$C,'Ausgaben 2024'!$C298,Einzelbeträge!$E:$E,'Ausgaben 2024'!J$6)</f>
        <v>0</v>
      </c>
      <c r="K298" s="21">
        <f>SUMIFS(Einzelbeträge!$D:$D,Einzelbeträge!$C:$C,'Ausgaben 2024'!$C298,Einzelbeträge!$E:$E,'Ausgaben 2024'!K$6)</f>
        <v>0</v>
      </c>
      <c r="L298" s="21">
        <f>SUMIFS(Einzelbeträge!$D:$D,Einzelbeträge!$C:$C,'Ausgaben 2024'!$C298,Einzelbeträge!$E:$E,'Ausgaben 2024'!L$6)</f>
        <v>0</v>
      </c>
      <c r="M298" s="21">
        <f>SUMIFS(Einzelbeträge!$D:$D,Einzelbeträge!$C:$C,'Ausgaben 2024'!$C298,Einzelbeträge!$E:$E,'Ausgaben 2024'!M$6)</f>
        <v>0</v>
      </c>
      <c r="N298" s="35">
        <f>SUMIFS(Einzelbeträge!$D:$D,Einzelbeträge!$C:$C,'Ausgaben 2024'!$C298,Einzelbeträge!$E:$E,'Ausgaben 2024'!N$6)</f>
        <v>0</v>
      </c>
      <c r="O298" s="6"/>
    </row>
    <row r="299" spans="2:15" x14ac:dyDescent="0.35">
      <c r="B299" s="5"/>
      <c r="C299" s="30">
        <f t="shared" si="32"/>
        <v>45560</v>
      </c>
      <c r="D299" s="46">
        <f>SUMIFS(Einzelbeträge!$D:$D,Einzelbeträge!$C:$C,'Ausgaben 2024'!$C299)</f>
        <v>0</v>
      </c>
      <c r="E299" s="21">
        <f>SUMIFS(Einzelbeträge!$D:$D,Einzelbeträge!$C:$C,'Ausgaben 2024'!$C299,Einzelbeträge!$E:$E,'Ausgaben 2024'!E$6)</f>
        <v>0</v>
      </c>
      <c r="F299" s="21">
        <f>SUMIFS(Einzelbeträge!$D:$D,Einzelbeträge!$C:$C,'Ausgaben 2024'!$C299,Einzelbeträge!$E:$E,'Ausgaben 2024'!F$6)</f>
        <v>0</v>
      </c>
      <c r="G299" s="21">
        <f>SUMIFS(Einzelbeträge!$D:$D,Einzelbeträge!$C:$C,'Ausgaben 2024'!$C299,Einzelbeträge!$E:$E,'Ausgaben 2024'!G$6)</f>
        <v>0</v>
      </c>
      <c r="H299" s="21">
        <f>SUMIFS(Einzelbeträge!$D:$D,Einzelbeträge!$C:$C,'Ausgaben 2024'!$C299,Einzelbeträge!$E:$E,'Ausgaben 2024'!H$6)</f>
        <v>0</v>
      </c>
      <c r="I299" s="21">
        <f>SUMIFS(Einzelbeträge!$D:$D,Einzelbeträge!$C:$C,'Ausgaben 2024'!$C299,Einzelbeträge!$E:$E,'Ausgaben 2024'!I$6)</f>
        <v>0</v>
      </c>
      <c r="J299" s="21">
        <f>SUMIFS(Einzelbeträge!$D:$D,Einzelbeträge!$C:$C,'Ausgaben 2024'!$C299,Einzelbeträge!$E:$E,'Ausgaben 2024'!J$6)</f>
        <v>0</v>
      </c>
      <c r="K299" s="21">
        <f>SUMIFS(Einzelbeträge!$D:$D,Einzelbeträge!$C:$C,'Ausgaben 2024'!$C299,Einzelbeträge!$E:$E,'Ausgaben 2024'!K$6)</f>
        <v>0</v>
      </c>
      <c r="L299" s="21">
        <f>SUMIFS(Einzelbeträge!$D:$D,Einzelbeträge!$C:$C,'Ausgaben 2024'!$C299,Einzelbeträge!$E:$E,'Ausgaben 2024'!L$6)</f>
        <v>0</v>
      </c>
      <c r="M299" s="21">
        <f>SUMIFS(Einzelbeträge!$D:$D,Einzelbeträge!$C:$C,'Ausgaben 2024'!$C299,Einzelbeträge!$E:$E,'Ausgaben 2024'!M$6)</f>
        <v>0</v>
      </c>
      <c r="N299" s="35">
        <f>SUMIFS(Einzelbeträge!$D:$D,Einzelbeträge!$C:$C,'Ausgaben 2024'!$C299,Einzelbeträge!$E:$E,'Ausgaben 2024'!N$6)</f>
        <v>0</v>
      </c>
      <c r="O299" s="6"/>
    </row>
    <row r="300" spans="2:15" x14ac:dyDescent="0.35">
      <c r="B300" s="5"/>
      <c r="C300" s="30">
        <f t="shared" si="32"/>
        <v>45561</v>
      </c>
      <c r="D300" s="46">
        <f>SUMIFS(Einzelbeträge!$D:$D,Einzelbeträge!$C:$C,'Ausgaben 2024'!$C300)</f>
        <v>0</v>
      </c>
      <c r="E300" s="21">
        <f>SUMIFS(Einzelbeträge!$D:$D,Einzelbeträge!$C:$C,'Ausgaben 2024'!$C300,Einzelbeträge!$E:$E,'Ausgaben 2024'!E$6)</f>
        <v>0</v>
      </c>
      <c r="F300" s="21">
        <f>SUMIFS(Einzelbeträge!$D:$D,Einzelbeträge!$C:$C,'Ausgaben 2024'!$C300,Einzelbeträge!$E:$E,'Ausgaben 2024'!F$6)</f>
        <v>0</v>
      </c>
      <c r="G300" s="21">
        <f>SUMIFS(Einzelbeträge!$D:$D,Einzelbeträge!$C:$C,'Ausgaben 2024'!$C300,Einzelbeträge!$E:$E,'Ausgaben 2024'!G$6)</f>
        <v>0</v>
      </c>
      <c r="H300" s="21">
        <f>SUMIFS(Einzelbeträge!$D:$D,Einzelbeträge!$C:$C,'Ausgaben 2024'!$C300,Einzelbeträge!$E:$E,'Ausgaben 2024'!H$6)</f>
        <v>0</v>
      </c>
      <c r="I300" s="21">
        <f>SUMIFS(Einzelbeträge!$D:$D,Einzelbeträge!$C:$C,'Ausgaben 2024'!$C300,Einzelbeträge!$E:$E,'Ausgaben 2024'!I$6)</f>
        <v>0</v>
      </c>
      <c r="J300" s="21">
        <f>SUMIFS(Einzelbeträge!$D:$D,Einzelbeträge!$C:$C,'Ausgaben 2024'!$C300,Einzelbeträge!$E:$E,'Ausgaben 2024'!J$6)</f>
        <v>0</v>
      </c>
      <c r="K300" s="21">
        <f>SUMIFS(Einzelbeträge!$D:$D,Einzelbeträge!$C:$C,'Ausgaben 2024'!$C300,Einzelbeträge!$E:$E,'Ausgaben 2024'!K$6)</f>
        <v>0</v>
      </c>
      <c r="L300" s="21">
        <f>SUMIFS(Einzelbeträge!$D:$D,Einzelbeträge!$C:$C,'Ausgaben 2024'!$C300,Einzelbeträge!$E:$E,'Ausgaben 2024'!L$6)</f>
        <v>0</v>
      </c>
      <c r="M300" s="21">
        <f>SUMIFS(Einzelbeträge!$D:$D,Einzelbeträge!$C:$C,'Ausgaben 2024'!$C300,Einzelbeträge!$E:$E,'Ausgaben 2024'!M$6)</f>
        <v>0</v>
      </c>
      <c r="N300" s="35">
        <f>SUMIFS(Einzelbeträge!$D:$D,Einzelbeträge!$C:$C,'Ausgaben 2024'!$C300,Einzelbeträge!$E:$E,'Ausgaben 2024'!N$6)</f>
        <v>0</v>
      </c>
      <c r="O300" s="6"/>
    </row>
    <row r="301" spans="2:15" x14ac:dyDescent="0.35">
      <c r="B301" s="5"/>
      <c r="C301" s="30">
        <f t="shared" si="32"/>
        <v>45562</v>
      </c>
      <c r="D301" s="46">
        <f>SUMIFS(Einzelbeträge!$D:$D,Einzelbeträge!$C:$C,'Ausgaben 2024'!$C301)</f>
        <v>0</v>
      </c>
      <c r="E301" s="21">
        <f>SUMIFS(Einzelbeträge!$D:$D,Einzelbeträge!$C:$C,'Ausgaben 2024'!$C301,Einzelbeträge!$E:$E,'Ausgaben 2024'!E$6)</f>
        <v>0</v>
      </c>
      <c r="F301" s="21">
        <f>SUMIFS(Einzelbeträge!$D:$D,Einzelbeträge!$C:$C,'Ausgaben 2024'!$C301,Einzelbeträge!$E:$E,'Ausgaben 2024'!F$6)</f>
        <v>0</v>
      </c>
      <c r="G301" s="21">
        <f>SUMIFS(Einzelbeträge!$D:$D,Einzelbeträge!$C:$C,'Ausgaben 2024'!$C301,Einzelbeträge!$E:$E,'Ausgaben 2024'!G$6)</f>
        <v>0</v>
      </c>
      <c r="H301" s="21">
        <f>SUMIFS(Einzelbeträge!$D:$D,Einzelbeträge!$C:$C,'Ausgaben 2024'!$C301,Einzelbeträge!$E:$E,'Ausgaben 2024'!H$6)</f>
        <v>0</v>
      </c>
      <c r="I301" s="21">
        <f>SUMIFS(Einzelbeträge!$D:$D,Einzelbeträge!$C:$C,'Ausgaben 2024'!$C301,Einzelbeträge!$E:$E,'Ausgaben 2024'!I$6)</f>
        <v>0</v>
      </c>
      <c r="J301" s="21">
        <f>SUMIFS(Einzelbeträge!$D:$D,Einzelbeträge!$C:$C,'Ausgaben 2024'!$C301,Einzelbeträge!$E:$E,'Ausgaben 2024'!J$6)</f>
        <v>0</v>
      </c>
      <c r="K301" s="21">
        <f>SUMIFS(Einzelbeträge!$D:$D,Einzelbeträge!$C:$C,'Ausgaben 2024'!$C301,Einzelbeträge!$E:$E,'Ausgaben 2024'!K$6)</f>
        <v>0</v>
      </c>
      <c r="L301" s="21">
        <f>SUMIFS(Einzelbeträge!$D:$D,Einzelbeträge!$C:$C,'Ausgaben 2024'!$C301,Einzelbeträge!$E:$E,'Ausgaben 2024'!L$6)</f>
        <v>0</v>
      </c>
      <c r="M301" s="21">
        <f>SUMIFS(Einzelbeträge!$D:$D,Einzelbeträge!$C:$C,'Ausgaben 2024'!$C301,Einzelbeträge!$E:$E,'Ausgaben 2024'!M$6)</f>
        <v>0</v>
      </c>
      <c r="N301" s="35">
        <f>SUMIFS(Einzelbeträge!$D:$D,Einzelbeträge!$C:$C,'Ausgaben 2024'!$C301,Einzelbeträge!$E:$E,'Ausgaben 2024'!N$6)</f>
        <v>0</v>
      </c>
      <c r="O301" s="6"/>
    </row>
    <row r="302" spans="2:15" x14ac:dyDescent="0.35">
      <c r="B302" s="5"/>
      <c r="C302" s="30">
        <f t="shared" si="32"/>
        <v>45563</v>
      </c>
      <c r="D302" s="46">
        <f>SUMIFS(Einzelbeträge!$D:$D,Einzelbeträge!$C:$C,'Ausgaben 2024'!$C302)</f>
        <v>0</v>
      </c>
      <c r="E302" s="21">
        <f>SUMIFS(Einzelbeträge!$D:$D,Einzelbeträge!$C:$C,'Ausgaben 2024'!$C302,Einzelbeträge!$E:$E,'Ausgaben 2024'!E$6)</f>
        <v>0</v>
      </c>
      <c r="F302" s="21">
        <f>SUMIFS(Einzelbeträge!$D:$D,Einzelbeträge!$C:$C,'Ausgaben 2024'!$C302,Einzelbeträge!$E:$E,'Ausgaben 2024'!F$6)</f>
        <v>0</v>
      </c>
      <c r="G302" s="21">
        <f>SUMIFS(Einzelbeträge!$D:$D,Einzelbeträge!$C:$C,'Ausgaben 2024'!$C302,Einzelbeträge!$E:$E,'Ausgaben 2024'!G$6)</f>
        <v>0</v>
      </c>
      <c r="H302" s="21">
        <f>SUMIFS(Einzelbeträge!$D:$D,Einzelbeträge!$C:$C,'Ausgaben 2024'!$C302,Einzelbeträge!$E:$E,'Ausgaben 2024'!H$6)</f>
        <v>0</v>
      </c>
      <c r="I302" s="21">
        <f>SUMIFS(Einzelbeträge!$D:$D,Einzelbeträge!$C:$C,'Ausgaben 2024'!$C302,Einzelbeträge!$E:$E,'Ausgaben 2024'!I$6)</f>
        <v>0</v>
      </c>
      <c r="J302" s="21">
        <f>SUMIFS(Einzelbeträge!$D:$D,Einzelbeträge!$C:$C,'Ausgaben 2024'!$C302,Einzelbeträge!$E:$E,'Ausgaben 2024'!J$6)</f>
        <v>0</v>
      </c>
      <c r="K302" s="21">
        <f>SUMIFS(Einzelbeträge!$D:$D,Einzelbeträge!$C:$C,'Ausgaben 2024'!$C302,Einzelbeträge!$E:$E,'Ausgaben 2024'!K$6)</f>
        <v>0</v>
      </c>
      <c r="L302" s="21">
        <f>SUMIFS(Einzelbeträge!$D:$D,Einzelbeträge!$C:$C,'Ausgaben 2024'!$C302,Einzelbeträge!$E:$E,'Ausgaben 2024'!L$6)</f>
        <v>0</v>
      </c>
      <c r="M302" s="21">
        <f>SUMIFS(Einzelbeträge!$D:$D,Einzelbeträge!$C:$C,'Ausgaben 2024'!$C302,Einzelbeträge!$E:$E,'Ausgaben 2024'!M$6)</f>
        <v>0</v>
      </c>
      <c r="N302" s="35">
        <f>SUMIFS(Einzelbeträge!$D:$D,Einzelbeträge!$C:$C,'Ausgaben 2024'!$C302,Einzelbeträge!$E:$E,'Ausgaben 2024'!N$6)</f>
        <v>0</v>
      </c>
      <c r="O302" s="6"/>
    </row>
    <row r="303" spans="2:15" x14ac:dyDescent="0.35">
      <c r="B303" s="5"/>
      <c r="C303" s="30">
        <f t="shared" si="32"/>
        <v>45564</v>
      </c>
      <c r="D303" s="46">
        <f>SUMIFS(Einzelbeträge!$D:$D,Einzelbeträge!$C:$C,'Ausgaben 2024'!$C303)</f>
        <v>0</v>
      </c>
      <c r="E303" s="21">
        <f>SUMIFS(Einzelbeträge!$D:$D,Einzelbeträge!$C:$C,'Ausgaben 2024'!$C303,Einzelbeträge!$E:$E,'Ausgaben 2024'!E$6)</f>
        <v>0</v>
      </c>
      <c r="F303" s="21">
        <f>SUMIFS(Einzelbeträge!$D:$D,Einzelbeträge!$C:$C,'Ausgaben 2024'!$C303,Einzelbeträge!$E:$E,'Ausgaben 2024'!F$6)</f>
        <v>0</v>
      </c>
      <c r="G303" s="21">
        <f>SUMIFS(Einzelbeträge!$D:$D,Einzelbeträge!$C:$C,'Ausgaben 2024'!$C303,Einzelbeträge!$E:$E,'Ausgaben 2024'!G$6)</f>
        <v>0</v>
      </c>
      <c r="H303" s="21">
        <f>SUMIFS(Einzelbeträge!$D:$D,Einzelbeträge!$C:$C,'Ausgaben 2024'!$C303,Einzelbeträge!$E:$E,'Ausgaben 2024'!H$6)</f>
        <v>0</v>
      </c>
      <c r="I303" s="21">
        <f>SUMIFS(Einzelbeträge!$D:$D,Einzelbeträge!$C:$C,'Ausgaben 2024'!$C303,Einzelbeträge!$E:$E,'Ausgaben 2024'!I$6)</f>
        <v>0</v>
      </c>
      <c r="J303" s="21">
        <f>SUMIFS(Einzelbeträge!$D:$D,Einzelbeträge!$C:$C,'Ausgaben 2024'!$C303,Einzelbeträge!$E:$E,'Ausgaben 2024'!J$6)</f>
        <v>0</v>
      </c>
      <c r="K303" s="21">
        <f>SUMIFS(Einzelbeträge!$D:$D,Einzelbeträge!$C:$C,'Ausgaben 2024'!$C303,Einzelbeträge!$E:$E,'Ausgaben 2024'!K$6)</f>
        <v>0</v>
      </c>
      <c r="L303" s="21">
        <f>SUMIFS(Einzelbeträge!$D:$D,Einzelbeträge!$C:$C,'Ausgaben 2024'!$C303,Einzelbeträge!$E:$E,'Ausgaben 2024'!L$6)</f>
        <v>0</v>
      </c>
      <c r="M303" s="21">
        <f>SUMIFS(Einzelbeträge!$D:$D,Einzelbeträge!$C:$C,'Ausgaben 2024'!$C303,Einzelbeträge!$E:$E,'Ausgaben 2024'!M$6)</f>
        <v>0</v>
      </c>
      <c r="N303" s="35">
        <f>SUMIFS(Einzelbeträge!$D:$D,Einzelbeträge!$C:$C,'Ausgaben 2024'!$C303,Einzelbeträge!$E:$E,'Ausgaben 2024'!N$6)</f>
        <v>0</v>
      </c>
      <c r="O303" s="6"/>
    </row>
    <row r="304" spans="2:15" x14ac:dyDescent="0.35">
      <c r="B304" s="5"/>
      <c r="C304" s="31">
        <f t="shared" si="32"/>
        <v>45565</v>
      </c>
      <c r="D304" s="47">
        <f>SUMIFS(Einzelbeträge!$D:$D,Einzelbeträge!$C:$C,'Ausgaben 2024'!$C304)</f>
        <v>0</v>
      </c>
      <c r="E304" s="37">
        <f>SUMIFS(Einzelbeträge!$D:$D,Einzelbeträge!$C:$C,'Ausgaben 2024'!$C304,Einzelbeträge!$E:$E,'Ausgaben 2024'!E$6)</f>
        <v>0</v>
      </c>
      <c r="F304" s="37">
        <f>SUMIFS(Einzelbeträge!$D:$D,Einzelbeträge!$C:$C,'Ausgaben 2024'!$C304,Einzelbeträge!$E:$E,'Ausgaben 2024'!F$6)</f>
        <v>0</v>
      </c>
      <c r="G304" s="37">
        <f>SUMIFS(Einzelbeträge!$D:$D,Einzelbeträge!$C:$C,'Ausgaben 2024'!$C304,Einzelbeträge!$E:$E,'Ausgaben 2024'!G$6)</f>
        <v>0</v>
      </c>
      <c r="H304" s="37">
        <f>SUMIFS(Einzelbeträge!$D:$D,Einzelbeträge!$C:$C,'Ausgaben 2024'!$C304,Einzelbeträge!$E:$E,'Ausgaben 2024'!H$6)</f>
        <v>0</v>
      </c>
      <c r="I304" s="37">
        <f>SUMIFS(Einzelbeträge!$D:$D,Einzelbeträge!$C:$C,'Ausgaben 2024'!$C304,Einzelbeträge!$E:$E,'Ausgaben 2024'!I$6)</f>
        <v>0</v>
      </c>
      <c r="J304" s="37">
        <f>SUMIFS(Einzelbeträge!$D:$D,Einzelbeträge!$C:$C,'Ausgaben 2024'!$C304,Einzelbeträge!$E:$E,'Ausgaben 2024'!J$6)</f>
        <v>0</v>
      </c>
      <c r="K304" s="37">
        <f>SUMIFS(Einzelbeträge!$D:$D,Einzelbeträge!$C:$C,'Ausgaben 2024'!$C304,Einzelbeträge!$E:$E,'Ausgaben 2024'!K$6)</f>
        <v>0</v>
      </c>
      <c r="L304" s="37">
        <f>SUMIFS(Einzelbeträge!$D:$D,Einzelbeträge!$C:$C,'Ausgaben 2024'!$C304,Einzelbeträge!$E:$E,'Ausgaben 2024'!L$6)</f>
        <v>0</v>
      </c>
      <c r="M304" s="37">
        <f>SUMIFS(Einzelbeträge!$D:$D,Einzelbeträge!$C:$C,'Ausgaben 2024'!$C304,Einzelbeträge!$E:$E,'Ausgaben 2024'!M$6)</f>
        <v>0</v>
      </c>
      <c r="N304" s="38">
        <f>SUMIFS(Einzelbeträge!$D:$D,Einzelbeträge!$C:$C,'Ausgaben 2024'!$C304,Einzelbeträge!$E:$E,'Ausgaben 2024'!N$6)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45566</v>
      </c>
      <c r="D308" s="45">
        <f>SUMIFS(Einzelbeträge!$D:$D,Einzelbeträge!$C:$C,'Ausgaben 2024'!$C308)</f>
        <v>0</v>
      </c>
      <c r="E308" s="32">
        <f>SUMIFS(Einzelbeträge!$D:$D,Einzelbeträge!$C:$C,'Ausgaben 2024'!$C308,Einzelbeträge!$E:$E,'Ausgaben 2024'!E$6)</f>
        <v>0</v>
      </c>
      <c r="F308" s="32">
        <f>SUMIFS(Einzelbeträge!$D:$D,Einzelbeträge!$C:$C,'Ausgaben 2024'!$C308,Einzelbeträge!$E:$E,'Ausgaben 2024'!F$6)</f>
        <v>0</v>
      </c>
      <c r="G308" s="32">
        <f>SUMIFS(Einzelbeträge!$D:$D,Einzelbeträge!$C:$C,'Ausgaben 2024'!$C308,Einzelbeträge!$E:$E,'Ausgaben 2024'!G$6)</f>
        <v>0</v>
      </c>
      <c r="H308" s="32">
        <f>SUMIFS(Einzelbeträge!$D:$D,Einzelbeträge!$C:$C,'Ausgaben 2024'!$C308,Einzelbeträge!$E:$E,'Ausgaben 2024'!H$6)</f>
        <v>0</v>
      </c>
      <c r="I308" s="32">
        <f>SUMIFS(Einzelbeträge!$D:$D,Einzelbeträge!$C:$C,'Ausgaben 2024'!$C308,Einzelbeträge!$E:$E,'Ausgaben 2024'!I$6)</f>
        <v>0</v>
      </c>
      <c r="J308" s="32">
        <f>SUMIFS(Einzelbeträge!$D:$D,Einzelbeträge!$C:$C,'Ausgaben 2024'!$C308,Einzelbeträge!$E:$E,'Ausgaben 2024'!J$6)</f>
        <v>0</v>
      </c>
      <c r="K308" s="32">
        <f>SUMIFS(Einzelbeträge!$D:$D,Einzelbeträge!$C:$C,'Ausgaben 2024'!$C308,Einzelbeträge!$E:$E,'Ausgaben 2024'!K$6)</f>
        <v>0</v>
      </c>
      <c r="L308" s="32">
        <f>SUMIFS(Einzelbeträge!$D:$D,Einzelbeträge!$C:$C,'Ausgaben 2024'!$C308,Einzelbeträge!$E:$E,'Ausgaben 2024'!L$6)</f>
        <v>0</v>
      </c>
      <c r="M308" s="32">
        <f>SUMIFS(Einzelbeträge!$D:$D,Einzelbeträge!$C:$C,'Ausgaben 2024'!$C308,Einzelbeträge!$E:$E,'Ausgaben 2024'!M$6)</f>
        <v>0</v>
      </c>
      <c r="N308" s="33">
        <f>SUMIFS(Einzelbeträge!$D:$D,Einzelbeträge!$C:$C,'Ausgaben 2024'!$C308,Einzelbeträge!$E:$E,'Ausgaben 2024'!N$6)</f>
        <v>0</v>
      </c>
      <c r="O308" s="6"/>
    </row>
    <row r="309" spans="2:15" x14ac:dyDescent="0.35">
      <c r="B309" s="5"/>
      <c r="C309" s="40">
        <f>C308+1</f>
        <v>45567</v>
      </c>
      <c r="D309" s="46">
        <f>SUMIFS(Einzelbeträge!$D:$D,Einzelbeträge!$C:$C,'Ausgaben 2024'!$C309)</f>
        <v>0</v>
      </c>
      <c r="E309" s="21">
        <f>SUMIFS(Einzelbeträge!$D:$D,Einzelbeträge!$C:$C,'Ausgaben 2024'!$C309,Einzelbeträge!$E:$E,'Ausgaben 2024'!E$6)</f>
        <v>0</v>
      </c>
      <c r="F309" s="21">
        <f>SUMIFS(Einzelbeträge!$D:$D,Einzelbeträge!$C:$C,'Ausgaben 2024'!$C309,Einzelbeträge!$E:$E,'Ausgaben 2024'!F$6)</f>
        <v>0</v>
      </c>
      <c r="G309" s="21">
        <f>SUMIFS(Einzelbeträge!$D:$D,Einzelbeträge!$C:$C,'Ausgaben 2024'!$C309,Einzelbeträge!$E:$E,'Ausgaben 2024'!G$6)</f>
        <v>0</v>
      </c>
      <c r="H309" s="21">
        <f>SUMIFS(Einzelbeträge!$D:$D,Einzelbeträge!$C:$C,'Ausgaben 2024'!$C309,Einzelbeträge!$E:$E,'Ausgaben 2024'!H$6)</f>
        <v>0</v>
      </c>
      <c r="I309" s="21">
        <f>SUMIFS(Einzelbeträge!$D:$D,Einzelbeträge!$C:$C,'Ausgaben 2024'!$C309,Einzelbeträge!$E:$E,'Ausgaben 2024'!I$6)</f>
        <v>0</v>
      </c>
      <c r="J309" s="21">
        <f>SUMIFS(Einzelbeträge!$D:$D,Einzelbeträge!$C:$C,'Ausgaben 2024'!$C309,Einzelbeträge!$E:$E,'Ausgaben 2024'!J$6)</f>
        <v>0</v>
      </c>
      <c r="K309" s="21">
        <f>SUMIFS(Einzelbeträge!$D:$D,Einzelbeträge!$C:$C,'Ausgaben 2024'!$C309,Einzelbeträge!$E:$E,'Ausgaben 2024'!K$6)</f>
        <v>0</v>
      </c>
      <c r="L309" s="21">
        <f>SUMIFS(Einzelbeträge!$D:$D,Einzelbeträge!$C:$C,'Ausgaben 2024'!$C309,Einzelbeträge!$E:$E,'Ausgaben 2024'!L$6)</f>
        <v>0</v>
      </c>
      <c r="M309" s="21">
        <f>SUMIFS(Einzelbeträge!$D:$D,Einzelbeträge!$C:$C,'Ausgaben 2024'!$C309,Einzelbeträge!$E:$E,'Ausgaben 2024'!M$6)</f>
        <v>0</v>
      </c>
      <c r="N309" s="35">
        <f>SUMIFS(Einzelbeträge!$D:$D,Einzelbeträge!$C:$C,'Ausgaben 2024'!$C309,Einzelbeträge!$E:$E,'Ausgaben 2024'!N$6)</f>
        <v>0</v>
      </c>
      <c r="O309" s="6"/>
    </row>
    <row r="310" spans="2:15" x14ac:dyDescent="0.35">
      <c r="B310" s="5"/>
      <c r="C310" s="40">
        <f t="shared" ref="C310:C338" si="33">C309+1</f>
        <v>45568</v>
      </c>
      <c r="D310" s="46">
        <f>SUMIFS(Einzelbeträge!$D:$D,Einzelbeträge!$C:$C,'Ausgaben 2024'!$C310)</f>
        <v>0</v>
      </c>
      <c r="E310" s="21">
        <f>SUMIFS(Einzelbeträge!$D:$D,Einzelbeträge!$C:$C,'Ausgaben 2024'!$C310,Einzelbeträge!$E:$E,'Ausgaben 2024'!E$6)</f>
        <v>0</v>
      </c>
      <c r="F310" s="21">
        <f>SUMIFS(Einzelbeträge!$D:$D,Einzelbeträge!$C:$C,'Ausgaben 2024'!$C310,Einzelbeträge!$E:$E,'Ausgaben 2024'!F$6)</f>
        <v>0</v>
      </c>
      <c r="G310" s="21">
        <f>SUMIFS(Einzelbeträge!$D:$D,Einzelbeträge!$C:$C,'Ausgaben 2024'!$C310,Einzelbeträge!$E:$E,'Ausgaben 2024'!G$6)</f>
        <v>0</v>
      </c>
      <c r="H310" s="21">
        <f>SUMIFS(Einzelbeträge!$D:$D,Einzelbeträge!$C:$C,'Ausgaben 2024'!$C310,Einzelbeträge!$E:$E,'Ausgaben 2024'!H$6)</f>
        <v>0</v>
      </c>
      <c r="I310" s="21">
        <f>SUMIFS(Einzelbeträge!$D:$D,Einzelbeträge!$C:$C,'Ausgaben 2024'!$C310,Einzelbeträge!$E:$E,'Ausgaben 2024'!I$6)</f>
        <v>0</v>
      </c>
      <c r="J310" s="21">
        <f>SUMIFS(Einzelbeträge!$D:$D,Einzelbeträge!$C:$C,'Ausgaben 2024'!$C310,Einzelbeträge!$E:$E,'Ausgaben 2024'!J$6)</f>
        <v>0</v>
      </c>
      <c r="K310" s="21">
        <f>SUMIFS(Einzelbeträge!$D:$D,Einzelbeträge!$C:$C,'Ausgaben 2024'!$C310,Einzelbeträge!$E:$E,'Ausgaben 2024'!K$6)</f>
        <v>0</v>
      </c>
      <c r="L310" s="21">
        <f>SUMIFS(Einzelbeträge!$D:$D,Einzelbeträge!$C:$C,'Ausgaben 2024'!$C310,Einzelbeträge!$E:$E,'Ausgaben 2024'!L$6)</f>
        <v>0</v>
      </c>
      <c r="M310" s="21">
        <f>SUMIFS(Einzelbeträge!$D:$D,Einzelbeträge!$C:$C,'Ausgaben 2024'!$C310,Einzelbeträge!$E:$E,'Ausgaben 2024'!M$6)</f>
        <v>0</v>
      </c>
      <c r="N310" s="35">
        <f>SUMIFS(Einzelbeträge!$D:$D,Einzelbeträge!$C:$C,'Ausgaben 2024'!$C310,Einzelbeträge!$E:$E,'Ausgaben 2024'!N$6)</f>
        <v>0</v>
      </c>
      <c r="O310" s="6"/>
    </row>
    <row r="311" spans="2:15" x14ac:dyDescent="0.35">
      <c r="B311" s="5"/>
      <c r="C311" s="40">
        <f t="shared" si="33"/>
        <v>45569</v>
      </c>
      <c r="D311" s="46">
        <f>SUMIFS(Einzelbeträge!$D:$D,Einzelbeträge!$C:$C,'Ausgaben 2024'!$C311)</f>
        <v>0</v>
      </c>
      <c r="E311" s="21">
        <f>SUMIFS(Einzelbeträge!$D:$D,Einzelbeträge!$C:$C,'Ausgaben 2024'!$C311,Einzelbeträge!$E:$E,'Ausgaben 2024'!E$6)</f>
        <v>0</v>
      </c>
      <c r="F311" s="21">
        <f>SUMIFS(Einzelbeträge!$D:$D,Einzelbeträge!$C:$C,'Ausgaben 2024'!$C311,Einzelbeträge!$E:$E,'Ausgaben 2024'!F$6)</f>
        <v>0</v>
      </c>
      <c r="G311" s="21">
        <f>SUMIFS(Einzelbeträge!$D:$D,Einzelbeträge!$C:$C,'Ausgaben 2024'!$C311,Einzelbeträge!$E:$E,'Ausgaben 2024'!G$6)</f>
        <v>0</v>
      </c>
      <c r="H311" s="21">
        <f>SUMIFS(Einzelbeträge!$D:$D,Einzelbeträge!$C:$C,'Ausgaben 2024'!$C311,Einzelbeträge!$E:$E,'Ausgaben 2024'!H$6)</f>
        <v>0</v>
      </c>
      <c r="I311" s="21">
        <f>SUMIFS(Einzelbeträge!$D:$D,Einzelbeträge!$C:$C,'Ausgaben 2024'!$C311,Einzelbeträge!$E:$E,'Ausgaben 2024'!I$6)</f>
        <v>0</v>
      </c>
      <c r="J311" s="21">
        <f>SUMIFS(Einzelbeträge!$D:$D,Einzelbeträge!$C:$C,'Ausgaben 2024'!$C311,Einzelbeträge!$E:$E,'Ausgaben 2024'!J$6)</f>
        <v>0</v>
      </c>
      <c r="K311" s="21">
        <f>SUMIFS(Einzelbeträge!$D:$D,Einzelbeträge!$C:$C,'Ausgaben 2024'!$C311,Einzelbeträge!$E:$E,'Ausgaben 2024'!K$6)</f>
        <v>0</v>
      </c>
      <c r="L311" s="21">
        <f>SUMIFS(Einzelbeträge!$D:$D,Einzelbeträge!$C:$C,'Ausgaben 2024'!$C311,Einzelbeträge!$E:$E,'Ausgaben 2024'!L$6)</f>
        <v>0</v>
      </c>
      <c r="M311" s="21">
        <f>SUMIFS(Einzelbeträge!$D:$D,Einzelbeträge!$C:$C,'Ausgaben 2024'!$C311,Einzelbeträge!$E:$E,'Ausgaben 2024'!M$6)</f>
        <v>0</v>
      </c>
      <c r="N311" s="35">
        <f>SUMIFS(Einzelbeträge!$D:$D,Einzelbeträge!$C:$C,'Ausgaben 2024'!$C311,Einzelbeträge!$E:$E,'Ausgaben 2024'!N$6)</f>
        <v>0</v>
      </c>
      <c r="O311" s="6"/>
    </row>
    <row r="312" spans="2:15" x14ac:dyDescent="0.35">
      <c r="B312" s="5"/>
      <c r="C312" s="40">
        <f t="shared" si="33"/>
        <v>45570</v>
      </c>
      <c r="D312" s="46">
        <f>SUMIFS(Einzelbeträge!$D:$D,Einzelbeträge!$C:$C,'Ausgaben 2024'!$C312)</f>
        <v>0</v>
      </c>
      <c r="E312" s="21">
        <f>SUMIFS(Einzelbeträge!$D:$D,Einzelbeträge!$C:$C,'Ausgaben 2024'!$C312,Einzelbeträge!$E:$E,'Ausgaben 2024'!E$6)</f>
        <v>0</v>
      </c>
      <c r="F312" s="21">
        <f>SUMIFS(Einzelbeträge!$D:$D,Einzelbeträge!$C:$C,'Ausgaben 2024'!$C312,Einzelbeträge!$E:$E,'Ausgaben 2024'!F$6)</f>
        <v>0</v>
      </c>
      <c r="G312" s="21">
        <f>SUMIFS(Einzelbeträge!$D:$D,Einzelbeträge!$C:$C,'Ausgaben 2024'!$C312,Einzelbeträge!$E:$E,'Ausgaben 2024'!G$6)</f>
        <v>0</v>
      </c>
      <c r="H312" s="21">
        <f>SUMIFS(Einzelbeträge!$D:$D,Einzelbeträge!$C:$C,'Ausgaben 2024'!$C312,Einzelbeträge!$E:$E,'Ausgaben 2024'!H$6)</f>
        <v>0</v>
      </c>
      <c r="I312" s="21">
        <f>SUMIFS(Einzelbeträge!$D:$D,Einzelbeträge!$C:$C,'Ausgaben 2024'!$C312,Einzelbeträge!$E:$E,'Ausgaben 2024'!I$6)</f>
        <v>0</v>
      </c>
      <c r="J312" s="21">
        <f>SUMIFS(Einzelbeträge!$D:$D,Einzelbeträge!$C:$C,'Ausgaben 2024'!$C312,Einzelbeträge!$E:$E,'Ausgaben 2024'!J$6)</f>
        <v>0</v>
      </c>
      <c r="K312" s="21">
        <f>SUMIFS(Einzelbeträge!$D:$D,Einzelbeträge!$C:$C,'Ausgaben 2024'!$C312,Einzelbeträge!$E:$E,'Ausgaben 2024'!K$6)</f>
        <v>0</v>
      </c>
      <c r="L312" s="21">
        <f>SUMIFS(Einzelbeträge!$D:$D,Einzelbeträge!$C:$C,'Ausgaben 2024'!$C312,Einzelbeträge!$E:$E,'Ausgaben 2024'!L$6)</f>
        <v>0</v>
      </c>
      <c r="M312" s="21">
        <f>SUMIFS(Einzelbeträge!$D:$D,Einzelbeträge!$C:$C,'Ausgaben 2024'!$C312,Einzelbeträge!$E:$E,'Ausgaben 2024'!M$6)</f>
        <v>0</v>
      </c>
      <c r="N312" s="35">
        <f>SUMIFS(Einzelbeträge!$D:$D,Einzelbeträge!$C:$C,'Ausgaben 2024'!$C312,Einzelbeträge!$E:$E,'Ausgaben 2024'!N$6)</f>
        <v>0</v>
      </c>
      <c r="O312" s="6"/>
    </row>
    <row r="313" spans="2:15" x14ac:dyDescent="0.35">
      <c r="B313" s="5"/>
      <c r="C313" s="40">
        <f t="shared" si="33"/>
        <v>45571</v>
      </c>
      <c r="D313" s="46">
        <f>SUMIFS(Einzelbeträge!$D:$D,Einzelbeträge!$C:$C,'Ausgaben 2024'!$C313)</f>
        <v>0</v>
      </c>
      <c r="E313" s="21">
        <f>SUMIFS(Einzelbeträge!$D:$D,Einzelbeträge!$C:$C,'Ausgaben 2024'!$C313,Einzelbeträge!$E:$E,'Ausgaben 2024'!E$6)</f>
        <v>0</v>
      </c>
      <c r="F313" s="21">
        <f>SUMIFS(Einzelbeträge!$D:$D,Einzelbeträge!$C:$C,'Ausgaben 2024'!$C313,Einzelbeträge!$E:$E,'Ausgaben 2024'!F$6)</f>
        <v>0</v>
      </c>
      <c r="G313" s="21">
        <f>SUMIFS(Einzelbeträge!$D:$D,Einzelbeträge!$C:$C,'Ausgaben 2024'!$C313,Einzelbeträge!$E:$E,'Ausgaben 2024'!G$6)</f>
        <v>0</v>
      </c>
      <c r="H313" s="21">
        <f>SUMIFS(Einzelbeträge!$D:$D,Einzelbeträge!$C:$C,'Ausgaben 2024'!$C313,Einzelbeträge!$E:$E,'Ausgaben 2024'!H$6)</f>
        <v>0</v>
      </c>
      <c r="I313" s="21">
        <f>SUMIFS(Einzelbeträge!$D:$D,Einzelbeträge!$C:$C,'Ausgaben 2024'!$C313,Einzelbeträge!$E:$E,'Ausgaben 2024'!I$6)</f>
        <v>0</v>
      </c>
      <c r="J313" s="21">
        <f>SUMIFS(Einzelbeträge!$D:$D,Einzelbeträge!$C:$C,'Ausgaben 2024'!$C313,Einzelbeträge!$E:$E,'Ausgaben 2024'!J$6)</f>
        <v>0</v>
      </c>
      <c r="K313" s="21">
        <f>SUMIFS(Einzelbeträge!$D:$D,Einzelbeträge!$C:$C,'Ausgaben 2024'!$C313,Einzelbeträge!$E:$E,'Ausgaben 2024'!K$6)</f>
        <v>0</v>
      </c>
      <c r="L313" s="21">
        <f>SUMIFS(Einzelbeträge!$D:$D,Einzelbeträge!$C:$C,'Ausgaben 2024'!$C313,Einzelbeträge!$E:$E,'Ausgaben 2024'!L$6)</f>
        <v>0</v>
      </c>
      <c r="M313" s="21">
        <f>SUMIFS(Einzelbeträge!$D:$D,Einzelbeträge!$C:$C,'Ausgaben 2024'!$C313,Einzelbeträge!$E:$E,'Ausgaben 2024'!M$6)</f>
        <v>0</v>
      </c>
      <c r="N313" s="35">
        <f>SUMIFS(Einzelbeträge!$D:$D,Einzelbeträge!$C:$C,'Ausgaben 2024'!$C313,Einzelbeträge!$E:$E,'Ausgaben 2024'!N$6)</f>
        <v>0</v>
      </c>
      <c r="O313" s="6"/>
    </row>
    <row r="314" spans="2:15" x14ac:dyDescent="0.35">
      <c r="B314" s="5"/>
      <c r="C314" s="40">
        <f t="shared" si="33"/>
        <v>45572</v>
      </c>
      <c r="D314" s="46">
        <f>SUMIFS(Einzelbeträge!$D:$D,Einzelbeträge!$C:$C,'Ausgaben 2024'!$C314)</f>
        <v>0</v>
      </c>
      <c r="E314" s="21">
        <f>SUMIFS(Einzelbeträge!$D:$D,Einzelbeträge!$C:$C,'Ausgaben 2024'!$C314,Einzelbeträge!$E:$E,'Ausgaben 2024'!E$6)</f>
        <v>0</v>
      </c>
      <c r="F314" s="21">
        <f>SUMIFS(Einzelbeträge!$D:$D,Einzelbeträge!$C:$C,'Ausgaben 2024'!$C314,Einzelbeträge!$E:$E,'Ausgaben 2024'!F$6)</f>
        <v>0</v>
      </c>
      <c r="G314" s="21">
        <f>SUMIFS(Einzelbeträge!$D:$D,Einzelbeträge!$C:$C,'Ausgaben 2024'!$C314,Einzelbeträge!$E:$E,'Ausgaben 2024'!G$6)</f>
        <v>0</v>
      </c>
      <c r="H314" s="21">
        <f>SUMIFS(Einzelbeträge!$D:$D,Einzelbeträge!$C:$C,'Ausgaben 2024'!$C314,Einzelbeträge!$E:$E,'Ausgaben 2024'!H$6)</f>
        <v>0</v>
      </c>
      <c r="I314" s="21">
        <f>SUMIFS(Einzelbeträge!$D:$D,Einzelbeträge!$C:$C,'Ausgaben 2024'!$C314,Einzelbeträge!$E:$E,'Ausgaben 2024'!I$6)</f>
        <v>0</v>
      </c>
      <c r="J314" s="21">
        <f>SUMIFS(Einzelbeträge!$D:$D,Einzelbeträge!$C:$C,'Ausgaben 2024'!$C314,Einzelbeträge!$E:$E,'Ausgaben 2024'!J$6)</f>
        <v>0</v>
      </c>
      <c r="K314" s="21">
        <f>SUMIFS(Einzelbeträge!$D:$D,Einzelbeträge!$C:$C,'Ausgaben 2024'!$C314,Einzelbeträge!$E:$E,'Ausgaben 2024'!K$6)</f>
        <v>0</v>
      </c>
      <c r="L314" s="21">
        <f>SUMIFS(Einzelbeträge!$D:$D,Einzelbeträge!$C:$C,'Ausgaben 2024'!$C314,Einzelbeträge!$E:$E,'Ausgaben 2024'!L$6)</f>
        <v>0</v>
      </c>
      <c r="M314" s="21">
        <f>SUMIFS(Einzelbeträge!$D:$D,Einzelbeträge!$C:$C,'Ausgaben 2024'!$C314,Einzelbeträge!$E:$E,'Ausgaben 2024'!M$6)</f>
        <v>0</v>
      </c>
      <c r="N314" s="35">
        <f>SUMIFS(Einzelbeträge!$D:$D,Einzelbeträge!$C:$C,'Ausgaben 2024'!$C314,Einzelbeträge!$E:$E,'Ausgaben 2024'!N$6)</f>
        <v>0</v>
      </c>
      <c r="O314" s="6"/>
    </row>
    <row r="315" spans="2:15" x14ac:dyDescent="0.35">
      <c r="B315" s="5"/>
      <c r="C315" s="40">
        <f t="shared" si="33"/>
        <v>45573</v>
      </c>
      <c r="D315" s="46">
        <f>SUMIFS(Einzelbeträge!$D:$D,Einzelbeträge!$C:$C,'Ausgaben 2024'!$C315)</f>
        <v>0</v>
      </c>
      <c r="E315" s="21">
        <f>SUMIFS(Einzelbeträge!$D:$D,Einzelbeträge!$C:$C,'Ausgaben 2024'!$C315,Einzelbeträge!$E:$E,'Ausgaben 2024'!E$6)</f>
        <v>0</v>
      </c>
      <c r="F315" s="21">
        <f>SUMIFS(Einzelbeträge!$D:$D,Einzelbeträge!$C:$C,'Ausgaben 2024'!$C315,Einzelbeträge!$E:$E,'Ausgaben 2024'!F$6)</f>
        <v>0</v>
      </c>
      <c r="G315" s="21">
        <f>SUMIFS(Einzelbeträge!$D:$D,Einzelbeträge!$C:$C,'Ausgaben 2024'!$C315,Einzelbeträge!$E:$E,'Ausgaben 2024'!G$6)</f>
        <v>0</v>
      </c>
      <c r="H315" s="21">
        <f>SUMIFS(Einzelbeträge!$D:$D,Einzelbeträge!$C:$C,'Ausgaben 2024'!$C315,Einzelbeträge!$E:$E,'Ausgaben 2024'!H$6)</f>
        <v>0</v>
      </c>
      <c r="I315" s="21">
        <f>SUMIFS(Einzelbeträge!$D:$D,Einzelbeträge!$C:$C,'Ausgaben 2024'!$C315,Einzelbeträge!$E:$E,'Ausgaben 2024'!I$6)</f>
        <v>0</v>
      </c>
      <c r="J315" s="21">
        <f>SUMIFS(Einzelbeträge!$D:$D,Einzelbeträge!$C:$C,'Ausgaben 2024'!$C315,Einzelbeträge!$E:$E,'Ausgaben 2024'!J$6)</f>
        <v>0</v>
      </c>
      <c r="K315" s="21">
        <f>SUMIFS(Einzelbeträge!$D:$D,Einzelbeträge!$C:$C,'Ausgaben 2024'!$C315,Einzelbeträge!$E:$E,'Ausgaben 2024'!K$6)</f>
        <v>0</v>
      </c>
      <c r="L315" s="21">
        <f>SUMIFS(Einzelbeträge!$D:$D,Einzelbeträge!$C:$C,'Ausgaben 2024'!$C315,Einzelbeträge!$E:$E,'Ausgaben 2024'!L$6)</f>
        <v>0</v>
      </c>
      <c r="M315" s="21">
        <f>SUMIFS(Einzelbeträge!$D:$D,Einzelbeträge!$C:$C,'Ausgaben 2024'!$C315,Einzelbeträge!$E:$E,'Ausgaben 2024'!M$6)</f>
        <v>0</v>
      </c>
      <c r="N315" s="35">
        <f>SUMIFS(Einzelbeträge!$D:$D,Einzelbeträge!$C:$C,'Ausgaben 2024'!$C315,Einzelbeträge!$E:$E,'Ausgaben 2024'!N$6)</f>
        <v>0</v>
      </c>
      <c r="O315" s="6"/>
    </row>
    <row r="316" spans="2:15" x14ac:dyDescent="0.35">
      <c r="B316" s="5"/>
      <c r="C316" s="40">
        <f t="shared" si="33"/>
        <v>45574</v>
      </c>
      <c r="D316" s="46">
        <f>SUMIFS(Einzelbeträge!$D:$D,Einzelbeträge!$C:$C,'Ausgaben 2024'!$C316)</f>
        <v>0</v>
      </c>
      <c r="E316" s="21">
        <f>SUMIFS(Einzelbeträge!$D:$D,Einzelbeträge!$C:$C,'Ausgaben 2024'!$C316,Einzelbeträge!$E:$E,'Ausgaben 2024'!E$6)</f>
        <v>0</v>
      </c>
      <c r="F316" s="21">
        <f>SUMIFS(Einzelbeträge!$D:$D,Einzelbeträge!$C:$C,'Ausgaben 2024'!$C316,Einzelbeträge!$E:$E,'Ausgaben 2024'!F$6)</f>
        <v>0</v>
      </c>
      <c r="G316" s="21">
        <f>SUMIFS(Einzelbeträge!$D:$D,Einzelbeträge!$C:$C,'Ausgaben 2024'!$C316,Einzelbeträge!$E:$E,'Ausgaben 2024'!G$6)</f>
        <v>0</v>
      </c>
      <c r="H316" s="21">
        <f>SUMIFS(Einzelbeträge!$D:$D,Einzelbeträge!$C:$C,'Ausgaben 2024'!$C316,Einzelbeträge!$E:$E,'Ausgaben 2024'!H$6)</f>
        <v>0</v>
      </c>
      <c r="I316" s="21">
        <f>SUMIFS(Einzelbeträge!$D:$D,Einzelbeträge!$C:$C,'Ausgaben 2024'!$C316,Einzelbeträge!$E:$E,'Ausgaben 2024'!I$6)</f>
        <v>0</v>
      </c>
      <c r="J316" s="21">
        <f>SUMIFS(Einzelbeträge!$D:$D,Einzelbeträge!$C:$C,'Ausgaben 2024'!$C316,Einzelbeträge!$E:$E,'Ausgaben 2024'!J$6)</f>
        <v>0</v>
      </c>
      <c r="K316" s="21">
        <f>SUMIFS(Einzelbeträge!$D:$D,Einzelbeträge!$C:$C,'Ausgaben 2024'!$C316,Einzelbeträge!$E:$E,'Ausgaben 2024'!K$6)</f>
        <v>0</v>
      </c>
      <c r="L316" s="21">
        <f>SUMIFS(Einzelbeträge!$D:$D,Einzelbeträge!$C:$C,'Ausgaben 2024'!$C316,Einzelbeträge!$E:$E,'Ausgaben 2024'!L$6)</f>
        <v>0</v>
      </c>
      <c r="M316" s="21">
        <f>SUMIFS(Einzelbeträge!$D:$D,Einzelbeträge!$C:$C,'Ausgaben 2024'!$C316,Einzelbeträge!$E:$E,'Ausgaben 2024'!M$6)</f>
        <v>0</v>
      </c>
      <c r="N316" s="35">
        <f>SUMIFS(Einzelbeträge!$D:$D,Einzelbeträge!$C:$C,'Ausgaben 2024'!$C316,Einzelbeträge!$E:$E,'Ausgaben 2024'!N$6)</f>
        <v>0</v>
      </c>
      <c r="O316" s="6"/>
    </row>
    <row r="317" spans="2:15" x14ac:dyDescent="0.35">
      <c r="B317" s="5"/>
      <c r="C317" s="40">
        <f t="shared" si="33"/>
        <v>45575</v>
      </c>
      <c r="D317" s="46">
        <f>SUMIFS(Einzelbeträge!$D:$D,Einzelbeträge!$C:$C,'Ausgaben 2024'!$C317)</f>
        <v>0</v>
      </c>
      <c r="E317" s="21">
        <f>SUMIFS(Einzelbeträge!$D:$D,Einzelbeträge!$C:$C,'Ausgaben 2024'!$C317,Einzelbeträge!$E:$E,'Ausgaben 2024'!E$6)</f>
        <v>0</v>
      </c>
      <c r="F317" s="21">
        <f>SUMIFS(Einzelbeträge!$D:$D,Einzelbeträge!$C:$C,'Ausgaben 2024'!$C317,Einzelbeträge!$E:$E,'Ausgaben 2024'!F$6)</f>
        <v>0</v>
      </c>
      <c r="G317" s="21">
        <f>SUMIFS(Einzelbeträge!$D:$D,Einzelbeträge!$C:$C,'Ausgaben 2024'!$C317,Einzelbeträge!$E:$E,'Ausgaben 2024'!G$6)</f>
        <v>0</v>
      </c>
      <c r="H317" s="21">
        <f>SUMIFS(Einzelbeträge!$D:$D,Einzelbeträge!$C:$C,'Ausgaben 2024'!$C317,Einzelbeträge!$E:$E,'Ausgaben 2024'!H$6)</f>
        <v>0</v>
      </c>
      <c r="I317" s="21">
        <f>SUMIFS(Einzelbeträge!$D:$D,Einzelbeträge!$C:$C,'Ausgaben 2024'!$C317,Einzelbeträge!$E:$E,'Ausgaben 2024'!I$6)</f>
        <v>0</v>
      </c>
      <c r="J317" s="21">
        <f>SUMIFS(Einzelbeträge!$D:$D,Einzelbeträge!$C:$C,'Ausgaben 2024'!$C317,Einzelbeträge!$E:$E,'Ausgaben 2024'!J$6)</f>
        <v>0</v>
      </c>
      <c r="K317" s="21">
        <f>SUMIFS(Einzelbeträge!$D:$D,Einzelbeträge!$C:$C,'Ausgaben 2024'!$C317,Einzelbeträge!$E:$E,'Ausgaben 2024'!K$6)</f>
        <v>0</v>
      </c>
      <c r="L317" s="21">
        <f>SUMIFS(Einzelbeträge!$D:$D,Einzelbeträge!$C:$C,'Ausgaben 2024'!$C317,Einzelbeträge!$E:$E,'Ausgaben 2024'!L$6)</f>
        <v>0</v>
      </c>
      <c r="M317" s="21">
        <f>SUMIFS(Einzelbeträge!$D:$D,Einzelbeträge!$C:$C,'Ausgaben 2024'!$C317,Einzelbeträge!$E:$E,'Ausgaben 2024'!M$6)</f>
        <v>0</v>
      </c>
      <c r="N317" s="35">
        <f>SUMIFS(Einzelbeträge!$D:$D,Einzelbeträge!$C:$C,'Ausgaben 2024'!$C317,Einzelbeträge!$E:$E,'Ausgaben 2024'!N$6)</f>
        <v>0</v>
      </c>
      <c r="O317" s="6"/>
    </row>
    <row r="318" spans="2:15" x14ac:dyDescent="0.35">
      <c r="B318" s="5"/>
      <c r="C318" s="40">
        <f t="shared" si="33"/>
        <v>45576</v>
      </c>
      <c r="D318" s="46">
        <f>SUMIFS(Einzelbeträge!$D:$D,Einzelbeträge!$C:$C,'Ausgaben 2024'!$C318)</f>
        <v>0</v>
      </c>
      <c r="E318" s="21">
        <f>SUMIFS(Einzelbeträge!$D:$D,Einzelbeträge!$C:$C,'Ausgaben 2024'!$C318,Einzelbeträge!$E:$E,'Ausgaben 2024'!E$6)</f>
        <v>0</v>
      </c>
      <c r="F318" s="21">
        <f>SUMIFS(Einzelbeträge!$D:$D,Einzelbeträge!$C:$C,'Ausgaben 2024'!$C318,Einzelbeträge!$E:$E,'Ausgaben 2024'!F$6)</f>
        <v>0</v>
      </c>
      <c r="G318" s="21">
        <f>SUMIFS(Einzelbeträge!$D:$D,Einzelbeträge!$C:$C,'Ausgaben 2024'!$C318,Einzelbeträge!$E:$E,'Ausgaben 2024'!G$6)</f>
        <v>0</v>
      </c>
      <c r="H318" s="21">
        <f>SUMIFS(Einzelbeträge!$D:$D,Einzelbeträge!$C:$C,'Ausgaben 2024'!$C318,Einzelbeträge!$E:$E,'Ausgaben 2024'!H$6)</f>
        <v>0</v>
      </c>
      <c r="I318" s="21">
        <f>SUMIFS(Einzelbeträge!$D:$D,Einzelbeträge!$C:$C,'Ausgaben 2024'!$C318,Einzelbeträge!$E:$E,'Ausgaben 2024'!I$6)</f>
        <v>0</v>
      </c>
      <c r="J318" s="21">
        <f>SUMIFS(Einzelbeträge!$D:$D,Einzelbeträge!$C:$C,'Ausgaben 2024'!$C318,Einzelbeträge!$E:$E,'Ausgaben 2024'!J$6)</f>
        <v>0</v>
      </c>
      <c r="K318" s="21">
        <f>SUMIFS(Einzelbeträge!$D:$D,Einzelbeträge!$C:$C,'Ausgaben 2024'!$C318,Einzelbeträge!$E:$E,'Ausgaben 2024'!K$6)</f>
        <v>0</v>
      </c>
      <c r="L318" s="21">
        <f>SUMIFS(Einzelbeträge!$D:$D,Einzelbeträge!$C:$C,'Ausgaben 2024'!$C318,Einzelbeträge!$E:$E,'Ausgaben 2024'!L$6)</f>
        <v>0</v>
      </c>
      <c r="M318" s="21">
        <f>SUMIFS(Einzelbeträge!$D:$D,Einzelbeträge!$C:$C,'Ausgaben 2024'!$C318,Einzelbeträge!$E:$E,'Ausgaben 2024'!M$6)</f>
        <v>0</v>
      </c>
      <c r="N318" s="35">
        <f>SUMIFS(Einzelbeträge!$D:$D,Einzelbeträge!$C:$C,'Ausgaben 2024'!$C318,Einzelbeträge!$E:$E,'Ausgaben 2024'!N$6)</f>
        <v>0</v>
      </c>
      <c r="O318" s="6"/>
    </row>
    <row r="319" spans="2:15" x14ac:dyDescent="0.35">
      <c r="B319" s="5"/>
      <c r="C319" s="40">
        <f t="shared" si="33"/>
        <v>45577</v>
      </c>
      <c r="D319" s="46">
        <f>SUMIFS(Einzelbeträge!$D:$D,Einzelbeträge!$C:$C,'Ausgaben 2024'!$C319)</f>
        <v>0</v>
      </c>
      <c r="E319" s="21">
        <f>SUMIFS(Einzelbeträge!$D:$D,Einzelbeträge!$C:$C,'Ausgaben 2024'!$C319,Einzelbeträge!$E:$E,'Ausgaben 2024'!E$6)</f>
        <v>0</v>
      </c>
      <c r="F319" s="21">
        <f>SUMIFS(Einzelbeträge!$D:$D,Einzelbeträge!$C:$C,'Ausgaben 2024'!$C319,Einzelbeträge!$E:$E,'Ausgaben 2024'!F$6)</f>
        <v>0</v>
      </c>
      <c r="G319" s="21">
        <f>SUMIFS(Einzelbeträge!$D:$D,Einzelbeträge!$C:$C,'Ausgaben 2024'!$C319,Einzelbeträge!$E:$E,'Ausgaben 2024'!G$6)</f>
        <v>0</v>
      </c>
      <c r="H319" s="21">
        <f>SUMIFS(Einzelbeträge!$D:$D,Einzelbeträge!$C:$C,'Ausgaben 2024'!$C319,Einzelbeträge!$E:$E,'Ausgaben 2024'!H$6)</f>
        <v>0</v>
      </c>
      <c r="I319" s="21">
        <f>SUMIFS(Einzelbeträge!$D:$D,Einzelbeträge!$C:$C,'Ausgaben 2024'!$C319,Einzelbeträge!$E:$E,'Ausgaben 2024'!I$6)</f>
        <v>0</v>
      </c>
      <c r="J319" s="21">
        <f>SUMIFS(Einzelbeträge!$D:$D,Einzelbeträge!$C:$C,'Ausgaben 2024'!$C319,Einzelbeträge!$E:$E,'Ausgaben 2024'!J$6)</f>
        <v>0</v>
      </c>
      <c r="K319" s="21">
        <f>SUMIFS(Einzelbeträge!$D:$D,Einzelbeträge!$C:$C,'Ausgaben 2024'!$C319,Einzelbeträge!$E:$E,'Ausgaben 2024'!K$6)</f>
        <v>0</v>
      </c>
      <c r="L319" s="21">
        <f>SUMIFS(Einzelbeträge!$D:$D,Einzelbeträge!$C:$C,'Ausgaben 2024'!$C319,Einzelbeträge!$E:$E,'Ausgaben 2024'!L$6)</f>
        <v>0</v>
      </c>
      <c r="M319" s="21">
        <f>SUMIFS(Einzelbeträge!$D:$D,Einzelbeträge!$C:$C,'Ausgaben 2024'!$C319,Einzelbeträge!$E:$E,'Ausgaben 2024'!M$6)</f>
        <v>0</v>
      </c>
      <c r="N319" s="35">
        <f>SUMIFS(Einzelbeträge!$D:$D,Einzelbeträge!$C:$C,'Ausgaben 2024'!$C319,Einzelbeträge!$E:$E,'Ausgaben 2024'!N$6)</f>
        <v>0</v>
      </c>
      <c r="O319" s="6"/>
    </row>
    <row r="320" spans="2:15" x14ac:dyDescent="0.35">
      <c r="B320" s="5"/>
      <c r="C320" s="40">
        <f t="shared" si="33"/>
        <v>45578</v>
      </c>
      <c r="D320" s="46">
        <f>SUMIFS(Einzelbeträge!$D:$D,Einzelbeträge!$C:$C,'Ausgaben 2024'!$C320)</f>
        <v>0</v>
      </c>
      <c r="E320" s="21">
        <f>SUMIFS(Einzelbeträge!$D:$D,Einzelbeträge!$C:$C,'Ausgaben 2024'!$C320,Einzelbeträge!$E:$E,'Ausgaben 2024'!E$6)</f>
        <v>0</v>
      </c>
      <c r="F320" s="21">
        <f>SUMIFS(Einzelbeträge!$D:$D,Einzelbeträge!$C:$C,'Ausgaben 2024'!$C320,Einzelbeträge!$E:$E,'Ausgaben 2024'!F$6)</f>
        <v>0</v>
      </c>
      <c r="G320" s="21">
        <f>SUMIFS(Einzelbeträge!$D:$D,Einzelbeträge!$C:$C,'Ausgaben 2024'!$C320,Einzelbeträge!$E:$E,'Ausgaben 2024'!G$6)</f>
        <v>0</v>
      </c>
      <c r="H320" s="21">
        <f>SUMIFS(Einzelbeträge!$D:$D,Einzelbeträge!$C:$C,'Ausgaben 2024'!$C320,Einzelbeträge!$E:$E,'Ausgaben 2024'!H$6)</f>
        <v>0</v>
      </c>
      <c r="I320" s="21">
        <f>SUMIFS(Einzelbeträge!$D:$D,Einzelbeträge!$C:$C,'Ausgaben 2024'!$C320,Einzelbeträge!$E:$E,'Ausgaben 2024'!I$6)</f>
        <v>0</v>
      </c>
      <c r="J320" s="21">
        <f>SUMIFS(Einzelbeträge!$D:$D,Einzelbeträge!$C:$C,'Ausgaben 2024'!$C320,Einzelbeträge!$E:$E,'Ausgaben 2024'!J$6)</f>
        <v>0</v>
      </c>
      <c r="K320" s="21">
        <f>SUMIFS(Einzelbeträge!$D:$D,Einzelbeträge!$C:$C,'Ausgaben 2024'!$C320,Einzelbeträge!$E:$E,'Ausgaben 2024'!K$6)</f>
        <v>0</v>
      </c>
      <c r="L320" s="21">
        <f>SUMIFS(Einzelbeträge!$D:$D,Einzelbeträge!$C:$C,'Ausgaben 2024'!$C320,Einzelbeträge!$E:$E,'Ausgaben 2024'!L$6)</f>
        <v>0</v>
      </c>
      <c r="M320" s="21">
        <f>SUMIFS(Einzelbeträge!$D:$D,Einzelbeträge!$C:$C,'Ausgaben 2024'!$C320,Einzelbeträge!$E:$E,'Ausgaben 2024'!M$6)</f>
        <v>0</v>
      </c>
      <c r="N320" s="35">
        <f>SUMIFS(Einzelbeträge!$D:$D,Einzelbeträge!$C:$C,'Ausgaben 2024'!$C320,Einzelbeträge!$E:$E,'Ausgaben 2024'!N$6)</f>
        <v>0</v>
      </c>
      <c r="O320" s="6"/>
    </row>
    <row r="321" spans="2:15" x14ac:dyDescent="0.35">
      <c r="B321" s="5"/>
      <c r="C321" s="40">
        <f t="shared" si="33"/>
        <v>45579</v>
      </c>
      <c r="D321" s="46">
        <f>SUMIFS(Einzelbeträge!$D:$D,Einzelbeträge!$C:$C,'Ausgaben 2024'!$C321)</f>
        <v>0</v>
      </c>
      <c r="E321" s="21">
        <f>SUMIFS(Einzelbeträge!$D:$D,Einzelbeträge!$C:$C,'Ausgaben 2024'!$C321,Einzelbeträge!$E:$E,'Ausgaben 2024'!E$6)</f>
        <v>0</v>
      </c>
      <c r="F321" s="21">
        <f>SUMIFS(Einzelbeträge!$D:$D,Einzelbeträge!$C:$C,'Ausgaben 2024'!$C321,Einzelbeträge!$E:$E,'Ausgaben 2024'!F$6)</f>
        <v>0</v>
      </c>
      <c r="G321" s="21">
        <f>SUMIFS(Einzelbeträge!$D:$D,Einzelbeträge!$C:$C,'Ausgaben 2024'!$C321,Einzelbeträge!$E:$E,'Ausgaben 2024'!G$6)</f>
        <v>0</v>
      </c>
      <c r="H321" s="21">
        <f>SUMIFS(Einzelbeträge!$D:$D,Einzelbeträge!$C:$C,'Ausgaben 2024'!$C321,Einzelbeträge!$E:$E,'Ausgaben 2024'!H$6)</f>
        <v>0</v>
      </c>
      <c r="I321" s="21">
        <f>SUMIFS(Einzelbeträge!$D:$D,Einzelbeträge!$C:$C,'Ausgaben 2024'!$C321,Einzelbeträge!$E:$E,'Ausgaben 2024'!I$6)</f>
        <v>0</v>
      </c>
      <c r="J321" s="21">
        <f>SUMIFS(Einzelbeträge!$D:$D,Einzelbeträge!$C:$C,'Ausgaben 2024'!$C321,Einzelbeträge!$E:$E,'Ausgaben 2024'!J$6)</f>
        <v>0</v>
      </c>
      <c r="K321" s="21">
        <f>SUMIFS(Einzelbeträge!$D:$D,Einzelbeträge!$C:$C,'Ausgaben 2024'!$C321,Einzelbeträge!$E:$E,'Ausgaben 2024'!K$6)</f>
        <v>0</v>
      </c>
      <c r="L321" s="21">
        <f>SUMIFS(Einzelbeträge!$D:$D,Einzelbeträge!$C:$C,'Ausgaben 2024'!$C321,Einzelbeträge!$E:$E,'Ausgaben 2024'!L$6)</f>
        <v>0</v>
      </c>
      <c r="M321" s="21">
        <f>SUMIFS(Einzelbeträge!$D:$D,Einzelbeträge!$C:$C,'Ausgaben 2024'!$C321,Einzelbeträge!$E:$E,'Ausgaben 2024'!M$6)</f>
        <v>0</v>
      </c>
      <c r="N321" s="35">
        <f>SUMIFS(Einzelbeträge!$D:$D,Einzelbeträge!$C:$C,'Ausgaben 2024'!$C321,Einzelbeträge!$E:$E,'Ausgaben 2024'!N$6)</f>
        <v>0</v>
      </c>
      <c r="O321" s="6"/>
    </row>
    <row r="322" spans="2:15" x14ac:dyDescent="0.35">
      <c r="B322" s="5"/>
      <c r="C322" s="40">
        <f t="shared" si="33"/>
        <v>45580</v>
      </c>
      <c r="D322" s="46">
        <f>SUMIFS(Einzelbeträge!$D:$D,Einzelbeträge!$C:$C,'Ausgaben 2024'!$C322)</f>
        <v>0</v>
      </c>
      <c r="E322" s="21">
        <f>SUMIFS(Einzelbeträge!$D:$D,Einzelbeträge!$C:$C,'Ausgaben 2024'!$C322,Einzelbeträge!$E:$E,'Ausgaben 2024'!E$6)</f>
        <v>0</v>
      </c>
      <c r="F322" s="21">
        <f>SUMIFS(Einzelbeträge!$D:$D,Einzelbeträge!$C:$C,'Ausgaben 2024'!$C322,Einzelbeträge!$E:$E,'Ausgaben 2024'!F$6)</f>
        <v>0</v>
      </c>
      <c r="G322" s="21">
        <f>SUMIFS(Einzelbeträge!$D:$D,Einzelbeträge!$C:$C,'Ausgaben 2024'!$C322,Einzelbeträge!$E:$E,'Ausgaben 2024'!G$6)</f>
        <v>0</v>
      </c>
      <c r="H322" s="21">
        <f>SUMIFS(Einzelbeträge!$D:$D,Einzelbeträge!$C:$C,'Ausgaben 2024'!$C322,Einzelbeträge!$E:$E,'Ausgaben 2024'!H$6)</f>
        <v>0</v>
      </c>
      <c r="I322" s="21">
        <f>SUMIFS(Einzelbeträge!$D:$D,Einzelbeträge!$C:$C,'Ausgaben 2024'!$C322,Einzelbeträge!$E:$E,'Ausgaben 2024'!I$6)</f>
        <v>0</v>
      </c>
      <c r="J322" s="21">
        <f>SUMIFS(Einzelbeträge!$D:$D,Einzelbeträge!$C:$C,'Ausgaben 2024'!$C322,Einzelbeträge!$E:$E,'Ausgaben 2024'!J$6)</f>
        <v>0</v>
      </c>
      <c r="K322" s="21">
        <f>SUMIFS(Einzelbeträge!$D:$D,Einzelbeträge!$C:$C,'Ausgaben 2024'!$C322,Einzelbeträge!$E:$E,'Ausgaben 2024'!K$6)</f>
        <v>0</v>
      </c>
      <c r="L322" s="21">
        <f>SUMIFS(Einzelbeträge!$D:$D,Einzelbeträge!$C:$C,'Ausgaben 2024'!$C322,Einzelbeträge!$E:$E,'Ausgaben 2024'!L$6)</f>
        <v>0</v>
      </c>
      <c r="M322" s="21">
        <f>SUMIFS(Einzelbeträge!$D:$D,Einzelbeträge!$C:$C,'Ausgaben 2024'!$C322,Einzelbeträge!$E:$E,'Ausgaben 2024'!M$6)</f>
        <v>0</v>
      </c>
      <c r="N322" s="35">
        <f>SUMIFS(Einzelbeträge!$D:$D,Einzelbeträge!$C:$C,'Ausgaben 2024'!$C322,Einzelbeträge!$E:$E,'Ausgaben 2024'!N$6)</f>
        <v>0</v>
      </c>
      <c r="O322" s="6"/>
    </row>
    <row r="323" spans="2:15" x14ac:dyDescent="0.35">
      <c r="B323" s="5"/>
      <c r="C323" s="40">
        <f t="shared" si="33"/>
        <v>45581</v>
      </c>
      <c r="D323" s="46">
        <f>SUMIFS(Einzelbeträge!$D:$D,Einzelbeträge!$C:$C,'Ausgaben 2024'!$C323)</f>
        <v>0</v>
      </c>
      <c r="E323" s="21">
        <f>SUMIFS(Einzelbeträge!$D:$D,Einzelbeträge!$C:$C,'Ausgaben 2024'!$C323,Einzelbeträge!$E:$E,'Ausgaben 2024'!E$6)</f>
        <v>0</v>
      </c>
      <c r="F323" s="21">
        <f>SUMIFS(Einzelbeträge!$D:$D,Einzelbeträge!$C:$C,'Ausgaben 2024'!$C323,Einzelbeträge!$E:$E,'Ausgaben 2024'!F$6)</f>
        <v>0</v>
      </c>
      <c r="G323" s="21">
        <f>SUMIFS(Einzelbeträge!$D:$D,Einzelbeträge!$C:$C,'Ausgaben 2024'!$C323,Einzelbeträge!$E:$E,'Ausgaben 2024'!G$6)</f>
        <v>0</v>
      </c>
      <c r="H323" s="21">
        <f>SUMIFS(Einzelbeträge!$D:$D,Einzelbeträge!$C:$C,'Ausgaben 2024'!$C323,Einzelbeträge!$E:$E,'Ausgaben 2024'!H$6)</f>
        <v>0</v>
      </c>
      <c r="I323" s="21">
        <f>SUMIFS(Einzelbeträge!$D:$D,Einzelbeträge!$C:$C,'Ausgaben 2024'!$C323,Einzelbeträge!$E:$E,'Ausgaben 2024'!I$6)</f>
        <v>0</v>
      </c>
      <c r="J323" s="21">
        <f>SUMIFS(Einzelbeträge!$D:$D,Einzelbeträge!$C:$C,'Ausgaben 2024'!$C323,Einzelbeträge!$E:$E,'Ausgaben 2024'!J$6)</f>
        <v>0</v>
      </c>
      <c r="K323" s="21">
        <f>SUMIFS(Einzelbeträge!$D:$D,Einzelbeträge!$C:$C,'Ausgaben 2024'!$C323,Einzelbeträge!$E:$E,'Ausgaben 2024'!K$6)</f>
        <v>0</v>
      </c>
      <c r="L323" s="21">
        <f>SUMIFS(Einzelbeträge!$D:$D,Einzelbeträge!$C:$C,'Ausgaben 2024'!$C323,Einzelbeträge!$E:$E,'Ausgaben 2024'!L$6)</f>
        <v>0</v>
      </c>
      <c r="M323" s="21">
        <f>SUMIFS(Einzelbeträge!$D:$D,Einzelbeträge!$C:$C,'Ausgaben 2024'!$C323,Einzelbeträge!$E:$E,'Ausgaben 2024'!M$6)</f>
        <v>0</v>
      </c>
      <c r="N323" s="35">
        <f>SUMIFS(Einzelbeträge!$D:$D,Einzelbeträge!$C:$C,'Ausgaben 2024'!$C323,Einzelbeträge!$E:$E,'Ausgaben 2024'!N$6)</f>
        <v>0</v>
      </c>
      <c r="O323" s="6"/>
    </row>
    <row r="324" spans="2:15" x14ac:dyDescent="0.35">
      <c r="B324" s="5"/>
      <c r="C324" s="40">
        <f t="shared" si="33"/>
        <v>45582</v>
      </c>
      <c r="D324" s="46">
        <f>SUMIFS(Einzelbeträge!$D:$D,Einzelbeträge!$C:$C,'Ausgaben 2024'!$C324)</f>
        <v>0</v>
      </c>
      <c r="E324" s="21">
        <f>SUMIFS(Einzelbeträge!$D:$D,Einzelbeträge!$C:$C,'Ausgaben 2024'!$C324,Einzelbeträge!$E:$E,'Ausgaben 2024'!E$6)</f>
        <v>0</v>
      </c>
      <c r="F324" s="21">
        <f>SUMIFS(Einzelbeträge!$D:$D,Einzelbeträge!$C:$C,'Ausgaben 2024'!$C324,Einzelbeträge!$E:$E,'Ausgaben 2024'!F$6)</f>
        <v>0</v>
      </c>
      <c r="G324" s="21">
        <f>SUMIFS(Einzelbeträge!$D:$D,Einzelbeträge!$C:$C,'Ausgaben 2024'!$C324,Einzelbeträge!$E:$E,'Ausgaben 2024'!G$6)</f>
        <v>0</v>
      </c>
      <c r="H324" s="21">
        <f>SUMIFS(Einzelbeträge!$D:$D,Einzelbeträge!$C:$C,'Ausgaben 2024'!$C324,Einzelbeträge!$E:$E,'Ausgaben 2024'!H$6)</f>
        <v>0</v>
      </c>
      <c r="I324" s="21">
        <f>SUMIFS(Einzelbeträge!$D:$D,Einzelbeträge!$C:$C,'Ausgaben 2024'!$C324,Einzelbeträge!$E:$E,'Ausgaben 2024'!I$6)</f>
        <v>0</v>
      </c>
      <c r="J324" s="21">
        <f>SUMIFS(Einzelbeträge!$D:$D,Einzelbeträge!$C:$C,'Ausgaben 2024'!$C324,Einzelbeträge!$E:$E,'Ausgaben 2024'!J$6)</f>
        <v>0</v>
      </c>
      <c r="K324" s="21">
        <f>SUMIFS(Einzelbeträge!$D:$D,Einzelbeträge!$C:$C,'Ausgaben 2024'!$C324,Einzelbeträge!$E:$E,'Ausgaben 2024'!K$6)</f>
        <v>0</v>
      </c>
      <c r="L324" s="21">
        <f>SUMIFS(Einzelbeträge!$D:$D,Einzelbeträge!$C:$C,'Ausgaben 2024'!$C324,Einzelbeträge!$E:$E,'Ausgaben 2024'!L$6)</f>
        <v>0</v>
      </c>
      <c r="M324" s="21">
        <f>SUMIFS(Einzelbeträge!$D:$D,Einzelbeträge!$C:$C,'Ausgaben 2024'!$C324,Einzelbeträge!$E:$E,'Ausgaben 2024'!M$6)</f>
        <v>0</v>
      </c>
      <c r="N324" s="35">
        <f>SUMIFS(Einzelbeträge!$D:$D,Einzelbeträge!$C:$C,'Ausgaben 2024'!$C324,Einzelbeträge!$E:$E,'Ausgaben 2024'!N$6)</f>
        <v>0</v>
      </c>
      <c r="O324" s="6"/>
    </row>
    <row r="325" spans="2:15" x14ac:dyDescent="0.35">
      <c r="B325" s="5"/>
      <c r="C325" s="40">
        <f t="shared" si="33"/>
        <v>45583</v>
      </c>
      <c r="D325" s="46">
        <f>SUMIFS(Einzelbeträge!$D:$D,Einzelbeträge!$C:$C,'Ausgaben 2024'!$C325)</f>
        <v>0</v>
      </c>
      <c r="E325" s="21">
        <f>SUMIFS(Einzelbeträge!$D:$D,Einzelbeträge!$C:$C,'Ausgaben 2024'!$C325,Einzelbeträge!$E:$E,'Ausgaben 2024'!E$6)</f>
        <v>0</v>
      </c>
      <c r="F325" s="21">
        <f>SUMIFS(Einzelbeträge!$D:$D,Einzelbeträge!$C:$C,'Ausgaben 2024'!$C325,Einzelbeträge!$E:$E,'Ausgaben 2024'!F$6)</f>
        <v>0</v>
      </c>
      <c r="G325" s="21">
        <f>SUMIFS(Einzelbeträge!$D:$D,Einzelbeträge!$C:$C,'Ausgaben 2024'!$C325,Einzelbeträge!$E:$E,'Ausgaben 2024'!G$6)</f>
        <v>0</v>
      </c>
      <c r="H325" s="21">
        <f>SUMIFS(Einzelbeträge!$D:$D,Einzelbeträge!$C:$C,'Ausgaben 2024'!$C325,Einzelbeträge!$E:$E,'Ausgaben 2024'!H$6)</f>
        <v>0</v>
      </c>
      <c r="I325" s="21">
        <f>SUMIFS(Einzelbeträge!$D:$D,Einzelbeträge!$C:$C,'Ausgaben 2024'!$C325,Einzelbeträge!$E:$E,'Ausgaben 2024'!I$6)</f>
        <v>0</v>
      </c>
      <c r="J325" s="21">
        <f>SUMIFS(Einzelbeträge!$D:$D,Einzelbeträge!$C:$C,'Ausgaben 2024'!$C325,Einzelbeträge!$E:$E,'Ausgaben 2024'!J$6)</f>
        <v>0</v>
      </c>
      <c r="K325" s="21">
        <f>SUMIFS(Einzelbeträge!$D:$D,Einzelbeträge!$C:$C,'Ausgaben 2024'!$C325,Einzelbeträge!$E:$E,'Ausgaben 2024'!K$6)</f>
        <v>0</v>
      </c>
      <c r="L325" s="21">
        <f>SUMIFS(Einzelbeträge!$D:$D,Einzelbeträge!$C:$C,'Ausgaben 2024'!$C325,Einzelbeträge!$E:$E,'Ausgaben 2024'!L$6)</f>
        <v>0</v>
      </c>
      <c r="M325" s="21">
        <f>SUMIFS(Einzelbeträge!$D:$D,Einzelbeträge!$C:$C,'Ausgaben 2024'!$C325,Einzelbeträge!$E:$E,'Ausgaben 2024'!M$6)</f>
        <v>0</v>
      </c>
      <c r="N325" s="35">
        <f>SUMIFS(Einzelbeträge!$D:$D,Einzelbeträge!$C:$C,'Ausgaben 2024'!$C325,Einzelbeträge!$E:$E,'Ausgaben 2024'!N$6)</f>
        <v>0</v>
      </c>
      <c r="O325" s="6"/>
    </row>
    <row r="326" spans="2:15" x14ac:dyDescent="0.35">
      <c r="B326" s="5"/>
      <c r="C326" s="40">
        <f t="shared" si="33"/>
        <v>45584</v>
      </c>
      <c r="D326" s="46">
        <f>SUMIFS(Einzelbeträge!$D:$D,Einzelbeträge!$C:$C,'Ausgaben 2024'!$C326)</f>
        <v>0</v>
      </c>
      <c r="E326" s="21">
        <f>SUMIFS(Einzelbeträge!$D:$D,Einzelbeträge!$C:$C,'Ausgaben 2024'!$C326,Einzelbeträge!$E:$E,'Ausgaben 2024'!E$6)</f>
        <v>0</v>
      </c>
      <c r="F326" s="21">
        <f>SUMIFS(Einzelbeträge!$D:$D,Einzelbeträge!$C:$C,'Ausgaben 2024'!$C326,Einzelbeträge!$E:$E,'Ausgaben 2024'!F$6)</f>
        <v>0</v>
      </c>
      <c r="G326" s="21">
        <f>SUMIFS(Einzelbeträge!$D:$D,Einzelbeträge!$C:$C,'Ausgaben 2024'!$C326,Einzelbeträge!$E:$E,'Ausgaben 2024'!G$6)</f>
        <v>0</v>
      </c>
      <c r="H326" s="21">
        <f>SUMIFS(Einzelbeträge!$D:$D,Einzelbeträge!$C:$C,'Ausgaben 2024'!$C326,Einzelbeträge!$E:$E,'Ausgaben 2024'!H$6)</f>
        <v>0</v>
      </c>
      <c r="I326" s="21">
        <f>SUMIFS(Einzelbeträge!$D:$D,Einzelbeträge!$C:$C,'Ausgaben 2024'!$C326,Einzelbeträge!$E:$E,'Ausgaben 2024'!I$6)</f>
        <v>0</v>
      </c>
      <c r="J326" s="21">
        <f>SUMIFS(Einzelbeträge!$D:$D,Einzelbeträge!$C:$C,'Ausgaben 2024'!$C326,Einzelbeträge!$E:$E,'Ausgaben 2024'!J$6)</f>
        <v>0</v>
      </c>
      <c r="K326" s="21">
        <f>SUMIFS(Einzelbeträge!$D:$D,Einzelbeträge!$C:$C,'Ausgaben 2024'!$C326,Einzelbeträge!$E:$E,'Ausgaben 2024'!K$6)</f>
        <v>0</v>
      </c>
      <c r="L326" s="21">
        <f>SUMIFS(Einzelbeträge!$D:$D,Einzelbeträge!$C:$C,'Ausgaben 2024'!$C326,Einzelbeträge!$E:$E,'Ausgaben 2024'!L$6)</f>
        <v>0</v>
      </c>
      <c r="M326" s="21">
        <f>SUMIFS(Einzelbeträge!$D:$D,Einzelbeträge!$C:$C,'Ausgaben 2024'!$C326,Einzelbeträge!$E:$E,'Ausgaben 2024'!M$6)</f>
        <v>0</v>
      </c>
      <c r="N326" s="35">
        <f>SUMIFS(Einzelbeträge!$D:$D,Einzelbeträge!$C:$C,'Ausgaben 2024'!$C326,Einzelbeträge!$E:$E,'Ausgaben 2024'!N$6)</f>
        <v>0</v>
      </c>
      <c r="O326" s="6"/>
    </row>
    <row r="327" spans="2:15" x14ac:dyDescent="0.35">
      <c r="B327" s="5"/>
      <c r="C327" s="40">
        <f t="shared" si="33"/>
        <v>45585</v>
      </c>
      <c r="D327" s="46">
        <f>SUMIFS(Einzelbeträge!$D:$D,Einzelbeträge!$C:$C,'Ausgaben 2024'!$C327)</f>
        <v>0</v>
      </c>
      <c r="E327" s="21">
        <f>SUMIFS(Einzelbeträge!$D:$D,Einzelbeträge!$C:$C,'Ausgaben 2024'!$C327,Einzelbeträge!$E:$E,'Ausgaben 2024'!E$6)</f>
        <v>0</v>
      </c>
      <c r="F327" s="21">
        <f>SUMIFS(Einzelbeträge!$D:$D,Einzelbeträge!$C:$C,'Ausgaben 2024'!$C327,Einzelbeträge!$E:$E,'Ausgaben 2024'!F$6)</f>
        <v>0</v>
      </c>
      <c r="G327" s="21">
        <f>SUMIFS(Einzelbeträge!$D:$D,Einzelbeträge!$C:$C,'Ausgaben 2024'!$C327,Einzelbeträge!$E:$E,'Ausgaben 2024'!G$6)</f>
        <v>0</v>
      </c>
      <c r="H327" s="21">
        <f>SUMIFS(Einzelbeträge!$D:$D,Einzelbeträge!$C:$C,'Ausgaben 2024'!$C327,Einzelbeträge!$E:$E,'Ausgaben 2024'!H$6)</f>
        <v>0</v>
      </c>
      <c r="I327" s="21">
        <f>SUMIFS(Einzelbeträge!$D:$D,Einzelbeträge!$C:$C,'Ausgaben 2024'!$C327,Einzelbeträge!$E:$E,'Ausgaben 2024'!I$6)</f>
        <v>0</v>
      </c>
      <c r="J327" s="21">
        <f>SUMIFS(Einzelbeträge!$D:$D,Einzelbeträge!$C:$C,'Ausgaben 2024'!$C327,Einzelbeträge!$E:$E,'Ausgaben 2024'!J$6)</f>
        <v>0</v>
      </c>
      <c r="K327" s="21">
        <f>SUMIFS(Einzelbeträge!$D:$D,Einzelbeträge!$C:$C,'Ausgaben 2024'!$C327,Einzelbeträge!$E:$E,'Ausgaben 2024'!K$6)</f>
        <v>0</v>
      </c>
      <c r="L327" s="21">
        <f>SUMIFS(Einzelbeträge!$D:$D,Einzelbeträge!$C:$C,'Ausgaben 2024'!$C327,Einzelbeträge!$E:$E,'Ausgaben 2024'!L$6)</f>
        <v>0</v>
      </c>
      <c r="M327" s="21">
        <f>SUMIFS(Einzelbeträge!$D:$D,Einzelbeträge!$C:$C,'Ausgaben 2024'!$C327,Einzelbeträge!$E:$E,'Ausgaben 2024'!M$6)</f>
        <v>0</v>
      </c>
      <c r="N327" s="35">
        <f>SUMIFS(Einzelbeträge!$D:$D,Einzelbeträge!$C:$C,'Ausgaben 2024'!$C327,Einzelbeträge!$E:$E,'Ausgaben 2024'!N$6)</f>
        <v>0</v>
      </c>
      <c r="O327" s="6"/>
    </row>
    <row r="328" spans="2:15" x14ac:dyDescent="0.35">
      <c r="B328" s="5"/>
      <c r="C328" s="40">
        <f t="shared" si="33"/>
        <v>45586</v>
      </c>
      <c r="D328" s="46">
        <f>SUMIFS(Einzelbeträge!$D:$D,Einzelbeträge!$C:$C,'Ausgaben 2024'!$C328)</f>
        <v>0</v>
      </c>
      <c r="E328" s="21">
        <f>SUMIFS(Einzelbeträge!$D:$D,Einzelbeträge!$C:$C,'Ausgaben 2024'!$C328,Einzelbeträge!$E:$E,'Ausgaben 2024'!E$6)</f>
        <v>0</v>
      </c>
      <c r="F328" s="21">
        <f>SUMIFS(Einzelbeträge!$D:$D,Einzelbeträge!$C:$C,'Ausgaben 2024'!$C328,Einzelbeträge!$E:$E,'Ausgaben 2024'!F$6)</f>
        <v>0</v>
      </c>
      <c r="G328" s="21">
        <f>SUMIFS(Einzelbeträge!$D:$D,Einzelbeträge!$C:$C,'Ausgaben 2024'!$C328,Einzelbeträge!$E:$E,'Ausgaben 2024'!G$6)</f>
        <v>0</v>
      </c>
      <c r="H328" s="21">
        <f>SUMIFS(Einzelbeträge!$D:$D,Einzelbeträge!$C:$C,'Ausgaben 2024'!$C328,Einzelbeträge!$E:$E,'Ausgaben 2024'!H$6)</f>
        <v>0</v>
      </c>
      <c r="I328" s="21">
        <f>SUMIFS(Einzelbeträge!$D:$D,Einzelbeträge!$C:$C,'Ausgaben 2024'!$C328,Einzelbeträge!$E:$E,'Ausgaben 2024'!I$6)</f>
        <v>0</v>
      </c>
      <c r="J328" s="21">
        <f>SUMIFS(Einzelbeträge!$D:$D,Einzelbeträge!$C:$C,'Ausgaben 2024'!$C328,Einzelbeträge!$E:$E,'Ausgaben 2024'!J$6)</f>
        <v>0</v>
      </c>
      <c r="K328" s="21">
        <f>SUMIFS(Einzelbeträge!$D:$D,Einzelbeträge!$C:$C,'Ausgaben 2024'!$C328,Einzelbeträge!$E:$E,'Ausgaben 2024'!K$6)</f>
        <v>0</v>
      </c>
      <c r="L328" s="21">
        <f>SUMIFS(Einzelbeträge!$D:$D,Einzelbeträge!$C:$C,'Ausgaben 2024'!$C328,Einzelbeträge!$E:$E,'Ausgaben 2024'!L$6)</f>
        <v>0</v>
      </c>
      <c r="M328" s="21">
        <f>SUMIFS(Einzelbeträge!$D:$D,Einzelbeträge!$C:$C,'Ausgaben 2024'!$C328,Einzelbeträge!$E:$E,'Ausgaben 2024'!M$6)</f>
        <v>0</v>
      </c>
      <c r="N328" s="35">
        <f>SUMIFS(Einzelbeträge!$D:$D,Einzelbeträge!$C:$C,'Ausgaben 2024'!$C328,Einzelbeträge!$E:$E,'Ausgaben 2024'!N$6)</f>
        <v>0</v>
      </c>
      <c r="O328" s="6"/>
    </row>
    <row r="329" spans="2:15" x14ac:dyDescent="0.35">
      <c r="B329" s="5"/>
      <c r="C329" s="40">
        <f t="shared" si="33"/>
        <v>45587</v>
      </c>
      <c r="D329" s="46">
        <f>SUMIFS(Einzelbeträge!$D:$D,Einzelbeträge!$C:$C,'Ausgaben 2024'!$C329)</f>
        <v>0</v>
      </c>
      <c r="E329" s="21">
        <f>SUMIFS(Einzelbeträge!$D:$D,Einzelbeträge!$C:$C,'Ausgaben 2024'!$C329,Einzelbeträge!$E:$E,'Ausgaben 2024'!E$6)</f>
        <v>0</v>
      </c>
      <c r="F329" s="21">
        <f>SUMIFS(Einzelbeträge!$D:$D,Einzelbeträge!$C:$C,'Ausgaben 2024'!$C329,Einzelbeträge!$E:$E,'Ausgaben 2024'!F$6)</f>
        <v>0</v>
      </c>
      <c r="G329" s="21">
        <f>SUMIFS(Einzelbeträge!$D:$D,Einzelbeträge!$C:$C,'Ausgaben 2024'!$C329,Einzelbeträge!$E:$E,'Ausgaben 2024'!G$6)</f>
        <v>0</v>
      </c>
      <c r="H329" s="21">
        <f>SUMIFS(Einzelbeträge!$D:$D,Einzelbeträge!$C:$C,'Ausgaben 2024'!$C329,Einzelbeträge!$E:$E,'Ausgaben 2024'!H$6)</f>
        <v>0</v>
      </c>
      <c r="I329" s="21">
        <f>SUMIFS(Einzelbeträge!$D:$D,Einzelbeträge!$C:$C,'Ausgaben 2024'!$C329,Einzelbeträge!$E:$E,'Ausgaben 2024'!I$6)</f>
        <v>0</v>
      </c>
      <c r="J329" s="21">
        <f>SUMIFS(Einzelbeträge!$D:$D,Einzelbeträge!$C:$C,'Ausgaben 2024'!$C329,Einzelbeträge!$E:$E,'Ausgaben 2024'!J$6)</f>
        <v>0</v>
      </c>
      <c r="K329" s="21">
        <f>SUMIFS(Einzelbeträge!$D:$D,Einzelbeträge!$C:$C,'Ausgaben 2024'!$C329,Einzelbeträge!$E:$E,'Ausgaben 2024'!K$6)</f>
        <v>0</v>
      </c>
      <c r="L329" s="21">
        <f>SUMIFS(Einzelbeträge!$D:$D,Einzelbeträge!$C:$C,'Ausgaben 2024'!$C329,Einzelbeträge!$E:$E,'Ausgaben 2024'!L$6)</f>
        <v>0</v>
      </c>
      <c r="M329" s="21">
        <f>SUMIFS(Einzelbeträge!$D:$D,Einzelbeträge!$C:$C,'Ausgaben 2024'!$C329,Einzelbeträge!$E:$E,'Ausgaben 2024'!M$6)</f>
        <v>0</v>
      </c>
      <c r="N329" s="35">
        <f>SUMIFS(Einzelbeträge!$D:$D,Einzelbeträge!$C:$C,'Ausgaben 2024'!$C329,Einzelbeträge!$E:$E,'Ausgaben 2024'!N$6)</f>
        <v>0</v>
      </c>
      <c r="O329" s="6"/>
    </row>
    <row r="330" spans="2:15" x14ac:dyDescent="0.35">
      <c r="B330" s="5"/>
      <c r="C330" s="40">
        <f t="shared" si="33"/>
        <v>45588</v>
      </c>
      <c r="D330" s="46">
        <f>SUMIFS(Einzelbeträge!$D:$D,Einzelbeträge!$C:$C,'Ausgaben 2024'!$C330)</f>
        <v>0</v>
      </c>
      <c r="E330" s="21">
        <f>SUMIFS(Einzelbeträge!$D:$D,Einzelbeträge!$C:$C,'Ausgaben 2024'!$C330,Einzelbeträge!$E:$E,'Ausgaben 2024'!E$6)</f>
        <v>0</v>
      </c>
      <c r="F330" s="21">
        <f>SUMIFS(Einzelbeträge!$D:$D,Einzelbeträge!$C:$C,'Ausgaben 2024'!$C330,Einzelbeträge!$E:$E,'Ausgaben 2024'!F$6)</f>
        <v>0</v>
      </c>
      <c r="G330" s="21">
        <f>SUMIFS(Einzelbeträge!$D:$D,Einzelbeträge!$C:$C,'Ausgaben 2024'!$C330,Einzelbeträge!$E:$E,'Ausgaben 2024'!G$6)</f>
        <v>0</v>
      </c>
      <c r="H330" s="21">
        <f>SUMIFS(Einzelbeträge!$D:$D,Einzelbeträge!$C:$C,'Ausgaben 2024'!$C330,Einzelbeträge!$E:$E,'Ausgaben 2024'!H$6)</f>
        <v>0</v>
      </c>
      <c r="I330" s="21">
        <f>SUMIFS(Einzelbeträge!$D:$D,Einzelbeträge!$C:$C,'Ausgaben 2024'!$C330,Einzelbeträge!$E:$E,'Ausgaben 2024'!I$6)</f>
        <v>0</v>
      </c>
      <c r="J330" s="21">
        <f>SUMIFS(Einzelbeträge!$D:$D,Einzelbeträge!$C:$C,'Ausgaben 2024'!$C330,Einzelbeträge!$E:$E,'Ausgaben 2024'!J$6)</f>
        <v>0</v>
      </c>
      <c r="K330" s="21">
        <f>SUMIFS(Einzelbeträge!$D:$D,Einzelbeträge!$C:$C,'Ausgaben 2024'!$C330,Einzelbeträge!$E:$E,'Ausgaben 2024'!K$6)</f>
        <v>0</v>
      </c>
      <c r="L330" s="21">
        <f>SUMIFS(Einzelbeträge!$D:$D,Einzelbeträge!$C:$C,'Ausgaben 2024'!$C330,Einzelbeträge!$E:$E,'Ausgaben 2024'!L$6)</f>
        <v>0</v>
      </c>
      <c r="M330" s="21">
        <f>SUMIFS(Einzelbeträge!$D:$D,Einzelbeträge!$C:$C,'Ausgaben 2024'!$C330,Einzelbeträge!$E:$E,'Ausgaben 2024'!M$6)</f>
        <v>0</v>
      </c>
      <c r="N330" s="35">
        <f>SUMIFS(Einzelbeträge!$D:$D,Einzelbeträge!$C:$C,'Ausgaben 2024'!$C330,Einzelbeträge!$E:$E,'Ausgaben 2024'!N$6)</f>
        <v>0</v>
      </c>
      <c r="O330" s="6"/>
    </row>
    <row r="331" spans="2:15" x14ac:dyDescent="0.35">
      <c r="B331" s="5"/>
      <c r="C331" s="40">
        <f t="shared" si="33"/>
        <v>45589</v>
      </c>
      <c r="D331" s="46">
        <f>SUMIFS(Einzelbeträge!$D:$D,Einzelbeträge!$C:$C,'Ausgaben 2024'!$C331)</f>
        <v>0</v>
      </c>
      <c r="E331" s="21">
        <f>SUMIFS(Einzelbeträge!$D:$D,Einzelbeträge!$C:$C,'Ausgaben 2024'!$C331,Einzelbeträge!$E:$E,'Ausgaben 2024'!E$6)</f>
        <v>0</v>
      </c>
      <c r="F331" s="21">
        <f>SUMIFS(Einzelbeträge!$D:$D,Einzelbeträge!$C:$C,'Ausgaben 2024'!$C331,Einzelbeträge!$E:$E,'Ausgaben 2024'!F$6)</f>
        <v>0</v>
      </c>
      <c r="G331" s="21">
        <f>SUMIFS(Einzelbeträge!$D:$D,Einzelbeträge!$C:$C,'Ausgaben 2024'!$C331,Einzelbeträge!$E:$E,'Ausgaben 2024'!G$6)</f>
        <v>0</v>
      </c>
      <c r="H331" s="21">
        <f>SUMIFS(Einzelbeträge!$D:$D,Einzelbeträge!$C:$C,'Ausgaben 2024'!$C331,Einzelbeträge!$E:$E,'Ausgaben 2024'!H$6)</f>
        <v>0</v>
      </c>
      <c r="I331" s="21">
        <f>SUMIFS(Einzelbeträge!$D:$D,Einzelbeträge!$C:$C,'Ausgaben 2024'!$C331,Einzelbeträge!$E:$E,'Ausgaben 2024'!I$6)</f>
        <v>0</v>
      </c>
      <c r="J331" s="21">
        <f>SUMIFS(Einzelbeträge!$D:$D,Einzelbeträge!$C:$C,'Ausgaben 2024'!$C331,Einzelbeträge!$E:$E,'Ausgaben 2024'!J$6)</f>
        <v>0</v>
      </c>
      <c r="K331" s="21">
        <f>SUMIFS(Einzelbeträge!$D:$D,Einzelbeträge!$C:$C,'Ausgaben 2024'!$C331,Einzelbeträge!$E:$E,'Ausgaben 2024'!K$6)</f>
        <v>0</v>
      </c>
      <c r="L331" s="21">
        <f>SUMIFS(Einzelbeträge!$D:$D,Einzelbeträge!$C:$C,'Ausgaben 2024'!$C331,Einzelbeträge!$E:$E,'Ausgaben 2024'!L$6)</f>
        <v>0</v>
      </c>
      <c r="M331" s="21">
        <f>SUMIFS(Einzelbeträge!$D:$D,Einzelbeträge!$C:$C,'Ausgaben 2024'!$C331,Einzelbeträge!$E:$E,'Ausgaben 2024'!M$6)</f>
        <v>0</v>
      </c>
      <c r="N331" s="35">
        <f>SUMIFS(Einzelbeträge!$D:$D,Einzelbeträge!$C:$C,'Ausgaben 2024'!$C331,Einzelbeträge!$E:$E,'Ausgaben 2024'!N$6)</f>
        <v>0</v>
      </c>
      <c r="O331" s="6"/>
    </row>
    <row r="332" spans="2:15" x14ac:dyDescent="0.35">
      <c r="B332" s="5"/>
      <c r="C332" s="40">
        <f t="shared" si="33"/>
        <v>45590</v>
      </c>
      <c r="D332" s="46">
        <f>SUMIFS(Einzelbeträge!$D:$D,Einzelbeträge!$C:$C,'Ausgaben 2024'!$C332)</f>
        <v>0</v>
      </c>
      <c r="E332" s="21">
        <f>SUMIFS(Einzelbeträge!$D:$D,Einzelbeträge!$C:$C,'Ausgaben 2024'!$C332,Einzelbeträge!$E:$E,'Ausgaben 2024'!E$6)</f>
        <v>0</v>
      </c>
      <c r="F332" s="21">
        <f>SUMIFS(Einzelbeträge!$D:$D,Einzelbeträge!$C:$C,'Ausgaben 2024'!$C332,Einzelbeträge!$E:$E,'Ausgaben 2024'!F$6)</f>
        <v>0</v>
      </c>
      <c r="G332" s="21">
        <f>SUMIFS(Einzelbeträge!$D:$D,Einzelbeträge!$C:$C,'Ausgaben 2024'!$C332,Einzelbeträge!$E:$E,'Ausgaben 2024'!G$6)</f>
        <v>0</v>
      </c>
      <c r="H332" s="21">
        <f>SUMIFS(Einzelbeträge!$D:$D,Einzelbeträge!$C:$C,'Ausgaben 2024'!$C332,Einzelbeträge!$E:$E,'Ausgaben 2024'!H$6)</f>
        <v>0</v>
      </c>
      <c r="I332" s="21">
        <f>SUMIFS(Einzelbeträge!$D:$D,Einzelbeträge!$C:$C,'Ausgaben 2024'!$C332,Einzelbeträge!$E:$E,'Ausgaben 2024'!I$6)</f>
        <v>0</v>
      </c>
      <c r="J332" s="21">
        <f>SUMIFS(Einzelbeträge!$D:$D,Einzelbeträge!$C:$C,'Ausgaben 2024'!$C332,Einzelbeträge!$E:$E,'Ausgaben 2024'!J$6)</f>
        <v>0</v>
      </c>
      <c r="K332" s="21">
        <f>SUMIFS(Einzelbeträge!$D:$D,Einzelbeträge!$C:$C,'Ausgaben 2024'!$C332,Einzelbeträge!$E:$E,'Ausgaben 2024'!K$6)</f>
        <v>0</v>
      </c>
      <c r="L332" s="21">
        <f>SUMIFS(Einzelbeträge!$D:$D,Einzelbeträge!$C:$C,'Ausgaben 2024'!$C332,Einzelbeträge!$E:$E,'Ausgaben 2024'!L$6)</f>
        <v>0</v>
      </c>
      <c r="M332" s="21">
        <f>SUMIFS(Einzelbeträge!$D:$D,Einzelbeträge!$C:$C,'Ausgaben 2024'!$C332,Einzelbeträge!$E:$E,'Ausgaben 2024'!M$6)</f>
        <v>0</v>
      </c>
      <c r="N332" s="35">
        <f>SUMIFS(Einzelbeträge!$D:$D,Einzelbeträge!$C:$C,'Ausgaben 2024'!$C332,Einzelbeträge!$E:$E,'Ausgaben 2024'!N$6)</f>
        <v>0</v>
      </c>
      <c r="O332" s="6"/>
    </row>
    <row r="333" spans="2:15" x14ac:dyDescent="0.35">
      <c r="B333" s="5"/>
      <c r="C333" s="40">
        <f t="shared" si="33"/>
        <v>45591</v>
      </c>
      <c r="D333" s="46">
        <f>SUMIFS(Einzelbeträge!$D:$D,Einzelbeträge!$C:$C,'Ausgaben 2024'!$C333)</f>
        <v>0</v>
      </c>
      <c r="E333" s="21">
        <f>SUMIFS(Einzelbeträge!$D:$D,Einzelbeträge!$C:$C,'Ausgaben 2024'!$C333,Einzelbeträge!$E:$E,'Ausgaben 2024'!E$6)</f>
        <v>0</v>
      </c>
      <c r="F333" s="21">
        <f>SUMIFS(Einzelbeträge!$D:$D,Einzelbeträge!$C:$C,'Ausgaben 2024'!$C333,Einzelbeträge!$E:$E,'Ausgaben 2024'!F$6)</f>
        <v>0</v>
      </c>
      <c r="G333" s="21">
        <f>SUMIFS(Einzelbeträge!$D:$D,Einzelbeträge!$C:$C,'Ausgaben 2024'!$C333,Einzelbeträge!$E:$E,'Ausgaben 2024'!G$6)</f>
        <v>0</v>
      </c>
      <c r="H333" s="21">
        <f>SUMIFS(Einzelbeträge!$D:$D,Einzelbeträge!$C:$C,'Ausgaben 2024'!$C333,Einzelbeträge!$E:$E,'Ausgaben 2024'!H$6)</f>
        <v>0</v>
      </c>
      <c r="I333" s="21">
        <f>SUMIFS(Einzelbeträge!$D:$D,Einzelbeträge!$C:$C,'Ausgaben 2024'!$C333,Einzelbeträge!$E:$E,'Ausgaben 2024'!I$6)</f>
        <v>0</v>
      </c>
      <c r="J333" s="21">
        <f>SUMIFS(Einzelbeträge!$D:$D,Einzelbeträge!$C:$C,'Ausgaben 2024'!$C333,Einzelbeträge!$E:$E,'Ausgaben 2024'!J$6)</f>
        <v>0</v>
      </c>
      <c r="K333" s="21">
        <f>SUMIFS(Einzelbeträge!$D:$D,Einzelbeträge!$C:$C,'Ausgaben 2024'!$C333,Einzelbeträge!$E:$E,'Ausgaben 2024'!K$6)</f>
        <v>0</v>
      </c>
      <c r="L333" s="21">
        <f>SUMIFS(Einzelbeträge!$D:$D,Einzelbeträge!$C:$C,'Ausgaben 2024'!$C333,Einzelbeträge!$E:$E,'Ausgaben 2024'!L$6)</f>
        <v>0</v>
      </c>
      <c r="M333" s="21">
        <f>SUMIFS(Einzelbeträge!$D:$D,Einzelbeträge!$C:$C,'Ausgaben 2024'!$C333,Einzelbeträge!$E:$E,'Ausgaben 2024'!M$6)</f>
        <v>0</v>
      </c>
      <c r="N333" s="35">
        <f>SUMIFS(Einzelbeträge!$D:$D,Einzelbeträge!$C:$C,'Ausgaben 2024'!$C333,Einzelbeträge!$E:$E,'Ausgaben 2024'!N$6)</f>
        <v>0</v>
      </c>
      <c r="O333" s="6"/>
    </row>
    <row r="334" spans="2:15" x14ac:dyDescent="0.35">
      <c r="B334" s="5"/>
      <c r="C334" s="40">
        <f t="shared" si="33"/>
        <v>45592</v>
      </c>
      <c r="D334" s="46">
        <f>SUMIFS(Einzelbeträge!$D:$D,Einzelbeträge!$C:$C,'Ausgaben 2024'!$C334)</f>
        <v>0</v>
      </c>
      <c r="E334" s="21">
        <f>SUMIFS(Einzelbeträge!$D:$D,Einzelbeträge!$C:$C,'Ausgaben 2024'!$C334,Einzelbeträge!$E:$E,'Ausgaben 2024'!E$6)</f>
        <v>0</v>
      </c>
      <c r="F334" s="21">
        <f>SUMIFS(Einzelbeträge!$D:$D,Einzelbeträge!$C:$C,'Ausgaben 2024'!$C334,Einzelbeträge!$E:$E,'Ausgaben 2024'!F$6)</f>
        <v>0</v>
      </c>
      <c r="G334" s="21">
        <f>SUMIFS(Einzelbeträge!$D:$D,Einzelbeträge!$C:$C,'Ausgaben 2024'!$C334,Einzelbeträge!$E:$E,'Ausgaben 2024'!G$6)</f>
        <v>0</v>
      </c>
      <c r="H334" s="21">
        <f>SUMIFS(Einzelbeträge!$D:$D,Einzelbeträge!$C:$C,'Ausgaben 2024'!$C334,Einzelbeträge!$E:$E,'Ausgaben 2024'!H$6)</f>
        <v>0</v>
      </c>
      <c r="I334" s="21">
        <f>SUMIFS(Einzelbeträge!$D:$D,Einzelbeträge!$C:$C,'Ausgaben 2024'!$C334,Einzelbeträge!$E:$E,'Ausgaben 2024'!I$6)</f>
        <v>0</v>
      </c>
      <c r="J334" s="21">
        <f>SUMIFS(Einzelbeträge!$D:$D,Einzelbeträge!$C:$C,'Ausgaben 2024'!$C334,Einzelbeträge!$E:$E,'Ausgaben 2024'!J$6)</f>
        <v>0</v>
      </c>
      <c r="K334" s="21">
        <f>SUMIFS(Einzelbeträge!$D:$D,Einzelbeträge!$C:$C,'Ausgaben 2024'!$C334,Einzelbeträge!$E:$E,'Ausgaben 2024'!K$6)</f>
        <v>0</v>
      </c>
      <c r="L334" s="21">
        <f>SUMIFS(Einzelbeträge!$D:$D,Einzelbeträge!$C:$C,'Ausgaben 2024'!$C334,Einzelbeträge!$E:$E,'Ausgaben 2024'!L$6)</f>
        <v>0</v>
      </c>
      <c r="M334" s="21">
        <f>SUMIFS(Einzelbeträge!$D:$D,Einzelbeträge!$C:$C,'Ausgaben 2024'!$C334,Einzelbeträge!$E:$E,'Ausgaben 2024'!M$6)</f>
        <v>0</v>
      </c>
      <c r="N334" s="35">
        <f>SUMIFS(Einzelbeträge!$D:$D,Einzelbeträge!$C:$C,'Ausgaben 2024'!$C334,Einzelbeträge!$E:$E,'Ausgaben 2024'!N$6)</f>
        <v>0</v>
      </c>
      <c r="O334" s="6"/>
    </row>
    <row r="335" spans="2:15" x14ac:dyDescent="0.35">
      <c r="B335" s="5"/>
      <c r="C335" s="40">
        <f t="shared" si="33"/>
        <v>45593</v>
      </c>
      <c r="D335" s="46">
        <f>SUMIFS(Einzelbeträge!$D:$D,Einzelbeträge!$C:$C,'Ausgaben 2024'!$C335)</f>
        <v>0</v>
      </c>
      <c r="E335" s="21">
        <f>SUMIFS(Einzelbeträge!$D:$D,Einzelbeträge!$C:$C,'Ausgaben 2024'!$C335,Einzelbeträge!$E:$E,'Ausgaben 2024'!E$6)</f>
        <v>0</v>
      </c>
      <c r="F335" s="21">
        <f>SUMIFS(Einzelbeträge!$D:$D,Einzelbeträge!$C:$C,'Ausgaben 2024'!$C335,Einzelbeträge!$E:$E,'Ausgaben 2024'!F$6)</f>
        <v>0</v>
      </c>
      <c r="G335" s="21">
        <f>SUMIFS(Einzelbeträge!$D:$D,Einzelbeträge!$C:$C,'Ausgaben 2024'!$C335,Einzelbeträge!$E:$E,'Ausgaben 2024'!G$6)</f>
        <v>0</v>
      </c>
      <c r="H335" s="21">
        <f>SUMIFS(Einzelbeträge!$D:$D,Einzelbeträge!$C:$C,'Ausgaben 2024'!$C335,Einzelbeträge!$E:$E,'Ausgaben 2024'!H$6)</f>
        <v>0</v>
      </c>
      <c r="I335" s="21">
        <f>SUMIFS(Einzelbeträge!$D:$D,Einzelbeträge!$C:$C,'Ausgaben 2024'!$C335,Einzelbeträge!$E:$E,'Ausgaben 2024'!I$6)</f>
        <v>0</v>
      </c>
      <c r="J335" s="21">
        <f>SUMIFS(Einzelbeträge!$D:$D,Einzelbeträge!$C:$C,'Ausgaben 2024'!$C335,Einzelbeträge!$E:$E,'Ausgaben 2024'!J$6)</f>
        <v>0</v>
      </c>
      <c r="K335" s="21">
        <f>SUMIFS(Einzelbeträge!$D:$D,Einzelbeträge!$C:$C,'Ausgaben 2024'!$C335,Einzelbeträge!$E:$E,'Ausgaben 2024'!K$6)</f>
        <v>0</v>
      </c>
      <c r="L335" s="21">
        <f>SUMIFS(Einzelbeträge!$D:$D,Einzelbeträge!$C:$C,'Ausgaben 2024'!$C335,Einzelbeträge!$E:$E,'Ausgaben 2024'!L$6)</f>
        <v>0</v>
      </c>
      <c r="M335" s="21">
        <f>SUMIFS(Einzelbeträge!$D:$D,Einzelbeträge!$C:$C,'Ausgaben 2024'!$C335,Einzelbeträge!$E:$E,'Ausgaben 2024'!M$6)</f>
        <v>0</v>
      </c>
      <c r="N335" s="35">
        <f>SUMIFS(Einzelbeträge!$D:$D,Einzelbeträge!$C:$C,'Ausgaben 2024'!$C335,Einzelbeträge!$E:$E,'Ausgaben 2024'!N$6)</f>
        <v>0</v>
      </c>
      <c r="O335" s="6"/>
    </row>
    <row r="336" spans="2:15" x14ac:dyDescent="0.35">
      <c r="B336" s="5"/>
      <c r="C336" s="40">
        <f t="shared" si="33"/>
        <v>45594</v>
      </c>
      <c r="D336" s="46">
        <f>SUMIFS(Einzelbeträge!$D:$D,Einzelbeträge!$C:$C,'Ausgaben 2024'!$C336)</f>
        <v>0</v>
      </c>
      <c r="E336" s="21">
        <f>SUMIFS(Einzelbeträge!$D:$D,Einzelbeträge!$C:$C,'Ausgaben 2024'!$C336,Einzelbeträge!$E:$E,'Ausgaben 2024'!E$6)</f>
        <v>0</v>
      </c>
      <c r="F336" s="21">
        <f>SUMIFS(Einzelbeträge!$D:$D,Einzelbeträge!$C:$C,'Ausgaben 2024'!$C336,Einzelbeträge!$E:$E,'Ausgaben 2024'!F$6)</f>
        <v>0</v>
      </c>
      <c r="G336" s="21">
        <f>SUMIFS(Einzelbeträge!$D:$D,Einzelbeträge!$C:$C,'Ausgaben 2024'!$C336,Einzelbeträge!$E:$E,'Ausgaben 2024'!G$6)</f>
        <v>0</v>
      </c>
      <c r="H336" s="21">
        <f>SUMIFS(Einzelbeträge!$D:$D,Einzelbeträge!$C:$C,'Ausgaben 2024'!$C336,Einzelbeträge!$E:$E,'Ausgaben 2024'!H$6)</f>
        <v>0</v>
      </c>
      <c r="I336" s="21">
        <f>SUMIFS(Einzelbeträge!$D:$D,Einzelbeträge!$C:$C,'Ausgaben 2024'!$C336,Einzelbeträge!$E:$E,'Ausgaben 2024'!I$6)</f>
        <v>0</v>
      </c>
      <c r="J336" s="21">
        <f>SUMIFS(Einzelbeträge!$D:$D,Einzelbeträge!$C:$C,'Ausgaben 2024'!$C336,Einzelbeträge!$E:$E,'Ausgaben 2024'!J$6)</f>
        <v>0</v>
      </c>
      <c r="K336" s="21">
        <f>SUMIFS(Einzelbeträge!$D:$D,Einzelbeträge!$C:$C,'Ausgaben 2024'!$C336,Einzelbeträge!$E:$E,'Ausgaben 2024'!K$6)</f>
        <v>0</v>
      </c>
      <c r="L336" s="21">
        <f>SUMIFS(Einzelbeträge!$D:$D,Einzelbeträge!$C:$C,'Ausgaben 2024'!$C336,Einzelbeträge!$E:$E,'Ausgaben 2024'!L$6)</f>
        <v>0</v>
      </c>
      <c r="M336" s="21">
        <f>SUMIFS(Einzelbeträge!$D:$D,Einzelbeträge!$C:$C,'Ausgaben 2024'!$C336,Einzelbeträge!$E:$E,'Ausgaben 2024'!M$6)</f>
        <v>0</v>
      </c>
      <c r="N336" s="35">
        <f>SUMIFS(Einzelbeträge!$D:$D,Einzelbeträge!$C:$C,'Ausgaben 2024'!$C336,Einzelbeträge!$E:$E,'Ausgaben 2024'!N$6)</f>
        <v>0</v>
      </c>
      <c r="O336" s="6"/>
    </row>
    <row r="337" spans="2:15" x14ac:dyDescent="0.35">
      <c r="B337" s="5"/>
      <c r="C337" s="40">
        <f t="shared" si="33"/>
        <v>45595</v>
      </c>
      <c r="D337" s="46">
        <f>SUMIFS(Einzelbeträge!$D:$D,Einzelbeträge!$C:$C,'Ausgaben 2024'!$C337)</f>
        <v>0</v>
      </c>
      <c r="E337" s="21">
        <f>SUMIFS(Einzelbeträge!$D:$D,Einzelbeträge!$C:$C,'Ausgaben 2024'!$C337,Einzelbeträge!$E:$E,'Ausgaben 2024'!E$6)</f>
        <v>0</v>
      </c>
      <c r="F337" s="21">
        <f>SUMIFS(Einzelbeträge!$D:$D,Einzelbeträge!$C:$C,'Ausgaben 2024'!$C337,Einzelbeträge!$E:$E,'Ausgaben 2024'!F$6)</f>
        <v>0</v>
      </c>
      <c r="G337" s="21">
        <f>SUMIFS(Einzelbeträge!$D:$D,Einzelbeträge!$C:$C,'Ausgaben 2024'!$C337,Einzelbeträge!$E:$E,'Ausgaben 2024'!G$6)</f>
        <v>0</v>
      </c>
      <c r="H337" s="21">
        <f>SUMIFS(Einzelbeträge!$D:$D,Einzelbeträge!$C:$C,'Ausgaben 2024'!$C337,Einzelbeträge!$E:$E,'Ausgaben 2024'!H$6)</f>
        <v>0</v>
      </c>
      <c r="I337" s="21">
        <f>SUMIFS(Einzelbeträge!$D:$D,Einzelbeträge!$C:$C,'Ausgaben 2024'!$C337,Einzelbeträge!$E:$E,'Ausgaben 2024'!I$6)</f>
        <v>0</v>
      </c>
      <c r="J337" s="21">
        <f>SUMIFS(Einzelbeträge!$D:$D,Einzelbeträge!$C:$C,'Ausgaben 2024'!$C337,Einzelbeträge!$E:$E,'Ausgaben 2024'!J$6)</f>
        <v>0</v>
      </c>
      <c r="K337" s="21">
        <f>SUMIFS(Einzelbeträge!$D:$D,Einzelbeträge!$C:$C,'Ausgaben 2024'!$C337,Einzelbeträge!$E:$E,'Ausgaben 2024'!K$6)</f>
        <v>0</v>
      </c>
      <c r="L337" s="21">
        <f>SUMIFS(Einzelbeträge!$D:$D,Einzelbeträge!$C:$C,'Ausgaben 2024'!$C337,Einzelbeträge!$E:$E,'Ausgaben 2024'!L$6)</f>
        <v>0</v>
      </c>
      <c r="M337" s="21">
        <f>SUMIFS(Einzelbeträge!$D:$D,Einzelbeträge!$C:$C,'Ausgaben 2024'!$C337,Einzelbeträge!$E:$E,'Ausgaben 2024'!M$6)</f>
        <v>0</v>
      </c>
      <c r="N337" s="35">
        <f>SUMIFS(Einzelbeträge!$D:$D,Einzelbeträge!$C:$C,'Ausgaben 2024'!$C337,Einzelbeträge!$E:$E,'Ausgaben 2024'!N$6)</f>
        <v>0</v>
      </c>
      <c r="O337" s="6"/>
    </row>
    <row r="338" spans="2:15" x14ac:dyDescent="0.35">
      <c r="B338" s="5"/>
      <c r="C338" s="31">
        <f t="shared" si="33"/>
        <v>45596</v>
      </c>
      <c r="D338" s="47">
        <f>SUMIFS(Einzelbeträge!$D:$D,Einzelbeträge!$C:$C,'Ausgaben 2024'!$C338)</f>
        <v>0</v>
      </c>
      <c r="E338" s="37">
        <f>SUMIFS(Einzelbeträge!$D:$D,Einzelbeträge!$C:$C,'Ausgaben 2024'!$C338,Einzelbeträge!$E:$E,'Ausgaben 2024'!E$6)</f>
        <v>0</v>
      </c>
      <c r="F338" s="37">
        <f>SUMIFS(Einzelbeträge!$D:$D,Einzelbeträge!$C:$C,'Ausgaben 2024'!$C338,Einzelbeträge!$E:$E,'Ausgaben 2024'!F$6)</f>
        <v>0</v>
      </c>
      <c r="G338" s="37">
        <f>SUMIFS(Einzelbeträge!$D:$D,Einzelbeträge!$C:$C,'Ausgaben 2024'!$C338,Einzelbeträge!$E:$E,'Ausgaben 2024'!G$6)</f>
        <v>0</v>
      </c>
      <c r="H338" s="37">
        <f>SUMIFS(Einzelbeträge!$D:$D,Einzelbeträge!$C:$C,'Ausgaben 2024'!$C338,Einzelbeträge!$E:$E,'Ausgaben 2024'!H$6)</f>
        <v>0</v>
      </c>
      <c r="I338" s="37">
        <f>SUMIFS(Einzelbeträge!$D:$D,Einzelbeträge!$C:$C,'Ausgaben 2024'!$C338,Einzelbeträge!$E:$E,'Ausgaben 2024'!I$6)</f>
        <v>0</v>
      </c>
      <c r="J338" s="37">
        <f>SUMIFS(Einzelbeträge!$D:$D,Einzelbeträge!$C:$C,'Ausgaben 2024'!$C338,Einzelbeträge!$E:$E,'Ausgaben 2024'!J$6)</f>
        <v>0</v>
      </c>
      <c r="K338" s="37">
        <f>SUMIFS(Einzelbeträge!$D:$D,Einzelbeträge!$C:$C,'Ausgaben 2024'!$C338,Einzelbeträge!$E:$E,'Ausgaben 2024'!K$6)</f>
        <v>0</v>
      </c>
      <c r="L338" s="37">
        <f>SUMIFS(Einzelbeträge!$D:$D,Einzelbeträge!$C:$C,'Ausgaben 2024'!$C338,Einzelbeträge!$E:$E,'Ausgaben 2024'!L$6)</f>
        <v>0</v>
      </c>
      <c r="M338" s="37">
        <f>SUMIFS(Einzelbeträge!$D:$D,Einzelbeträge!$C:$C,'Ausgaben 2024'!$C338,Einzelbeträge!$E:$E,'Ausgaben 2024'!M$6)</f>
        <v>0</v>
      </c>
      <c r="N338" s="38">
        <f>SUMIFS(Einzelbeträge!$D:$D,Einzelbeträge!$C:$C,'Ausgaben 2024'!$C338,Einzelbeträge!$E:$E,'Ausgaben 2024'!N$6)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45597</v>
      </c>
      <c r="D342" s="45">
        <f>SUMIFS(Einzelbeträge!$D:$D,Einzelbeträge!$C:$C,'Ausgaben 2024'!$C342)</f>
        <v>0</v>
      </c>
      <c r="E342" s="32">
        <f>SUMIFS(Einzelbeträge!$D:$D,Einzelbeträge!$C:$C,'Ausgaben 2024'!$C342,Einzelbeträge!$E:$E,'Ausgaben 2024'!E$6)</f>
        <v>0</v>
      </c>
      <c r="F342" s="32">
        <f>SUMIFS(Einzelbeträge!$D:$D,Einzelbeträge!$C:$C,'Ausgaben 2024'!$C342,Einzelbeträge!$E:$E,'Ausgaben 2024'!F$6)</f>
        <v>0</v>
      </c>
      <c r="G342" s="32">
        <f>SUMIFS(Einzelbeträge!$D:$D,Einzelbeträge!$C:$C,'Ausgaben 2024'!$C342,Einzelbeträge!$E:$E,'Ausgaben 2024'!G$6)</f>
        <v>0</v>
      </c>
      <c r="H342" s="32">
        <f>SUMIFS(Einzelbeträge!$D:$D,Einzelbeträge!$C:$C,'Ausgaben 2024'!$C342,Einzelbeträge!$E:$E,'Ausgaben 2024'!H$6)</f>
        <v>0</v>
      </c>
      <c r="I342" s="32">
        <f>SUMIFS(Einzelbeträge!$D:$D,Einzelbeträge!$C:$C,'Ausgaben 2024'!$C342,Einzelbeträge!$E:$E,'Ausgaben 2024'!I$6)</f>
        <v>0</v>
      </c>
      <c r="J342" s="32">
        <f>SUMIFS(Einzelbeträge!$D:$D,Einzelbeträge!$C:$C,'Ausgaben 2024'!$C342,Einzelbeträge!$E:$E,'Ausgaben 2024'!J$6)</f>
        <v>0</v>
      </c>
      <c r="K342" s="32">
        <f>SUMIFS(Einzelbeträge!$D:$D,Einzelbeträge!$C:$C,'Ausgaben 2024'!$C342,Einzelbeträge!$E:$E,'Ausgaben 2024'!K$6)</f>
        <v>0</v>
      </c>
      <c r="L342" s="32">
        <f>SUMIFS(Einzelbeträge!$D:$D,Einzelbeträge!$C:$C,'Ausgaben 2024'!$C342,Einzelbeträge!$E:$E,'Ausgaben 2024'!L$6)</f>
        <v>0</v>
      </c>
      <c r="M342" s="32">
        <f>SUMIFS(Einzelbeträge!$D:$D,Einzelbeträge!$C:$C,'Ausgaben 2024'!$C342,Einzelbeträge!$E:$E,'Ausgaben 2024'!M$6)</f>
        <v>0</v>
      </c>
      <c r="N342" s="33">
        <f>SUMIFS(Einzelbeträge!$D:$D,Einzelbeträge!$C:$C,'Ausgaben 2024'!$C342,Einzelbeträge!$E:$E,'Ausgaben 2024'!N$6)</f>
        <v>0</v>
      </c>
      <c r="O342" s="6"/>
    </row>
    <row r="343" spans="2:15" x14ac:dyDescent="0.35">
      <c r="B343" s="5"/>
      <c r="C343" s="30">
        <f>C342+1</f>
        <v>45598</v>
      </c>
      <c r="D343" s="46">
        <f>SUMIFS(Einzelbeträge!$D:$D,Einzelbeträge!$C:$C,'Ausgaben 2024'!$C343)</f>
        <v>0</v>
      </c>
      <c r="E343" s="21">
        <f>SUMIFS(Einzelbeträge!$D:$D,Einzelbeträge!$C:$C,'Ausgaben 2024'!$C343,Einzelbeträge!$E:$E,'Ausgaben 2024'!E$6)</f>
        <v>0</v>
      </c>
      <c r="F343" s="21">
        <f>SUMIFS(Einzelbeträge!$D:$D,Einzelbeträge!$C:$C,'Ausgaben 2024'!$C343,Einzelbeträge!$E:$E,'Ausgaben 2024'!F$6)</f>
        <v>0</v>
      </c>
      <c r="G343" s="21">
        <f>SUMIFS(Einzelbeträge!$D:$D,Einzelbeträge!$C:$C,'Ausgaben 2024'!$C343,Einzelbeträge!$E:$E,'Ausgaben 2024'!G$6)</f>
        <v>0</v>
      </c>
      <c r="H343" s="21">
        <f>SUMIFS(Einzelbeträge!$D:$D,Einzelbeträge!$C:$C,'Ausgaben 2024'!$C343,Einzelbeträge!$E:$E,'Ausgaben 2024'!H$6)</f>
        <v>0</v>
      </c>
      <c r="I343" s="21">
        <f>SUMIFS(Einzelbeträge!$D:$D,Einzelbeträge!$C:$C,'Ausgaben 2024'!$C343,Einzelbeträge!$E:$E,'Ausgaben 2024'!I$6)</f>
        <v>0</v>
      </c>
      <c r="J343" s="21">
        <f>SUMIFS(Einzelbeträge!$D:$D,Einzelbeträge!$C:$C,'Ausgaben 2024'!$C343,Einzelbeträge!$E:$E,'Ausgaben 2024'!J$6)</f>
        <v>0</v>
      </c>
      <c r="K343" s="21">
        <f>SUMIFS(Einzelbeträge!$D:$D,Einzelbeträge!$C:$C,'Ausgaben 2024'!$C343,Einzelbeträge!$E:$E,'Ausgaben 2024'!K$6)</f>
        <v>0</v>
      </c>
      <c r="L343" s="21">
        <f>SUMIFS(Einzelbeträge!$D:$D,Einzelbeträge!$C:$C,'Ausgaben 2024'!$C343,Einzelbeträge!$E:$E,'Ausgaben 2024'!L$6)</f>
        <v>0</v>
      </c>
      <c r="M343" s="21">
        <f>SUMIFS(Einzelbeträge!$D:$D,Einzelbeträge!$C:$C,'Ausgaben 2024'!$C343,Einzelbeträge!$E:$E,'Ausgaben 2024'!M$6)</f>
        <v>0</v>
      </c>
      <c r="N343" s="35">
        <f>SUMIFS(Einzelbeträge!$D:$D,Einzelbeträge!$C:$C,'Ausgaben 2024'!$C343,Einzelbeträge!$E:$E,'Ausgaben 2024'!N$6)</f>
        <v>0</v>
      </c>
      <c r="O343" s="6"/>
    </row>
    <row r="344" spans="2:15" x14ac:dyDescent="0.35">
      <c r="B344" s="5"/>
      <c r="C344" s="30">
        <f t="shared" ref="C344:C371" si="34">C343+1</f>
        <v>45599</v>
      </c>
      <c r="D344" s="46">
        <f>SUMIFS(Einzelbeträge!$D:$D,Einzelbeträge!$C:$C,'Ausgaben 2024'!$C344)</f>
        <v>0</v>
      </c>
      <c r="E344" s="21">
        <f>SUMIFS(Einzelbeträge!$D:$D,Einzelbeträge!$C:$C,'Ausgaben 2024'!$C344,Einzelbeträge!$E:$E,'Ausgaben 2024'!E$6)</f>
        <v>0</v>
      </c>
      <c r="F344" s="21">
        <f>SUMIFS(Einzelbeträge!$D:$D,Einzelbeträge!$C:$C,'Ausgaben 2024'!$C344,Einzelbeträge!$E:$E,'Ausgaben 2024'!F$6)</f>
        <v>0</v>
      </c>
      <c r="G344" s="21">
        <f>SUMIFS(Einzelbeträge!$D:$D,Einzelbeträge!$C:$C,'Ausgaben 2024'!$C344,Einzelbeträge!$E:$E,'Ausgaben 2024'!G$6)</f>
        <v>0</v>
      </c>
      <c r="H344" s="21">
        <f>SUMIFS(Einzelbeträge!$D:$D,Einzelbeträge!$C:$C,'Ausgaben 2024'!$C344,Einzelbeträge!$E:$E,'Ausgaben 2024'!H$6)</f>
        <v>0</v>
      </c>
      <c r="I344" s="21">
        <f>SUMIFS(Einzelbeträge!$D:$D,Einzelbeträge!$C:$C,'Ausgaben 2024'!$C344,Einzelbeträge!$E:$E,'Ausgaben 2024'!I$6)</f>
        <v>0</v>
      </c>
      <c r="J344" s="21">
        <f>SUMIFS(Einzelbeträge!$D:$D,Einzelbeträge!$C:$C,'Ausgaben 2024'!$C344,Einzelbeträge!$E:$E,'Ausgaben 2024'!J$6)</f>
        <v>0</v>
      </c>
      <c r="K344" s="21">
        <f>SUMIFS(Einzelbeträge!$D:$D,Einzelbeträge!$C:$C,'Ausgaben 2024'!$C344,Einzelbeträge!$E:$E,'Ausgaben 2024'!K$6)</f>
        <v>0</v>
      </c>
      <c r="L344" s="21">
        <f>SUMIFS(Einzelbeträge!$D:$D,Einzelbeträge!$C:$C,'Ausgaben 2024'!$C344,Einzelbeträge!$E:$E,'Ausgaben 2024'!L$6)</f>
        <v>0</v>
      </c>
      <c r="M344" s="21">
        <f>SUMIFS(Einzelbeträge!$D:$D,Einzelbeträge!$C:$C,'Ausgaben 2024'!$C344,Einzelbeträge!$E:$E,'Ausgaben 2024'!M$6)</f>
        <v>0</v>
      </c>
      <c r="N344" s="35">
        <f>SUMIFS(Einzelbeträge!$D:$D,Einzelbeträge!$C:$C,'Ausgaben 2024'!$C344,Einzelbeträge!$E:$E,'Ausgaben 2024'!N$6)</f>
        <v>0</v>
      </c>
      <c r="O344" s="6"/>
    </row>
    <row r="345" spans="2:15" x14ac:dyDescent="0.35">
      <c r="B345" s="5"/>
      <c r="C345" s="30">
        <f t="shared" si="34"/>
        <v>45600</v>
      </c>
      <c r="D345" s="46">
        <f>SUMIFS(Einzelbeträge!$D:$D,Einzelbeträge!$C:$C,'Ausgaben 2024'!$C345)</f>
        <v>0</v>
      </c>
      <c r="E345" s="21">
        <f>SUMIFS(Einzelbeträge!$D:$D,Einzelbeträge!$C:$C,'Ausgaben 2024'!$C345,Einzelbeträge!$E:$E,'Ausgaben 2024'!E$6)</f>
        <v>0</v>
      </c>
      <c r="F345" s="21">
        <f>SUMIFS(Einzelbeträge!$D:$D,Einzelbeträge!$C:$C,'Ausgaben 2024'!$C345,Einzelbeträge!$E:$E,'Ausgaben 2024'!F$6)</f>
        <v>0</v>
      </c>
      <c r="G345" s="21">
        <f>SUMIFS(Einzelbeträge!$D:$D,Einzelbeträge!$C:$C,'Ausgaben 2024'!$C345,Einzelbeträge!$E:$E,'Ausgaben 2024'!G$6)</f>
        <v>0</v>
      </c>
      <c r="H345" s="21">
        <f>SUMIFS(Einzelbeträge!$D:$D,Einzelbeträge!$C:$C,'Ausgaben 2024'!$C345,Einzelbeträge!$E:$E,'Ausgaben 2024'!H$6)</f>
        <v>0</v>
      </c>
      <c r="I345" s="21">
        <f>SUMIFS(Einzelbeträge!$D:$D,Einzelbeträge!$C:$C,'Ausgaben 2024'!$C345,Einzelbeträge!$E:$E,'Ausgaben 2024'!I$6)</f>
        <v>0</v>
      </c>
      <c r="J345" s="21">
        <f>SUMIFS(Einzelbeträge!$D:$D,Einzelbeträge!$C:$C,'Ausgaben 2024'!$C345,Einzelbeträge!$E:$E,'Ausgaben 2024'!J$6)</f>
        <v>0</v>
      </c>
      <c r="K345" s="21">
        <f>SUMIFS(Einzelbeträge!$D:$D,Einzelbeträge!$C:$C,'Ausgaben 2024'!$C345,Einzelbeträge!$E:$E,'Ausgaben 2024'!K$6)</f>
        <v>0</v>
      </c>
      <c r="L345" s="21">
        <f>SUMIFS(Einzelbeträge!$D:$D,Einzelbeträge!$C:$C,'Ausgaben 2024'!$C345,Einzelbeträge!$E:$E,'Ausgaben 2024'!L$6)</f>
        <v>0</v>
      </c>
      <c r="M345" s="21">
        <f>SUMIFS(Einzelbeträge!$D:$D,Einzelbeträge!$C:$C,'Ausgaben 2024'!$C345,Einzelbeträge!$E:$E,'Ausgaben 2024'!M$6)</f>
        <v>0</v>
      </c>
      <c r="N345" s="35">
        <f>SUMIFS(Einzelbeträge!$D:$D,Einzelbeträge!$C:$C,'Ausgaben 2024'!$C345,Einzelbeträge!$E:$E,'Ausgaben 2024'!N$6)</f>
        <v>0</v>
      </c>
      <c r="O345" s="6"/>
    </row>
    <row r="346" spans="2:15" x14ac:dyDescent="0.35">
      <c r="B346" s="5"/>
      <c r="C346" s="30">
        <f t="shared" si="34"/>
        <v>45601</v>
      </c>
      <c r="D346" s="46">
        <f>SUMIFS(Einzelbeträge!$D:$D,Einzelbeträge!$C:$C,'Ausgaben 2024'!$C346)</f>
        <v>0</v>
      </c>
      <c r="E346" s="21">
        <f>SUMIFS(Einzelbeträge!$D:$D,Einzelbeträge!$C:$C,'Ausgaben 2024'!$C346,Einzelbeträge!$E:$E,'Ausgaben 2024'!E$6)</f>
        <v>0</v>
      </c>
      <c r="F346" s="21">
        <f>SUMIFS(Einzelbeträge!$D:$D,Einzelbeträge!$C:$C,'Ausgaben 2024'!$C346,Einzelbeträge!$E:$E,'Ausgaben 2024'!F$6)</f>
        <v>0</v>
      </c>
      <c r="G346" s="21">
        <f>SUMIFS(Einzelbeträge!$D:$D,Einzelbeträge!$C:$C,'Ausgaben 2024'!$C346,Einzelbeträge!$E:$E,'Ausgaben 2024'!G$6)</f>
        <v>0</v>
      </c>
      <c r="H346" s="21">
        <f>SUMIFS(Einzelbeträge!$D:$D,Einzelbeträge!$C:$C,'Ausgaben 2024'!$C346,Einzelbeträge!$E:$E,'Ausgaben 2024'!H$6)</f>
        <v>0</v>
      </c>
      <c r="I346" s="21">
        <f>SUMIFS(Einzelbeträge!$D:$D,Einzelbeträge!$C:$C,'Ausgaben 2024'!$C346,Einzelbeträge!$E:$E,'Ausgaben 2024'!I$6)</f>
        <v>0</v>
      </c>
      <c r="J346" s="21">
        <f>SUMIFS(Einzelbeträge!$D:$D,Einzelbeträge!$C:$C,'Ausgaben 2024'!$C346,Einzelbeträge!$E:$E,'Ausgaben 2024'!J$6)</f>
        <v>0</v>
      </c>
      <c r="K346" s="21">
        <f>SUMIFS(Einzelbeträge!$D:$D,Einzelbeträge!$C:$C,'Ausgaben 2024'!$C346,Einzelbeträge!$E:$E,'Ausgaben 2024'!K$6)</f>
        <v>0</v>
      </c>
      <c r="L346" s="21">
        <f>SUMIFS(Einzelbeträge!$D:$D,Einzelbeträge!$C:$C,'Ausgaben 2024'!$C346,Einzelbeträge!$E:$E,'Ausgaben 2024'!L$6)</f>
        <v>0</v>
      </c>
      <c r="M346" s="21">
        <f>SUMIFS(Einzelbeträge!$D:$D,Einzelbeträge!$C:$C,'Ausgaben 2024'!$C346,Einzelbeträge!$E:$E,'Ausgaben 2024'!M$6)</f>
        <v>0</v>
      </c>
      <c r="N346" s="35">
        <f>SUMIFS(Einzelbeträge!$D:$D,Einzelbeträge!$C:$C,'Ausgaben 2024'!$C346,Einzelbeträge!$E:$E,'Ausgaben 2024'!N$6)</f>
        <v>0</v>
      </c>
      <c r="O346" s="6"/>
    </row>
    <row r="347" spans="2:15" x14ac:dyDescent="0.35">
      <c r="B347" s="5"/>
      <c r="C347" s="30">
        <f t="shared" si="34"/>
        <v>45602</v>
      </c>
      <c r="D347" s="46">
        <f>SUMIFS(Einzelbeträge!$D:$D,Einzelbeträge!$C:$C,'Ausgaben 2024'!$C347)</f>
        <v>0</v>
      </c>
      <c r="E347" s="21">
        <f>SUMIFS(Einzelbeträge!$D:$D,Einzelbeträge!$C:$C,'Ausgaben 2024'!$C347,Einzelbeträge!$E:$E,'Ausgaben 2024'!E$6)</f>
        <v>0</v>
      </c>
      <c r="F347" s="21">
        <f>SUMIFS(Einzelbeträge!$D:$D,Einzelbeträge!$C:$C,'Ausgaben 2024'!$C347,Einzelbeträge!$E:$E,'Ausgaben 2024'!F$6)</f>
        <v>0</v>
      </c>
      <c r="G347" s="21">
        <f>SUMIFS(Einzelbeträge!$D:$D,Einzelbeträge!$C:$C,'Ausgaben 2024'!$C347,Einzelbeträge!$E:$E,'Ausgaben 2024'!G$6)</f>
        <v>0</v>
      </c>
      <c r="H347" s="21">
        <f>SUMIFS(Einzelbeträge!$D:$D,Einzelbeträge!$C:$C,'Ausgaben 2024'!$C347,Einzelbeträge!$E:$E,'Ausgaben 2024'!H$6)</f>
        <v>0</v>
      </c>
      <c r="I347" s="21">
        <f>SUMIFS(Einzelbeträge!$D:$D,Einzelbeträge!$C:$C,'Ausgaben 2024'!$C347,Einzelbeträge!$E:$E,'Ausgaben 2024'!I$6)</f>
        <v>0</v>
      </c>
      <c r="J347" s="21">
        <f>SUMIFS(Einzelbeträge!$D:$D,Einzelbeträge!$C:$C,'Ausgaben 2024'!$C347,Einzelbeträge!$E:$E,'Ausgaben 2024'!J$6)</f>
        <v>0</v>
      </c>
      <c r="K347" s="21">
        <f>SUMIFS(Einzelbeträge!$D:$D,Einzelbeträge!$C:$C,'Ausgaben 2024'!$C347,Einzelbeträge!$E:$E,'Ausgaben 2024'!K$6)</f>
        <v>0</v>
      </c>
      <c r="L347" s="21">
        <f>SUMIFS(Einzelbeträge!$D:$D,Einzelbeträge!$C:$C,'Ausgaben 2024'!$C347,Einzelbeträge!$E:$E,'Ausgaben 2024'!L$6)</f>
        <v>0</v>
      </c>
      <c r="M347" s="21">
        <f>SUMIFS(Einzelbeträge!$D:$D,Einzelbeträge!$C:$C,'Ausgaben 2024'!$C347,Einzelbeträge!$E:$E,'Ausgaben 2024'!M$6)</f>
        <v>0</v>
      </c>
      <c r="N347" s="35">
        <f>SUMIFS(Einzelbeträge!$D:$D,Einzelbeträge!$C:$C,'Ausgaben 2024'!$C347,Einzelbeträge!$E:$E,'Ausgaben 2024'!N$6)</f>
        <v>0</v>
      </c>
      <c r="O347" s="6"/>
    </row>
    <row r="348" spans="2:15" x14ac:dyDescent="0.35">
      <c r="B348" s="5"/>
      <c r="C348" s="30">
        <f t="shared" si="34"/>
        <v>45603</v>
      </c>
      <c r="D348" s="46">
        <f>SUMIFS(Einzelbeträge!$D:$D,Einzelbeträge!$C:$C,'Ausgaben 2024'!$C348)</f>
        <v>0</v>
      </c>
      <c r="E348" s="21">
        <f>SUMIFS(Einzelbeträge!$D:$D,Einzelbeträge!$C:$C,'Ausgaben 2024'!$C348,Einzelbeträge!$E:$E,'Ausgaben 2024'!E$6)</f>
        <v>0</v>
      </c>
      <c r="F348" s="21">
        <f>SUMIFS(Einzelbeträge!$D:$D,Einzelbeträge!$C:$C,'Ausgaben 2024'!$C348,Einzelbeträge!$E:$E,'Ausgaben 2024'!F$6)</f>
        <v>0</v>
      </c>
      <c r="G348" s="21">
        <f>SUMIFS(Einzelbeträge!$D:$D,Einzelbeträge!$C:$C,'Ausgaben 2024'!$C348,Einzelbeträge!$E:$E,'Ausgaben 2024'!G$6)</f>
        <v>0</v>
      </c>
      <c r="H348" s="21">
        <f>SUMIFS(Einzelbeträge!$D:$D,Einzelbeträge!$C:$C,'Ausgaben 2024'!$C348,Einzelbeträge!$E:$E,'Ausgaben 2024'!H$6)</f>
        <v>0</v>
      </c>
      <c r="I348" s="21">
        <f>SUMIFS(Einzelbeträge!$D:$D,Einzelbeträge!$C:$C,'Ausgaben 2024'!$C348,Einzelbeträge!$E:$E,'Ausgaben 2024'!I$6)</f>
        <v>0</v>
      </c>
      <c r="J348" s="21">
        <f>SUMIFS(Einzelbeträge!$D:$D,Einzelbeträge!$C:$C,'Ausgaben 2024'!$C348,Einzelbeträge!$E:$E,'Ausgaben 2024'!J$6)</f>
        <v>0</v>
      </c>
      <c r="K348" s="21">
        <f>SUMIFS(Einzelbeträge!$D:$D,Einzelbeträge!$C:$C,'Ausgaben 2024'!$C348,Einzelbeträge!$E:$E,'Ausgaben 2024'!K$6)</f>
        <v>0</v>
      </c>
      <c r="L348" s="21">
        <f>SUMIFS(Einzelbeträge!$D:$D,Einzelbeträge!$C:$C,'Ausgaben 2024'!$C348,Einzelbeträge!$E:$E,'Ausgaben 2024'!L$6)</f>
        <v>0</v>
      </c>
      <c r="M348" s="21">
        <f>SUMIFS(Einzelbeträge!$D:$D,Einzelbeträge!$C:$C,'Ausgaben 2024'!$C348,Einzelbeträge!$E:$E,'Ausgaben 2024'!M$6)</f>
        <v>0</v>
      </c>
      <c r="N348" s="35">
        <f>SUMIFS(Einzelbeträge!$D:$D,Einzelbeträge!$C:$C,'Ausgaben 2024'!$C348,Einzelbeträge!$E:$E,'Ausgaben 2024'!N$6)</f>
        <v>0</v>
      </c>
      <c r="O348" s="6"/>
    </row>
    <row r="349" spans="2:15" x14ac:dyDescent="0.35">
      <c r="B349" s="5"/>
      <c r="C349" s="30">
        <f t="shared" si="34"/>
        <v>45604</v>
      </c>
      <c r="D349" s="46">
        <f>SUMIFS(Einzelbeträge!$D:$D,Einzelbeträge!$C:$C,'Ausgaben 2024'!$C349)</f>
        <v>0</v>
      </c>
      <c r="E349" s="21">
        <f>SUMIFS(Einzelbeträge!$D:$D,Einzelbeträge!$C:$C,'Ausgaben 2024'!$C349,Einzelbeträge!$E:$E,'Ausgaben 2024'!E$6)</f>
        <v>0</v>
      </c>
      <c r="F349" s="21">
        <f>SUMIFS(Einzelbeträge!$D:$D,Einzelbeträge!$C:$C,'Ausgaben 2024'!$C349,Einzelbeträge!$E:$E,'Ausgaben 2024'!F$6)</f>
        <v>0</v>
      </c>
      <c r="G349" s="21">
        <f>SUMIFS(Einzelbeträge!$D:$D,Einzelbeträge!$C:$C,'Ausgaben 2024'!$C349,Einzelbeträge!$E:$E,'Ausgaben 2024'!G$6)</f>
        <v>0</v>
      </c>
      <c r="H349" s="21">
        <f>SUMIFS(Einzelbeträge!$D:$D,Einzelbeträge!$C:$C,'Ausgaben 2024'!$C349,Einzelbeträge!$E:$E,'Ausgaben 2024'!H$6)</f>
        <v>0</v>
      </c>
      <c r="I349" s="21">
        <f>SUMIFS(Einzelbeträge!$D:$D,Einzelbeträge!$C:$C,'Ausgaben 2024'!$C349,Einzelbeträge!$E:$E,'Ausgaben 2024'!I$6)</f>
        <v>0</v>
      </c>
      <c r="J349" s="21">
        <f>SUMIFS(Einzelbeträge!$D:$D,Einzelbeträge!$C:$C,'Ausgaben 2024'!$C349,Einzelbeträge!$E:$E,'Ausgaben 2024'!J$6)</f>
        <v>0</v>
      </c>
      <c r="K349" s="21">
        <f>SUMIFS(Einzelbeträge!$D:$D,Einzelbeträge!$C:$C,'Ausgaben 2024'!$C349,Einzelbeträge!$E:$E,'Ausgaben 2024'!K$6)</f>
        <v>0</v>
      </c>
      <c r="L349" s="21">
        <f>SUMIFS(Einzelbeträge!$D:$D,Einzelbeträge!$C:$C,'Ausgaben 2024'!$C349,Einzelbeträge!$E:$E,'Ausgaben 2024'!L$6)</f>
        <v>0</v>
      </c>
      <c r="M349" s="21">
        <f>SUMIFS(Einzelbeträge!$D:$D,Einzelbeträge!$C:$C,'Ausgaben 2024'!$C349,Einzelbeträge!$E:$E,'Ausgaben 2024'!M$6)</f>
        <v>0</v>
      </c>
      <c r="N349" s="35">
        <f>SUMIFS(Einzelbeträge!$D:$D,Einzelbeträge!$C:$C,'Ausgaben 2024'!$C349,Einzelbeträge!$E:$E,'Ausgaben 2024'!N$6)</f>
        <v>0</v>
      </c>
      <c r="O349" s="6"/>
    </row>
    <row r="350" spans="2:15" x14ac:dyDescent="0.35">
      <c r="B350" s="5"/>
      <c r="C350" s="30">
        <f t="shared" si="34"/>
        <v>45605</v>
      </c>
      <c r="D350" s="46">
        <f>SUMIFS(Einzelbeträge!$D:$D,Einzelbeträge!$C:$C,'Ausgaben 2024'!$C350)</f>
        <v>0</v>
      </c>
      <c r="E350" s="21">
        <f>SUMIFS(Einzelbeträge!$D:$D,Einzelbeträge!$C:$C,'Ausgaben 2024'!$C350,Einzelbeträge!$E:$E,'Ausgaben 2024'!E$6)</f>
        <v>0</v>
      </c>
      <c r="F350" s="21">
        <f>SUMIFS(Einzelbeträge!$D:$D,Einzelbeträge!$C:$C,'Ausgaben 2024'!$C350,Einzelbeträge!$E:$E,'Ausgaben 2024'!F$6)</f>
        <v>0</v>
      </c>
      <c r="G350" s="21">
        <f>SUMIFS(Einzelbeträge!$D:$D,Einzelbeträge!$C:$C,'Ausgaben 2024'!$C350,Einzelbeträge!$E:$E,'Ausgaben 2024'!G$6)</f>
        <v>0</v>
      </c>
      <c r="H350" s="21">
        <f>SUMIFS(Einzelbeträge!$D:$D,Einzelbeträge!$C:$C,'Ausgaben 2024'!$C350,Einzelbeträge!$E:$E,'Ausgaben 2024'!H$6)</f>
        <v>0</v>
      </c>
      <c r="I350" s="21">
        <f>SUMIFS(Einzelbeträge!$D:$D,Einzelbeträge!$C:$C,'Ausgaben 2024'!$C350,Einzelbeträge!$E:$E,'Ausgaben 2024'!I$6)</f>
        <v>0</v>
      </c>
      <c r="J350" s="21">
        <f>SUMIFS(Einzelbeträge!$D:$D,Einzelbeträge!$C:$C,'Ausgaben 2024'!$C350,Einzelbeträge!$E:$E,'Ausgaben 2024'!J$6)</f>
        <v>0</v>
      </c>
      <c r="K350" s="21">
        <f>SUMIFS(Einzelbeträge!$D:$D,Einzelbeträge!$C:$C,'Ausgaben 2024'!$C350,Einzelbeträge!$E:$E,'Ausgaben 2024'!K$6)</f>
        <v>0</v>
      </c>
      <c r="L350" s="21">
        <f>SUMIFS(Einzelbeträge!$D:$D,Einzelbeträge!$C:$C,'Ausgaben 2024'!$C350,Einzelbeträge!$E:$E,'Ausgaben 2024'!L$6)</f>
        <v>0</v>
      </c>
      <c r="M350" s="21">
        <f>SUMIFS(Einzelbeträge!$D:$D,Einzelbeträge!$C:$C,'Ausgaben 2024'!$C350,Einzelbeträge!$E:$E,'Ausgaben 2024'!M$6)</f>
        <v>0</v>
      </c>
      <c r="N350" s="35">
        <f>SUMIFS(Einzelbeträge!$D:$D,Einzelbeträge!$C:$C,'Ausgaben 2024'!$C350,Einzelbeträge!$E:$E,'Ausgaben 2024'!N$6)</f>
        <v>0</v>
      </c>
      <c r="O350" s="6"/>
    </row>
    <row r="351" spans="2:15" x14ac:dyDescent="0.35">
      <c r="B351" s="5"/>
      <c r="C351" s="30">
        <f t="shared" si="34"/>
        <v>45606</v>
      </c>
      <c r="D351" s="46">
        <f>SUMIFS(Einzelbeträge!$D:$D,Einzelbeträge!$C:$C,'Ausgaben 2024'!$C351)</f>
        <v>0</v>
      </c>
      <c r="E351" s="21">
        <f>SUMIFS(Einzelbeträge!$D:$D,Einzelbeträge!$C:$C,'Ausgaben 2024'!$C351,Einzelbeträge!$E:$E,'Ausgaben 2024'!E$6)</f>
        <v>0</v>
      </c>
      <c r="F351" s="21">
        <f>SUMIFS(Einzelbeträge!$D:$D,Einzelbeträge!$C:$C,'Ausgaben 2024'!$C351,Einzelbeträge!$E:$E,'Ausgaben 2024'!F$6)</f>
        <v>0</v>
      </c>
      <c r="G351" s="21">
        <f>SUMIFS(Einzelbeträge!$D:$D,Einzelbeträge!$C:$C,'Ausgaben 2024'!$C351,Einzelbeträge!$E:$E,'Ausgaben 2024'!G$6)</f>
        <v>0</v>
      </c>
      <c r="H351" s="21">
        <f>SUMIFS(Einzelbeträge!$D:$D,Einzelbeträge!$C:$C,'Ausgaben 2024'!$C351,Einzelbeträge!$E:$E,'Ausgaben 2024'!H$6)</f>
        <v>0</v>
      </c>
      <c r="I351" s="21">
        <f>SUMIFS(Einzelbeträge!$D:$D,Einzelbeträge!$C:$C,'Ausgaben 2024'!$C351,Einzelbeträge!$E:$E,'Ausgaben 2024'!I$6)</f>
        <v>0</v>
      </c>
      <c r="J351" s="21">
        <f>SUMIFS(Einzelbeträge!$D:$D,Einzelbeträge!$C:$C,'Ausgaben 2024'!$C351,Einzelbeträge!$E:$E,'Ausgaben 2024'!J$6)</f>
        <v>0</v>
      </c>
      <c r="K351" s="21">
        <f>SUMIFS(Einzelbeträge!$D:$D,Einzelbeträge!$C:$C,'Ausgaben 2024'!$C351,Einzelbeträge!$E:$E,'Ausgaben 2024'!K$6)</f>
        <v>0</v>
      </c>
      <c r="L351" s="21">
        <f>SUMIFS(Einzelbeträge!$D:$D,Einzelbeträge!$C:$C,'Ausgaben 2024'!$C351,Einzelbeträge!$E:$E,'Ausgaben 2024'!L$6)</f>
        <v>0</v>
      </c>
      <c r="M351" s="21">
        <f>SUMIFS(Einzelbeträge!$D:$D,Einzelbeträge!$C:$C,'Ausgaben 2024'!$C351,Einzelbeträge!$E:$E,'Ausgaben 2024'!M$6)</f>
        <v>0</v>
      </c>
      <c r="N351" s="35">
        <f>SUMIFS(Einzelbeträge!$D:$D,Einzelbeträge!$C:$C,'Ausgaben 2024'!$C351,Einzelbeträge!$E:$E,'Ausgaben 2024'!N$6)</f>
        <v>0</v>
      </c>
      <c r="O351" s="6"/>
    </row>
    <row r="352" spans="2:15" x14ac:dyDescent="0.35">
      <c r="B352" s="5"/>
      <c r="C352" s="30">
        <f t="shared" si="34"/>
        <v>45607</v>
      </c>
      <c r="D352" s="46">
        <f>SUMIFS(Einzelbeträge!$D:$D,Einzelbeträge!$C:$C,'Ausgaben 2024'!$C352)</f>
        <v>0</v>
      </c>
      <c r="E352" s="21">
        <f>SUMIFS(Einzelbeträge!$D:$D,Einzelbeträge!$C:$C,'Ausgaben 2024'!$C352,Einzelbeträge!$E:$E,'Ausgaben 2024'!E$6)</f>
        <v>0</v>
      </c>
      <c r="F352" s="21">
        <f>SUMIFS(Einzelbeträge!$D:$D,Einzelbeträge!$C:$C,'Ausgaben 2024'!$C352,Einzelbeträge!$E:$E,'Ausgaben 2024'!F$6)</f>
        <v>0</v>
      </c>
      <c r="G352" s="21">
        <f>SUMIFS(Einzelbeträge!$D:$D,Einzelbeträge!$C:$C,'Ausgaben 2024'!$C352,Einzelbeträge!$E:$E,'Ausgaben 2024'!G$6)</f>
        <v>0</v>
      </c>
      <c r="H352" s="21">
        <f>SUMIFS(Einzelbeträge!$D:$D,Einzelbeträge!$C:$C,'Ausgaben 2024'!$C352,Einzelbeträge!$E:$E,'Ausgaben 2024'!H$6)</f>
        <v>0</v>
      </c>
      <c r="I352" s="21">
        <f>SUMIFS(Einzelbeträge!$D:$D,Einzelbeträge!$C:$C,'Ausgaben 2024'!$C352,Einzelbeträge!$E:$E,'Ausgaben 2024'!I$6)</f>
        <v>0</v>
      </c>
      <c r="J352" s="21">
        <f>SUMIFS(Einzelbeträge!$D:$D,Einzelbeträge!$C:$C,'Ausgaben 2024'!$C352,Einzelbeträge!$E:$E,'Ausgaben 2024'!J$6)</f>
        <v>0</v>
      </c>
      <c r="K352" s="21">
        <f>SUMIFS(Einzelbeträge!$D:$D,Einzelbeträge!$C:$C,'Ausgaben 2024'!$C352,Einzelbeträge!$E:$E,'Ausgaben 2024'!K$6)</f>
        <v>0</v>
      </c>
      <c r="L352" s="21">
        <f>SUMIFS(Einzelbeträge!$D:$D,Einzelbeträge!$C:$C,'Ausgaben 2024'!$C352,Einzelbeträge!$E:$E,'Ausgaben 2024'!L$6)</f>
        <v>0</v>
      </c>
      <c r="M352" s="21">
        <f>SUMIFS(Einzelbeträge!$D:$D,Einzelbeträge!$C:$C,'Ausgaben 2024'!$C352,Einzelbeträge!$E:$E,'Ausgaben 2024'!M$6)</f>
        <v>0</v>
      </c>
      <c r="N352" s="35">
        <f>SUMIFS(Einzelbeträge!$D:$D,Einzelbeträge!$C:$C,'Ausgaben 2024'!$C352,Einzelbeträge!$E:$E,'Ausgaben 2024'!N$6)</f>
        <v>0</v>
      </c>
      <c r="O352" s="6"/>
    </row>
    <row r="353" spans="2:15" x14ac:dyDescent="0.35">
      <c r="B353" s="5"/>
      <c r="C353" s="30">
        <f t="shared" si="34"/>
        <v>45608</v>
      </c>
      <c r="D353" s="46">
        <f>SUMIFS(Einzelbeträge!$D:$D,Einzelbeträge!$C:$C,'Ausgaben 2024'!$C353)</f>
        <v>0</v>
      </c>
      <c r="E353" s="21">
        <f>SUMIFS(Einzelbeträge!$D:$D,Einzelbeträge!$C:$C,'Ausgaben 2024'!$C353,Einzelbeträge!$E:$E,'Ausgaben 2024'!E$6)</f>
        <v>0</v>
      </c>
      <c r="F353" s="21">
        <f>SUMIFS(Einzelbeträge!$D:$D,Einzelbeträge!$C:$C,'Ausgaben 2024'!$C353,Einzelbeträge!$E:$E,'Ausgaben 2024'!F$6)</f>
        <v>0</v>
      </c>
      <c r="G353" s="21">
        <f>SUMIFS(Einzelbeträge!$D:$D,Einzelbeträge!$C:$C,'Ausgaben 2024'!$C353,Einzelbeträge!$E:$E,'Ausgaben 2024'!G$6)</f>
        <v>0</v>
      </c>
      <c r="H353" s="21">
        <f>SUMIFS(Einzelbeträge!$D:$D,Einzelbeträge!$C:$C,'Ausgaben 2024'!$C353,Einzelbeträge!$E:$E,'Ausgaben 2024'!H$6)</f>
        <v>0</v>
      </c>
      <c r="I353" s="21">
        <f>SUMIFS(Einzelbeträge!$D:$D,Einzelbeträge!$C:$C,'Ausgaben 2024'!$C353,Einzelbeträge!$E:$E,'Ausgaben 2024'!I$6)</f>
        <v>0</v>
      </c>
      <c r="J353" s="21">
        <f>SUMIFS(Einzelbeträge!$D:$D,Einzelbeträge!$C:$C,'Ausgaben 2024'!$C353,Einzelbeträge!$E:$E,'Ausgaben 2024'!J$6)</f>
        <v>0</v>
      </c>
      <c r="K353" s="21">
        <f>SUMIFS(Einzelbeträge!$D:$D,Einzelbeträge!$C:$C,'Ausgaben 2024'!$C353,Einzelbeträge!$E:$E,'Ausgaben 2024'!K$6)</f>
        <v>0</v>
      </c>
      <c r="L353" s="21">
        <f>SUMIFS(Einzelbeträge!$D:$D,Einzelbeträge!$C:$C,'Ausgaben 2024'!$C353,Einzelbeträge!$E:$E,'Ausgaben 2024'!L$6)</f>
        <v>0</v>
      </c>
      <c r="M353" s="21">
        <f>SUMIFS(Einzelbeträge!$D:$D,Einzelbeträge!$C:$C,'Ausgaben 2024'!$C353,Einzelbeträge!$E:$E,'Ausgaben 2024'!M$6)</f>
        <v>0</v>
      </c>
      <c r="N353" s="35">
        <f>SUMIFS(Einzelbeträge!$D:$D,Einzelbeträge!$C:$C,'Ausgaben 2024'!$C353,Einzelbeträge!$E:$E,'Ausgaben 2024'!N$6)</f>
        <v>0</v>
      </c>
      <c r="O353" s="6"/>
    </row>
    <row r="354" spans="2:15" x14ac:dyDescent="0.35">
      <c r="B354" s="5"/>
      <c r="C354" s="30">
        <f t="shared" si="34"/>
        <v>45609</v>
      </c>
      <c r="D354" s="46">
        <f>SUMIFS(Einzelbeträge!$D:$D,Einzelbeträge!$C:$C,'Ausgaben 2024'!$C354)</f>
        <v>0</v>
      </c>
      <c r="E354" s="21">
        <f>SUMIFS(Einzelbeträge!$D:$D,Einzelbeträge!$C:$C,'Ausgaben 2024'!$C354,Einzelbeträge!$E:$E,'Ausgaben 2024'!E$6)</f>
        <v>0</v>
      </c>
      <c r="F354" s="21">
        <f>SUMIFS(Einzelbeträge!$D:$D,Einzelbeträge!$C:$C,'Ausgaben 2024'!$C354,Einzelbeträge!$E:$E,'Ausgaben 2024'!F$6)</f>
        <v>0</v>
      </c>
      <c r="G354" s="21">
        <f>SUMIFS(Einzelbeträge!$D:$D,Einzelbeträge!$C:$C,'Ausgaben 2024'!$C354,Einzelbeträge!$E:$E,'Ausgaben 2024'!G$6)</f>
        <v>0</v>
      </c>
      <c r="H354" s="21">
        <f>SUMIFS(Einzelbeträge!$D:$D,Einzelbeträge!$C:$C,'Ausgaben 2024'!$C354,Einzelbeträge!$E:$E,'Ausgaben 2024'!H$6)</f>
        <v>0</v>
      </c>
      <c r="I354" s="21">
        <f>SUMIFS(Einzelbeträge!$D:$D,Einzelbeträge!$C:$C,'Ausgaben 2024'!$C354,Einzelbeträge!$E:$E,'Ausgaben 2024'!I$6)</f>
        <v>0</v>
      </c>
      <c r="J354" s="21">
        <f>SUMIFS(Einzelbeträge!$D:$D,Einzelbeträge!$C:$C,'Ausgaben 2024'!$C354,Einzelbeträge!$E:$E,'Ausgaben 2024'!J$6)</f>
        <v>0</v>
      </c>
      <c r="K354" s="21">
        <f>SUMIFS(Einzelbeträge!$D:$D,Einzelbeträge!$C:$C,'Ausgaben 2024'!$C354,Einzelbeträge!$E:$E,'Ausgaben 2024'!K$6)</f>
        <v>0</v>
      </c>
      <c r="L354" s="21">
        <f>SUMIFS(Einzelbeträge!$D:$D,Einzelbeträge!$C:$C,'Ausgaben 2024'!$C354,Einzelbeträge!$E:$E,'Ausgaben 2024'!L$6)</f>
        <v>0</v>
      </c>
      <c r="M354" s="21">
        <f>SUMIFS(Einzelbeträge!$D:$D,Einzelbeträge!$C:$C,'Ausgaben 2024'!$C354,Einzelbeträge!$E:$E,'Ausgaben 2024'!M$6)</f>
        <v>0</v>
      </c>
      <c r="N354" s="35">
        <f>SUMIFS(Einzelbeträge!$D:$D,Einzelbeträge!$C:$C,'Ausgaben 2024'!$C354,Einzelbeträge!$E:$E,'Ausgaben 2024'!N$6)</f>
        <v>0</v>
      </c>
      <c r="O354" s="6"/>
    </row>
    <row r="355" spans="2:15" x14ac:dyDescent="0.35">
      <c r="B355" s="5"/>
      <c r="C355" s="30">
        <f t="shared" si="34"/>
        <v>45610</v>
      </c>
      <c r="D355" s="46">
        <f>SUMIFS(Einzelbeträge!$D:$D,Einzelbeträge!$C:$C,'Ausgaben 2024'!$C355)</f>
        <v>0</v>
      </c>
      <c r="E355" s="21">
        <f>SUMIFS(Einzelbeträge!$D:$D,Einzelbeträge!$C:$C,'Ausgaben 2024'!$C355,Einzelbeträge!$E:$E,'Ausgaben 2024'!E$6)</f>
        <v>0</v>
      </c>
      <c r="F355" s="21">
        <f>SUMIFS(Einzelbeträge!$D:$D,Einzelbeträge!$C:$C,'Ausgaben 2024'!$C355,Einzelbeträge!$E:$E,'Ausgaben 2024'!F$6)</f>
        <v>0</v>
      </c>
      <c r="G355" s="21">
        <f>SUMIFS(Einzelbeträge!$D:$D,Einzelbeträge!$C:$C,'Ausgaben 2024'!$C355,Einzelbeträge!$E:$E,'Ausgaben 2024'!G$6)</f>
        <v>0</v>
      </c>
      <c r="H355" s="21">
        <f>SUMIFS(Einzelbeträge!$D:$D,Einzelbeträge!$C:$C,'Ausgaben 2024'!$C355,Einzelbeträge!$E:$E,'Ausgaben 2024'!H$6)</f>
        <v>0</v>
      </c>
      <c r="I355" s="21">
        <f>SUMIFS(Einzelbeträge!$D:$D,Einzelbeträge!$C:$C,'Ausgaben 2024'!$C355,Einzelbeträge!$E:$E,'Ausgaben 2024'!I$6)</f>
        <v>0</v>
      </c>
      <c r="J355" s="21">
        <f>SUMIFS(Einzelbeträge!$D:$D,Einzelbeträge!$C:$C,'Ausgaben 2024'!$C355,Einzelbeträge!$E:$E,'Ausgaben 2024'!J$6)</f>
        <v>0</v>
      </c>
      <c r="K355" s="21">
        <f>SUMIFS(Einzelbeträge!$D:$D,Einzelbeträge!$C:$C,'Ausgaben 2024'!$C355,Einzelbeträge!$E:$E,'Ausgaben 2024'!K$6)</f>
        <v>0</v>
      </c>
      <c r="L355" s="21">
        <f>SUMIFS(Einzelbeträge!$D:$D,Einzelbeträge!$C:$C,'Ausgaben 2024'!$C355,Einzelbeträge!$E:$E,'Ausgaben 2024'!L$6)</f>
        <v>0</v>
      </c>
      <c r="M355" s="21">
        <f>SUMIFS(Einzelbeträge!$D:$D,Einzelbeträge!$C:$C,'Ausgaben 2024'!$C355,Einzelbeträge!$E:$E,'Ausgaben 2024'!M$6)</f>
        <v>0</v>
      </c>
      <c r="N355" s="35">
        <f>SUMIFS(Einzelbeträge!$D:$D,Einzelbeträge!$C:$C,'Ausgaben 2024'!$C355,Einzelbeträge!$E:$E,'Ausgaben 2024'!N$6)</f>
        <v>0</v>
      </c>
      <c r="O355" s="6"/>
    </row>
    <row r="356" spans="2:15" x14ac:dyDescent="0.35">
      <c r="B356" s="5"/>
      <c r="C356" s="30">
        <f t="shared" si="34"/>
        <v>45611</v>
      </c>
      <c r="D356" s="46">
        <f>SUMIFS(Einzelbeträge!$D:$D,Einzelbeträge!$C:$C,'Ausgaben 2024'!$C356)</f>
        <v>0</v>
      </c>
      <c r="E356" s="21">
        <f>SUMIFS(Einzelbeträge!$D:$D,Einzelbeträge!$C:$C,'Ausgaben 2024'!$C356,Einzelbeträge!$E:$E,'Ausgaben 2024'!E$6)</f>
        <v>0</v>
      </c>
      <c r="F356" s="21">
        <f>SUMIFS(Einzelbeträge!$D:$D,Einzelbeträge!$C:$C,'Ausgaben 2024'!$C356,Einzelbeträge!$E:$E,'Ausgaben 2024'!F$6)</f>
        <v>0</v>
      </c>
      <c r="G356" s="21">
        <f>SUMIFS(Einzelbeträge!$D:$D,Einzelbeträge!$C:$C,'Ausgaben 2024'!$C356,Einzelbeträge!$E:$E,'Ausgaben 2024'!G$6)</f>
        <v>0</v>
      </c>
      <c r="H356" s="21">
        <f>SUMIFS(Einzelbeträge!$D:$D,Einzelbeträge!$C:$C,'Ausgaben 2024'!$C356,Einzelbeträge!$E:$E,'Ausgaben 2024'!H$6)</f>
        <v>0</v>
      </c>
      <c r="I356" s="21">
        <f>SUMIFS(Einzelbeträge!$D:$D,Einzelbeträge!$C:$C,'Ausgaben 2024'!$C356,Einzelbeträge!$E:$E,'Ausgaben 2024'!I$6)</f>
        <v>0</v>
      </c>
      <c r="J356" s="21">
        <f>SUMIFS(Einzelbeträge!$D:$D,Einzelbeträge!$C:$C,'Ausgaben 2024'!$C356,Einzelbeträge!$E:$E,'Ausgaben 2024'!J$6)</f>
        <v>0</v>
      </c>
      <c r="K356" s="21">
        <f>SUMIFS(Einzelbeträge!$D:$D,Einzelbeträge!$C:$C,'Ausgaben 2024'!$C356,Einzelbeträge!$E:$E,'Ausgaben 2024'!K$6)</f>
        <v>0</v>
      </c>
      <c r="L356" s="21">
        <f>SUMIFS(Einzelbeträge!$D:$D,Einzelbeträge!$C:$C,'Ausgaben 2024'!$C356,Einzelbeträge!$E:$E,'Ausgaben 2024'!L$6)</f>
        <v>0</v>
      </c>
      <c r="M356" s="21">
        <f>SUMIFS(Einzelbeträge!$D:$D,Einzelbeträge!$C:$C,'Ausgaben 2024'!$C356,Einzelbeträge!$E:$E,'Ausgaben 2024'!M$6)</f>
        <v>0</v>
      </c>
      <c r="N356" s="35">
        <f>SUMIFS(Einzelbeträge!$D:$D,Einzelbeträge!$C:$C,'Ausgaben 2024'!$C356,Einzelbeträge!$E:$E,'Ausgaben 2024'!N$6)</f>
        <v>0</v>
      </c>
      <c r="O356" s="6"/>
    </row>
    <row r="357" spans="2:15" x14ac:dyDescent="0.35">
      <c r="B357" s="5"/>
      <c r="C357" s="30">
        <f t="shared" si="34"/>
        <v>45612</v>
      </c>
      <c r="D357" s="46">
        <f>SUMIFS(Einzelbeträge!$D:$D,Einzelbeträge!$C:$C,'Ausgaben 2024'!$C357)</f>
        <v>0</v>
      </c>
      <c r="E357" s="21">
        <f>SUMIFS(Einzelbeträge!$D:$D,Einzelbeträge!$C:$C,'Ausgaben 2024'!$C357,Einzelbeträge!$E:$E,'Ausgaben 2024'!E$6)</f>
        <v>0</v>
      </c>
      <c r="F357" s="21">
        <f>SUMIFS(Einzelbeträge!$D:$D,Einzelbeträge!$C:$C,'Ausgaben 2024'!$C357,Einzelbeträge!$E:$E,'Ausgaben 2024'!F$6)</f>
        <v>0</v>
      </c>
      <c r="G357" s="21">
        <f>SUMIFS(Einzelbeträge!$D:$D,Einzelbeträge!$C:$C,'Ausgaben 2024'!$C357,Einzelbeträge!$E:$E,'Ausgaben 2024'!G$6)</f>
        <v>0</v>
      </c>
      <c r="H357" s="21">
        <f>SUMIFS(Einzelbeträge!$D:$D,Einzelbeträge!$C:$C,'Ausgaben 2024'!$C357,Einzelbeträge!$E:$E,'Ausgaben 2024'!H$6)</f>
        <v>0</v>
      </c>
      <c r="I357" s="21">
        <f>SUMIFS(Einzelbeträge!$D:$D,Einzelbeträge!$C:$C,'Ausgaben 2024'!$C357,Einzelbeträge!$E:$E,'Ausgaben 2024'!I$6)</f>
        <v>0</v>
      </c>
      <c r="J357" s="21">
        <f>SUMIFS(Einzelbeträge!$D:$D,Einzelbeträge!$C:$C,'Ausgaben 2024'!$C357,Einzelbeträge!$E:$E,'Ausgaben 2024'!J$6)</f>
        <v>0</v>
      </c>
      <c r="K357" s="21">
        <f>SUMIFS(Einzelbeträge!$D:$D,Einzelbeträge!$C:$C,'Ausgaben 2024'!$C357,Einzelbeträge!$E:$E,'Ausgaben 2024'!K$6)</f>
        <v>0</v>
      </c>
      <c r="L357" s="21">
        <f>SUMIFS(Einzelbeträge!$D:$D,Einzelbeträge!$C:$C,'Ausgaben 2024'!$C357,Einzelbeträge!$E:$E,'Ausgaben 2024'!L$6)</f>
        <v>0</v>
      </c>
      <c r="M357" s="21">
        <f>SUMIFS(Einzelbeträge!$D:$D,Einzelbeträge!$C:$C,'Ausgaben 2024'!$C357,Einzelbeträge!$E:$E,'Ausgaben 2024'!M$6)</f>
        <v>0</v>
      </c>
      <c r="N357" s="35">
        <f>SUMIFS(Einzelbeträge!$D:$D,Einzelbeträge!$C:$C,'Ausgaben 2024'!$C357,Einzelbeträge!$E:$E,'Ausgaben 2024'!N$6)</f>
        <v>0</v>
      </c>
      <c r="O357" s="6"/>
    </row>
    <row r="358" spans="2:15" x14ac:dyDescent="0.35">
      <c r="B358" s="5"/>
      <c r="C358" s="30">
        <f t="shared" si="34"/>
        <v>45613</v>
      </c>
      <c r="D358" s="46">
        <f>SUMIFS(Einzelbeträge!$D:$D,Einzelbeträge!$C:$C,'Ausgaben 2024'!$C358)</f>
        <v>0</v>
      </c>
      <c r="E358" s="21">
        <f>SUMIFS(Einzelbeträge!$D:$D,Einzelbeträge!$C:$C,'Ausgaben 2024'!$C358,Einzelbeträge!$E:$E,'Ausgaben 2024'!E$6)</f>
        <v>0</v>
      </c>
      <c r="F358" s="21">
        <f>SUMIFS(Einzelbeträge!$D:$D,Einzelbeträge!$C:$C,'Ausgaben 2024'!$C358,Einzelbeträge!$E:$E,'Ausgaben 2024'!F$6)</f>
        <v>0</v>
      </c>
      <c r="G358" s="21">
        <f>SUMIFS(Einzelbeträge!$D:$D,Einzelbeträge!$C:$C,'Ausgaben 2024'!$C358,Einzelbeträge!$E:$E,'Ausgaben 2024'!G$6)</f>
        <v>0</v>
      </c>
      <c r="H358" s="21">
        <f>SUMIFS(Einzelbeträge!$D:$D,Einzelbeträge!$C:$C,'Ausgaben 2024'!$C358,Einzelbeträge!$E:$E,'Ausgaben 2024'!H$6)</f>
        <v>0</v>
      </c>
      <c r="I358" s="21">
        <f>SUMIFS(Einzelbeträge!$D:$D,Einzelbeträge!$C:$C,'Ausgaben 2024'!$C358,Einzelbeträge!$E:$E,'Ausgaben 2024'!I$6)</f>
        <v>0</v>
      </c>
      <c r="J358" s="21">
        <f>SUMIFS(Einzelbeträge!$D:$D,Einzelbeträge!$C:$C,'Ausgaben 2024'!$C358,Einzelbeträge!$E:$E,'Ausgaben 2024'!J$6)</f>
        <v>0</v>
      </c>
      <c r="K358" s="21">
        <f>SUMIFS(Einzelbeträge!$D:$D,Einzelbeträge!$C:$C,'Ausgaben 2024'!$C358,Einzelbeträge!$E:$E,'Ausgaben 2024'!K$6)</f>
        <v>0</v>
      </c>
      <c r="L358" s="21">
        <f>SUMIFS(Einzelbeträge!$D:$D,Einzelbeträge!$C:$C,'Ausgaben 2024'!$C358,Einzelbeträge!$E:$E,'Ausgaben 2024'!L$6)</f>
        <v>0</v>
      </c>
      <c r="M358" s="21">
        <f>SUMIFS(Einzelbeträge!$D:$D,Einzelbeträge!$C:$C,'Ausgaben 2024'!$C358,Einzelbeträge!$E:$E,'Ausgaben 2024'!M$6)</f>
        <v>0</v>
      </c>
      <c r="N358" s="35">
        <f>SUMIFS(Einzelbeträge!$D:$D,Einzelbeträge!$C:$C,'Ausgaben 2024'!$C358,Einzelbeträge!$E:$E,'Ausgaben 2024'!N$6)</f>
        <v>0</v>
      </c>
      <c r="O358" s="6"/>
    </row>
    <row r="359" spans="2:15" x14ac:dyDescent="0.35">
      <c r="B359" s="5"/>
      <c r="C359" s="30">
        <f t="shared" si="34"/>
        <v>45614</v>
      </c>
      <c r="D359" s="46">
        <f>SUMIFS(Einzelbeträge!$D:$D,Einzelbeträge!$C:$C,'Ausgaben 2024'!$C359)</f>
        <v>0</v>
      </c>
      <c r="E359" s="21">
        <f>SUMIFS(Einzelbeträge!$D:$D,Einzelbeträge!$C:$C,'Ausgaben 2024'!$C359,Einzelbeträge!$E:$E,'Ausgaben 2024'!E$6)</f>
        <v>0</v>
      </c>
      <c r="F359" s="21">
        <f>SUMIFS(Einzelbeträge!$D:$D,Einzelbeträge!$C:$C,'Ausgaben 2024'!$C359,Einzelbeträge!$E:$E,'Ausgaben 2024'!F$6)</f>
        <v>0</v>
      </c>
      <c r="G359" s="21">
        <f>SUMIFS(Einzelbeträge!$D:$D,Einzelbeträge!$C:$C,'Ausgaben 2024'!$C359,Einzelbeträge!$E:$E,'Ausgaben 2024'!G$6)</f>
        <v>0</v>
      </c>
      <c r="H359" s="21">
        <f>SUMIFS(Einzelbeträge!$D:$D,Einzelbeträge!$C:$C,'Ausgaben 2024'!$C359,Einzelbeträge!$E:$E,'Ausgaben 2024'!H$6)</f>
        <v>0</v>
      </c>
      <c r="I359" s="21">
        <f>SUMIFS(Einzelbeträge!$D:$D,Einzelbeträge!$C:$C,'Ausgaben 2024'!$C359,Einzelbeträge!$E:$E,'Ausgaben 2024'!I$6)</f>
        <v>0</v>
      </c>
      <c r="J359" s="21">
        <f>SUMIFS(Einzelbeträge!$D:$D,Einzelbeträge!$C:$C,'Ausgaben 2024'!$C359,Einzelbeträge!$E:$E,'Ausgaben 2024'!J$6)</f>
        <v>0</v>
      </c>
      <c r="K359" s="21">
        <f>SUMIFS(Einzelbeträge!$D:$D,Einzelbeträge!$C:$C,'Ausgaben 2024'!$C359,Einzelbeträge!$E:$E,'Ausgaben 2024'!K$6)</f>
        <v>0</v>
      </c>
      <c r="L359" s="21">
        <f>SUMIFS(Einzelbeträge!$D:$D,Einzelbeträge!$C:$C,'Ausgaben 2024'!$C359,Einzelbeträge!$E:$E,'Ausgaben 2024'!L$6)</f>
        <v>0</v>
      </c>
      <c r="M359" s="21">
        <f>SUMIFS(Einzelbeträge!$D:$D,Einzelbeträge!$C:$C,'Ausgaben 2024'!$C359,Einzelbeträge!$E:$E,'Ausgaben 2024'!M$6)</f>
        <v>0</v>
      </c>
      <c r="N359" s="35">
        <f>SUMIFS(Einzelbeträge!$D:$D,Einzelbeträge!$C:$C,'Ausgaben 2024'!$C359,Einzelbeträge!$E:$E,'Ausgaben 2024'!N$6)</f>
        <v>0</v>
      </c>
      <c r="O359" s="6"/>
    </row>
    <row r="360" spans="2:15" x14ac:dyDescent="0.35">
      <c r="B360" s="5"/>
      <c r="C360" s="30">
        <f t="shared" si="34"/>
        <v>45615</v>
      </c>
      <c r="D360" s="46">
        <f>SUMIFS(Einzelbeträge!$D:$D,Einzelbeträge!$C:$C,'Ausgaben 2024'!$C360)</f>
        <v>0</v>
      </c>
      <c r="E360" s="21">
        <f>SUMIFS(Einzelbeträge!$D:$D,Einzelbeträge!$C:$C,'Ausgaben 2024'!$C360,Einzelbeträge!$E:$E,'Ausgaben 2024'!E$6)</f>
        <v>0</v>
      </c>
      <c r="F360" s="21">
        <f>SUMIFS(Einzelbeträge!$D:$D,Einzelbeträge!$C:$C,'Ausgaben 2024'!$C360,Einzelbeträge!$E:$E,'Ausgaben 2024'!F$6)</f>
        <v>0</v>
      </c>
      <c r="G360" s="21">
        <f>SUMIFS(Einzelbeträge!$D:$D,Einzelbeträge!$C:$C,'Ausgaben 2024'!$C360,Einzelbeträge!$E:$E,'Ausgaben 2024'!G$6)</f>
        <v>0</v>
      </c>
      <c r="H360" s="21">
        <f>SUMIFS(Einzelbeträge!$D:$D,Einzelbeträge!$C:$C,'Ausgaben 2024'!$C360,Einzelbeträge!$E:$E,'Ausgaben 2024'!H$6)</f>
        <v>0</v>
      </c>
      <c r="I360" s="21">
        <f>SUMIFS(Einzelbeträge!$D:$D,Einzelbeträge!$C:$C,'Ausgaben 2024'!$C360,Einzelbeträge!$E:$E,'Ausgaben 2024'!I$6)</f>
        <v>0</v>
      </c>
      <c r="J360" s="21">
        <f>SUMIFS(Einzelbeträge!$D:$D,Einzelbeträge!$C:$C,'Ausgaben 2024'!$C360,Einzelbeträge!$E:$E,'Ausgaben 2024'!J$6)</f>
        <v>0</v>
      </c>
      <c r="K360" s="21">
        <f>SUMIFS(Einzelbeträge!$D:$D,Einzelbeträge!$C:$C,'Ausgaben 2024'!$C360,Einzelbeträge!$E:$E,'Ausgaben 2024'!K$6)</f>
        <v>0</v>
      </c>
      <c r="L360" s="21">
        <f>SUMIFS(Einzelbeträge!$D:$D,Einzelbeträge!$C:$C,'Ausgaben 2024'!$C360,Einzelbeträge!$E:$E,'Ausgaben 2024'!L$6)</f>
        <v>0</v>
      </c>
      <c r="M360" s="21">
        <f>SUMIFS(Einzelbeträge!$D:$D,Einzelbeträge!$C:$C,'Ausgaben 2024'!$C360,Einzelbeträge!$E:$E,'Ausgaben 2024'!M$6)</f>
        <v>0</v>
      </c>
      <c r="N360" s="35">
        <f>SUMIFS(Einzelbeträge!$D:$D,Einzelbeträge!$C:$C,'Ausgaben 2024'!$C360,Einzelbeträge!$E:$E,'Ausgaben 2024'!N$6)</f>
        <v>0</v>
      </c>
      <c r="O360" s="6"/>
    </row>
    <row r="361" spans="2:15" x14ac:dyDescent="0.35">
      <c r="B361" s="5"/>
      <c r="C361" s="30">
        <f t="shared" si="34"/>
        <v>45616</v>
      </c>
      <c r="D361" s="46">
        <f>SUMIFS(Einzelbeträge!$D:$D,Einzelbeträge!$C:$C,'Ausgaben 2024'!$C361)</f>
        <v>0</v>
      </c>
      <c r="E361" s="21">
        <f>SUMIFS(Einzelbeträge!$D:$D,Einzelbeträge!$C:$C,'Ausgaben 2024'!$C361,Einzelbeträge!$E:$E,'Ausgaben 2024'!E$6)</f>
        <v>0</v>
      </c>
      <c r="F361" s="21">
        <f>SUMIFS(Einzelbeträge!$D:$D,Einzelbeträge!$C:$C,'Ausgaben 2024'!$C361,Einzelbeträge!$E:$E,'Ausgaben 2024'!F$6)</f>
        <v>0</v>
      </c>
      <c r="G361" s="21">
        <f>SUMIFS(Einzelbeträge!$D:$D,Einzelbeträge!$C:$C,'Ausgaben 2024'!$C361,Einzelbeträge!$E:$E,'Ausgaben 2024'!G$6)</f>
        <v>0</v>
      </c>
      <c r="H361" s="21">
        <f>SUMIFS(Einzelbeträge!$D:$D,Einzelbeträge!$C:$C,'Ausgaben 2024'!$C361,Einzelbeträge!$E:$E,'Ausgaben 2024'!H$6)</f>
        <v>0</v>
      </c>
      <c r="I361" s="21">
        <f>SUMIFS(Einzelbeträge!$D:$D,Einzelbeträge!$C:$C,'Ausgaben 2024'!$C361,Einzelbeträge!$E:$E,'Ausgaben 2024'!I$6)</f>
        <v>0</v>
      </c>
      <c r="J361" s="21">
        <f>SUMIFS(Einzelbeträge!$D:$D,Einzelbeträge!$C:$C,'Ausgaben 2024'!$C361,Einzelbeträge!$E:$E,'Ausgaben 2024'!J$6)</f>
        <v>0</v>
      </c>
      <c r="K361" s="21">
        <f>SUMIFS(Einzelbeträge!$D:$D,Einzelbeträge!$C:$C,'Ausgaben 2024'!$C361,Einzelbeträge!$E:$E,'Ausgaben 2024'!K$6)</f>
        <v>0</v>
      </c>
      <c r="L361" s="21">
        <f>SUMIFS(Einzelbeträge!$D:$D,Einzelbeträge!$C:$C,'Ausgaben 2024'!$C361,Einzelbeträge!$E:$E,'Ausgaben 2024'!L$6)</f>
        <v>0</v>
      </c>
      <c r="M361" s="21">
        <f>SUMIFS(Einzelbeträge!$D:$D,Einzelbeträge!$C:$C,'Ausgaben 2024'!$C361,Einzelbeträge!$E:$E,'Ausgaben 2024'!M$6)</f>
        <v>0</v>
      </c>
      <c r="N361" s="35">
        <f>SUMIFS(Einzelbeträge!$D:$D,Einzelbeträge!$C:$C,'Ausgaben 2024'!$C361,Einzelbeträge!$E:$E,'Ausgaben 2024'!N$6)</f>
        <v>0</v>
      </c>
      <c r="O361" s="6"/>
    </row>
    <row r="362" spans="2:15" x14ac:dyDescent="0.35">
      <c r="B362" s="5"/>
      <c r="C362" s="30">
        <f t="shared" si="34"/>
        <v>45617</v>
      </c>
      <c r="D362" s="46">
        <f>SUMIFS(Einzelbeträge!$D:$D,Einzelbeträge!$C:$C,'Ausgaben 2024'!$C362)</f>
        <v>0</v>
      </c>
      <c r="E362" s="21">
        <f>SUMIFS(Einzelbeträge!$D:$D,Einzelbeträge!$C:$C,'Ausgaben 2024'!$C362,Einzelbeträge!$E:$E,'Ausgaben 2024'!E$6)</f>
        <v>0</v>
      </c>
      <c r="F362" s="21">
        <f>SUMIFS(Einzelbeträge!$D:$D,Einzelbeträge!$C:$C,'Ausgaben 2024'!$C362,Einzelbeträge!$E:$E,'Ausgaben 2024'!F$6)</f>
        <v>0</v>
      </c>
      <c r="G362" s="21">
        <f>SUMIFS(Einzelbeträge!$D:$D,Einzelbeträge!$C:$C,'Ausgaben 2024'!$C362,Einzelbeträge!$E:$E,'Ausgaben 2024'!G$6)</f>
        <v>0</v>
      </c>
      <c r="H362" s="21">
        <f>SUMIFS(Einzelbeträge!$D:$D,Einzelbeträge!$C:$C,'Ausgaben 2024'!$C362,Einzelbeträge!$E:$E,'Ausgaben 2024'!H$6)</f>
        <v>0</v>
      </c>
      <c r="I362" s="21">
        <f>SUMIFS(Einzelbeträge!$D:$D,Einzelbeträge!$C:$C,'Ausgaben 2024'!$C362,Einzelbeträge!$E:$E,'Ausgaben 2024'!I$6)</f>
        <v>0</v>
      </c>
      <c r="J362" s="21">
        <f>SUMIFS(Einzelbeträge!$D:$D,Einzelbeträge!$C:$C,'Ausgaben 2024'!$C362,Einzelbeträge!$E:$E,'Ausgaben 2024'!J$6)</f>
        <v>0</v>
      </c>
      <c r="K362" s="21">
        <f>SUMIFS(Einzelbeträge!$D:$D,Einzelbeträge!$C:$C,'Ausgaben 2024'!$C362,Einzelbeträge!$E:$E,'Ausgaben 2024'!K$6)</f>
        <v>0</v>
      </c>
      <c r="L362" s="21">
        <f>SUMIFS(Einzelbeträge!$D:$D,Einzelbeträge!$C:$C,'Ausgaben 2024'!$C362,Einzelbeträge!$E:$E,'Ausgaben 2024'!L$6)</f>
        <v>0</v>
      </c>
      <c r="M362" s="21">
        <f>SUMIFS(Einzelbeträge!$D:$D,Einzelbeträge!$C:$C,'Ausgaben 2024'!$C362,Einzelbeträge!$E:$E,'Ausgaben 2024'!M$6)</f>
        <v>0</v>
      </c>
      <c r="N362" s="35">
        <f>SUMIFS(Einzelbeträge!$D:$D,Einzelbeträge!$C:$C,'Ausgaben 2024'!$C362,Einzelbeträge!$E:$E,'Ausgaben 2024'!N$6)</f>
        <v>0</v>
      </c>
      <c r="O362" s="6"/>
    </row>
    <row r="363" spans="2:15" x14ac:dyDescent="0.35">
      <c r="B363" s="5"/>
      <c r="C363" s="30">
        <f t="shared" si="34"/>
        <v>45618</v>
      </c>
      <c r="D363" s="46">
        <f>SUMIFS(Einzelbeträge!$D:$D,Einzelbeträge!$C:$C,'Ausgaben 2024'!$C363)</f>
        <v>0</v>
      </c>
      <c r="E363" s="21">
        <f>SUMIFS(Einzelbeträge!$D:$D,Einzelbeträge!$C:$C,'Ausgaben 2024'!$C363,Einzelbeträge!$E:$E,'Ausgaben 2024'!E$6)</f>
        <v>0</v>
      </c>
      <c r="F363" s="21">
        <f>SUMIFS(Einzelbeträge!$D:$D,Einzelbeträge!$C:$C,'Ausgaben 2024'!$C363,Einzelbeträge!$E:$E,'Ausgaben 2024'!F$6)</f>
        <v>0</v>
      </c>
      <c r="G363" s="21">
        <f>SUMIFS(Einzelbeträge!$D:$D,Einzelbeträge!$C:$C,'Ausgaben 2024'!$C363,Einzelbeträge!$E:$E,'Ausgaben 2024'!G$6)</f>
        <v>0</v>
      </c>
      <c r="H363" s="21">
        <f>SUMIFS(Einzelbeträge!$D:$D,Einzelbeträge!$C:$C,'Ausgaben 2024'!$C363,Einzelbeträge!$E:$E,'Ausgaben 2024'!H$6)</f>
        <v>0</v>
      </c>
      <c r="I363" s="21">
        <f>SUMIFS(Einzelbeträge!$D:$D,Einzelbeträge!$C:$C,'Ausgaben 2024'!$C363,Einzelbeträge!$E:$E,'Ausgaben 2024'!I$6)</f>
        <v>0</v>
      </c>
      <c r="J363" s="21">
        <f>SUMIFS(Einzelbeträge!$D:$D,Einzelbeträge!$C:$C,'Ausgaben 2024'!$C363,Einzelbeträge!$E:$E,'Ausgaben 2024'!J$6)</f>
        <v>0</v>
      </c>
      <c r="K363" s="21">
        <f>SUMIFS(Einzelbeträge!$D:$D,Einzelbeträge!$C:$C,'Ausgaben 2024'!$C363,Einzelbeträge!$E:$E,'Ausgaben 2024'!K$6)</f>
        <v>0</v>
      </c>
      <c r="L363" s="21">
        <f>SUMIFS(Einzelbeträge!$D:$D,Einzelbeträge!$C:$C,'Ausgaben 2024'!$C363,Einzelbeträge!$E:$E,'Ausgaben 2024'!L$6)</f>
        <v>0</v>
      </c>
      <c r="M363" s="21">
        <f>SUMIFS(Einzelbeträge!$D:$D,Einzelbeträge!$C:$C,'Ausgaben 2024'!$C363,Einzelbeträge!$E:$E,'Ausgaben 2024'!M$6)</f>
        <v>0</v>
      </c>
      <c r="N363" s="35">
        <f>SUMIFS(Einzelbeträge!$D:$D,Einzelbeträge!$C:$C,'Ausgaben 2024'!$C363,Einzelbeträge!$E:$E,'Ausgaben 2024'!N$6)</f>
        <v>0</v>
      </c>
      <c r="O363" s="6"/>
    </row>
    <row r="364" spans="2:15" x14ac:dyDescent="0.35">
      <c r="B364" s="5"/>
      <c r="C364" s="30">
        <f t="shared" si="34"/>
        <v>45619</v>
      </c>
      <c r="D364" s="46">
        <f>SUMIFS(Einzelbeträge!$D:$D,Einzelbeträge!$C:$C,'Ausgaben 2024'!$C364)</f>
        <v>0</v>
      </c>
      <c r="E364" s="21">
        <f>SUMIFS(Einzelbeträge!$D:$D,Einzelbeträge!$C:$C,'Ausgaben 2024'!$C364,Einzelbeträge!$E:$E,'Ausgaben 2024'!E$6)</f>
        <v>0</v>
      </c>
      <c r="F364" s="21">
        <f>SUMIFS(Einzelbeträge!$D:$D,Einzelbeträge!$C:$C,'Ausgaben 2024'!$C364,Einzelbeträge!$E:$E,'Ausgaben 2024'!F$6)</f>
        <v>0</v>
      </c>
      <c r="G364" s="21">
        <f>SUMIFS(Einzelbeträge!$D:$D,Einzelbeträge!$C:$C,'Ausgaben 2024'!$C364,Einzelbeträge!$E:$E,'Ausgaben 2024'!G$6)</f>
        <v>0</v>
      </c>
      <c r="H364" s="21">
        <f>SUMIFS(Einzelbeträge!$D:$D,Einzelbeträge!$C:$C,'Ausgaben 2024'!$C364,Einzelbeträge!$E:$E,'Ausgaben 2024'!H$6)</f>
        <v>0</v>
      </c>
      <c r="I364" s="21">
        <f>SUMIFS(Einzelbeträge!$D:$D,Einzelbeträge!$C:$C,'Ausgaben 2024'!$C364,Einzelbeträge!$E:$E,'Ausgaben 2024'!I$6)</f>
        <v>0</v>
      </c>
      <c r="J364" s="21">
        <f>SUMIFS(Einzelbeträge!$D:$D,Einzelbeträge!$C:$C,'Ausgaben 2024'!$C364,Einzelbeträge!$E:$E,'Ausgaben 2024'!J$6)</f>
        <v>0</v>
      </c>
      <c r="K364" s="21">
        <f>SUMIFS(Einzelbeträge!$D:$D,Einzelbeträge!$C:$C,'Ausgaben 2024'!$C364,Einzelbeträge!$E:$E,'Ausgaben 2024'!K$6)</f>
        <v>0</v>
      </c>
      <c r="L364" s="21">
        <f>SUMIFS(Einzelbeträge!$D:$D,Einzelbeträge!$C:$C,'Ausgaben 2024'!$C364,Einzelbeträge!$E:$E,'Ausgaben 2024'!L$6)</f>
        <v>0</v>
      </c>
      <c r="M364" s="21">
        <f>SUMIFS(Einzelbeträge!$D:$D,Einzelbeträge!$C:$C,'Ausgaben 2024'!$C364,Einzelbeträge!$E:$E,'Ausgaben 2024'!M$6)</f>
        <v>0</v>
      </c>
      <c r="N364" s="35">
        <f>SUMIFS(Einzelbeträge!$D:$D,Einzelbeträge!$C:$C,'Ausgaben 2024'!$C364,Einzelbeträge!$E:$E,'Ausgaben 2024'!N$6)</f>
        <v>0</v>
      </c>
      <c r="O364" s="6"/>
    </row>
    <row r="365" spans="2:15" x14ac:dyDescent="0.35">
      <c r="B365" s="5"/>
      <c r="C365" s="30">
        <f t="shared" si="34"/>
        <v>45620</v>
      </c>
      <c r="D365" s="46">
        <f>SUMIFS(Einzelbeträge!$D:$D,Einzelbeträge!$C:$C,'Ausgaben 2024'!$C365)</f>
        <v>0</v>
      </c>
      <c r="E365" s="21">
        <f>SUMIFS(Einzelbeträge!$D:$D,Einzelbeträge!$C:$C,'Ausgaben 2024'!$C365,Einzelbeträge!$E:$E,'Ausgaben 2024'!E$6)</f>
        <v>0</v>
      </c>
      <c r="F365" s="21">
        <f>SUMIFS(Einzelbeträge!$D:$D,Einzelbeträge!$C:$C,'Ausgaben 2024'!$C365,Einzelbeträge!$E:$E,'Ausgaben 2024'!F$6)</f>
        <v>0</v>
      </c>
      <c r="G365" s="21">
        <f>SUMIFS(Einzelbeträge!$D:$D,Einzelbeträge!$C:$C,'Ausgaben 2024'!$C365,Einzelbeträge!$E:$E,'Ausgaben 2024'!G$6)</f>
        <v>0</v>
      </c>
      <c r="H365" s="21">
        <f>SUMIFS(Einzelbeträge!$D:$D,Einzelbeträge!$C:$C,'Ausgaben 2024'!$C365,Einzelbeträge!$E:$E,'Ausgaben 2024'!H$6)</f>
        <v>0</v>
      </c>
      <c r="I365" s="21">
        <f>SUMIFS(Einzelbeträge!$D:$D,Einzelbeträge!$C:$C,'Ausgaben 2024'!$C365,Einzelbeträge!$E:$E,'Ausgaben 2024'!I$6)</f>
        <v>0</v>
      </c>
      <c r="J365" s="21">
        <f>SUMIFS(Einzelbeträge!$D:$D,Einzelbeträge!$C:$C,'Ausgaben 2024'!$C365,Einzelbeträge!$E:$E,'Ausgaben 2024'!J$6)</f>
        <v>0</v>
      </c>
      <c r="K365" s="21">
        <f>SUMIFS(Einzelbeträge!$D:$D,Einzelbeträge!$C:$C,'Ausgaben 2024'!$C365,Einzelbeträge!$E:$E,'Ausgaben 2024'!K$6)</f>
        <v>0</v>
      </c>
      <c r="L365" s="21">
        <f>SUMIFS(Einzelbeträge!$D:$D,Einzelbeträge!$C:$C,'Ausgaben 2024'!$C365,Einzelbeträge!$E:$E,'Ausgaben 2024'!L$6)</f>
        <v>0</v>
      </c>
      <c r="M365" s="21">
        <f>SUMIFS(Einzelbeträge!$D:$D,Einzelbeträge!$C:$C,'Ausgaben 2024'!$C365,Einzelbeträge!$E:$E,'Ausgaben 2024'!M$6)</f>
        <v>0</v>
      </c>
      <c r="N365" s="35">
        <f>SUMIFS(Einzelbeträge!$D:$D,Einzelbeträge!$C:$C,'Ausgaben 2024'!$C365,Einzelbeträge!$E:$E,'Ausgaben 2024'!N$6)</f>
        <v>0</v>
      </c>
      <c r="O365" s="6"/>
    </row>
    <row r="366" spans="2:15" x14ac:dyDescent="0.35">
      <c r="B366" s="5"/>
      <c r="C366" s="30">
        <f t="shared" si="34"/>
        <v>45621</v>
      </c>
      <c r="D366" s="46">
        <f>SUMIFS(Einzelbeträge!$D:$D,Einzelbeträge!$C:$C,'Ausgaben 2024'!$C366)</f>
        <v>0</v>
      </c>
      <c r="E366" s="21">
        <f>SUMIFS(Einzelbeträge!$D:$D,Einzelbeträge!$C:$C,'Ausgaben 2024'!$C366,Einzelbeträge!$E:$E,'Ausgaben 2024'!E$6)</f>
        <v>0</v>
      </c>
      <c r="F366" s="21">
        <f>SUMIFS(Einzelbeträge!$D:$D,Einzelbeträge!$C:$C,'Ausgaben 2024'!$C366,Einzelbeträge!$E:$E,'Ausgaben 2024'!F$6)</f>
        <v>0</v>
      </c>
      <c r="G366" s="21">
        <f>SUMIFS(Einzelbeträge!$D:$D,Einzelbeträge!$C:$C,'Ausgaben 2024'!$C366,Einzelbeträge!$E:$E,'Ausgaben 2024'!G$6)</f>
        <v>0</v>
      </c>
      <c r="H366" s="21">
        <f>SUMIFS(Einzelbeträge!$D:$D,Einzelbeträge!$C:$C,'Ausgaben 2024'!$C366,Einzelbeträge!$E:$E,'Ausgaben 2024'!H$6)</f>
        <v>0</v>
      </c>
      <c r="I366" s="21">
        <f>SUMIFS(Einzelbeträge!$D:$D,Einzelbeträge!$C:$C,'Ausgaben 2024'!$C366,Einzelbeträge!$E:$E,'Ausgaben 2024'!I$6)</f>
        <v>0</v>
      </c>
      <c r="J366" s="21">
        <f>SUMIFS(Einzelbeträge!$D:$D,Einzelbeträge!$C:$C,'Ausgaben 2024'!$C366,Einzelbeträge!$E:$E,'Ausgaben 2024'!J$6)</f>
        <v>0</v>
      </c>
      <c r="K366" s="21">
        <f>SUMIFS(Einzelbeträge!$D:$D,Einzelbeträge!$C:$C,'Ausgaben 2024'!$C366,Einzelbeträge!$E:$E,'Ausgaben 2024'!K$6)</f>
        <v>0</v>
      </c>
      <c r="L366" s="21">
        <f>SUMIFS(Einzelbeträge!$D:$D,Einzelbeträge!$C:$C,'Ausgaben 2024'!$C366,Einzelbeträge!$E:$E,'Ausgaben 2024'!L$6)</f>
        <v>0</v>
      </c>
      <c r="M366" s="21">
        <f>SUMIFS(Einzelbeträge!$D:$D,Einzelbeträge!$C:$C,'Ausgaben 2024'!$C366,Einzelbeträge!$E:$E,'Ausgaben 2024'!M$6)</f>
        <v>0</v>
      </c>
      <c r="N366" s="35">
        <f>SUMIFS(Einzelbeträge!$D:$D,Einzelbeträge!$C:$C,'Ausgaben 2024'!$C366,Einzelbeträge!$E:$E,'Ausgaben 2024'!N$6)</f>
        <v>0</v>
      </c>
      <c r="O366" s="6"/>
    </row>
    <row r="367" spans="2:15" x14ac:dyDescent="0.35">
      <c r="B367" s="5"/>
      <c r="C367" s="30">
        <f t="shared" si="34"/>
        <v>45622</v>
      </c>
      <c r="D367" s="46">
        <f>SUMIFS(Einzelbeträge!$D:$D,Einzelbeträge!$C:$C,'Ausgaben 2024'!$C367)</f>
        <v>0</v>
      </c>
      <c r="E367" s="21">
        <f>SUMIFS(Einzelbeträge!$D:$D,Einzelbeträge!$C:$C,'Ausgaben 2024'!$C367,Einzelbeträge!$E:$E,'Ausgaben 2024'!E$6)</f>
        <v>0</v>
      </c>
      <c r="F367" s="21">
        <f>SUMIFS(Einzelbeträge!$D:$D,Einzelbeträge!$C:$C,'Ausgaben 2024'!$C367,Einzelbeträge!$E:$E,'Ausgaben 2024'!F$6)</f>
        <v>0</v>
      </c>
      <c r="G367" s="21">
        <f>SUMIFS(Einzelbeträge!$D:$D,Einzelbeträge!$C:$C,'Ausgaben 2024'!$C367,Einzelbeträge!$E:$E,'Ausgaben 2024'!G$6)</f>
        <v>0</v>
      </c>
      <c r="H367" s="21">
        <f>SUMIFS(Einzelbeträge!$D:$D,Einzelbeträge!$C:$C,'Ausgaben 2024'!$C367,Einzelbeträge!$E:$E,'Ausgaben 2024'!H$6)</f>
        <v>0</v>
      </c>
      <c r="I367" s="21">
        <f>SUMIFS(Einzelbeträge!$D:$D,Einzelbeträge!$C:$C,'Ausgaben 2024'!$C367,Einzelbeträge!$E:$E,'Ausgaben 2024'!I$6)</f>
        <v>0</v>
      </c>
      <c r="J367" s="21">
        <f>SUMIFS(Einzelbeträge!$D:$D,Einzelbeträge!$C:$C,'Ausgaben 2024'!$C367,Einzelbeträge!$E:$E,'Ausgaben 2024'!J$6)</f>
        <v>0</v>
      </c>
      <c r="K367" s="21">
        <f>SUMIFS(Einzelbeträge!$D:$D,Einzelbeträge!$C:$C,'Ausgaben 2024'!$C367,Einzelbeträge!$E:$E,'Ausgaben 2024'!K$6)</f>
        <v>0</v>
      </c>
      <c r="L367" s="21">
        <f>SUMIFS(Einzelbeträge!$D:$D,Einzelbeträge!$C:$C,'Ausgaben 2024'!$C367,Einzelbeträge!$E:$E,'Ausgaben 2024'!L$6)</f>
        <v>0</v>
      </c>
      <c r="M367" s="21">
        <f>SUMIFS(Einzelbeträge!$D:$D,Einzelbeträge!$C:$C,'Ausgaben 2024'!$C367,Einzelbeträge!$E:$E,'Ausgaben 2024'!M$6)</f>
        <v>0</v>
      </c>
      <c r="N367" s="35">
        <f>SUMIFS(Einzelbeträge!$D:$D,Einzelbeträge!$C:$C,'Ausgaben 2024'!$C367,Einzelbeträge!$E:$E,'Ausgaben 2024'!N$6)</f>
        <v>0</v>
      </c>
      <c r="O367" s="6"/>
    </row>
    <row r="368" spans="2:15" x14ac:dyDescent="0.35">
      <c r="B368" s="5"/>
      <c r="C368" s="30">
        <f t="shared" si="34"/>
        <v>45623</v>
      </c>
      <c r="D368" s="46">
        <f>SUMIFS(Einzelbeträge!$D:$D,Einzelbeträge!$C:$C,'Ausgaben 2024'!$C368)</f>
        <v>0</v>
      </c>
      <c r="E368" s="21">
        <f>SUMIFS(Einzelbeträge!$D:$D,Einzelbeträge!$C:$C,'Ausgaben 2024'!$C368,Einzelbeträge!$E:$E,'Ausgaben 2024'!E$6)</f>
        <v>0</v>
      </c>
      <c r="F368" s="21">
        <f>SUMIFS(Einzelbeträge!$D:$D,Einzelbeträge!$C:$C,'Ausgaben 2024'!$C368,Einzelbeträge!$E:$E,'Ausgaben 2024'!F$6)</f>
        <v>0</v>
      </c>
      <c r="G368" s="21">
        <f>SUMIFS(Einzelbeträge!$D:$D,Einzelbeträge!$C:$C,'Ausgaben 2024'!$C368,Einzelbeträge!$E:$E,'Ausgaben 2024'!G$6)</f>
        <v>0</v>
      </c>
      <c r="H368" s="21">
        <f>SUMIFS(Einzelbeträge!$D:$D,Einzelbeträge!$C:$C,'Ausgaben 2024'!$C368,Einzelbeträge!$E:$E,'Ausgaben 2024'!H$6)</f>
        <v>0</v>
      </c>
      <c r="I368" s="21">
        <f>SUMIFS(Einzelbeträge!$D:$D,Einzelbeträge!$C:$C,'Ausgaben 2024'!$C368,Einzelbeträge!$E:$E,'Ausgaben 2024'!I$6)</f>
        <v>0</v>
      </c>
      <c r="J368" s="21">
        <f>SUMIFS(Einzelbeträge!$D:$D,Einzelbeträge!$C:$C,'Ausgaben 2024'!$C368,Einzelbeträge!$E:$E,'Ausgaben 2024'!J$6)</f>
        <v>0</v>
      </c>
      <c r="K368" s="21">
        <f>SUMIFS(Einzelbeträge!$D:$D,Einzelbeträge!$C:$C,'Ausgaben 2024'!$C368,Einzelbeträge!$E:$E,'Ausgaben 2024'!K$6)</f>
        <v>0</v>
      </c>
      <c r="L368" s="21">
        <f>SUMIFS(Einzelbeträge!$D:$D,Einzelbeträge!$C:$C,'Ausgaben 2024'!$C368,Einzelbeträge!$E:$E,'Ausgaben 2024'!L$6)</f>
        <v>0</v>
      </c>
      <c r="M368" s="21">
        <f>SUMIFS(Einzelbeträge!$D:$D,Einzelbeträge!$C:$C,'Ausgaben 2024'!$C368,Einzelbeträge!$E:$E,'Ausgaben 2024'!M$6)</f>
        <v>0</v>
      </c>
      <c r="N368" s="35">
        <f>SUMIFS(Einzelbeträge!$D:$D,Einzelbeträge!$C:$C,'Ausgaben 2024'!$C368,Einzelbeträge!$E:$E,'Ausgaben 2024'!N$6)</f>
        <v>0</v>
      </c>
      <c r="O368" s="6"/>
    </row>
    <row r="369" spans="2:15" x14ac:dyDescent="0.35">
      <c r="B369" s="5"/>
      <c r="C369" s="30">
        <f t="shared" si="34"/>
        <v>45624</v>
      </c>
      <c r="D369" s="46">
        <f>SUMIFS(Einzelbeträge!$D:$D,Einzelbeträge!$C:$C,'Ausgaben 2024'!$C369)</f>
        <v>0</v>
      </c>
      <c r="E369" s="21">
        <f>SUMIFS(Einzelbeträge!$D:$D,Einzelbeträge!$C:$C,'Ausgaben 2024'!$C369,Einzelbeträge!$E:$E,'Ausgaben 2024'!E$6)</f>
        <v>0</v>
      </c>
      <c r="F369" s="21">
        <f>SUMIFS(Einzelbeträge!$D:$D,Einzelbeträge!$C:$C,'Ausgaben 2024'!$C369,Einzelbeträge!$E:$E,'Ausgaben 2024'!F$6)</f>
        <v>0</v>
      </c>
      <c r="G369" s="21">
        <f>SUMIFS(Einzelbeträge!$D:$D,Einzelbeträge!$C:$C,'Ausgaben 2024'!$C369,Einzelbeträge!$E:$E,'Ausgaben 2024'!G$6)</f>
        <v>0</v>
      </c>
      <c r="H369" s="21">
        <f>SUMIFS(Einzelbeträge!$D:$D,Einzelbeträge!$C:$C,'Ausgaben 2024'!$C369,Einzelbeträge!$E:$E,'Ausgaben 2024'!H$6)</f>
        <v>0</v>
      </c>
      <c r="I369" s="21">
        <f>SUMIFS(Einzelbeträge!$D:$D,Einzelbeträge!$C:$C,'Ausgaben 2024'!$C369,Einzelbeträge!$E:$E,'Ausgaben 2024'!I$6)</f>
        <v>0</v>
      </c>
      <c r="J369" s="21">
        <f>SUMIFS(Einzelbeträge!$D:$D,Einzelbeträge!$C:$C,'Ausgaben 2024'!$C369,Einzelbeträge!$E:$E,'Ausgaben 2024'!J$6)</f>
        <v>0</v>
      </c>
      <c r="K369" s="21">
        <f>SUMIFS(Einzelbeträge!$D:$D,Einzelbeträge!$C:$C,'Ausgaben 2024'!$C369,Einzelbeträge!$E:$E,'Ausgaben 2024'!K$6)</f>
        <v>0</v>
      </c>
      <c r="L369" s="21">
        <f>SUMIFS(Einzelbeträge!$D:$D,Einzelbeträge!$C:$C,'Ausgaben 2024'!$C369,Einzelbeträge!$E:$E,'Ausgaben 2024'!L$6)</f>
        <v>0</v>
      </c>
      <c r="M369" s="21">
        <f>SUMIFS(Einzelbeträge!$D:$D,Einzelbeträge!$C:$C,'Ausgaben 2024'!$C369,Einzelbeträge!$E:$E,'Ausgaben 2024'!M$6)</f>
        <v>0</v>
      </c>
      <c r="N369" s="35">
        <f>SUMIFS(Einzelbeträge!$D:$D,Einzelbeträge!$C:$C,'Ausgaben 2024'!$C369,Einzelbeträge!$E:$E,'Ausgaben 2024'!N$6)</f>
        <v>0</v>
      </c>
      <c r="O369" s="6"/>
    </row>
    <row r="370" spans="2:15" x14ac:dyDescent="0.35">
      <c r="B370" s="5"/>
      <c r="C370" s="30">
        <f t="shared" si="34"/>
        <v>45625</v>
      </c>
      <c r="D370" s="46">
        <f>SUMIFS(Einzelbeträge!$D:$D,Einzelbeträge!$C:$C,'Ausgaben 2024'!$C370)</f>
        <v>0</v>
      </c>
      <c r="E370" s="21">
        <f>SUMIFS(Einzelbeträge!$D:$D,Einzelbeträge!$C:$C,'Ausgaben 2024'!$C370,Einzelbeträge!$E:$E,'Ausgaben 2024'!E$6)</f>
        <v>0</v>
      </c>
      <c r="F370" s="21">
        <f>SUMIFS(Einzelbeträge!$D:$D,Einzelbeträge!$C:$C,'Ausgaben 2024'!$C370,Einzelbeträge!$E:$E,'Ausgaben 2024'!F$6)</f>
        <v>0</v>
      </c>
      <c r="G370" s="21">
        <f>SUMIFS(Einzelbeträge!$D:$D,Einzelbeträge!$C:$C,'Ausgaben 2024'!$C370,Einzelbeträge!$E:$E,'Ausgaben 2024'!G$6)</f>
        <v>0</v>
      </c>
      <c r="H370" s="21">
        <f>SUMIFS(Einzelbeträge!$D:$D,Einzelbeträge!$C:$C,'Ausgaben 2024'!$C370,Einzelbeträge!$E:$E,'Ausgaben 2024'!H$6)</f>
        <v>0</v>
      </c>
      <c r="I370" s="21">
        <f>SUMIFS(Einzelbeträge!$D:$D,Einzelbeträge!$C:$C,'Ausgaben 2024'!$C370,Einzelbeträge!$E:$E,'Ausgaben 2024'!I$6)</f>
        <v>0</v>
      </c>
      <c r="J370" s="21">
        <f>SUMIFS(Einzelbeträge!$D:$D,Einzelbeträge!$C:$C,'Ausgaben 2024'!$C370,Einzelbeträge!$E:$E,'Ausgaben 2024'!J$6)</f>
        <v>0</v>
      </c>
      <c r="K370" s="21">
        <f>SUMIFS(Einzelbeträge!$D:$D,Einzelbeträge!$C:$C,'Ausgaben 2024'!$C370,Einzelbeträge!$E:$E,'Ausgaben 2024'!K$6)</f>
        <v>0</v>
      </c>
      <c r="L370" s="21">
        <f>SUMIFS(Einzelbeträge!$D:$D,Einzelbeträge!$C:$C,'Ausgaben 2024'!$C370,Einzelbeträge!$E:$E,'Ausgaben 2024'!L$6)</f>
        <v>0</v>
      </c>
      <c r="M370" s="21">
        <f>SUMIFS(Einzelbeträge!$D:$D,Einzelbeträge!$C:$C,'Ausgaben 2024'!$C370,Einzelbeträge!$E:$E,'Ausgaben 2024'!M$6)</f>
        <v>0</v>
      </c>
      <c r="N370" s="35">
        <f>SUMIFS(Einzelbeträge!$D:$D,Einzelbeträge!$C:$C,'Ausgaben 2024'!$C370,Einzelbeträge!$E:$E,'Ausgaben 2024'!N$6)</f>
        <v>0</v>
      </c>
      <c r="O370" s="6"/>
    </row>
    <row r="371" spans="2:15" x14ac:dyDescent="0.35">
      <c r="B371" s="5"/>
      <c r="C371" s="31">
        <f t="shared" si="34"/>
        <v>45626</v>
      </c>
      <c r="D371" s="47">
        <f>SUMIFS(Einzelbeträge!$D:$D,Einzelbeträge!$C:$C,'Ausgaben 2024'!$C371)</f>
        <v>0</v>
      </c>
      <c r="E371" s="37">
        <f>SUMIFS(Einzelbeträge!$D:$D,Einzelbeträge!$C:$C,'Ausgaben 2024'!$C371,Einzelbeträge!$E:$E,'Ausgaben 2024'!E$6)</f>
        <v>0</v>
      </c>
      <c r="F371" s="37">
        <f>SUMIFS(Einzelbeträge!$D:$D,Einzelbeträge!$C:$C,'Ausgaben 2024'!$C371,Einzelbeträge!$E:$E,'Ausgaben 2024'!F$6)</f>
        <v>0</v>
      </c>
      <c r="G371" s="37">
        <f>SUMIFS(Einzelbeträge!$D:$D,Einzelbeträge!$C:$C,'Ausgaben 2024'!$C371,Einzelbeträge!$E:$E,'Ausgaben 2024'!G$6)</f>
        <v>0</v>
      </c>
      <c r="H371" s="37">
        <f>SUMIFS(Einzelbeträge!$D:$D,Einzelbeträge!$C:$C,'Ausgaben 2024'!$C371,Einzelbeträge!$E:$E,'Ausgaben 2024'!H$6)</f>
        <v>0</v>
      </c>
      <c r="I371" s="37">
        <f>SUMIFS(Einzelbeträge!$D:$D,Einzelbeträge!$C:$C,'Ausgaben 2024'!$C371,Einzelbeträge!$E:$E,'Ausgaben 2024'!I$6)</f>
        <v>0</v>
      </c>
      <c r="J371" s="37">
        <f>SUMIFS(Einzelbeträge!$D:$D,Einzelbeträge!$C:$C,'Ausgaben 2024'!$C371,Einzelbeträge!$E:$E,'Ausgaben 2024'!J$6)</f>
        <v>0</v>
      </c>
      <c r="K371" s="37">
        <f>SUMIFS(Einzelbeträge!$D:$D,Einzelbeträge!$C:$C,'Ausgaben 2024'!$C371,Einzelbeträge!$E:$E,'Ausgaben 2024'!K$6)</f>
        <v>0</v>
      </c>
      <c r="L371" s="37">
        <f>SUMIFS(Einzelbeträge!$D:$D,Einzelbeträge!$C:$C,'Ausgaben 2024'!$C371,Einzelbeträge!$E:$E,'Ausgaben 2024'!L$6)</f>
        <v>0</v>
      </c>
      <c r="M371" s="37">
        <f>SUMIFS(Einzelbeträge!$D:$D,Einzelbeträge!$C:$C,'Ausgaben 2024'!$C371,Einzelbeträge!$E:$E,'Ausgaben 2024'!M$6)</f>
        <v>0</v>
      </c>
      <c r="N371" s="38">
        <f>SUMIFS(Einzelbeträge!$D:$D,Einzelbeträge!$C:$C,'Ausgaben 2024'!$C371,Einzelbeträge!$E:$E,'Ausgaben 2024'!N$6)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45627</v>
      </c>
      <c r="D375" s="45">
        <f>SUMIFS(Einzelbeträge!$D:$D,Einzelbeträge!$C:$C,'Ausgaben 2024'!$C375)</f>
        <v>0</v>
      </c>
      <c r="E375" s="32">
        <f>SUMIFS(Einzelbeträge!$D:$D,Einzelbeträge!$C:$C,'Ausgaben 2024'!$C375,Einzelbeträge!$E:$E,'Ausgaben 2024'!E$6)</f>
        <v>0</v>
      </c>
      <c r="F375" s="32">
        <f>SUMIFS(Einzelbeträge!$D:$D,Einzelbeträge!$C:$C,'Ausgaben 2024'!$C375,Einzelbeträge!$E:$E,'Ausgaben 2024'!F$6)</f>
        <v>0</v>
      </c>
      <c r="G375" s="32">
        <f>SUMIFS(Einzelbeträge!$D:$D,Einzelbeträge!$C:$C,'Ausgaben 2024'!$C375,Einzelbeträge!$E:$E,'Ausgaben 2024'!G$6)</f>
        <v>0</v>
      </c>
      <c r="H375" s="32">
        <f>SUMIFS(Einzelbeträge!$D:$D,Einzelbeträge!$C:$C,'Ausgaben 2024'!$C375,Einzelbeträge!$E:$E,'Ausgaben 2024'!H$6)</f>
        <v>0</v>
      </c>
      <c r="I375" s="32">
        <f>SUMIFS(Einzelbeträge!$D:$D,Einzelbeträge!$C:$C,'Ausgaben 2024'!$C375,Einzelbeträge!$E:$E,'Ausgaben 2024'!I$6)</f>
        <v>0</v>
      </c>
      <c r="J375" s="32">
        <f>SUMIFS(Einzelbeträge!$D:$D,Einzelbeträge!$C:$C,'Ausgaben 2024'!$C375,Einzelbeträge!$E:$E,'Ausgaben 2024'!J$6)</f>
        <v>0</v>
      </c>
      <c r="K375" s="32">
        <f>SUMIFS(Einzelbeträge!$D:$D,Einzelbeträge!$C:$C,'Ausgaben 2024'!$C375,Einzelbeträge!$E:$E,'Ausgaben 2024'!K$6)</f>
        <v>0</v>
      </c>
      <c r="L375" s="32">
        <f>SUMIFS(Einzelbeträge!$D:$D,Einzelbeträge!$C:$C,'Ausgaben 2024'!$C375,Einzelbeträge!$E:$E,'Ausgaben 2024'!L$6)</f>
        <v>0</v>
      </c>
      <c r="M375" s="32">
        <f>SUMIFS(Einzelbeträge!$D:$D,Einzelbeträge!$C:$C,'Ausgaben 2024'!$C375,Einzelbeträge!$E:$E,'Ausgaben 2024'!M$6)</f>
        <v>0</v>
      </c>
      <c r="N375" s="33">
        <f>SUMIFS(Einzelbeträge!$D:$D,Einzelbeträge!$C:$C,'Ausgaben 2024'!$C375,Einzelbeträge!$E:$E,'Ausgaben 2024'!N$6)</f>
        <v>0</v>
      </c>
      <c r="O375" s="6"/>
    </row>
    <row r="376" spans="2:15" x14ac:dyDescent="0.35">
      <c r="B376" s="5"/>
      <c r="C376" s="40">
        <f>C375+1</f>
        <v>45628</v>
      </c>
      <c r="D376" s="46">
        <f>SUMIFS(Einzelbeträge!$D:$D,Einzelbeträge!$C:$C,'Ausgaben 2024'!$C376)</f>
        <v>0</v>
      </c>
      <c r="E376" s="21">
        <f>SUMIFS(Einzelbeträge!$D:$D,Einzelbeträge!$C:$C,'Ausgaben 2024'!$C376,Einzelbeträge!$E:$E,'Ausgaben 2024'!E$6)</f>
        <v>0</v>
      </c>
      <c r="F376" s="21">
        <f>SUMIFS(Einzelbeträge!$D:$D,Einzelbeträge!$C:$C,'Ausgaben 2024'!$C376,Einzelbeträge!$E:$E,'Ausgaben 2024'!F$6)</f>
        <v>0</v>
      </c>
      <c r="G376" s="21">
        <f>SUMIFS(Einzelbeträge!$D:$D,Einzelbeträge!$C:$C,'Ausgaben 2024'!$C376,Einzelbeträge!$E:$E,'Ausgaben 2024'!G$6)</f>
        <v>0</v>
      </c>
      <c r="H376" s="21">
        <f>SUMIFS(Einzelbeträge!$D:$D,Einzelbeträge!$C:$C,'Ausgaben 2024'!$C376,Einzelbeträge!$E:$E,'Ausgaben 2024'!H$6)</f>
        <v>0</v>
      </c>
      <c r="I376" s="21">
        <f>SUMIFS(Einzelbeträge!$D:$D,Einzelbeträge!$C:$C,'Ausgaben 2024'!$C376,Einzelbeträge!$E:$E,'Ausgaben 2024'!I$6)</f>
        <v>0</v>
      </c>
      <c r="J376" s="21">
        <f>SUMIFS(Einzelbeträge!$D:$D,Einzelbeträge!$C:$C,'Ausgaben 2024'!$C376,Einzelbeträge!$E:$E,'Ausgaben 2024'!J$6)</f>
        <v>0</v>
      </c>
      <c r="K376" s="21">
        <f>SUMIFS(Einzelbeträge!$D:$D,Einzelbeträge!$C:$C,'Ausgaben 2024'!$C376,Einzelbeträge!$E:$E,'Ausgaben 2024'!K$6)</f>
        <v>0</v>
      </c>
      <c r="L376" s="21">
        <f>SUMIFS(Einzelbeträge!$D:$D,Einzelbeträge!$C:$C,'Ausgaben 2024'!$C376,Einzelbeträge!$E:$E,'Ausgaben 2024'!L$6)</f>
        <v>0</v>
      </c>
      <c r="M376" s="21">
        <f>SUMIFS(Einzelbeträge!$D:$D,Einzelbeträge!$C:$C,'Ausgaben 2024'!$C376,Einzelbeträge!$E:$E,'Ausgaben 2024'!M$6)</f>
        <v>0</v>
      </c>
      <c r="N376" s="35">
        <f>SUMIFS(Einzelbeträge!$D:$D,Einzelbeträge!$C:$C,'Ausgaben 2024'!$C376,Einzelbeträge!$E:$E,'Ausgaben 2024'!N$6)</f>
        <v>0</v>
      </c>
      <c r="O376" s="6"/>
    </row>
    <row r="377" spans="2:15" x14ac:dyDescent="0.35">
      <c r="B377" s="5"/>
      <c r="C377" s="40">
        <f t="shared" ref="C377:C405" si="35">C376+1</f>
        <v>45629</v>
      </c>
      <c r="D377" s="46">
        <f>SUMIFS(Einzelbeträge!$D:$D,Einzelbeträge!$C:$C,'Ausgaben 2024'!$C377)</f>
        <v>0</v>
      </c>
      <c r="E377" s="21">
        <f>SUMIFS(Einzelbeträge!$D:$D,Einzelbeträge!$C:$C,'Ausgaben 2024'!$C377,Einzelbeträge!$E:$E,'Ausgaben 2024'!E$6)</f>
        <v>0</v>
      </c>
      <c r="F377" s="21">
        <f>SUMIFS(Einzelbeträge!$D:$D,Einzelbeträge!$C:$C,'Ausgaben 2024'!$C377,Einzelbeträge!$E:$E,'Ausgaben 2024'!F$6)</f>
        <v>0</v>
      </c>
      <c r="G377" s="21">
        <f>SUMIFS(Einzelbeträge!$D:$D,Einzelbeträge!$C:$C,'Ausgaben 2024'!$C377,Einzelbeträge!$E:$E,'Ausgaben 2024'!G$6)</f>
        <v>0</v>
      </c>
      <c r="H377" s="21">
        <f>SUMIFS(Einzelbeträge!$D:$D,Einzelbeträge!$C:$C,'Ausgaben 2024'!$C377,Einzelbeträge!$E:$E,'Ausgaben 2024'!H$6)</f>
        <v>0</v>
      </c>
      <c r="I377" s="21">
        <f>SUMIFS(Einzelbeträge!$D:$D,Einzelbeträge!$C:$C,'Ausgaben 2024'!$C377,Einzelbeträge!$E:$E,'Ausgaben 2024'!I$6)</f>
        <v>0</v>
      </c>
      <c r="J377" s="21">
        <f>SUMIFS(Einzelbeträge!$D:$D,Einzelbeträge!$C:$C,'Ausgaben 2024'!$C377,Einzelbeträge!$E:$E,'Ausgaben 2024'!J$6)</f>
        <v>0</v>
      </c>
      <c r="K377" s="21">
        <f>SUMIFS(Einzelbeträge!$D:$D,Einzelbeträge!$C:$C,'Ausgaben 2024'!$C377,Einzelbeträge!$E:$E,'Ausgaben 2024'!K$6)</f>
        <v>0</v>
      </c>
      <c r="L377" s="21">
        <f>SUMIFS(Einzelbeträge!$D:$D,Einzelbeträge!$C:$C,'Ausgaben 2024'!$C377,Einzelbeträge!$E:$E,'Ausgaben 2024'!L$6)</f>
        <v>0</v>
      </c>
      <c r="M377" s="21">
        <f>SUMIFS(Einzelbeträge!$D:$D,Einzelbeträge!$C:$C,'Ausgaben 2024'!$C377,Einzelbeträge!$E:$E,'Ausgaben 2024'!M$6)</f>
        <v>0</v>
      </c>
      <c r="N377" s="35">
        <f>SUMIFS(Einzelbeträge!$D:$D,Einzelbeträge!$C:$C,'Ausgaben 2024'!$C377,Einzelbeträge!$E:$E,'Ausgaben 2024'!N$6)</f>
        <v>0</v>
      </c>
      <c r="O377" s="6"/>
    </row>
    <row r="378" spans="2:15" x14ac:dyDescent="0.35">
      <c r="B378" s="5"/>
      <c r="C378" s="40">
        <f t="shared" si="35"/>
        <v>45630</v>
      </c>
      <c r="D378" s="46">
        <f>SUMIFS(Einzelbeträge!$D:$D,Einzelbeträge!$C:$C,'Ausgaben 2024'!$C378)</f>
        <v>0</v>
      </c>
      <c r="E378" s="21">
        <f>SUMIFS(Einzelbeträge!$D:$D,Einzelbeträge!$C:$C,'Ausgaben 2024'!$C378,Einzelbeträge!$E:$E,'Ausgaben 2024'!E$6)</f>
        <v>0</v>
      </c>
      <c r="F378" s="21">
        <f>SUMIFS(Einzelbeträge!$D:$D,Einzelbeträge!$C:$C,'Ausgaben 2024'!$C378,Einzelbeträge!$E:$E,'Ausgaben 2024'!F$6)</f>
        <v>0</v>
      </c>
      <c r="G378" s="21">
        <f>SUMIFS(Einzelbeträge!$D:$D,Einzelbeträge!$C:$C,'Ausgaben 2024'!$C378,Einzelbeträge!$E:$E,'Ausgaben 2024'!G$6)</f>
        <v>0</v>
      </c>
      <c r="H378" s="21">
        <f>SUMIFS(Einzelbeträge!$D:$D,Einzelbeträge!$C:$C,'Ausgaben 2024'!$C378,Einzelbeträge!$E:$E,'Ausgaben 2024'!H$6)</f>
        <v>0</v>
      </c>
      <c r="I378" s="21">
        <f>SUMIFS(Einzelbeträge!$D:$D,Einzelbeträge!$C:$C,'Ausgaben 2024'!$C378,Einzelbeträge!$E:$E,'Ausgaben 2024'!I$6)</f>
        <v>0</v>
      </c>
      <c r="J378" s="21">
        <f>SUMIFS(Einzelbeträge!$D:$D,Einzelbeträge!$C:$C,'Ausgaben 2024'!$C378,Einzelbeträge!$E:$E,'Ausgaben 2024'!J$6)</f>
        <v>0</v>
      </c>
      <c r="K378" s="21">
        <f>SUMIFS(Einzelbeträge!$D:$D,Einzelbeträge!$C:$C,'Ausgaben 2024'!$C378,Einzelbeträge!$E:$E,'Ausgaben 2024'!K$6)</f>
        <v>0</v>
      </c>
      <c r="L378" s="21">
        <f>SUMIFS(Einzelbeträge!$D:$D,Einzelbeträge!$C:$C,'Ausgaben 2024'!$C378,Einzelbeträge!$E:$E,'Ausgaben 2024'!L$6)</f>
        <v>0</v>
      </c>
      <c r="M378" s="21">
        <f>SUMIFS(Einzelbeträge!$D:$D,Einzelbeträge!$C:$C,'Ausgaben 2024'!$C378,Einzelbeträge!$E:$E,'Ausgaben 2024'!M$6)</f>
        <v>0</v>
      </c>
      <c r="N378" s="35">
        <f>SUMIFS(Einzelbeträge!$D:$D,Einzelbeträge!$C:$C,'Ausgaben 2024'!$C378,Einzelbeträge!$E:$E,'Ausgaben 2024'!N$6)</f>
        <v>0</v>
      </c>
      <c r="O378" s="6"/>
    </row>
    <row r="379" spans="2:15" x14ac:dyDescent="0.35">
      <c r="B379" s="5"/>
      <c r="C379" s="40">
        <f t="shared" si="35"/>
        <v>45631</v>
      </c>
      <c r="D379" s="46">
        <f>SUMIFS(Einzelbeträge!$D:$D,Einzelbeträge!$C:$C,'Ausgaben 2024'!$C379)</f>
        <v>0</v>
      </c>
      <c r="E379" s="21">
        <f>SUMIFS(Einzelbeträge!$D:$D,Einzelbeträge!$C:$C,'Ausgaben 2024'!$C379,Einzelbeträge!$E:$E,'Ausgaben 2024'!E$6)</f>
        <v>0</v>
      </c>
      <c r="F379" s="21">
        <f>SUMIFS(Einzelbeträge!$D:$D,Einzelbeträge!$C:$C,'Ausgaben 2024'!$C379,Einzelbeträge!$E:$E,'Ausgaben 2024'!F$6)</f>
        <v>0</v>
      </c>
      <c r="G379" s="21">
        <f>SUMIFS(Einzelbeträge!$D:$D,Einzelbeträge!$C:$C,'Ausgaben 2024'!$C379,Einzelbeträge!$E:$E,'Ausgaben 2024'!G$6)</f>
        <v>0</v>
      </c>
      <c r="H379" s="21">
        <f>SUMIFS(Einzelbeträge!$D:$D,Einzelbeträge!$C:$C,'Ausgaben 2024'!$C379,Einzelbeträge!$E:$E,'Ausgaben 2024'!H$6)</f>
        <v>0</v>
      </c>
      <c r="I379" s="21">
        <f>SUMIFS(Einzelbeträge!$D:$D,Einzelbeträge!$C:$C,'Ausgaben 2024'!$C379,Einzelbeträge!$E:$E,'Ausgaben 2024'!I$6)</f>
        <v>0</v>
      </c>
      <c r="J379" s="21">
        <f>SUMIFS(Einzelbeträge!$D:$D,Einzelbeträge!$C:$C,'Ausgaben 2024'!$C379,Einzelbeträge!$E:$E,'Ausgaben 2024'!J$6)</f>
        <v>0</v>
      </c>
      <c r="K379" s="21">
        <f>SUMIFS(Einzelbeträge!$D:$D,Einzelbeträge!$C:$C,'Ausgaben 2024'!$C379,Einzelbeträge!$E:$E,'Ausgaben 2024'!K$6)</f>
        <v>0</v>
      </c>
      <c r="L379" s="21">
        <f>SUMIFS(Einzelbeträge!$D:$D,Einzelbeträge!$C:$C,'Ausgaben 2024'!$C379,Einzelbeträge!$E:$E,'Ausgaben 2024'!L$6)</f>
        <v>0</v>
      </c>
      <c r="M379" s="21">
        <f>SUMIFS(Einzelbeträge!$D:$D,Einzelbeträge!$C:$C,'Ausgaben 2024'!$C379,Einzelbeträge!$E:$E,'Ausgaben 2024'!M$6)</f>
        <v>0</v>
      </c>
      <c r="N379" s="35">
        <f>SUMIFS(Einzelbeträge!$D:$D,Einzelbeträge!$C:$C,'Ausgaben 2024'!$C379,Einzelbeträge!$E:$E,'Ausgaben 2024'!N$6)</f>
        <v>0</v>
      </c>
      <c r="O379" s="6"/>
    </row>
    <row r="380" spans="2:15" x14ac:dyDescent="0.35">
      <c r="B380" s="5"/>
      <c r="C380" s="40">
        <f t="shared" si="35"/>
        <v>45632</v>
      </c>
      <c r="D380" s="46">
        <f>SUMIFS(Einzelbeträge!$D:$D,Einzelbeträge!$C:$C,'Ausgaben 2024'!$C380)</f>
        <v>0</v>
      </c>
      <c r="E380" s="21">
        <f>SUMIFS(Einzelbeträge!$D:$D,Einzelbeträge!$C:$C,'Ausgaben 2024'!$C380,Einzelbeträge!$E:$E,'Ausgaben 2024'!E$6)</f>
        <v>0</v>
      </c>
      <c r="F380" s="21">
        <f>SUMIFS(Einzelbeträge!$D:$D,Einzelbeträge!$C:$C,'Ausgaben 2024'!$C380,Einzelbeträge!$E:$E,'Ausgaben 2024'!F$6)</f>
        <v>0</v>
      </c>
      <c r="G380" s="21">
        <f>SUMIFS(Einzelbeträge!$D:$D,Einzelbeträge!$C:$C,'Ausgaben 2024'!$C380,Einzelbeträge!$E:$E,'Ausgaben 2024'!G$6)</f>
        <v>0</v>
      </c>
      <c r="H380" s="21">
        <f>SUMIFS(Einzelbeträge!$D:$D,Einzelbeträge!$C:$C,'Ausgaben 2024'!$C380,Einzelbeträge!$E:$E,'Ausgaben 2024'!H$6)</f>
        <v>0</v>
      </c>
      <c r="I380" s="21">
        <f>SUMIFS(Einzelbeträge!$D:$D,Einzelbeträge!$C:$C,'Ausgaben 2024'!$C380,Einzelbeträge!$E:$E,'Ausgaben 2024'!I$6)</f>
        <v>0</v>
      </c>
      <c r="J380" s="21">
        <f>SUMIFS(Einzelbeträge!$D:$D,Einzelbeträge!$C:$C,'Ausgaben 2024'!$C380,Einzelbeträge!$E:$E,'Ausgaben 2024'!J$6)</f>
        <v>0</v>
      </c>
      <c r="K380" s="21">
        <f>SUMIFS(Einzelbeträge!$D:$D,Einzelbeträge!$C:$C,'Ausgaben 2024'!$C380,Einzelbeträge!$E:$E,'Ausgaben 2024'!K$6)</f>
        <v>0</v>
      </c>
      <c r="L380" s="21">
        <f>SUMIFS(Einzelbeträge!$D:$D,Einzelbeträge!$C:$C,'Ausgaben 2024'!$C380,Einzelbeträge!$E:$E,'Ausgaben 2024'!L$6)</f>
        <v>0</v>
      </c>
      <c r="M380" s="21">
        <f>SUMIFS(Einzelbeträge!$D:$D,Einzelbeträge!$C:$C,'Ausgaben 2024'!$C380,Einzelbeträge!$E:$E,'Ausgaben 2024'!M$6)</f>
        <v>0</v>
      </c>
      <c r="N380" s="35">
        <f>SUMIFS(Einzelbeträge!$D:$D,Einzelbeträge!$C:$C,'Ausgaben 2024'!$C380,Einzelbeträge!$E:$E,'Ausgaben 2024'!N$6)</f>
        <v>0</v>
      </c>
      <c r="O380" s="6"/>
    </row>
    <row r="381" spans="2:15" x14ac:dyDescent="0.35">
      <c r="B381" s="5"/>
      <c r="C381" s="40">
        <f t="shared" si="35"/>
        <v>45633</v>
      </c>
      <c r="D381" s="46">
        <f>SUMIFS(Einzelbeträge!$D:$D,Einzelbeträge!$C:$C,'Ausgaben 2024'!$C381)</f>
        <v>0</v>
      </c>
      <c r="E381" s="21">
        <f>SUMIFS(Einzelbeträge!$D:$D,Einzelbeträge!$C:$C,'Ausgaben 2024'!$C381,Einzelbeträge!$E:$E,'Ausgaben 2024'!E$6)</f>
        <v>0</v>
      </c>
      <c r="F381" s="21">
        <f>SUMIFS(Einzelbeträge!$D:$D,Einzelbeträge!$C:$C,'Ausgaben 2024'!$C381,Einzelbeträge!$E:$E,'Ausgaben 2024'!F$6)</f>
        <v>0</v>
      </c>
      <c r="G381" s="21">
        <f>SUMIFS(Einzelbeträge!$D:$D,Einzelbeträge!$C:$C,'Ausgaben 2024'!$C381,Einzelbeträge!$E:$E,'Ausgaben 2024'!G$6)</f>
        <v>0</v>
      </c>
      <c r="H381" s="21">
        <f>SUMIFS(Einzelbeträge!$D:$D,Einzelbeträge!$C:$C,'Ausgaben 2024'!$C381,Einzelbeträge!$E:$E,'Ausgaben 2024'!H$6)</f>
        <v>0</v>
      </c>
      <c r="I381" s="21">
        <f>SUMIFS(Einzelbeträge!$D:$D,Einzelbeträge!$C:$C,'Ausgaben 2024'!$C381,Einzelbeträge!$E:$E,'Ausgaben 2024'!I$6)</f>
        <v>0</v>
      </c>
      <c r="J381" s="21">
        <f>SUMIFS(Einzelbeträge!$D:$D,Einzelbeträge!$C:$C,'Ausgaben 2024'!$C381,Einzelbeträge!$E:$E,'Ausgaben 2024'!J$6)</f>
        <v>0</v>
      </c>
      <c r="K381" s="21">
        <f>SUMIFS(Einzelbeträge!$D:$D,Einzelbeträge!$C:$C,'Ausgaben 2024'!$C381,Einzelbeträge!$E:$E,'Ausgaben 2024'!K$6)</f>
        <v>0</v>
      </c>
      <c r="L381" s="21">
        <f>SUMIFS(Einzelbeträge!$D:$D,Einzelbeträge!$C:$C,'Ausgaben 2024'!$C381,Einzelbeträge!$E:$E,'Ausgaben 2024'!L$6)</f>
        <v>0</v>
      </c>
      <c r="M381" s="21">
        <f>SUMIFS(Einzelbeträge!$D:$D,Einzelbeträge!$C:$C,'Ausgaben 2024'!$C381,Einzelbeträge!$E:$E,'Ausgaben 2024'!M$6)</f>
        <v>0</v>
      </c>
      <c r="N381" s="35">
        <f>SUMIFS(Einzelbeträge!$D:$D,Einzelbeträge!$C:$C,'Ausgaben 2024'!$C381,Einzelbeträge!$E:$E,'Ausgaben 2024'!N$6)</f>
        <v>0</v>
      </c>
      <c r="O381" s="6"/>
    </row>
    <row r="382" spans="2:15" x14ac:dyDescent="0.35">
      <c r="B382" s="5"/>
      <c r="C382" s="40">
        <f t="shared" si="35"/>
        <v>45634</v>
      </c>
      <c r="D382" s="46">
        <f>SUMIFS(Einzelbeträge!$D:$D,Einzelbeträge!$C:$C,'Ausgaben 2024'!$C382)</f>
        <v>0</v>
      </c>
      <c r="E382" s="21">
        <f>SUMIFS(Einzelbeträge!$D:$D,Einzelbeträge!$C:$C,'Ausgaben 2024'!$C382,Einzelbeträge!$E:$E,'Ausgaben 2024'!E$6)</f>
        <v>0</v>
      </c>
      <c r="F382" s="21">
        <f>SUMIFS(Einzelbeträge!$D:$D,Einzelbeträge!$C:$C,'Ausgaben 2024'!$C382,Einzelbeträge!$E:$E,'Ausgaben 2024'!F$6)</f>
        <v>0</v>
      </c>
      <c r="G382" s="21">
        <f>SUMIFS(Einzelbeträge!$D:$D,Einzelbeträge!$C:$C,'Ausgaben 2024'!$C382,Einzelbeträge!$E:$E,'Ausgaben 2024'!G$6)</f>
        <v>0</v>
      </c>
      <c r="H382" s="21">
        <f>SUMIFS(Einzelbeträge!$D:$D,Einzelbeträge!$C:$C,'Ausgaben 2024'!$C382,Einzelbeträge!$E:$E,'Ausgaben 2024'!H$6)</f>
        <v>0</v>
      </c>
      <c r="I382" s="21">
        <f>SUMIFS(Einzelbeträge!$D:$D,Einzelbeträge!$C:$C,'Ausgaben 2024'!$C382,Einzelbeträge!$E:$E,'Ausgaben 2024'!I$6)</f>
        <v>0</v>
      </c>
      <c r="J382" s="21">
        <f>SUMIFS(Einzelbeträge!$D:$D,Einzelbeträge!$C:$C,'Ausgaben 2024'!$C382,Einzelbeträge!$E:$E,'Ausgaben 2024'!J$6)</f>
        <v>0</v>
      </c>
      <c r="K382" s="21">
        <f>SUMIFS(Einzelbeträge!$D:$D,Einzelbeträge!$C:$C,'Ausgaben 2024'!$C382,Einzelbeträge!$E:$E,'Ausgaben 2024'!K$6)</f>
        <v>0</v>
      </c>
      <c r="L382" s="21">
        <f>SUMIFS(Einzelbeträge!$D:$D,Einzelbeträge!$C:$C,'Ausgaben 2024'!$C382,Einzelbeträge!$E:$E,'Ausgaben 2024'!L$6)</f>
        <v>0</v>
      </c>
      <c r="M382" s="21">
        <f>SUMIFS(Einzelbeträge!$D:$D,Einzelbeträge!$C:$C,'Ausgaben 2024'!$C382,Einzelbeträge!$E:$E,'Ausgaben 2024'!M$6)</f>
        <v>0</v>
      </c>
      <c r="N382" s="35">
        <f>SUMIFS(Einzelbeträge!$D:$D,Einzelbeträge!$C:$C,'Ausgaben 2024'!$C382,Einzelbeträge!$E:$E,'Ausgaben 2024'!N$6)</f>
        <v>0</v>
      </c>
      <c r="O382" s="6"/>
    </row>
    <row r="383" spans="2:15" x14ac:dyDescent="0.35">
      <c r="B383" s="5"/>
      <c r="C383" s="40">
        <f t="shared" si="35"/>
        <v>45635</v>
      </c>
      <c r="D383" s="46">
        <f>SUMIFS(Einzelbeträge!$D:$D,Einzelbeträge!$C:$C,'Ausgaben 2024'!$C383)</f>
        <v>0</v>
      </c>
      <c r="E383" s="21">
        <f>SUMIFS(Einzelbeträge!$D:$D,Einzelbeträge!$C:$C,'Ausgaben 2024'!$C383,Einzelbeträge!$E:$E,'Ausgaben 2024'!E$6)</f>
        <v>0</v>
      </c>
      <c r="F383" s="21">
        <f>SUMIFS(Einzelbeträge!$D:$D,Einzelbeträge!$C:$C,'Ausgaben 2024'!$C383,Einzelbeträge!$E:$E,'Ausgaben 2024'!F$6)</f>
        <v>0</v>
      </c>
      <c r="G383" s="21">
        <f>SUMIFS(Einzelbeträge!$D:$D,Einzelbeträge!$C:$C,'Ausgaben 2024'!$C383,Einzelbeträge!$E:$E,'Ausgaben 2024'!G$6)</f>
        <v>0</v>
      </c>
      <c r="H383" s="21">
        <f>SUMIFS(Einzelbeträge!$D:$D,Einzelbeträge!$C:$C,'Ausgaben 2024'!$C383,Einzelbeträge!$E:$E,'Ausgaben 2024'!H$6)</f>
        <v>0</v>
      </c>
      <c r="I383" s="21">
        <f>SUMIFS(Einzelbeträge!$D:$D,Einzelbeträge!$C:$C,'Ausgaben 2024'!$C383,Einzelbeträge!$E:$E,'Ausgaben 2024'!I$6)</f>
        <v>0</v>
      </c>
      <c r="J383" s="21">
        <f>SUMIFS(Einzelbeträge!$D:$D,Einzelbeträge!$C:$C,'Ausgaben 2024'!$C383,Einzelbeträge!$E:$E,'Ausgaben 2024'!J$6)</f>
        <v>0</v>
      </c>
      <c r="K383" s="21">
        <f>SUMIFS(Einzelbeträge!$D:$D,Einzelbeträge!$C:$C,'Ausgaben 2024'!$C383,Einzelbeträge!$E:$E,'Ausgaben 2024'!K$6)</f>
        <v>0</v>
      </c>
      <c r="L383" s="21">
        <f>SUMIFS(Einzelbeträge!$D:$D,Einzelbeträge!$C:$C,'Ausgaben 2024'!$C383,Einzelbeträge!$E:$E,'Ausgaben 2024'!L$6)</f>
        <v>0</v>
      </c>
      <c r="M383" s="21">
        <f>SUMIFS(Einzelbeträge!$D:$D,Einzelbeträge!$C:$C,'Ausgaben 2024'!$C383,Einzelbeträge!$E:$E,'Ausgaben 2024'!M$6)</f>
        <v>0</v>
      </c>
      <c r="N383" s="35">
        <f>SUMIFS(Einzelbeträge!$D:$D,Einzelbeträge!$C:$C,'Ausgaben 2024'!$C383,Einzelbeträge!$E:$E,'Ausgaben 2024'!N$6)</f>
        <v>0</v>
      </c>
      <c r="O383" s="6"/>
    </row>
    <row r="384" spans="2:15" x14ac:dyDescent="0.35">
      <c r="B384" s="5"/>
      <c r="C384" s="40">
        <f t="shared" si="35"/>
        <v>45636</v>
      </c>
      <c r="D384" s="46">
        <f>SUMIFS(Einzelbeträge!$D:$D,Einzelbeträge!$C:$C,'Ausgaben 2024'!$C384)</f>
        <v>0</v>
      </c>
      <c r="E384" s="21">
        <f>SUMIFS(Einzelbeträge!$D:$D,Einzelbeträge!$C:$C,'Ausgaben 2024'!$C384,Einzelbeträge!$E:$E,'Ausgaben 2024'!E$6)</f>
        <v>0</v>
      </c>
      <c r="F384" s="21">
        <f>SUMIFS(Einzelbeträge!$D:$D,Einzelbeträge!$C:$C,'Ausgaben 2024'!$C384,Einzelbeträge!$E:$E,'Ausgaben 2024'!F$6)</f>
        <v>0</v>
      </c>
      <c r="G384" s="21">
        <f>SUMIFS(Einzelbeträge!$D:$D,Einzelbeträge!$C:$C,'Ausgaben 2024'!$C384,Einzelbeträge!$E:$E,'Ausgaben 2024'!G$6)</f>
        <v>0</v>
      </c>
      <c r="H384" s="21">
        <f>SUMIFS(Einzelbeträge!$D:$D,Einzelbeträge!$C:$C,'Ausgaben 2024'!$C384,Einzelbeträge!$E:$E,'Ausgaben 2024'!H$6)</f>
        <v>0</v>
      </c>
      <c r="I384" s="21">
        <f>SUMIFS(Einzelbeträge!$D:$D,Einzelbeträge!$C:$C,'Ausgaben 2024'!$C384,Einzelbeträge!$E:$E,'Ausgaben 2024'!I$6)</f>
        <v>0</v>
      </c>
      <c r="J384" s="21">
        <f>SUMIFS(Einzelbeträge!$D:$D,Einzelbeträge!$C:$C,'Ausgaben 2024'!$C384,Einzelbeträge!$E:$E,'Ausgaben 2024'!J$6)</f>
        <v>0</v>
      </c>
      <c r="K384" s="21">
        <f>SUMIFS(Einzelbeträge!$D:$D,Einzelbeträge!$C:$C,'Ausgaben 2024'!$C384,Einzelbeträge!$E:$E,'Ausgaben 2024'!K$6)</f>
        <v>0</v>
      </c>
      <c r="L384" s="21">
        <f>SUMIFS(Einzelbeträge!$D:$D,Einzelbeträge!$C:$C,'Ausgaben 2024'!$C384,Einzelbeträge!$E:$E,'Ausgaben 2024'!L$6)</f>
        <v>0</v>
      </c>
      <c r="M384" s="21">
        <f>SUMIFS(Einzelbeträge!$D:$D,Einzelbeträge!$C:$C,'Ausgaben 2024'!$C384,Einzelbeträge!$E:$E,'Ausgaben 2024'!M$6)</f>
        <v>0</v>
      </c>
      <c r="N384" s="35">
        <f>SUMIFS(Einzelbeträge!$D:$D,Einzelbeträge!$C:$C,'Ausgaben 2024'!$C384,Einzelbeträge!$E:$E,'Ausgaben 2024'!N$6)</f>
        <v>0</v>
      </c>
      <c r="O384" s="6"/>
    </row>
    <row r="385" spans="2:15" x14ac:dyDescent="0.35">
      <c r="B385" s="5"/>
      <c r="C385" s="40">
        <f t="shared" si="35"/>
        <v>45637</v>
      </c>
      <c r="D385" s="46">
        <f>SUMIFS(Einzelbeträge!$D:$D,Einzelbeträge!$C:$C,'Ausgaben 2024'!$C385)</f>
        <v>0</v>
      </c>
      <c r="E385" s="21">
        <f>SUMIFS(Einzelbeträge!$D:$D,Einzelbeträge!$C:$C,'Ausgaben 2024'!$C385,Einzelbeträge!$E:$E,'Ausgaben 2024'!E$6)</f>
        <v>0</v>
      </c>
      <c r="F385" s="21">
        <f>SUMIFS(Einzelbeträge!$D:$D,Einzelbeträge!$C:$C,'Ausgaben 2024'!$C385,Einzelbeträge!$E:$E,'Ausgaben 2024'!F$6)</f>
        <v>0</v>
      </c>
      <c r="G385" s="21">
        <f>SUMIFS(Einzelbeträge!$D:$D,Einzelbeträge!$C:$C,'Ausgaben 2024'!$C385,Einzelbeträge!$E:$E,'Ausgaben 2024'!G$6)</f>
        <v>0</v>
      </c>
      <c r="H385" s="21">
        <f>SUMIFS(Einzelbeträge!$D:$D,Einzelbeträge!$C:$C,'Ausgaben 2024'!$C385,Einzelbeträge!$E:$E,'Ausgaben 2024'!H$6)</f>
        <v>0</v>
      </c>
      <c r="I385" s="21">
        <f>SUMIFS(Einzelbeträge!$D:$D,Einzelbeträge!$C:$C,'Ausgaben 2024'!$C385,Einzelbeträge!$E:$E,'Ausgaben 2024'!I$6)</f>
        <v>0</v>
      </c>
      <c r="J385" s="21">
        <f>SUMIFS(Einzelbeträge!$D:$D,Einzelbeträge!$C:$C,'Ausgaben 2024'!$C385,Einzelbeträge!$E:$E,'Ausgaben 2024'!J$6)</f>
        <v>0</v>
      </c>
      <c r="K385" s="21">
        <f>SUMIFS(Einzelbeträge!$D:$D,Einzelbeträge!$C:$C,'Ausgaben 2024'!$C385,Einzelbeträge!$E:$E,'Ausgaben 2024'!K$6)</f>
        <v>0</v>
      </c>
      <c r="L385" s="21">
        <f>SUMIFS(Einzelbeträge!$D:$D,Einzelbeträge!$C:$C,'Ausgaben 2024'!$C385,Einzelbeträge!$E:$E,'Ausgaben 2024'!L$6)</f>
        <v>0</v>
      </c>
      <c r="M385" s="21">
        <f>SUMIFS(Einzelbeträge!$D:$D,Einzelbeträge!$C:$C,'Ausgaben 2024'!$C385,Einzelbeträge!$E:$E,'Ausgaben 2024'!M$6)</f>
        <v>0</v>
      </c>
      <c r="N385" s="35">
        <f>SUMIFS(Einzelbeträge!$D:$D,Einzelbeträge!$C:$C,'Ausgaben 2024'!$C385,Einzelbeträge!$E:$E,'Ausgaben 2024'!N$6)</f>
        <v>0</v>
      </c>
      <c r="O385" s="6"/>
    </row>
    <row r="386" spans="2:15" x14ac:dyDescent="0.35">
      <c r="B386" s="5"/>
      <c r="C386" s="40">
        <f t="shared" si="35"/>
        <v>45638</v>
      </c>
      <c r="D386" s="46">
        <f>SUMIFS(Einzelbeträge!$D:$D,Einzelbeträge!$C:$C,'Ausgaben 2024'!$C386)</f>
        <v>0</v>
      </c>
      <c r="E386" s="21">
        <f>SUMIFS(Einzelbeträge!$D:$D,Einzelbeträge!$C:$C,'Ausgaben 2024'!$C386,Einzelbeträge!$E:$E,'Ausgaben 2024'!E$6)</f>
        <v>0</v>
      </c>
      <c r="F386" s="21">
        <f>SUMIFS(Einzelbeträge!$D:$D,Einzelbeträge!$C:$C,'Ausgaben 2024'!$C386,Einzelbeträge!$E:$E,'Ausgaben 2024'!F$6)</f>
        <v>0</v>
      </c>
      <c r="G386" s="21">
        <f>SUMIFS(Einzelbeträge!$D:$D,Einzelbeträge!$C:$C,'Ausgaben 2024'!$C386,Einzelbeträge!$E:$E,'Ausgaben 2024'!G$6)</f>
        <v>0</v>
      </c>
      <c r="H386" s="21">
        <f>SUMIFS(Einzelbeträge!$D:$D,Einzelbeträge!$C:$C,'Ausgaben 2024'!$C386,Einzelbeträge!$E:$E,'Ausgaben 2024'!H$6)</f>
        <v>0</v>
      </c>
      <c r="I386" s="21">
        <f>SUMIFS(Einzelbeträge!$D:$D,Einzelbeträge!$C:$C,'Ausgaben 2024'!$C386,Einzelbeträge!$E:$E,'Ausgaben 2024'!I$6)</f>
        <v>0</v>
      </c>
      <c r="J386" s="21">
        <f>SUMIFS(Einzelbeträge!$D:$D,Einzelbeträge!$C:$C,'Ausgaben 2024'!$C386,Einzelbeträge!$E:$E,'Ausgaben 2024'!J$6)</f>
        <v>0</v>
      </c>
      <c r="K386" s="21">
        <f>SUMIFS(Einzelbeträge!$D:$D,Einzelbeträge!$C:$C,'Ausgaben 2024'!$C386,Einzelbeträge!$E:$E,'Ausgaben 2024'!K$6)</f>
        <v>0</v>
      </c>
      <c r="L386" s="21">
        <f>SUMIFS(Einzelbeträge!$D:$D,Einzelbeträge!$C:$C,'Ausgaben 2024'!$C386,Einzelbeträge!$E:$E,'Ausgaben 2024'!L$6)</f>
        <v>0</v>
      </c>
      <c r="M386" s="21">
        <f>SUMIFS(Einzelbeträge!$D:$D,Einzelbeträge!$C:$C,'Ausgaben 2024'!$C386,Einzelbeträge!$E:$E,'Ausgaben 2024'!M$6)</f>
        <v>0</v>
      </c>
      <c r="N386" s="35">
        <f>SUMIFS(Einzelbeträge!$D:$D,Einzelbeträge!$C:$C,'Ausgaben 2024'!$C386,Einzelbeträge!$E:$E,'Ausgaben 2024'!N$6)</f>
        <v>0</v>
      </c>
      <c r="O386" s="6"/>
    </row>
    <row r="387" spans="2:15" x14ac:dyDescent="0.35">
      <c r="B387" s="5"/>
      <c r="C387" s="40">
        <f t="shared" si="35"/>
        <v>45639</v>
      </c>
      <c r="D387" s="46">
        <f>SUMIFS(Einzelbeträge!$D:$D,Einzelbeträge!$C:$C,'Ausgaben 2024'!$C387)</f>
        <v>0</v>
      </c>
      <c r="E387" s="21">
        <f>SUMIFS(Einzelbeträge!$D:$D,Einzelbeträge!$C:$C,'Ausgaben 2024'!$C387,Einzelbeträge!$E:$E,'Ausgaben 2024'!E$6)</f>
        <v>0</v>
      </c>
      <c r="F387" s="21">
        <f>SUMIFS(Einzelbeträge!$D:$D,Einzelbeträge!$C:$C,'Ausgaben 2024'!$C387,Einzelbeträge!$E:$E,'Ausgaben 2024'!F$6)</f>
        <v>0</v>
      </c>
      <c r="G387" s="21">
        <f>SUMIFS(Einzelbeträge!$D:$D,Einzelbeträge!$C:$C,'Ausgaben 2024'!$C387,Einzelbeträge!$E:$E,'Ausgaben 2024'!G$6)</f>
        <v>0</v>
      </c>
      <c r="H387" s="21">
        <f>SUMIFS(Einzelbeträge!$D:$D,Einzelbeträge!$C:$C,'Ausgaben 2024'!$C387,Einzelbeträge!$E:$E,'Ausgaben 2024'!H$6)</f>
        <v>0</v>
      </c>
      <c r="I387" s="21">
        <f>SUMIFS(Einzelbeträge!$D:$D,Einzelbeträge!$C:$C,'Ausgaben 2024'!$C387,Einzelbeträge!$E:$E,'Ausgaben 2024'!I$6)</f>
        <v>0</v>
      </c>
      <c r="J387" s="21">
        <f>SUMIFS(Einzelbeträge!$D:$D,Einzelbeträge!$C:$C,'Ausgaben 2024'!$C387,Einzelbeträge!$E:$E,'Ausgaben 2024'!J$6)</f>
        <v>0</v>
      </c>
      <c r="K387" s="21">
        <f>SUMIFS(Einzelbeträge!$D:$D,Einzelbeträge!$C:$C,'Ausgaben 2024'!$C387,Einzelbeträge!$E:$E,'Ausgaben 2024'!K$6)</f>
        <v>0</v>
      </c>
      <c r="L387" s="21">
        <f>SUMIFS(Einzelbeträge!$D:$D,Einzelbeträge!$C:$C,'Ausgaben 2024'!$C387,Einzelbeträge!$E:$E,'Ausgaben 2024'!L$6)</f>
        <v>0</v>
      </c>
      <c r="M387" s="21">
        <f>SUMIFS(Einzelbeträge!$D:$D,Einzelbeträge!$C:$C,'Ausgaben 2024'!$C387,Einzelbeträge!$E:$E,'Ausgaben 2024'!M$6)</f>
        <v>0</v>
      </c>
      <c r="N387" s="35">
        <f>SUMIFS(Einzelbeträge!$D:$D,Einzelbeträge!$C:$C,'Ausgaben 2024'!$C387,Einzelbeträge!$E:$E,'Ausgaben 2024'!N$6)</f>
        <v>0</v>
      </c>
      <c r="O387" s="6"/>
    </row>
    <row r="388" spans="2:15" x14ac:dyDescent="0.35">
      <c r="B388" s="5"/>
      <c r="C388" s="40">
        <f t="shared" si="35"/>
        <v>45640</v>
      </c>
      <c r="D388" s="46">
        <f>SUMIFS(Einzelbeträge!$D:$D,Einzelbeträge!$C:$C,'Ausgaben 2024'!$C388)</f>
        <v>0</v>
      </c>
      <c r="E388" s="21">
        <f>SUMIFS(Einzelbeträge!$D:$D,Einzelbeträge!$C:$C,'Ausgaben 2024'!$C388,Einzelbeträge!$E:$E,'Ausgaben 2024'!E$6)</f>
        <v>0</v>
      </c>
      <c r="F388" s="21">
        <f>SUMIFS(Einzelbeträge!$D:$D,Einzelbeträge!$C:$C,'Ausgaben 2024'!$C388,Einzelbeträge!$E:$E,'Ausgaben 2024'!F$6)</f>
        <v>0</v>
      </c>
      <c r="G388" s="21">
        <f>SUMIFS(Einzelbeträge!$D:$D,Einzelbeträge!$C:$C,'Ausgaben 2024'!$C388,Einzelbeträge!$E:$E,'Ausgaben 2024'!G$6)</f>
        <v>0</v>
      </c>
      <c r="H388" s="21">
        <f>SUMIFS(Einzelbeträge!$D:$D,Einzelbeträge!$C:$C,'Ausgaben 2024'!$C388,Einzelbeträge!$E:$E,'Ausgaben 2024'!H$6)</f>
        <v>0</v>
      </c>
      <c r="I388" s="21">
        <f>SUMIFS(Einzelbeträge!$D:$D,Einzelbeträge!$C:$C,'Ausgaben 2024'!$C388,Einzelbeträge!$E:$E,'Ausgaben 2024'!I$6)</f>
        <v>0</v>
      </c>
      <c r="J388" s="21">
        <f>SUMIFS(Einzelbeträge!$D:$D,Einzelbeträge!$C:$C,'Ausgaben 2024'!$C388,Einzelbeträge!$E:$E,'Ausgaben 2024'!J$6)</f>
        <v>0</v>
      </c>
      <c r="K388" s="21">
        <f>SUMIFS(Einzelbeträge!$D:$D,Einzelbeträge!$C:$C,'Ausgaben 2024'!$C388,Einzelbeträge!$E:$E,'Ausgaben 2024'!K$6)</f>
        <v>0</v>
      </c>
      <c r="L388" s="21">
        <f>SUMIFS(Einzelbeträge!$D:$D,Einzelbeträge!$C:$C,'Ausgaben 2024'!$C388,Einzelbeträge!$E:$E,'Ausgaben 2024'!L$6)</f>
        <v>0</v>
      </c>
      <c r="M388" s="21">
        <f>SUMIFS(Einzelbeträge!$D:$D,Einzelbeträge!$C:$C,'Ausgaben 2024'!$C388,Einzelbeträge!$E:$E,'Ausgaben 2024'!M$6)</f>
        <v>0</v>
      </c>
      <c r="N388" s="35">
        <f>SUMIFS(Einzelbeträge!$D:$D,Einzelbeträge!$C:$C,'Ausgaben 2024'!$C388,Einzelbeträge!$E:$E,'Ausgaben 2024'!N$6)</f>
        <v>0</v>
      </c>
      <c r="O388" s="6"/>
    </row>
    <row r="389" spans="2:15" x14ac:dyDescent="0.35">
      <c r="B389" s="5"/>
      <c r="C389" s="40">
        <f t="shared" si="35"/>
        <v>45641</v>
      </c>
      <c r="D389" s="46">
        <f>SUMIFS(Einzelbeträge!$D:$D,Einzelbeträge!$C:$C,'Ausgaben 2024'!$C389)</f>
        <v>0</v>
      </c>
      <c r="E389" s="21">
        <f>SUMIFS(Einzelbeträge!$D:$D,Einzelbeträge!$C:$C,'Ausgaben 2024'!$C389,Einzelbeträge!$E:$E,'Ausgaben 2024'!E$6)</f>
        <v>0</v>
      </c>
      <c r="F389" s="21">
        <f>SUMIFS(Einzelbeträge!$D:$D,Einzelbeträge!$C:$C,'Ausgaben 2024'!$C389,Einzelbeträge!$E:$E,'Ausgaben 2024'!F$6)</f>
        <v>0</v>
      </c>
      <c r="G389" s="21">
        <f>SUMIFS(Einzelbeträge!$D:$D,Einzelbeträge!$C:$C,'Ausgaben 2024'!$C389,Einzelbeträge!$E:$E,'Ausgaben 2024'!G$6)</f>
        <v>0</v>
      </c>
      <c r="H389" s="21">
        <f>SUMIFS(Einzelbeträge!$D:$D,Einzelbeträge!$C:$C,'Ausgaben 2024'!$C389,Einzelbeträge!$E:$E,'Ausgaben 2024'!H$6)</f>
        <v>0</v>
      </c>
      <c r="I389" s="21">
        <f>SUMIFS(Einzelbeträge!$D:$D,Einzelbeträge!$C:$C,'Ausgaben 2024'!$C389,Einzelbeträge!$E:$E,'Ausgaben 2024'!I$6)</f>
        <v>0</v>
      </c>
      <c r="J389" s="21">
        <f>SUMIFS(Einzelbeträge!$D:$D,Einzelbeträge!$C:$C,'Ausgaben 2024'!$C389,Einzelbeträge!$E:$E,'Ausgaben 2024'!J$6)</f>
        <v>0</v>
      </c>
      <c r="K389" s="21">
        <f>SUMIFS(Einzelbeträge!$D:$D,Einzelbeträge!$C:$C,'Ausgaben 2024'!$C389,Einzelbeträge!$E:$E,'Ausgaben 2024'!K$6)</f>
        <v>0</v>
      </c>
      <c r="L389" s="21">
        <f>SUMIFS(Einzelbeträge!$D:$D,Einzelbeträge!$C:$C,'Ausgaben 2024'!$C389,Einzelbeträge!$E:$E,'Ausgaben 2024'!L$6)</f>
        <v>0</v>
      </c>
      <c r="M389" s="21">
        <f>SUMIFS(Einzelbeträge!$D:$D,Einzelbeträge!$C:$C,'Ausgaben 2024'!$C389,Einzelbeträge!$E:$E,'Ausgaben 2024'!M$6)</f>
        <v>0</v>
      </c>
      <c r="N389" s="35">
        <f>SUMIFS(Einzelbeträge!$D:$D,Einzelbeträge!$C:$C,'Ausgaben 2024'!$C389,Einzelbeträge!$E:$E,'Ausgaben 2024'!N$6)</f>
        <v>0</v>
      </c>
      <c r="O389" s="6"/>
    </row>
    <row r="390" spans="2:15" x14ac:dyDescent="0.35">
      <c r="B390" s="5"/>
      <c r="C390" s="40">
        <f t="shared" si="35"/>
        <v>45642</v>
      </c>
      <c r="D390" s="46">
        <f>SUMIFS(Einzelbeträge!$D:$D,Einzelbeträge!$C:$C,'Ausgaben 2024'!$C390)</f>
        <v>0</v>
      </c>
      <c r="E390" s="21">
        <f>SUMIFS(Einzelbeträge!$D:$D,Einzelbeträge!$C:$C,'Ausgaben 2024'!$C390,Einzelbeträge!$E:$E,'Ausgaben 2024'!E$6)</f>
        <v>0</v>
      </c>
      <c r="F390" s="21">
        <f>SUMIFS(Einzelbeträge!$D:$D,Einzelbeträge!$C:$C,'Ausgaben 2024'!$C390,Einzelbeträge!$E:$E,'Ausgaben 2024'!F$6)</f>
        <v>0</v>
      </c>
      <c r="G390" s="21">
        <f>SUMIFS(Einzelbeträge!$D:$D,Einzelbeträge!$C:$C,'Ausgaben 2024'!$C390,Einzelbeträge!$E:$E,'Ausgaben 2024'!G$6)</f>
        <v>0</v>
      </c>
      <c r="H390" s="21">
        <f>SUMIFS(Einzelbeträge!$D:$D,Einzelbeträge!$C:$C,'Ausgaben 2024'!$C390,Einzelbeträge!$E:$E,'Ausgaben 2024'!H$6)</f>
        <v>0</v>
      </c>
      <c r="I390" s="21">
        <f>SUMIFS(Einzelbeträge!$D:$D,Einzelbeträge!$C:$C,'Ausgaben 2024'!$C390,Einzelbeträge!$E:$E,'Ausgaben 2024'!I$6)</f>
        <v>0</v>
      </c>
      <c r="J390" s="21">
        <f>SUMIFS(Einzelbeträge!$D:$D,Einzelbeträge!$C:$C,'Ausgaben 2024'!$C390,Einzelbeträge!$E:$E,'Ausgaben 2024'!J$6)</f>
        <v>0</v>
      </c>
      <c r="K390" s="21">
        <f>SUMIFS(Einzelbeträge!$D:$D,Einzelbeträge!$C:$C,'Ausgaben 2024'!$C390,Einzelbeträge!$E:$E,'Ausgaben 2024'!K$6)</f>
        <v>0</v>
      </c>
      <c r="L390" s="21">
        <f>SUMIFS(Einzelbeträge!$D:$D,Einzelbeträge!$C:$C,'Ausgaben 2024'!$C390,Einzelbeträge!$E:$E,'Ausgaben 2024'!L$6)</f>
        <v>0</v>
      </c>
      <c r="M390" s="21">
        <f>SUMIFS(Einzelbeträge!$D:$D,Einzelbeträge!$C:$C,'Ausgaben 2024'!$C390,Einzelbeträge!$E:$E,'Ausgaben 2024'!M$6)</f>
        <v>0</v>
      </c>
      <c r="N390" s="35">
        <f>SUMIFS(Einzelbeträge!$D:$D,Einzelbeträge!$C:$C,'Ausgaben 2024'!$C390,Einzelbeträge!$E:$E,'Ausgaben 2024'!N$6)</f>
        <v>0</v>
      </c>
      <c r="O390" s="6"/>
    </row>
    <row r="391" spans="2:15" x14ac:dyDescent="0.35">
      <c r="B391" s="5"/>
      <c r="C391" s="40">
        <f t="shared" si="35"/>
        <v>45643</v>
      </c>
      <c r="D391" s="46">
        <f>SUMIFS(Einzelbeträge!$D:$D,Einzelbeträge!$C:$C,'Ausgaben 2024'!$C391)</f>
        <v>0</v>
      </c>
      <c r="E391" s="21">
        <f>SUMIFS(Einzelbeträge!$D:$D,Einzelbeträge!$C:$C,'Ausgaben 2024'!$C391,Einzelbeträge!$E:$E,'Ausgaben 2024'!E$6)</f>
        <v>0</v>
      </c>
      <c r="F391" s="21">
        <f>SUMIFS(Einzelbeträge!$D:$D,Einzelbeträge!$C:$C,'Ausgaben 2024'!$C391,Einzelbeträge!$E:$E,'Ausgaben 2024'!F$6)</f>
        <v>0</v>
      </c>
      <c r="G391" s="21">
        <f>SUMIFS(Einzelbeträge!$D:$D,Einzelbeträge!$C:$C,'Ausgaben 2024'!$C391,Einzelbeträge!$E:$E,'Ausgaben 2024'!G$6)</f>
        <v>0</v>
      </c>
      <c r="H391" s="21">
        <f>SUMIFS(Einzelbeträge!$D:$D,Einzelbeträge!$C:$C,'Ausgaben 2024'!$C391,Einzelbeträge!$E:$E,'Ausgaben 2024'!H$6)</f>
        <v>0</v>
      </c>
      <c r="I391" s="21">
        <f>SUMIFS(Einzelbeträge!$D:$D,Einzelbeträge!$C:$C,'Ausgaben 2024'!$C391,Einzelbeträge!$E:$E,'Ausgaben 2024'!I$6)</f>
        <v>0</v>
      </c>
      <c r="J391" s="21">
        <f>SUMIFS(Einzelbeträge!$D:$D,Einzelbeträge!$C:$C,'Ausgaben 2024'!$C391,Einzelbeträge!$E:$E,'Ausgaben 2024'!J$6)</f>
        <v>0</v>
      </c>
      <c r="K391" s="21">
        <f>SUMIFS(Einzelbeträge!$D:$D,Einzelbeträge!$C:$C,'Ausgaben 2024'!$C391,Einzelbeträge!$E:$E,'Ausgaben 2024'!K$6)</f>
        <v>0</v>
      </c>
      <c r="L391" s="21">
        <f>SUMIFS(Einzelbeträge!$D:$D,Einzelbeträge!$C:$C,'Ausgaben 2024'!$C391,Einzelbeträge!$E:$E,'Ausgaben 2024'!L$6)</f>
        <v>0</v>
      </c>
      <c r="M391" s="21">
        <f>SUMIFS(Einzelbeträge!$D:$D,Einzelbeträge!$C:$C,'Ausgaben 2024'!$C391,Einzelbeträge!$E:$E,'Ausgaben 2024'!M$6)</f>
        <v>0</v>
      </c>
      <c r="N391" s="35">
        <f>SUMIFS(Einzelbeträge!$D:$D,Einzelbeträge!$C:$C,'Ausgaben 2024'!$C391,Einzelbeträge!$E:$E,'Ausgaben 2024'!N$6)</f>
        <v>0</v>
      </c>
      <c r="O391" s="6"/>
    </row>
    <row r="392" spans="2:15" x14ac:dyDescent="0.35">
      <c r="B392" s="5"/>
      <c r="C392" s="40">
        <f t="shared" si="35"/>
        <v>45644</v>
      </c>
      <c r="D392" s="46">
        <f>SUMIFS(Einzelbeträge!$D:$D,Einzelbeträge!$C:$C,'Ausgaben 2024'!$C392)</f>
        <v>0</v>
      </c>
      <c r="E392" s="21">
        <f>SUMIFS(Einzelbeträge!$D:$D,Einzelbeträge!$C:$C,'Ausgaben 2024'!$C392,Einzelbeträge!$E:$E,'Ausgaben 2024'!E$6)</f>
        <v>0</v>
      </c>
      <c r="F392" s="21">
        <f>SUMIFS(Einzelbeträge!$D:$D,Einzelbeträge!$C:$C,'Ausgaben 2024'!$C392,Einzelbeträge!$E:$E,'Ausgaben 2024'!F$6)</f>
        <v>0</v>
      </c>
      <c r="G392" s="21">
        <f>SUMIFS(Einzelbeträge!$D:$D,Einzelbeträge!$C:$C,'Ausgaben 2024'!$C392,Einzelbeträge!$E:$E,'Ausgaben 2024'!G$6)</f>
        <v>0</v>
      </c>
      <c r="H392" s="21">
        <f>SUMIFS(Einzelbeträge!$D:$D,Einzelbeträge!$C:$C,'Ausgaben 2024'!$C392,Einzelbeträge!$E:$E,'Ausgaben 2024'!H$6)</f>
        <v>0</v>
      </c>
      <c r="I392" s="21">
        <f>SUMIFS(Einzelbeträge!$D:$D,Einzelbeträge!$C:$C,'Ausgaben 2024'!$C392,Einzelbeträge!$E:$E,'Ausgaben 2024'!I$6)</f>
        <v>0</v>
      </c>
      <c r="J392" s="21">
        <f>SUMIFS(Einzelbeträge!$D:$D,Einzelbeträge!$C:$C,'Ausgaben 2024'!$C392,Einzelbeträge!$E:$E,'Ausgaben 2024'!J$6)</f>
        <v>0</v>
      </c>
      <c r="K392" s="21">
        <f>SUMIFS(Einzelbeträge!$D:$D,Einzelbeträge!$C:$C,'Ausgaben 2024'!$C392,Einzelbeträge!$E:$E,'Ausgaben 2024'!K$6)</f>
        <v>0</v>
      </c>
      <c r="L392" s="21">
        <f>SUMIFS(Einzelbeträge!$D:$D,Einzelbeträge!$C:$C,'Ausgaben 2024'!$C392,Einzelbeträge!$E:$E,'Ausgaben 2024'!L$6)</f>
        <v>0</v>
      </c>
      <c r="M392" s="21">
        <f>SUMIFS(Einzelbeträge!$D:$D,Einzelbeträge!$C:$C,'Ausgaben 2024'!$C392,Einzelbeträge!$E:$E,'Ausgaben 2024'!M$6)</f>
        <v>0</v>
      </c>
      <c r="N392" s="35">
        <f>SUMIFS(Einzelbeträge!$D:$D,Einzelbeträge!$C:$C,'Ausgaben 2024'!$C392,Einzelbeträge!$E:$E,'Ausgaben 2024'!N$6)</f>
        <v>0</v>
      </c>
      <c r="O392" s="6"/>
    </row>
    <row r="393" spans="2:15" x14ac:dyDescent="0.35">
      <c r="B393" s="5"/>
      <c r="C393" s="40">
        <f t="shared" si="35"/>
        <v>45645</v>
      </c>
      <c r="D393" s="46">
        <f>SUMIFS(Einzelbeträge!$D:$D,Einzelbeträge!$C:$C,'Ausgaben 2024'!$C393)</f>
        <v>0</v>
      </c>
      <c r="E393" s="21">
        <f>SUMIFS(Einzelbeträge!$D:$D,Einzelbeträge!$C:$C,'Ausgaben 2024'!$C393,Einzelbeträge!$E:$E,'Ausgaben 2024'!E$6)</f>
        <v>0</v>
      </c>
      <c r="F393" s="21">
        <f>SUMIFS(Einzelbeträge!$D:$D,Einzelbeträge!$C:$C,'Ausgaben 2024'!$C393,Einzelbeträge!$E:$E,'Ausgaben 2024'!F$6)</f>
        <v>0</v>
      </c>
      <c r="G393" s="21">
        <f>SUMIFS(Einzelbeträge!$D:$D,Einzelbeträge!$C:$C,'Ausgaben 2024'!$C393,Einzelbeträge!$E:$E,'Ausgaben 2024'!G$6)</f>
        <v>0</v>
      </c>
      <c r="H393" s="21">
        <f>SUMIFS(Einzelbeträge!$D:$D,Einzelbeträge!$C:$C,'Ausgaben 2024'!$C393,Einzelbeträge!$E:$E,'Ausgaben 2024'!H$6)</f>
        <v>0</v>
      </c>
      <c r="I393" s="21">
        <f>SUMIFS(Einzelbeträge!$D:$D,Einzelbeträge!$C:$C,'Ausgaben 2024'!$C393,Einzelbeträge!$E:$E,'Ausgaben 2024'!I$6)</f>
        <v>0</v>
      </c>
      <c r="J393" s="21">
        <f>SUMIFS(Einzelbeträge!$D:$D,Einzelbeträge!$C:$C,'Ausgaben 2024'!$C393,Einzelbeträge!$E:$E,'Ausgaben 2024'!J$6)</f>
        <v>0</v>
      </c>
      <c r="K393" s="21">
        <f>SUMIFS(Einzelbeträge!$D:$D,Einzelbeträge!$C:$C,'Ausgaben 2024'!$C393,Einzelbeträge!$E:$E,'Ausgaben 2024'!K$6)</f>
        <v>0</v>
      </c>
      <c r="L393" s="21">
        <f>SUMIFS(Einzelbeträge!$D:$D,Einzelbeträge!$C:$C,'Ausgaben 2024'!$C393,Einzelbeträge!$E:$E,'Ausgaben 2024'!L$6)</f>
        <v>0</v>
      </c>
      <c r="M393" s="21">
        <f>SUMIFS(Einzelbeträge!$D:$D,Einzelbeträge!$C:$C,'Ausgaben 2024'!$C393,Einzelbeträge!$E:$E,'Ausgaben 2024'!M$6)</f>
        <v>0</v>
      </c>
      <c r="N393" s="35">
        <f>SUMIFS(Einzelbeträge!$D:$D,Einzelbeträge!$C:$C,'Ausgaben 2024'!$C393,Einzelbeträge!$E:$E,'Ausgaben 2024'!N$6)</f>
        <v>0</v>
      </c>
      <c r="O393" s="6"/>
    </row>
    <row r="394" spans="2:15" x14ac:dyDescent="0.35">
      <c r="B394" s="5"/>
      <c r="C394" s="40">
        <f t="shared" si="35"/>
        <v>45646</v>
      </c>
      <c r="D394" s="46">
        <f>SUMIFS(Einzelbeträge!$D:$D,Einzelbeträge!$C:$C,'Ausgaben 2024'!$C394)</f>
        <v>0</v>
      </c>
      <c r="E394" s="21">
        <f>SUMIFS(Einzelbeträge!$D:$D,Einzelbeträge!$C:$C,'Ausgaben 2024'!$C394,Einzelbeträge!$E:$E,'Ausgaben 2024'!E$6)</f>
        <v>0</v>
      </c>
      <c r="F394" s="21">
        <f>SUMIFS(Einzelbeträge!$D:$D,Einzelbeträge!$C:$C,'Ausgaben 2024'!$C394,Einzelbeträge!$E:$E,'Ausgaben 2024'!F$6)</f>
        <v>0</v>
      </c>
      <c r="G394" s="21">
        <f>SUMIFS(Einzelbeträge!$D:$D,Einzelbeträge!$C:$C,'Ausgaben 2024'!$C394,Einzelbeträge!$E:$E,'Ausgaben 2024'!G$6)</f>
        <v>0</v>
      </c>
      <c r="H394" s="21">
        <f>SUMIFS(Einzelbeträge!$D:$D,Einzelbeträge!$C:$C,'Ausgaben 2024'!$C394,Einzelbeträge!$E:$E,'Ausgaben 2024'!H$6)</f>
        <v>0</v>
      </c>
      <c r="I394" s="21">
        <f>SUMIFS(Einzelbeträge!$D:$D,Einzelbeträge!$C:$C,'Ausgaben 2024'!$C394,Einzelbeträge!$E:$E,'Ausgaben 2024'!I$6)</f>
        <v>0</v>
      </c>
      <c r="J394" s="21">
        <f>SUMIFS(Einzelbeträge!$D:$D,Einzelbeträge!$C:$C,'Ausgaben 2024'!$C394,Einzelbeträge!$E:$E,'Ausgaben 2024'!J$6)</f>
        <v>0</v>
      </c>
      <c r="K394" s="21">
        <f>SUMIFS(Einzelbeträge!$D:$D,Einzelbeträge!$C:$C,'Ausgaben 2024'!$C394,Einzelbeträge!$E:$E,'Ausgaben 2024'!K$6)</f>
        <v>0</v>
      </c>
      <c r="L394" s="21">
        <f>SUMIFS(Einzelbeträge!$D:$D,Einzelbeträge!$C:$C,'Ausgaben 2024'!$C394,Einzelbeträge!$E:$E,'Ausgaben 2024'!L$6)</f>
        <v>0</v>
      </c>
      <c r="M394" s="21">
        <f>SUMIFS(Einzelbeträge!$D:$D,Einzelbeträge!$C:$C,'Ausgaben 2024'!$C394,Einzelbeträge!$E:$E,'Ausgaben 2024'!M$6)</f>
        <v>0</v>
      </c>
      <c r="N394" s="35">
        <f>SUMIFS(Einzelbeträge!$D:$D,Einzelbeträge!$C:$C,'Ausgaben 2024'!$C394,Einzelbeträge!$E:$E,'Ausgaben 2024'!N$6)</f>
        <v>0</v>
      </c>
      <c r="O394" s="6"/>
    </row>
    <row r="395" spans="2:15" x14ac:dyDescent="0.35">
      <c r="B395" s="5"/>
      <c r="C395" s="40">
        <f t="shared" si="35"/>
        <v>45647</v>
      </c>
      <c r="D395" s="46">
        <f>SUMIFS(Einzelbeträge!$D:$D,Einzelbeträge!$C:$C,'Ausgaben 2024'!$C395)</f>
        <v>0</v>
      </c>
      <c r="E395" s="21">
        <f>SUMIFS(Einzelbeträge!$D:$D,Einzelbeträge!$C:$C,'Ausgaben 2024'!$C395,Einzelbeträge!$E:$E,'Ausgaben 2024'!E$6)</f>
        <v>0</v>
      </c>
      <c r="F395" s="21">
        <f>SUMIFS(Einzelbeträge!$D:$D,Einzelbeträge!$C:$C,'Ausgaben 2024'!$C395,Einzelbeträge!$E:$E,'Ausgaben 2024'!F$6)</f>
        <v>0</v>
      </c>
      <c r="G395" s="21">
        <f>SUMIFS(Einzelbeträge!$D:$D,Einzelbeträge!$C:$C,'Ausgaben 2024'!$C395,Einzelbeträge!$E:$E,'Ausgaben 2024'!G$6)</f>
        <v>0</v>
      </c>
      <c r="H395" s="21">
        <f>SUMIFS(Einzelbeträge!$D:$D,Einzelbeträge!$C:$C,'Ausgaben 2024'!$C395,Einzelbeträge!$E:$E,'Ausgaben 2024'!H$6)</f>
        <v>0</v>
      </c>
      <c r="I395" s="21">
        <f>SUMIFS(Einzelbeträge!$D:$D,Einzelbeträge!$C:$C,'Ausgaben 2024'!$C395,Einzelbeträge!$E:$E,'Ausgaben 2024'!I$6)</f>
        <v>0</v>
      </c>
      <c r="J395" s="21">
        <f>SUMIFS(Einzelbeträge!$D:$D,Einzelbeträge!$C:$C,'Ausgaben 2024'!$C395,Einzelbeträge!$E:$E,'Ausgaben 2024'!J$6)</f>
        <v>0</v>
      </c>
      <c r="K395" s="21">
        <f>SUMIFS(Einzelbeträge!$D:$D,Einzelbeträge!$C:$C,'Ausgaben 2024'!$C395,Einzelbeträge!$E:$E,'Ausgaben 2024'!K$6)</f>
        <v>0</v>
      </c>
      <c r="L395" s="21">
        <f>SUMIFS(Einzelbeträge!$D:$D,Einzelbeträge!$C:$C,'Ausgaben 2024'!$C395,Einzelbeträge!$E:$E,'Ausgaben 2024'!L$6)</f>
        <v>0</v>
      </c>
      <c r="M395" s="21">
        <f>SUMIFS(Einzelbeträge!$D:$D,Einzelbeträge!$C:$C,'Ausgaben 2024'!$C395,Einzelbeträge!$E:$E,'Ausgaben 2024'!M$6)</f>
        <v>0</v>
      </c>
      <c r="N395" s="35">
        <f>SUMIFS(Einzelbeträge!$D:$D,Einzelbeträge!$C:$C,'Ausgaben 2024'!$C395,Einzelbeträge!$E:$E,'Ausgaben 2024'!N$6)</f>
        <v>0</v>
      </c>
      <c r="O395" s="6"/>
    </row>
    <row r="396" spans="2:15" x14ac:dyDescent="0.35">
      <c r="B396" s="5"/>
      <c r="C396" s="40">
        <f t="shared" si="35"/>
        <v>45648</v>
      </c>
      <c r="D396" s="46">
        <f>SUMIFS(Einzelbeträge!$D:$D,Einzelbeträge!$C:$C,'Ausgaben 2024'!$C396)</f>
        <v>0</v>
      </c>
      <c r="E396" s="21">
        <f>SUMIFS(Einzelbeträge!$D:$D,Einzelbeträge!$C:$C,'Ausgaben 2024'!$C396,Einzelbeträge!$E:$E,'Ausgaben 2024'!E$6)</f>
        <v>0</v>
      </c>
      <c r="F396" s="21">
        <f>SUMIFS(Einzelbeträge!$D:$D,Einzelbeträge!$C:$C,'Ausgaben 2024'!$C396,Einzelbeträge!$E:$E,'Ausgaben 2024'!F$6)</f>
        <v>0</v>
      </c>
      <c r="G396" s="21">
        <f>SUMIFS(Einzelbeträge!$D:$D,Einzelbeträge!$C:$C,'Ausgaben 2024'!$C396,Einzelbeträge!$E:$E,'Ausgaben 2024'!G$6)</f>
        <v>0</v>
      </c>
      <c r="H396" s="21">
        <f>SUMIFS(Einzelbeträge!$D:$D,Einzelbeträge!$C:$C,'Ausgaben 2024'!$C396,Einzelbeträge!$E:$E,'Ausgaben 2024'!H$6)</f>
        <v>0</v>
      </c>
      <c r="I396" s="21">
        <f>SUMIFS(Einzelbeträge!$D:$D,Einzelbeträge!$C:$C,'Ausgaben 2024'!$C396,Einzelbeträge!$E:$E,'Ausgaben 2024'!I$6)</f>
        <v>0</v>
      </c>
      <c r="J396" s="21">
        <f>SUMIFS(Einzelbeträge!$D:$D,Einzelbeträge!$C:$C,'Ausgaben 2024'!$C396,Einzelbeträge!$E:$E,'Ausgaben 2024'!J$6)</f>
        <v>0</v>
      </c>
      <c r="K396" s="21">
        <f>SUMIFS(Einzelbeträge!$D:$D,Einzelbeträge!$C:$C,'Ausgaben 2024'!$C396,Einzelbeträge!$E:$E,'Ausgaben 2024'!K$6)</f>
        <v>0</v>
      </c>
      <c r="L396" s="21">
        <f>SUMIFS(Einzelbeträge!$D:$D,Einzelbeträge!$C:$C,'Ausgaben 2024'!$C396,Einzelbeträge!$E:$E,'Ausgaben 2024'!L$6)</f>
        <v>0</v>
      </c>
      <c r="M396" s="21">
        <f>SUMIFS(Einzelbeträge!$D:$D,Einzelbeträge!$C:$C,'Ausgaben 2024'!$C396,Einzelbeträge!$E:$E,'Ausgaben 2024'!M$6)</f>
        <v>0</v>
      </c>
      <c r="N396" s="35">
        <f>SUMIFS(Einzelbeträge!$D:$D,Einzelbeträge!$C:$C,'Ausgaben 2024'!$C396,Einzelbeträge!$E:$E,'Ausgaben 2024'!N$6)</f>
        <v>0</v>
      </c>
      <c r="O396" s="6"/>
    </row>
    <row r="397" spans="2:15" x14ac:dyDescent="0.35">
      <c r="B397" s="5"/>
      <c r="C397" s="40">
        <f t="shared" si="35"/>
        <v>45649</v>
      </c>
      <c r="D397" s="46">
        <f>SUMIFS(Einzelbeträge!$D:$D,Einzelbeträge!$C:$C,'Ausgaben 2024'!$C397)</f>
        <v>0</v>
      </c>
      <c r="E397" s="21">
        <f>SUMIFS(Einzelbeträge!$D:$D,Einzelbeträge!$C:$C,'Ausgaben 2024'!$C397,Einzelbeträge!$E:$E,'Ausgaben 2024'!E$6)</f>
        <v>0</v>
      </c>
      <c r="F397" s="21">
        <f>SUMIFS(Einzelbeträge!$D:$D,Einzelbeträge!$C:$C,'Ausgaben 2024'!$C397,Einzelbeträge!$E:$E,'Ausgaben 2024'!F$6)</f>
        <v>0</v>
      </c>
      <c r="G397" s="21">
        <f>SUMIFS(Einzelbeträge!$D:$D,Einzelbeträge!$C:$C,'Ausgaben 2024'!$C397,Einzelbeträge!$E:$E,'Ausgaben 2024'!G$6)</f>
        <v>0</v>
      </c>
      <c r="H397" s="21">
        <f>SUMIFS(Einzelbeträge!$D:$D,Einzelbeträge!$C:$C,'Ausgaben 2024'!$C397,Einzelbeträge!$E:$E,'Ausgaben 2024'!H$6)</f>
        <v>0</v>
      </c>
      <c r="I397" s="21">
        <f>SUMIFS(Einzelbeträge!$D:$D,Einzelbeträge!$C:$C,'Ausgaben 2024'!$C397,Einzelbeträge!$E:$E,'Ausgaben 2024'!I$6)</f>
        <v>0</v>
      </c>
      <c r="J397" s="21">
        <f>SUMIFS(Einzelbeträge!$D:$D,Einzelbeträge!$C:$C,'Ausgaben 2024'!$C397,Einzelbeträge!$E:$E,'Ausgaben 2024'!J$6)</f>
        <v>0</v>
      </c>
      <c r="K397" s="21">
        <f>SUMIFS(Einzelbeträge!$D:$D,Einzelbeträge!$C:$C,'Ausgaben 2024'!$C397,Einzelbeträge!$E:$E,'Ausgaben 2024'!K$6)</f>
        <v>0</v>
      </c>
      <c r="L397" s="21">
        <f>SUMIFS(Einzelbeträge!$D:$D,Einzelbeträge!$C:$C,'Ausgaben 2024'!$C397,Einzelbeträge!$E:$E,'Ausgaben 2024'!L$6)</f>
        <v>0</v>
      </c>
      <c r="M397" s="21">
        <f>SUMIFS(Einzelbeträge!$D:$D,Einzelbeträge!$C:$C,'Ausgaben 2024'!$C397,Einzelbeträge!$E:$E,'Ausgaben 2024'!M$6)</f>
        <v>0</v>
      </c>
      <c r="N397" s="35">
        <f>SUMIFS(Einzelbeträge!$D:$D,Einzelbeträge!$C:$C,'Ausgaben 2024'!$C397,Einzelbeträge!$E:$E,'Ausgaben 2024'!N$6)</f>
        <v>0</v>
      </c>
      <c r="O397" s="6"/>
    </row>
    <row r="398" spans="2:15" x14ac:dyDescent="0.35">
      <c r="B398" s="5"/>
      <c r="C398" s="40">
        <f t="shared" si="35"/>
        <v>45650</v>
      </c>
      <c r="D398" s="46">
        <f>SUMIFS(Einzelbeträge!$D:$D,Einzelbeträge!$C:$C,'Ausgaben 2024'!$C398)</f>
        <v>0</v>
      </c>
      <c r="E398" s="21">
        <f>SUMIFS(Einzelbeträge!$D:$D,Einzelbeträge!$C:$C,'Ausgaben 2024'!$C398,Einzelbeträge!$E:$E,'Ausgaben 2024'!E$6)</f>
        <v>0</v>
      </c>
      <c r="F398" s="21">
        <f>SUMIFS(Einzelbeträge!$D:$D,Einzelbeträge!$C:$C,'Ausgaben 2024'!$C398,Einzelbeträge!$E:$E,'Ausgaben 2024'!F$6)</f>
        <v>0</v>
      </c>
      <c r="G398" s="21">
        <f>SUMIFS(Einzelbeträge!$D:$D,Einzelbeträge!$C:$C,'Ausgaben 2024'!$C398,Einzelbeträge!$E:$E,'Ausgaben 2024'!G$6)</f>
        <v>0</v>
      </c>
      <c r="H398" s="21">
        <f>SUMIFS(Einzelbeträge!$D:$D,Einzelbeträge!$C:$C,'Ausgaben 2024'!$C398,Einzelbeträge!$E:$E,'Ausgaben 2024'!H$6)</f>
        <v>0</v>
      </c>
      <c r="I398" s="21">
        <f>SUMIFS(Einzelbeträge!$D:$D,Einzelbeträge!$C:$C,'Ausgaben 2024'!$C398,Einzelbeträge!$E:$E,'Ausgaben 2024'!I$6)</f>
        <v>0</v>
      </c>
      <c r="J398" s="21">
        <f>SUMIFS(Einzelbeträge!$D:$D,Einzelbeträge!$C:$C,'Ausgaben 2024'!$C398,Einzelbeträge!$E:$E,'Ausgaben 2024'!J$6)</f>
        <v>0</v>
      </c>
      <c r="K398" s="21">
        <f>SUMIFS(Einzelbeträge!$D:$D,Einzelbeträge!$C:$C,'Ausgaben 2024'!$C398,Einzelbeträge!$E:$E,'Ausgaben 2024'!K$6)</f>
        <v>0</v>
      </c>
      <c r="L398" s="21">
        <f>SUMIFS(Einzelbeträge!$D:$D,Einzelbeträge!$C:$C,'Ausgaben 2024'!$C398,Einzelbeträge!$E:$E,'Ausgaben 2024'!L$6)</f>
        <v>0</v>
      </c>
      <c r="M398" s="21">
        <f>SUMIFS(Einzelbeträge!$D:$D,Einzelbeträge!$C:$C,'Ausgaben 2024'!$C398,Einzelbeträge!$E:$E,'Ausgaben 2024'!M$6)</f>
        <v>0</v>
      </c>
      <c r="N398" s="35">
        <f>SUMIFS(Einzelbeträge!$D:$D,Einzelbeträge!$C:$C,'Ausgaben 2024'!$C398,Einzelbeträge!$E:$E,'Ausgaben 2024'!N$6)</f>
        <v>0</v>
      </c>
      <c r="O398" s="6"/>
    </row>
    <row r="399" spans="2:15" x14ac:dyDescent="0.35">
      <c r="B399" s="5"/>
      <c r="C399" s="40">
        <f t="shared" si="35"/>
        <v>45651</v>
      </c>
      <c r="D399" s="46">
        <f>SUMIFS(Einzelbeträge!$D:$D,Einzelbeträge!$C:$C,'Ausgaben 2024'!$C399)</f>
        <v>0</v>
      </c>
      <c r="E399" s="21">
        <f>SUMIFS(Einzelbeträge!$D:$D,Einzelbeträge!$C:$C,'Ausgaben 2024'!$C399,Einzelbeträge!$E:$E,'Ausgaben 2024'!E$6)</f>
        <v>0</v>
      </c>
      <c r="F399" s="21">
        <f>SUMIFS(Einzelbeträge!$D:$D,Einzelbeträge!$C:$C,'Ausgaben 2024'!$C399,Einzelbeträge!$E:$E,'Ausgaben 2024'!F$6)</f>
        <v>0</v>
      </c>
      <c r="G399" s="21">
        <f>SUMIFS(Einzelbeträge!$D:$D,Einzelbeträge!$C:$C,'Ausgaben 2024'!$C399,Einzelbeträge!$E:$E,'Ausgaben 2024'!G$6)</f>
        <v>0</v>
      </c>
      <c r="H399" s="21">
        <f>SUMIFS(Einzelbeträge!$D:$D,Einzelbeträge!$C:$C,'Ausgaben 2024'!$C399,Einzelbeträge!$E:$E,'Ausgaben 2024'!H$6)</f>
        <v>0</v>
      </c>
      <c r="I399" s="21">
        <f>SUMIFS(Einzelbeträge!$D:$D,Einzelbeträge!$C:$C,'Ausgaben 2024'!$C399,Einzelbeträge!$E:$E,'Ausgaben 2024'!I$6)</f>
        <v>0</v>
      </c>
      <c r="J399" s="21">
        <f>SUMIFS(Einzelbeträge!$D:$D,Einzelbeträge!$C:$C,'Ausgaben 2024'!$C399,Einzelbeträge!$E:$E,'Ausgaben 2024'!J$6)</f>
        <v>0</v>
      </c>
      <c r="K399" s="21">
        <f>SUMIFS(Einzelbeträge!$D:$D,Einzelbeträge!$C:$C,'Ausgaben 2024'!$C399,Einzelbeträge!$E:$E,'Ausgaben 2024'!K$6)</f>
        <v>0</v>
      </c>
      <c r="L399" s="21">
        <f>SUMIFS(Einzelbeträge!$D:$D,Einzelbeträge!$C:$C,'Ausgaben 2024'!$C399,Einzelbeträge!$E:$E,'Ausgaben 2024'!L$6)</f>
        <v>0</v>
      </c>
      <c r="M399" s="21">
        <f>SUMIFS(Einzelbeträge!$D:$D,Einzelbeträge!$C:$C,'Ausgaben 2024'!$C399,Einzelbeträge!$E:$E,'Ausgaben 2024'!M$6)</f>
        <v>0</v>
      </c>
      <c r="N399" s="35">
        <f>SUMIFS(Einzelbeträge!$D:$D,Einzelbeträge!$C:$C,'Ausgaben 2024'!$C399,Einzelbeträge!$E:$E,'Ausgaben 2024'!N$6)</f>
        <v>0</v>
      </c>
      <c r="O399" s="6"/>
    </row>
    <row r="400" spans="2:15" x14ac:dyDescent="0.35">
      <c r="B400" s="5"/>
      <c r="C400" s="40">
        <f t="shared" si="35"/>
        <v>45652</v>
      </c>
      <c r="D400" s="46">
        <f>SUMIFS(Einzelbeträge!$D:$D,Einzelbeträge!$C:$C,'Ausgaben 2024'!$C400)</f>
        <v>0</v>
      </c>
      <c r="E400" s="21">
        <f>SUMIFS(Einzelbeträge!$D:$D,Einzelbeträge!$C:$C,'Ausgaben 2024'!$C400,Einzelbeträge!$E:$E,'Ausgaben 2024'!E$6)</f>
        <v>0</v>
      </c>
      <c r="F400" s="21">
        <f>SUMIFS(Einzelbeträge!$D:$D,Einzelbeträge!$C:$C,'Ausgaben 2024'!$C400,Einzelbeträge!$E:$E,'Ausgaben 2024'!F$6)</f>
        <v>0</v>
      </c>
      <c r="G400" s="21">
        <f>SUMIFS(Einzelbeträge!$D:$D,Einzelbeträge!$C:$C,'Ausgaben 2024'!$C400,Einzelbeträge!$E:$E,'Ausgaben 2024'!G$6)</f>
        <v>0</v>
      </c>
      <c r="H400" s="21">
        <f>SUMIFS(Einzelbeträge!$D:$D,Einzelbeträge!$C:$C,'Ausgaben 2024'!$C400,Einzelbeträge!$E:$E,'Ausgaben 2024'!H$6)</f>
        <v>0</v>
      </c>
      <c r="I400" s="21">
        <f>SUMIFS(Einzelbeträge!$D:$D,Einzelbeträge!$C:$C,'Ausgaben 2024'!$C400,Einzelbeträge!$E:$E,'Ausgaben 2024'!I$6)</f>
        <v>0</v>
      </c>
      <c r="J400" s="21">
        <f>SUMIFS(Einzelbeträge!$D:$D,Einzelbeträge!$C:$C,'Ausgaben 2024'!$C400,Einzelbeträge!$E:$E,'Ausgaben 2024'!J$6)</f>
        <v>0</v>
      </c>
      <c r="K400" s="21">
        <f>SUMIFS(Einzelbeträge!$D:$D,Einzelbeträge!$C:$C,'Ausgaben 2024'!$C400,Einzelbeträge!$E:$E,'Ausgaben 2024'!K$6)</f>
        <v>0</v>
      </c>
      <c r="L400" s="21">
        <f>SUMIFS(Einzelbeträge!$D:$D,Einzelbeträge!$C:$C,'Ausgaben 2024'!$C400,Einzelbeträge!$E:$E,'Ausgaben 2024'!L$6)</f>
        <v>0</v>
      </c>
      <c r="M400" s="21">
        <f>SUMIFS(Einzelbeträge!$D:$D,Einzelbeträge!$C:$C,'Ausgaben 2024'!$C400,Einzelbeträge!$E:$E,'Ausgaben 2024'!M$6)</f>
        <v>0</v>
      </c>
      <c r="N400" s="35">
        <f>SUMIFS(Einzelbeträge!$D:$D,Einzelbeträge!$C:$C,'Ausgaben 2024'!$C400,Einzelbeträge!$E:$E,'Ausgaben 2024'!N$6)</f>
        <v>0</v>
      </c>
      <c r="O400" s="6"/>
    </row>
    <row r="401" spans="2:15" x14ac:dyDescent="0.35">
      <c r="B401" s="5"/>
      <c r="C401" s="40">
        <f t="shared" si="35"/>
        <v>45653</v>
      </c>
      <c r="D401" s="46">
        <f>SUMIFS(Einzelbeträge!$D:$D,Einzelbeträge!$C:$C,'Ausgaben 2024'!$C401)</f>
        <v>0</v>
      </c>
      <c r="E401" s="21">
        <f>SUMIFS(Einzelbeträge!$D:$D,Einzelbeträge!$C:$C,'Ausgaben 2024'!$C401,Einzelbeträge!$E:$E,'Ausgaben 2024'!E$6)</f>
        <v>0</v>
      </c>
      <c r="F401" s="21">
        <f>SUMIFS(Einzelbeträge!$D:$D,Einzelbeträge!$C:$C,'Ausgaben 2024'!$C401,Einzelbeträge!$E:$E,'Ausgaben 2024'!F$6)</f>
        <v>0</v>
      </c>
      <c r="G401" s="21">
        <f>SUMIFS(Einzelbeträge!$D:$D,Einzelbeträge!$C:$C,'Ausgaben 2024'!$C401,Einzelbeträge!$E:$E,'Ausgaben 2024'!G$6)</f>
        <v>0</v>
      </c>
      <c r="H401" s="21">
        <f>SUMIFS(Einzelbeträge!$D:$D,Einzelbeträge!$C:$C,'Ausgaben 2024'!$C401,Einzelbeträge!$E:$E,'Ausgaben 2024'!H$6)</f>
        <v>0</v>
      </c>
      <c r="I401" s="21">
        <f>SUMIFS(Einzelbeträge!$D:$D,Einzelbeträge!$C:$C,'Ausgaben 2024'!$C401,Einzelbeträge!$E:$E,'Ausgaben 2024'!I$6)</f>
        <v>0</v>
      </c>
      <c r="J401" s="21">
        <f>SUMIFS(Einzelbeträge!$D:$D,Einzelbeträge!$C:$C,'Ausgaben 2024'!$C401,Einzelbeträge!$E:$E,'Ausgaben 2024'!J$6)</f>
        <v>0</v>
      </c>
      <c r="K401" s="21">
        <f>SUMIFS(Einzelbeträge!$D:$D,Einzelbeträge!$C:$C,'Ausgaben 2024'!$C401,Einzelbeträge!$E:$E,'Ausgaben 2024'!K$6)</f>
        <v>0</v>
      </c>
      <c r="L401" s="21">
        <f>SUMIFS(Einzelbeträge!$D:$D,Einzelbeträge!$C:$C,'Ausgaben 2024'!$C401,Einzelbeträge!$E:$E,'Ausgaben 2024'!L$6)</f>
        <v>0</v>
      </c>
      <c r="M401" s="21">
        <f>SUMIFS(Einzelbeträge!$D:$D,Einzelbeträge!$C:$C,'Ausgaben 2024'!$C401,Einzelbeträge!$E:$E,'Ausgaben 2024'!M$6)</f>
        <v>0</v>
      </c>
      <c r="N401" s="35">
        <f>SUMIFS(Einzelbeträge!$D:$D,Einzelbeträge!$C:$C,'Ausgaben 2024'!$C401,Einzelbeträge!$E:$E,'Ausgaben 2024'!N$6)</f>
        <v>0</v>
      </c>
      <c r="O401" s="6"/>
    </row>
    <row r="402" spans="2:15" x14ac:dyDescent="0.35">
      <c r="B402" s="5"/>
      <c r="C402" s="40">
        <f t="shared" si="35"/>
        <v>45654</v>
      </c>
      <c r="D402" s="46">
        <f>SUMIFS(Einzelbeträge!$D:$D,Einzelbeträge!$C:$C,'Ausgaben 2024'!$C402)</f>
        <v>0</v>
      </c>
      <c r="E402" s="21">
        <f>SUMIFS(Einzelbeträge!$D:$D,Einzelbeträge!$C:$C,'Ausgaben 2024'!$C402,Einzelbeträge!$E:$E,'Ausgaben 2024'!E$6)</f>
        <v>0</v>
      </c>
      <c r="F402" s="21">
        <f>SUMIFS(Einzelbeträge!$D:$D,Einzelbeträge!$C:$C,'Ausgaben 2024'!$C402,Einzelbeträge!$E:$E,'Ausgaben 2024'!F$6)</f>
        <v>0</v>
      </c>
      <c r="G402" s="21">
        <f>SUMIFS(Einzelbeträge!$D:$D,Einzelbeträge!$C:$C,'Ausgaben 2024'!$C402,Einzelbeträge!$E:$E,'Ausgaben 2024'!G$6)</f>
        <v>0</v>
      </c>
      <c r="H402" s="21">
        <f>SUMIFS(Einzelbeträge!$D:$D,Einzelbeträge!$C:$C,'Ausgaben 2024'!$C402,Einzelbeträge!$E:$E,'Ausgaben 2024'!H$6)</f>
        <v>0</v>
      </c>
      <c r="I402" s="21">
        <f>SUMIFS(Einzelbeträge!$D:$D,Einzelbeträge!$C:$C,'Ausgaben 2024'!$C402,Einzelbeträge!$E:$E,'Ausgaben 2024'!I$6)</f>
        <v>0</v>
      </c>
      <c r="J402" s="21">
        <f>SUMIFS(Einzelbeträge!$D:$D,Einzelbeträge!$C:$C,'Ausgaben 2024'!$C402,Einzelbeträge!$E:$E,'Ausgaben 2024'!J$6)</f>
        <v>0</v>
      </c>
      <c r="K402" s="21">
        <f>SUMIFS(Einzelbeträge!$D:$D,Einzelbeträge!$C:$C,'Ausgaben 2024'!$C402,Einzelbeträge!$E:$E,'Ausgaben 2024'!K$6)</f>
        <v>0</v>
      </c>
      <c r="L402" s="21">
        <f>SUMIFS(Einzelbeträge!$D:$D,Einzelbeträge!$C:$C,'Ausgaben 2024'!$C402,Einzelbeträge!$E:$E,'Ausgaben 2024'!L$6)</f>
        <v>0</v>
      </c>
      <c r="M402" s="21">
        <f>SUMIFS(Einzelbeträge!$D:$D,Einzelbeträge!$C:$C,'Ausgaben 2024'!$C402,Einzelbeträge!$E:$E,'Ausgaben 2024'!M$6)</f>
        <v>0</v>
      </c>
      <c r="N402" s="35">
        <f>SUMIFS(Einzelbeträge!$D:$D,Einzelbeträge!$C:$C,'Ausgaben 2024'!$C402,Einzelbeträge!$E:$E,'Ausgaben 2024'!N$6)</f>
        <v>0</v>
      </c>
      <c r="O402" s="6"/>
    </row>
    <row r="403" spans="2:15" x14ac:dyDescent="0.35">
      <c r="B403" s="5"/>
      <c r="C403" s="40">
        <f t="shared" si="35"/>
        <v>45655</v>
      </c>
      <c r="D403" s="46">
        <f>SUMIFS(Einzelbeträge!$D:$D,Einzelbeträge!$C:$C,'Ausgaben 2024'!$C403)</f>
        <v>0</v>
      </c>
      <c r="E403" s="21">
        <f>SUMIFS(Einzelbeträge!$D:$D,Einzelbeträge!$C:$C,'Ausgaben 2024'!$C403,Einzelbeträge!$E:$E,'Ausgaben 2024'!E$6)</f>
        <v>0</v>
      </c>
      <c r="F403" s="21">
        <f>SUMIFS(Einzelbeträge!$D:$D,Einzelbeträge!$C:$C,'Ausgaben 2024'!$C403,Einzelbeträge!$E:$E,'Ausgaben 2024'!F$6)</f>
        <v>0</v>
      </c>
      <c r="G403" s="21">
        <f>SUMIFS(Einzelbeträge!$D:$D,Einzelbeträge!$C:$C,'Ausgaben 2024'!$C403,Einzelbeträge!$E:$E,'Ausgaben 2024'!G$6)</f>
        <v>0</v>
      </c>
      <c r="H403" s="21">
        <f>SUMIFS(Einzelbeträge!$D:$D,Einzelbeträge!$C:$C,'Ausgaben 2024'!$C403,Einzelbeträge!$E:$E,'Ausgaben 2024'!H$6)</f>
        <v>0</v>
      </c>
      <c r="I403" s="21">
        <f>SUMIFS(Einzelbeträge!$D:$D,Einzelbeträge!$C:$C,'Ausgaben 2024'!$C403,Einzelbeträge!$E:$E,'Ausgaben 2024'!I$6)</f>
        <v>0</v>
      </c>
      <c r="J403" s="21">
        <f>SUMIFS(Einzelbeträge!$D:$D,Einzelbeträge!$C:$C,'Ausgaben 2024'!$C403,Einzelbeträge!$E:$E,'Ausgaben 2024'!J$6)</f>
        <v>0</v>
      </c>
      <c r="K403" s="21">
        <f>SUMIFS(Einzelbeträge!$D:$D,Einzelbeträge!$C:$C,'Ausgaben 2024'!$C403,Einzelbeträge!$E:$E,'Ausgaben 2024'!K$6)</f>
        <v>0</v>
      </c>
      <c r="L403" s="21">
        <f>SUMIFS(Einzelbeträge!$D:$D,Einzelbeträge!$C:$C,'Ausgaben 2024'!$C403,Einzelbeträge!$E:$E,'Ausgaben 2024'!L$6)</f>
        <v>0</v>
      </c>
      <c r="M403" s="21">
        <f>SUMIFS(Einzelbeträge!$D:$D,Einzelbeträge!$C:$C,'Ausgaben 2024'!$C403,Einzelbeträge!$E:$E,'Ausgaben 2024'!M$6)</f>
        <v>0</v>
      </c>
      <c r="N403" s="35">
        <f>SUMIFS(Einzelbeträge!$D:$D,Einzelbeträge!$C:$C,'Ausgaben 2024'!$C403,Einzelbeträge!$E:$E,'Ausgaben 2024'!N$6)</f>
        <v>0</v>
      </c>
      <c r="O403" s="6"/>
    </row>
    <row r="404" spans="2:15" x14ac:dyDescent="0.35">
      <c r="B404" s="5"/>
      <c r="C404" s="40">
        <f t="shared" si="35"/>
        <v>45656</v>
      </c>
      <c r="D404" s="46">
        <f>SUMIFS(Einzelbeträge!$D:$D,Einzelbeträge!$C:$C,'Ausgaben 2024'!$C404)</f>
        <v>0</v>
      </c>
      <c r="E404" s="21">
        <f>SUMIFS(Einzelbeträge!$D:$D,Einzelbeträge!$C:$C,'Ausgaben 2024'!$C404,Einzelbeträge!$E:$E,'Ausgaben 2024'!E$6)</f>
        <v>0</v>
      </c>
      <c r="F404" s="21">
        <f>SUMIFS(Einzelbeträge!$D:$D,Einzelbeträge!$C:$C,'Ausgaben 2024'!$C404,Einzelbeträge!$E:$E,'Ausgaben 2024'!F$6)</f>
        <v>0</v>
      </c>
      <c r="G404" s="21">
        <f>SUMIFS(Einzelbeträge!$D:$D,Einzelbeträge!$C:$C,'Ausgaben 2024'!$C404,Einzelbeträge!$E:$E,'Ausgaben 2024'!G$6)</f>
        <v>0</v>
      </c>
      <c r="H404" s="21">
        <f>SUMIFS(Einzelbeträge!$D:$D,Einzelbeträge!$C:$C,'Ausgaben 2024'!$C404,Einzelbeträge!$E:$E,'Ausgaben 2024'!H$6)</f>
        <v>0</v>
      </c>
      <c r="I404" s="21">
        <f>SUMIFS(Einzelbeträge!$D:$D,Einzelbeträge!$C:$C,'Ausgaben 2024'!$C404,Einzelbeträge!$E:$E,'Ausgaben 2024'!I$6)</f>
        <v>0</v>
      </c>
      <c r="J404" s="21">
        <f>SUMIFS(Einzelbeträge!$D:$D,Einzelbeträge!$C:$C,'Ausgaben 2024'!$C404,Einzelbeträge!$E:$E,'Ausgaben 2024'!J$6)</f>
        <v>0</v>
      </c>
      <c r="K404" s="21">
        <f>SUMIFS(Einzelbeträge!$D:$D,Einzelbeträge!$C:$C,'Ausgaben 2024'!$C404,Einzelbeträge!$E:$E,'Ausgaben 2024'!K$6)</f>
        <v>0</v>
      </c>
      <c r="L404" s="21">
        <f>SUMIFS(Einzelbeträge!$D:$D,Einzelbeträge!$C:$C,'Ausgaben 2024'!$C404,Einzelbeträge!$E:$E,'Ausgaben 2024'!L$6)</f>
        <v>0</v>
      </c>
      <c r="M404" s="21">
        <f>SUMIFS(Einzelbeträge!$D:$D,Einzelbeträge!$C:$C,'Ausgaben 2024'!$C404,Einzelbeträge!$E:$E,'Ausgaben 2024'!M$6)</f>
        <v>0</v>
      </c>
      <c r="N404" s="35">
        <f>SUMIFS(Einzelbeträge!$D:$D,Einzelbeträge!$C:$C,'Ausgaben 2024'!$C404,Einzelbeträge!$E:$E,'Ausgaben 2024'!N$6)</f>
        <v>0</v>
      </c>
      <c r="O404" s="6"/>
    </row>
    <row r="405" spans="2:15" x14ac:dyDescent="0.35">
      <c r="B405" s="5"/>
      <c r="C405" s="31">
        <f t="shared" si="35"/>
        <v>45657</v>
      </c>
      <c r="D405" s="47">
        <f>SUMIFS(Einzelbeträge!$D:$D,Einzelbeträge!$C:$C,'Ausgaben 2024'!$C405)</f>
        <v>0</v>
      </c>
      <c r="E405" s="37">
        <f>SUMIFS(Einzelbeträge!$D:$D,Einzelbeträge!$C:$C,'Ausgaben 2024'!$C405,Einzelbeträge!$E:$E,'Ausgaben 2024'!E$6)</f>
        <v>0</v>
      </c>
      <c r="F405" s="37">
        <f>SUMIFS(Einzelbeträge!$D:$D,Einzelbeträge!$C:$C,'Ausgaben 2024'!$C405,Einzelbeträge!$E:$E,'Ausgaben 2024'!F$6)</f>
        <v>0</v>
      </c>
      <c r="G405" s="37">
        <f>SUMIFS(Einzelbeträge!$D:$D,Einzelbeträge!$C:$C,'Ausgaben 2024'!$C405,Einzelbeträge!$E:$E,'Ausgaben 2024'!G$6)</f>
        <v>0</v>
      </c>
      <c r="H405" s="37">
        <f>SUMIFS(Einzelbeträge!$D:$D,Einzelbeträge!$C:$C,'Ausgaben 2024'!$C405,Einzelbeträge!$E:$E,'Ausgaben 2024'!H$6)</f>
        <v>0</v>
      </c>
      <c r="I405" s="37">
        <f>SUMIFS(Einzelbeträge!$D:$D,Einzelbeträge!$C:$C,'Ausgaben 2024'!$C405,Einzelbeträge!$E:$E,'Ausgaben 2024'!I$6)</f>
        <v>0</v>
      </c>
      <c r="J405" s="37">
        <f>SUMIFS(Einzelbeträge!$D:$D,Einzelbeträge!$C:$C,'Ausgaben 2024'!$C405,Einzelbeträge!$E:$E,'Ausgaben 2024'!J$6)</f>
        <v>0</v>
      </c>
      <c r="K405" s="37">
        <f>SUMIFS(Einzelbeträge!$D:$D,Einzelbeträge!$C:$C,'Ausgaben 2024'!$C405,Einzelbeträge!$E:$E,'Ausgaben 2024'!K$6)</f>
        <v>0</v>
      </c>
      <c r="L405" s="37">
        <f>SUMIFS(Einzelbeträge!$D:$D,Einzelbeträge!$C:$C,'Ausgaben 2024'!$C405,Einzelbeträge!$E:$E,'Ausgaben 2024'!L$6)</f>
        <v>0</v>
      </c>
      <c r="M405" s="37">
        <f>SUMIFS(Einzelbeträge!$D:$D,Einzelbeträge!$C:$C,'Ausgaben 2024'!$C405,Einzelbeträge!$E:$E,'Ausgaben 2024'!M$6)</f>
        <v>0</v>
      </c>
      <c r="N405" s="38">
        <f>SUMIFS(Einzelbeträge!$D:$D,Einzelbeträge!$C:$C,'Ausgaben 2024'!$C405,Einzelbeträge!$E:$E,'Ausgaben 2024'!N$6)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phoneticPr fontId="4" type="noConversion"/>
  <conditionalFormatting sqref="C69">
    <cfRule type="containsBlanks" dxfId="117" priority="2">
      <formula>LEN(TRIM(C69))=0</formula>
    </cfRule>
  </conditionalFormatting>
  <conditionalFormatting sqref="D69:N69">
    <cfRule type="expression" dxfId="116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0" operator="equal" id="{1308528C-9173-41C8-97BB-3BFD1AD1EE41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31" operator="lessThan" id="{E530F65F-22C1-4DAC-9621-BBF96BD5E9F1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32" operator="greaterThan" id="{B75EC3DC-804F-48CD-A3F4-D8AB76C92D57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39" operator="equal" id="{B1AD0CB2-508B-44F8-A6C3-232A38F18C73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0" operator="lessThan" id="{ACEC20AF-AF77-4F3D-A402-B78C8EC2B342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41" operator="greaterThan" id="{1C895168-5FD8-467E-A605-4AA60B7FBA65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20" operator="greaterThan" id="{A63E3CA7-7ADB-4FD6-A3D0-C2EC316B6DE3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AH12:AR12 AH13:AR13 AH15:AR15 AH17:AR17</xm:sqref>
        </x14:conditionalFormatting>
        <x14:conditionalFormatting xmlns:xm="http://schemas.microsoft.com/office/excel/2006/main">
          <x14:cfRule type="cellIs" priority="15" operator="equal" id="{BFBE9A01-03E0-4AEA-BD12-F8AE6B04396B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AC498BB7-2ED0-4ACE-B96D-C2BF053D76B2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49BBB778-E520-47D7-A0DD-A96846E7E51A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8" operator="equal" id="{CB83E81A-4BC4-451A-8698-29FD953C0DE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9" operator="lessThan" id="{53F94347-099B-49DB-BD00-A8E7119FD025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24AD53C7-D50D-4218-8961-8C7BACFDD903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8B7C94E1-B97F-4EFA-926B-9C010CD1FA7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E06EC8AE-100B-4CBB-BDE8-B62DF2FB18AE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D1AFEB23-8ED3-4F72-BEFC-4C24635A06F8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540C5E68-770A-49EC-B099-A647AF57B37B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7D40312E-6F1C-4A6E-A36B-21280249F6CE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68DC897-4002-497E-B8C4-0D55D6A7E35C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EB4BC2A1-F95A-4043-A82C-247C93CF3237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C47A965D-5FEB-4F1B-8BFC-130D596F78DA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B4556-B3EC-4B8E-B0CC-007F7C102E67}">
  <sheetPr codeName="Sheet7"/>
  <dimension ref="B1:AD87"/>
  <sheetViews>
    <sheetView topLeftCell="A65" zoomScale="62" zoomScaleNormal="40" workbookViewId="0">
      <selection activeCell="M15" sqref="M1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12.453125" style="63" bestFit="1" customWidth="1"/>
    <col min="5" max="7" width="2.81640625" customWidth="1"/>
    <col min="8" max="8" width="20.1796875" bestFit="1" customWidth="1"/>
    <col min="9" max="9" width="13" style="63" bestFit="1" customWidth="1"/>
    <col min="10" max="12" width="2.81640625" customWidth="1"/>
    <col min="13" max="13" width="20.1796875" bestFit="1" customWidth="1"/>
    <col min="14" max="14" width="12.453125" style="63" bestFit="1" customWidth="1"/>
    <col min="15" max="17" width="2.81640625" customWidth="1"/>
    <col min="18" max="18" width="20.1796875" bestFit="1" customWidth="1"/>
    <col min="19" max="19" width="12.453125" style="63" bestFit="1" customWidth="1"/>
    <col min="20" max="22" width="2.81640625" customWidth="1"/>
    <col min="23" max="23" width="20.1796875" bestFit="1" customWidth="1"/>
    <col min="24" max="24" width="14.1796875" style="63" bestFit="1" customWidth="1"/>
    <col min="25" max="27" width="2.81640625" customWidth="1"/>
    <col min="28" max="28" width="20.1796875" bestFit="1" customWidth="1"/>
    <col min="29" max="29" width="13.453125" style="63" bestFit="1" customWidth="1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2023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0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0"/>
        <v>0</v>
      </c>
      <c r="E14" s="6"/>
    </row>
    <row r="15" spans="2:5" x14ac:dyDescent="0.35">
      <c r="B15" s="5"/>
      <c r="C15" s="13" t="s">
        <v>34</v>
      </c>
      <c r="D15" s="67">
        <f t="shared" si="0"/>
        <v>0</v>
      </c>
      <c r="E15" s="6"/>
    </row>
    <row r="16" spans="2:5" x14ac:dyDescent="0.35">
      <c r="B16" s="5"/>
      <c r="C16" s="13" t="s">
        <v>0</v>
      </c>
      <c r="D16" s="67">
        <f t="shared" si="0"/>
        <v>0</v>
      </c>
      <c r="E16" s="6"/>
    </row>
    <row r="17" spans="2:30" x14ac:dyDescent="0.35">
      <c r="B17" s="5"/>
      <c r="C17" s="13" t="s">
        <v>1</v>
      </c>
      <c r="D17" s="67">
        <f t="shared" si="0"/>
        <v>0</v>
      </c>
      <c r="E17" s="6"/>
    </row>
    <row r="18" spans="2:30" x14ac:dyDescent="0.35">
      <c r="B18" s="5"/>
      <c r="C18" s="13" t="s">
        <v>3</v>
      </c>
      <c r="D18" s="67">
        <f t="shared" si="0"/>
        <v>0</v>
      </c>
      <c r="E18" s="6"/>
    </row>
    <row r="19" spans="2:30" x14ac:dyDescent="0.35">
      <c r="B19" s="5"/>
      <c r="C19" s="13" t="s">
        <v>2</v>
      </c>
      <c r="D19" s="67">
        <f t="shared" si="0"/>
        <v>0</v>
      </c>
      <c r="E19" s="6"/>
    </row>
    <row r="20" spans="2:30" x14ac:dyDescent="0.35">
      <c r="B20" s="5"/>
      <c r="C20" s="13" t="s">
        <v>42</v>
      </c>
      <c r="D20" s="67">
        <f t="shared" si="0"/>
        <v>0</v>
      </c>
      <c r="E20" s="6"/>
    </row>
    <row r="21" spans="2:30" x14ac:dyDescent="0.35">
      <c r="B21" s="5"/>
      <c r="C21" s="13" t="s">
        <v>65</v>
      </c>
      <c r="D21" s="67">
        <f t="shared" si="0"/>
        <v>0</v>
      </c>
      <c r="E21" s="6"/>
    </row>
    <row r="22" spans="2:30" x14ac:dyDescent="0.35">
      <c r="B22" s="5"/>
      <c r="C22" s="13" t="s">
        <v>64</v>
      </c>
      <c r="D22" s="67">
        <f t="shared" si="0"/>
        <v>0</v>
      </c>
      <c r="E22" s="6"/>
    </row>
    <row r="23" spans="2:30" x14ac:dyDescent="0.35">
      <c r="B23" s="5"/>
      <c r="C23" s="13" t="s">
        <v>63</v>
      </c>
      <c r="D23" s="67">
        <f t="shared" si="0"/>
        <v>0</v>
      </c>
      <c r="E23" s="6"/>
    </row>
    <row r="24" spans="2:30" x14ac:dyDescent="0.35">
      <c r="B24" s="5"/>
      <c r="C24" s="13" t="s">
        <v>62</v>
      </c>
      <c r="D24" s="67">
        <f t="shared" si="0"/>
        <v>0</v>
      </c>
      <c r="E24" s="6"/>
    </row>
    <row r="25" spans="2:30" x14ac:dyDescent="0.35">
      <c r="B25" s="5"/>
      <c r="C25" s="13" t="s">
        <v>61</v>
      </c>
      <c r="D25" s="67">
        <f t="shared" si="0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/>
      <c r="E45" s="6"/>
      <c r="G45" s="5"/>
      <c r="H45" s="13" t="s">
        <v>0</v>
      </c>
      <c r="I45" s="67"/>
      <c r="J45" s="6"/>
      <c r="L45" s="5"/>
      <c r="M45" s="13" t="s">
        <v>0</v>
      </c>
      <c r="N45" s="67"/>
      <c r="O45" s="6"/>
      <c r="Q45" s="5"/>
      <c r="R45" s="13" t="s">
        <v>0</v>
      </c>
      <c r="S45" s="67"/>
      <c r="T45" s="6"/>
      <c r="V45" s="5"/>
      <c r="W45" s="13" t="s">
        <v>0</v>
      </c>
      <c r="X45" s="67"/>
      <c r="Y45" s="6"/>
      <c r="AA45" s="5"/>
      <c r="AB45" s="13" t="s">
        <v>0</v>
      </c>
      <c r="AC45" s="67"/>
      <c r="AD45" s="6"/>
    </row>
    <row r="46" spans="2:30" x14ac:dyDescent="0.35">
      <c r="B46" s="5"/>
      <c r="C46" s="13" t="s">
        <v>1</v>
      </c>
      <c r="D46" s="67"/>
      <c r="E46" s="6"/>
      <c r="G46" s="5"/>
      <c r="H46" s="13" t="s">
        <v>1</v>
      </c>
      <c r="I46" s="67"/>
      <c r="J46" s="6"/>
      <c r="L46" s="5"/>
      <c r="M46" s="13" t="s">
        <v>1</v>
      </c>
      <c r="N46" s="67"/>
      <c r="O46" s="6"/>
      <c r="Q46" s="5"/>
      <c r="R46" s="13" t="s">
        <v>1</v>
      </c>
      <c r="S46" s="67"/>
      <c r="T46" s="6"/>
      <c r="V46" s="5"/>
      <c r="W46" s="13" t="s">
        <v>1</v>
      </c>
      <c r="X46" s="67"/>
      <c r="Y46" s="6"/>
      <c r="AA46" s="5"/>
      <c r="AB46" s="13" t="s">
        <v>1</v>
      </c>
      <c r="AC46" s="67"/>
      <c r="AD46" s="6"/>
    </row>
    <row r="47" spans="2:30" x14ac:dyDescent="0.35">
      <c r="B47" s="5"/>
      <c r="C47" s="13" t="s">
        <v>3</v>
      </c>
      <c r="D47" s="67"/>
      <c r="E47" s="6"/>
      <c r="G47" s="5"/>
      <c r="H47" s="13" t="s">
        <v>3</v>
      </c>
      <c r="I47" s="67"/>
      <c r="J47" s="6"/>
      <c r="L47" s="5"/>
      <c r="M47" s="13" t="s">
        <v>3</v>
      </c>
      <c r="N47" s="67"/>
      <c r="O47" s="6"/>
      <c r="Q47" s="5"/>
      <c r="R47" s="13" t="s">
        <v>3</v>
      </c>
      <c r="S47" s="67"/>
      <c r="T47" s="6"/>
      <c r="V47" s="5"/>
      <c r="W47" s="13" t="s">
        <v>3</v>
      </c>
      <c r="X47" s="67"/>
      <c r="Y47" s="6"/>
      <c r="AA47" s="5"/>
      <c r="AB47" s="13" t="s">
        <v>3</v>
      </c>
      <c r="AC47" s="67"/>
      <c r="AD47" s="6"/>
    </row>
    <row r="48" spans="2:30" x14ac:dyDescent="0.35">
      <c r="B48" s="5"/>
      <c r="C48" s="13" t="s">
        <v>2</v>
      </c>
      <c r="D48" s="67"/>
      <c r="E48" s="6"/>
      <c r="G48" s="5"/>
      <c r="H48" s="13" t="s">
        <v>2</v>
      </c>
      <c r="I48" s="67"/>
      <c r="J48" s="6"/>
      <c r="L48" s="5"/>
      <c r="M48" s="13" t="s">
        <v>2</v>
      </c>
      <c r="N48" s="67"/>
      <c r="O48" s="6"/>
      <c r="Q48" s="5"/>
      <c r="R48" s="13" t="s">
        <v>2</v>
      </c>
      <c r="S48" s="67"/>
      <c r="T48" s="6"/>
      <c r="V48" s="5"/>
      <c r="W48" s="13" t="s">
        <v>2</v>
      </c>
      <c r="X48" s="67"/>
      <c r="Y48" s="6"/>
      <c r="AA48" s="5"/>
      <c r="AB48" s="13" t="s">
        <v>2</v>
      </c>
      <c r="AC48" s="67"/>
      <c r="AD48" s="6"/>
    </row>
    <row r="49" spans="2:30" x14ac:dyDescent="0.35">
      <c r="B49" s="5"/>
      <c r="C49" s="13" t="s">
        <v>42</v>
      </c>
      <c r="D49" s="67"/>
      <c r="E49" s="6"/>
      <c r="G49" s="5"/>
      <c r="H49" s="13" t="s">
        <v>42</v>
      </c>
      <c r="I49" s="67"/>
      <c r="J49" s="6"/>
      <c r="L49" s="5"/>
      <c r="M49" s="13" t="s">
        <v>42</v>
      </c>
      <c r="N49" s="67"/>
      <c r="O49" s="6"/>
      <c r="Q49" s="5"/>
      <c r="R49" s="13" t="s">
        <v>42</v>
      </c>
      <c r="S49" s="67"/>
      <c r="T49" s="6"/>
      <c r="V49" s="5"/>
      <c r="W49" s="13" t="s">
        <v>42</v>
      </c>
      <c r="X49" s="67"/>
      <c r="Y49" s="6"/>
      <c r="AA49" s="5"/>
      <c r="AB49" s="13" t="s">
        <v>42</v>
      </c>
      <c r="AC49" s="67"/>
      <c r="AD49" s="6"/>
    </row>
    <row r="50" spans="2:30" x14ac:dyDescent="0.35">
      <c r="B50" s="5"/>
      <c r="C50" s="13" t="s">
        <v>65</v>
      </c>
      <c r="D50" s="67"/>
      <c r="E50" s="6"/>
      <c r="G50" s="5"/>
      <c r="H50" s="13" t="s">
        <v>65</v>
      </c>
      <c r="I50" s="67"/>
      <c r="J50" s="6"/>
      <c r="L50" s="5"/>
      <c r="M50" s="13" t="s">
        <v>65</v>
      </c>
      <c r="N50" s="67"/>
      <c r="O50" s="6"/>
      <c r="Q50" s="5"/>
      <c r="R50" s="13" t="s">
        <v>65</v>
      </c>
      <c r="S50" s="67"/>
      <c r="T50" s="6"/>
      <c r="V50" s="5"/>
      <c r="W50" s="13" t="s">
        <v>65</v>
      </c>
      <c r="X50" s="67"/>
      <c r="Y50" s="6"/>
      <c r="AA50" s="5"/>
      <c r="AB50" s="13" t="s">
        <v>65</v>
      </c>
      <c r="AC50" s="67"/>
      <c r="AD50" s="6"/>
    </row>
    <row r="51" spans="2:30" x14ac:dyDescent="0.35">
      <c r="B51" s="5"/>
      <c r="C51" s="13" t="s">
        <v>64</v>
      </c>
      <c r="D51" s="67"/>
      <c r="E51" s="6"/>
      <c r="G51" s="5"/>
      <c r="H51" s="13" t="s">
        <v>64</v>
      </c>
      <c r="I51" s="67"/>
      <c r="J51" s="6"/>
      <c r="L51" s="5"/>
      <c r="M51" s="13" t="s">
        <v>64</v>
      </c>
      <c r="N51" s="67"/>
      <c r="O51" s="6"/>
      <c r="Q51" s="5"/>
      <c r="R51" s="13" t="s">
        <v>64</v>
      </c>
      <c r="S51" s="67"/>
      <c r="T51" s="6"/>
      <c r="V51" s="5"/>
      <c r="W51" s="13" t="s">
        <v>64</v>
      </c>
      <c r="X51" s="67"/>
      <c r="Y51" s="6"/>
      <c r="AA51" s="5"/>
      <c r="AB51" s="13" t="s">
        <v>64</v>
      </c>
      <c r="AC51" s="67"/>
      <c r="AD51" s="6"/>
    </row>
    <row r="52" spans="2:30" x14ac:dyDescent="0.35">
      <c r="B52" s="5"/>
      <c r="C52" s="13" t="s">
        <v>63</v>
      </c>
      <c r="D52" s="67"/>
      <c r="E52" s="6"/>
      <c r="G52" s="5"/>
      <c r="H52" s="13" t="s">
        <v>63</v>
      </c>
      <c r="I52" s="67"/>
      <c r="J52" s="6"/>
      <c r="L52" s="5"/>
      <c r="M52" s="13" t="s">
        <v>63</v>
      </c>
      <c r="N52" s="67"/>
      <c r="O52" s="6"/>
      <c r="Q52" s="5"/>
      <c r="R52" s="13" t="s">
        <v>63</v>
      </c>
      <c r="S52" s="67"/>
      <c r="T52" s="6"/>
      <c r="V52" s="5"/>
      <c r="W52" s="13" t="s">
        <v>63</v>
      </c>
      <c r="X52" s="67"/>
      <c r="Y52" s="6"/>
      <c r="AA52" s="5"/>
      <c r="AB52" s="13" t="s">
        <v>63</v>
      </c>
      <c r="AC52" s="67"/>
      <c r="AD52" s="6"/>
    </row>
    <row r="53" spans="2:30" x14ac:dyDescent="0.35">
      <c r="B53" s="5"/>
      <c r="C53" s="13" t="s">
        <v>62</v>
      </c>
      <c r="D53" s="67"/>
      <c r="E53" s="6"/>
      <c r="G53" s="5"/>
      <c r="H53" s="13" t="s">
        <v>62</v>
      </c>
      <c r="I53" s="67"/>
      <c r="J53" s="6"/>
      <c r="L53" s="5"/>
      <c r="M53" s="13" t="s">
        <v>62</v>
      </c>
      <c r="N53" s="67"/>
      <c r="O53" s="6"/>
      <c r="Q53" s="5"/>
      <c r="R53" s="13" t="s">
        <v>62</v>
      </c>
      <c r="S53" s="67"/>
      <c r="T53" s="6"/>
      <c r="V53" s="5"/>
      <c r="W53" s="13" t="s">
        <v>62</v>
      </c>
      <c r="X53" s="67"/>
      <c r="Y53" s="6"/>
      <c r="AA53" s="5"/>
      <c r="AB53" s="13" t="s">
        <v>62</v>
      </c>
      <c r="AC53" s="67"/>
      <c r="AD53" s="6"/>
    </row>
    <row r="54" spans="2:30" x14ac:dyDescent="0.35">
      <c r="B54" s="5"/>
      <c r="C54" s="13" t="s">
        <v>61</v>
      </c>
      <c r="D54" s="67"/>
      <c r="E54" s="6"/>
      <c r="G54" s="5"/>
      <c r="H54" s="13" t="s">
        <v>61</v>
      </c>
      <c r="I54" s="67"/>
      <c r="J54" s="6"/>
      <c r="L54" s="5"/>
      <c r="M54" s="13" t="s">
        <v>61</v>
      </c>
      <c r="N54" s="67"/>
      <c r="O54" s="6"/>
      <c r="Q54" s="5"/>
      <c r="R54" s="13" t="s">
        <v>61</v>
      </c>
      <c r="S54" s="67"/>
      <c r="T54" s="6"/>
      <c r="V54" s="5"/>
      <c r="W54" s="13" t="s">
        <v>61</v>
      </c>
      <c r="X54" s="67"/>
      <c r="Y54" s="6"/>
      <c r="AA54" s="5"/>
      <c r="AB54" s="13" t="s">
        <v>61</v>
      </c>
      <c r="AC54" s="67"/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/>
      <c r="E74" s="6"/>
      <c r="G74" s="5"/>
      <c r="H74" s="13" t="s">
        <v>0</v>
      </c>
      <c r="I74" s="67"/>
      <c r="J74" s="6"/>
      <c r="L74" s="5"/>
      <c r="M74" s="13" t="s">
        <v>0</v>
      </c>
      <c r="N74" s="67"/>
      <c r="O74" s="6"/>
      <c r="Q74" s="5"/>
      <c r="R74" s="13" t="s">
        <v>0</v>
      </c>
      <c r="S74" s="67">
        <f>_xlfn.XLOOKUP(R74,'Ausgaben 2023'!$AI$5:$AR$5,'Ausgaben 2023'!$AI$15:$AR$15)</f>
        <v>0</v>
      </c>
      <c r="T74" s="6"/>
      <c r="V74" s="5"/>
      <c r="W74" s="13" t="s">
        <v>0</v>
      </c>
      <c r="X74" s="67">
        <f>_xlfn.XLOOKUP(W74,'Ausgaben 2023'!$AI$5:$AR$5,'Ausgaben 2023'!$AI$16:$AR$16)</f>
        <v>0</v>
      </c>
      <c r="Y74" s="6"/>
      <c r="AA74" s="5"/>
      <c r="AB74" s="13" t="s">
        <v>0</v>
      </c>
      <c r="AC74" s="67">
        <f>_xlfn.XLOOKUP(AB74,'Ausgaben 2023'!$AI$5:$AR$5,'Ausgaben 2023'!$AI$17:$AR$17)</f>
        <v>0</v>
      </c>
      <c r="AD74" s="6"/>
    </row>
    <row r="75" spans="2:30" x14ac:dyDescent="0.35">
      <c r="B75" s="5"/>
      <c r="C75" s="13" t="s">
        <v>1</v>
      </c>
      <c r="D75" s="67"/>
      <c r="E75" s="6"/>
      <c r="G75" s="5"/>
      <c r="H75" s="13" t="s">
        <v>1</v>
      </c>
      <c r="I75" s="67"/>
      <c r="J75" s="6"/>
      <c r="L75" s="5"/>
      <c r="M75" s="13" t="s">
        <v>1</v>
      </c>
      <c r="N75" s="67"/>
      <c r="O75" s="6"/>
      <c r="Q75" s="5"/>
      <c r="R75" s="13" t="s">
        <v>1</v>
      </c>
      <c r="S75" s="67">
        <f>_xlfn.XLOOKUP(R75,'Ausgaben 2023'!$AI$5:$AR$5,'Ausgaben 2023'!$AI$15:$AR$15)</f>
        <v>0</v>
      </c>
      <c r="T75" s="6"/>
      <c r="V75" s="5"/>
      <c r="W75" s="13" t="s">
        <v>1</v>
      </c>
      <c r="X75" s="67">
        <f>_xlfn.XLOOKUP(W75,'Ausgaben 2023'!$AI$5:$AR$5,'Ausgaben 2023'!$AI$16:$AR$16)</f>
        <v>0</v>
      </c>
      <c r="Y75" s="6"/>
      <c r="AA75" s="5"/>
      <c r="AB75" s="13" t="s">
        <v>1</v>
      </c>
      <c r="AC75" s="67">
        <f>_xlfn.XLOOKUP(AB75,'Ausgaben 2023'!$AI$5:$AR$5,'Ausgaben 2023'!$AI$17:$AR$17)</f>
        <v>0</v>
      </c>
      <c r="AD75" s="6"/>
    </row>
    <row r="76" spans="2:30" x14ac:dyDescent="0.35">
      <c r="B76" s="5"/>
      <c r="C76" s="13" t="s">
        <v>3</v>
      </c>
      <c r="D76" s="67"/>
      <c r="E76" s="6"/>
      <c r="G76" s="5"/>
      <c r="H76" s="13" t="s">
        <v>3</v>
      </c>
      <c r="I76" s="67"/>
      <c r="J76" s="6"/>
      <c r="L76" s="5"/>
      <c r="M76" s="13" t="s">
        <v>3</v>
      </c>
      <c r="N76" s="67"/>
      <c r="O76" s="6"/>
      <c r="Q76" s="5"/>
      <c r="R76" s="13" t="s">
        <v>3</v>
      </c>
      <c r="S76" s="67">
        <f>_xlfn.XLOOKUP(R76,'Ausgaben 2023'!$AI$5:$AR$5,'Ausgaben 2023'!$AI$15:$AR$15)</f>
        <v>0</v>
      </c>
      <c r="T76" s="6"/>
      <c r="V76" s="5"/>
      <c r="W76" s="13" t="s">
        <v>3</v>
      </c>
      <c r="X76" s="67">
        <f>_xlfn.XLOOKUP(W76,'Ausgaben 2023'!$AI$5:$AR$5,'Ausgaben 2023'!$AI$16:$AR$16)</f>
        <v>0</v>
      </c>
      <c r="Y76" s="6"/>
      <c r="AA76" s="5"/>
      <c r="AB76" s="13" t="s">
        <v>3</v>
      </c>
      <c r="AC76" s="67">
        <f>_xlfn.XLOOKUP(AB76,'Ausgaben 2023'!$AI$5:$AR$5,'Ausgaben 2023'!$AI$17:$AR$17)</f>
        <v>0</v>
      </c>
      <c r="AD76" s="6"/>
    </row>
    <row r="77" spans="2:30" x14ac:dyDescent="0.35">
      <c r="B77" s="5"/>
      <c r="C77" s="13" t="s">
        <v>2</v>
      </c>
      <c r="D77" s="67"/>
      <c r="E77" s="6"/>
      <c r="G77" s="5"/>
      <c r="H77" s="13" t="s">
        <v>2</v>
      </c>
      <c r="I77" s="67"/>
      <c r="J77" s="6"/>
      <c r="L77" s="5"/>
      <c r="M77" s="13" t="s">
        <v>2</v>
      </c>
      <c r="N77" s="67"/>
      <c r="O77" s="6"/>
      <c r="Q77" s="5"/>
      <c r="R77" s="13" t="s">
        <v>2</v>
      </c>
      <c r="S77" s="67">
        <f>_xlfn.XLOOKUP(R77,'Ausgaben 2023'!$AI$5:$AR$5,'Ausgaben 2023'!$AI$15:$AR$15)</f>
        <v>0</v>
      </c>
      <c r="T77" s="6"/>
      <c r="V77" s="5"/>
      <c r="W77" s="13" t="s">
        <v>2</v>
      </c>
      <c r="X77" s="67">
        <f>_xlfn.XLOOKUP(W77,'Ausgaben 2023'!$AI$5:$AR$5,'Ausgaben 2023'!$AI$16:$AR$16)</f>
        <v>0</v>
      </c>
      <c r="Y77" s="6"/>
      <c r="AA77" s="5"/>
      <c r="AB77" s="13" t="s">
        <v>2</v>
      </c>
      <c r="AC77" s="67">
        <f>_xlfn.XLOOKUP(AB77,'Ausgaben 2023'!$AI$5:$AR$5,'Ausgaben 2023'!$AI$17:$AR$17)</f>
        <v>0</v>
      </c>
      <c r="AD77" s="6"/>
    </row>
    <row r="78" spans="2:30" x14ac:dyDescent="0.35">
      <c r="B78" s="5"/>
      <c r="C78" s="13" t="s">
        <v>42</v>
      </c>
      <c r="D78" s="67"/>
      <c r="E78" s="6"/>
      <c r="G78" s="5"/>
      <c r="H78" s="13" t="s">
        <v>42</v>
      </c>
      <c r="I78" s="67"/>
      <c r="J78" s="6"/>
      <c r="L78" s="5"/>
      <c r="M78" s="13" t="s">
        <v>42</v>
      </c>
      <c r="N78" s="67"/>
      <c r="O78" s="6"/>
      <c r="Q78" s="5"/>
      <c r="R78" s="13" t="s">
        <v>42</v>
      </c>
      <c r="S78" s="67">
        <f>_xlfn.XLOOKUP(R78,'Ausgaben 2023'!$AI$5:$AR$5,'Ausgaben 2023'!$AI$15:$AR$15)</f>
        <v>0</v>
      </c>
      <c r="T78" s="6"/>
      <c r="V78" s="5"/>
      <c r="W78" s="13" t="s">
        <v>42</v>
      </c>
      <c r="X78" s="67">
        <f>_xlfn.XLOOKUP(W78,'Ausgaben 2023'!$AI$5:$AR$5,'Ausgaben 2023'!$AI$16:$AR$16)</f>
        <v>0</v>
      </c>
      <c r="Y78" s="6"/>
      <c r="AA78" s="5"/>
      <c r="AB78" s="13" t="s">
        <v>42</v>
      </c>
      <c r="AC78" s="67">
        <f>_xlfn.XLOOKUP(AB78,'Ausgaben 2023'!$AI$5:$AR$5,'Ausgaben 2023'!$AI$17:$AR$17)</f>
        <v>0</v>
      </c>
      <c r="AD78" s="6"/>
    </row>
    <row r="79" spans="2:30" x14ac:dyDescent="0.35">
      <c r="B79" s="5"/>
      <c r="C79" s="13" t="s">
        <v>65</v>
      </c>
      <c r="D79" s="67"/>
      <c r="E79" s="6"/>
      <c r="G79" s="5"/>
      <c r="H79" s="13" t="s">
        <v>65</v>
      </c>
      <c r="I79" s="67"/>
      <c r="J79" s="6"/>
      <c r="L79" s="5"/>
      <c r="M79" s="13" t="s">
        <v>65</v>
      </c>
      <c r="N79" s="67"/>
      <c r="O79" s="6"/>
      <c r="Q79" s="5"/>
      <c r="R79" s="13" t="s">
        <v>65</v>
      </c>
      <c r="S79" s="67">
        <f>_xlfn.XLOOKUP(R79,'Ausgaben 2023'!$AI$5:$AR$5,'Ausgaben 2023'!$AI$15:$AR$15)</f>
        <v>0</v>
      </c>
      <c r="T79" s="6"/>
      <c r="V79" s="5"/>
      <c r="W79" s="13" t="s">
        <v>65</v>
      </c>
      <c r="X79" s="67">
        <f>_xlfn.XLOOKUP(W79,'Ausgaben 2023'!$AI$5:$AR$5,'Ausgaben 2023'!$AI$16:$AR$16)</f>
        <v>0</v>
      </c>
      <c r="Y79" s="6"/>
      <c r="AA79" s="5"/>
      <c r="AB79" s="13" t="s">
        <v>65</v>
      </c>
      <c r="AC79" s="67">
        <f>_xlfn.XLOOKUP(AB79,'Ausgaben 2023'!$AI$5:$AR$5,'Ausgaben 2023'!$AI$17:$AR$17)</f>
        <v>0</v>
      </c>
      <c r="AD79" s="6"/>
    </row>
    <row r="80" spans="2:30" x14ac:dyDescent="0.35">
      <c r="B80" s="5"/>
      <c r="C80" s="13" t="s">
        <v>64</v>
      </c>
      <c r="D80" s="67"/>
      <c r="E80" s="6"/>
      <c r="G80" s="5"/>
      <c r="H80" s="13" t="s">
        <v>64</v>
      </c>
      <c r="I80" s="67"/>
      <c r="J80" s="6"/>
      <c r="L80" s="5"/>
      <c r="M80" s="13" t="s">
        <v>64</v>
      </c>
      <c r="N80" s="67"/>
      <c r="O80" s="6"/>
      <c r="Q80" s="5"/>
      <c r="R80" s="13" t="s">
        <v>64</v>
      </c>
      <c r="S80" s="67">
        <f>_xlfn.XLOOKUP(R80,'Ausgaben 2023'!$AI$5:$AR$5,'Ausgaben 2023'!$AI$15:$AR$15)</f>
        <v>0</v>
      </c>
      <c r="T80" s="6"/>
      <c r="V80" s="5"/>
      <c r="W80" s="13" t="s">
        <v>64</v>
      </c>
      <c r="X80" s="67">
        <f>_xlfn.XLOOKUP(W80,'Ausgaben 2023'!$AI$5:$AR$5,'Ausgaben 2023'!$AI$16:$AR$16)</f>
        <v>0</v>
      </c>
      <c r="Y80" s="6"/>
      <c r="AA80" s="5"/>
      <c r="AB80" s="13" t="s">
        <v>64</v>
      </c>
      <c r="AC80" s="67">
        <f>_xlfn.XLOOKUP(AB80,'Ausgaben 2023'!$AI$5:$AR$5,'Ausgaben 2023'!$AI$17:$AR$17)</f>
        <v>0</v>
      </c>
      <c r="AD80" s="6"/>
    </row>
    <row r="81" spans="2:30" x14ac:dyDescent="0.35">
      <c r="B81" s="5"/>
      <c r="C81" s="13" t="s">
        <v>63</v>
      </c>
      <c r="D81" s="67"/>
      <c r="E81" s="6"/>
      <c r="G81" s="5"/>
      <c r="H81" s="13" t="s">
        <v>63</v>
      </c>
      <c r="I81" s="67"/>
      <c r="J81" s="6"/>
      <c r="L81" s="5"/>
      <c r="M81" s="13" t="s">
        <v>63</v>
      </c>
      <c r="N81" s="67"/>
      <c r="O81" s="6"/>
      <c r="Q81" s="5"/>
      <c r="R81" s="13" t="s">
        <v>63</v>
      </c>
      <c r="S81" s="67">
        <f>_xlfn.XLOOKUP(R81,'Ausgaben 2023'!$AI$5:$AR$5,'Ausgaben 2023'!$AI$15:$AR$15)</f>
        <v>0</v>
      </c>
      <c r="T81" s="6"/>
      <c r="V81" s="5"/>
      <c r="W81" s="13" t="s">
        <v>63</v>
      </c>
      <c r="X81" s="67">
        <f>_xlfn.XLOOKUP(W81,'Ausgaben 2023'!$AI$5:$AR$5,'Ausgaben 2023'!$AI$16:$AR$16)</f>
        <v>0</v>
      </c>
      <c r="Y81" s="6"/>
      <c r="AA81" s="5"/>
      <c r="AB81" s="13" t="s">
        <v>63</v>
      </c>
      <c r="AC81" s="67">
        <f>_xlfn.XLOOKUP(AB81,'Ausgaben 2023'!$AI$5:$AR$5,'Ausgaben 2023'!$AI$17:$AR$17)</f>
        <v>0</v>
      </c>
      <c r="AD81" s="6"/>
    </row>
    <row r="82" spans="2:30" x14ac:dyDescent="0.35">
      <c r="B82" s="5"/>
      <c r="C82" s="13" t="s">
        <v>62</v>
      </c>
      <c r="D82" s="67"/>
      <c r="E82" s="6"/>
      <c r="G82" s="5"/>
      <c r="H82" s="13" t="s">
        <v>62</v>
      </c>
      <c r="I82" s="67"/>
      <c r="J82" s="6"/>
      <c r="L82" s="5"/>
      <c r="M82" s="13" t="s">
        <v>62</v>
      </c>
      <c r="N82" s="67"/>
      <c r="O82" s="6"/>
      <c r="Q82" s="5"/>
      <c r="R82" s="13" t="s">
        <v>62</v>
      </c>
      <c r="S82" s="67">
        <f>_xlfn.XLOOKUP(R82,'Ausgaben 2023'!$AI$5:$AR$5,'Ausgaben 2023'!$AI$15:$AR$15)</f>
        <v>0</v>
      </c>
      <c r="T82" s="6"/>
      <c r="V82" s="5"/>
      <c r="W82" s="13" t="s">
        <v>62</v>
      </c>
      <c r="X82" s="67">
        <f>_xlfn.XLOOKUP(W82,'Ausgaben 2023'!$AI$5:$AR$5,'Ausgaben 2023'!$AI$16:$AR$16)</f>
        <v>0</v>
      </c>
      <c r="Y82" s="6"/>
      <c r="AA82" s="5"/>
      <c r="AB82" s="13" t="s">
        <v>62</v>
      </c>
      <c r="AC82" s="67">
        <f>_xlfn.XLOOKUP(AB82,'Ausgaben 2023'!$AI$5:$AR$5,'Ausgaben 2023'!$AI$17:$AR$17)</f>
        <v>0</v>
      </c>
      <c r="AD82" s="6"/>
    </row>
    <row r="83" spans="2:30" x14ac:dyDescent="0.35">
      <c r="B83" s="5"/>
      <c r="C83" s="13" t="s">
        <v>61</v>
      </c>
      <c r="D83" s="67"/>
      <c r="E83" s="6"/>
      <c r="G83" s="5"/>
      <c r="H83" s="13" t="s">
        <v>61</v>
      </c>
      <c r="I83" s="67"/>
      <c r="J83" s="6"/>
      <c r="L83" s="5"/>
      <c r="M83" s="13" t="s">
        <v>61</v>
      </c>
      <c r="N83" s="67"/>
      <c r="O83" s="6"/>
      <c r="Q83" s="5"/>
      <c r="R83" s="13" t="s">
        <v>61</v>
      </c>
      <c r="S83" s="67">
        <f>_xlfn.XLOOKUP(R83,'Ausgaben 2023'!$AI$5:$AR$5,'Ausgaben 2023'!$AI$15:$AR$15)</f>
        <v>0</v>
      </c>
      <c r="T83" s="6"/>
      <c r="V83" s="5"/>
      <c r="W83" s="13" t="s">
        <v>61</v>
      </c>
      <c r="X83" s="67">
        <f>_xlfn.XLOOKUP(W83,'Ausgaben 2023'!$AI$5:$AR$5,'Ausgaben 2023'!$AI$16:$AR$16)</f>
        <v>0</v>
      </c>
      <c r="Y83" s="6"/>
      <c r="AA83" s="5"/>
      <c r="AB83" s="13" t="s">
        <v>61</v>
      </c>
      <c r="AC83" s="67">
        <f>_xlfn.XLOOKUP(AB83,'Ausgaben 2023'!$AI$5:$AR$5,'Ausgaben 2023'!$AI$17:$AR$17)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44E96-FEE3-4DF8-9B69-A99BBE430FEA}">
  <sheetPr codeName="Sheet8"/>
  <dimension ref="B1:AS406"/>
  <sheetViews>
    <sheetView topLeftCell="S1" zoomScale="55" zoomScaleNormal="40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4" bestFit="1" customWidth="1"/>
    <col min="4" max="4" width="7.54296875" bestFit="1" customWidth="1"/>
    <col min="5" max="5" width="11.6328125" bestFit="1" customWidth="1"/>
    <col min="6" max="6" width="8.36328125" bestFit="1" customWidth="1"/>
    <col min="7" max="7" width="9.08984375" bestFit="1" customWidth="1"/>
    <col min="8" max="8" width="6.54296875" bestFit="1" customWidth="1"/>
    <col min="9" max="9" width="7.1796875" bestFit="1" customWidth="1"/>
    <col min="10" max="14" width="10" bestFit="1" customWidth="1"/>
    <col min="15" max="17" width="2.81640625" customWidth="1"/>
    <col min="18" max="18" width="22.1796875" bestFit="1" customWidth="1"/>
    <col min="19" max="19" width="7.54296875" bestFit="1" customWidth="1"/>
    <col min="20" max="20" width="11.6328125" bestFit="1" customWidth="1"/>
    <col min="21" max="21" width="8.36328125" bestFit="1" customWidth="1"/>
    <col min="22" max="22" width="9.08984375" bestFit="1" customWidth="1"/>
    <col min="23" max="23" width="6.54296875" bestFit="1" customWidth="1"/>
    <col min="24" max="24" width="7.1796875" bestFit="1" customWidth="1"/>
    <col min="25" max="29" width="10" bestFit="1" customWidth="1"/>
    <col min="30" max="32" width="2.81640625" customWidth="1"/>
    <col min="33" max="33" width="15.6328125" bestFit="1" customWidth="1"/>
    <col min="34" max="34" width="7.54296875" bestFit="1" customWidth="1"/>
    <col min="35" max="35" width="11.6328125" bestFit="1" customWidth="1"/>
    <col min="36" max="36" width="8.36328125" bestFit="1" customWidth="1"/>
    <col min="37" max="37" width="9.08984375" bestFit="1" customWidth="1"/>
    <col min="38" max="38" width="6.54296875" bestFit="1" customWidth="1"/>
    <col min="39" max="39" width="7.179687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6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26.12.2022 - 01.01.2023</v>
      </c>
      <c r="S6" s="89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44927</v>
      </c>
      <c r="D7" s="45">
        <f>SUMIFS(Einzelbeträge!$D:$D,Einzelbeträge!$C:$C,'Ausgaben 2023'!$C7)</f>
        <v>0</v>
      </c>
      <c r="E7" s="32">
        <f>SUMIFS(Einzelbeträge!$D:$D,Einzelbeträge!$C:$C,'Ausgaben 2023'!$C7,Einzelbeträge!$E:$E,'Ausgaben 2023'!E$6)</f>
        <v>0</v>
      </c>
      <c r="F7" s="32">
        <f>SUMIFS(Einzelbeträge!$D:$D,Einzelbeträge!$C:$C,'Ausgaben 2023'!$C7,Einzelbeträge!$E:$E,'Ausgaben 2023'!F$6)</f>
        <v>0</v>
      </c>
      <c r="G7" s="32">
        <f>SUMIFS(Einzelbeträge!$D:$D,Einzelbeträge!$C:$C,'Ausgaben 2023'!$C7,Einzelbeträge!$E:$E,'Ausgaben 2023'!G$6)</f>
        <v>0</v>
      </c>
      <c r="H7" s="32">
        <f>SUMIFS(Einzelbeträge!$D:$D,Einzelbeträge!$C:$C,'Ausgaben 2023'!$C7,Einzelbeträge!$E:$E,'Ausgaben 2023'!H$6)</f>
        <v>0</v>
      </c>
      <c r="I7" s="32">
        <f>SUMIFS(Einzelbeträge!$D:$D,Einzelbeträge!$C:$C,'Ausgaben 2023'!$C7,Einzelbeträge!$E:$E,'Ausgaben 2023'!I$6)</f>
        <v>0</v>
      </c>
      <c r="J7" s="32">
        <f>SUMIFS(Einzelbeträge!$D:$D,Einzelbeträge!$C:$C,'Ausgaben 2023'!$C7,Einzelbeträge!$E:$E,'Ausgaben 2023'!J$6)</f>
        <v>0</v>
      </c>
      <c r="K7" s="32">
        <f>SUMIFS(Einzelbeträge!$D:$D,Einzelbeträge!$C:$C,'Ausgaben 2023'!$C7,Einzelbeträge!$E:$E,'Ausgaben 2023'!K$6)</f>
        <v>0</v>
      </c>
      <c r="L7" s="32">
        <f>SUMIFS(Einzelbeträge!$D:$D,Einzelbeträge!$C:$C,'Ausgaben 2023'!$C7,Einzelbeträge!$E:$E,'Ausgaben 2023'!L$6)</f>
        <v>0</v>
      </c>
      <c r="M7" s="32">
        <f>SUMIFS(Einzelbeträge!$D:$D,Einzelbeträge!$C:$C,'Ausgaben 2023'!$C7,Einzelbeträge!$E:$E,'Ausgaben 2023'!M$6)</f>
        <v>0</v>
      </c>
      <c r="N7" s="33">
        <f>SUMIFS(Einzelbeträge!$D:$D,Einzelbeträge!$C:$C,'Ausgaben 2023'!$C7,Einzelbeträge!$E:$E,'Ausgaben 2023'!N$6)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02.01.2023 - 08.01.2023</v>
      </c>
      <c r="S7" s="90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44928</v>
      </c>
      <c r="D8" s="46">
        <f>SUMIFS(Einzelbeträge!$D:$D,Einzelbeträge!$C:$C,'Ausgaben 2023'!$C8)</f>
        <v>0</v>
      </c>
      <c r="E8" s="21">
        <f>SUMIFS(Einzelbeträge!$D:$D,Einzelbeträge!$C:$C,'Ausgaben 2023'!$C8,Einzelbeträge!$E:$E,'Ausgaben 2023'!E$6)</f>
        <v>0</v>
      </c>
      <c r="F8" s="21">
        <f>SUMIFS(Einzelbeträge!$D:$D,Einzelbeträge!$C:$C,'Ausgaben 2023'!$C8,Einzelbeträge!$E:$E,'Ausgaben 2023'!F$6)</f>
        <v>0</v>
      </c>
      <c r="G8" s="21">
        <f>SUMIFS(Einzelbeträge!$D:$D,Einzelbeträge!$C:$C,'Ausgaben 2023'!$C8,Einzelbeträge!$E:$E,'Ausgaben 2023'!G$6)</f>
        <v>0</v>
      </c>
      <c r="H8" s="21">
        <f>SUMIFS(Einzelbeträge!$D:$D,Einzelbeträge!$C:$C,'Ausgaben 2023'!$C8,Einzelbeträge!$E:$E,'Ausgaben 2023'!H$6)</f>
        <v>0</v>
      </c>
      <c r="I8" s="21">
        <f>SUMIFS(Einzelbeträge!$D:$D,Einzelbeträge!$C:$C,'Ausgaben 2023'!$C8,Einzelbeträge!$E:$E,'Ausgaben 2023'!I$6)</f>
        <v>0</v>
      </c>
      <c r="J8" s="21">
        <f>SUMIFS(Einzelbeträge!$D:$D,Einzelbeträge!$C:$C,'Ausgaben 2023'!$C8,Einzelbeträge!$E:$E,'Ausgaben 2023'!J$6)</f>
        <v>0</v>
      </c>
      <c r="K8" s="21">
        <f>SUMIFS(Einzelbeträge!$D:$D,Einzelbeträge!$C:$C,'Ausgaben 2023'!$C8,Einzelbeträge!$E:$E,'Ausgaben 2023'!K$6)</f>
        <v>0</v>
      </c>
      <c r="L8" s="21">
        <f>SUMIFS(Einzelbeträge!$D:$D,Einzelbeträge!$C:$C,'Ausgaben 2023'!$C8,Einzelbeträge!$E:$E,'Ausgaben 2023'!L$6)</f>
        <v>0</v>
      </c>
      <c r="M8" s="21">
        <f>SUMIFS(Einzelbeträge!$D:$D,Einzelbeträge!$C:$C,'Ausgaben 2023'!$C8,Einzelbeträge!$E:$E,'Ausgaben 2023'!M$6)</f>
        <v>0</v>
      </c>
      <c r="N8" s="35">
        <f>SUMIFS(Einzelbeträge!$D:$D,Einzelbeträge!$C:$C,'Ausgaben 2023'!$C8,Einzelbeträge!$E:$E,'Ausgaben 2023'!N$6)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09.01.2023 - 15.01.2023</v>
      </c>
      <c r="S8" s="90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44929</v>
      </c>
      <c r="D9" s="46">
        <f>SUMIFS(Einzelbeträge!$D:$D,Einzelbeträge!$C:$C,'Ausgaben 2023'!$C9)</f>
        <v>0</v>
      </c>
      <c r="E9" s="21">
        <f>SUMIFS(Einzelbeträge!$D:$D,Einzelbeträge!$C:$C,'Ausgaben 2023'!$C9,Einzelbeträge!$E:$E,'Ausgaben 2023'!E$6)</f>
        <v>0</v>
      </c>
      <c r="F9" s="21">
        <f>SUMIFS(Einzelbeträge!$D:$D,Einzelbeträge!$C:$C,'Ausgaben 2023'!$C9,Einzelbeträge!$E:$E,'Ausgaben 2023'!F$6)</f>
        <v>0</v>
      </c>
      <c r="G9" s="21">
        <f>SUMIFS(Einzelbeträge!$D:$D,Einzelbeträge!$C:$C,'Ausgaben 2023'!$C9,Einzelbeträge!$E:$E,'Ausgaben 2023'!G$6)</f>
        <v>0</v>
      </c>
      <c r="H9" s="21">
        <f>SUMIFS(Einzelbeträge!$D:$D,Einzelbeträge!$C:$C,'Ausgaben 2023'!$C9,Einzelbeträge!$E:$E,'Ausgaben 2023'!H$6)</f>
        <v>0</v>
      </c>
      <c r="I9" s="21">
        <f>SUMIFS(Einzelbeträge!$D:$D,Einzelbeträge!$C:$C,'Ausgaben 2023'!$C9,Einzelbeträge!$E:$E,'Ausgaben 2023'!I$6)</f>
        <v>0</v>
      </c>
      <c r="J9" s="21">
        <f>SUMIFS(Einzelbeträge!$D:$D,Einzelbeträge!$C:$C,'Ausgaben 2023'!$C9,Einzelbeträge!$E:$E,'Ausgaben 2023'!J$6)</f>
        <v>0</v>
      </c>
      <c r="K9" s="21">
        <f>SUMIFS(Einzelbeträge!$D:$D,Einzelbeträge!$C:$C,'Ausgaben 2023'!$C9,Einzelbeträge!$E:$E,'Ausgaben 2023'!K$6)</f>
        <v>0</v>
      </c>
      <c r="L9" s="21">
        <f>SUMIFS(Einzelbeträge!$D:$D,Einzelbeträge!$C:$C,'Ausgaben 2023'!$C9,Einzelbeträge!$E:$E,'Ausgaben 2023'!L$6)</f>
        <v>0</v>
      </c>
      <c r="M9" s="21">
        <f>SUMIFS(Einzelbeträge!$D:$D,Einzelbeträge!$C:$C,'Ausgaben 2023'!$C9,Einzelbeträge!$E:$E,'Ausgaben 2023'!M$6)</f>
        <v>0</v>
      </c>
      <c r="N9" s="35">
        <f>SUMIFS(Einzelbeträge!$D:$D,Einzelbeträge!$C:$C,'Ausgaben 2023'!$C9,Einzelbeträge!$E:$E,'Ausgaben 2023'!N$6)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16.01.2023 - 22.01.2023</v>
      </c>
      <c r="S9" s="90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44930</v>
      </c>
      <c r="D10" s="46">
        <f>SUMIFS(Einzelbeträge!$D:$D,Einzelbeträge!$C:$C,'Ausgaben 2023'!$C10)</f>
        <v>0</v>
      </c>
      <c r="E10" s="21">
        <f>SUMIFS(Einzelbeträge!$D:$D,Einzelbeträge!$C:$C,'Ausgaben 2023'!$C10,Einzelbeträge!$E:$E,'Ausgaben 2023'!E$6)</f>
        <v>0</v>
      </c>
      <c r="F10" s="21">
        <f>SUMIFS(Einzelbeträge!$D:$D,Einzelbeträge!$C:$C,'Ausgaben 2023'!$C10,Einzelbeträge!$E:$E,'Ausgaben 2023'!F$6)</f>
        <v>0</v>
      </c>
      <c r="G10" s="21">
        <f>SUMIFS(Einzelbeträge!$D:$D,Einzelbeträge!$C:$C,'Ausgaben 2023'!$C10,Einzelbeträge!$E:$E,'Ausgaben 2023'!G$6)</f>
        <v>0</v>
      </c>
      <c r="H10" s="21">
        <f>SUMIFS(Einzelbeträge!$D:$D,Einzelbeträge!$C:$C,'Ausgaben 2023'!$C10,Einzelbeträge!$E:$E,'Ausgaben 2023'!H$6)</f>
        <v>0</v>
      </c>
      <c r="I10" s="21">
        <f>SUMIFS(Einzelbeträge!$D:$D,Einzelbeträge!$C:$C,'Ausgaben 2023'!$C10,Einzelbeträge!$E:$E,'Ausgaben 2023'!I$6)</f>
        <v>0</v>
      </c>
      <c r="J10" s="21">
        <f>SUMIFS(Einzelbeträge!$D:$D,Einzelbeträge!$C:$C,'Ausgaben 2023'!$C10,Einzelbeträge!$E:$E,'Ausgaben 2023'!J$6)</f>
        <v>0</v>
      </c>
      <c r="K10" s="21">
        <f>SUMIFS(Einzelbeträge!$D:$D,Einzelbeträge!$C:$C,'Ausgaben 2023'!$C10,Einzelbeträge!$E:$E,'Ausgaben 2023'!K$6)</f>
        <v>0</v>
      </c>
      <c r="L10" s="21">
        <f>SUMIFS(Einzelbeträge!$D:$D,Einzelbeträge!$C:$C,'Ausgaben 2023'!$C10,Einzelbeträge!$E:$E,'Ausgaben 2023'!L$6)</f>
        <v>0</v>
      </c>
      <c r="M10" s="21">
        <f>SUMIFS(Einzelbeträge!$D:$D,Einzelbeträge!$C:$C,'Ausgaben 2023'!$C10,Einzelbeträge!$E:$E,'Ausgaben 2023'!M$6)</f>
        <v>0</v>
      </c>
      <c r="N10" s="35">
        <f>SUMIFS(Einzelbeträge!$D:$D,Einzelbeträge!$C:$C,'Ausgaben 2023'!$C10,Einzelbeträge!$E:$E,'Ausgaben 2023'!N$6)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23.01.2023 - 29.01.2023</v>
      </c>
      <c r="S10" s="90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44931</v>
      </c>
      <c r="D11" s="46">
        <f>SUMIFS(Einzelbeträge!$D:$D,Einzelbeträge!$C:$C,'Ausgaben 2023'!$C11)</f>
        <v>0</v>
      </c>
      <c r="E11" s="21">
        <f>SUMIFS(Einzelbeträge!$D:$D,Einzelbeträge!$C:$C,'Ausgaben 2023'!$C11,Einzelbeträge!$E:$E,'Ausgaben 2023'!E$6)</f>
        <v>0</v>
      </c>
      <c r="F11" s="21">
        <f>SUMIFS(Einzelbeträge!$D:$D,Einzelbeträge!$C:$C,'Ausgaben 2023'!$C11,Einzelbeträge!$E:$E,'Ausgaben 2023'!F$6)</f>
        <v>0</v>
      </c>
      <c r="G11" s="21">
        <f>SUMIFS(Einzelbeträge!$D:$D,Einzelbeträge!$C:$C,'Ausgaben 2023'!$C11,Einzelbeträge!$E:$E,'Ausgaben 2023'!G$6)</f>
        <v>0</v>
      </c>
      <c r="H11" s="21">
        <f>SUMIFS(Einzelbeträge!$D:$D,Einzelbeträge!$C:$C,'Ausgaben 2023'!$C11,Einzelbeträge!$E:$E,'Ausgaben 2023'!H$6)</f>
        <v>0</v>
      </c>
      <c r="I11" s="21">
        <f>SUMIFS(Einzelbeträge!$D:$D,Einzelbeträge!$C:$C,'Ausgaben 2023'!$C11,Einzelbeträge!$E:$E,'Ausgaben 2023'!I$6)</f>
        <v>0</v>
      </c>
      <c r="J11" s="21">
        <f>SUMIFS(Einzelbeträge!$D:$D,Einzelbeträge!$C:$C,'Ausgaben 2023'!$C11,Einzelbeträge!$E:$E,'Ausgaben 2023'!J$6)</f>
        <v>0</v>
      </c>
      <c r="K11" s="21">
        <f>SUMIFS(Einzelbeträge!$D:$D,Einzelbeträge!$C:$C,'Ausgaben 2023'!$C11,Einzelbeträge!$E:$E,'Ausgaben 2023'!K$6)</f>
        <v>0</v>
      </c>
      <c r="L11" s="21">
        <f>SUMIFS(Einzelbeträge!$D:$D,Einzelbeträge!$C:$C,'Ausgaben 2023'!$C11,Einzelbeträge!$E:$E,'Ausgaben 2023'!L$6)</f>
        <v>0</v>
      </c>
      <c r="M11" s="21">
        <f>SUMIFS(Einzelbeträge!$D:$D,Einzelbeträge!$C:$C,'Ausgaben 2023'!$C11,Einzelbeträge!$E:$E,'Ausgaben 2023'!M$6)</f>
        <v>0</v>
      </c>
      <c r="N11" s="35">
        <f>SUMIFS(Einzelbeträge!$D:$D,Einzelbeträge!$C:$C,'Ausgaben 2023'!$C11,Einzelbeträge!$E:$E,'Ausgaben 2023'!N$6)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30.01.2023 - 05.02.2023</v>
      </c>
      <c r="S11" s="90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44932</v>
      </c>
      <c r="D12" s="46">
        <f>SUMIFS(Einzelbeträge!$D:$D,Einzelbeträge!$C:$C,'Ausgaben 2023'!$C12)</f>
        <v>0</v>
      </c>
      <c r="E12" s="21">
        <f>SUMIFS(Einzelbeträge!$D:$D,Einzelbeträge!$C:$C,'Ausgaben 2023'!$C12,Einzelbeträge!$E:$E,'Ausgaben 2023'!E$6)</f>
        <v>0</v>
      </c>
      <c r="F12" s="21">
        <f>SUMIFS(Einzelbeträge!$D:$D,Einzelbeträge!$C:$C,'Ausgaben 2023'!$C12,Einzelbeträge!$E:$E,'Ausgaben 2023'!F$6)</f>
        <v>0</v>
      </c>
      <c r="G12" s="21">
        <f>SUMIFS(Einzelbeträge!$D:$D,Einzelbeträge!$C:$C,'Ausgaben 2023'!$C12,Einzelbeträge!$E:$E,'Ausgaben 2023'!G$6)</f>
        <v>0</v>
      </c>
      <c r="H12" s="21">
        <f>SUMIFS(Einzelbeträge!$D:$D,Einzelbeträge!$C:$C,'Ausgaben 2023'!$C12,Einzelbeträge!$E:$E,'Ausgaben 2023'!H$6)</f>
        <v>0</v>
      </c>
      <c r="I12" s="21">
        <f>SUMIFS(Einzelbeträge!$D:$D,Einzelbeträge!$C:$C,'Ausgaben 2023'!$C12,Einzelbeträge!$E:$E,'Ausgaben 2023'!I$6)</f>
        <v>0</v>
      </c>
      <c r="J12" s="21">
        <f>SUMIFS(Einzelbeträge!$D:$D,Einzelbeträge!$C:$C,'Ausgaben 2023'!$C12,Einzelbeträge!$E:$E,'Ausgaben 2023'!J$6)</f>
        <v>0</v>
      </c>
      <c r="K12" s="21">
        <f>SUMIFS(Einzelbeträge!$D:$D,Einzelbeträge!$C:$C,'Ausgaben 2023'!$C12,Einzelbeträge!$E:$E,'Ausgaben 2023'!K$6)</f>
        <v>0</v>
      </c>
      <c r="L12" s="21">
        <f>SUMIFS(Einzelbeträge!$D:$D,Einzelbeträge!$C:$C,'Ausgaben 2023'!$C12,Einzelbeträge!$E:$E,'Ausgaben 2023'!L$6)</f>
        <v>0</v>
      </c>
      <c r="M12" s="21">
        <f>SUMIFS(Einzelbeträge!$D:$D,Einzelbeträge!$C:$C,'Ausgaben 2023'!$C12,Einzelbeträge!$E:$E,'Ausgaben 2023'!M$6)</f>
        <v>0</v>
      </c>
      <c r="N12" s="35">
        <f>SUMIFS(Einzelbeträge!$D:$D,Einzelbeträge!$C:$C,'Ausgaben 2023'!$C12,Einzelbeträge!$E:$E,'Ausgaben 2023'!N$6)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06.02.2023 - 12.02.2023</v>
      </c>
      <c r="S12" s="90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44933</v>
      </c>
      <c r="D13" s="46">
        <f>SUMIFS(Einzelbeträge!$D:$D,Einzelbeträge!$C:$C,'Ausgaben 2023'!$C13)</f>
        <v>0</v>
      </c>
      <c r="E13" s="21">
        <f>SUMIFS(Einzelbeträge!$D:$D,Einzelbeträge!$C:$C,'Ausgaben 2023'!$C13,Einzelbeträge!$E:$E,'Ausgaben 2023'!E$6)</f>
        <v>0</v>
      </c>
      <c r="F13" s="21">
        <f>SUMIFS(Einzelbeträge!$D:$D,Einzelbeträge!$C:$C,'Ausgaben 2023'!$C13,Einzelbeträge!$E:$E,'Ausgaben 2023'!F$6)</f>
        <v>0</v>
      </c>
      <c r="G13" s="21">
        <f>SUMIFS(Einzelbeträge!$D:$D,Einzelbeträge!$C:$C,'Ausgaben 2023'!$C13,Einzelbeträge!$E:$E,'Ausgaben 2023'!G$6)</f>
        <v>0</v>
      </c>
      <c r="H13" s="21">
        <f>SUMIFS(Einzelbeträge!$D:$D,Einzelbeträge!$C:$C,'Ausgaben 2023'!$C13,Einzelbeträge!$E:$E,'Ausgaben 2023'!H$6)</f>
        <v>0</v>
      </c>
      <c r="I13" s="21">
        <f>SUMIFS(Einzelbeträge!$D:$D,Einzelbeträge!$C:$C,'Ausgaben 2023'!$C13,Einzelbeträge!$E:$E,'Ausgaben 2023'!I$6)</f>
        <v>0</v>
      </c>
      <c r="J13" s="21">
        <f>SUMIFS(Einzelbeträge!$D:$D,Einzelbeträge!$C:$C,'Ausgaben 2023'!$C13,Einzelbeträge!$E:$E,'Ausgaben 2023'!J$6)</f>
        <v>0</v>
      </c>
      <c r="K13" s="21">
        <f>SUMIFS(Einzelbeträge!$D:$D,Einzelbeträge!$C:$C,'Ausgaben 2023'!$C13,Einzelbeträge!$E:$E,'Ausgaben 2023'!K$6)</f>
        <v>0</v>
      </c>
      <c r="L13" s="21">
        <f>SUMIFS(Einzelbeträge!$D:$D,Einzelbeträge!$C:$C,'Ausgaben 2023'!$C13,Einzelbeträge!$E:$E,'Ausgaben 2023'!L$6)</f>
        <v>0</v>
      </c>
      <c r="M13" s="21">
        <f>SUMIFS(Einzelbeträge!$D:$D,Einzelbeträge!$C:$C,'Ausgaben 2023'!$C13,Einzelbeträge!$E:$E,'Ausgaben 2023'!M$6)</f>
        <v>0</v>
      </c>
      <c r="N13" s="35">
        <f>SUMIFS(Einzelbeträge!$D:$D,Einzelbeträge!$C:$C,'Ausgaben 2023'!$C13,Einzelbeträge!$E:$E,'Ausgaben 2023'!N$6)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13.02.2023 - 19.02.2023</v>
      </c>
      <c r="S13" s="90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44934</v>
      </c>
      <c r="D14" s="46">
        <f>SUMIFS(Einzelbeträge!$D:$D,Einzelbeträge!$C:$C,'Ausgaben 2023'!$C14)</f>
        <v>0</v>
      </c>
      <c r="E14" s="21">
        <f>SUMIFS(Einzelbeträge!$D:$D,Einzelbeträge!$C:$C,'Ausgaben 2023'!$C14,Einzelbeträge!$E:$E,'Ausgaben 2023'!E$6)</f>
        <v>0</v>
      </c>
      <c r="F14" s="21">
        <f>SUMIFS(Einzelbeträge!$D:$D,Einzelbeträge!$C:$C,'Ausgaben 2023'!$C14,Einzelbeträge!$E:$E,'Ausgaben 2023'!F$6)</f>
        <v>0</v>
      </c>
      <c r="G14" s="21">
        <f>SUMIFS(Einzelbeträge!$D:$D,Einzelbeträge!$C:$C,'Ausgaben 2023'!$C14,Einzelbeträge!$E:$E,'Ausgaben 2023'!G$6)</f>
        <v>0</v>
      </c>
      <c r="H14" s="21">
        <f>SUMIFS(Einzelbeträge!$D:$D,Einzelbeträge!$C:$C,'Ausgaben 2023'!$C14,Einzelbeträge!$E:$E,'Ausgaben 2023'!H$6)</f>
        <v>0</v>
      </c>
      <c r="I14" s="21">
        <f>SUMIFS(Einzelbeträge!$D:$D,Einzelbeträge!$C:$C,'Ausgaben 2023'!$C14,Einzelbeträge!$E:$E,'Ausgaben 2023'!I$6)</f>
        <v>0</v>
      </c>
      <c r="J14" s="21">
        <f>SUMIFS(Einzelbeträge!$D:$D,Einzelbeträge!$C:$C,'Ausgaben 2023'!$C14,Einzelbeträge!$E:$E,'Ausgaben 2023'!J$6)</f>
        <v>0</v>
      </c>
      <c r="K14" s="21">
        <f>SUMIFS(Einzelbeträge!$D:$D,Einzelbeträge!$C:$C,'Ausgaben 2023'!$C14,Einzelbeträge!$E:$E,'Ausgaben 2023'!K$6)</f>
        <v>0</v>
      </c>
      <c r="L14" s="21">
        <f>SUMIFS(Einzelbeträge!$D:$D,Einzelbeträge!$C:$C,'Ausgaben 2023'!$C14,Einzelbeträge!$E:$E,'Ausgaben 2023'!L$6)</f>
        <v>0</v>
      </c>
      <c r="M14" s="21">
        <f>SUMIFS(Einzelbeträge!$D:$D,Einzelbeträge!$C:$C,'Ausgaben 2023'!$C14,Einzelbeträge!$E:$E,'Ausgaben 2023'!M$6)</f>
        <v>0</v>
      </c>
      <c r="N14" s="35">
        <f>SUMIFS(Einzelbeträge!$D:$D,Einzelbeträge!$C:$C,'Ausgaben 2023'!$C14,Einzelbeträge!$E:$E,'Ausgaben 2023'!N$6)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20.02.2023 - 26.02.2023</v>
      </c>
      <c r="S14" s="90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44935</v>
      </c>
      <c r="D15" s="46">
        <f>SUMIFS(Einzelbeträge!$D:$D,Einzelbeträge!$C:$C,'Ausgaben 2023'!$C15)</f>
        <v>0</v>
      </c>
      <c r="E15" s="21">
        <f>SUMIFS(Einzelbeträge!$D:$D,Einzelbeträge!$C:$C,'Ausgaben 2023'!$C15,Einzelbeträge!$E:$E,'Ausgaben 2023'!E$6)</f>
        <v>0</v>
      </c>
      <c r="F15" s="21">
        <f>SUMIFS(Einzelbeträge!$D:$D,Einzelbeträge!$C:$C,'Ausgaben 2023'!$C15,Einzelbeträge!$E:$E,'Ausgaben 2023'!F$6)</f>
        <v>0</v>
      </c>
      <c r="G15" s="21">
        <f>SUMIFS(Einzelbeträge!$D:$D,Einzelbeträge!$C:$C,'Ausgaben 2023'!$C15,Einzelbeträge!$E:$E,'Ausgaben 2023'!G$6)</f>
        <v>0</v>
      </c>
      <c r="H15" s="21">
        <f>SUMIFS(Einzelbeträge!$D:$D,Einzelbeträge!$C:$C,'Ausgaben 2023'!$C15,Einzelbeträge!$E:$E,'Ausgaben 2023'!H$6)</f>
        <v>0</v>
      </c>
      <c r="I15" s="21">
        <f>SUMIFS(Einzelbeträge!$D:$D,Einzelbeträge!$C:$C,'Ausgaben 2023'!$C15,Einzelbeträge!$E:$E,'Ausgaben 2023'!I$6)</f>
        <v>0</v>
      </c>
      <c r="J15" s="21">
        <f>SUMIFS(Einzelbeträge!$D:$D,Einzelbeträge!$C:$C,'Ausgaben 2023'!$C15,Einzelbeträge!$E:$E,'Ausgaben 2023'!J$6)</f>
        <v>0</v>
      </c>
      <c r="K15" s="21">
        <f>SUMIFS(Einzelbeträge!$D:$D,Einzelbeträge!$C:$C,'Ausgaben 2023'!$C15,Einzelbeträge!$E:$E,'Ausgaben 2023'!K$6)</f>
        <v>0</v>
      </c>
      <c r="L15" s="21">
        <f>SUMIFS(Einzelbeträge!$D:$D,Einzelbeträge!$C:$C,'Ausgaben 2023'!$C15,Einzelbeträge!$E:$E,'Ausgaben 2023'!L$6)</f>
        <v>0</v>
      </c>
      <c r="M15" s="21">
        <f>SUMIFS(Einzelbeträge!$D:$D,Einzelbeträge!$C:$C,'Ausgaben 2023'!$C15,Einzelbeträge!$E:$E,'Ausgaben 2023'!M$6)</f>
        <v>0</v>
      </c>
      <c r="N15" s="35">
        <f>SUMIFS(Einzelbeträge!$D:$D,Einzelbeträge!$C:$C,'Ausgaben 2023'!$C15,Einzelbeträge!$E:$E,'Ausgaben 2023'!N$6)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27.02.2023 - 05.03.2023</v>
      </c>
      <c r="S15" s="90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44936</v>
      </c>
      <c r="D16" s="46">
        <f>SUMIFS(Einzelbeträge!$D:$D,Einzelbeträge!$C:$C,'Ausgaben 2023'!$C16)</f>
        <v>0</v>
      </c>
      <c r="E16" s="21">
        <f>SUMIFS(Einzelbeträge!$D:$D,Einzelbeträge!$C:$C,'Ausgaben 2023'!$C16,Einzelbeträge!$E:$E,'Ausgaben 2023'!E$6)</f>
        <v>0</v>
      </c>
      <c r="F16" s="21">
        <f>SUMIFS(Einzelbeträge!$D:$D,Einzelbeträge!$C:$C,'Ausgaben 2023'!$C16,Einzelbeträge!$E:$E,'Ausgaben 2023'!F$6)</f>
        <v>0</v>
      </c>
      <c r="G16" s="21">
        <f>SUMIFS(Einzelbeträge!$D:$D,Einzelbeträge!$C:$C,'Ausgaben 2023'!$C16,Einzelbeträge!$E:$E,'Ausgaben 2023'!G$6)</f>
        <v>0</v>
      </c>
      <c r="H16" s="21">
        <f>SUMIFS(Einzelbeträge!$D:$D,Einzelbeträge!$C:$C,'Ausgaben 2023'!$C16,Einzelbeträge!$E:$E,'Ausgaben 2023'!H$6)</f>
        <v>0</v>
      </c>
      <c r="I16" s="21">
        <f>SUMIFS(Einzelbeträge!$D:$D,Einzelbeträge!$C:$C,'Ausgaben 2023'!$C16,Einzelbeträge!$E:$E,'Ausgaben 2023'!I$6)</f>
        <v>0</v>
      </c>
      <c r="J16" s="21">
        <f>SUMIFS(Einzelbeträge!$D:$D,Einzelbeträge!$C:$C,'Ausgaben 2023'!$C16,Einzelbeträge!$E:$E,'Ausgaben 2023'!J$6)</f>
        <v>0</v>
      </c>
      <c r="K16" s="21">
        <f>SUMIFS(Einzelbeträge!$D:$D,Einzelbeträge!$C:$C,'Ausgaben 2023'!$C16,Einzelbeträge!$E:$E,'Ausgaben 2023'!K$6)</f>
        <v>0</v>
      </c>
      <c r="L16" s="21">
        <f>SUMIFS(Einzelbeträge!$D:$D,Einzelbeträge!$C:$C,'Ausgaben 2023'!$C16,Einzelbeträge!$E:$E,'Ausgaben 2023'!L$6)</f>
        <v>0</v>
      </c>
      <c r="M16" s="21">
        <f>SUMIFS(Einzelbeträge!$D:$D,Einzelbeträge!$C:$C,'Ausgaben 2023'!$C16,Einzelbeträge!$E:$E,'Ausgaben 2023'!M$6)</f>
        <v>0</v>
      </c>
      <c r="N16" s="35">
        <f>SUMIFS(Einzelbeträge!$D:$D,Einzelbeträge!$C:$C,'Ausgaben 2023'!$C16,Einzelbeträge!$E:$E,'Ausgaben 2023'!N$6)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06.03.2023 - 12.03.2023</v>
      </c>
      <c r="S16" s="90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44937</v>
      </c>
      <c r="D17" s="46">
        <f>SUMIFS(Einzelbeträge!$D:$D,Einzelbeträge!$C:$C,'Ausgaben 2023'!$C17)</f>
        <v>0</v>
      </c>
      <c r="E17" s="21">
        <f>SUMIFS(Einzelbeträge!$D:$D,Einzelbeträge!$C:$C,'Ausgaben 2023'!$C17,Einzelbeträge!$E:$E,'Ausgaben 2023'!E$6)</f>
        <v>0</v>
      </c>
      <c r="F17" s="21">
        <f>SUMIFS(Einzelbeträge!$D:$D,Einzelbeträge!$C:$C,'Ausgaben 2023'!$C17,Einzelbeträge!$E:$E,'Ausgaben 2023'!F$6)</f>
        <v>0</v>
      </c>
      <c r="G17" s="21">
        <f>SUMIFS(Einzelbeträge!$D:$D,Einzelbeträge!$C:$C,'Ausgaben 2023'!$C17,Einzelbeträge!$E:$E,'Ausgaben 2023'!G$6)</f>
        <v>0</v>
      </c>
      <c r="H17" s="21">
        <f>SUMIFS(Einzelbeträge!$D:$D,Einzelbeträge!$C:$C,'Ausgaben 2023'!$C17,Einzelbeträge!$E:$E,'Ausgaben 2023'!H$6)</f>
        <v>0</v>
      </c>
      <c r="I17" s="21">
        <f>SUMIFS(Einzelbeträge!$D:$D,Einzelbeträge!$C:$C,'Ausgaben 2023'!$C17,Einzelbeträge!$E:$E,'Ausgaben 2023'!I$6)</f>
        <v>0</v>
      </c>
      <c r="J17" s="21">
        <f>SUMIFS(Einzelbeträge!$D:$D,Einzelbeträge!$C:$C,'Ausgaben 2023'!$C17,Einzelbeträge!$E:$E,'Ausgaben 2023'!J$6)</f>
        <v>0</v>
      </c>
      <c r="K17" s="21">
        <f>SUMIFS(Einzelbeträge!$D:$D,Einzelbeträge!$C:$C,'Ausgaben 2023'!$C17,Einzelbeträge!$E:$E,'Ausgaben 2023'!K$6)</f>
        <v>0</v>
      </c>
      <c r="L17" s="21">
        <f>SUMIFS(Einzelbeträge!$D:$D,Einzelbeträge!$C:$C,'Ausgaben 2023'!$C17,Einzelbeträge!$E:$E,'Ausgaben 2023'!L$6)</f>
        <v>0</v>
      </c>
      <c r="M17" s="21">
        <f>SUMIFS(Einzelbeträge!$D:$D,Einzelbeträge!$C:$C,'Ausgaben 2023'!$C17,Einzelbeträge!$E:$E,'Ausgaben 2023'!M$6)</f>
        <v>0</v>
      </c>
      <c r="N17" s="35">
        <f>SUMIFS(Einzelbeträge!$D:$D,Einzelbeträge!$C:$C,'Ausgaben 2023'!$C17,Einzelbeträge!$E:$E,'Ausgaben 2023'!N$6)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13.03.2023 - 19.03.2023</v>
      </c>
      <c r="S17" s="90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44938</v>
      </c>
      <c r="D18" s="46">
        <f>SUMIFS(Einzelbeträge!$D:$D,Einzelbeträge!$C:$C,'Ausgaben 2023'!$C18)</f>
        <v>0</v>
      </c>
      <c r="E18" s="21">
        <f>SUMIFS(Einzelbeträge!$D:$D,Einzelbeträge!$C:$C,'Ausgaben 2023'!$C18,Einzelbeträge!$E:$E,'Ausgaben 2023'!E$6)</f>
        <v>0</v>
      </c>
      <c r="F18" s="21">
        <f>SUMIFS(Einzelbeträge!$D:$D,Einzelbeträge!$C:$C,'Ausgaben 2023'!$C18,Einzelbeträge!$E:$E,'Ausgaben 2023'!F$6)</f>
        <v>0</v>
      </c>
      <c r="G18" s="21">
        <f>SUMIFS(Einzelbeträge!$D:$D,Einzelbeträge!$C:$C,'Ausgaben 2023'!$C18,Einzelbeträge!$E:$E,'Ausgaben 2023'!G$6)</f>
        <v>0</v>
      </c>
      <c r="H18" s="21">
        <f>SUMIFS(Einzelbeträge!$D:$D,Einzelbeträge!$C:$C,'Ausgaben 2023'!$C18,Einzelbeträge!$E:$E,'Ausgaben 2023'!H$6)</f>
        <v>0</v>
      </c>
      <c r="I18" s="21">
        <f>SUMIFS(Einzelbeträge!$D:$D,Einzelbeträge!$C:$C,'Ausgaben 2023'!$C18,Einzelbeträge!$E:$E,'Ausgaben 2023'!I$6)</f>
        <v>0</v>
      </c>
      <c r="J18" s="21">
        <f>SUMIFS(Einzelbeträge!$D:$D,Einzelbeträge!$C:$C,'Ausgaben 2023'!$C18,Einzelbeträge!$E:$E,'Ausgaben 2023'!J$6)</f>
        <v>0</v>
      </c>
      <c r="K18" s="21">
        <f>SUMIFS(Einzelbeträge!$D:$D,Einzelbeträge!$C:$C,'Ausgaben 2023'!$C18,Einzelbeträge!$E:$E,'Ausgaben 2023'!K$6)</f>
        <v>0</v>
      </c>
      <c r="L18" s="21">
        <f>SUMIFS(Einzelbeträge!$D:$D,Einzelbeträge!$C:$C,'Ausgaben 2023'!$C18,Einzelbeträge!$E:$E,'Ausgaben 2023'!L$6)</f>
        <v>0</v>
      </c>
      <c r="M18" s="21">
        <f>SUMIFS(Einzelbeträge!$D:$D,Einzelbeträge!$C:$C,'Ausgaben 2023'!$C18,Einzelbeträge!$E:$E,'Ausgaben 2023'!M$6)</f>
        <v>0</v>
      </c>
      <c r="N18" s="35">
        <f>SUMIFS(Einzelbeträge!$D:$D,Einzelbeträge!$C:$C,'Ausgaben 2023'!$C18,Einzelbeträge!$E:$E,'Ausgaben 2023'!N$6)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20.03.2023 - 26.03.2023</v>
      </c>
      <c r="S18" s="90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44939</v>
      </c>
      <c r="D19" s="46">
        <f>SUMIFS(Einzelbeträge!$D:$D,Einzelbeträge!$C:$C,'Ausgaben 2023'!$C19)</f>
        <v>0</v>
      </c>
      <c r="E19" s="21">
        <f>SUMIFS(Einzelbeträge!$D:$D,Einzelbeträge!$C:$C,'Ausgaben 2023'!$C19,Einzelbeträge!$E:$E,'Ausgaben 2023'!E$6)</f>
        <v>0</v>
      </c>
      <c r="F19" s="21">
        <f>SUMIFS(Einzelbeträge!$D:$D,Einzelbeträge!$C:$C,'Ausgaben 2023'!$C19,Einzelbeträge!$E:$E,'Ausgaben 2023'!F$6)</f>
        <v>0</v>
      </c>
      <c r="G19" s="21">
        <f>SUMIFS(Einzelbeträge!$D:$D,Einzelbeträge!$C:$C,'Ausgaben 2023'!$C19,Einzelbeträge!$E:$E,'Ausgaben 2023'!G$6)</f>
        <v>0</v>
      </c>
      <c r="H19" s="21">
        <f>SUMIFS(Einzelbeträge!$D:$D,Einzelbeträge!$C:$C,'Ausgaben 2023'!$C19,Einzelbeträge!$E:$E,'Ausgaben 2023'!H$6)</f>
        <v>0</v>
      </c>
      <c r="I19" s="21">
        <f>SUMIFS(Einzelbeträge!$D:$D,Einzelbeträge!$C:$C,'Ausgaben 2023'!$C19,Einzelbeträge!$E:$E,'Ausgaben 2023'!I$6)</f>
        <v>0</v>
      </c>
      <c r="J19" s="21">
        <f>SUMIFS(Einzelbeträge!$D:$D,Einzelbeträge!$C:$C,'Ausgaben 2023'!$C19,Einzelbeträge!$E:$E,'Ausgaben 2023'!J$6)</f>
        <v>0</v>
      </c>
      <c r="K19" s="21">
        <f>SUMIFS(Einzelbeträge!$D:$D,Einzelbeträge!$C:$C,'Ausgaben 2023'!$C19,Einzelbeträge!$E:$E,'Ausgaben 2023'!K$6)</f>
        <v>0</v>
      </c>
      <c r="L19" s="21">
        <f>SUMIFS(Einzelbeträge!$D:$D,Einzelbeträge!$C:$C,'Ausgaben 2023'!$C19,Einzelbeträge!$E:$E,'Ausgaben 2023'!L$6)</f>
        <v>0</v>
      </c>
      <c r="M19" s="21">
        <f>SUMIFS(Einzelbeträge!$D:$D,Einzelbeträge!$C:$C,'Ausgaben 2023'!$C19,Einzelbeträge!$E:$E,'Ausgaben 2023'!M$6)</f>
        <v>0</v>
      </c>
      <c r="N19" s="35">
        <f>SUMIFS(Einzelbeträge!$D:$D,Einzelbeträge!$C:$C,'Ausgaben 2023'!$C19,Einzelbeträge!$E:$E,'Ausgaben 2023'!N$6)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27.03.2023 - 02.04.2023</v>
      </c>
      <c r="S19" s="90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44940</v>
      </c>
      <c r="D20" s="46">
        <f>SUMIFS(Einzelbeträge!$D:$D,Einzelbeträge!$C:$C,'Ausgaben 2023'!$C20)</f>
        <v>0</v>
      </c>
      <c r="E20" s="21">
        <f>SUMIFS(Einzelbeträge!$D:$D,Einzelbeträge!$C:$C,'Ausgaben 2023'!$C20,Einzelbeträge!$E:$E,'Ausgaben 2023'!E$6)</f>
        <v>0</v>
      </c>
      <c r="F20" s="21">
        <f>SUMIFS(Einzelbeträge!$D:$D,Einzelbeträge!$C:$C,'Ausgaben 2023'!$C20,Einzelbeträge!$E:$E,'Ausgaben 2023'!F$6)</f>
        <v>0</v>
      </c>
      <c r="G20" s="21">
        <f>SUMIFS(Einzelbeträge!$D:$D,Einzelbeträge!$C:$C,'Ausgaben 2023'!$C20,Einzelbeträge!$E:$E,'Ausgaben 2023'!G$6)</f>
        <v>0</v>
      </c>
      <c r="H20" s="21">
        <f>SUMIFS(Einzelbeträge!$D:$D,Einzelbeträge!$C:$C,'Ausgaben 2023'!$C20,Einzelbeträge!$E:$E,'Ausgaben 2023'!H$6)</f>
        <v>0</v>
      </c>
      <c r="I20" s="21">
        <f>SUMIFS(Einzelbeträge!$D:$D,Einzelbeträge!$C:$C,'Ausgaben 2023'!$C20,Einzelbeträge!$E:$E,'Ausgaben 2023'!I$6)</f>
        <v>0</v>
      </c>
      <c r="J20" s="21">
        <f>SUMIFS(Einzelbeträge!$D:$D,Einzelbeträge!$C:$C,'Ausgaben 2023'!$C20,Einzelbeträge!$E:$E,'Ausgaben 2023'!J$6)</f>
        <v>0</v>
      </c>
      <c r="K20" s="21">
        <f>SUMIFS(Einzelbeträge!$D:$D,Einzelbeträge!$C:$C,'Ausgaben 2023'!$C20,Einzelbeträge!$E:$E,'Ausgaben 2023'!K$6)</f>
        <v>0</v>
      </c>
      <c r="L20" s="21">
        <f>SUMIFS(Einzelbeträge!$D:$D,Einzelbeträge!$C:$C,'Ausgaben 2023'!$C20,Einzelbeträge!$E:$E,'Ausgaben 2023'!L$6)</f>
        <v>0</v>
      </c>
      <c r="M20" s="21">
        <f>SUMIFS(Einzelbeträge!$D:$D,Einzelbeträge!$C:$C,'Ausgaben 2023'!$C20,Einzelbeträge!$E:$E,'Ausgaben 2023'!M$6)</f>
        <v>0</v>
      </c>
      <c r="N20" s="35">
        <f>SUMIFS(Einzelbeträge!$D:$D,Einzelbeträge!$C:$C,'Ausgaben 2023'!$C20,Einzelbeträge!$E:$E,'Ausgaben 2023'!N$6)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03.04.2023 - 09.04.2023</v>
      </c>
      <c r="S20" s="90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44941</v>
      </c>
      <c r="D21" s="46">
        <f>SUMIFS(Einzelbeträge!$D:$D,Einzelbeträge!$C:$C,'Ausgaben 2023'!$C21)</f>
        <v>0</v>
      </c>
      <c r="E21" s="21">
        <f>SUMIFS(Einzelbeträge!$D:$D,Einzelbeträge!$C:$C,'Ausgaben 2023'!$C21,Einzelbeträge!$E:$E,'Ausgaben 2023'!E$6)</f>
        <v>0</v>
      </c>
      <c r="F21" s="21">
        <f>SUMIFS(Einzelbeträge!$D:$D,Einzelbeträge!$C:$C,'Ausgaben 2023'!$C21,Einzelbeträge!$E:$E,'Ausgaben 2023'!F$6)</f>
        <v>0</v>
      </c>
      <c r="G21" s="21">
        <f>SUMIFS(Einzelbeträge!$D:$D,Einzelbeträge!$C:$C,'Ausgaben 2023'!$C21,Einzelbeträge!$E:$E,'Ausgaben 2023'!G$6)</f>
        <v>0</v>
      </c>
      <c r="H21" s="21">
        <f>SUMIFS(Einzelbeträge!$D:$D,Einzelbeträge!$C:$C,'Ausgaben 2023'!$C21,Einzelbeträge!$E:$E,'Ausgaben 2023'!H$6)</f>
        <v>0</v>
      </c>
      <c r="I21" s="21">
        <f>SUMIFS(Einzelbeträge!$D:$D,Einzelbeträge!$C:$C,'Ausgaben 2023'!$C21,Einzelbeträge!$E:$E,'Ausgaben 2023'!I$6)</f>
        <v>0</v>
      </c>
      <c r="J21" s="21">
        <f>SUMIFS(Einzelbeträge!$D:$D,Einzelbeträge!$C:$C,'Ausgaben 2023'!$C21,Einzelbeträge!$E:$E,'Ausgaben 2023'!J$6)</f>
        <v>0</v>
      </c>
      <c r="K21" s="21">
        <f>SUMIFS(Einzelbeträge!$D:$D,Einzelbeträge!$C:$C,'Ausgaben 2023'!$C21,Einzelbeträge!$E:$E,'Ausgaben 2023'!K$6)</f>
        <v>0</v>
      </c>
      <c r="L21" s="21">
        <f>SUMIFS(Einzelbeträge!$D:$D,Einzelbeträge!$C:$C,'Ausgaben 2023'!$C21,Einzelbeträge!$E:$E,'Ausgaben 2023'!L$6)</f>
        <v>0</v>
      </c>
      <c r="M21" s="21">
        <f>SUMIFS(Einzelbeträge!$D:$D,Einzelbeträge!$C:$C,'Ausgaben 2023'!$C21,Einzelbeträge!$E:$E,'Ausgaben 2023'!M$6)</f>
        <v>0</v>
      </c>
      <c r="N21" s="35">
        <f>SUMIFS(Einzelbeträge!$D:$D,Einzelbeträge!$C:$C,'Ausgaben 2023'!$C21,Einzelbeträge!$E:$E,'Ausgaben 2023'!N$6)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10.04.2023 - 16.04.2023</v>
      </c>
      <c r="S21" s="90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44942</v>
      </c>
      <c r="D22" s="46">
        <f>SUMIFS(Einzelbeträge!$D:$D,Einzelbeträge!$C:$C,'Ausgaben 2023'!$C22)</f>
        <v>0</v>
      </c>
      <c r="E22" s="21">
        <f>SUMIFS(Einzelbeträge!$D:$D,Einzelbeträge!$C:$C,'Ausgaben 2023'!$C22,Einzelbeträge!$E:$E,'Ausgaben 2023'!E$6)</f>
        <v>0</v>
      </c>
      <c r="F22" s="21">
        <f>SUMIFS(Einzelbeträge!$D:$D,Einzelbeträge!$C:$C,'Ausgaben 2023'!$C22,Einzelbeträge!$E:$E,'Ausgaben 2023'!F$6)</f>
        <v>0</v>
      </c>
      <c r="G22" s="21">
        <f>SUMIFS(Einzelbeträge!$D:$D,Einzelbeträge!$C:$C,'Ausgaben 2023'!$C22,Einzelbeträge!$E:$E,'Ausgaben 2023'!G$6)</f>
        <v>0</v>
      </c>
      <c r="H22" s="21">
        <f>SUMIFS(Einzelbeträge!$D:$D,Einzelbeträge!$C:$C,'Ausgaben 2023'!$C22,Einzelbeträge!$E:$E,'Ausgaben 2023'!H$6)</f>
        <v>0</v>
      </c>
      <c r="I22" s="21">
        <f>SUMIFS(Einzelbeträge!$D:$D,Einzelbeträge!$C:$C,'Ausgaben 2023'!$C22,Einzelbeträge!$E:$E,'Ausgaben 2023'!I$6)</f>
        <v>0</v>
      </c>
      <c r="J22" s="21">
        <f>SUMIFS(Einzelbeträge!$D:$D,Einzelbeträge!$C:$C,'Ausgaben 2023'!$C22,Einzelbeträge!$E:$E,'Ausgaben 2023'!J$6)</f>
        <v>0</v>
      </c>
      <c r="K22" s="21">
        <f>SUMIFS(Einzelbeträge!$D:$D,Einzelbeträge!$C:$C,'Ausgaben 2023'!$C22,Einzelbeträge!$E:$E,'Ausgaben 2023'!K$6)</f>
        <v>0</v>
      </c>
      <c r="L22" s="21">
        <f>SUMIFS(Einzelbeträge!$D:$D,Einzelbeträge!$C:$C,'Ausgaben 2023'!$C22,Einzelbeträge!$E:$E,'Ausgaben 2023'!L$6)</f>
        <v>0</v>
      </c>
      <c r="M22" s="21">
        <f>SUMIFS(Einzelbeträge!$D:$D,Einzelbeträge!$C:$C,'Ausgaben 2023'!$C22,Einzelbeträge!$E:$E,'Ausgaben 2023'!M$6)</f>
        <v>0</v>
      </c>
      <c r="N22" s="35">
        <f>SUMIFS(Einzelbeträge!$D:$D,Einzelbeträge!$C:$C,'Ausgaben 2023'!$C22,Einzelbeträge!$E:$E,'Ausgaben 2023'!N$6)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17.04.2023 - 23.04.2023</v>
      </c>
      <c r="S22" s="90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44943</v>
      </c>
      <c r="D23" s="46">
        <f>SUMIFS(Einzelbeträge!$D:$D,Einzelbeträge!$C:$C,'Ausgaben 2023'!$C23)</f>
        <v>0</v>
      </c>
      <c r="E23" s="21">
        <f>SUMIFS(Einzelbeträge!$D:$D,Einzelbeträge!$C:$C,'Ausgaben 2023'!$C23,Einzelbeträge!$E:$E,'Ausgaben 2023'!E$6)</f>
        <v>0</v>
      </c>
      <c r="F23" s="21">
        <f>SUMIFS(Einzelbeträge!$D:$D,Einzelbeträge!$C:$C,'Ausgaben 2023'!$C23,Einzelbeträge!$E:$E,'Ausgaben 2023'!F$6)</f>
        <v>0</v>
      </c>
      <c r="G23" s="21">
        <f>SUMIFS(Einzelbeträge!$D:$D,Einzelbeträge!$C:$C,'Ausgaben 2023'!$C23,Einzelbeträge!$E:$E,'Ausgaben 2023'!G$6)</f>
        <v>0</v>
      </c>
      <c r="H23" s="21">
        <f>SUMIFS(Einzelbeträge!$D:$D,Einzelbeträge!$C:$C,'Ausgaben 2023'!$C23,Einzelbeträge!$E:$E,'Ausgaben 2023'!H$6)</f>
        <v>0</v>
      </c>
      <c r="I23" s="21">
        <f>SUMIFS(Einzelbeträge!$D:$D,Einzelbeträge!$C:$C,'Ausgaben 2023'!$C23,Einzelbeträge!$E:$E,'Ausgaben 2023'!I$6)</f>
        <v>0</v>
      </c>
      <c r="J23" s="21">
        <f>SUMIFS(Einzelbeträge!$D:$D,Einzelbeträge!$C:$C,'Ausgaben 2023'!$C23,Einzelbeträge!$E:$E,'Ausgaben 2023'!J$6)</f>
        <v>0</v>
      </c>
      <c r="K23" s="21">
        <f>SUMIFS(Einzelbeträge!$D:$D,Einzelbeträge!$C:$C,'Ausgaben 2023'!$C23,Einzelbeträge!$E:$E,'Ausgaben 2023'!K$6)</f>
        <v>0</v>
      </c>
      <c r="L23" s="21">
        <f>SUMIFS(Einzelbeträge!$D:$D,Einzelbeträge!$C:$C,'Ausgaben 2023'!$C23,Einzelbeträge!$E:$E,'Ausgaben 2023'!L$6)</f>
        <v>0</v>
      </c>
      <c r="M23" s="21">
        <f>SUMIFS(Einzelbeträge!$D:$D,Einzelbeträge!$C:$C,'Ausgaben 2023'!$C23,Einzelbeträge!$E:$E,'Ausgaben 2023'!M$6)</f>
        <v>0</v>
      </c>
      <c r="N23" s="35">
        <f>SUMIFS(Einzelbeträge!$D:$D,Einzelbeträge!$C:$C,'Ausgaben 2023'!$C23,Einzelbeträge!$E:$E,'Ausgaben 2023'!N$6)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24.04.2023 - 30.04.2023</v>
      </c>
      <c r="S23" s="90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44944</v>
      </c>
      <c r="D24" s="46">
        <f>SUMIFS(Einzelbeträge!$D:$D,Einzelbeträge!$C:$C,'Ausgaben 2023'!$C24)</f>
        <v>0</v>
      </c>
      <c r="E24" s="21">
        <f>SUMIFS(Einzelbeträge!$D:$D,Einzelbeträge!$C:$C,'Ausgaben 2023'!$C24,Einzelbeträge!$E:$E,'Ausgaben 2023'!E$6)</f>
        <v>0</v>
      </c>
      <c r="F24" s="21">
        <f>SUMIFS(Einzelbeträge!$D:$D,Einzelbeträge!$C:$C,'Ausgaben 2023'!$C24,Einzelbeträge!$E:$E,'Ausgaben 2023'!F$6)</f>
        <v>0</v>
      </c>
      <c r="G24" s="21">
        <f>SUMIFS(Einzelbeträge!$D:$D,Einzelbeträge!$C:$C,'Ausgaben 2023'!$C24,Einzelbeträge!$E:$E,'Ausgaben 2023'!G$6)</f>
        <v>0</v>
      </c>
      <c r="H24" s="21">
        <f>SUMIFS(Einzelbeträge!$D:$D,Einzelbeträge!$C:$C,'Ausgaben 2023'!$C24,Einzelbeträge!$E:$E,'Ausgaben 2023'!H$6)</f>
        <v>0</v>
      </c>
      <c r="I24" s="21">
        <f>SUMIFS(Einzelbeträge!$D:$D,Einzelbeträge!$C:$C,'Ausgaben 2023'!$C24,Einzelbeträge!$E:$E,'Ausgaben 2023'!I$6)</f>
        <v>0</v>
      </c>
      <c r="J24" s="21">
        <f>SUMIFS(Einzelbeträge!$D:$D,Einzelbeträge!$C:$C,'Ausgaben 2023'!$C24,Einzelbeträge!$E:$E,'Ausgaben 2023'!J$6)</f>
        <v>0</v>
      </c>
      <c r="K24" s="21">
        <f>SUMIFS(Einzelbeträge!$D:$D,Einzelbeträge!$C:$C,'Ausgaben 2023'!$C24,Einzelbeträge!$E:$E,'Ausgaben 2023'!K$6)</f>
        <v>0</v>
      </c>
      <c r="L24" s="21">
        <f>SUMIFS(Einzelbeträge!$D:$D,Einzelbeträge!$C:$C,'Ausgaben 2023'!$C24,Einzelbeträge!$E:$E,'Ausgaben 2023'!L$6)</f>
        <v>0</v>
      </c>
      <c r="M24" s="21">
        <f>SUMIFS(Einzelbeträge!$D:$D,Einzelbeträge!$C:$C,'Ausgaben 2023'!$C24,Einzelbeträge!$E:$E,'Ausgaben 2023'!M$6)</f>
        <v>0</v>
      </c>
      <c r="N24" s="35">
        <f>SUMIFS(Einzelbeträge!$D:$D,Einzelbeträge!$C:$C,'Ausgaben 2023'!$C24,Einzelbeträge!$E:$E,'Ausgaben 2023'!N$6)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01.05.2023 - 07.05.2023</v>
      </c>
      <c r="S24" s="90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44945</v>
      </c>
      <c r="D25" s="46">
        <f>SUMIFS(Einzelbeträge!$D:$D,Einzelbeträge!$C:$C,'Ausgaben 2023'!$C25)</f>
        <v>0</v>
      </c>
      <c r="E25" s="21">
        <f>SUMIFS(Einzelbeträge!$D:$D,Einzelbeträge!$C:$C,'Ausgaben 2023'!$C25,Einzelbeträge!$E:$E,'Ausgaben 2023'!E$6)</f>
        <v>0</v>
      </c>
      <c r="F25" s="21">
        <f>SUMIFS(Einzelbeträge!$D:$D,Einzelbeträge!$C:$C,'Ausgaben 2023'!$C25,Einzelbeträge!$E:$E,'Ausgaben 2023'!F$6)</f>
        <v>0</v>
      </c>
      <c r="G25" s="21">
        <f>SUMIFS(Einzelbeträge!$D:$D,Einzelbeträge!$C:$C,'Ausgaben 2023'!$C25,Einzelbeträge!$E:$E,'Ausgaben 2023'!G$6)</f>
        <v>0</v>
      </c>
      <c r="H25" s="21">
        <f>SUMIFS(Einzelbeträge!$D:$D,Einzelbeträge!$C:$C,'Ausgaben 2023'!$C25,Einzelbeträge!$E:$E,'Ausgaben 2023'!H$6)</f>
        <v>0</v>
      </c>
      <c r="I25" s="21">
        <f>SUMIFS(Einzelbeträge!$D:$D,Einzelbeträge!$C:$C,'Ausgaben 2023'!$C25,Einzelbeträge!$E:$E,'Ausgaben 2023'!I$6)</f>
        <v>0</v>
      </c>
      <c r="J25" s="21">
        <f>SUMIFS(Einzelbeträge!$D:$D,Einzelbeträge!$C:$C,'Ausgaben 2023'!$C25,Einzelbeträge!$E:$E,'Ausgaben 2023'!J$6)</f>
        <v>0</v>
      </c>
      <c r="K25" s="21">
        <f>SUMIFS(Einzelbeträge!$D:$D,Einzelbeträge!$C:$C,'Ausgaben 2023'!$C25,Einzelbeträge!$E:$E,'Ausgaben 2023'!K$6)</f>
        <v>0</v>
      </c>
      <c r="L25" s="21">
        <f>SUMIFS(Einzelbeträge!$D:$D,Einzelbeträge!$C:$C,'Ausgaben 2023'!$C25,Einzelbeträge!$E:$E,'Ausgaben 2023'!L$6)</f>
        <v>0</v>
      </c>
      <c r="M25" s="21">
        <f>SUMIFS(Einzelbeträge!$D:$D,Einzelbeträge!$C:$C,'Ausgaben 2023'!$C25,Einzelbeträge!$E:$E,'Ausgaben 2023'!M$6)</f>
        <v>0</v>
      </c>
      <c r="N25" s="35">
        <f>SUMIFS(Einzelbeträge!$D:$D,Einzelbeträge!$C:$C,'Ausgaben 2023'!$C25,Einzelbeträge!$E:$E,'Ausgaben 2023'!N$6)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08.05.2023 - 14.05.2023</v>
      </c>
      <c r="S25" s="90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44946</v>
      </c>
      <c r="D26" s="46">
        <f>SUMIFS(Einzelbeträge!$D:$D,Einzelbeträge!$C:$C,'Ausgaben 2023'!$C26)</f>
        <v>0</v>
      </c>
      <c r="E26" s="21">
        <f>SUMIFS(Einzelbeträge!$D:$D,Einzelbeträge!$C:$C,'Ausgaben 2023'!$C26,Einzelbeträge!$E:$E,'Ausgaben 2023'!E$6)</f>
        <v>0</v>
      </c>
      <c r="F26" s="21">
        <f>SUMIFS(Einzelbeträge!$D:$D,Einzelbeträge!$C:$C,'Ausgaben 2023'!$C26,Einzelbeträge!$E:$E,'Ausgaben 2023'!F$6)</f>
        <v>0</v>
      </c>
      <c r="G26" s="21">
        <f>SUMIFS(Einzelbeträge!$D:$D,Einzelbeträge!$C:$C,'Ausgaben 2023'!$C26,Einzelbeträge!$E:$E,'Ausgaben 2023'!G$6)</f>
        <v>0</v>
      </c>
      <c r="H26" s="21">
        <f>SUMIFS(Einzelbeträge!$D:$D,Einzelbeträge!$C:$C,'Ausgaben 2023'!$C26,Einzelbeträge!$E:$E,'Ausgaben 2023'!H$6)</f>
        <v>0</v>
      </c>
      <c r="I26" s="21">
        <f>SUMIFS(Einzelbeträge!$D:$D,Einzelbeträge!$C:$C,'Ausgaben 2023'!$C26,Einzelbeträge!$E:$E,'Ausgaben 2023'!I$6)</f>
        <v>0</v>
      </c>
      <c r="J26" s="21">
        <f>SUMIFS(Einzelbeträge!$D:$D,Einzelbeträge!$C:$C,'Ausgaben 2023'!$C26,Einzelbeträge!$E:$E,'Ausgaben 2023'!J$6)</f>
        <v>0</v>
      </c>
      <c r="K26" s="21">
        <f>SUMIFS(Einzelbeträge!$D:$D,Einzelbeträge!$C:$C,'Ausgaben 2023'!$C26,Einzelbeträge!$E:$E,'Ausgaben 2023'!K$6)</f>
        <v>0</v>
      </c>
      <c r="L26" s="21">
        <f>SUMIFS(Einzelbeträge!$D:$D,Einzelbeträge!$C:$C,'Ausgaben 2023'!$C26,Einzelbeträge!$E:$E,'Ausgaben 2023'!L$6)</f>
        <v>0</v>
      </c>
      <c r="M26" s="21">
        <f>SUMIFS(Einzelbeträge!$D:$D,Einzelbeträge!$C:$C,'Ausgaben 2023'!$C26,Einzelbeträge!$E:$E,'Ausgaben 2023'!M$6)</f>
        <v>0</v>
      </c>
      <c r="N26" s="35">
        <f>SUMIFS(Einzelbeträge!$D:$D,Einzelbeträge!$C:$C,'Ausgaben 2023'!$C26,Einzelbeträge!$E:$E,'Ausgaben 2023'!N$6)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15.05.2023 - 21.05.2023</v>
      </c>
      <c r="S26" s="90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44947</v>
      </c>
      <c r="D27" s="46">
        <f>SUMIFS(Einzelbeträge!$D:$D,Einzelbeträge!$C:$C,'Ausgaben 2023'!$C27)</f>
        <v>0</v>
      </c>
      <c r="E27" s="21">
        <f>SUMIFS(Einzelbeträge!$D:$D,Einzelbeträge!$C:$C,'Ausgaben 2023'!$C27,Einzelbeträge!$E:$E,'Ausgaben 2023'!E$6)</f>
        <v>0</v>
      </c>
      <c r="F27" s="21">
        <f>SUMIFS(Einzelbeträge!$D:$D,Einzelbeträge!$C:$C,'Ausgaben 2023'!$C27,Einzelbeträge!$E:$E,'Ausgaben 2023'!F$6)</f>
        <v>0</v>
      </c>
      <c r="G27" s="21">
        <f>SUMIFS(Einzelbeträge!$D:$D,Einzelbeträge!$C:$C,'Ausgaben 2023'!$C27,Einzelbeträge!$E:$E,'Ausgaben 2023'!G$6)</f>
        <v>0</v>
      </c>
      <c r="H27" s="21">
        <f>SUMIFS(Einzelbeträge!$D:$D,Einzelbeträge!$C:$C,'Ausgaben 2023'!$C27,Einzelbeträge!$E:$E,'Ausgaben 2023'!H$6)</f>
        <v>0</v>
      </c>
      <c r="I27" s="21">
        <f>SUMIFS(Einzelbeträge!$D:$D,Einzelbeträge!$C:$C,'Ausgaben 2023'!$C27,Einzelbeträge!$E:$E,'Ausgaben 2023'!I$6)</f>
        <v>0</v>
      </c>
      <c r="J27" s="21">
        <f>SUMIFS(Einzelbeträge!$D:$D,Einzelbeträge!$C:$C,'Ausgaben 2023'!$C27,Einzelbeträge!$E:$E,'Ausgaben 2023'!J$6)</f>
        <v>0</v>
      </c>
      <c r="K27" s="21">
        <f>SUMIFS(Einzelbeträge!$D:$D,Einzelbeträge!$C:$C,'Ausgaben 2023'!$C27,Einzelbeträge!$E:$E,'Ausgaben 2023'!K$6)</f>
        <v>0</v>
      </c>
      <c r="L27" s="21">
        <f>SUMIFS(Einzelbeträge!$D:$D,Einzelbeträge!$C:$C,'Ausgaben 2023'!$C27,Einzelbeträge!$E:$E,'Ausgaben 2023'!L$6)</f>
        <v>0</v>
      </c>
      <c r="M27" s="21">
        <f>SUMIFS(Einzelbeträge!$D:$D,Einzelbeträge!$C:$C,'Ausgaben 2023'!$C27,Einzelbeträge!$E:$E,'Ausgaben 2023'!M$6)</f>
        <v>0</v>
      </c>
      <c r="N27" s="35">
        <f>SUMIFS(Einzelbeträge!$D:$D,Einzelbeträge!$C:$C,'Ausgaben 2023'!$C27,Einzelbeträge!$E:$E,'Ausgaben 2023'!N$6)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22.05.2023 - 28.05.2023</v>
      </c>
      <c r="S27" s="90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44948</v>
      </c>
      <c r="D28" s="46">
        <f>SUMIFS(Einzelbeträge!$D:$D,Einzelbeträge!$C:$C,'Ausgaben 2023'!$C28)</f>
        <v>0</v>
      </c>
      <c r="E28" s="21">
        <f>SUMIFS(Einzelbeträge!$D:$D,Einzelbeträge!$C:$C,'Ausgaben 2023'!$C28,Einzelbeträge!$E:$E,'Ausgaben 2023'!E$6)</f>
        <v>0</v>
      </c>
      <c r="F28" s="21">
        <f>SUMIFS(Einzelbeträge!$D:$D,Einzelbeträge!$C:$C,'Ausgaben 2023'!$C28,Einzelbeträge!$E:$E,'Ausgaben 2023'!F$6)</f>
        <v>0</v>
      </c>
      <c r="G28" s="21">
        <f>SUMIFS(Einzelbeträge!$D:$D,Einzelbeträge!$C:$C,'Ausgaben 2023'!$C28,Einzelbeträge!$E:$E,'Ausgaben 2023'!G$6)</f>
        <v>0</v>
      </c>
      <c r="H28" s="21">
        <f>SUMIFS(Einzelbeträge!$D:$D,Einzelbeträge!$C:$C,'Ausgaben 2023'!$C28,Einzelbeträge!$E:$E,'Ausgaben 2023'!H$6)</f>
        <v>0</v>
      </c>
      <c r="I28" s="21">
        <f>SUMIFS(Einzelbeträge!$D:$D,Einzelbeträge!$C:$C,'Ausgaben 2023'!$C28,Einzelbeträge!$E:$E,'Ausgaben 2023'!I$6)</f>
        <v>0</v>
      </c>
      <c r="J28" s="21">
        <f>SUMIFS(Einzelbeträge!$D:$D,Einzelbeträge!$C:$C,'Ausgaben 2023'!$C28,Einzelbeträge!$E:$E,'Ausgaben 2023'!J$6)</f>
        <v>0</v>
      </c>
      <c r="K28" s="21">
        <f>SUMIFS(Einzelbeträge!$D:$D,Einzelbeträge!$C:$C,'Ausgaben 2023'!$C28,Einzelbeträge!$E:$E,'Ausgaben 2023'!K$6)</f>
        <v>0</v>
      </c>
      <c r="L28" s="21">
        <f>SUMIFS(Einzelbeträge!$D:$D,Einzelbeträge!$C:$C,'Ausgaben 2023'!$C28,Einzelbeträge!$E:$E,'Ausgaben 2023'!L$6)</f>
        <v>0</v>
      </c>
      <c r="M28" s="21">
        <f>SUMIFS(Einzelbeträge!$D:$D,Einzelbeträge!$C:$C,'Ausgaben 2023'!$C28,Einzelbeträge!$E:$E,'Ausgaben 2023'!M$6)</f>
        <v>0</v>
      </c>
      <c r="N28" s="35">
        <f>SUMIFS(Einzelbeträge!$D:$D,Einzelbeträge!$C:$C,'Ausgaben 2023'!$C28,Einzelbeträge!$E:$E,'Ausgaben 2023'!N$6)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29.05.2023 - 04.06.2023</v>
      </c>
      <c r="S28" s="90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44949</v>
      </c>
      <c r="D29" s="46">
        <f>SUMIFS(Einzelbeträge!$D:$D,Einzelbeträge!$C:$C,'Ausgaben 2023'!$C29)</f>
        <v>0</v>
      </c>
      <c r="E29" s="21">
        <f>SUMIFS(Einzelbeträge!$D:$D,Einzelbeträge!$C:$C,'Ausgaben 2023'!$C29,Einzelbeträge!$E:$E,'Ausgaben 2023'!E$6)</f>
        <v>0</v>
      </c>
      <c r="F29" s="21">
        <f>SUMIFS(Einzelbeträge!$D:$D,Einzelbeträge!$C:$C,'Ausgaben 2023'!$C29,Einzelbeträge!$E:$E,'Ausgaben 2023'!F$6)</f>
        <v>0</v>
      </c>
      <c r="G29" s="21">
        <f>SUMIFS(Einzelbeträge!$D:$D,Einzelbeträge!$C:$C,'Ausgaben 2023'!$C29,Einzelbeträge!$E:$E,'Ausgaben 2023'!G$6)</f>
        <v>0</v>
      </c>
      <c r="H29" s="21">
        <f>SUMIFS(Einzelbeträge!$D:$D,Einzelbeträge!$C:$C,'Ausgaben 2023'!$C29,Einzelbeträge!$E:$E,'Ausgaben 2023'!H$6)</f>
        <v>0</v>
      </c>
      <c r="I29" s="21">
        <f>SUMIFS(Einzelbeträge!$D:$D,Einzelbeträge!$C:$C,'Ausgaben 2023'!$C29,Einzelbeträge!$E:$E,'Ausgaben 2023'!I$6)</f>
        <v>0</v>
      </c>
      <c r="J29" s="21">
        <f>SUMIFS(Einzelbeträge!$D:$D,Einzelbeträge!$C:$C,'Ausgaben 2023'!$C29,Einzelbeträge!$E:$E,'Ausgaben 2023'!J$6)</f>
        <v>0</v>
      </c>
      <c r="K29" s="21">
        <f>SUMIFS(Einzelbeträge!$D:$D,Einzelbeträge!$C:$C,'Ausgaben 2023'!$C29,Einzelbeträge!$E:$E,'Ausgaben 2023'!K$6)</f>
        <v>0</v>
      </c>
      <c r="L29" s="21">
        <f>SUMIFS(Einzelbeträge!$D:$D,Einzelbeträge!$C:$C,'Ausgaben 2023'!$C29,Einzelbeträge!$E:$E,'Ausgaben 2023'!L$6)</f>
        <v>0</v>
      </c>
      <c r="M29" s="21">
        <f>SUMIFS(Einzelbeträge!$D:$D,Einzelbeträge!$C:$C,'Ausgaben 2023'!$C29,Einzelbeträge!$E:$E,'Ausgaben 2023'!M$6)</f>
        <v>0</v>
      </c>
      <c r="N29" s="35">
        <f>SUMIFS(Einzelbeträge!$D:$D,Einzelbeträge!$C:$C,'Ausgaben 2023'!$C29,Einzelbeträge!$E:$E,'Ausgaben 2023'!N$6)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05.06.2023 - 11.06.2023</v>
      </c>
      <c r="S29" s="90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44950</v>
      </c>
      <c r="D30" s="46">
        <f>SUMIFS(Einzelbeträge!$D:$D,Einzelbeträge!$C:$C,'Ausgaben 2023'!$C30)</f>
        <v>0</v>
      </c>
      <c r="E30" s="21">
        <f>SUMIFS(Einzelbeträge!$D:$D,Einzelbeträge!$C:$C,'Ausgaben 2023'!$C30,Einzelbeträge!$E:$E,'Ausgaben 2023'!E$6)</f>
        <v>0</v>
      </c>
      <c r="F30" s="21">
        <f>SUMIFS(Einzelbeträge!$D:$D,Einzelbeträge!$C:$C,'Ausgaben 2023'!$C30,Einzelbeträge!$E:$E,'Ausgaben 2023'!F$6)</f>
        <v>0</v>
      </c>
      <c r="G30" s="21">
        <f>SUMIFS(Einzelbeträge!$D:$D,Einzelbeträge!$C:$C,'Ausgaben 2023'!$C30,Einzelbeträge!$E:$E,'Ausgaben 2023'!G$6)</f>
        <v>0</v>
      </c>
      <c r="H30" s="21">
        <f>SUMIFS(Einzelbeträge!$D:$D,Einzelbeträge!$C:$C,'Ausgaben 2023'!$C30,Einzelbeträge!$E:$E,'Ausgaben 2023'!H$6)</f>
        <v>0</v>
      </c>
      <c r="I30" s="21">
        <f>SUMIFS(Einzelbeträge!$D:$D,Einzelbeträge!$C:$C,'Ausgaben 2023'!$C30,Einzelbeträge!$E:$E,'Ausgaben 2023'!I$6)</f>
        <v>0</v>
      </c>
      <c r="J30" s="21">
        <f>SUMIFS(Einzelbeträge!$D:$D,Einzelbeträge!$C:$C,'Ausgaben 2023'!$C30,Einzelbeträge!$E:$E,'Ausgaben 2023'!J$6)</f>
        <v>0</v>
      </c>
      <c r="K30" s="21">
        <f>SUMIFS(Einzelbeträge!$D:$D,Einzelbeträge!$C:$C,'Ausgaben 2023'!$C30,Einzelbeträge!$E:$E,'Ausgaben 2023'!K$6)</f>
        <v>0</v>
      </c>
      <c r="L30" s="21">
        <f>SUMIFS(Einzelbeträge!$D:$D,Einzelbeträge!$C:$C,'Ausgaben 2023'!$C30,Einzelbeträge!$E:$E,'Ausgaben 2023'!L$6)</f>
        <v>0</v>
      </c>
      <c r="M30" s="21">
        <f>SUMIFS(Einzelbeträge!$D:$D,Einzelbeträge!$C:$C,'Ausgaben 2023'!$C30,Einzelbeträge!$E:$E,'Ausgaben 2023'!M$6)</f>
        <v>0</v>
      </c>
      <c r="N30" s="35">
        <f>SUMIFS(Einzelbeträge!$D:$D,Einzelbeträge!$C:$C,'Ausgaben 2023'!$C30,Einzelbeträge!$E:$E,'Ausgaben 2023'!N$6)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12.06.2023 - 18.06.2023</v>
      </c>
      <c r="S30" s="90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44951</v>
      </c>
      <c r="D31" s="46">
        <f>SUMIFS(Einzelbeträge!$D:$D,Einzelbeträge!$C:$C,'Ausgaben 2023'!$C31)</f>
        <v>0</v>
      </c>
      <c r="E31" s="21">
        <f>SUMIFS(Einzelbeträge!$D:$D,Einzelbeträge!$C:$C,'Ausgaben 2023'!$C31,Einzelbeträge!$E:$E,'Ausgaben 2023'!E$6)</f>
        <v>0</v>
      </c>
      <c r="F31" s="21">
        <f>SUMIFS(Einzelbeträge!$D:$D,Einzelbeträge!$C:$C,'Ausgaben 2023'!$C31,Einzelbeträge!$E:$E,'Ausgaben 2023'!F$6)</f>
        <v>0</v>
      </c>
      <c r="G31" s="21">
        <f>SUMIFS(Einzelbeträge!$D:$D,Einzelbeträge!$C:$C,'Ausgaben 2023'!$C31,Einzelbeträge!$E:$E,'Ausgaben 2023'!G$6)</f>
        <v>0</v>
      </c>
      <c r="H31" s="21">
        <f>SUMIFS(Einzelbeträge!$D:$D,Einzelbeträge!$C:$C,'Ausgaben 2023'!$C31,Einzelbeträge!$E:$E,'Ausgaben 2023'!H$6)</f>
        <v>0</v>
      </c>
      <c r="I31" s="21">
        <f>SUMIFS(Einzelbeträge!$D:$D,Einzelbeträge!$C:$C,'Ausgaben 2023'!$C31,Einzelbeträge!$E:$E,'Ausgaben 2023'!I$6)</f>
        <v>0</v>
      </c>
      <c r="J31" s="21">
        <f>SUMIFS(Einzelbeträge!$D:$D,Einzelbeträge!$C:$C,'Ausgaben 2023'!$C31,Einzelbeträge!$E:$E,'Ausgaben 2023'!J$6)</f>
        <v>0</v>
      </c>
      <c r="K31" s="21">
        <f>SUMIFS(Einzelbeträge!$D:$D,Einzelbeträge!$C:$C,'Ausgaben 2023'!$C31,Einzelbeträge!$E:$E,'Ausgaben 2023'!K$6)</f>
        <v>0</v>
      </c>
      <c r="L31" s="21">
        <f>SUMIFS(Einzelbeträge!$D:$D,Einzelbeträge!$C:$C,'Ausgaben 2023'!$C31,Einzelbeträge!$E:$E,'Ausgaben 2023'!L$6)</f>
        <v>0</v>
      </c>
      <c r="M31" s="21">
        <f>SUMIFS(Einzelbeträge!$D:$D,Einzelbeträge!$C:$C,'Ausgaben 2023'!$C31,Einzelbeträge!$E:$E,'Ausgaben 2023'!M$6)</f>
        <v>0</v>
      </c>
      <c r="N31" s="35">
        <f>SUMIFS(Einzelbeträge!$D:$D,Einzelbeträge!$C:$C,'Ausgaben 2023'!$C31,Einzelbeträge!$E:$E,'Ausgaben 2023'!N$6)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19.06.2023 - 25.06.2023</v>
      </c>
      <c r="S31" s="90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44952</v>
      </c>
      <c r="D32" s="46">
        <f>SUMIFS(Einzelbeträge!$D:$D,Einzelbeträge!$C:$C,'Ausgaben 2023'!$C32)</f>
        <v>0</v>
      </c>
      <c r="E32" s="21">
        <f>SUMIFS(Einzelbeträge!$D:$D,Einzelbeträge!$C:$C,'Ausgaben 2023'!$C32,Einzelbeträge!$E:$E,'Ausgaben 2023'!E$6)</f>
        <v>0</v>
      </c>
      <c r="F32" s="21">
        <f>SUMIFS(Einzelbeträge!$D:$D,Einzelbeträge!$C:$C,'Ausgaben 2023'!$C32,Einzelbeträge!$E:$E,'Ausgaben 2023'!F$6)</f>
        <v>0</v>
      </c>
      <c r="G32" s="21">
        <f>SUMIFS(Einzelbeträge!$D:$D,Einzelbeträge!$C:$C,'Ausgaben 2023'!$C32,Einzelbeträge!$E:$E,'Ausgaben 2023'!G$6)</f>
        <v>0</v>
      </c>
      <c r="H32" s="21">
        <f>SUMIFS(Einzelbeträge!$D:$D,Einzelbeträge!$C:$C,'Ausgaben 2023'!$C32,Einzelbeträge!$E:$E,'Ausgaben 2023'!H$6)</f>
        <v>0</v>
      </c>
      <c r="I32" s="21">
        <f>SUMIFS(Einzelbeträge!$D:$D,Einzelbeträge!$C:$C,'Ausgaben 2023'!$C32,Einzelbeträge!$E:$E,'Ausgaben 2023'!I$6)</f>
        <v>0</v>
      </c>
      <c r="J32" s="21">
        <f>SUMIFS(Einzelbeträge!$D:$D,Einzelbeträge!$C:$C,'Ausgaben 2023'!$C32,Einzelbeträge!$E:$E,'Ausgaben 2023'!J$6)</f>
        <v>0</v>
      </c>
      <c r="K32" s="21">
        <f>SUMIFS(Einzelbeträge!$D:$D,Einzelbeträge!$C:$C,'Ausgaben 2023'!$C32,Einzelbeträge!$E:$E,'Ausgaben 2023'!K$6)</f>
        <v>0</v>
      </c>
      <c r="L32" s="21">
        <f>SUMIFS(Einzelbeträge!$D:$D,Einzelbeträge!$C:$C,'Ausgaben 2023'!$C32,Einzelbeträge!$E:$E,'Ausgaben 2023'!L$6)</f>
        <v>0</v>
      </c>
      <c r="M32" s="21">
        <f>SUMIFS(Einzelbeträge!$D:$D,Einzelbeträge!$C:$C,'Ausgaben 2023'!$C32,Einzelbeträge!$E:$E,'Ausgaben 2023'!M$6)</f>
        <v>0</v>
      </c>
      <c r="N32" s="35">
        <f>SUMIFS(Einzelbeträge!$D:$D,Einzelbeträge!$C:$C,'Ausgaben 2023'!$C32,Einzelbeträge!$E:$E,'Ausgaben 2023'!N$6)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26.06.2023 - 02.07.2023</v>
      </c>
      <c r="S32" s="90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44953</v>
      </c>
      <c r="D33" s="46">
        <f>SUMIFS(Einzelbeträge!$D:$D,Einzelbeträge!$C:$C,'Ausgaben 2023'!$C33)</f>
        <v>0</v>
      </c>
      <c r="E33" s="21">
        <f>SUMIFS(Einzelbeträge!$D:$D,Einzelbeträge!$C:$C,'Ausgaben 2023'!$C33,Einzelbeträge!$E:$E,'Ausgaben 2023'!E$6)</f>
        <v>0</v>
      </c>
      <c r="F33" s="21">
        <f>SUMIFS(Einzelbeträge!$D:$D,Einzelbeträge!$C:$C,'Ausgaben 2023'!$C33,Einzelbeträge!$E:$E,'Ausgaben 2023'!F$6)</f>
        <v>0</v>
      </c>
      <c r="G33" s="21">
        <f>SUMIFS(Einzelbeträge!$D:$D,Einzelbeträge!$C:$C,'Ausgaben 2023'!$C33,Einzelbeträge!$E:$E,'Ausgaben 2023'!G$6)</f>
        <v>0</v>
      </c>
      <c r="H33" s="21">
        <f>SUMIFS(Einzelbeträge!$D:$D,Einzelbeträge!$C:$C,'Ausgaben 2023'!$C33,Einzelbeträge!$E:$E,'Ausgaben 2023'!H$6)</f>
        <v>0</v>
      </c>
      <c r="I33" s="21">
        <f>SUMIFS(Einzelbeträge!$D:$D,Einzelbeträge!$C:$C,'Ausgaben 2023'!$C33,Einzelbeträge!$E:$E,'Ausgaben 2023'!I$6)</f>
        <v>0</v>
      </c>
      <c r="J33" s="21">
        <f>SUMIFS(Einzelbeträge!$D:$D,Einzelbeträge!$C:$C,'Ausgaben 2023'!$C33,Einzelbeträge!$E:$E,'Ausgaben 2023'!J$6)</f>
        <v>0</v>
      </c>
      <c r="K33" s="21">
        <f>SUMIFS(Einzelbeträge!$D:$D,Einzelbeträge!$C:$C,'Ausgaben 2023'!$C33,Einzelbeträge!$E:$E,'Ausgaben 2023'!K$6)</f>
        <v>0</v>
      </c>
      <c r="L33" s="21">
        <f>SUMIFS(Einzelbeträge!$D:$D,Einzelbeträge!$C:$C,'Ausgaben 2023'!$C33,Einzelbeträge!$E:$E,'Ausgaben 2023'!L$6)</f>
        <v>0</v>
      </c>
      <c r="M33" s="21">
        <f>SUMIFS(Einzelbeträge!$D:$D,Einzelbeträge!$C:$C,'Ausgaben 2023'!$C33,Einzelbeträge!$E:$E,'Ausgaben 2023'!M$6)</f>
        <v>0</v>
      </c>
      <c r="N33" s="35">
        <f>SUMIFS(Einzelbeträge!$D:$D,Einzelbeträge!$C:$C,'Ausgaben 2023'!$C33,Einzelbeträge!$E:$E,'Ausgaben 2023'!N$6)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03.07.2023 - 09.07.2023</v>
      </c>
      <c r="S33" s="90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44954</v>
      </c>
      <c r="D34" s="46">
        <f>SUMIFS(Einzelbeträge!$D:$D,Einzelbeträge!$C:$C,'Ausgaben 2023'!$C34)</f>
        <v>0</v>
      </c>
      <c r="E34" s="21">
        <f>SUMIFS(Einzelbeträge!$D:$D,Einzelbeträge!$C:$C,'Ausgaben 2023'!$C34,Einzelbeträge!$E:$E,'Ausgaben 2023'!E$6)</f>
        <v>0</v>
      </c>
      <c r="F34" s="21">
        <f>SUMIFS(Einzelbeträge!$D:$D,Einzelbeträge!$C:$C,'Ausgaben 2023'!$C34,Einzelbeträge!$E:$E,'Ausgaben 2023'!F$6)</f>
        <v>0</v>
      </c>
      <c r="G34" s="21">
        <f>SUMIFS(Einzelbeträge!$D:$D,Einzelbeträge!$C:$C,'Ausgaben 2023'!$C34,Einzelbeträge!$E:$E,'Ausgaben 2023'!G$6)</f>
        <v>0</v>
      </c>
      <c r="H34" s="21">
        <f>SUMIFS(Einzelbeträge!$D:$D,Einzelbeträge!$C:$C,'Ausgaben 2023'!$C34,Einzelbeträge!$E:$E,'Ausgaben 2023'!H$6)</f>
        <v>0</v>
      </c>
      <c r="I34" s="21">
        <f>SUMIFS(Einzelbeträge!$D:$D,Einzelbeträge!$C:$C,'Ausgaben 2023'!$C34,Einzelbeträge!$E:$E,'Ausgaben 2023'!I$6)</f>
        <v>0</v>
      </c>
      <c r="J34" s="21">
        <f>SUMIFS(Einzelbeträge!$D:$D,Einzelbeträge!$C:$C,'Ausgaben 2023'!$C34,Einzelbeträge!$E:$E,'Ausgaben 2023'!J$6)</f>
        <v>0</v>
      </c>
      <c r="K34" s="21">
        <f>SUMIFS(Einzelbeträge!$D:$D,Einzelbeträge!$C:$C,'Ausgaben 2023'!$C34,Einzelbeträge!$E:$E,'Ausgaben 2023'!K$6)</f>
        <v>0</v>
      </c>
      <c r="L34" s="21">
        <f>SUMIFS(Einzelbeträge!$D:$D,Einzelbeträge!$C:$C,'Ausgaben 2023'!$C34,Einzelbeträge!$E:$E,'Ausgaben 2023'!L$6)</f>
        <v>0</v>
      </c>
      <c r="M34" s="21">
        <f>SUMIFS(Einzelbeträge!$D:$D,Einzelbeträge!$C:$C,'Ausgaben 2023'!$C34,Einzelbeträge!$E:$E,'Ausgaben 2023'!M$6)</f>
        <v>0</v>
      </c>
      <c r="N34" s="35">
        <f>SUMIFS(Einzelbeträge!$D:$D,Einzelbeträge!$C:$C,'Ausgaben 2023'!$C34,Einzelbeträge!$E:$E,'Ausgaben 2023'!N$6)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10.07.2023 - 16.07.2023</v>
      </c>
      <c r="S34" s="90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44955</v>
      </c>
      <c r="D35" s="46">
        <f>SUMIFS(Einzelbeträge!$D:$D,Einzelbeträge!$C:$C,'Ausgaben 2023'!$C35)</f>
        <v>0</v>
      </c>
      <c r="E35" s="21">
        <f>SUMIFS(Einzelbeträge!$D:$D,Einzelbeträge!$C:$C,'Ausgaben 2023'!$C35,Einzelbeträge!$E:$E,'Ausgaben 2023'!E$6)</f>
        <v>0</v>
      </c>
      <c r="F35" s="21">
        <f>SUMIFS(Einzelbeträge!$D:$D,Einzelbeträge!$C:$C,'Ausgaben 2023'!$C35,Einzelbeträge!$E:$E,'Ausgaben 2023'!F$6)</f>
        <v>0</v>
      </c>
      <c r="G35" s="21">
        <f>SUMIFS(Einzelbeträge!$D:$D,Einzelbeträge!$C:$C,'Ausgaben 2023'!$C35,Einzelbeträge!$E:$E,'Ausgaben 2023'!G$6)</f>
        <v>0</v>
      </c>
      <c r="H35" s="21">
        <f>SUMIFS(Einzelbeträge!$D:$D,Einzelbeträge!$C:$C,'Ausgaben 2023'!$C35,Einzelbeträge!$E:$E,'Ausgaben 2023'!H$6)</f>
        <v>0</v>
      </c>
      <c r="I35" s="21">
        <f>SUMIFS(Einzelbeträge!$D:$D,Einzelbeträge!$C:$C,'Ausgaben 2023'!$C35,Einzelbeträge!$E:$E,'Ausgaben 2023'!I$6)</f>
        <v>0</v>
      </c>
      <c r="J35" s="21">
        <f>SUMIFS(Einzelbeträge!$D:$D,Einzelbeträge!$C:$C,'Ausgaben 2023'!$C35,Einzelbeträge!$E:$E,'Ausgaben 2023'!J$6)</f>
        <v>0</v>
      </c>
      <c r="K35" s="21">
        <f>SUMIFS(Einzelbeträge!$D:$D,Einzelbeträge!$C:$C,'Ausgaben 2023'!$C35,Einzelbeträge!$E:$E,'Ausgaben 2023'!K$6)</f>
        <v>0</v>
      </c>
      <c r="L35" s="21">
        <f>SUMIFS(Einzelbeträge!$D:$D,Einzelbeträge!$C:$C,'Ausgaben 2023'!$C35,Einzelbeträge!$E:$E,'Ausgaben 2023'!L$6)</f>
        <v>0</v>
      </c>
      <c r="M35" s="21">
        <f>SUMIFS(Einzelbeträge!$D:$D,Einzelbeträge!$C:$C,'Ausgaben 2023'!$C35,Einzelbeträge!$E:$E,'Ausgaben 2023'!M$6)</f>
        <v>0</v>
      </c>
      <c r="N35" s="35">
        <f>SUMIFS(Einzelbeträge!$D:$D,Einzelbeträge!$C:$C,'Ausgaben 2023'!$C35,Einzelbeträge!$E:$E,'Ausgaben 2023'!N$6)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17.07.2023 - 23.07.2023</v>
      </c>
      <c r="S35" s="90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44956</v>
      </c>
      <c r="D36" s="46">
        <f>SUMIFS(Einzelbeträge!$D:$D,Einzelbeträge!$C:$C,'Ausgaben 2023'!$C36)</f>
        <v>0</v>
      </c>
      <c r="E36" s="21">
        <f>SUMIFS(Einzelbeträge!$D:$D,Einzelbeträge!$C:$C,'Ausgaben 2023'!$C36,Einzelbeträge!$E:$E,'Ausgaben 2023'!E$6)</f>
        <v>0</v>
      </c>
      <c r="F36" s="21">
        <f>SUMIFS(Einzelbeträge!$D:$D,Einzelbeträge!$C:$C,'Ausgaben 2023'!$C36,Einzelbeträge!$E:$E,'Ausgaben 2023'!F$6)</f>
        <v>0</v>
      </c>
      <c r="G36" s="21">
        <f>SUMIFS(Einzelbeträge!$D:$D,Einzelbeträge!$C:$C,'Ausgaben 2023'!$C36,Einzelbeträge!$E:$E,'Ausgaben 2023'!G$6)</f>
        <v>0</v>
      </c>
      <c r="H36" s="21">
        <f>SUMIFS(Einzelbeträge!$D:$D,Einzelbeträge!$C:$C,'Ausgaben 2023'!$C36,Einzelbeträge!$E:$E,'Ausgaben 2023'!H$6)</f>
        <v>0</v>
      </c>
      <c r="I36" s="21">
        <f>SUMIFS(Einzelbeträge!$D:$D,Einzelbeträge!$C:$C,'Ausgaben 2023'!$C36,Einzelbeträge!$E:$E,'Ausgaben 2023'!I$6)</f>
        <v>0</v>
      </c>
      <c r="J36" s="21">
        <f>SUMIFS(Einzelbeträge!$D:$D,Einzelbeträge!$C:$C,'Ausgaben 2023'!$C36,Einzelbeträge!$E:$E,'Ausgaben 2023'!J$6)</f>
        <v>0</v>
      </c>
      <c r="K36" s="21">
        <f>SUMIFS(Einzelbeträge!$D:$D,Einzelbeträge!$C:$C,'Ausgaben 2023'!$C36,Einzelbeträge!$E:$E,'Ausgaben 2023'!K$6)</f>
        <v>0</v>
      </c>
      <c r="L36" s="21">
        <f>SUMIFS(Einzelbeträge!$D:$D,Einzelbeträge!$C:$C,'Ausgaben 2023'!$C36,Einzelbeträge!$E:$E,'Ausgaben 2023'!L$6)</f>
        <v>0</v>
      </c>
      <c r="M36" s="21">
        <f>SUMIFS(Einzelbeträge!$D:$D,Einzelbeträge!$C:$C,'Ausgaben 2023'!$C36,Einzelbeträge!$E:$E,'Ausgaben 2023'!M$6)</f>
        <v>0</v>
      </c>
      <c r="N36" s="35">
        <f>SUMIFS(Einzelbeträge!$D:$D,Einzelbeträge!$C:$C,'Ausgaben 2023'!$C36,Einzelbeträge!$E:$E,'Ausgaben 2023'!N$6)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24.07.2023 - 30.07.2023</v>
      </c>
      <c r="S36" s="90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44957</v>
      </c>
      <c r="D37" s="47">
        <f>SUMIFS(Einzelbeträge!$D:$D,Einzelbeträge!$C:$C,'Ausgaben 2023'!$C37)</f>
        <v>0</v>
      </c>
      <c r="E37" s="37">
        <f>SUMIFS(Einzelbeträge!$D:$D,Einzelbeträge!$C:$C,'Ausgaben 2023'!$C37,Einzelbeträge!$E:$E,'Ausgaben 2023'!E$6)</f>
        <v>0</v>
      </c>
      <c r="F37" s="37">
        <f>SUMIFS(Einzelbeträge!$D:$D,Einzelbeträge!$C:$C,'Ausgaben 2023'!$C37,Einzelbeträge!$E:$E,'Ausgaben 2023'!F$6)</f>
        <v>0</v>
      </c>
      <c r="G37" s="37">
        <f>SUMIFS(Einzelbeträge!$D:$D,Einzelbeträge!$C:$C,'Ausgaben 2023'!$C37,Einzelbeträge!$E:$E,'Ausgaben 2023'!G$6)</f>
        <v>0</v>
      </c>
      <c r="H37" s="37">
        <f>SUMIFS(Einzelbeträge!$D:$D,Einzelbeträge!$C:$C,'Ausgaben 2023'!$C37,Einzelbeträge!$E:$E,'Ausgaben 2023'!H$6)</f>
        <v>0</v>
      </c>
      <c r="I37" s="37">
        <f>SUMIFS(Einzelbeträge!$D:$D,Einzelbeträge!$C:$C,'Ausgaben 2023'!$C37,Einzelbeträge!$E:$E,'Ausgaben 2023'!I$6)</f>
        <v>0</v>
      </c>
      <c r="J37" s="37">
        <f>SUMIFS(Einzelbeträge!$D:$D,Einzelbeträge!$C:$C,'Ausgaben 2023'!$C37,Einzelbeträge!$E:$E,'Ausgaben 2023'!J$6)</f>
        <v>0</v>
      </c>
      <c r="K37" s="37">
        <f>SUMIFS(Einzelbeträge!$D:$D,Einzelbeträge!$C:$C,'Ausgaben 2023'!$C37,Einzelbeträge!$E:$E,'Ausgaben 2023'!K$6)</f>
        <v>0</v>
      </c>
      <c r="L37" s="37">
        <f>SUMIFS(Einzelbeträge!$D:$D,Einzelbeträge!$C:$C,'Ausgaben 2023'!$C37,Einzelbeträge!$E:$E,'Ausgaben 2023'!L$6)</f>
        <v>0</v>
      </c>
      <c r="M37" s="37">
        <f>SUMIFS(Einzelbeträge!$D:$D,Einzelbeträge!$C:$C,'Ausgaben 2023'!$C37,Einzelbeträge!$E:$E,'Ausgaben 2023'!M$6)</f>
        <v>0</v>
      </c>
      <c r="N37" s="38">
        <f>SUMIFS(Einzelbeträge!$D:$D,Einzelbeträge!$C:$C,'Ausgaben 2023'!$C37,Einzelbeträge!$E:$E,'Ausgaben 2023'!N$6)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31.07.2023 - 06.08.2023</v>
      </c>
      <c r="S37" s="90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07.08.2023 - 13.08.2023</v>
      </c>
      <c r="S38" s="90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14.08.2023 - 20.08.2023</v>
      </c>
      <c r="S39" s="90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21.08.2023 - 27.08.2023</v>
      </c>
      <c r="S40" s="90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44958</v>
      </c>
      <c r="D41" s="45">
        <f>SUMIFS(Einzelbeträge!$D:$D,Einzelbeträge!$C:$C,'Ausgaben 2023'!$C41)</f>
        <v>0</v>
      </c>
      <c r="E41" s="88">
        <f>SUMIFS(Einzelbeträge!$D:$D,Einzelbeträge!$C:$C,'Ausgaben 2023'!$C41,Einzelbeträge!$E:$E,'Ausgaben 2023'!E$6)</f>
        <v>0</v>
      </c>
      <c r="F41" s="32">
        <f>SUMIFS(Einzelbeträge!$D:$D,Einzelbeträge!$C:$C,'Ausgaben 2023'!$C41,Einzelbeträge!$E:$E,'Ausgaben 2023'!F$6)</f>
        <v>0</v>
      </c>
      <c r="G41" s="32">
        <f>SUMIFS(Einzelbeträge!$D:$D,Einzelbeträge!$C:$C,'Ausgaben 2023'!$C41,Einzelbeträge!$E:$E,'Ausgaben 2023'!G$6)</f>
        <v>0</v>
      </c>
      <c r="H41" s="32">
        <f>SUMIFS(Einzelbeträge!$D:$D,Einzelbeträge!$C:$C,'Ausgaben 2023'!$C41,Einzelbeträge!$E:$E,'Ausgaben 2023'!H$6)</f>
        <v>0</v>
      </c>
      <c r="I41" s="32">
        <f>SUMIFS(Einzelbeträge!$D:$D,Einzelbeträge!$C:$C,'Ausgaben 2023'!$C41,Einzelbeträge!$E:$E,'Ausgaben 2023'!I$6)</f>
        <v>0</v>
      </c>
      <c r="J41" s="32">
        <f>SUMIFS(Einzelbeträge!$D:$D,Einzelbeträge!$C:$C,'Ausgaben 2023'!$C41,Einzelbeträge!$E:$E,'Ausgaben 2023'!J$6)</f>
        <v>0</v>
      </c>
      <c r="K41" s="32">
        <f>SUMIFS(Einzelbeträge!$D:$D,Einzelbeträge!$C:$C,'Ausgaben 2023'!$C41,Einzelbeträge!$E:$E,'Ausgaben 2023'!K$6)</f>
        <v>0</v>
      </c>
      <c r="L41" s="32">
        <f>SUMIFS(Einzelbeträge!$D:$D,Einzelbeträge!$C:$C,'Ausgaben 2023'!$C41,Einzelbeträge!$E:$E,'Ausgaben 2023'!L$6)</f>
        <v>0</v>
      </c>
      <c r="M41" s="32">
        <f>SUMIFS(Einzelbeträge!$D:$D,Einzelbeträge!$C:$C,'Ausgaben 2023'!$C41,Einzelbeträge!$E:$E,'Ausgaben 2023'!M$6)</f>
        <v>0</v>
      </c>
      <c r="N41" s="33">
        <f>SUMIFS(Einzelbeträge!$D:$D,Einzelbeträge!$C:$C,'Ausgaben 2023'!$C41,Einzelbeträge!$E:$E,'Ausgaben 2023'!N$6)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28.08.2023 - 03.09.2023</v>
      </c>
      <c r="S41" s="90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44959</v>
      </c>
      <c r="D42" s="46">
        <f>SUMIFS(Einzelbeträge!$D:$D,Einzelbeträge!$C:$C,'Ausgaben 2023'!$C42)</f>
        <v>0</v>
      </c>
      <c r="E42" s="34">
        <f>SUMIFS(Einzelbeträge!$D:$D,Einzelbeträge!$C:$C,'Ausgaben 2023'!$C42,Einzelbeträge!$E:$E,'Ausgaben 2023'!E$6)</f>
        <v>0</v>
      </c>
      <c r="F42" s="21">
        <f>SUMIFS(Einzelbeträge!$D:$D,Einzelbeträge!$C:$C,'Ausgaben 2023'!$C42,Einzelbeträge!$E:$E,'Ausgaben 2023'!F$6)</f>
        <v>0</v>
      </c>
      <c r="G42" s="21">
        <f>SUMIFS(Einzelbeträge!$D:$D,Einzelbeträge!$C:$C,'Ausgaben 2023'!$C42,Einzelbeträge!$E:$E,'Ausgaben 2023'!G$6)</f>
        <v>0</v>
      </c>
      <c r="H42" s="21">
        <f>SUMIFS(Einzelbeträge!$D:$D,Einzelbeträge!$C:$C,'Ausgaben 2023'!$C42,Einzelbeträge!$E:$E,'Ausgaben 2023'!H$6)</f>
        <v>0</v>
      </c>
      <c r="I42" s="21">
        <f>SUMIFS(Einzelbeträge!$D:$D,Einzelbeträge!$C:$C,'Ausgaben 2023'!$C42,Einzelbeträge!$E:$E,'Ausgaben 2023'!I$6)</f>
        <v>0</v>
      </c>
      <c r="J42" s="21">
        <f>SUMIFS(Einzelbeträge!$D:$D,Einzelbeträge!$C:$C,'Ausgaben 2023'!$C42,Einzelbeträge!$E:$E,'Ausgaben 2023'!J$6)</f>
        <v>0</v>
      </c>
      <c r="K42" s="21">
        <f>SUMIFS(Einzelbeträge!$D:$D,Einzelbeträge!$C:$C,'Ausgaben 2023'!$C42,Einzelbeträge!$E:$E,'Ausgaben 2023'!K$6)</f>
        <v>0</v>
      </c>
      <c r="L42" s="21">
        <f>SUMIFS(Einzelbeträge!$D:$D,Einzelbeträge!$C:$C,'Ausgaben 2023'!$C42,Einzelbeträge!$E:$E,'Ausgaben 2023'!L$6)</f>
        <v>0</v>
      </c>
      <c r="M42" s="21">
        <f>SUMIFS(Einzelbeträge!$D:$D,Einzelbeträge!$C:$C,'Ausgaben 2023'!$C42,Einzelbeträge!$E:$E,'Ausgaben 2023'!M$6)</f>
        <v>0</v>
      </c>
      <c r="N42" s="35">
        <f>SUMIFS(Einzelbeträge!$D:$D,Einzelbeträge!$C:$C,'Ausgaben 2023'!$C42,Einzelbeträge!$E:$E,'Ausgaben 2023'!N$6)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04.09.2023 - 10.09.2023</v>
      </c>
      <c r="S42" s="90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44960</v>
      </c>
      <c r="D43" s="46">
        <f>SUMIFS(Einzelbeträge!$D:$D,Einzelbeträge!$C:$C,'Ausgaben 2023'!$C43)</f>
        <v>0</v>
      </c>
      <c r="E43" s="34">
        <f>SUMIFS(Einzelbeträge!$D:$D,Einzelbeträge!$C:$C,'Ausgaben 2023'!$C43,Einzelbeträge!$E:$E,'Ausgaben 2023'!E$6)</f>
        <v>0</v>
      </c>
      <c r="F43" s="21">
        <f>SUMIFS(Einzelbeträge!$D:$D,Einzelbeträge!$C:$C,'Ausgaben 2023'!$C43,Einzelbeträge!$E:$E,'Ausgaben 2023'!F$6)</f>
        <v>0</v>
      </c>
      <c r="G43" s="21">
        <f>SUMIFS(Einzelbeträge!$D:$D,Einzelbeträge!$C:$C,'Ausgaben 2023'!$C43,Einzelbeträge!$E:$E,'Ausgaben 2023'!G$6)</f>
        <v>0</v>
      </c>
      <c r="H43" s="21">
        <f>SUMIFS(Einzelbeträge!$D:$D,Einzelbeträge!$C:$C,'Ausgaben 2023'!$C43,Einzelbeträge!$E:$E,'Ausgaben 2023'!H$6)</f>
        <v>0</v>
      </c>
      <c r="I43" s="21">
        <f>SUMIFS(Einzelbeträge!$D:$D,Einzelbeträge!$C:$C,'Ausgaben 2023'!$C43,Einzelbeträge!$E:$E,'Ausgaben 2023'!I$6)</f>
        <v>0</v>
      </c>
      <c r="J43" s="21">
        <f>SUMIFS(Einzelbeträge!$D:$D,Einzelbeträge!$C:$C,'Ausgaben 2023'!$C43,Einzelbeträge!$E:$E,'Ausgaben 2023'!J$6)</f>
        <v>0</v>
      </c>
      <c r="K43" s="21">
        <f>SUMIFS(Einzelbeträge!$D:$D,Einzelbeträge!$C:$C,'Ausgaben 2023'!$C43,Einzelbeträge!$E:$E,'Ausgaben 2023'!K$6)</f>
        <v>0</v>
      </c>
      <c r="L43" s="21">
        <f>SUMIFS(Einzelbeträge!$D:$D,Einzelbeträge!$C:$C,'Ausgaben 2023'!$C43,Einzelbeträge!$E:$E,'Ausgaben 2023'!L$6)</f>
        <v>0</v>
      </c>
      <c r="M43" s="21">
        <f>SUMIFS(Einzelbeträge!$D:$D,Einzelbeträge!$C:$C,'Ausgaben 2023'!$C43,Einzelbeträge!$E:$E,'Ausgaben 2023'!M$6)</f>
        <v>0</v>
      </c>
      <c r="N43" s="35">
        <f>SUMIFS(Einzelbeträge!$D:$D,Einzelbeträge!$C:$C,'Ausgaben 2023'!$C43,Einzelbeträge!$E:$E,'Ausgaben 2023'!N$6)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11.09.2023 - 17.09.2023</v>
      </c>
      <c r="S43" s="90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44961</v>
      </c>
      <c r="D44" s="46">
        <f>SUMIFS(Einzelbeträge!$D:$D,Einzelbeträge!$C:$C,'Ausgaben 2023'!$C44)</f>
        <v>0</v>
      </c>
      <c r="E44" s="34">
        <f>SUMIFS(Einzelbeträge!$D:$D,Einzelbeträge!$C:$C,'Ausgaben 2023'!$C44,Einzelbeträge!$E:$E,'Ausgaben 2023'!E$6)</f>
        <v>0</v>
      </c>
      <c r="F44" s="21">
        <f>SUMIFS(Einzelbeträge!$D:$D,Einzelbeträge!$C:$C,'Ausgaben 2023'!$C44,Einzelbeträge!$E:$E,'Ausgaben 2023'!F$6)</f>
        <v>0</v>
      </c>
      <c r="G44" s="21">
        <f>SUMIFS(Einzelbeträge!$D:$D,Einzelbeträge!$C:$C,'Ausgaben 2023'!$C44,Einzelbeträge!$E:$E,'Ausgaben 2023'!G$6)</f>
        <v>0</v>
      </c>
      <c r="H44" s="21">
        <f>SUMIFS(Einzelbeträge!$D:$D,Einzelbeträge!$C:$C,'Ausgaben 2023'!$C44,Einzelbeträge!$E:$E,'Ausgaben 2023'!H$6)</f>
        <v>0</v>
      </c>
      <c r="I44" s="21">
        <f>SUMIFS(Einzelbeträge!$D:$D,Einzelbeträge!$C:$C,'Ausgaben 2023'!$C44,Einzelbeträge!$E:$E,'Ausgaben 2023'!I$6)</f>
        <v>0</v>
      </c>
      <c r="J44" s="21">
        <f>SUMIFS(Einzelbeträge!$D:$D,Einzelbeträge!$C:$C,'Ausgaben 2023'!$C44,Einzelbeträge!$E:$E,'Ausgaben 2023'!J$6)</f>
        <v>0</v>
      </c>
      <c r="K44" s="21">
        <f>SUMIFS(Einzelbeträge!$D:$D,Einzelbeträge!$C:$C,'Ausgaben 2023'!$C44,Einzelbeträge!$E:$E,'Ausgaben 2023'!K$6)</f>
        <v>0</v>
      </c>
      <c r="L44" s="21">
        <f>SUMIFS(Einzelbeträge!$D:$D,Einzelbeträge!$C:$C,'Ausgaben 2023'!$C44,Einzelbeträge!$E:$E,'Ausgaben 2023'!L$6)</f>
        <v>0</v>
      </c>
      <c r="M44" s="21">
        <f>SUMIFS(Einzelbeträge!$D:$D,Einzelbeträge!$C:$C,'Ausgaben 2023'!$C44,Einzelbeträge!$E:$E,'Ausgaben 2023'!M$6)</f>
        <v>0</v>
      </c>
      <c r="N44" s="35">
        <f>SUMIFS(Einzelbeträge!$D:$D,Einzelbeträge!$C:$C,'Ausgaben 2023'!$C44,Einzelbeträge!$E:$E,'Ausgaben 2023'!N$6)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18.09.2023 - 24.09.2023</v>
      </c>
      <c r="S44" s="90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44962</v>
      </c>
      <c r="D45" s="46">
        <f>SUMIFS(Einzelbeträge!$D:$D,Einzelbeträge!$C:$C,'Ausgaben 2023'!$C45)</f>
        <v>0</v>
      </c>
      <c r="E45" s="34">
        <f>SUMIFS(Einzelbeträge!$D:$D,Einzelbeträge!$C:$C,'Ausgaben 2023'!$C45,Einzelbeträge!$E:$E,'Ausgaben 2023'!E$6)</f>
        <v>0</v>
      </c>
      <c r="F45" s="21">
        <f>SUMIFS(Einzelbeträge!$D:$D,Einzelbeträge!$C:$C,'Ausgaben 2023'!$C45,Einzelbeträge!$E:$E,'Ausgaben 2023'!F$6)</f>
        <v>0</v>
      </c>
      <c r="G45" s="21">
        <f>SUMIFS(Einzelbeträge!$D:$D,Einzelbeträge!$C:$C,'Ausgaben 2023'!$C45,Einzelbeträge!$E:$E,'Ausgaben 2023'!G$6)</f>
        <v>0</v>
      </c>
      <c r="H45" s="21">
        <f>SUMIFS(Einzelbeträge!$D:$D,Einzelbeträge!$C:$C,'Ausgaben 2023'!$C45,Einzelbeträge!$E:$E,'Ausgaben 2023'!H$6)</f>
        <v>0</v>
      </c>
      <c r="I45" s="21">
        <f>SUMIFS(Einzelbeträge!$D:$D,Einzelbeträge!$C:$C,'Ausgaben 2023'!$C45,Einzelbeträge!$E:$E,'Ausgaben 2023'!I$6)</f>
        <v>0</v>
      </c>
      <c r="J45" s="21">
        <f>SUMIFS(Einzelbeträge!$D:$D,Einzelbeträge!$C:$C,'Ausgaben 2023'!$C45,Einzelbeträge!$E:$E,'Ausgaben 2023'!J$6)</f>
        <v>0</v>
      </c>
      <c r="K45" s="21">
        <f>SUMIFS(Einzelbeträge!$D:$D,Einzelbeträge!$C:$C,'Ausgaben 2023'!$C45,Einzelbeträge!$E:$E,'Ausgaben 2023'!K$6)</f>
        <v>0</v>
      </c>
      <c r="L45" s="21">
        <f>SUMIFS(Einzelbeträge!$D:$D,Einzelbeträge!$C:$C,'Ausgaben 2023'!$C45,Einzelbeträge!$E:$E,'Ausgaben 2023'!L$6)</f>
        <v>0</v>
      </c>
      <c r="M45" s="21">
        <f>SUMIFS(Einzelbeträge!$D:$D,Einzelbeträge!$C:$C,'Ausgaben 2023'!$C45,Einzelbeträge!$E:$E,'Ausgaben 2023'!M$6)</f>
        <v>0</v>
      </c>
      <c r="N45" s="35">
        <f>SUMIFS(Einzelbeträge!$D:$D,Einzelbeträge!$C:$C,'Ausgaben 2023'!$C45,Einzelbeträge!$E:$E,'Ausgaben 2023'!N$6)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25.09.2023 - 01.10.2023</v>
      </c>
      <c r="S45" s="90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44963</v>
      </c>
      <c r="D46" s="46">
        <f>SUMIFS(Einzelbeträge!$D:$D,Einzelbeträge!$C:$C,'Ausgaben 2023'!$C46)</f>
        <v>0</v>
      </c>
      <c r="E46" s="34">
        <f>SUMIFS(Einzelbeträge!$D:$D,Einzelbeträge!$C:$C,'Ausgaben 2023'!$C46,Einzelbeträge!$E:$E,'Ausgaben 2023'!E$6)</f>
        <v>0</v>
      </c>
      <c r="F46" s="21">
        <f>SUMIFS(Einzelbeträge!$D:$D,Einzelbeträge!$C:$C,'Ausgaben 2023'!$C46,Einzelbeträge!$E:$E,'Ausgaben 2023'!F$6)</f>
        <v>0</v>
      </c>
      <c r="G46" s="21">
        <f>SUMIFS(Einzelbeträge!$D:$D,Einzelbeträge!$C:$C,'Ausgaben 2023'!$C46,Einzelbeträge!$E:$E,'Ausgaben 2023'!G$6)</f>
        <v>0</v>
      </c>
      <c r="H46" s="21">
        <f>SUMIFS(Einzelbeträge!$D:$D,Einzelbeträge!$C:$C,'Ausgaben 2023'!$C46,Einzelbeträge!$E:$E,'Ausgaben 2023'!H$6)</f>
        <v>0</v>
      </c>
      <c r="I46" s="21">
        <f>SUMIFS(Einzelbeträge!$D:$D,Einzelbeträge!$C:$C,'Ausgaben 2023'!$C46,Einzelbeträge!$E:$E,'Ausgaben 2023'!I$6)</f>
        <v>0</v>
      </c>
      <c r="J46" s="21">
        <f>SUMIFS(Einzelbeträge!$D:$D,Einzelbeträge!$C:$C,'Ausgaben 2023'!$C46,Einzelbeträge!$E:$E,'Ausgaben 2023'!J$6)</f>
        <v>0</v>
      </c>
      <c r="K46" s="21">
        <f>SUMIFS(Einzelbeträge!$D:$D,Einzelbeträge!$C:$C,'Ausgaben 2023'!$C46,Einzelbeträge!$E:$E,'Ausgaben 2023'!K$6)</f>
        <v>0</v>
      </c>
      <c r="L46" s="21">
        <f>SUMIFS(Einzelbeträge!$D:$D,Einzelbeträge!$C:$C,'Ausgaben 2023'!$C46,Einzelbeträge!$E:$E,'Ausgaben 2023'!L$6)</f>
        <v>0</v>
      </c>
      <c r="M46" s="21">
        <f>SUMIFS(Einzelbeträge!$D:$D,Einzelbeträge!$C:$C,'Ausgaben 2023'!$C46,Einzelbeträge!$E:$E,'Ausgaben 2023'!M$6)</f>
        <v>0</v>
      </c>
      <c r="N46" s="35">
        <f>SUMIFS(Einzelbeträge!$D:$D,Einzelbeträge!$C:$C,'Ausgaben 2023'!$C46,Einzelbeträge!$E:$E,'Ausgaben 2023'!N$6)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02.10.2023 - 08.10.2023</v>
      </c>
      <c r="S46" s="90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44964</v>
      </c>
      <c r="D47" s="46">
        <f>SUMIFS(Einzelbeträge!$D:$D,Einzelbeträge!$C:$C,'Ausgaben 2023'!$C47)</f>
        <v>0</v>
      </c>
      <c r="E47" s="34">
        <f>SUMIFS(Einzelbeträge!$D:$D,Einzelbeträge!$C:$C,'Ausgaben 2023'!$C47,Einzelbeträge!$E:$E,'Ausgaben 2023'!E$6)</f>
        <v>0</v>
      </c>
      <c r="F47" s="21">
        <f>SUMIFS(Einzelbeträge!$D:$D,Einzelbeträge!$C:$C,'Ausgaben 2023'!$C47,Einzelbeträge!$E:$E,'Ausgaben 2023'!F$6)</f>
        <v>0</v>
      </c>
      <c r="G47" s="21">
        <f>SUMIFS(Einzelbeträge!$D:$D,Einzelbeträge!$C:$C,'Ausgaben 2023'!$C47,Einzelbeträge!$E:$E,'Ausgaben 2023'!G$6)</f>
        <v>0</v>
      </c>
      <c r="H47" s="21">
        <f>SUMIFS(Einzelbeträge!$D:$D,Einzelbeträge!$C:$C,'Ausgaben 2023'!$C47,Einzelbeträge!$E:$E,'Ausgaben 2023'!H$6)</f>
        <v>0</v>
      </c>
      <c r="I47" s="21">
        <f>SUMIFS(Einzelbeträge!$D:$D,Einzelbeträge!$C:$C,'Ausgaben 2023'!$C47,Einzelbeträge!$E:$E,'Ausgaben 2023'!I$6)</f>
        <v>0</v>
      </c>
      <c r="J47" s="21">
        <f>SUMIFS(Einzelbeträge!$D:$D,Einzelbeträge!$C:$C,'Ausgaben 2023'!$C47,Einzelbeträge!$E:$E,'Ausgaben 2023'!J$6)</f>
        <v>0</v>
      </c>
      <c r="K47" s="21">
        <f>SUMIFS(Einzelbeträge!$D:$D,Einzelbeträge!$C:$C,'Ausgaben 2023'!$C47,Einzelbeträge!$E:$E,'Ausgaben 2023'!K$6)</f>
        <v>0</v>
      </c>
      <c r="L47" s="21">
        <f>SUMIFS(Einzelbeträge!$D:$D,Einzelbeträge!$C:$C,'Ausgaben 2023'!$C47,Einzelbeträge!$E:$E,'Ausgaben 2023'!L$6)</f>
        <v>0</v>
      </c>
      <c r="M47" s="21">
        <f>SUMIFS(Einzelbeträge!$D:$D,Einzelbeträge!$C:$C,'Ausgaben 2023'!$C47,Einzelbeträge!$E:$E,'Ausgaben 2023'!M$6)</f>
        <v>0</v>
      </c>
      <c r="N47" s="35">
        <f>SUMIFS(Einzelbeträge!$D:$D,Einzelbeträge!$C:$C,'Ausgaben 2023'!$C47,Einzelbeträge!$E:$E,'Ausgaben 2023'!N$6)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09.10.2023 - 15.10.2023</v>
      </c>
      <c r="S47" s="90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44965</v>
      </c>
      <c r="D48" s="46">
        <f>SUMIFS(Einzelbeträge!$D:$D,Einzelbeträge!$C:$C,'Ausgaben 2023'!$C48)</f>
        <v>0</v>
      </c>
      <c r="E48" s="34">
        <f>SUMIFS(Einzelbeträge!$D:$D,Einzelbeträge!$C:$C,'Ausgaben 2023'!$C48,Einzelbeträge!$E:$E,'Ausgaben 2023'!E$6)</f>
        <v>0</v>
      </c>
      <c r="F48" s="21">
        <f>SUMIFS(Einzelbeträge!$D:$D,Einzelbeträge!$C:$C,'Ausgaben 2023'!$C48,Einzelbeträge!$E:$E,'Ausgaben 2023'!F$6)</f>
        <v>0</v>
      </c>
      <c r="G48" s="21">
        <f>SUMIFS(Einzelbeträge!$D:$D,Einzelbeträge!$C:$C,'Ausgaben 2023'!$C48,Einzelbeträge!$E:$E,'Ausgaben 2023'!G$6)</f>
        <v>0</v>
      </c>
      <c r="H48" s="21">
        <f>SUMIFS(Einzelbeträge!$D:$D,Einzelbeträge!$C:$C,'Ausgaben 2023'!$C48,Einzelbeträge!$E:$E,'Ausgaben 2023'!H$6)</f>
        <v>0</v>
      </c>
      <c r="I48" s="21">
        <f>SUMIFS(Einzelbeträge!$D:$D,Einzelbeträge!$C:$C,'Ausgaben 2023'!$C48,Einzelbeträge!$E:$E,'Ausgaben 2023'!I$6)</f>
        <v>0</v>
      </c>
      <c r="J48" s="21">
        <f>SUMIFS(Einzelbeträge!$D:$D,Einzelbeträge!$C:$C,'Ausgaben 2023'!$C48,Einzelbeträge!$E:$E,'Ausgaben 2023'!J$6)</f>
        <v>0</v>
      </c>
      <c r="K48" s="21">
        <f>SUMIFS(Einzelbeträge!$D:$D,Einzelbeträge!$C:$C,'Ausgaben 2023'!$C48,Einzelbeträge!$E:$E,'Ausgaben 2023'!K$6)</f>
        <v>0</v>
      </c>
      <c r="L48" s="21">
        <f>SUMIFS(Einzelbeträge!$D:$D,Einzelbeträge!$C:$C,'Ausgaben 2023'!$C48,Einzelbeträge!$E:$E,'Ausgaben 2023'!L$6)</f>
        <v>0</v>
      </c>
      <c r="M48" s="21">
        <f>SUMIFS(Einzelbeträge!$D:$D,Einzelbeträge!$C:$C,'Ausgaben 2023'!$C48,Einzelbeträge!$E:$E,'Ausgaben 2023'!M$6)</f>
        <v>0</v>
      </c>
      <c r="N48" s="35">
        <f>SUMIFS(Einzelbeträge!$D:$D,Einzelbeträge!$C:$C,'Ausgaben 2023'!$C48,Einzelbeträge!$E:$E,'Ausgaben 2023'!N$6)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16.10.2023 - 22.10.2023</v>
      </c>
      <c r="S48" s="90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44966</v>
      </c>
      <c r="D49" s="46">
        <f>SUMIFS(Einzelbeträge!$D:$D,Einzelbeträge!$C:$C,'Ausgaben 2023'!$C49)</f>
        <v>0</v>
      </c>
      <c r="E49" s="34">
        <f>SUMIFS(Einzelbeträge!$D:$D,Einzelbeträge!$C:$C,'Ausgaben 2023'!$C49,Einzelbeträge!$E:$E,'Ausgaben 2023'!E$6)</f>
        <v>0</v>
      </c>
      <c r="F49" s="21">
        <f>SUMIFS(Einzelbeträge!$D:$D,Einzelbeträge!$C:$C,'Ausgaben 2023'!$C49,Einzelbeträge!$E:$E,'Ausgaben 2023'!F$6)</f>
        <v>0</v>
      </c>
      <c r="G49" s="21">
        <f>SUMIFS(Einzelbeträge!$D:$D,Einzelbeträge!$C:$C,'Ausgaben 2023'!$C49,Einzelbeträge!$E:$E,'Ausgaben 2023'!G$6)</f>
        <v>0</v>
      </c>
      <c r="H49" s="21">
        <f>SUMIFS(Einzelbeträge!$D:$D,Einzelbeträge!$C:$C,'Ausgaben 2023'!$C49,Einzelbeträge!$E:$E,'Ausgaben 2023'!H$6)</f>
        <v>0</v>
      </c>
      <c r="I49" s="21">
        <f>SUMIFS(Einzelbeträge!$D:$D,Einzelbeträge!$C:$C,'Ausgaben 2023'!$C49,Einzelbeträge!$E:$E,'Ausgaben 2023'!I$6)</f>
        <v>0</v>
      </c>
      <c r="J49" s="21">
        <f>SUMIFS(Einzelbeträge!$D:$D,Einzelbeträge!$C:$C,'Ausgaben 2023'!$C49,Einzelbeträge!$E:$E,'Ausgaben 2023'!J$6)</f>
        <v>0</v>
      </c>
      <c r="K49" s="21">
        <f>SUMIFS(Einzelbeträge!$D:$D,Einzelbeträge!$C:$C,'Ausgaben 2023'!$C49,Einzelbeträge!$E:$E,'Ausgaben 2023'!K$6)</f>
        <v>0</v>
      </c>
      <c r="L49" s="21">
        <f>SUMIFS(Einzelbeträge!$D:$D,Einzelbeträge!$C:$C,'Ausgaben 2023'!$C49,Einzelbeträge!$E:$E,'Ausgaben 2023'!L$6)</f>
        <v>0</v>
      </c>
      <c r="M49" s="21">
        <f>SUMIFS(Einzelbeträge!$D:$D,Einzelbeträge!$C:$C,'Ausgaben 2023'!$C49,Einzelbeträge!$E:$E,'Ausgaben 2023'!M$6)</f>
        <v>0</v>
      </c>
      <c r="N49" s="35">
        <f>SUMIFS(Einzelbeträge!$D:$D,Einzelbeträge!$C:$C,'Ausgaben 2023'!$C49,Einzelbeträge!$E:$E,'Ausgaben 2023'!N$6)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23.10.2023 - 29.10.2023</v>
      </c>
      <c r="S49" s="90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44967</v>
      </c>
      <c r="D50" s="46">
        <f>SUMIFS(Einzelbeträge!$D:$D,Einzelbeträge!$C:$C,'Ausgaben 2023'!$C50)</f>
        <v>0</v>
      </c>
      <c r="E50" s="34">
        <f>SUMIFS(Einzelbeträge!$D:$D,Einzelbeträge!$C:$C,'Ausgaben 2023'!$C50,Einzelbeträge!$E:$E,'Ausgaben 2023'!E$6)</f>
        <v>0</v>
      </c>
      <c r="F50" s="21">
        <f>SUMIFS(Einzelbeträge!$D:$D,Einzelbeträge!$C:$C,'Ausgaben 2023'!$C50,Einzelbeträge!$E:$E,'Ausgaben 2023'!F$6)</f>
        <v>0</v>
      </c>
      <c r="G50" s="21">
        <f>SUMIFS(Einzelbeträge!$D:$D,Einzelbeträge!$C:$C,'Ausgaben 2023'!$C50,Einzelbeträge!$E:$E,'Ausgaben 2023'!G$6)</f>
        <v>0</v>
      </c>
      <c r="H50" s="21">
        <f>SUMIFS(Einzelbeträge!$D:$D,Einzelbeträge!$C:$C,'Ausgaben 2023'!$C50,Einzelbeträge!$E:$E,'Ausgaben 2023'!H$6)</f>
        <v>0</v>
      </c>
      <c r="I50" s="21">
        <f>SUMIFS(Einzelbeträge!$D:$D,Einzelbeträge!$C:$C,'Ausgaben 2023'!$C50,Einzelbeträge!$E:$E,'Ausgaben 2023'!I$6)</f>
        <v>0</v>
      </c>
      <c r="J50" s="21">
        <f>SUMIFS(Einzelbeträge!$D:$D,Einzelbeträge!$C:$C,'Ausgaben 2023'!$C50,Einzelbeträge!$E:$E,'Ausgaben 2023'!J$6)</f>
        <v>0</v>
      </c>
      <c r="K50" s="21">
        <f>SUMIFS(Einzelbeträge!$D:$D,Einzelbeträge!$C:$C,'Ausgaben 2023'!$C50,Einzelbeträge!$E:$E,'Ausgaben 2023'!K$6)</f>
        <v>0</v>
      </c>
      <c r="L50" s="21">
        <f>SUMIFS(Einzelbeträge!$D:$D,Einzelbeträge!$C:$C,'Ausgaben 2023'!$C50,Einzelbeträge!$E:$E,'Ausgaben 2023'!L$6)</f>
        <v>0</v>
      </c>
      <c r="M50" s="21">
        <f>SUMIFS(Einzelbeträge!$D:$D,Einzelbeträge!$C:$C,'Ausgaben 2023'!$C50,Einzelbeträge!$E:$E,'Ausgaben 2023'!M$6)</f>
        <v>0</v>
      </c>
      <c r="N50" s="35">
        <f>SUMIFS(Einzelbeträge!$D:$D,Einzelbeträge!$C:$C,'Ausgaben 2023'!$C50,Einzelbeträge!$E:$E,'Ausgaben 2023'!N$6)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30.10.2023 - 05.11.2023</v>
      </c>
      <c r="S50" s="90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44968</v>
      </c>
      <c r="D51" s="46">
        <f>SUMIFS(Einzelbeträge!$D:$D,Einzelbeträge!$C:$C,'Ausgaben 2023'!$C51)</f>
        <v>0</v>
      </c>
      <c r="E51" s="34">
        <f>SUMIFS(Einzelbeträge!$D:$D,Einzelbeträge!$C:$C,'Ausgaben 2023'!$C51,Einzelbeträge!$E:$E,'Ausgaben 2023'!E$6)</f>
        <v>0</v>
      </c>
      <c r="F51" s="21">
        <f>SUMIFS(Einzelbeträge!$D:$D,Einzelbeträge!$C:$C,'Ausgaben 2023'!$C51,Einzelbeträge!$E:$E,'Ausgaben 2023'!F$6)</f>
        <v>0</v>
      </c>
      <c r="G51" s="21">
        <f>SUMIFS(Einzelbeträge!$D:$D,Einzelbeträge!$C:$C,'Ausgaben 2023'!$C51,Einzelbeträge!$E:$E,'Ausgaben 2023'!G$6)</f>
        <v>0</v>
      </c>
      <c r="H51" s="21">
        <f>SUMIFS(Einzelbeträge!$D:$D,Einzelbeträge!$C:$C,'Ausgaben 2023'!$C51,Einzelbeträge!$E:$E,'Ausgaben 2023'!H$6)</f>
        <v>0</v>
      </c>
      <c r="I51" s="21">
        <f>SUMIFS(Einzelbeträge!$D:$D,Einzelbeträge!$C:$C,'Ausgaben 2023'!$C51,Einzelbeträge!$E:$E,'Ausgaben 2023'!I$6)</f>
        <v>0</v>
      </c>
      <c r="J51" s="21">
        <f>SUMIFS(Einzelbeträge!$D:$D,Einzelbeträge!$C:$C,'Ausgaben 2023'!$C51,Einzelbeträge!$E:$E,'Ausgaben 2023'!J$6)</f>
        <v>0</v>
      </c>
      <c r="K51" s="21">
        <f>SUMIFS(Einzelbeträge!$D:$D,Einzelbeträge!$C:$C,'Ausgaben 2023'!$C51,Einzelbeträge!$E:$E,'Ausgaben 2023'!K$6)</f>
        <v>0</v>
      </c>
      <c r="L51" s="21">
        <f>SUMIFS(Einzelbeträge!$D:$D,Einzelbeträge!$C:$C,'Ausgaben 2023'!$C51,Einzelbeträge!$E:$E,'Ausgaben 2023'!L$6)</f>
        <v>0</v>
      </c>
      <c r="M51" s="21">
        <f>SUMIFS(Einzelbeträge!$D:$D,Einzelbeträge!$C:$C,'Ausgaben 2023'!$C51,Einzelbeträge!$E:$E,'Ausgaben 2023'!M$6)</f>
        <v>0</v>
      </c>
      <c r="N51" s="35">
        <f>SUMIFS(Einzelbeträge!$D:$D,Einzelbeträge!$C:$C,'Ausgaben 2023'!$C51,Einzelbeträge!$E:$E,'Ausgaben 2023'!N$6)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06.11.2023 - 12.11.2023</v>
      </c>
      <c r="S51" s="90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44969</v>
      </c>
      <c r="D52" s="46">
        <f>SUMIFS(Einzelbeträge!$D:$D,Einzelbeträge!$C:$C,'Ausgaben 2023'!$C52)</f>
        <v>0</v>
      </c>
      <c r="E52" s="34">
        <f>SUMIFS(Einzelbeträge!$D:$D,Einzelbeträge!$C:$C,'Ausgaben 2023'!$C52,Einzelbeträge!$E:$E,'Ausgaben 2023'!E$6)</f>
        <v>0</v>
      </c>
      <c r="F52" s="21">
        <f>SUMIFS(Einzelbeträge!$D:$D,Einzelbeträge!$C:$C,'Ausgaben 2023'!$C52,Einzelbeträge!$E:$E,'Ausgaben 2023'!F$6)</f>
        <v>0</v>
      </c>
      <c r="G52" s="21">
        <f>SUMIFS(Einzelbeträge!$D:$D,Einzelbeträge!$C:$C,'Ausgaben 2023'!$C52,Einzelbeträge!$E:$E,'Ausgaben 2023'!G$6)</f>
        <v>0</v>
      </c>
      <c r="H52" s="21">
        <f>SUMIFS(Einzelbeträge!$D:$D,Einzelbeträge!$C:$C,'Ausgaben 2023'!$C52,Einzelbeträge!$E:$E,'Ausgaben 2023'!H$6)</f>
        <v>0</v>
      </c>
      <c r="I52" s="21">
        <f>SUMIFS(Einzelbeträge!$D:$D,Einzelbeträge!$C:$C,'Ausgaben 2023'!$C52,Einzelbeträge!$E:$E,'Ausgaben 2023'!I$6)</f>
        <v>0</v>
      </c>
      <c r="J52" s="21">
        <f>SUMIFS(Einzelbeträge!$D:$D,Einzelbeträge!$C:$C,'Ausgaben 2023'!$C52,Einzelbeträge!$E:$E,'Ausgaben 2023'!J$6)</f>
        <v>0</v>
      </c>
      <c r="K52" s="21">
        <f>SUMIFS(Einzelbeträge!$D:$D,Einzelbeträge!$C:$C,'Ausgaben 2023'!$C52,Einzelbeträge!$E:$E,'Ausgaben 2023'!K$6)</f>
        <v>0</v>
      </c>
      <c r="L52" s="21">
        <f>SUMIFS(Einzelbeträge!$D:$D,Einzelbeträge!$C:$C,'Ausgaben 2023'!$C52,Einzelbeträge!$E:$E,'Ausgaben 2023'!L$6)</f>
        <v>0</v>
      </c>
      <c r="M52" s="21">
        <f>SUMIFS(Einzelbeträge!$D:$D,Einzelbeträge!$C:$C,'Ausgaben 2023'!$C52,Einzelbeträge!$E:$E,'Ausgaben 2023'!M$6)</f>
        <v>0</v>
      </c>
      <c r="N52" s="35">
        <f>SUMIFS(Einzelbeträge!$D:$D,Einzelbeträge!$C:$C,'Ausgaben 2023'!$C52,Einzelbeträge!$E:$E,'Ausgaben 2023'!N$6)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13.11.2023 - 19.11.2023</v>
      </c>
      <c r="S52" s="90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44970</v>
      </c>
      <c r="D53" s="46">
        <f>SUMIFS(Einzelbeträge!$D:$D,Einzelbeträge!$C:$C,'Ausgaben 2023'!$C53)</f>
        <v>0</v>
      </c>
      <c r="E53" s="34">
        <f>SUMIFS(Einzelbeträge!$D:$D,Einzelbeträge!$C:$C,'Ausgaben 2023'!$C53,Einzelbeträge!$E:$E,'Ausgaben 2023'!E$6)</f>
        <v>0</v>
      </c>
      <c r="F53" s="21">
        <f>SUMIFS(Einzelbeträge!$D:$D,Einzelbeträge!$C:$C,'Ausgaben 2023'!$C53,Einzelbeträge!$E:$E,'Ausgaben 2023'!F$6)</f>
        <v>0</v>
      </c>
      <c r="G53" s="21">
        <f>SUMIFS(Einzelbeträge!$D:$D,Einzelbeträge!$C:$C,'Ausgaben 2023'!$C53,Einzelbeträge!$E:$E,'Ausgaben 2023'!G$6)</f>
        <v>0</v>
      </c>
      <c r="H53" s="21">
        <f>SUMIFS(Einzelbeträge!$D:$D,Einzelbeträge!$C:$C,'Ausgaben 2023'!$C53,Einzelbeträge!$E:$E,'Ausgaben 2023'!H$6)</f>
        <v>0</v>
      </c>
      <c r="I53" s="21">
        <f>SUMIFS(Einzelbeträge!$D:$D,Einzelbeträge!$C:$C,'Ausgaben 2023'!$C53,Einzelbeträge!$E:$E,'Ausgaben 2023'!I$6)</f>
        <v>0</v>
      </c>
      <c r="J53" s="21">
        <f>SUMIFS(Einzelbeträge!$D:$D,Einzelbeträge!$C:$C,'Ausgaben 2023'!$C53,Einzelbeträge!$E:$E,'Ausgaben 2023'!J$6)</f>
        <v>0</v>
      </c>
      <c r="K53" s="21">
        <f>SUMIFS(Einzelbeträge!$D:$D,Einzelbeträge!$C:$C,'Ausgaben 2023'!$C53,Einzelbeträge!$E:$E,'Ausgaben 2023'!K$6)</f>
        <v>0</v>
      </c>
      <c r="L53" s="21">
        <f>SUMIFS(Einzelbeträge!$D:$D,Einzelbeträge!$C:$C,'Ausgaben 2023'!$C53,Einzelbeträge!$E:$E,'Ausgaben 2023'!L$6)</f>
        <v>0</v>
      </c>
      <c r="M53" s="21">
        <f>SUMIFS(Einzelbeträge!$D:$D,Einzelbeträge!$C:$C,'Ausgaben 2023'!$C53,Einzelbeträge!$E:$E,'Ausgaben 2023'!M$6)</f>
        <v>0</v>
      </c>
      <c r="N53" s="35">
        <f>SUMIFS(Einzelbeträge!$D:$D,Einzelbeträge!$C:$C,'Ausgaben 2023'!$C53,Einzelbeträge!$E:$E,'Ausgaben 2023'!N$6)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20.11.2023 - 26.11.2023</v>
      </c>
      <c r="S53" s="90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44971</v>
      </c>
      <c r="D54" s="46">
        <f>SUMIFS(Einzelbeträge!$D:$D,Einzelbeträge!$C:$C,'Ausgaben 2023'!$C54)</f>
        <v>0</v>
      </c>
      <c r="E54" s="34">
        <f>SUMIFS(Einzelbeträge!$D:$D,Einzelbeträge!$C:$C,'Ausgaben 2023'!$C54,Einzelbeträge!$E:$E,'Ausgaben 2023'!E$6)</f>
        <v>0</v>
      </c>
      <c r="F54" s="21">
        <f>SUMIFS(Einzelbeträge!$D:$D,Einzelbeträge!$C:$C,'Ausgaben 2023'!$C54,Einzelbeträge!$E:$E,'Ausgaben 2023'!F$6)</f>
        <v>0</v>
      </c>
      <c r="G54" s="21">
        <f>SUMIFS(Einzelbeträge!$D:$D,Einzelbeträge!$C:$C,'Ausgaben 2023'!$C54,Einzelbeträge!$E:$E,'Ausgaben 2023'!G$6)</f>
        <v>0</v>
      </c>
      <c r="H54" s="21">
        <f>SUMIFS(Einzelbeträge!$D:$D,Einzelbeträge!$C:$C,'Ausgaben 2023'!$C54,Einzelbeträge!$E:$E,'Ausgaben 2023'!H$6)</f>
        <v>0</v>
      </c>
      <c r="I54" s="21">
        <f>SUMIFS(Einzelbeträge!$D:$D,Einzelbeträge!$C:$C,'Ausgaben 2023'!$C54,Einzelbeträge!$E:$E,'Ausgaben 2023'!I$6)</f>
        <v>0</v>
      </c>
      <c r="J54" s="21">
        <f>SUMIFS(Einzelbeträge!$D:$D,Einzelbeträge!$C:$C,'Ausgaben 2023'!$C54,Einzelbeträge!$E:$E,'Ausgaben 2023'!J$6)</f>
        <v>0</v>
      </c>
      <c r="K54" s="21">
        <f>SUMIFS(Einzelbeträge!$D:$D,Einzelbeträge!$C:$C,'Ausgaben 2023'!$C54,Einzelbeträge!$E:$E,'Ausgaben 2023'!K$6)</f>
        <v>0</v>
      </c>
      <c r="L54" s="21">
        <f>SUMIFS(Einzelbeträge!$D:$D,Einzelbeträge!$C:$C,'Ausgaben 2023'!$C54,Einzelbeträge!$E:$E,'Ausgaben 2023'!L$6)</f>
        <v>0</v>
      </c>
      <c r="M54" s="21">
        <f>SUMIFS(Einzelbeträge!$D:$D,Einzelbeträge!$C:$C,'Ausgaben 2023'!$C54,Einzelbeträge!$E:$E,'Ausgaben 2023'!M$6)</f>
        <v>0</v>
      </c>
      <c r="N54" s="35">
        <f>SUMIFS(Einzelbeträge!$D:$D,Einzelbeträge!$C:$C,'Ausgaben 2023'!$C54,Einzelbeträge!$E:$E,'Ausgaben 2023'!N$6)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27.11.2023 - 03.12.2023</v>
      </c>
      <c r="S54" s="90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44972</v>
      </c>
      <c r="D55" s="46">
        <f>SUMIFS(Einzelbeträge!$D:$D,Einzelbeträge!$C:$C,'Ausgaben 2023'!$C55)</f>
        <v>0</v>
      </c>
      <c r="E55" s="34">
        <f>SUMIFS(Einzelbeträge!$D:$D,Einzelbeträge!$C:$C,'Ausgaben 2023'!$C55,Einzelbeträge!$E:$E,'Ausgaben 2023'!E$6)</f>
        <v>0</v>
      </c>
      <c r="F55" s="21">
        <f>SUMIFS(Einzelbeträge!$D:$D,Einzelbeträge!$C:$C,'Ausgaben 2023'!$C55,Einzelbeträge!$E:$E,'Ausgaben 2023'!F$6)</f>
        <v>0</v>
      </c>
      <c r="G55" s="21">
        <f>SUMIFS(Einzelbeträge!$D:$D,Einzelbeträge!$C:$C,'Ausgaben 2023'!$C55,Einzelbeträge!$E:$E,'Ausgaben 2023'!G$6)</f>
        <v>0</v>
      </c>
      <c r="H55" s="21">
        <f>SUMIFS(Einzelbeträge!$D:$D,Einzelbeträge!$C:$C,'Ausgaben 2023'!$C55,Einzelbeträge!$E:$E,'Ausgaben 2023'!H$6)</f>
        <v>0</v>
      </c>
      <c r="I55" s="21">
        <f>SUMIFS(Einzelbeträge!$D:$D,Einzelbeträge!$C:$C,'Ausgaben 2023'!$C55,Einzelbeträge!$E:$E,'Ausgaben 2023'!I$6)</f>
        <v>0</v>
      </c>
      <c r="J55" s="21">
        <f>SUMIFS(Einzelbeträge!$D:$D,Einzelbeträge!$C:$C,'Ausgaben 2023'!$C55,Einzelbeträge!$E:$E,'Ausgaben 2023'!J$6)</f>
        <v>0</v>
      </c>
      <c r="K55" s="21">
        <f>SUMIFS(Einzelbeträge!$D:$D,Einzelbeträge!$C:$C,'Ausgaben 2023'!$C55,Einzelbeträge!$E:$E,'Ausgaben 2023'!K$6)</f>
        <v>0</v>
      </c>
      <c r="L55" s="21">
        <f>SUMIFS(Einzelbeträge!$D:$D,Einzelbeträge!$C:$C,'Ausgaben 2023'!$C55,Einzelbeträge!$E:$E,'Ausgaben 2023'!L$6)</f>
        <v>0</v>
      </c>
      <c r="M55" s="21">
        <f>SUMIFS(Einzelbeträge!$D:$D,Einzelbeträge!$C:$C,'Ausgaben 2023'!$C55,Einzelbeträge!$E:$E,'Ausgaben 2023'!M$6)</f>
        <v>0</v>
      </c>
      <c r="N55" s="35">
        <f>SUMIFS(Einzelbeträge!$D:$D,Einzelbeträge!$C:$C,'Ausgaben 2023'!$C55,Einzelbeträge!$E:$E,'Ausgaben 2023'!N$6)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04.12.2023 - 10.12.2023</v>
      </c>
      <c r="S55" s="90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44973</v>
      </c>
      <c r="D56" s="46">
        <f>SUMIFS(Einzelbeträge!$D:$D,Einzelbeträge!$C:$C,'Ausgaben 2023'!$C56)</f>
        <v>0</v>
      </c>
      <c r="E56" s="34">
        <f>SUMIFS(Einzelbeträge!$D:$D,Einzelbeträge!$C:$C,'Ausgaben 2023'!$C56,Einzelbeträge!$E:$E,'Ausgaben 2023'!E$6)</f>
        <v>0</v>
      </c>
      <c r="F56" s="21">
        <f>SUMIFS(Einzelbeträge!$D:$D,Einzelbeträge!$C:$C,'Ausgaben 2023'!$C56,Einzelbeträge!$E:$E,'Ausgaben 2023'!F$6)</f>
        <v>0</v>
      </c>
      <c r="G56" s="21">
        <f>SUMIFS(Einzelbeträge!$D:$D,Einzelbeträge!$C:$C,'Ausgaben 2023'!$C56,Einzelbeträge!$E:$E,'Ausgaben 2023'!G$6)</f>
        <v>0</v>
      </c>
      <c r="H56" s="21">
        <f>SUMIFS(Einzelbeträge!$D:$D,Einzelbeträge!$C:$C,'Ausgaben 2023'!$C56,Einzelbeträge!$E:$E,'Ausgaben 2023'!H$6)</f>
        <v>0</v>
      </c>
      <c r="I56" s="21">
        <f>SUMIFS(Einzelbeträge!$D:$D,Einzelbeträge!$C:$C,'Ausgaben 2023'!$C56,Einzelbeträge!$E:$E,'Ausgaben 2023'!I$6)</f>
        <v>0</v>
      </c>
      <c r="J56" s="21">
        <f>SUMIFS(Einzelbeträge!$D:$D,Einzelbeträge!$C:$C,'Ausgaben 2023'!$C56,Einzelbeträge!$E:$E,'Ausgaben 2023'!J$6)</f>
        <v>0</v>
      </c>
      <c r="K56" s="21">
        <f>SUMIFS(Einzelbeträge!$D:$D,Einzelbeträge!$C:$C,'Ausgaben 2023'!$C56,Einzelbeträge!$E:$E,'Ausgaben 2023'!K$6)</f>
        <v>0</v>
      </c>
      <c r="L56" s="21">
        <f>SUMIFS(Einzelbeträge!$D:$D,Einzelbeträge!$C:$C,'Ausgaben 2023'!$C56,Einzelbeträge!$E:$E,'Ausgaben 2023'!L$6)</f>
        <v>0</v>
      </c>
      <c r="M56" s="21">
        <f>SUMIFS(Einzelbeträge!$D:$D,Einzelbeträge!$C:$C,'Ausgaben 2023'!$C56,Einzelbeträge!$E:$E,'Ausgaben 2023'!M$6)</f>
        <v>0</v>
      </c>
      <c r="N56" s="35">
        <f>SUMIFS(Einzelbeträge!$D:$D,Einzelbeträge!$C:$C,'Ausgaben 2023'!$C56,Einzelbeträge!$E:$E,'Ausgaben 2023'!N$6)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11.12.2023 - 17.12.2023</v>
      </c>
      <c r="S56" s="90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44974</v>
      </c>
      <c r="D57" s="46">
        <f>SUMIFS(Einzelbeträge!$D:$D,Einzelbeträge!$C:$C,'Ausgaben 2023'!$C57)</f>
        <v>0</v>
      </c>
      <c r="E57" s="34">
        <f>SUMIFS(Einzelbeträge!$D:$D,Einzelbeträge!$C:$C,'Ausgaben 2023'!$C57,Einzelbeträge!$E:$E,'Ausgaben 2023'!E$6)</f>
        <v>0</v>
      </c>
      <c r="F57" s="21">
        <f>SUMIFS(Einzelbeträge!$D:$D,Einzelbeträge!$C:$C,'Ausgaben 2023'!$C57,Einzelbeträge!$E:$E,'Ausgaben 2023'!F$6)</f>
        <v>0</v>
      </c>
      <c r="G57" s="21">
        <f>SUMIFS(Einzelbeträge!$D:$D,Einzelbeträge!$C:$C,'Ausgaben 2023'!$C57,Einzelbeträge!$E:$E,'Ausgaben 2023'!G$6)</f>
        <v>0</v>
      </c>
      <c r="H57" s="21">
        <f>SUMIFS(Einzelbeträge!$D:$D,Einzelbeträge!$C:$C,'Ausgaben 2023'!$C57,Einzelbeträge!$E:$E,'Ausgaben 2023'!H$6)</f>
        <v>0</v>
      </c>
      <c r="I57" s="21">
        <f>SUMIFS(Einzelbeträge!$D:$D,Einzelbeträge!$C:$C,'Ausgaben 2023'!$C57,Einzelbeträge!$E:$E,'Ausgaben 2023'!I$6)</f>
        <v>0</v>
      </c>
      <c r="J57" s="21">
        <f>SUMIFS(Einzelbeträge!$D:$D,Einzelbeträge!$C:$C,'Ausgaben 2023'!$C57,Einzelbeträge!$E:$E,'Ausgaben 2023'!J$6)</f>
        <v>0</v>
      </c>
      <c r="K57" s="21">
        <f>SUMIFS(Einzelbeträge!$D:$D,Einzelbeträge!$C:$C,'Ausgaben 2023'!$C57,Einzelbeträge!$E:$E,'Ausgaben 2023'!K$6)</f>
        <v>0</v>
      </c>
      <c r="L57" s="21">
        <f>SUMIFS(Einzelbeträge!$D:$D,Einzelbeträge!$C:$C,'Ausgaben 2023'!$C57,Einzelbeträge!$E:$E,'Ausgaben 2023'!L$6)</f>
        <v>0</v>
      </c>
      <c r="M57" s="21">
        <f>SUMIFS(Einzelbeträge!$D:$D,Einzelbeträge!$C:$C,'Ausgaben 2023'!$C57,Einzelbeträge!$E:$E,'Ausgaben 2023'!M$6)</f>
        <v>0</v>
      </c>
      <c r="N57" s="35">
        <f>SUMIFS(Einzelbeträge!$D:$D,Einzelbeträge!$C:$C,'Ausgaben 2023'!$C57,Einzelbeträge!$E:$E,'Ausgaben 2023'!N$6)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18.12.2023 - 24.12.2023</v>
      </c>
      <c r="S57" s="90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44975</v>
      </c>
      <c r="D58" s="46">
        <f>SUMIFS(Einzelbeträge!$D:$D,Einzelbeträge!$C:$C,'Ausgaben 2023'!$C58)</f>
        <v>0</v>
      </c>
      <c r="E58" s="34">
        <f>SUMIFS(Einzelbeträge!$D:$D,Einzelbeträge!$C:$C,'Ausgaben 2023'!$C58,Einzelbeträge!$E:$E,'Ausgaben 2023'!E$6)</f>
        <v>0</v>
      </c>
      <c r="F58" s="21">
        <f>SUMIFS(Einzelbeträge!$D:$D,Einzelbeträge!$C:$C,'Ausgaben 2023'!$C58,Einzelbeträge!$E:$E,'Ausgaben 2023'!F$6)</f>
        <v>0</v>
      </c>
      <c r="G58" s="21">
        <f>SUMIFS(Einzelbeträge!$D:$D,Einzelbeträge!$C:$C,'Ausgaben 2023'!$C58,Einzelbeträge!$E:$E,'Ausgaben 2023'!G$6)</f>
        <v>0</v>
      </c>
      <c r="H58" s="21">
        <f>SUMIFS(Einzelbeträge!$D:$D,Einzelbeträge!$C:$C,'Ausgaben 2023'!$C58,Einzelbeträge!$E:$E,'Ausgaben 2023'!H$6)</f>
        <v>0</v>
      </c>
      <c r="I58" s="21">
        <f>SUMIFS(Einzelbeträge!$D:$D,Einzelbeträge!$C:$C,'Ausgaben 2023'!$C58,Einzelbeträge!$E:$E,'Ausgaben 2023'!I$6)</f>
        <v>0</v>
      </c>
      <c r="J58" s="21">
        <f>SUMIFS(Einzelbeträge!$D:$D,Einzelbeträge!$C:$C,'Ausgaben 2023'!$C58,Einzelbeträge!$E:$E,'Ausgaben 2023'!J$6)</f>
        <v>0</v>
      </c>
      <c r="K58" s="21">
        <f>SUMIFS(Einzelbeträge!$D:$D,Einzelbeträge!$C:$C,'Ausgaben 2023'!$C58,Einzelbeträge!$E:$E,'Ausgaben 2023'!K$6)</f>
        <v>0</v>
      </c>
      <c r="L58" s="21">
        <f>SUMIFS(Einzelbeträge!$D:$D,Einzelbeträge!$C:$C,'Ausgaben 2023'!$C58,Einzelbeträge!$E:$E,'Ausgaben 2023'!L$6)</f>
        <v>0</v>
      </c>
      <c r="M58" s="21">
        <f>SUMIFS(Einzelbeträge!$D:$D,Einzelbeträge!$C:$C,'Ausgaben 2023'!$C58,Einzelbeträge!$E:$E,'Ausgaben 2023'!M$6)</f>
        <v>0</v>
      </c>
      <c r="N58" s="35">
        <f>SUMIFS(Einzelbeträge!$D:$D,Einzelbeträge!$C:$C,'Ausgaben 2023'!$C58,Einzelbeträge!$E:$E,'Ausgaben 2023'!N$6)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25.12.2023 - 31.12.2023</v>
      </c>
      <c r="S58" s="91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44976</v>
      </c>
      <c r="D59" s="46">
        <f>SUMIFS(Einzelbeträge!$D:$D,Einzelbeträge!$C:$C,'Ausgaben 2023'!$C59)</f>
        <v>0</v>
      </c>
      <c r="E59" s="34">
        <f>SUMIFS(Einzelbeträge!$D:$D,Einzelbeträge!$C:$C,'Ausgaben 2023'!$C59,Einzelbeträge!$E:$E,'Ausgaben 2023'!E$6)</f>
        <v>0</v>
      </c>
      <c r="F59" s="21">
        <f>SUMIFS(Einzelbeträge!$D:$D,Einzelbeträge!$C:$C,'Ausgaben 2023'!$C59,Einzelbeträge!$E:$E,'Ausgaben 2023'!F$6)</f>
        <v>0</v>
      </c>
      <c r="G59" s="21">
        <f>SUMIFS(Einzelbeträge!$D:$D,Einzelbeträge!$C:$C,'Ausgaben 2023'!$C59,Einzelbeträge!$E:$E,'Ausgaben 2023'!G$6)</f>
        <v>0</v>
      </c>
      <c r="H59" s="21">
        <f>SUMIFS(Einzelbeträge!$D:$D,Einzelbeträge!$C:$C,'Ausgaben 2023'!$C59,Einzelbeträge!$E:$E,'Ausgaben 2023'!H$6)</f>
        <v>0</v>
      </c>
      <c r="I59" s="21">
        <f>SUMIFS(Einzelbeträge!$D:$D,Einzelbeträge!$C:$C,'Ausgaben 2023'!$C59,Einzelbeträge!$E:$E,'Ausgaben 2023'!I$6)</f>
        <v>0</v>
      </c>
      <c r="J59" s="21">
        <f>SUMIFS(Einzelbeträge!$D:$D,Einzelbeträge!$C:$C,'Ausgaben 2023'!$C59,Einzelbeträge!$E:$E,'Ausgaben 2023'!J$6)</f>
        <v>0</v>
      </c>
      <c r="K59" s="21">
        <f>SUMIFS(Einzelbeträge!$D:$D,Einzelbeträge!$C:$C,'Ausgaben 2023'!$C59,Einzelbeträge!$E:$E,'Ausgaben 2023'!K$6)</f>
        <v>0</v>
      </c>
      <c r="L59" s="21">
        <f>SUMIFS(Einzelbeträge!$D:$D,Einzelbeträge!$C:$C,'Ausgaben 2023'!$C59,Einzelbeträge!$E:$E,'Ausgaben 2023'!L$6)</f>
        <v>0</v>
      </c>
      <c r="M59" s="21">
        <f>SUMIFS(Einzelbeträge!$D:$D,Einzelbeträge!$C:$C,'Ausgaben 2023'!$C59,Einzelbeträge!$E:$E,'Ausgaben 2023'!M$6)</f>
        <v>0</v>
      </c>
      <c r="N59" s="35">
        <f>SUMIFS(Einzelbeträge!$D:$D,Einzelbeträge!$C:$C,'Ausgaben 2023'!$C59,Einzelbeträge!$E:$E,'Ausgaben 2023'!N$6)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44977</v>
      </c>
      <c r="D60" s="46">
        <f>SUMIFS(Einzelbeträge!$D:$D,Einzelbeträge!$C:$C,'Ausgaben 2023'!$C60)</f>
        <v>0</v>
      </c>
      <c r="E60" s="34">
        <f>SUMIFS(Einzelbeträge!$D:$D,Einzelbeträge!$C:$C,'Ausgaben 2023'!$C60,Einzelbeträge!$E:$E,'Ausgaben 2023'!E$6)</f>
        <v>0</v>
      </c>
      <c r="F60" s="21">
        <f>SUMIFS(Einzelbeträge!$D:$D,Einzelbeträge!$C:$C,'Ausgaben 2023'!$C60,Einzelbeträge!$E:$E,'Ausgaben 2023'!F$6)</f>
        <v>0</v>
      </c>
      <c r="G60" s="21">
        <f>SUMIFS(Einzelbeträge!$D:$D,Einzelbeträge!$C:$C,'Ausgaben 2023'!$C60,Einzelbeträge!$E:$E,'Ausgaben 2023'!G$6)</f>
        <v>0</v>
      </c>
      <c r="H60" s="21">
        <f>SUMIFS(Einzelbeträge!$D:$D,Einzelbeträge!$C:$C,'Ausgaben 2023'!$C60,Einzelbeträge!$E:$E,'Ausgaben 2023'!H$6)</f>
        <v>0</v>
      </c>
      <c r="I60" s="21">
        <f>SUMIFS(Einzelbeträge!$D:$D,Einzelbeträge!$C:$C,'Ausgaben 2023'!$C60,Einzelbeträge!$E:$E,'Ausgaben 2023'!I$6)</f>
        <v>0</v>
      </c>
      <c r="J60" s="21">
        <f>SUMIFS(Einzelbeträge!$D:$D,Einzelbeträge!$C:$C,'Ausgaben 2023'!$C60,Einzelbeträge!$E:$E,'Ausgaben 2023'!J$6)</f>
        <v>0</v>
      </c>
      <c r="K60" s="21">
        <f>SUMIFS(Einzelbeträge!$D:$D,Einzelbeträge!$C:$C,'Ausgaben 2023'!$C60,Einzelbeträge!$E:$E,'Ausgaben 2023'!K$6)</f>
        <v>0</v>
      </c>
      <c r="L60" s="21">
        <f>SUMIFS(Einzelbeträge!$D:$D,Einzelbeträge!$C:$C,'Ausgaben 2023'!$C60,Einzelbeträge!$E:$E,'Ausgaben 2023'!L$6)</f>
        <v>0</v>
      </c>
      <c r="M60" s="21">
        <f>SUMIFS(Einzelbeträge!$D:$D,Einzelbeträge!$C:$C,'Ausgaben 2023'!$C60,Einzelbeträge!$E:$E,'Ausgaben 2023'!M$6)</f>
        <v>0</v>
      </c>
      <c r="N60" s="35">
        <f>SUMIFS(Einzelbeträge!$D:$D,Einzelbeträge!$C:$C,'Ausgaben 2023'!$C60,Einzelbeträge!$E:$E,'Ausgaben 2023'!N$6)</f>
        <v>0</v>
      </c>
      <c r="O60" s="6"/>
    </row>
    <row r="61" spans="2:30" x14ac:dyDescent="0.35">
      <c r="B61" s="5"/>
      <c r="C61" s="40">
        <f t="shared" si="15"/>
        <v>44978</v>
      </c>
      <c r="D61" s="46">
        <f>SUMIFS(Einzelbeträge!$D:$D,Einzelbeträge!$C:$C,'Ausgaben 2023'!$C61)</f>
        <v>0</v>
      </c>
      <c r="E61" s="34">
        <f>SUMIFS(Einzelbeträge!$D:$D,Einzelbeträge!$C:$C,'Ausgaben 2023'!$C61,Einzelbeträge!$E:$E,'Ausgaben 2023'!E$6)</f>
        <v>0</v>
      </c>
      <c r="F61" s="21">
        <f>SUMIFS(Einzelbeträge!$D:$D,Einzelbeträge!$C:$C,'Ausgaben 2023'!$C61,Einzelbeträge!$E:$E,'Ausgaben 2023'!F$6)</f>
        <v>0</v>
      </c>
      <c r="G61" s="21">
        <f>SUMIFS(Einzelbeträge!$D:$D,Einzelbeträge!$C:$C,'Ausgaben 2023'!$C61,Einzelbeträge!$E:$E,'Ausgaben 2023'!G$6)</f>
        <v>0</v>
      </c>
      <c r="H61" s="21">
        <f>SUMIFS(Einzelbeträge!$D:$D,Einzelbeträge!$C:$C,'Ausgaben 2023'!$C61,Einzelbeträge!$E:$E,'Ausgaben 2023'!H$6)</f>
        <v>0</v>
      </c>
      <c r="I61" s="21">
        <f>SUMIFS(Einzelbeträge!$D:$D,Einzelbeträge!$C:$C,'Ausgaben 2023'!$C61,Einzelbeträge!$E:$E,'Ausgaben 2023'!I$6)</f>
        <v>0</v>
      </c>
      <c r="J61" s="21">
        <f>SUMIFS(Einzelbeträge!$D:$D,Einzelbeträge!$C:$C,'Ausgaben 2023'!$C61,Einzelbeträge!$E:$E,'Ausgaben 2023'!J$6)</f>
        <v>0</v>
      </c>
      <c r="K61" s="21">
        <f>SUMIFS(Einzelbeträge!$D:$D,Einzelbeträge!$C:$C,'Ausgaben 2023'!$C61,Einzelbeträge!$E:$E,'Ausgaben 2023'!K$6)</f>
        <v>0</v>
      </c>
      <c r="L61" s="21">
        <f>SUMIFS(Einzelbeträge!$D:$D,Einzelbeträge!$C:$C,'Ausgaben 2023'!$C61,Einzelbeträge!$E:$E,'Ausgaben 2023'!L$6)</f>
        <v>0</v>
      </c>
      <c r="M61" s="21">
        <f>SUMIFS(Einzelbeträge!$D:$D,Einzelbeträge!$C:$C,'Ausgaben 2023'!$C61,Einzelbeträge!$E:$E,'Ausgaben 2023'!M$6)</f>
        <v>0</v>
      </c>
      <c r="N61" s="35">
        <f>SUMIFS(Einzelbeträge!$D:$D,Einzelbeträge!$C:$C,'Ausgaben 2023'!$C61,Einzelbeträge!$E:$E,'Ausgaben 2023'!N$6)</f>
        <v>0</v>
      </c>
      <c r="O61" s="6"/>
    </row>
    <row r="62" spans="2:30" x14ac:dyDescent="0.35">
      <c r="B62" s="5"/>
      <c r="C62" s="40">
        <f t="shared" si="15"/>
        <v>44979</v>
      </c>
      <c r="D62" s="46">
        <f>SUMIFS(Einzelbeträge!$D:$D,Einzelbeträge!$C:$C,'Ausgaben 2023'!$C62)</f>
        <v>0</v>
      </c>
      <c r="E62" s="34">
        <f>SUMIFS(Einzelbeträge!$D:$D,Einzelbeträge!$C:$C,'Ausgaben 2023'!$C62,Einzelbeträge!$E:$E,'Ausgaben 2023'!E$6)</f>
        <v>0</v>
      </c>
      <c r="F62" s="21">
        <f>SUMIFS(Einzelbeträge!$D:$D,Einzelbeträge!$C:$C,'Ausgaben 2023'!$C62,Einzelbeträge!$E:$E,'Ausgaben 2023'!F$6)</f>
        <v>0</v>
      </c>
      <c r="G62" s="21">
        <f>SUMIFS(Einzelbeträge!$D:$D,Einzelbeträge!$C:$C,'Ausgaben 2023'!$C62,Einzelbeträge!$E:$E,'Ausgaben 2023'!G$6)</f>
        <v>0</v>
      </c>
      <c r="H62" s="21">
        <f>SUMIFS(Einzelbeträge!$D:$D,Einzelbeträge!$C:$C,'Ausgaben 2023'!$C62,Einzelbeträge!$E:$E,'Ausgaben 2023'!H$6)</f>
        <v>0</v>
      </c>
      <c r="I62" s="21">
        <f>SUMIFS(Einzelbeträge!$D:$D,Einzelbeträge!$C:$C,'Ausgaben 2023'!$C62,Einzelbeträge!$E:$E,'Ausgaben 2023'!I$6)</f>
        <v>0</v>
      </c>
      <c r="J62" s="21">
        <f>SUMIFS(Einzelbeträge!$D:$D,Einzelbeträge!$C:$C,'Ausgaben 2023'!$C62,Einzelbeträge!$E:$E,'Ausgaben 2023'!J$6)</f>
        <v>0</v>
      </c>
      <c r="K62" s="21">
        <f>SUMIFS(Einzelbeträge!$D:$D,Einzelbeträge!$C:$C,'Ausgaben 2023'!$C62,Einzelbeträge!$E:$E,'Ausgaben 2023'!K$6)</f>
        <v>0</v>
      </c>
      <c r="L62" s="21">
        <f>SUMIFS(Einzelbeträge!$D:$D,Einzelbeträge!$C:$C,'Ausgaben 2023'!$C62,Einzelbeträge!$E:$E,'Ausgaben 2023'!L$6)</f>
        <v>0</v>
      </c>
      <c r="M62" s="21">
        <f>SUMIFS(Einzelbeträge!$D:$D,Einzelbeträge!$C:$C,'Ausgaben 2023'!$C62,Einzelbeträge!$E:$E,'Ausgaben 2023'!M$6)</f>
        <v>0</v>
      </c>
      <c r="N62" s="35">
        <f>SUMIFS(Einzelbeträge!$D:$D,Einzelbeträge!$C:$C,'Ausgaben 2023'!$C62,Einzelbeträge!$E:$E,'Ausgaben 2023'!N$6)</f>
        <v>0</v>
      </c>
      <c r="O62" s="6"/>
    </row>
    <row r="63" spans="2:30" x14ac:dyDescent="0.35">
      <c r="B63" s="5"/>
      <c r="C63" s="40">
        <f t="shared" si="15"/>
        <v>44980</v>
      </c>
      <c r="D63" s="46">
        <f>SUMIFS(Einzelbeträge!$D:$D,Einzelbeträge!$C:$C,'Ausgaben 2023'!$C63)</f>
        <v>0</v>
      </c>
      <c r="E63" s="34">
        <f>SUMIFS(Einzelbeträge!$D:$D,Einzelbeträge!$C:$C,'Ausgaben 2023'!$C63,Einzelbeträge!$E:$E,'Ausgaben 2023'!E$6)</f>
        <v>0</v>
      </c>
      <c r="F63" s="21">
        <f>SUMIFS(Einzelbeträge!$D:$D,Einzelbeträge!$C:$C,'Ausgaben 2023'!$C63,Einzelbeträge!$E:$E,'Ausgaben 2023'!F$6)</f>
        <v>0</v>
      </c>
      <c r="G63" s="21">
        <f>SUMIFS(Einzelbeträge!$D:$D,Einzelbeträge!$C:$C,'Ausgaben 2023'!$C63,Einzelbeträge!$E:$E,'Ausgaben 2023'!G$6)</f>
        <v>0</v>
      </c>
      <c r="H63" s="21">
        <f>SUMIFS(Einzelbeträge!$D:$D,Einzelbeträge!$C:$C,'Ausgaben 2023'!$C63,Einzelbeträge!$E:$E,'Ausgaben 2023'!H$6)</f>
        <v>0</v>
      </c>
      <c r="I63" s="21">
        <f>SUMIFS(Einzelbeträge!$D:$D,Einzelbeträge!$C:$C,'Ausgaben 2023'!$C63,Einzelbeträge!$E:$E,'Ausgaben 2023'!I$6)</f>
        <v>0</v>
      </c>
      <c r="J63" s="21">
        <f>SUMIFS(Einzelbeträge!$D:$D,Einzelbeträge!$C:$C,'Ausgaben 2023'!$C63,Einzelbeträge!$E:$E,'Ausgaben 2023'!J$6)</f>
        <v>0</v>
      </c>
      <c r="K63" s="21">
        <f>SUMIFS(Einzelbeträge!$D:$D,Einzelbeträge!$C:$C,'Ausgaben 2023'!$C63,Einzelbeträge!$E:$E,'Ausgaben 2023'!K$6)</f>
        <v>0</v>
      </c>
      <c r="L63" s="21">
        <f>SUMIFS(Einzelbeträge!$D:$D,Einzelbeträge!$C:$C,'Ausgaben 2023'!$C63,Einzelbeträge!$E:$E,'Ausgaben 2023'!L$6)</f>
        <v>0</v>
      </c>
      <c r="M63" s="21">
        <f>SUMIFS(Einzelbeträge!$D:$D,Einzelbeträge!$C:$C,'Ausgaben 2023'!$C63,Einzelbeträge!$E:$E,'Ausgaben 2023'!M$6)</f>
        <v>0</v>
      </c>
      <c r="N63" s="35">
        <f>SUMIFS(Einzelbeträge!$D:$D,Einzelbeträge!$C:$C,'Ausgaben 2023'!$C63,Einzelbeträge!$E:$E,'Ausgaben 2023'!N$6)</f>
        <v>0</v>
      </c>
      <c r="O63" s="6"/>
    </row>
    <row r="64" spans="2:30" x14ac:dyDescent="0.35">
      <c r="B64" s="5"/>
      <c r="C64" s="40">
        <f t="shared" si="15"/>
        <v>44981</v>
      </c>
      <c r="D64" s="46">
        <f>SUMIFS(Einzelbeträge!$D:$D,Einzelbeträge!$C:$C,'Ausgaben 2023'!$C64)</f>
        <v>0</v>
      </c>
      <c r="E64" s="34">
        <f>SUMIFS(Einzelbeträge!$D:$D,Einzelbeträge!$C:$C,'Ausgaben 2023'!$C64,Einzelbeträge!$E:$E,'Ausgaben 2023'!E$6)</f>
        <v>0</v>
      </c>
      <c r="F64" s="21">
        <f>SUMIFS(Einzelbeträge!$D:$D,Einzelbeträge!$C:$C,'Ausgaben 2023'!$C64,Einzelbeträge!$E:$E,'Ausgaben 2023'!F$6)</f>
        <v>0</v>
      </c>
      <c r="G64" s="21">
        <f>SUMIFS(Einzelbeträge!$D:$D,Einzelbeträge!$C:$C,'Ausgaben 2023'!$C64,Einzelbeträge!$E:$E,'Ausgaben 2023'!G$6)</f>
        <v>0</v>
      </c>
      <c r="H64" s="21">
        <f>SUMIFS(Einzelbeträge!$D:$D,Einzelbeträge!$C:$C,'Ausgaben 2023'!$C64,Einzelbeträge!$E:$E,'Ausgaben 2023'!H$6)</f>
        <v>0</v>
      </c>
      <c r="I64" s="21">
        <f>SUMIFS(Einzelbeträge!$D:$D,Einzelbeträge!$C:$C,'Ausgaben 2023'!$C64,Einzelbeträge!$E:$E,'Ausgaben 2023'!I$6)</f>
        <v>0</v>
      </c>
      <c r="J64" s="21">
        <f>SUMIFS(Einzelbeträge!$D:$D,Einzelbeträge!$C:$C,'Ausgaben 2023'!$C64,Einzelbeträge!$E:$E,'Ausgaben 2023'!J$6)</f>
        <v>0</v>
      </c>
      <c r="K64" s="21">
        <f>SUMIFS(Einzelbeträge!$D:$D,Einzelbeträge!$C:$C,'Ausgaben 2023'!$C64,Einzelbeträge!$E:$E,'Ausgaben 2023'!K$6)</f>
        <v>0</v>
      </c>
      <c r="L64" s="21">
        <f>SUMIFS(Einzelbeträge!$D:$D,Einzelbeträge!$C:$C,'Ausgaben 2023'!$C64,Einzelbeträge!$E:$E,'Ausgaben 2023'!L$6)</f>
        <v>0</v>
      </c>
      <c r="M64" s="21">
        <f>SUMIFS(Einzelbeträge!$D:$D,Einzelbeträge!$C:$C,'Ausgaben 2023'!$C64,Einzelbeträge!$E:$E,'Ausgaben 2023'!M$6)</f>
        <v>0</v>
      </c>
      <c r="N64" s="35">
        <f>SUMIFS(Einzelbeträge!$D:$D,Einzelbeträge!$C:$C,'Ausgaben 2023'!$C64,Einzelbeträge!$E:$E,'Ausgaben 2023'!N$6)</f>
        <v>0</v>
      </c>
      <c r="O64" s="6"/>
    </row>
    <row r="65" spans="2:15" x14ac:dyDescent="0.35">
      <c r="B65" s="5"/>
      <c r="C65" s="40">
        <f t="shared" si="15"/>
        <v>44982</v>
      </c>
      <c r="D65" s="46">
        <f>SUMIFS(Einzelbeträge!$D:$D,Einzelbeträge!$C:$C,'Ausgaben 2023'!$C65)</f>
        <v>0</v>
      </c>
      <c r="E65" s="34">
        <f>SUMIFS(Einzelbeträge!$D:$D,Einzelbeträge!$C:$C,'Ausgaben 2023'!$C65,Einzelbeträge!$E:$E,'Ausgaben 2023'!E$6)</f>
        <v>0</v>
      </c>
      <c r="F65" s="21">
        <f>SUMIFS(Einzelbeträge!$D:$D,Einzelbeträge!$C:$C,'Ausgaben 2023'!$C65,Einzelbeträge!$E:$E,'Ausgaben 2023'!F$6)</f>
        <v>0</v>
      </c>
      <c r="G65" s="21">
        <f>SUMIFS(Einzelbeträge!$D:$D,Einzelbeträge!$C:$C,'Ausgaben 2023'!$C65,Einzelbeträge!$E:$E,'Ausgaben 2023'!G$6)</f>
        <v>0</v>
      </c>
      <c r="H65" s="21">
        <f>SUMIFS(Einzelbeträge!$D:$D,Einzelbeträge!$C:$C,'Ausgaben 2023'!$C65,Einzelbeträge!$E:$E,'Ausgaben 2023'!H$6)</f>
        <v>0</v>
      </c>
      <c r="I65" s="21">
        <f>SUMIFS(Einzelbeträge!$D:$D,Einzelbeträge!$C:$C,'Ausgaben 2023'!$C65,Einzelbeträge!$E:$E,'Ausgaben 2023'!I$6)</f>
        <v>0</v>
      </c>
      <c r="J65" s="21">
        <f>SUMIFS(Einzelbeträge!$D:$D,Einzelbeträge!$C:$C,'Ausgaben 2023'!$C65,Einzelbeträge!$E:$E,'Ausgaben 2023'!J$6)</f>
        <v>0</v>
      </c>
      <c r="K65" s="21">
        <f>SUMIFS(Einzelbeträge!$D:$D,Einzelbeträge!$C:$C,'Ausgaben 2023'!$C65,Einzelbeträge!$E:$E,'Ausgaben 2023'!K$6)</f>
        <v>0</v>
      </c>
      <c r="L65" s="21">
        <f>SUMIFS(Einzelbeträge!$D:$D,Einzelbeträge!$C:$C,'Ausgaben 2023'!$C65,Einzelbeträge!$E:$E,'Ausgaben 2023'!L$6)</f>
        <v>0</v>
      </c>
      <c r="M65" s="21">
        <f>SUMIFS(Einzelbeträge!$D:$D,Einzelbeträge!$C:$C,'Ausgaben 2023'!$C65,Einzelbeträge!$E:$E,'Ausgaben 2023'!M$6)</f>
        <v>0</v>
      </c>
      <c r="N65" s="35">
        <f>SUMIFS(Einzelbeträge!$D:$D,Einzelbeträge!$C:$C,'Ausgaben 2023'!$C65,Einzelbeträge!$E:$E,'Ausgaben 2023'!N$6)</f>
        <v>0</v>
      </c>
      <c r="O65" s="6"/>
    </row>
    <row r="66" spans="2:15" x14ac:dyDescent="0.35">
      <c r="B66" s="5"/>
      <c r="C66" s="40">
        <f t="shared" si="15"/>
        <v>44983</v>
      </c>
      <c r="D66" s="46">
        <f>SUMIFS(Einzelbeträge!$D:$D,Einzelbeträge!$C:$C,'Ausgaben 2023'!$C66)</f>
        <v>0</v>
      </c>
      <c r="E66" s="34">
        <f>SUMIFS(Einzelbeträge!$D:$D,Einzelbeträge!$C:$C,'Ausgaben 2023'!$C66,Einzelbeträge!$E:$E,'Ausgaben 2023'!E$6)</f>
        <v>0</v>
      </c>
      <c r="F66" s="21">
        <f>SUMIFS(Einzelbeträge!$D:$D,Einzelbeträge!$C:$C,'Ausgaben 2023'!$C66,Einzelbeträge!$E:$E,'Ausgaben 2023'!F$6)</f>
        <v>0</v>
      </c>
      <c r="G66" s="21">
        <f>SUMIFS(Einzelbeträge!$D:$D,Einzelbeträge!$C:$C,'Ausgaben 2023'!$C66,Einzelbeträge!$E:$E,'Ausgaben 2023'!G$6)</f>
        <v>0</v>
      </c>
      <c r="H66" s="21">
        <f>SUMIFS(Einzelbeträge!$D:$D,Einzelbeträge!$C:$C,'Ausgaben 2023'!$C66,Einzelbeträge!$E:$E,'Ausgaben 2023'!H$6)</f>
        <v>0</v>
      </c>
      <c r="I66" s="21">
        <f>SUMIFS(Einzelbeträge!$D:$D,Einzelbeträge!$C:$C,'Ausgaben 2023'!$C66,Einzelbeträge!$E:$E,'Ausgaben 2023'!I$6)</f>
        <v>0</v>
      </c>
      <c r="J66" s="21">
        <f>SUMIFS(Einzelbeträge!$D:$D,Einzelbeträge!$C:$C,'Ausgaben 2023'!$C66,Einzelbeträge!$E:$E,'Ausgaben 2023'!J$6)</f>
        <v>0</v>
      </c>
      <c r="K66" s="21">
        <f>SUMIFS(Einzelbeträge!$D:$D,Einzelbeträge!$C:$C,'Ausgaben 2023'!$C66,Einzelbeträge!$E:$E,'Ausgaben 2023'!K$6)</f>
        <v>0</v>
      </c>
      <c r="L66" s="21">
        <f>SUMIFS(Einzelbeträge!$D:$D,Einzelbeträge!$C:$C,'Ausgaben 2023'!$C66,Einzelbeträge!$E:$E,'Ausgaben 2023'!L$6)</f>
        <v>0</v>
      </c>
      <c r="M66" s="21">
        <f>SUMIFS(Einzelbeträge!$D:$D,Einzelbeträge!$C:$C,'Ausgaben 2023'!$C66,Einzelbeträge!$E:$E,'Ausgaben 2023'!M$6)</f>
        <v>0</v>
      </c>
      <c r="N66" s="35">
        <f>SUMIFS(Einzelbeträge!$D:$D,Einzelbeträge!$C:$C,'Ausgaben 2023'!$C66,Einzelbeträge!$E:$E,'Ausgaben 2023'!N$6)</f>
        <v>0</v>
      </c>
      <c r="O66" s="6"/>
    </row>
    <row r="67" spans="2:15" x14ac:dyDescent="0.35">
      <c r="B67" s="5"/>
      <c r="C67" s="40">
        <f t="shared" si="15"/>
        <v>44984</v>
      </c>
      <c r="D67" s="46">
        <f>SUMIFS(Einzelbeträge!$D:$D,Einzelbeträge!$C:$C,'Ausgaben 2023'!$C67)</f>
        <v>0</v>
      </c>
      <c r="E67" s="34">
        <f>SUMIFS(Einzelbeträge!$D:$D,Einzelbeträge!$C:$C,'Ausgaben 2023'!$C67,Einzelbeträge!$E:$E,'Ausgaben 2023'!E$6)</f>
        <v>0</v>
      </c>
      <c r="F67" s="21">
        <f>SUMIFS(Einzelbeträge!$D:$D,Einzelbeträge!$C:$C,'Ausgaben 2023'!$C67,Einzelbeträge!$E:$E,'Ausgaben 2023'!F$6)</f>
        <v>0</v>
      </c>
      <c r="G67" s="21">
        <f>SUMIFS(Einzelbeträge!$D:$D,Einzelbeträge!$C:$C,'Ausgaben 2023'!$C67,Einzelbeträge!$E:$E,'Ausgaben 2023'!G$6)</f>
        <v>0</v>
      </c>
      <c r="H67" s="21">
        <f>SUMIFS(Einzelbeträge!$D:$D,Einzelbeträge!$C:$C,'Ausgaben 2023'!$C67,Einzelbeträge!$E:$E,'Ausgaben 2023'!H$6)</f>
        <v>0</v>
      </c>
      <c r="I67" s="21">
        <f>SUMIFS(Einzelbeträge!$D:$D,Einzelbeträge!$C:$C,'Ausgaben 2023'!$C67,Einzelbeträge!$E:$E,'Ausgaben 2023'!I$6)</f>
        <v>0</v>
      </c>
      <c r="J67" s="21">
        <f>SUMIFS(Einzelbeträge!$D:$D,Einzelbeträge!$C:$C,'Ausgaben 2023'!$C67,Einzelbeträge!$E:$E,'Ausgaben 2023'!J$6)</f>
        <v>0</v>
      </c>
      <c r="K67" s="21">
        <f>SUMIFS(Einzelbeträge!$D:$D,Einzelbeträge!$C:$C,'Ausgaben 2023'!$C67,Einzelbeträge!$E:$E,'Ausgaben 2023'!K$6)</f>
        <v>0</v>
      </c>
      <c r="L67" s="21">
        <f>SUMIFS(Einzelbeträge!$D:$D,Einzelbeträge!$C:$C,'Ausgaben 2023'!$C67,Einzelbeträge!$E:$E,'Ausgaben 2023'!L$6)</f>
        <v>0</v>
      </c>
      <c r="M67" s="21">
        <f>SUMIFS(Einzelbeträge!$D:$D,Einzelbeträge!$C:$C,'Ausgaben 2023'!$C67,Einzelbeträge!$E:$E,'Ausgaben 2023'!M$6)</f>
        <v>0</v>
      </c>
      <c r="N67" s="35">
        <f>SUMIFS(Einzelbeträge!$D:$D,Einzelbeträge!$C:$C,'Ausgaben 2023'!$C67,Einzelbeträge!$E:$E,'Ausgaben 2023'!N$6)</f>
        <v>0</v>
      </c>
      <c r="O67" s="6"/>
    </row>
    <row r="68" spans="2:15" x14ac:dyDescent="0.35">
      <c r="B68" s="5"/>
      <c r="C68" s="40">
        <f t="shared" si="15"/>
        <v>44985</v>
      </c>
      <c r="D68" s="46">
        <f>SUMIFS(Einzelbeträge!$D:$D,Einzelbeträge!$C:$C,'Ausgaben 2023'!$C68)</f>
        <v>0</v>
      </c>
      <c r="E68" s="34">
        <f>SUMIFS(Einzelbeträge!$D:$D,Einzelbeträge!$C:$C,'Ausgaben 2023'!$C68,Einzelbeträge!$E:$E,'Ausgaben 2023'!E$6)</f>
        <v>0</v>
      </c>
      <c r="F68" s="21">
        <f>SUMIFS(Einzelbeträge!$D:$D,Einzelbeträge!$C:$C,'Ausgaben 2023'!$C68,Einzelbeträge!$E:$E,'Ausgaben 2023'!F$6)</f>
        <v>0</v>
      </c>
      <c r="G68" s="21">
        <f>SUMIFS(Einzelbeträge!$D:$D,Einzelbeträge!$C:$C,'Ausgaben 2023'!$C68,Einzelbeträge!$E:$E,'Ausgaben 2023'!G$6)</f>
        <v>0</v>
      </c>
      <c r="H68" s="21">
        <f>SUMIFS(Einzelbeträge!$D:$D,Einzelbeträge!$C:$C,'Ausgaben 2023'!$C68,Einzelbeträge!$E:$E,'Ausgaben 2023'!H$6)</f>
        <v>0</v>
      </c>
      <c r="I68" s="21">
        <f>SUMIFS(Einzelbeträge!$D:$D,Einzelbeträge!$C:$C,'Ausgaben 2023'!$C68,Einzelbeträge!$E:$E,'Ausgaben 2023'!I$6)</f>
        <v>0</v>
      </c>
      <c r="J68" s="21">
        <f>SUMIFS(Einzelbeträge!$D:$D,Einzelbeträge!$C:$C,'Ausgaben 2023'!$C68,Einzelbeträge!$E:$E,'Ausgaben 2023'!J$6)</f>
        <v>0</v>
      </c>
      <c r="K68" s="21">
        <f>SUMIFS(Einzelbeträge!$D:$D,Einzelbeträge!$C:$C,'Ausgaben 2023'!$C68,Einzelbeträge!$E:$E,'Ausgaben 2023'!K$6)</f>
        <v>0</v>
      </c>
      <c r="L68" s="21">
        <f>SUMIFS(Einzelbeträge!$D:$D,Einzelbeträge!$C:$C,'Ausgaben 2023'!$C68,Einzelbeträge!$E:$E,'Ausgaben 2023'!L$6)</f>
        <v>0</v>
      </c>
      <c r="M68" s="21">
        <f>SUMIFS(Einzelbeträge!$D:$D,Einzelbeträge!$C:$C,'Ausgaben 2023'!$C68,Einzelbeträge!$E:$E,'Ausgaben 2023'!M$6)</f>
        <v>0</v>
      </c>
      <c r="N68" s="35">
        <f>SUMIFS(Einzelbeträge!$D:$D,Einzelbeträge!$C:$C,'Ausgaben 2023'!$C68,Einzelbeträge!$E:$E,'Ausgaben 2023'!N$6)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2023'!$C69)</f>
        <v>0</v>
      </c>
      <c r="E69" s="36">
        <f>SUMIFS(Einzelbeträge!$D:$D,Einzelbeträge!$C:$C,'Ausgaben 2023'!$C69,Einzelbeträge!$E:$E,'Ausgaben 2023'!E$6)</f>
        <v>0</v>
      </c>
      <c r="F69" s="37">
        <f>SUMIFS(Einzelbeträge!$D:$D,Einzelbeträge!$C:$C,'Ausgaben 2023'!$C69,Einzelbeträge!$E:$E,'Ausgaben 2023'!F$6)</f>
        <v>0</v>
      </c>
      <c r="G69" s="37">
        <f>SUMIFS(Einzelbeträge!$D:$D,Einzelbeträge!$C:$C,'Ausgaben 2023'!$C69,Einzelbeträge!$E:$E,'Ausgaben 2023'!G$6)</f>
        <v>0</v>
      </c>
      <c r="H69" s="37">
        <f>SUMIFS(Einzelbeträge!$D:$D,Einzelbeträge!$C:$C,'Ausgaben 2023'!$C69,Einzelbeträge!$E:$E,'Ausgaben 2023'!H$6)</f>
        <v>0</v>
      </c>
      <c r="I69" s="37">
        <f>SUMIFS(Einzelbeträge!$D:$D,Einzelbeträge!$C:$C,'Ausgaben 2023'!$C69,Einzelbeträge!$E:$E,'Ausgaben 2023'!I$6)</f>
        <v>0</v>
      </c>
      <c r="J69" s="37">
        <f>SUMIFS(Einzelbeträge!$D:$D,Einzelbeträge!$C:$C,'Ausgaben 2023'!$C69,Einzelbeträge!$E:$E,'Ausgaben 2023'!J$6)</f>
        <v>0</v>
      </c>
      <c r="K69" s="37">
        <f>SUMIFS(Einzelbeträge!$D:$D,Einzelbeträge!$C:$C,'Ausgaben 2023'!$C69,Einzelbeträge!$E:$E,'Ausgaben 2023'!K$6)</f>
        <v>0</v>
      </c>
      <c r="L69" s="37">
        <f>SUMIFS(Einzelbeträge!$D:$D,Einzelbeträge!$C:$C,'Ausgaben 2023'!$C69,Einzelbeträge!$E:$E,'Ausgaben 2023'!L$6)</f>
        <v>0</v>
      </c>
      <c r="M69" s="37">
        <f>SUMIFS(Einzelbeträge!$D:$D,Einzelbeträge!$C:$C,'Ausgaben 2023'!$C69,Einzelbeträge!$E:$E,'Ausgaben 2023'!M$6)</f>
        <v>0</v>
      </c>
      <c r="N69" s="38">
        <f>SUMIFS(Einzelbeträge!$D:$D,Einzelbeträge!$C:$C,'Ausgaben 2023'!$C69,Einzelbeträge!$E:$E,'Ausgaben 2023'!N$6)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44986</v>
      </c>
      <c r="D73" s="45">
        <f>SUMIFS(Einzelbeträge!$D:$D,Einzelbeträge!$C:$C,'Ausgaben 2023'!$C73)</f>
        <v>0</v>
      </c>
      <c r="E73" s="88">
        <f>SUMIFS(Einzelbeträge!$D:$D,Einzelbeträge!$C:$C,'Ausgaben 2023'!$C73,Einzelbeträge!$E:$E,'Ausgaben 2023'!E$6)</f>
        <v>0</v>
      </c>
      <c r="F73" s="32">
        <f>SUMIFS(Einzelbeträge!$D:$D,Einzelbeträge!$C:$C,'Ausgaben 2023'!$C73,Einzelbeträge!$E:$E,'Ausgaben 2023'!F$6)</f>
        <v>0</v>
      </c>
      <c r="G73" s="32">
        <f>SUMIFS(Einzelbeträge!$D:$D,Einzelbeträge!$C:$C,'Ausgaben 2023'!$C73,Einzelbeträge!$E:$E,'Ausgaben 2023'!G$6)</f>
        <v>0</v>
      </c>
      <c r="H73" s="32">
        <f>SUMIFS(Einzelbeträge!$D:$D,Einzelbeträge!$C:$C,'Ausgaben 2023'!$C73,Einzelbeträge!$E:$E,'Ausgaben 2023'!H$6)</f>
        <v>0</v>
      </c>
      <c r="I73" s="32">
        <f>SUMIFS(Einzelbeträge!$D:$D,Einzelbeträge!$C:$C,'Ausgaben 2023'!$C73,Einzelbeträge!$E:$E,'Ausgaben 2023'!I$6)</f>
        <v>0</v>
      </c>
      <c r="J73" s="32">
        <f>SUMIFS(Einzelbeträge!$D:$D,Einzelbeträge!$C:$C,'Ausgaben 2023'!$C73,Einzelbeträge!$E:$E,'Ausgaben 2023'!J$6)</f>
        <v>0</v>
      </c>
      <c r="K73" s="32">
        <f>SUMIFS(Einzelbeträge!$D:$D,Einzelbeträge!$C:$C,'Ausgaben 2023'!$C73,Einzelbeträge!$E:$E,'Ausgaben 2023'!K$6)</f>
        <v>0</v>
      </c>
      <c r="L73" s="32">
        <f>SUMIFS(Einzelbeträge!$D:$D,Einzelbeträge!$C:$C,'Ausgaben 2023'!$C73,Einzelbeträge!$E:$E,'Ausgaben 2023'!L$6)</f>
        <v>0</v>
      </c>
      <c r="M73" s="32">
        <f>SUMIFS(Einzelbeträge!$D:$D,Einzelbeträge!$C:$C,'Ausgaben 2023'!$C73,Einzelbeträge!$E:$E,'Ausgaben 2023'!M$6)</f>
        <v>0</v>
      </c>
      <c r="N73" s="33">
        <f>SUMIFS(Einzelbeträge!$D:$D,Einzelbeträge!$C:$C,'Ausgaben 2023'!$C73,Einzelbeträge!$E:$E,'Ausgaben 2023'!N$6)</f>
        <v>0</v>
      </c>
      <c r="O73" s="6"/>
    </row>
    <row r="74" spans="2:15" x14ac:dyDescent="0.35">
      <c r="B74" s="5"/>
      <c r="C74" s="40">
        <f>C73+1</f>
        <v>44987</v>
      </c>
      <c r="D74" s="46">
        <f>SUMIFS(Einzelbeträge!$D:$D,Einzelbeträge!$C:$C,'Ausgaben 2023'!$C74)</f>
        <v>0</v>
      </c>
      <c r="E74" s="34">
        <f>SUMIFS(Einzelbeträge!$D:$D,Einzelbeträge!$C:$C,'Ausgaben 2023'!$C74,Einzelbeträge!$E:$E,'Ausgaben 2023'!E$6)</f>
        <v>0</v>
      </c>
      <c r="F74" s="21">
        <f>SUMIFS(Einzelbeträge!$D:$D,Einzelbeträge!$C:$C,'Ausgaben 2023'!$C74,Einzelbeträge!$E:$E,'Ausgaben 2023'!F$6)</f>
        <v>0</v>
      </c>
      <c r="G74" s="21">
        <f>SUMIFS(Einzelbeträge!$D:$D,Einzelbeträge!$C:$C,'Ausgaben 2023'!$C74,Einzelbeträge!$E:$E,'Ausgaben 2023'!G$6)</f>
        <v>0</v>
      </c>
      <c r="H74" s="21">
        <f>SUMIFS(Einzelbeträge!$D:$D,Einzelbeträge!$C:$C,'Ausgaben 2023'!$C74,Einzelbeträge!$E:$E,'Ausgaben 2023'!H$6)</f>
        <v>0</v>
      </c>
      <c r="I74" s="21">
        <f>SUMIFS(Einzelbeträge!$D:$D,Einzelbeträge!$C:$C,'Ausgaben 2023'!$C74,Einzelbeträge!$E:$E,'Ausgaben 2023'!I$6)</f>
        <v>0</v>
      </c>
      <c r="J74" s="21">
        <f>SUMIFS(Einzelbeträge!$D:$D,Einzelbeträge!$C:$C,'Ausgaben 2023'!$C74,Einzelbeträge!$E:$E,'Ausgaben 2023'!J$6)</f>
        <v>0</v>
      </c>
      <c r="K74" s="21">
        <f>SUMIFS(Einzelbeträge!$D:$D,Einzelbeträge!$C:$C,'Ausgaben 2023'!$C74,Einzelbeträge!$E:$E,'Ausgaben 2023'!K$6)</f>
        <v>0</v>
      </c>
      <c r="L74" s="21">
        <f>SUMIFS(Einzelbeträge!$D:$D,Einzelbeträge!$C:$C,'Ausgaben 2023'!$C74,Einzelbeträge!$E:$E,'Ausgaben 2023'!L$6)</f>
        <v>0</v>
      </c>
      <c r="M74" s="21">
        <f>SUMIFS(Einzelbeträge!$D:$D,Einzelbeträge!$C:$C,'Ausgaben 2023'!$C74,Einzelbeträge!$E:$E,'Ausgaben 2023'!M$6)</f>
        <v>0</v>
      </c>
      <c r="N74" s="35">
        <f>SUMIFS(Einzelbeträge!$D:$D,Einzelbeträge!$C:$C,'Ausgaben 2023'!$C74,Einzelbeträge!$E:$E,'Ausgaben 2023'!N$6)</f>
        <v>0</v>
      </c>
      <c r="O74" s="6"/>
    </row>
    <row r="75" spans="2:15" x14ac:dyDescent="0.35">
      <c r="B75" s="5"/>
      <c r="C75" s="40">
        <f t="shared" ref="C75:C103" si="18">C74+1</f>
        <v>44988</v>
      </c>
      <c r="D75" s="46">
        <f>SUMIFS(Einzelbeträge!$D:$D,Einzelbeträge!$C:$C,'Ausgaben 2023'!$C75)</f>
        <v>0</v>
      </c>
      <c r="E75" s="34">
        <f>SUMIFS(Einzelbeträge!$D:$D,Einzelbeträge!$C:$C,'Ausgaben 2023'!$C75,Einzelbeträge!$E:$E,'Ausgaben 2023'!E$6)</f>
        <v>0</v>
      </c>
      <c r="F75" s="21">
        <f>SUMIFS(Einzelbeträge!$D:$D,Einzelbeträge!$C:$C,'Ausgaben 2023'!$C75,Einzelbeträge!$E:$E,'Ausgaben 2023'!F$6)</f>
        <v>0</v>
      </c>
      <c r="G75" s="21">
        <f>SUMIFS(Einzelbeträge!$D:$D,Einzelbeträge!$C:$C,'Ausgaben 2023'!$C75,Einzelbeträge!$E:$E,'Ausgaben 2023'!G$6)</f>
        <v>0</v>
      </c>
      <c r="H75" s="21">
        <f>SUMIFS(Einzelbeträge!$D:$D,Einzelbeträge!$C:$C,'Ausgaben 2023'!$C75,Einzelbeträge!$E:$E,'Ausgaben 2023'!H$6)</f>
        <v>0</v>
      </c>
      <c r="I75" s="21">
        <f>SUMIFS(Einzelbeträge!$D:$D,Einzelbeträge!$C:$C,'Ausgaben 2023'!$C75,Einzelbeträge!$E:$E,'Ausgaben 2023'!I$6)</f>
        <v>0</v>
      </c>
      <c r="J75" s="21">
        <f>SUMIFS(Einzelbeträge!$D:$D,Einzelbeträge!$C:$C,'Ausgaben 2023'!$C75,Einzelbeträge!$E:$E,'Ausgaben 2023'!J$6)</f>
        <v>0</v>
      </c>
      <c r="K75" s="21">
        <f>SUMIFS(Einzelbeträge!$D:$D,Einzelbeträge!$C:$C,'Ausgaben 2023'!$C75,Einzelbeträge!$E:$E,'Ausgaben 2023'!K$6)</f>
        <v>0</v>
      </c>
      <c r="L75" s="21">
        <f>SUMIFS(Einzelbeträge!$D:$D,Einzelbeträge!$C:$C,'Ausgaben 2023'!$C75,Einzelbeträge!$E:$E,'Ausgaben 2023'!L$6)</f>
        <v>0</v>
      </c>
      <c r="M75" s="21">
        <f>SUMIFS(Einzelbeträge!$D:$D,Einzelbeträge!$C:$C,'Ausgaben 2023'!$C75,Einzelbeträge!$E:$E,'Ausgaben 2023'!M$6)</f>
        <v>0</v>
      </c>
      <c r="N75" s="35">
        <f>SUMIFS(Einzelbeträge!$D:$D,Einzelbeträge!$C:$C,'Ausgaben 2023'!$C75,Einzelbeträge!$E:$E,'Ausgaben 2023'!N$6)</f>
        <v>0</v>
      </c>
      <c r="O75" s="6"/>
    </row>
    <row r="76" spans="2:15" x14ac:dyDescent="0.35">
      <c r="B76" s="5"/>
      <c r="C76" s="40">
        <f t="shared" si="18"/>
        <v>44989</v>
      </c>
      <c r="D76" s="46">
        <f>SUMIFS(Einzelbeträge!$D:$D,Einzelbeträge!$C:$C,'Ausgaben 2023'!$C76)</f>
        <v>0</v>
      </c>
      <c r="E76" s="34">
        <f>SUMIFS(Einzelbeträge!$D:$D,Einzelbeträge!$C:$C,'Ausgaben 2023'!$C76,Einzelbeträge!$E:$E,'Ausgaben 2023'!E$6)</f>
        <v>0</v>
      </c>
      <c r="F76" s="21">
        <f>SUMIFS(Einzelbeträge!$D:$D,Einzelbeträge!$C:$C,'Ausgaben 2023'!$C76,Einzelbeträge!$E:$E,'Ausgaben 2023'!F$6)</f>
        <v>0</v>
      </c>
      <c r="G76" s="21">
        <f>SUMIFS(Einzelbeträge!$D:$D,Einzelbeträge!$C:$C,'Ausgaben 2023'!$C76,Einzelbeträge!$E:$E,'Ausgaben 2023'!G$6)</f>
        <v>0</v>
      </c>
      <c r="H76" s="21">
        <f>SUMIFS(Einzelbeträge!$D:$D,Einzelbeträge!$C:$C,'Ausgaben 2023'!$C76,Einzelbeträge!$E:$E,'Ausgaben 2023'!H$6)</f>
        <v>0</v>
      </c>
      <c r="I76" s="21">
        <f>SUMIFS(Einzelbeträge!$D:$D,Einzelbeträge!$C:$C,'Ausgaben 2023'!$C76,Einzelbeträge!$E:$E,'Ausgaben 2023'!I$6)</f>
        <v>0</v>
      </c>
      <c r="J76" s="21">
        <f>SUMIFS(Einzelbeträge!$D:$D,Einzelbeträge!$C:$C,'Ausgaben 2023'!$C76,Einzelbeträge!$E:$E,'Ausgaben 2023'!J$6)</f>
        <v>0</v>
      </c>
      <c r="K76" s="21">
        <f>SUMIFS(Einzelbeträge!$D:$D,Einzelbeträge!$C:$C,'Ausgaben 2023'!$C76,Einzelbeträge!$E:$E,'Ausgaben 2023'!K$6)</f>
        <v>0</v>
      </c>
      <c r="L76" s="21">
        <f>SUMIFS(Einzelbeträge!$D:$D,Einzelbeträge!$C:$C,'Ausgaben 2023'!$C76,Einzelbeträge!$E:$E,'Ausgaben 2023'!L$6)</f>
        <v>0</v>
      </c>
      <c r="M76" s="21">
        <f>SUMIFS(Einzelbeträge!$D:$D,Einzelbeträge!$C:$C,'Ausgaben 2023'!$C76,Einzelbeträge!$E:$E,'Ausgaben 2023'!M$6)</f>
        <v>0</v>
      </c>
      <c r="N76" s="35">
        <f>SUMIFS(Einzelbeträge!$D:$D,Einzelbeträge!$C:$C,'Ausgaben 2023'!$C76,Einzelbeträge!$E:$E,'Ausgaben 2023'!N$6)</f>
        <v>0</v>
      </c>
      <c r="O76" s="6"/>
    </row>
    <row r="77" spans="2:15" x14ac:dyDescent="0.35">
      <c r="B77" s="5"/>
      <c r="C77" s="40">
        <f t="shared" si="18"/>
        <v>44990</v>
      </c>
      <c r="D77" s="46">
        <f>SUMIFS(Einzelbeträge!$D:$D,Einzelbeträge!$C:$C,'Ausgaben 2023'!$C77)</f>
        <v>0</v>
      </c>
      <c r="E77" s="34">
        <f>SUMIFS(Einzelbeträge!$D:$D,Einzelbeträge!$C:$C,'Ausgaben 2023'!$C77,Einzelbeträge!$E:$E,'Ausgaben 2023'!E$6)</f>
        <v>0</v>
      </c>
      <c r="F77" s="21">
        <f>SUMIFS(Einzelbeträge!$D:$D,Einzelbeträge!$C:$C,'Ausgaben 2023'!$C77,Einzelbeträge!$E:$E,'Ausgaben 2023'!F$6)</f>
        <v>0</v>
      </c>
      <c r="G77" s="21">
        <f>SUMIFS(Einzelbeträge!$D:$D,Einzelbeträge!$C:$C,'Ausgaben 2023'!$C77,Einzelbeträge!$E:$E,'Ausgaben 2023'!G$6)</f>
        <v>0</v>
      </c>
      <c r="H77" s="21">
        <f>SUMIFS(Einzelbeträge!$D:$D,Einzelbeträge!$C:$C,'Ausgaben 2023'!$C77,Einzelbeträge!$E:$E,'Ausgaben 2023'!H$6)</f>
        <v>0</v>
      </c>
      <c r="I77" s="21">
        <f>SUMIFS(Einzelbeträge!$D:$D,Einzelbeträge!$C:$C,'Ausgaben 2023'!$C77,Einzelbeträge!$E:$E,'Ausgaben 2023'!I$6)</f>
        <v>0</v>
      </c>
      <c r="J77" s="21">
        <f>SUMIFS(Einzelbeträge!$D:$D,Einzelbeträge!$C:$C,'Ausgaben 2023'!$C77,Einzelbeträge!$E:$E,'Ausgaben 2023'!J$6)</f>
        <v>0</v>
      </c>
      <c r="K77" s="21">
        <f>SUMIFS(Einzelbeträge!$D:$D,Einzelbeträge!$C:$C,'Ausgaben 2023'!$C77,Einzelbeträge!$E:$E,'Ausgaben 2023'!K$6)</f>
        <v>0</v>
      </c>
      <c r="L77" s="21">
        <f>SUMIFS(Einzelbeträge!$D:$D,Einzelbeträge!$C:$C,'Ausgaben 2023'!$C77,Einzelbeträge!$E:$E,'Ausgaben 2023'!L$6)</f>
        <v>0</v>
      </c>
      <c r="M77" s="21">
        <f>SUMIFS(Einzelbeträge!$D:$D,Einzelbeträge!$C:$C,'Ausgaben 2023'!$C77,Einzelbeträge!$E:$E,'Ausgaben 2023'!M$6)</f>
        <v>0</v>
      </c>
      <c r="N77" s="35">
        <f>SUMIFS(Einzelbeträge!$D:$D,Einzelbeträge!$C:$C,'Ausgaben 2023'!$C77,Einzelbeträge!$E:$E,'Ausgaben 2023'!N$6)</f>
        <v>0</v>
      </c>
      <c r="O77" s="6"/>
    </row>
    <row r="78" spans="2:15" x14ac:dyDescent="0.35">
      <c r="B78" s="5"/>
      <c r="C78" s="40">
        <f t="shared" si="18"/>
        <v>44991</v>
      </c>
      <c r="D78" s="46">
        <f>SUMIFS(Einzelbeträge!$D:$D,Einzelbeträge!$C:$C,'Ausgaben 2023'!$C78)</f>
        <v>0</v>
      </c>
      <c r="E78" s="34">
        <f>SUMIFS(Einzelbeträge!$D:$D,Einzelbeträge!$C:$C,'Ausgaben 2023'!$C78,Einzelbeträge!$E:$E,'Ausgaben 2023'!E$6)</f>
        <v>0</v>
      </c>
      <c r="F78" s="21">
        <f>SUMIFS(Einzelbeträge!$D:$D,Einzelbeträge!$C:$C,'Ausgaben 2023'!$C78,Einzelbeträge!$E:$E,'Ausgaben 2023'!F$6)</f>
        <v>0</v>
      </c>
      <c r="G78" s="21">
        <f>SUMIFS(Einzelbeträge!$D:$D,Einzelbeträge!$C:$C,'Ausgaben 2023'!$C78,Einzelbeträge!$E:$E,'Ausgaben 2023'!G$6)</f>
        <v>0</v>
      </c>
      <c r="H78" s="21">
        <f>SUMIFS(Einzelbeträge!$D:$D,Einzelbeträge!$C:$C,'Ausgaben 2023'!$C78,Einzelbeträge!$E:$E,'Ausgaben 2023'!H$6)</f>
        <v>0</v>
      </c>
      <c r="I78" s="21">
        <f>SUMIFS(Einzelbeträge!$D:$D,Einzelbeträge!$C:$C,'Ausgaben 2023'!$C78,Einzelbeträge!$E:$E,'Ausgaben 2023'!I$6)</f>
        <v>0</v>
      </c>
      <c r="J78" s="21">
        <f>SUMIFS(Einzelbeträge!$D:$D,Einzelbeträge!$C:$C,'Ausgaben 2023'!$C78,Einzelbeträge!$E:$E,'Ausgaben 2023'!J$6)</f>
        <v>0</v>
      </c>
      <c r="K78" s="21">
        <f>SUMIFS(Einzelbeträge!$D:$D,Einzelbeträge!$C:$C,'Ausgaben 2023'!$C78,Einzelbeträge!$E:$E,'Ausgaben 2023'!K$6)</f>
        <v>0</v>
      </c>
      <c r="L78" s="21">
        <f>SUMIFS(Einzelbeträge!$D:$D,Einzelbeträge!$C:$C,'Ausgaben 2023'!$C78,Einzelbeträge!$E:$E,'Ausgaben 2023'!L$6)</f>
        <v>0</v>
      </c>
      <c r="M78" s="21">
        <f>SUMIFS(Einzelbeträge!$D:$D,Einzelbeträge!$C:$C,'Ausgaben 2023'!$C78,Einzelbeträge!$E:$E,'Ausgaben 2023'!M$6)</f>
        <v>0</v>
      </c>
      <c r="N78" s="35">
        <f>SUMIFS(Einzelbeträge!$D:$D,Einzelbeträge!$C:$C,'Ausgaben 2023'!$C78,Einzelbeträge!$E:$E,'Ausgaben 2023'!N$6)</f>
        <v>0</v>
      </c>
      <c r="O78" s="6"/>
    </row>
    <row r="79" spans="2:15" x14ac:dyDescent="0.35">
      <c r="B79" s="5"/>
      <c r="C79" s="40">
        <f t="shared" si="18"/>
        <v>44992</v>
      </c>
      <c r="D79" s="46">
        <f>SUMIFS(Einzelbeträge!$D:$D,Einzelbeträge!$C:$C,'Ausgaben 2023'!$C79)</f>
        <v>0</v>
      </c>
      <c r="E79" s="34">
        <f>SUMIFS(Einzelbeträge!$D:$D,Einzelbeträge!$C:$C,'Ausgaben 2023'!$C79,Einzelbeträge!$E:$E,'Ausgaben 2023'!E$6)</f>
        <v>0</v>
      </c>
      <c r="F79" s="21">
        <f>SUMIFS(Einzelbeträge!$D:$D,Einzelbeträge!$C:$C,'Ausgaben 2023'!$C79,Einzelbeträge!$E:$E,'Ausgaben 2023'!F$6)</f>
        <v>0</v>
      </c>
      <c r="G79" s="21">
        <f>SUMIFS(Einzelbeträge!$D:$D,Einzelbeträge!$C:$C,'Ausgaben 2023'!$C79,Einzelbeträge!$E:$E,'Ausgaben 2023'!G$6)</f>
        <v>0</v>
      </c>
      <c r="H79" s="21">
        <f>SUMIFS(Einzelbeträge!$D:$D,Einzelbeträge!$C:$C,'Ausgaben 2023'!$C79,Einzelbeträge!$E:$E,'Ausgaben 2023'!H$6)</f>
        <v>0</v>
      </c>
      <c r="I79" s="21">
        <f>SUMIFS(Einzelbeträge!$D:$D,Einzelbeträge!$C:$C,'Ausgaben 2023'!$C79,Einzelbeträge!$E:$E,'Ausgaben 2023'!I$6)</f>
        <v>0</v>
      </c>
      <c r="J79" s="21">
        <f>SUMIFS(Einzelbeträge!$D:$D,Einzelbeträge!$C:$C,'Ausgaben 2023'!$C79,Einzelbeträge!$E:$E,'Ausgaben 2023'!J$6)</f>
        <v>0</v>
      </c>
      <c r="K79" s="21">
        <f>SUMIFS(Einzelbeträge!$D:$D,Einzelbeträge!$C:$C,'Ausgaben 2023'!$C79,Einzelbeträge!$E:$E,'Ausgaben 2023'!K$6)</f>
        <v>0</v>
      </c>
      <c r="L79" s="21">
        <f>SUMIFS(Einzelbeträge!$D:$D,Einzelbeträge!$C:$C,'Ausgaben 2023'!$C79,Einzelbeträge!$E:$E,'Ausgaben 2023'!L$6)</f>
        <v>0</v>
      </c>
      <c r="M79" s="21">
        <f>SUMIFS(Einzelbeträge!$D:$D,Einzelbeträge!$C:$C,'Ausgaben 2023'!$C79,Einzelbeträge!$E:$E,'Ausgaben 2023'!M$6)</f>
        <v>0</v>
      </c>
      <c r="N79" s="35">
        <f>SUMIFS(Einzelbeträge!$D:$D,Einzelbeträge!$C:$C,'Ausgaben 2023'!$C79,Einzelbeträge!$E:$E,'Ausgaben 2023'!N$6)</f>
        <v>0</v>
      </c>
      <c r="O79" s="6"/>
    </row>
    <row r="80" spans="2:15" x14ac:dyDescent="0.35">
      <c r="B80" s="5"/>
      <c r="C80" s="40">
        <f t="shared" si="18"/>
        <v>44993</v>
      </c>
      <c r="D80" s="46">
        <f>SUMIFS(Einzelbeträge!$D:$D,Einzelbeträge!$C:$C,'Ausgaben 2023'!$C80)</f>
        <v>0</v>
      </c>
      <c r="E80" s="34">
        <f>SUMIFS(Einzelbeträge!$D:$D,Einzelbeträge!$C:$C,'Ausgaben 2023'!$C80,Einzelbeträge!$E:$E,'Ausgaben 2023'!E$6)</f>
        <v>0</v>
      </c>
      <c r="F80" s="21">
        <f>SUMIFS(Einzelbeträge!$D:$D,Einzelbeträge!$C:$C,'Ausgaben 2023'!$C80,Einzelbeträge!$E:$E,'Ausgaben 2023'!F$6)</f>
        <v>0</v>
      </c>
      <c r="G80" s="21">
        <f>SUMIFS(Einzelbeträge!$D:$D,Einzelbeträge!$C:$C,'Ausgaben 2023'!$C80,Einzelbeträge!$E:$E,'Ausgaben 2023'!G$6)</f>
        <v>0</v>
      </c>
      <c r="H80" s="21">
        <f>SUMIFS(Einzelbeträge!$D:$D,Einzelbeträge!$C:$C,'Ausgaben 2023'!$C80,Einzelbeträge!$E:$E,'Ausgaben 2023'!H$6)</f>
        <v>0</v>
      </c>
      <c r="I80" s="21">
        <f>SUMIFS(Einzelbeträge!$D:$D,Einzelbeträge!$C:$C,'Ausgaben 2023'!$C80,Einzelbeträge!$E:$E,'Ausgaben 2023'!I$6)</f>
        <v>0</v>
      </c>
      <c r="J80" s="21">
        <f>SUMIFS(Einzelbeträge!$D:$D,Einzelbeträge!$C:$C,'Ausgaben 2023'!$C80,Einzelbeträge!$E:$E,'Ausgaben 2023'!J$6)</f>
        <v>0</v>
      </c>
      <c r="K80" s="21">
        <f>SUMIFS(Einzelbeträge!$D:$D,Einzelbeträge!$C:$C,'Ausgaben 2023'!$C80,Einzelbeträge!$E:$E,'Ausgaben 2023'!K$6)</f>
        <v>0</v>
      </c>
      <c r="L80" s="21">
        <f>SUMIFS(Einzelbeträge!$D:$D,Einzelbeträge!$C:$C,'Ausgaben 2023'!$C80,Einzelbeträge!$E:$E,'Ausgaben 2023'!L$6)</f>
        <v>0</v>
      </c>
      <c r="M80" s="21">
        <f>SUMIFS(Einzelbeträge!$D:$D,Einzelbeträge!$C:$C,'Ausgaben 2023'!$C80,Einzelbeträge!$E:$E,'Ausgaben 2023'!M$6)</f>
        <v>0</v>
      </c>
      <c r="N80" s="35">
        <f>SUMIFS(Einzelbeträge!$D:$D,Einzelbeträge!$C:$C,'Ausgaben 2023'!$C80,Einzelbeträge!$E:$E,'Ausgaben 2023'!N$6)</f>
        <v>0</v>
      </c>
      <c r="O80" s="6"/>
    </row>
    <row r="81" spans="2:15" x14ac:dyDescent="0.35">
      <c r="B81" s="5"/>
      <c r="C81" s="40">
        <f t="shared" si="18"/>
        <v>44994</v>
      </c>
      <c r="D81" s="46">
        <f>SUMIFS(Einzelbeträge!$D:$D,Einzelbeträge!$C:$C,'Ausgaben 2023'!$C81)</f>
        <v>0</v>
      </c>
      <c r="E81" s="34">
        <f>SUMIFS(Einzelbeträge!$D:$D,Einzelbeträge!$C:$C,'Ausgaben 2023'!$C81,Einzelbeträge!$E:$E,'Ausgaben 2023'!E$6)</f>
        <v>0</v>
      </c>
      <c r="F81" s="21">
        <f>SUMIFS(Einzelbeträge!$D:$D,Einzelbeträge!$C:$C,'Ausgaben 2023'!$C81,Einzelbeträge!$E:$E,'Ausgaben 2023'!F$6)</f>
        <v>0</v>
      </c>
      <c r="G81" s="21">
        <f>SUMIFS(Einzelbeträge!$D:$D,Einzelbeträge!$C:$C,'Ausgaben 2023'!$C81,Einzelbeträge!$E:$E,'Ausgaben 2023'!G$6)</f>
        <v>0</v>
      </c>
      <c r="H81" s="21">
        <f>SUMIFS(Einzelbeträge!$D:$D,Einzelbeträge!$C:$C,'Ausgaben 2023'!$C81,Einzelbeträge!$E:$E,'Ausgaben 2023'!H$6)</f>
        <v>0</v>
      </c>
      <c r="I81" s="21">
        <f>SUMIFS(Einzelbeträge!$D:$D,Einzelbeträge!$C:$C,'Ausgaben 2023'!$C81,Einzelbeträge!$E:$E,'Ausgaben 2023'!I$6)</f>
        <v>0</v>
      </c>
      <c r="J81" s="21">
        <f>SUMIFS(Einzelbeträge!$D:$D,Einzelbeträge!$C:$C,'Ausgaben 2023'!$C81,Einzelbeträge!$E:$E,'Ausgaben 2023'!J$6)</f>
        <v>0</v>
      </c>
      <c r="K81" s="21">
        <f>SUMIFS(Einzelbeträge!$D:$D,Einzelbeträge!$C:$C,'Ausgaben 2023'!$C81,Einzelbeträge!$E:$E,'Ausgaben 2023'!K$6)</f>
        <v>0</v>
      </c>
      <c r="L81" s="21">
        <f>SUMIFS(Einzelbeträge!$D:$D,Einzelbeträge!$C:$C,'Ausgaben 2023'!$C81,Einzelbeträge!$E:$E,'Ausgaben 2023'!L$6)</f>
        <v>0</v>
      </c>
      <c r="M81" s="21">
        <f>SUMIFS(Einzelbeträge!$D:$D,Einzelbeträge!$C:$C,'Ausgaben 2023'!$C81,Einzelbeträge!$E:$E,'Ausgaben 2023'!M$6)</f>
        <v>0</v>
      </c>
      <c r="N81" s="35">
        <f>SUMIFS(Einzelbeträge!$D:$D,Einzelbeträge!$C:$C,'Ausgaben 2023'!$C81,Einzelbeträge!$E:$E,'Ausgaben 2023'!N$6)</f>
        <v>0</v>
      </c>
      <c r="O81" s="6"/>
    </row>
    <row r="82" spans="2:15" x14ac:dyDescent="0.35">
      <c r="B82" s="5"/>
      <c r="C82" s="40">
        <f t="shared" si="18"/>
        <v>44995</v>
      </c>
      <c r="D82" s="46">
        <f>SUMIFS(Einzelbeträge!$D:$D,Einzelbeträge!$C:$C,'Ausgaben 2023'!$C82)</f>
        <v>0</v>
      </c>
      <c r="E82" s="34">
        <f>SUMIFS(Einzelbeträge!$D:$D,Einzelbeträge!$C:$C,'Ausgaben 2023'!$C82,Einzelbeträge!$E:$E,'Ausgaben 2023'!E$6)</f>
        <v>0</v>
      </c>
      <c r="F82" s="21">
        <f>SUMIFS(Einzelbeträge!$D:$D,Einzelbeträge!$C:$C,'Ausgaben 2023'!$C82,Einzelbeträge!$E:$E,'Ausgaben 2023'!F$6)</f>
        <v>0</v>
      </c>
      <c r="G82" s="21">
        <f>SUMIFS(Einzelbeträge!$D:$D,Einzelbeträge!$C:$C,'Ausgaben 2023'!$C82,Einzelbeträge!$E:$E,'Ausgaben 2023'!G$6)</f>
        <v>0</v>
      </c>
      <c r="H82" s="21">
        <f>SUMIFS(Einzelbeträge!$D:$D,Einzelbeträge!$C:$C,'Ausgaben 2023'!$C82,Einzelbeträge!$E:$E,'Ausgaben 2023'!H$6)</f>
        <v>0</v>
      </c>
      <c r="I82" s="21">
        <f>SUMIFS(Einzelbeträge!$D:$D,Einzelbeträge!$C:$C,'Ausgaben 2023'!$C82,Einzelbeträge!$E:$E,'Ausgaben 2023'!I$6)</f>
        <v>0</v>
      </c>
      <c r="J82" s="21">
        <f>SUMIFS(Einzelbeträge!$D:$D,Einzelbeträge!$C:$C,'Ausgaben 2023'!$C82,Einzelbeträge!$E:$E,'Ausgaben 2023'!J$6)</f>
        <v>0</v>
      </c>
      <c r="K82" s="21">
        <f>SUMIFS(Einzelbeträge!$D:$D,Einzelbeträge!$C:$C,'Ausgaben 2023'!$C82,Einzelbeträge!$E:$E,'Ausgaben 2023'!K$6)</f>
        <v>0</v>
      </c>
      <c r="L82" s="21">
        <f>SUMIFS(Einzelbeträge!$D:$D,Einzelbeträge!$C:$C,'Ausgaben 2023'!$C82,Einzelbeträge!$E:$E,'Ausgaben 2023'!L$6)</f>
        <v>0</v>
      </c>
      <c r="M82" s="21">
        <f>SUMIFS(Einzelbeträge!$D:$D,Einzelbeträge!$C:$C,'Ausgaben 2023'!$C82,Einzelbeträge!$E:$E,'Ausgaben 2023'!M$6)</f>
        <v>0</v>
      </c>
      <c r="N82" s="35">
        <f>SUMIFS(Einzelbeträge!$D:$D,Einzelbeträge!$C:$C,'Ausgaben 2023'!$C82,Einzelbeträge!$E:$E,'Ausgaben 2023'!N$6)</f>
        <v>0</v>
      </c>
      <c r="O82" s="6"/>
    </row>
    <row r="83" spans="2:15" x14ac:dyDescent="0.35">
      <c r="B83" s="5"/>
      <c r="C83" s="40">
        <f t="shared" si="18"/>
        <v>44996</v>
      </c>
      <c r="D83" s="46">
        <f>SUMIFS(Einzelbeträge!$D:$D,Einzelbeträge!$C:$C,'Ausgaben 2023'!$C83)</f>
        <v>0</v>
      </c>
      <c r="E83" s="34">
        <f>SUMIFS(Einzelbeträge!$D:$D,Einzelbeträge!$C:$C,'Ausgaben 2023'!$C83,Einzelbeträge!$E:$E,'Ausgaben 2023'!E$6)</f>
        <v>0</v>
      </c>
      <c r="F83" s="21">
        <f>SUMIFS(Einzelbeträge!$D:$D,Einzelbeträge!$C:$C,'Ausgaben 2023'!$C83,Einzelbeträge!$E:$E,'Ausgaben 2023'!F$6)</f>
        <v>0</v>
      </c>
      <c r="G83" s="21">
        <f>SUMIFS(Einzelbeträge!$D:$D,Einzelbeträge!$C:$C,'Ausgaben 2023'!$C83,Einzelbeträge!$E:$E,'Ausgaben 2023'!G$6)</f>
        <v>0</v>
      </c>
      <c r="H83" s="21">
        <f>SUMIFS(Einzelbeträge!$D:$D,Einzelbeträge!$C:$C,'Ausgaben 2023'!$C83,Einzelbeträge!$E:$E,'Ausgaben 2023'!H$6)</f>
        <v>0</v>
      </c>
      <c r="I83" s="21">
        <f>SUMIFS(Einzelbeträge!$D:$D,Einzelbeträge!$C:$C,'Ausgaben 2023'!$C83,Einzelbeträge!$E:$E,'Ausgaben 2023'!I$6)</f>
        <v>0</v>
      </c>
      <c r="J83" s="21">
        <f>SUMIFS(Einzelbeträge!$D:$D,Einzelbeträge!$C:$C,'Ausgaben 2023'!$C83,Einzelbeträge!$E:$E,'Ausgaben 2023'!J$6)</f>
        <v>0</v>
      </c>
      <c r="K83" s="21">
        <f>SUMIFS(Einzelbeträge!$D:$D,Einzelbeträge!$C:$C,'Ausgaben 2023'!$C83,Einzelbeträge!$E:$E,'Ausgaben 2023'!K$6)</f>
        <v>0</v>
      </c>
      <c r="L83" s="21">
        <f>SUMIFS(Einzelbeträge!$D:$D,Einzelbeträge!$C:$C,'Ausgaben 2023'!$C83,Einzelbeträge!$E:$E,'Ausgaben 2023'!L$6)</f>
        <v>0</v>
      </c>
      <c r="M83" s="21">
        <f>SUMIFS(Einzelbeträge!$D:$D,Einzelbeträge!$C:$C,'Ausgaben 2023'!$C83,Einzelbeträge!$E:$E,'Ausgaben 2023'!M$6)</f>
        <v>0</v>
      </c>
      <c r="N83" s="35">
        <f>SUMIFS(Einzelbeträge!$D:$D,Einzelbeträge!$C:$C,'Ausgaben 2023'!$C83,Einzelbeträge!$E:$E,'Ausgaben 2023'!N$6)</f>
        <v>0</v>
      </c>
      <c r="O83" s="6"/>
    </row>
    <row r="84" spans="2:15" x14ac:dyDescent="0.35">
      <c r="B84" s="5"/>
      <c r="C84" s="40">
        <f t="shared" si="18"/>
        <v>44997</v>
      </c>
      <c r="D84" s="46">
        <f>SUMIFS(Einzelbeträge!$D:$D,Einzelbeträge!$C:$C,'Ausgaben 2023'!$C84)</f>
        <v>0</v>
      </c>
      <c r="E84" s="34">
        <f>SUMIFS(Einzelbeträge!$D:$D,Einzelbeträge!$C:$C,'Ausgaben 2023'!$C84,Einzelbeträge!$E:$E,'Ausgaben 2023'!E$6)</f>
        <v>0</v>
      </c>
      <c r="F84" s="21">
        <f>SUMIFS(Einzelbeträge!$D:$D,Einzelbeträge!$C:$C,'Ausgaben 2023'!$C84,Einzelbeträge!$E:$E,'Ausgaben 2023'!F$6)</f>
        <v>0</v>
      </c>
      <c r="G84" s="21">
        <f>SUMIFS(Einzelbeträge!$D:$D,Einzelbeträge!$C:$C,'Ausgaben 2023'!$C84,Einzelbeträge!$E:$E,'Ausgaben 2023'!G$6)</f>
        <v>0</v>
      </c>
      <c r="H84" s="21">
        <f>SUMIFS(Einzelbeträge!$D:$D,Einzelbeträge!$C:$C,'Ausgaben 2023'!$C84,Einzelbeträge!$E:$E,'Ausgaben 2023'!H$6)</f>
        <v>0</v>
      </c>
      <c r="I84" s="21">
        <f>SUMIFS(Einzelbeträge!$D:$D,Einzelbeträge!$C:$C,'Ausgaben 2023'!$C84,Einzelbeträge!$E:$E,'Ausgaben 2023'!I$6)</f>
        <v>0</v>
      </c>
      <c r="J84" s="21">
        <f>SUMIFS(Einzelbeträge!$D:$D,Einzelbeträge!$C:$C,'Ausgaben 2023'!$C84,Einzelbeträge!$E:$E,'Ausgaben 2023'!J$6)</f>
        <v>0</v>
      </c>
      <c r="K84" s="21">
        <f>SUMIFS(Einzelbeträge!$D:$D,Einzelbeträge!$C:$C,'Ausgaben 2023'!$C84,Einzelbeträge!$E:$E,'Ausgaben 2023'!K$6)</f>
        <v>0</v>
      </c>
      <c r="L84" s="21">
        <f>SUMIFS(Einzelbeträge!$D:$D,Einzelbeträge!$C:$C,'Ausgaben 2023'!$C84,Einzelbeträge!$E:$E,'Ausgaben 2023'!L$6)</f>
        <v>0</v>
      </c>
      <c r="M84" s="21">
        <f>SUMIFS(Einzelbeträge!$D:$D,Einzelbeträge!$C:$C,'Ausgaben 2023'!$C84,Einzelbeträge!$E:$E,'Ausgaben 2023'!M$6)</f>
        <v>0</v>
      </c>
      <c r="N84" s="35">
        <f>SUMIFS(Einzelbeträge!$D:$D,Einzelbeträge!$C:$C,'Ausgaben 2023'!$C84,Einzelbeträge!$E:$E,'Ausgaben 2023'!N$6)</f>
        <v>0</v>
      </c>
      <c r="O84" s="6"/>
    </row>
    <row r="85" spans="2:15" x14ac:dyDescent="0.35">
      <c r="B85" s="5"/>
      <c r="C85" s="40">
        <f t="shared" si="18"/>
        <v>44998</v>
      </c>
      <c r="D85" s="46">
        <f>SUMIFS(Einzelbeträge!$D:$D,Einzelbeträge!$C:$C,'Ausgaben 2023'!$C85)</f>
        <v>0</v>
      </c>
      <c r="E85" s="34">
        <f>SUMIFS(Einzelbeträge!$D:$D,Einzelbeträge!$C:$C,'Ausgaben 2023'!$C85,Einzelbeträge!$E:$E,'Ausgaben 2023'!E$6)</f>
        <v>0</v>
      </c>
      <c r="F85" s="21">
        <f>SUMIFS(Einzelbeträge!$D:$D,Einzelbeträge!$C:$C,'Ausgaben 2023'!$C85,Einzelbeträge!$E:$E,'Ausgaben 2023'!F$6)</f>
        <v>0</v>
      </c>
      <c r="G85" s="21">
        <f>SUMIFS(Einzelbeträge!$D:$D,Einzelbeträge!$C:$C,'Ausgaben 2023'!$C85,Einzelbeträge!$E:$E,'Ausgaben 2023'!G$6)</f>
        <v>0</v>
      </c>
      <c r="H85" s="21">
        <f>SUMIFS(Einzelbeträge!$D:$D,Einzelbeträge!$C:$C,'Ausgaben 2023'!$C85,Einzelbeträge!$E:$E,'Ausgaben 2023'!H$6)</f>
        <v>0</v>
      </c>
      <c r="I85" s="21">
        <f>SUMIFS(Einzelbeträge!$D:$D,Einzelbeträge!$C:$C,'Ausgaben 2023'!$C85,Einzelbeträge!$E:$E,'Ausgaben 2023'!I$6)</f>
        <v>0</v>
      </c>
      <c r="J85" s="21">
        <f>SUMIFS(Einzelbeträge!$D:$D,Einzelbeträge!$C:$C,'Ausgaben 2023'!$C85,Einzelbeträge!$E:$E,'Ausgaben 2023'!J$6)</f>
        <v>0</v>
      </c>
      <c r="K85" s="21">
        <f>SUMIFS(Einzelbeträge!$D:$D,Einzelbeträge!$C:$C,'Ausgaben 2023'!$C85,Einzelbeträge!$E:$E,'Ausgaben 2023'!K$6)</f>
        <v>0</v>
      </c>
      <c r="L85" s="21">
        <f>SUMIFS(Einzelbeträge!$D:$D,Einzelbeträge!$C:$C,'Ausgaben 2023'!$C85,Einzelbeträge!$E:$E,'Ausgaben 2023'!L$6)</f>
        <v>0</v>
      </c>
      <c r="M85" s="21">
        <f>SUMIFS(Einzelbeträge!$D:$D,Einzelbeträge!$C:$C,'Ausgaben 2023'!$C85,Einzelbeträge!$E:$E,'Ausgaben 2023'!M$6)</f>
        <v>0</v>
      </c>
      <c r="N85" s="35">
        <f>SUMIFS(Einzelbeträge!$D:$D,Einzelbeträge!$C:$C,'Ausgaben 2023'!$C85,Einzelbeträge!$E:$E,'Ausgaben 2023'!N$6)</f>
        <v>0</v>
      </c>
      <c r="O85" s="6"/>
    </row>
    <row r="86" spans="2:15" x14ac:dyDescent="0.35">
      <c r="B86" s="5"/>
      <c r="C86" s="40">
        <f t="shared" si="18"/>
        <v>44999</v>
      </c>
      <c r="D86" s="46">
        <f>SUMIFS(Einzelbeträge!$D:$D,Einzelbeträge!$C:$C,'Ausgaben 2023'!$C86)</f>
        <v>0</v>
      </c>
      <c r="E86" s="34">
        <f>SUMIFS(Einzelbeträge!$D:$D,Einzelbeträge!$C:$C,'Ausgaben 2023'!$C86,Einzelbeträge!$E:$E,'Ausgaben 2023'!E$6)</f>
        <v>0</v>
      </c>
      <c r="F86" s="21">
        <f>SUMIFS(Einzelbeträge!$D:$D,Einzelbeträge!$C:$C,'Ausgaben 2023'!$C86,Einzelbeträge!$E:$E,'Ausgaben 2023'!F$6)</f>
        <v>0</v>
      </c>
      <c r="G86" s="21">
        <f>SUMIFS(Einzelbeträge!$D:$D,Einzelbeträge!$C:$C,'Ausgaben 2023'!$C86,Einzelbeträge!$E:$E,'Ausgaben 2023'!G$6)</f>
        <v>0</v>
      </c>
      <c r="H86" s="21">
        <f>SUMIFS(Einzelbeträge!$D:$D,Einzelbeträge!$C:$C,'Ausgaben 2023'!$C86,Einzelbeträge!$E:$E,'Ausgaben 2023'!H$6)</f>
        <v>0</v>
      </c>
      <c r="I86" s="21">
        <f>SUMIFS(Einzelbeträge!$D:$D,Einzelbeträge!$C:$C,'Ausgaben 2023'!$C86,Einzelbeträge!$E:$E,'Ausgaben 2023'!I$6)</f>
        <v>0</v>
      </c>
      <c r="J86" s="21">
        <f>SUMIFS(Einzelbeträge!$D:$D,Einzelbeträge!$C:$C,'Ausgaben 2023'!$C86,Einzelbeträge!$E:$E,'Ausgaben 2023'!J$6)</f>
        <v>0</v>
      </c>
      <c r="K86" s="21">
        <f>SUMIFS(Einzelbeträge!$D:$D,Einzelbeträge!$C:$C,'Ausgaben 2023'!$C86,Einzelbeträge!$E:$E,'Ausgaben 2023'!K$6)</f>
        <v>0</v>
      </c>
      <c r="L86" s="21">
        <f>SUMIFS(Einzelbeträge!$D:$D,Einzelbeträge!$C:$C,'Ausgaben 2023'!$C86,Einzelbeträge!$E:$E,'Ausgaben 2023'!L$6)</f>
        <v>0</v>
      </c>
      <c r="M86" s="21">
        <f>SUMIFS(Einzelbeträge!$D:$D,Einzelbeträge!$C:$C,'Ausgaben 2023'!$C86,Einzelbeträge!$E:$E,'Ausgaben 2023'!M$6)</f>
        <v>0</v>
      </c>
      <c r="N86" s="35">
        <f>SUMIFS(Einzelbeträge!$D:$D,Einzelbeträge!$C:$C,'Ausgaben 2023'!$C86,Einzelbeträge!$E:$E,'Ausgaben 2023'!N$6)</f>
        <v>0</v>
      </c>
      <c r="O86" s="6"/>
    </row>
    <row r="87" spans="2:15" x14ac:dyDescent="0.35">
      <c r="B87" s="5"/>
      <c r="C87" s="40">
        <f t="shared" si="18"/>
        <v>45000</v>
      </c>
      <c r="D87" s="46">
        <f>SUMIFS(Einzelbeträge!$D:$D,Einzelbeträge!$C:$C,'Ausgaben 2023'!$C87)</f>
        <v>0</v>
      </c>
      <c r="E87" s="34">
        <f>SUMIFS(Einzelbeträge!$D:$D,Einzelbeträge!$C:$C,'Ausgaben 2023'!$C87,Einzelbeträge!$E:$E,'Ausgaben 2023'!E$6)</f>
        <v>0</v>
      </c>
      <c r="F87" s="21">
        <f>SUMIFS(Einzelbeträge!$D:$D,Einzelbeträge!$C:$C,'Ausgaben 2023'!$C87,Einzelbeträge!$E:$E,'Ausgaben 2023'!F$6)</f>
        <v>0</v>
      </c>
      <c r="G87" s="21">
        <f>SUMIFS(Einzelbeträge!$D:$D,Einzelbeträge!$C:$C,'Ausgaben 2023'!$C87,Einzelbeträge!$E:$E,'Ausgaben 2023'!G$6)</f>
        <v>0</v>
      </c>
      <c r="H87" s="21">
        <f>SUMIFS(Einzelbeträge!$D:$D,Einzelbeträge!$C:$C,'Ausgaben 2023'!$C87,Einzelbeträge!$E:$E,'Ausgaben 2023'!H$6)</f>
        <v>0</v>
      </c>
      <c r="I87" s="21">
        <f>SUMIFS(Einzelbeträge!$D:$D,Einzelbeträge!$C:$C,'Ausgaben 2023'!$C87,Einzelbeträge!$E:$E,'Ausgaben 2023'!I$6)</f>
        <v>0</v>
      </c>
      <c r="J87" s="21">
        <f>SUMIFS(Einzelbeträge!$D:$D,Einzelbeträge!$C:$C,'Ausgaben 2023'!$C87,Einzelbeträge!$E:$E,'Ausgaben 2023'!J$6)</f>
        <v>0</v>
      </c>
      <c r="K87" s="21">
        <f>SUMIFS(Einzelbeträge!$D:$D,Einzelbeträge!$C:$C,'Ausgaben 2023'!$C87,Einzelbeträge!$E:$E,'Ausgaben 2023'!K$6)</f>
        <v>0</v>
      </c>
      <c r="L87" s="21">
        <f>SUMIFS(Einzelbeträge!$D:$D,Einzelbeträge!$C:$C,'Ausgaben 2023'!$C87,Einzelbeträge!$E:$E,'Ausgaben 2023'!L$6)</f>
        <v>0</v>
      </c>
      <c r="M87" s="21">
        <f>SUMIFS(Einzelbeträge!$D:$D,Einzelbeträge!$C:$C,'Ausgaben 2023'!$C87,Einzelbeträge!$E:$E,'Ausgaben 2023'!M$6)</f>
        <v>0</v>
      </c>
      <c r="N87" s="35">
        <f>SUMIFS(Einzelbeträge!$D:$D,Einzelbeträge!$C:$C,'Ausgaben 2023'!$C87,Einzelbeträge!$E:$E,'Ausgaben 2023'!N$6)</f>
        <v>0</v>
      </c>
      <c r="O87" s="6"/>
    </row>
    <row r="88" spans="2:15" x14ac:dyDescent="0.35">
      <c r="B88" s="5"/>
      <c r="C88" s="40">
        <f t="shared" si="18"/>
        <v>45001</v>
      </c>
      <c r="D88" s="46">
        <f>SUMIFS(Einzelbeträge!$D:$D,Einzelbeträge!$C:$C,'Ausgaben 2023'!$C88)</f>
        <v>0</v>
      </c>
      <c r="E88" s="34">
        <f>SUMIFS(Einzelbeträge!$D:$D,Einzelbeträge!$C:$C,'Ausgaben 2023'!$C88,Einzelbeträge!$E:$E,'Ausgaben 2023'!E$6)</f>
        <v>0</v>
      </c>
      <c r="F88" s="21">
        <f>SUMIFS(Einzelbeträge!$D:$D,Einzelbeträge!$C:$C,'Ausgaben 2023'!$C88,Einzelbeträge!$E:$E,'Ausgaben 2023'!F$6)</f>
        <v>0</v>
      </c>
      <c r="G88" s="21">
        <f>SUMIFS(Einzelbeträge!$D:$D,Einzelbeträge!$C:$C,'Ausgaben 2023'!$C88,Einzelbeträge!$E:$E,'Ausgaben 2023'!G$6)</f>
        <v>0</v>
      </c>
      <c r="H88" s="21">
        <f>SUMIFS(Einzelbeträge!$D:$D,Einzelbeträge!$C:$C,'Ausgaben 2023'!$C88,Einzelbeträge!$E:$E,'Ausgaben 2023'!H$6)</f>
        <v>0</v>
      </c>
      <c r="I88" s="21">
        <f>SUMIFS(Einzelbeträge!$D:$D,Einzelbeträge!$C:$C,'Ausgaben 2023'!$C88,Einzelbeträge!$E:$E,'Ausgaben 2023'!I$6)</f>
        <v>0</v>
      </c>
      <c r="J88" s="21">
        <f>SUMIFS(Einzelbeträge!$D:$D,Einzelbeträge!$C:$C,'Ausgaben 2023'!$C88,Einzelbeträge!$E:$E,'Ausgaben 2023'!J$6)</f>
        <v>0</v>
      </c>
      <c r="K88" s="21">
        <f>SUMIFS(Einzelbeträge!$D:$D,Einzelbeträge!$C:$C,'Ausgaben 2023'!$C88,Einzelbeträge!$E:$E,'Ausgaben 2023'!K$6)</f>
        <v>0</v>
      </c>
      <c r="L88" s="21">
        <f>SUMIFS(Einzelbeträge!$D:$D,Einzelbeträge!$C:$C,'Ausgaben 2023'!$C88,Einzelbeträge!$E:$E,'Ausgaben 2023'!L$6)</f>
        <v>0</v>
      </c>
      <c r="M88" s="21">
        <f>SUMIFS(Einzelbeträge!$D:$D,Einzelbeträge!$C:$C,'Ausgaben 2023'!$C88,Einzelbeträge!$E:$E,'Ausgaben 2023'!M$6)</f>
        <v>0</v>
      </c>
      <c r="N88" s="35">
        <f>SUMIFS(Einzelbeträge!$D:$D,Einzelbeträge!$C:$C,'Ausgaben 2023'!$C88,Einzelbeträge!$E:$E,'Ausgaben 2023'!N$6)</f>
        <v>0</v>
      </c>
      <c r="O88" s="6"/>
    </row>
    <row r="89" spans="2:15" x14ac:dyDescent="0.35">
      <c r="B89" s="5"/>
      <c r="C89" s="40">
        <f t="shared" si="18"/>
        <v>45002</v>
      </c>
      <c r="D89" s="46">
        <f>SUMIFS(Einzelbeträge!$D:$D,Einzelbeträge!$C:$C,'Ausgaben 2023'!$C89)</f>
        <v>0</v>
      </c>
      <c r="E89" s="34">
        <f>SUMIFS(Einzelbeträge!$D:$D,Einzelbeträge!$C:$C,'Ausgaben 2023'!$C89,Einzelbeträge!$E:$E,'Ausgaben 2023'!E$6)</f>
        <v>0</v>
      </c>
      <c r="F89" s="21">
        <f>SUMIFS(Einzelbeträge!$D:$D,Einzelbeträge!$C:$C,'Ausgaben 2023'!$C89,Einzelbeträge!$E:$E,'Ausgaben 2023'!F$6)</f>
        <v>0</v>
      </c>
      <c r="G89" s="21">
        <f>SUMIFS(Einzelbeträge!$D:$D,Einzelbeträge!$C:$C,'Ausgaben 2023'!$C89,Einzelbeträge!$E:$E,'Ausgaben 2023'!G$6)</f>
        <v>0</v>
      </c>
      <c r="H89" s="21">
        <f>SUMIFS(Einzelbeträge!$D:$D,Einzelbeträge!$C:$C,'Ausgaben 2023'!$C89,Einzelbeträge!$E:$E,'Ausgaben 2023'!H$6)</f>
        <v>0</v>
      </c>
      <c r="I89" s="21">
        <f>SUMIFS(Einzelbeträge!$D:$D,Einzelbeträge!$C:$C,'Ausgaben 2023'!$C89,Einzelbeträge!$E:$E,'Ausgaben 2023'!I$6)</f>
        <v>0</v>
      </c>
      <c r="J89" s="21">
        <f>SUMIFS(Einzelbeträge!$D:$D,Einzelbeträge!$C:$C,'Ausgaben 2023'!$C89,Einzelbeträge!$E:$E,'Ausgaben 2023'!J$6)</f>
        <v>0</v>
      </c>
      <c r="K89" s="21">
        <f>SUMIFS(Einzelbeträge!$D:$D,Einzelbeträge!$C:$C,'Ausgaben 2023'!$C89,Einzelbeträge!$E:$E,'Ausgaben 2023'!K$6)</f>
        <v>0</v>
      </c>
      <c r="L89" s="21">
        <f>SUMIFS(Einzelbeträge!$D:$D,Einzelbeträge!$C:$C,'Ausgaben 2023'!$C89,Einzelbeträge!$E:$E,'Ausgaben 2023'!L$6)</f>
        <v>0</v>
      </c>
      <c r="M89" s="21">
        <f>SUMIFS(Einzelbeträge!$D:$D,Einzelbeträge!$C:$C,'Ausgaben 2023'!$C89,Einzelbeträge!$E:$E,'Ausgaben 2023'!M$6)</f>
        <v>0</v>
      </c>
      <c r="N89" s="35">
        <f>SUMIFS(Einzelbeträge!$D:$D,Einzelbeträge!$C:$C,'Ausgaben 2023'!$C89,Einzelbeträge!$E:$E,'Ausgaben 2023'!N$6)</f>
        <v>0</v>
      </c>
      <c r="O89" s="6"/>
    </row>
    <row r="90" spans="2:15" x14ac:dyDescent="0.35">
      <c r="B90" s="5"/>
      <c r="C90" s="40">
        <f t="shared" si="18"/>
        <v>45003</v>
      </c>
      <c r="D90" s="46">
        <f>SUMIFS(Einzelbeträge!$D:$D,Einzelbeträge!$C:$C,'Ausgaben 2023'!$C90)</f>
        <v>0</v>
      </c>
      <c r="E90" s="34">
        <f>SUMIFS(Einzelbeträge!$D:$D,Einzelbeträge!$C:$C,'Ausgaben 2023'!$C90,Einzelbeträge!$E:$E,'Ausgaben 2023'!E$6)</f>
        <v>0</v>
      </c>
      <c r="F90" s="21">
        <f>SUMIFS(Einzelbeträge!$D:$D,Einzelbeträge!$C:$C,'Ausgaben 2023'!$C90,Einzelbeträge!$E:$E,'Ausgaben 2023'!F$6)</f>
        <v>0</v>
      </c>
      <c r="G90" s="21">
        <f>SUMIFS(Einzelbeträge!$D:$D,Einzelbeträge!$C:$C,'Ausgaben 2023'!$C90,Einzelbeträge!$E:$E,'Ausgaben 2023'!G$6)</f>
        <v>0</v>
      </c>
      <c r="H90" s="21">
        <f>SUMIFS(Einzelbeträge!$D:$D,Einzelbeträge!$C:$C,'Ausgaben 2023'!$C90,Einzelbeträge!$E:$E,'Ausgaben 2023'!H$6)</f>
        <v>0</v>
      </c>
      <c r="I90" s="21">
        <f>SUMIFS(Einzelbeträge!$D:$D,Einzelbeträge!$C:$C,'Ausgaben 2023'!$C90,Einzelbeträge!$E:$E,'Ausgaben 2023'!I$6)</f>
        <v>0</v>
      </c>
      <c r="J90" s="21">
        <f>SUMIFS(Einzelbeträge!$D:$D,Einzelbeträge!$C:$C,'Ausgaben 2023'!$C90,Einzelbeträge!$E:$E,'Ausgaben 2023'!J$6)</f>
        <v>0</v>
      </c>
      <c r="K90" s="21">
        <f>SUMIFS(Einzelbeträge!$D:$D,Einzelbeträge!$C:$C,'Ausgaben 2023'!$C90,Einzelbeträge!$E:$E,'Ausgaben 2023'!K$6)</f>
        <v>0</v>
      </c>
      <c r="L90" s="21">
        <f>SUMIFS(Einzelbeträge!$D:$D,Einzelbeträge!$C:$C,'Ausgaben 2023'!$C90,Einzelbeträge!$E:$E,'Ausgaben 2023'!L$6)</f>
        <v>0</v>
      </c>
      <c r="M90" s="21">
        <f>SUMIFS(Einzelbeträge!$D:$D,Einzelbeträge!$C:$C,'Ausgaben 2023'!$C90,Einzelbeträge!$E:$E,'Ausgaben 2023'!M$6)</f>
        <v>0</v>
      </c>
      <c r="N90" s="35">
        <f>SUMIFS(Einzelbeträge!$D:$D,Einzelbeträge!$C:$C,'Ausgaben 2023'!$C90,Einzelbeträge!$E:$E,'Ausgaben 2023'!N$6)</f>
        <v>0</v>
      </c>
      <c r="O90" s="6"/>
    </row>
    <row r="91" spans="2:15" x14ac:dyDescent="0.35">
      <c r="B91" s="5"/>
      <c r="C91" s="40">
        <f t="shared" si="18"/>
        <v>45004</v>
      </c>
      <c r="D91" s="46">
        <f>SUMIFS(Einzelbeträge!$D:$D,Einzelbeträge!$C:$C,'Ausgaben 2023'!$C91)</f>
        <v>0</v>
      </c>
      <c r="E91" s="34">
        <f>SUMIFS(Einzelbeträge!$D:$D,Einzelbeträge!$C:$C,'Ausgaben 2023'!$C91,Einzelbeträge!$E:$E,'Ausgaben 2023'!E$6)</f>
        <v>0</v>
      </c>
      <c r="F91" s="21">
        <f>SUMIFS(Einzelbeträge!$D:$D,Einzelbeträge!$C:$C,'Ausgaben 2023'!$C91,Einzelbeträge!$E:$E,'Ausgaben 2023'!F$6)</f>
        <v>0</v>
      </c>
      <c r="G91" s="21">
        <f>SUMIFS(Einzelbeträge!$D:$D,Einzelbeträge!$C:$C,'Ausgaben 2023'!$C91,Einzelbeträge!$E:$E,'Ausgaben 2023'!G$6)</f>
        <v>0</v>
      </c>
      <c r="H91" s="21">
        <f>SUMIFS(Einzelbeträge!$D:$D,Einzelbeträge!$C:$C,'Ausgaben 2023'!$C91,Einzelbeträge!$E:$E,'Ausgaben 2023'!H$6)</f>
        <v>0</v>
      </c>
      <c r="I91" s="21">
        <f>SUMIFS(Einzelbeträge!$D:$D,Einzelbeträge!$C:$C,'Ausgaben 2023'!$C91,Einzelbeträge!$E:$E,'Ausgaben 2023'!I$6)</f>
        <v>0</v>
      </c>
      <c r="J91" s="21">
        <f>SUMIFS(Einzelbeträge!$D:$D,Einzelbeträge!$C:$C,'Ausgaben 2023'!$C91,Einzelbeträge!$E:$E,'Ausgaben 2023'!J$6)</f>
        <v>0</v>
      </c>
      <c r="K91" s="21">
        <f>SUMIFS(Einzelbeträge!$D:$D,Einzelbeträge!$C:$C,'Ausgaben 2023'!$C91,Einzelbeträge!$E:$E,'Ausgaben 2023'!K$6)</f>
        <v>0</v>
      </c>
      <c r="L91" s="21">
        <f>SUMIFS(Einzelbeträge!$D:$D,Einzelbeträge!$C:$C,'Ausgaben 2023'!$C91,Einzelbeträge!$E:$E,'Ausgaben 2023'!L$6)</f>
        <v>0</v>
      </c>
      <c r="M91" s="21">
        <f>SUMIFS(Einzelbeträge!$D:$D,Einzelbeträge!$C:$C,'Ausgaben 2023'!$C91,Einzelbeträge!$E:$E,'Ausgaben 2023'!M$6)</f>
        <v>0</v>
      </c>
      <c r="N91" s="35">
        <f>SUMIFS(Einzelbeträge!$D:$D,Einzelbeträge!$C:$C,'Ausgaben 2023'!$C91,Einzelbeträge!$E:$E,'Ausgaben 2023'!N$6)</f>
        <v>0</v>
      </c>
      <c r="O91" s="6"/>
    </row>
    <row r="92" spans="2:15" x14ac:dyDescent="0.35">
      <c r="B92" s="5"/>
      <c r="C92" s="40">
        <f t="shared" si="18"/>
        <v>45005</v>
      </c>
      <c r="D92" s="46">
        <f>SUMIFS(Einzelbeträge!$D:$D,Einzelbeträge!$C:$C,'Ausgaben 2023'!$C92)</f>
        <v>0</v>
      </c>
      <c r="E92" s="34">
        <f>SUMIFS(Einzelbeträge!$D:$D,Einzelbeträge!$C:$C,'Ausgaben 2023'!$C92,Einzelbeträge!$E:$E,'Ausgaben 2023'!E$6)</f>
        <v>0</v>
      </c>
      <c r="F92" s="21">
        <f>SUMIFS(Einzelbeträge!$D:$D,Einzelbeträge!$C:$C,'Ausgaben 2023'!$C92,Einzelbeträge!$E:$E,'Ausgaben 2023'!F$6)</f>
        <v>0</v>
      </c>
      <c r="G92" s="21">
        <f>SUMIFS(Einzelbeträge!$D:$D,Einzelbeträge!$C:$C,'Ausgaben 2023'!$C92,Einzelbeträge!$E:$E,'Ausgaben 2023'!G$6)</f>
        <v>0</v>
      </c>
      <c r="H92" s="21">
        <f>SUMIFS(Einzelbeträge!$D:$D,Einzelbeträge!$C:$C,'Ausgaben 2023'!$C92,Einzelbeträge!$E:$E,'Ausgaben 2023'!H$6)</f>
        <v>0</v>
      </c>
      <c r="I92" s="21">
        <f>SUMIFS(Einzelbeträge!$D:$D,Einzelbeträge!$C:$C,'Ausgaben 2023'!$C92,Einzelbeträge!$E:$E,'Ausgaben 2023'!I$6)</f>
        <v>0</v>
      </c>
      <c r="J92" s="21">
        <f>SUMIFS(Einzelbeträge!$D:$D,Einzelbeträge!$C:$C,'Ausgaben 2023'!$C92,Einzelbeträge!$E:$E,'Ausgaben 2023'!J$6)</f>
        <v>0</v>
      </c>
      <c r="K92" s="21">
        <f>SUMIFS(Einzelbeträge!$D:$D,Einzelbeträge!$C:$C,'Ausgaben 2023'!$C92,Einzelbeträge!$E:$E,'Ausgaben 2023'!K$6)</f>
        <v>0</v>
      </c>
      <c r="L92" s="21">
        <f>SUMIFS(Einzelbeträge!$D:$D,Einzelbeträge!$C:$C,'Ausgaben 2023'!$C92,Einzelbeträge!$E:$E,'Ausgaben 2023'!L$6)</f>
        <v>0</v>
      </c>
      <c r="M92" s="21">
        <f>SUMIFS(Einzelbeträge!$D:$D,Einzelbeträge!$C:$C,'Ausgaben 2023'!$C92,Einzelbeträge!$E:$E,'Ausgaben 2023'!M$6)</f>
        <v>0</v>
      </c>
      <c r="N92" s="35">
        <f>SUMIFS(Einzelbeträge!$D:$D,Einzelbeträge!$C:$C,'Ausgaben 2023'!$C92,Einzelbeträge!$E:$E,'Ausgaben 2023'!N$6)</f>
        <v>0</v>
      </c>
      <c r="O92" s="6"/>
    </row>
    <row r="93" spans="2:15" x14ac:dyDescent="0.35">
      <c r="B93" s="5"/>
      <c r="C93" s="40">
        <f t="shared" si="18"/>
        <v>45006</v>
      </c>
      <c r="D93" s="46">
        <f>SUMIFS(Einzelbeträge!$D:$D,Einzelbeträge!$C:$C,'Ausgaben 2023'!$C93)</f>
        <v>0</v>
      </c>
      <c r="E93" s="34">
        <f>SUMIFS(Einzelbeträge!$D:$D,Einzelbeträge!$C:$C,'Ausgaben 2023'!$C93,Einzelbeträge!$E:$E,'Ausgaben 2023'!E$6)</f>
        <v>0</v>
      </c>
      <c r="F93" s="21">
        <f>SUMIFS(Einzelbeträge!$D:$D,Einzelbeträge!$C:$C,'Ausgaben 2023'!$C93,Einzelbeträge!$E:$E,'Ausgaben 2023'!F$6)</f>
        <v>0</v>
      </c>
      <c r="G93" s="21">
        <f>SUMIFS(Einzelbeträge!$D:$D,Einzelbeträge!$C:$C,'Ausgaben 2023'!$C93,Einzelbeträge!$E:$E,'Ausgaben 2023'!G$6)</f>
        <v>0</v>
      </c>
      <c r="H93" s="21">
        <f>SUMIFS(Einzelbeträge!$D:$D,Einzelbeträge!$C:$C,'Ausgaben 2023'!$C93,Einzelbeträge!$E:$E,'Ausgaben 2023'!H$6)</f>
        <v>0</v>
      </c>
      <c r="I93" s="21">
        <f>SUMIFS(Einzelbeträge!$D:$D,Einzelbeträge!$C:$C,'Ausgaben 2023'!$C93,Einzelbeträge!$E:$E,'Ausgaben 2023'!I$6)</f>
        <v>0</v>
      </c>
      <c r="J93" s="21">
        <f>SUMIFS(Einzelbeträge!$D:$D,Einzelbeträge!$C:$C,'Ausgaben 2023'!$C93,Einzelbeträge!$E:$E,'Ausgaben 2023'!J$6)</f>
        <v>0</v>
      </c>
      <c r="K93" s="21">
        <f>SUMIFS(Einzelbeträge!$D:$D,Einzelbeträge!$C:$C,'Ausgaben 2023'!$C93,Einzelbeträge!$E:$E,'Ausgaben 2023'!K$6)</f>
        <v>0</v>
      </c>
      <c r="L93" s="21">
        <f>SUMIFS(Einzelbeträge!$D:$D,Einzelbeträge!$C:$C,'Ausgaben 2023'!$C93,Einzelbeträge!$E:$E,'Ausgaben 2023'!L$6)</f>
        <v>0</v>
      </c>
      <c r="M93" s="21">
        <f>SUMIFS(Einzelbeträge!$D:$D,Einzelbeträge!$C:$C,'Ausgaben 2023'!$C93,Einzelbeträge!$E:$E,'Ausgaben 2023'!M$6)</f>
        <v>0</v>
      </c>
      <c r="N93" s="35">
        <f>SUMIFS(Einzelbeträge!$D:$D,Einzelbeträge!$C:$C,'Ausgaben 2023'!$C93,Einzelbeträge!$E:$E,'Ausgaben 2023'!N$6)</f>
        <v>0</v>
      </c>
      <c r="O93" s="6"/>
    </row>
    <row r="94" spans="2:15" x14ac:dyDescent="0.35">
      <c r="B94" s="5"/>
      <c r="C94" s="40">
        <f t="shared" si="18"/>
        <v>45007</v>
      </c>
      <c r="D94" s="46">
        <f>SUMIFS(Einzelbeträge!$D:$D,Einzelbeträge!$C:$C,'Ausgaben 2023'!$C94)</f>
        <v>0</v>
      </c>
      <c r="E94" s="34">
        <f>SUMIFS(Einzelbeträge!$D:$D,Einzelbeträge!$C:$C,'Ausgaben 2023'!$C94,Einzelbeträge!$E:$E,'Ausgaben 2023'!E$6)</f>
        <v>0</v>
      </c>
      <c r="F94" s="21">
        <f>SUMIFS(Einzelbeträge!$D:$D,Einzelbeträge!$C:$C,'Ausgaben 2023'!$C94,Einzelbeträge!$E:$E,'Ausgaben 2023'!F$6)</f>
        <v>0</v>
      </c>
      <c r="G94" s="21">
        <f>SUMIFS(Einzelbeträge!$D:$D,Einzelbeträge!$C:$C,'Ausgaben 2023'!$C94,Einzelbeträge!$E:$E,'Ausgaben 2023'!G$6)</f>
        <v>0</v>
      </c>
      <c r="H94" s="21">
        <f>SUMIFS(Einzelbeträge!$D:$D,Einzelbeträge!$C:$C,'Ausgaben 2023'!$C94,Einzelbeträge!$E:$E,'Ausgaben 2023'!H$6)</f>
        <v>0</v>
      </c>
      <c r="I94" s="21">
        <f>SUMIFS(Einzelbeträge!$D:$D,Einzelbeträge!$C:$C,'Ausgaben 2023'!$C94,Einzelbeträge!$E:$E,'Ausgaben 2023'!I$6)</f>
        <v>0</v>
      </c>
      <c r="J94" s="21">
        <f>SUMIFS(Einzelbeträge!$D:$D,Einzelbeträge!$C:$C,'Ausgaben 2023'!$C94,Einzelbeträge!$E:$E,'Ausgaben 2023'!J$6)</f>
        <v>0</v>
      </c>
      <c r="K94" s="21">
        <f>SUMIFS(Einzelbeträge!$D:$D,Einzelbeträge!$C:$C,'Ausgaben 2023'!$C94,Einzelbeträge!$E:$E,'Ausgaben 2023'!K$6)</f>
        <v>0</v>
      </c>
      <c r="L94" s="21">
        <f>SUMIFS(Einzelbeträge!$D:$D,Einzelbeträge!$C:$C,'Ausgaben 2023'!$C94,Einzelbeträge!$E:$E,'Ausgaben 2023'!L$6)</f>
        <v>0</v>
      </c>
      <c r="M94" s="21">
        <f>SUMIFS(Einzelbeträge!$D:$D,Einzelbeträge!$C:$C,'Ausgaben 2023'!$C94,Einzelbeträge!$E:$E,'Ausgaben 2023'!M$6)</f>
        <v>0</v>
      </c>
      <c r="N94" s="35">
        <f>SUMIFS(Einzelbeträge!$D:$D,Einzelbeträge!$C:$C,'Ausgaben 2023'!$C94,Einzelbeträge!$E:$E,'Ausgaben 2023'!N$6)</f>
        <v>0</v>
      </c>
      <c r="O94" s="6"/>
    </row>
    <row r="95" spans="2:15" x14ac:dyDescent="0.35">
      <c r="B95" s="5"/>
      <c r="C95" s="40">
        <f t="shared" si="18"/>
        <v>45008</v>
      </c>
      <c r="D95" s="46">
        <f>SUMIFS(Einzelbeträge!$D:$D,Einzelbeträge!$C:$C,'Ausgaben 2023'!$C95)</f>
        <v>0</v>
      </c>
      <c r="E95" s="34">
        <f>SUMIFS(Einzelbeträge!$D:$D,Einzelbeträge!$C:$C,'Ausgaben 2023'!$C95,Einzelbeträge!$E:$E,'Ausgaben 2023'!E$6)</f>
        <v>0</v>
      </c>
      <c r="F95" s="21">
        <f>SUMIFS(Einzelbeträge!$D:$D,Einzelbeträge!$C:$C,'Ausgaben 2023'!$C95,Einzelbeträge!$E:$E,'Ausgaben 2023'!F$6)</f>
        <v>0</v>
      </c>
      <c r="G95" s="21">
        <f>SUMIFS(Einzelbeträge!$D:$D,Einzelbeträge!$C:$C,'Ausgaben 2023'!$C95,Einzelbeträge!$E:$E,'Ausgaben 2023'!G$6)</f>
        <v>0</v>
      </c>
      <c r="H95" s="21">
        <f>SUMIFS(Einzelbeträge!$D:$D,Einzelbeträge!$C:$C,'Ausgaben 2023'!$C95,Einzelbeträge!$E:$E,'Ausgaben 2023'!H$6)</f>
        <v>0</v>
      </c>
      <c r="I95" s="21">
        <f>SUMIFS(Einzelbeträge!$D:$D,Einzelbeträge!$C:$C,'Ausgaben 2023'!$C95,Einzelbeträge!$E:$E,'Ausgaben 2023'!I$6)</f>
        <v>0</v>
      </c>
      <c r="J95" s="21">
        <f>SUMIFS(Einzelbeträge!$D:$D,Einzelbeträge!$C:$C,'Ausgaben 2023'!$C95,Einzelbeträge!$E:$E,'Ausgaben 2023'!J$6)</f>
        <v>0</v>
      </c>
      <c r="K95" s="21">
        <f>SUMIFS(Einzelbeträge!$D:$D,Einzelbeträge!$C:$C,'Ausgaben 2023'!$C95,Einzelbeträge!$E:$E,'Ausgaben 2023'!K$6)</f>
        <v>0</v>
      </c>
      <c r="L95" s="21">
        <f>SUMIFS(Einzelbeträge!$D:$D,Einzelbeträge!$C:$C,'Ausgaben 2023'!$C95,Einzelbeträge!$E:$E,'Ausgaben 2023'!L$6)</f>
        <v>0</v>
      </c>
      <c r="M95" s="21">
        <f>SUMIFS(Einzelbeträge!$D:$D,Einzelbeträge!$C:$C,'Ausgaben 2023'!$C95,Einzelbeträge!$E:$E,'Ausgaben 2023'!M$6)</f>
        <v>0</v>
      </c>
      <c r="N95" s="35">
        <f>SUMIFS(Einzelbeträge!$D:$D,Einzelbeträge!$C:$C,'Ausgaben 2023'!$C95,Einzelbeträge!$E:$E,'Ausgaben 2023'!N$6)</f>
        <v>0</v>
      </c>
      <c r="O95" s="6"/>
    </row>
    <row r="96" spans="2:15" x14ac:dyDescent="0.35">
      <c r="B96" s="5"/>
      <c r="C96" s="40">
        <f t="shared" si="18"/>
        <v>45009</v>
      </c>
      <c r="D96" s="46">
        <f>SUMIFS(Einzelbeträge!$D:$D,Einzelbeträge!$C:$C,'Ausgaben 2023'!$C96)</f>
        <v>0</v>
      </c>
      <c r="E96" s="34">
        <f>SUMIFS(Einzelbeträge!$D:$D,Einzelbeträge!$C:$C,'Ausgaben 2023'!$C96,Einzelbeträge!$E:$E,'Ausgaben 2023'!E$6)</f>
        <v>0</v>
      </c>
      <c r="F96" s="21">
        <f>SUMIFS(Einzelbeträge!$D:$D,Einzelbeträge!$C:$C,'Ausgaben 2023'!$C96,Einzelbeträge!$E:$E,'Ausgaben 2023'!F$6)</f>
        <v>0</v>
      </c>
      <c r="G96" s="21">
        <f>SUMIFS(Einzelbeträge!$D:$D,Einzelbeträge!$C:$C,'Ausgaben 2023'!$C96,Einzelbeträge!$E:$E,'Ausgaben 2023'!G$6)</f>
        <v>0</v>
      </c>
      <c r="H96" s="21">
        <f>SUMIFS(Einzelbeträge!$D:$D,Einzelbeträge!$C:$C,'Ausgaben 2023'!$C96,Einzelbeträge!$E:$E,'Ausgaben 2023'!H$6)</f>
        <v>0</v>
      </c>
      <c r="I96" s="21">
        <f>SUMIFS(Einzelbeträge!$D:$D,Einzelbeträge!$C:$C,'Ausgaben 2023'!$C96,Einzelbeträge!$E:$E,'Ausgaben 2023'!I$6)</f>
        <v>0</v>
      </c>
      <c r="J96" s="21">
        <f>SUMIFS(Einzelbeträge!$D:$D,Einzelbeträge!$C:$C,'Ausgaben 2023'!$C96,Einzelbeträge!$E:$E,'Ausgaben 2023'!J$6)</f>
        <v>0</v>
      </c>
      <c r="K96" s="21">
        <f>SUMIFS(Einzelbeträge!$D:$D,Einzelbeträge!$C:$C,'Ausgaben 2023'!$C96,Einzelbeträge!$E:$E,'Ausgaben 2023'!K$6)</f>
        <v>0</v>
      </c>
      <c r="L96" s="21">
        <f>SUMIFS(Einzelbeträge!$D:$D,Einzelbeträge!$C:$C,'Ausgaben 2023'!$C96,Einzelbeträge!$E:$E,'Ausgaben 2023'!L$6)</f>
        <v>0</v>
      </c>
      <c r="M96" s="21">
        <f>SUMIFS(Einzelbeträge!$D:$D,Einzelbeträge!$C:$C,'Ausgaben 2023'!$C96,Einzelbeträge!$E:$E,'Ausgaben 2023'!M$6)</f>
        <v>0</v>
      </c>
      <c r="N96" s="35">
        <f>SUMIFS(Einzelbeträge!$D:$D,Einzelbeträge!$C:$C,'Ausgaben 2023'!$C96,Einzelbeträge!$E:$E,'Ausgaben 2023'!N$6)</f>
        <v>0</v>
      </c>
      <c r="O96" s="6"/>
    </row>
    <row r="97" spans="2:15" x14ac:dyDescent="0.35">
      <c r="B97" s="5"/>
      <c r="C97" s="40">
        <f t="shared" si="18"/>
        <v>45010</v>
      </c>
      <c r="D97" s="46">
        <f>SUMIFS(Einzelbeträge!$D:$D,Einzelbeträge!$C:$C,'Ausgaben 2023'!$C97)</f>
        <v>0</v>
      </c>
      <c r="E97" s="34">
        <f>SUMIFS(Einzelbeträge!$D:$D,Einzelbeträge!$C:$C,'Ausgaben 2023'!$C97,Einzelbeträge!$E:$E,'Ausgaben 2023'!E$6)</f>
        <v>0</v>
      </c>
      <c r="F97" s="21">
        <f>SUMIFS(Einzelbeträge!$D:$D,Einzelbeträge!$C:$C,'Ausgaben 2023'!$C97,Einzelbeträge!$E:$E,'Ausgaben 2023'!F$6)</f>
        <v>0</v>
      </c>
      <c r="G97" s="21">
        <f>SUMIFS(Einzelbeträge!$D:$D,Einzelbeträge!$C:$C,'Ausgaben 2023'!$C97,Einzelbeträge!$E:$E,'Ausgaben 2023'!G$6)</f>
        <v>0</v>
      </c>
      <c r="H97" s="21">
        <f>SUMIFS(Einzelbeträge!$D:$D,Einzelbeträge!$C:$C,'Ausgaben 2023'!$C97,Einzelbeträge!$E:$E,'Ausgaben 2023'!H$6)</f>
        <v>0</v>
      </c>
      <c r="I97" s="21">
        <f>SUMIFS(Einzelbeträge!$D:$D,Einzelbeträge!$C:$C,'Ausgaben 2023'!$C97,Einzelbeträge!$E:$E,'Ausgaben 2023'!I$6)</f>
        <v>0</v>
      </c>
      <c r="J97" s="21">
        <f>SUMIFS(Einzelbeträge!$D:$D,Einzelbeträge!$C:$C,'Ausgaben 2023'!$C97,Einzelbeträge!$E:$E,'Ausgaben 2023'!J$6)</f>
        <v>0</v>
      </c>
      <c r="K97" s="21">
        <f>SUMIFS(Einzelbeträge!$D:$D,Einzelbeträge!$C:$C,'Ausgaben 2023'!$C97,Einzelbeträge!$E:$E,'Ausgaben 2023'!K$6)</f>
        <v>0</v>
      </c>
      <c r="L97" s="21">
        <f>SUMIFS(Einzelbeträge!$D:$D,Einzelbeträge!$C:$C,'Ausgaben 2023'!$C97,Einzelbeträge!$E:$E,'Ausgaben 2023'!L$6)</f>
        <v>0</v>
      </c>
      <c r="M97" s="21">
        <f>SUMIFS(Einzelbeträge!$D:$D,Einzelbeträge!$C:$C,'Ausgaben 2023'!$C97,Einzelbeträge!$E:$E,'Ausgaben 2023'!M$6)</f>
        <v>0</v>
      </c>
      <c r="N97" s="35">
        <f>SUMIFS(Einzelbeträge!$D:$D,Einzelbeträge!$C:$C,'Ausgaben 2023'!$C97,Einzelbeträge!$E:$E,'Ausgaben 2023'!N$6)</f>
        <v>0</v>
      </c>
      <c r="O97" s="6"/>
    </row>
    <row r="98" spans="2:15" x14ac:dyDescent="0.35">
      <c r="B98" s="5"/>
      <c r="C98" s="40">
        <f t="shared" si="18"/>
        <v>45011</v>
      </c>
      <c r="D98" s="46">
        <f>SUMIFS(Einzelbeträge!$D:$D,Einzelbeträge!$C:$C,'Ausgaben 2023'!$C98)</f>
        <v>0</v>
      </c>
      <c r="E98" s="34">
        <f>SUMIFS(Einzelbeträge!$D:$D,Einzelbeträge!$C:$C,'Ausgaben 2023'!$C98,Einzelbeträge!$E:$E,'Ausgaben 2023'!E$6)</f>
        <v>0</v>
      </c>
      <c r="F98" s="21">
        <f>SUMIFS(Einzelbeträge!$D:$D,Einzelbeträge!$C:$C,'Ausgaben 2023'!$C98,Einzelbeträge!$E:$E,'Ausgaben 2023'!F$6)</f>
        <v>0</v>
      </c>
      <c r="G98" s="21">
        <f>SUMIFS(Einzelbeträge!$D:$D,Einzelbeträge!$C:$C,'Ausgaben 2023'!$C98,Einzelbeträge!$E:$E,'Ausgaben 2023'!G$6)</f>
        <v>0</v>
      </c>
      <c r="H98" s="21">
        <f>SUMIFS(Einzelbeträge!$D:$D,Einzelbeträge!$C:$C,'Ausgaben 2023'!$C98,Einzelbeträge!$E:$E,'Ausgaben 2023'!H$6)</f>
        <v>0</v>
      </c>
      <c r="I98" s="21">
        <f>SUMIFS(Einzelbeträge!$D:$D,Einzelbeträge!$C:$C,'Ausgaben 2023'!$C98,Einzelbeträge!$E:$E,'Ausgaben 2023'!I$6)</f>
        <v>0</v>
      </c>
      <c r="J98" s="21">
        <f>SUMIFS(Einzelbeträge!$D:$D,Einzelbeträge!$C:$C,'Ausgaben 2023'!$C98,Einzelbeträge!$E:$E,'Ausgaben 2023'!J$6)</f>
        <v>0</v>
      </c>
      <c r="K98" s="21">
        <f>SUMIFS(Einzelbeträge!$D:$D,Einzelbeträge!$C:$C,'Ausgaben 2023'!$C98,Einzelbeträge!$E:$E,'Ausgaben 2023'!K$6)</f>
        <v>0</v>
      </c>
      <c r="L98" s="21">
        <f>SUMIFS(Einzelbeträge!$D:$D,Einzelbeträge!$C:$C,'Ausgaben 2023'!$C98,Einzelbeträge!$E:$E,'Ausgaben 2023'!L$6)</f>
        <v>0</v>
      </c>
      <c r="M98" s="21">
        <f>SUMIFS(Einzelbeträge!$D:$D,Einzelbeträge!$C:$C,'Ausgaben 2023'!$C98,Einzelbeträge!$E:$E,'Ausgaben 2023'!M$6)</f>
        <v>0</v>
      </c>
      <c r="N98" s="35">
        <f>SUMIFS(Einzelbeträge!$D:$D,Einzelbeträge!$C:$C,'Ausgaben 2023'!$C98,Einzelbeträge!$E:$E,'Ausgaben 2023'!N$6)</f>
        <v>0</v>
      </c>
      <c r="O98" s="6"/>
    </row>
    <row r="99" spans="2:15" x14ac:dyDescent="0.35">
      <c r="B99" s="5"/>
      <c r="C99" s="40">
        <f t="shared" si="18"/>
        <v>45012</v>
      </c>
      <c r="D99" s="46">
        <f>SUMIFS(Einzelbeträge!$D:$D,Einzelbeträge!$C:$C,'Ausgaben 2023'!$C99)</f>
        <v>0</v>
      </c>
      <c r="E99" s="34">
        <f>SUMIFS(Einzelbeträge!$D:$D,Einzelbeträge!$C:$C,'Ausgaben 2023'!$C99,Einzelbeträge!$E:$E,'Ausgaben 2023'!E$6)</f>
        <v>0</v>
      </c>
      <c r="F99" s="21">
        <f>SUMIFS(Einzelbeträge!$D:$D,Einzelbeträge!$C:$C,'Ausgaben 2023'!$C99,Einzelbeträge!$E:$E,'Ausgaben 2023'!F$6)</f>
        <v>0</v>
      </c>
      <c r="G99" s="21">
        <f>SUMIFS(Einzelbeträge!$D:$D,Einzelbeträge!$C:$C,'Ausgaben 2023'!$C99,Einzelbeträge!$E:$E,'Ausgaben 2023'!G$6)</f>
        <v>0</v>
      </c>
      <c r="H99" s="21">
        <f>SUMIFS(Einzelbeträge!$D:$D,Einzelbeträge!$C:$C,'Ausgaben 2023'!$C99,Einzelbeträge!$E:$E,'Ausgaben 2023'!H$6)</f>
        <v>0</v>
      </c>
      <c r="I99" s="21">
        <f>SUMIFS(Einzelbeträge!$D:$D,Einzelbeträge!$C:$C,'Ausgaben 2023'!$C99,Einzelbeträge!$E:$E,'Ausgaben 2023'!I$6)</f>
        <v>0</v>
      </c>
      <c r="J99" s="21">
        <f>SUMIFS(Einzelbeträge!$D:$D,Einzelbeträge!$C:$C,'Ausgaben 2023'!$C99,Einzelbeträge!$E:$E,'Ausgaben 2023'!J$6)</f>
        <v>0</v>
      </c>
      <c r="K99" s="21">
        <f>SUMIFS(Einzelbeträge!$D:$D,Einzelbeträge!$C:$C,'Ausgaben 2023'!$C99,Einzelbeträge!$E:$E,'Ausgaben 2023'!K$6)</f>
        <v>0</v>
      </c>
      <c r="L99" s="21">
        <f>SUMIFS(Einzelbeträge!$D:$D,Einzelbeträge!$C:$C,'Ausgaben 2023'!$C99,Einzelbeträge!$E:$E,'Ausgaben 2023'!L$6)</f>
        <v>0</v>
      </c>
      <c r="M99" s="21">
        <f>SUMIFS(Einzelbeträge!$D:$D,Einzelbeträge!$C:$C,'Ausgaben 2023'!$C99,Einzelbeträge!$E:$E,'Ausgaben 2023'!M$6)</f>
        <v>0</v>
      </c>
      <c r="N99" s="35">
        <f>SUMIFS(Einzelbeträge!$D:$D,Einzelbeträge!$C:$C,'Ausgaben 2023'!$C99,Einzelbeträge!$E:$E,'Ausgaben 2023'!N$6)</f>
        <v>0</v>
      </c>
      <c r="O99" s="6"/>
    </row>
    <row r="100" spans="2:15" x14ac:dyDescent="0.35">
      <c r="B100" s="5"/>
      <c r="C100" s="40">
        <f t="shared" si="18"/>
        <v>45013</v>
      </c>
      <c r="D100" s="46">
        <f>SUMIFS(Einzelbeträge!$D:$D,Einzelbeträge!$C:$C,'Ausgaben 2023'!$C100)</f>
        <v>0</v>
      </c>
      <c r="E100" s="34">
        <f>SUMIFS(Einzelbeträge!$D:$D,Einzelbeträge!$C:$C,'Ausgaben 2023'!$C100,Einzelbeträge!$E:$E,'Ausgaben 2023'!E$6)</f>
        <v>0</v>
      </c>
      <c r="F100" s="21">
        <f>SUMIFS(Einzelbeträge!$D:$D,Einzelbeträge!$C:$C,'Ausgaben 2023'!$C100,Einzelbeträge!$E:$E,'Ausgaben 2023'!F$6)</f>
        <v>0</v>
      </c>
      <c r="G100" s="21">
        <f>SUMIFS(Einzelbeträge!$D:$D,Einzelbeträge!$C:$C,'Ausgaben 2023'!$C100,Einzelbeträge!$E:$E,'Ausgaben 2023'!G$6)</f>
        <v>0</v>
      </c>
      <c r="H100" s="21">
        <f>SUMIFS(Einzelbeträge!$D:$D,Einzelbeträge!$C:$C,'Ausgaben 2023'!$C100,Einzelbeträge!$E:$E,'Ausgaben 2023'!H$6)</f>
        <v>0</v>
      </c>
      <c r="I100" s="21">
        <f>SUMIFS(Einzelbeträge!$D:$D,Einzelbeträge!$C:$C,'Ausgaben 2023'!$C100,Einzelbeträge!$E:$E,'Ausgaben 2023'!I$6)</f>
        <v>0</v>
      </c>
      <c r="J100" s="21">
        <f>SUMIFS(Einzelbeträge!$D:$D,Einzelbeträge!$C:$C,'Ausgaben 2023'!$C100,Einzelbeträge!$E:$E,'Ausgaben 2023'!J$6)</f>
        <v>0</v>
      </c>
      <c r="K100" s="21">
        <f>SUMIFS(Einzelbeträge!$D:$D,Einzelbeträge!$C:$C,'Ausgaben 2023'!$C100,Einzelbeträge!$E:$E,'Ausgaben 2023'!K$6)</f>
        <v>0</v>
      </c>
      <c r="L100" s="21">
        <f>SUMIFS(Einzelbeträge!$D:$D,Einzelbeträge!$C:$C,'Ausgaben 2023'!$C100,Einzelbeträge!$E:$E,'Ausgaben 2023'!L$6)</f>
        <v>0</v>
      </c>
      <c r="M100" s="21">
        <f>SUMIFS(Einzelbeträge!$D:$D,Einzelbeträge!$C:$C,'Ausgaben 2023'!$C100,Einzelbeträge!$E:$E,'Ausgaben 2023'!M$6)</f>
        <v>0</v>
      </c>
      <c r="N100" s="35">
        <f>SUMIFS(Einzelbeträge!$D:$D,Einzelbeträge!$C:$C,'Ausgaben 2023'!$C100,Einzelbeträge!$E:$E,'Ausgaben 2023'!N$6)</f>
        <v>0</v>
      </c>
      <c r="O100" s="6"/>
    </row>
    <row r="101" spans="2:15" x14ac:dyDescent="0.35">
      <c r="B101" s="5"/>
      <c r="C101" s="40">
        <f t="shared" si="18"/>
        <v>45014</v>
      </c>
      <c r="D101" s="46">
        <f>SUMIFS(Einzelbeträge!$D:$D,Einzelbeträge!$C:$C,'Ausgaben 2023'!$C101)</f>
        <v>0</v>
      </c>
      <c r="E101" s="34">
        <f>SUMIFS(Einzelbeträge!$D:$D,Einzelbeträge!$C:$C,'Ausgaben 2023'!$C101,Einzelbeträge!$E:$E,'Ausgaben 2023'!E$6)</f>
        <v>0</v>
      </c>
      <c r="F101" s="21">
        <f>SUMIFS(Einzelbeträge!$D:$D,Einzelbeträge!$C:$C,'Ausgaben 2023'!$C101,Einzelbeträge!$E:$E,'Ausgaben 2023'!F$6)</f>
        <v>0</v>
      </c>
      <c r="G101" s="21">
        <f>SUMIFS(Einzelbeträge!$D:$D,Einzelbeträge!$C:$C,'Ausgaben 2023'!$C101,Einzelbeträge!$E:$E,'Ausgaben 2023'!G$6)</f>
        <v>0</v>
      </c>
      <c r="H101" s="21">
        <f>SUMIFS(Einzelbeträge!$D:$D,Einzelbeträge!$C:$C,'Ausgaben 2023'!$C101,Einzelbeträge!$E:$E,'Ausgaben 2023'!H$6)</f>
        <v>0</v>
      </c>
      <c r="I101" s="21">
        <f>SUMIFS(Einzelbeträge!$D:$D,Einzelbeträge!$C:$C,'Ausgaben 2023'!$C101,Einzelbeträge!$E:$E,'Ausgaben 2023'!I$6)</f>
        <v>0</v>
      </c>
      <c r="J101" s="21">
        <f>SUMIFS(Einzelbeträge!$D:$D,Einzelbeträge!$C:$C,'Ausgaben 2023'!$C101,Einzelbeträge!$E:$E,'Ausgaben 2023'!J$6)</f>
        <v>0</v>
      </c>
      <c r="K101" s="21">
        <f>SUMIFS(Einzelbeträge!$D:$D,Einzelbeträge!$C:$C,'Ausgaben 2023'!$C101,Einzelbeträge!$E:$E,'Ausgaben 2023'!K$6)</f>
        <v>0</v>
      </c>
      <c r="L101" s="21">
        <f>SUMIFS(Einzelbeträge!$D:$D,Einzelbeträge!$C:$C,'Ausgaben 2023'!$C101,Einzelbeträge!$E:$E,'Ausgaben 2023'!L$6)</f>
        <v>0</v>
      </c>
      <c r="M101" s="21">
        <f>SUMIFS(Einzelbeträge!$D:$D,Einzelbeträge!$C:$C,'Ausgaben 2023'!$C101,Einzelbeträge!$E:$E,'Ausgaben 2023'!M$6)</f>
        <v>0</v>
      </c>
      <c r="N101" s="35">
        <f>SUMIFS(Einzelbeträge!$D:$D,Einzelbeträge!$C:$C,'Ausgaben 2023'!$C101,Einzelbeträge!$E:$E,'Ausgaben 2023'!N$6)</f>
        <v>0</v>
      </c>
      <c r="O101" s="6"/>
    </row>
    <row r="102" spans="2:15" x14ac:dyDescent="0.35">
      <c r="B102" s="5"/>
      <c r="C102" s="40">
        <f t="shared" si="18"/>
        <v>45015</v>
      </c>
      <c r="D102" s="46">
        <f>SUMIFS(Einzelbeträge!$D:$D,Einzelbeträge!$C:$C,'Ausgaben 2023'!$C102)</f>
        <v>0</v>
      </c>
      <c r="E102" s="34">
        <f>SUMIFS(Einzelbeträge!$D:$D,Einzelbeträge!$C:$C,'Ausgaben 2023'!$C102,Einzelbeträge!$E:$E,'Ausgaben 2023'!E$6)</f>
        <v>0</v>
      </c>
      <c r="F102" s="21">
        <f>SUMIFS(Einzelbeträge!$D:$D,Einzelbeträge!$C:$C,'Ausgaben 2023'!$C102,Einzelbeträge!$E:$E,'Ausgaben 2023'!F$6)</f>
        <v>0</v>
      </c>
      <c r="G102" s="21">
        <f>SUMIFS(Einzelbeträge!$D:$D,Einzelbeträge!$C:$C,'Ausgaben 2023'!$C102,Einzelbeträge!$E:$E,'Ausgaben 2023'!G$6)</f>
        <v>0</v>
      </c>
      <c r="H102" s="21">
        <f>SUMIFS(Einzelbeträge!$D:$D,Einzelbeträge!$C:$C,'Ausgaben 2023'!$C102,Einzelbeträge!$E:$E,'Ausgaben 2023'!H$6)</f>
        <v>0</v>
      </c>
      <c r="I102" s="21">
        <f>SUMIFS(Einzelbeträge!$D:$D,Einzelbeträge!$C:$C,'Ausgaben 2023'!$C102,Einzelbeträge!$E:$E,'Ausgaben 2023'!I$6)</f>
        <v>0</v>
      </c>
      <c r="J102" s="21">
        <f>SUMIFS(Einzelbeträge!$D:$D,Einzelbeträge!$C:$C,'Ausgaben 2023'!$C102,Einzelbeträge!$E:$E,'Ausgaben 2023'!J$6)</f>
        <v>0</v>
      </c>
      <c r="K102" s="21">
        <f>SUMIFS(Einzelbeträge!$D:$D,Einzelbeträge!$C:$C,'Ausgaben 2023'!$C102,Einzelbeträge!$E:$E,'Ausgaben 2023'!K$6)</f>
        <v>0</v>
      </c>
      <c r="L102" s="21">
        <f>SUMIFS(Einzelbeträge!$D:$D,Einzelbeträge!$C:$C,'Ausgaben 2023'!$C102,Einzelbeträge!$E:$E,'Ausgaben 2023'!L$6)</f>
        <v>0</v>
      </c>
      <c r="M102" s="21">
        <f>SUMIFS(Einzelbeträge!$D:$D,Einzelbeträge!$C:$C,'Ausgaben 2023'!$C102,Einzelbeträge!$E:$E,'Ausgaben 2023'!M$6)</f>
        <v>0</v>
      </c>
      <c r="N102" s="35">
        <f>SUMIFS(Einzelbeträge!$D:$D,Einzelbeträge!$C:$C,'Ausgaben 2023'!$C102,Einzelbeträge!$E:$E,'Ausgaben 2023'!N$6)</f>
        <v>0</v>
      </c>
      <c r="O102" s="6"/>
    </row>
    <row r="103" spans="2:15" x14ac:dyDescent="0.35">
      <c r="B103" s="5"/>
      <c r="C103" s="31">
        <f t="shared" si="18"/>
        <v>45016</v>
      </c>
      <c r="D103" s="47">
        <f>SUMIFS(Einzelbeträge!$D:$D,Einzelbeträge!$C:$C,'Ausgaben 2023'!$C103)</f>
        <v>0</v>
      </c>
      <c r="E103" s="36">
        <f>SUMIFS(Einzelbeträge!$D:$D,Einzelbeträge!$C:$C,'Ausgaben 2023'!$C103,Einzelbeträge!$E:$E,'Ausgaben 2023'!E$6)</f>
        <v>0</v>
      </c>
      <c r="F103" s="37">
        <f>SUMIFS(Einzelbeträge!$D:$D,Einzelbeträge!$C:$C,'Ausgaben 2023'!$C103,Einzelbeträge!$E:$E,'Ausgaben 2023'!F$6)</f>
        <v>0</v>
      </c>
      <c r="G103" s="37">
        <f>SUMIFS(Einzelbeträge!$D:$D,Einzelbeträge!$C:$C,'Ausgaben 2023'!$C103,Einzelbeträge!$E:$E,'Ausgaben 2023'!G$6)</f>
        <v>0</v>
      </c>
      <c r="H103" s="37">
        <f>SUMIFS(Einzelbeträge!$D:$D,Einzelbeträge!$C:$C,'Ausgaben 2023'!$C103,Einzelbeträge!$E:$E,'Ausgaben 2023'!H$6)</f>
        <v>0</v>
      </c>
      <c r="I103" s="37">
        <f>SUMIFS(Einzelbeträge!$D:$D,Einzelbeträge!$C:$C,'Ausgaben 2023'!$C103,Einzelbeträge!$E:$E,'Ausgaben 2023'!I$6)</f>
        <v>0</v>
      </c>
      <c r="J103" s="37">
        <f>SUMIFS(Einzelbeträge!$D:$D,Einzelbeträge!$C:$C,'Ausgaben 2023'!$C103,Einzelbeträge!$E:$E,'Ausgaben 2023'!J$6)</f>
        <v>0</v>
      </c>
      <c r="K103" s="37">
        <f>SUMIFS(Einzelbeträge!$D:$D,Einzelbeträge!$C:$C,'Ausgaben 2023'!$C103,Einzelbeträge!$E:$E,'Ausgaben 2023'!K$6)</f>
        <v>0</v>
      </c>
      <c r="L103" s="37">
        <f>SUMIFS(Einzelbeträge!$D:$D,Einzelbeträge!$C:$C,'Ausgaben 2023'!$C103,Einzelbeträge!$E:$E,'Ausgaben 2023'!L$6)</f>
        <v>0</v>
      </c>
      <c r="M103" s="37">
        <f>SUMIFS(Einzelbeträge!$D:$D,Einzelbeträge!$C:$C,'Ausgaben 2023'!$C103,Einzelbeträge!$E:$E,'Ausgaben 2023'!M$6)</f>
        <v>0</v>
      </c>
      <c r="N103" s="38">
        <f>SUMIFS(Einzelbeträge!$D:$D,Einzelbeträge!$C:$C,'Ausgaben 2023'!$C103,Einzelbeträge!$E:$E,'Ausgaben 2023'!N$6)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45017</v>
      </c>
      <c r="D107" s="45">
        <f>SUMIFS(Einzelbeträge!$D:$D,Einzelbeträge!$C:$C,'Ausgaben 2023'!$C107)</f>
        <v>0</v>
      </c>
      <c r="E107" s="32">
        <f>SUMIFS(Einzelbeträge!$D:$D,Einzelbeträge!$C:$C,'Ausgaben 2023'!$C107,Einzelbeträge!$E:$E,'Ausgaben 2023'!E$6)</f>
        <v>0</v>
      </c>
      <c r="F107" s="32">
        <f>SUMIFS(Einzelbeträge!$D:$D,Einzelbeträge!$C:$C,'Ausgaben 2023'!$C107,Einzelbeträge!$E:$E,'Ausgaben 2023'!F$6)</f>
        <v>0</v>
      </c>
      <c r="G107" s="32">
        <f>SUMIFS(Einzelbeträge!$D:$D,Einzelbeträge!$C:$C,'Ausgaben 2023'!$C107,Einzelbeträge!$E:$E,'Ausgaben 2023'!G$6)</f>
        <v>0</v>
      </c>
      <c r="H107" s="32">
        <f>SUMIFS(Einzelbeträge!$D:$D,Einzelbeträge!$C:$C,'Ausgaben 2023'!$C107,Einzelbeträge!$E:$E,'Ausgaben 2023'!H$6)</f>
        <v>0</v>
      </c>
      <c r="I107" s="32">
        <f>SUMIFS(Einzelbeträge!$D:$D,Einzelbeträge!$C:$C,'Ausgaben 2023'!$C107,Einzelbeträge!$E:$E,'Ausgaben 2023'!I$6)</f>
        <v>0</v>
      </c>
      <c r="J107" s="32">
        <f>SUMIFS(Einzelbeträge!$D:$D,Einzelbeträge!$C:$C,'Ausgaben 2023'!$C107,Einzelbeträge!$E:$E,'Ausgaben 2023'!J$6)</f>
        <v>0</v>
      </c>
      <c r="K107" s="32">
        <f>SUMIFS(Einzelbeträge!$D:$D,Einzelbeträge!$C:$C,'Ausgaben 2023'!$C107,Einzelbeträge!$E:$E,'Ausgaben 2023'!K$6)</f>
        <v>0</v>
      </c>
      <c r="L107" s="32">
        <f>SUMIFS(Einzelbeträge!$D:$D,Einzelbeträge!$C:$C,'Ausgaben 2023'!$C107,Einzelbeträge!$E:$E,'Ausgaben 2023'!L$6)</f>
        <v>0</v>
      </c>
      <c r="M107" s="32">
        <f>SUMIFS(Einzelbeträge!$D:$D,Einzelbeträge!$C:$C,'Ausgaben 2023'!$C107,Einzelbeträge!$E:$E,'Ausgaben 2023'!M$6)</f>
        <v>0</v>
      </c>
      <c r="N107" s="33">
        <f>SUMIFS(Einzelbeträge!$D:$D,Einzelbeträge!$C:$C,'Ausgaben 2023'!$C107,Einzelbeträge!$E:$E,'Ausgaben 2023'!N$6)</f>
        <v>0</v>
      </c>
      <c r="O107" s="6"/>
    </row>
    <row r="108" spans="2:15" x14ac:dyDescent="0.35">
      <c r="B108" s="5"/>
      <c r="C108" s="30">
        <f>C107+1</f>
        <v>45018</v>
      </c>
      <c r="D108" s="46">
        <f>SUMIFS(Einzelbeträge!$D:$D,Einzelbeträge!$C:$C,'Ausgaben 2023'!$C108)</f>
        <v>0</v>
      </c>
      <c r="E108" s="21">
        <f>SUMIFS(Einzelbeträge!$D:$D,Einzelbeträge!$C:$C,'Ausgaben 2023'!$C108,Einzelbeträge!$E:$E,'Ausgaben 2023'!E$6)</f>
        <v>0</v>
      </c>
      <c r="F108" s="21">
        <f>SUMIFS(Einzelbeträge!$D:$D,Einzelbeträge!$C:$C,'Ausgaben 2023'!$C108,Einzelbeträge!$E:$E,'Ausgaben 2023'!F$6)</f>
        <v>0</v>
      </c>
      <c r="G108" s="21">
        <f>SUMIFS(Einzelbeträge!$D:$D,Einzelbeträge!$C:$C,'Ausgaben 2023'!$C108,Einzelbeträge!$E:$E,'Ausgaben 2023'!G$6)</f>
        <v>0</v>
      </c>
      <c r="H108" s="21">
        <f>SUMIFS(Einzelbeträge!$D:$D,Einzelbeträge!$C:$C,'Ausgaben 2023'!$C108,Einzelbeträge!$E:$E,'Ausgaben 2023'!H$6)</f>
        <v>0</v>
      </c>
      <c r="I108" s="21">
        <f>SUMIFS(Einzelbeträge!$D:$D,Einzelbeträge!$C:$C,'Ausgaben 2023'!$C108,Einzelbeträge!$E:$E,'Ausgaben 2023'!I$6)</f>
        <v>0</v>
      </c>
      <c r="J108" s="21">
        <f>SUMIFS(Einzelbeträge!$D:$D,Einzelbeträge!$C:$C,'Ausgaben 2023'!$C108,Einzelbeträge!$E:$E,'Ausgaben 2023'!J$6)</f>
        <v>0</v>
      </c>
      <c r="K108" s="21">
        <f>SUMIFS(Einzelbeträge!$D:$D,Einzelbeträge!$C:$C,'Ausgaben 2023'!$C108,Einzelbeträge!$E:$E,'Ausgaben 2023'!K$6)</f>
        <v>0</v>
      </c>
      <c r="L108" s="21">
        <f>SUMIFS(Einzelbeträge!$D:$D,Einzelbeträge!$C:$C,'Ausgaben 2023'!$C108,Einzelbeträge!$E:$E,'Ausgaben 2023'!L$6)</f>
        <v>0</v>
      </c>
      <c r="M108" s="21">
        <f>SUMIFS(Einzelbeträge!$D:$D,Einzelbeträge!$C:$C,'Ausgaben 2023'!$C108,Einzelbeträge!$E:$E,'Ausgaben 2023'!M$6)</f>
        <v>0</v>
      </c>
      <c r="N108" s="35">
        <f>SUMIFS(Einzelbeträge!$D:$D,Einzelbeträge!$C:$C,'Ausgaben 2023'!$C108,Einzelbeträge!$E:$E,'Ausgaben 2023'!N$6)</f>
        <v>0</v>
      </c>
      <c r="O108" s="6"/>
    </row>
    <row r="109" spans="2:15" x14ac:dyDescent="0.35">
      <c r="B109" s="5"/>
      <c r="C109" s="30">
        <f t="shared" ref="C109:C136" si="19">C108+1</f>
        <v>45019</v>
      </c>
      <c r="D109" s="46">
        <f>SUMIFS(Einzelbeträge!$D:$D,Einzelbeträge!$C:$C,'Ausgaben 2023'!$C109)</f>
        <v>0</v>
      </c>
      <c r="E109" s="21">
        <f>SUMIFS(Einzelbeträge!$D:$D,Einzelbeträge!$C:$C,'Ausgaben 2023'!$C109,Einzelbeträge!$E:$E,'Ausgaben 2023'!E$6)</f>
        <v>0</v>
      </c>
      <c r="F109" s="21">
        <f>SUMIFS(Einzelbeträge!$D:$D,Einzelbeträge!$C:$C,'Ausgaben 2023'!$C109,Einzelbeträge!$E:$E,'Ausgaben 2023'!F$6)</f>
        <v>0</v>
      </c>
      <c r="G109" s="21">
        <f>SUMIFS(Einzelbeträge!$D:$D,Einzelbeträge!$C:$C,'Ausgaben 2023'!$C109,Einzelbeträge!$E:$E,'Ausgaben 2023'!G$6)</f>
        <v>0</v>
      </c>
      <c r="H109" s="21">
        <f>SUMIFS(Einzelbeträge!$D:$D,Einzelbeträge!$C:$C,'Ausgaben 2023'!$C109,Einzelbeträge!$E:$E,'Ausgaben 2023'!H$6)</f>
        <v>0</v>
      </c>
      <c r="I109" s="21">
        <f>SUMIFS(Einzelbeträge!$D:$D,Einzelbeträge!$C:$C,'Ausgaben 2023'!$C109,Einzelbeträge!$E:$E,'Ausgaben 2023'!I$6)</f>
        <v>0</v>
      </c>
      <c r="J109" s="21">
        <f>SUMIFS(Einzelbeträge!$D:$D,Einzelbeträge!$C:$C,'Ausgaben 2023'!$C109,Einzelbeträge!$E:$E,'Ausgaben 2023'!J$6)</f>
        <v>0</v>
      </c>
      <c r="K109" s="21">
        <f>SUMIFS(Einzelbeträge!$D:$D,Einzelbeträge!$C:$C,'Ausgaben 2023'!$C109,Einzelbeträge!$E:$E,'Ausgaben 2023'!K$6)</f>
        <v>0</v>
      </c>
      <c r="L109" s="21">
        <f>SUMIFS(Einzelbeträge!$D:$D,Einzelbeträge!$C:$C,'Ausgaben 2023'!$C109,Einzelbeträge!$E:$E,'Ausgaben 2023'!L$6)</f>
        <v>0</v>
      </c>
      <c r="M109" s="21">
        <f>SUMIFS(Einzelbeträge!$D:$D,Einzelbeträge!$C:$C,'Ausgaben 2023'!$C109,Einzelbeträge!$E:$E,'Ausgaben 2023'!M$6)</f>
        <v>0</v>
      </c>
      <c r="N109" s="35">
        <f>SUMIFS(Einzelbeträge!$D:$D,Einzelbeträge!$C:$C,'Ausgaben 2023'!$C109,Einzelbeträge!$E:$E,'Ausgaben 2023'!N$6)</f>
        <v>0</v>
      </c>
      <c r="O109" s="6"/>
    </row>
    <row r="110" spans="2:15" x14ac:dyDescent="0.35">
      <c r="B110" s="5"/>
      <c r="C110" s="30">
        <f t="shared" si="19"/>
        <v>45020</v>
      </c>
      <c r="D110" s="46">
        <f>SUMIFS(Einzelbeträge!$D:$D,Einzelbeträge!$C:$C,'Ausgaben 2023'!$C110)</f>
        <v>0</v>
      </c>
      <c r="E110" s="21">
        <f>SUMIFS(Einzelbeträge!$D:$D,Einzelbeträge!$C:$C,'Ausgaben 2023'!$C110,Einzelbeträge!$E:$E,'Ausgaben 2023'!E$6)</f>
        <v>0</v>
      </c>
      <c r="F110" s="21">
        <f>SUMIFS(Einzelbeträge!$D:$D,Einzelbeträge!$C:$C,'Ausgaben 2023'!$C110,Einzelbeträge!$E:$E,'Ausgaben 2023'!F$6)</f>
        <v>0</v>
      </c>
      <c r="G110" s="21">
        <f>SUMIFS(Einzelbeträge!$D:$D,Einzelbeträge!$C:$C,'Ausgaben 2023'!$C110,Einzelbeträge!$E:$E,'Ausgaben 2023'!G$6)</f>
        <v>0</v>
      </c>
      <c r="H110" s="21">
        <f>SUMIFS(Einzelbeträge!$D:$D,Einzelbeträge!$C:$C,'Ausgaben 2023'!$C110,Einzelbeträge!$E:$E,'Ausgaben 2023'!H$6)</f>
        <v>0</v>
      </c>
      <c r="I110" s="21">
        <f>SUMIFS(Einzelbeträge!$D:$D,Einzelbeträge!$C:$C,'Ausgaben 2023'!$C110,Einzelbeträge!$E:$E,'Ausgaben 2023'!I$6)</f>
        <v>0</v>
      </c>
      <c r="J110" s="21">
        <f>SUMIFS(Einzelbeträge!$D:$D,Einzelbeträge!$C:$C,'Ausgaben 2023'!$C110,Einzelbeträge!$E:$E,'Ausgaben 2023'!J$6)</f>
        <v>0</v>
      </c>
      <c r="K110" s="21">
        <f>SUMIFS(Einzelbeträge!$D:$D,Einzelbeträge!$C:$C,'Ausgaben 2023'!$C110,Einzelbeträge!$E:$E,'Ausgaben 2023'!K$6)</f>
        <v>0</v>
      </c>
      <c r="L110" s="21">
        <f>SUMIFS(Einzelbeträge!$D:$D,Einzelbeträge!$C:$C,'Ausgaben 2023'!$C110,Einzelbeträge!$E:$E,'Ausgaben 2023'!L$6)</f>
        <v>0</v>
      </c>
      <c r="M110" s="21">
        <f>SUMIFS(Einzelbeträge!$D:$D,Einzelbeträge!$C:$C,'Ausgaben 2023'!$C110,Einzelbeträge!$E:$E,'Ausgaben 2023'!M$6)</f>
        <v>0</v>
      </c>
      <c r="N110" s="35">
        <f>SUMIFS(Einzelbeträge!$D:$D,Einzelbeträge!$C:$C,'Ausgaben 2023'!$C110,Einzelbeträge!$E:$E,'Ausgaben 2023'!N$6)</f>
        <v>0</v>
      </c>
      <c r="O110" s="6"/>
    </row>
    <row r="111" spans="2:15" x14ac:dyDescent="0.35">
      <c r="B111" s="5"/>
      <c r="C111" s="30">
        <f t="shared" si="19"/>
        <v>45021</v>
      </c>
      <c r="D111" s="46">
        <f>SUMIFS(Einzelbeträge!$D:$D,Einzelbeträge!$C:$C,'Ausgaben 2023'!$C111)</f>
        <v>0</v>
      </c>
      <c r="E111" s="21">
        <f>SUMIFS(Einzelbeträge!$D:$D,Einzelbeträge!$C:$C,'Ausgaben 2023'!$C111,Einzelbeträge!$E:$E,'Ausgaben 2023'!E$6)</f>
        <v>0</v>
      </c>
      <c r="F111" s="21">
        <f>SUMIFS(Einzelbeträge!$D:$D,Einzelbeträge!$C:$C,'Ausgaben 2023'!$C111,Einzelbeträge!$E:$E,'Ausgaben 2023'!F$6)</f>
        <v>0</v>
      </c>
      <c r="G111" s="21">
        <f>SUMIFS(Einzelbeträge!$D:$D,Einzelbeträge!$C:$C,'Ausgaben 2023'!$C111,Einzelbeträge!$E:$E,'Ausgaben 2023'!G$6)</f>
        <v>0</v>
      </c>
      <c r="H111" s="21">
        <f>SUMIFS(Einzelbeträge!$D:$D,Einzelbeträge!$C:$C,'Ausgaben 2023'!$C111,Einzelbeträge!$E:$E,'Ausgaben 2023'!H$6)</f>
        <v>0</v>
      </c>
      <c r="I111" s="21">
        <f>SUMIFS(Einzelbeträge!$D:$D,Einzelbeträge!$C:$C,'Ausgaben 2023'!$C111,Einzelbeträge!$E:$E,'Ausgaben 2023'!I$6)</f>
        <v>0</v>
      </c>
      <c r="J111" s="21">
        <f>SUMIFS(Einzelbeträge!$D:$D,Einzelbeträge!$C:$C,'Ausgaben 2023'!$C111,Einzelbeträge!$E:$E,'Ausgaben 2023'!J$6)</f>
        <v>0</v>
      </c>
      <c r="K111" s="21">
        <f>SUMIFS(Einzelbeträge!$D:$D,Einzelbeträge!$C:$C,'Ausgaben 2023'!$C111,Einzelbeträge!$E:$E,'Ausgaben 2023'!K$6)</f>
        <v>0</v>
      </c>
      <c r="L111" s="21">
        <f>SUMIFS(Einzelbeträge!$D:$D,Einzelbeträge!$C:$C,'Ausgaben 2023'!$C111,Einzelbeträge!$E:$E,'Ausgaben 2023'!L$6)</f>
        <v>0</v>
      </c>
      <c r="M111" s="21">
        <f>SUMIFS(Einzelbeträge!$D:$D,Einzelbeträge!$C:$C,'Ausgaben 2023'!$C111,Einzelbeträge!$E:$E,'Ausgaben 2023'!M$6)</f>
        <v>0</v>
      </c>
      <c r="N111" s="35">
        <f>SUMIFS(Einzelbeträge!$D:$D,Einzelbeträge!$C:$C,'Ausgaben 2023'!$C111,Einzelbeträge!$E:$E,'Ausgaben 2023'!N$6)</f>
        <v>0</v>
      </c>
      <c r="O111" s="6"/>
    </row>
    <row r="112" spans="2:15" x14ac:dyDescent="0.35">
      <c r="B112" s="5"/>
      <c r="C112" s="30">
        <f t="shared" si="19"/>
        <v>45022</v>
      </c>
      <c r="D112" s="46">
        <f>SUMIFS(Einzelbeträge!$D:$D,Einzelbeträge!$C:$C,'Ausgaben 2023'!$C112)</f>
        <v>0</v>
      </c>
      <c r="E112" s="21">
        <f>SUMIFS(Einzelbeträge!$D:$D,Einzelbeträge!$C:$C,'Ausgaben 2023'!$C112,Einzelbeträge!$E:$E,'Ausgaben 2023'!E$6)</f>
        <v>0</v>
      </c>
      <c r="F112" s="21">
        <f>SUMIFS(Einzelbeträge!$D:$D,Einzelbeträge!$C:$C,'Ausgaben 2023'!$C112,Einzelbeträge!$E:$E,'Ausgaben 2023'!F$6)</f>
        <v>0</v>
      </c>
      <c r="G112" s="21">
        <f>SUMIFS(Einzelbeträge!$D:$D,Einzelbeträge!$C:$C,'Ausgaben 2023'!$C112,Einzelbeträge!$E:$E,'Ausgaben 2023'!G$6)</f>
        <v>0</v>
      </c>
      <c r="H112" s="21">
        <f>SUMIFS(Einzelbeträge!$D:$D,Einzelbeträge!$C:$C,'Ausgaben 2023'!$C112,Einzelbeträge!$E:$E,'Ausgaben 2023'!H$6)</f>
        <v>0</v>
      </c>
      <c r="I112" s="21">
        <f>SUMIFS(Einzelbeträge!$D:$D,Einzelbeträge!$C:$C,'Ausgaben 2023'!$C112,Einzelbeträge!$E:$E,'Ausgaben 2023'!I$6)</f>
        <v>0</v>
      </c>
      <c r="J112" s="21">
        <f>SUMIFS(Einzelbeträge!$D:$D,Einzelbeträge!$C:$C,'Ausgaben 2023'!$C112,Einzelbeträge!$E:$E,'Ausgaben 2023'!J$6)</f>
        <v>0</v>
      </c>
      <c r="K112" s="21">
        <f>SUMIFS(Einzelbeträge!$D:$D,Einzelbeträge!$C:$C,'Ausgaben 2023'!$C112,Einzelbeträge!$E:$E,'Ausgaben 2023'!K$6)</f>
        <v>0</v>
      </c>
      <c r="L112" s="21">
        <f>SUMIFS(Einzelbeträge!$D:$D,Einzelbeträge!$C:$C,'Ausgaben 2023'!$C112,Einzelbeträge!$E:$E,'Ausgaben 2023'!L$6)</f>
        <v>0</v>
      </c>
      <c r="M112" s="21">
        <f>SUMIFS(Einzelbeträge!$D:$D,Einzelbeträge!$C:$C,'Ausgaben 2023'!$C112,Einzelbeträge!$E:$E,'Ausgaben 2023'!M$6)</f>
        <v>0</v>
      </c>
      <c r="N112" s="35">
        <f>SUMIFS(Einzelbeträge!$D:$D,Einzelbeträge!$C:$C,'Ausgaben 2023'!$C112,Einzelbeträge!$E:$E,'Ausgaben 2023'!N$6)</f>
        <v>0</v>
      </c>
      <c r="O112" s="6"/>
    </row>
    <row r="113" spans="2:15" x14ac:dyDescent="0.35">
      <c r="B113" s="5"/>
      <c r="C113" s="30">
        <f t="shared" si="19"/>
        <v>45023</v>
      </c>
      <c r="D113" s="46">
        <f>SUMIFS(Einzelbeträge!$D:$D,Einzelbeträge!$C:$C,'Ausgaben 2023'!$C113)</f>
        <v>0</v>
      </c>
      <c r="E113" s="21">
        <f>SUMIFS(Einzelbeträge!$D:$D,Einzelbeträge!$C:$C,'Ausgaben 2023'!$C113,Einzelbeträge!$E:$E,'Ausgaben 2023'!E$6)</f>
        <v>0</v>
      </c>
      <c r="F113" s="21">
        <f>SUMIFS(Einzelbeträge!$D:$D,Einzelbeträge!$C:$C,'Ausgaben 2023'!$C113,Einzelbeträge!$E:$E,'Ausgaben 2023'!F$6)</f>
        <v>0</v>
      </c>
      <c r="G113" s="21">
        <f>SUMIFS(Einzelbeträge!$D:$D,Einzelbeträge!$C:$C,'Ausgaben 2023'!$C113,Einzelbeträge!$E:$E,'Ausgaben 2023'!G$6)</f>
        <v>0</v>
      </c>
      <c r="H113" s="21">
        <f>SUMIFS(Einzelbeträge!$D:$D,Einzelbeträge!$C:$C,'Ausgaben 2023'!$C113,Einzelbeträge!$E:$E,'Ausgaben 2023'!H$6)</f>
        <v>0</v>
      </c>
      <c r="I113" s="21">
        <f>SUMIFS(Einzelbeträge!$D:$D,Einzelbeträge!$C:$C,'Ausgaben 2023'!$C113,Einzelbeträge!$E:$E,'Ausgaben 2023'!I$6)</f>
        <v>0</v>
      </c>
      <c r="J113" s="21">
        <f>SUMIFS(Einzelbeträge!$D:$D,Einzelbeträge!$C:$C,'Ausgaben 2023'!$C113,Einzelbeträge!$E:$E,'Ausgaben 2023'!J$6)</f>
        <v>0</v>
      </c>
      <c r="K113" s="21">
        <f>SUMIFS(Einzelbeträge!$D:$D,Einzelbeträge!$C:$C,'Ausgaben 2023'!$C113,Einzelbeträge!$E:$E,'Ausgaben 2023'!K$6)</f>
        <v>0</v>
      </c>
      <c r="L113" s="21">
        <f>SUMIFS(Einzelbeträge!$D:$D,Einzelbeträge!$C:$C,'Ausgaben 2023'!$C113,Einzelbeträge!$E:$E,'Ausgaben 2023'!L$6)</f>
        <v>0</v>
      </c>
      <c r="M113" s="21">
        <f>SUMIFS(Einzelbeträge!$D:$D,Einzelbeträge!$C:$C,'Ausgaben 2023'!$C113,Einzelbeträge!$E:$E,'Ausgaben 2023'!M$6)</f>
        <v>0</v>
      </c>
      <c r="N113" s="35">
        <f>SUMIFS(Einzelbeträge!$D:$D,Einzelbeträge!$C:$C,'Ausgaben 2023'!$C113,Einzelbeträge!$E:$E,'Ausgaben 2023'!N$6)</f>
        <v>0</v>
      </c>
      <c r="O113" s="6"/>
    </row>
    <row r="114" spans="2:15" x14ac:dyDescent="0.35">
      <c r="B114" s="5"/>
      <c r="C114" s="30">
        <f t="shared" si="19"/>
        <v>45024</v>
      </c>
      <c r="D114" s="46">
        <f>SUMIFS(Einzelbeträge!$D:$D,Einzelbeträge!$C:$C,'Ausgaben 2023'!$C114)</f>
        <v>0</v>
      </c>
      <c r="E114" s="21">
        <f>SUMIFS(Einzelbeträge!$D:$D,Einzelbeträge!$C:$C,'Ausgaben 2023'!$C114,Einzelbeträge!$E:$E,'Ausgaben 2023'!E$6)</f>
        <v>0</v>
      </c>
      <c r="F114" s="21">
        <f>SUMIFS(Einzelbeträge!$D:$D,Einzelbeträge!$C:$C,'Ausgaben 2023'!$C114,Einzelbeträge!$E:$E,'Ausgaben 2023'!F$6)</f>
        <v>0</v>
      </c>
      <c r="G114" s="21">
        <f>SUMIFS(Einzelbeträge!$D:$D,Einzelbeträge!$C:$C,'Ausgaben 2023'!$C114,Einzelbeträge!$E:$E,'Ausgaben 2023'!G$6)</f>
        <v>0</v>
      </c>
      <c r="H114" s="21">
        <f>SUMIFS(Einzelbeträge!$D:$D,Einzelbeträge!$C:$C,'Ausgaben 2023'!$C114,Einzelbeträge!$E:$E,'Ausgaben 2023'!H$6)</f>
        <v>0</v>
      </c>
      <c r="I114" s="21">
        <f>SUMIFS(Einzelbeträge!$D:$D,Einzelbeträge!$C:$C,'Ausgaben 2023'!$C114,Einzelbeträge!$E:$E,'Ausgaben 2023'!I$6)</f>
        <v>0</v>
      </c>
      <c r="J114" s="21">
        <f>SUMIFS(Einzelbeträge!$D:$D,Einzelbeträge!$C:$C,'Ausgaben 2023'!$C114,Einzelbeträge!$E:$E,'Ausgaben 2023'!J$6)</f>
        <v>0</v>
      </c>
      <c r="K114" s="21">
        <f>SUMIFS(Einzelbeträge!$D:$D,Einzelbeträge!$C:$C,'Ausgaben 2023'!$C114,Einzelbeträge!$E:$E,'Ausgaben 2023'!K$6)</f>
        <v>0</v>
      </c>
      <c r="L114" s="21">
        <f>SUMIFS(Einzelbeträge!$D:$D,Einzelbeträge!$C:$C,'Ausgaben 2023'!$C114,Einzelbeträge!$E:$E,'Ausgaben 2023'!L$6)</f>
        <v>0</v>
      </c>
      <c r="M114" s="21">
        <f>SUMIFS(Einzelbeträge!$D:$D,Einzelbeträge!$C:$C,'Ausgaben 2023'!$C114,Einzelbeträge!$E:$E,'Ausgaben 2023'!M$6)</f>
        <v>0</v>
      </c>
      <c r="N114" s="35">
        <f>SUMIFS(Einzelbeträge!$D:$D,Einzelbeträge!$C:$C,'Ausgaben 2023'!$C114,Einzelbeträge!$E:$E,'Ausgaben 2023'!N$6)</f>
        <v>0</v>
      </c>
      <c r="O114" s="6"/>
    </row>
    <row r="115" spans="2:15" x14ac:dyDescent="0.35">
      <c r="B115" s="5"/>
      <c r="C115" s="30">
        <f t="shared" si="19"/>
        <v>45025</v>
      </c>
      <c r="D115" s="46">
        <f>SUMIFS(Einzelbeträge!$D:$D,Einzelbeträge!$C:$C,'Ausgaben 2023'!$C115)</f>
        <v>0</v>
      </c>
      <c r="E115" s="21">
        <f>SUMIFS(Einzelbeträge!$D:$D,Einzelbeträge!$C:$C,'Ausgaben 2023'!$C115,Einzelbeträge!$E:$E,'Ausgaben 2023'!E$6)</f>
        <v>0</v>
      </c>
      <c r="F115" s="21">
        <f>SUMIFS(Einzelbeträge!$D:$D,Einzelbeträge!$C:$C,'Ausgaben 2023'!$C115,Einzelbeträge!$E:$E,'Ausgaben 2023'!F$6)</f>
        <v>0</v>
      </c>
      <c r="G115" s="21">
        <f>SUMIFS(Einzelbeträge!$D:$D,Einzelbeträge!$C:$C,'Ausgaben 2023'!$C115,Einzelbeträge!$E:$E,'Ausgaben 2023'!G$6)</f>
        <v>0</v>
      </c>
      <c r="H115" s="21">
        <f>SUMIFS(Einzelbeträge!$D:$D,Einzelbeträge!$C:$C,'Ausgaben 2023'!$C115,Einzelbeträge!$E:$E,'Ausgaben 2023'!H$6)</f>
        <v>0</v>
      </c>
      <c r="I115" s="21">
        <f>SUMIFS(Einzelbeträge!$D:$D,Einzelbeträge!$C:$C,'Ausgaben 2023'!$C115,Einzelbeträge!$E:$E,'Ausgaben 2023'!I$6)</f>
        <v>0</v>
      </c>
      <c r="J115" s="21">
        <f>SUMIFS(Einzelbeträge!$D:$D,Einzelbeträge!$C:$C,'Ausgaben 2023'!$C115,Einzelbeträge!$E:$E,'Ausgaben 2023'!J$6)</f>
        <v>0</v>
      </c>
      <c r="K115" s="21">
        <f>SUMIFS(Einzelbeträge!$D:$D,Einzelbeträge!$C:$C,'Ausgaben 2023'!$C115,Einzelbeträge!$E:$E,'Ausgaben 2023'!K$6)</f>
        <v>0</v>
      </c>
      <c r="L115" s="21">
        <f>SUMIFS(Einzelbeträge!$D:$D,Einzelbeträge!$C:$C,'Ausgaben 2023'!$C115,Einzelbeträge!$E:$E,'Ausgaben 2023'!L$6)</f>
        <v>0</v>
      </c>
      <c r="M115" s="21">
        <f>SUMIFS(Einzelbeträge!$D:$D,Einzelbeträge!$C:$C,'Ausgaben 2023'!$C115,Einzelbeträge!$E:$E,'Ausgaben 2023'!M$6)</f>
        <v>0</v>
      </c>
      <c r="N115" s="35">
        <f>SUMIFS(Einzelbeträge!$D:$D,Einzelbeträge!$C:$C,'Ausgaben 2023'!$C115,Einzelbeträge!$E:$E,'Ausgaben 2023'!N$6)</f>
        <v>0</v>
      </c>
      <c r="O115" s="6"/>
    </row>
    <row r="116" spans="2:15" x14ac:dyDescent="0.35">
      <c r="B116" s="5"/>
      <c r="C116" s="30">
        <f t="shared" si="19"/>
        <v>45026</v>
      </c>
      <c r="D116" s="46">
        <f>SUMIFS(Einzelbeträge!$D:$D,Einzelbeträge!$C:$C,'Ausgaben 2023'!$C116)</f>
        <v>0</v>
      </c>
      <c r="E116" s="21">
        <f>SUMIFS(Einzelbeträge!$D:$D,Einzelbeträge!$C:$C,'Ausgaben 2023'!$C116,Einzelbeträge!$E:$E,'Ausgaben 2023'!E$6)</f>
        <v>0</v>
      </c>
      <c r="F116" s="21">
        <f>SUMIFS(Einzelbeträge!$D:$D,Einzelbeträge!$C:$C,'Ausgaben 2023'!$C116,Einzelbeträge!$E:$E,'Ausgaben 2023'!F$6)</f>
        <v>0</v>
      </c>
      <c r="G116" s="21">
        <f>SUMIFS(Einzelbeträge!$D:$D,Einzelbeträge!$C:$C,'Ausgaben 2023'!$C116,Einzelbeträge!$E:$E,'Ausgaben 2023'!G$6)</f>
        <v>0</v>
      </c>
      <c r="H116" s="21">
        <f>SUMIFS(Einzelbeträge!$D:$D,Einzelbeträge!$C:$C,'Ausgaben 2023'!$C116,Einzelbeträge!$E:$E,'Ausgaben 2023'!H$6)</f>
        <v>0</v>
      </c>
      <c r="I116" s="21">
        <f>SUMIFS(Einzelbeträge!$D:$D,Einzelbeträge!$C:$C,'Ausgaben 2023'!$C116,Einzelbeträge!$E:$E,'Ausgaben 2023'!I$6)</f>
        <v>0</v>
      </c>
      <c r="J116" s="21">
        <f>SUMIFS(Einzelbeträge!$D:$D,Einzelbeträge!$C:$C,'Ausgaben 2023'!$C116,Einzelbeträge!$E:$E,'Ausgaben 2023'!J$6)</f>
        <v>0</v>
      </c>
      <c r="K116" s="21">
        <f>SUMIFS(Einzelbeträge!$D:$D,Einzelbeträge!$C:$C,'Ausgaben 2023'!$C116,Einzelbeträge!$E:$E,'Ausgaben 2023'!K$6)</f>
        <v>0</v>
      </c>
      <c r="L116" s="21">
        <f>SUMIFS(Einzelbeträge!$D:$D,Einzelbeträge!$C:$C,'Ausgaben 2023'!$C116,Einzelbeträge!$E:$E,'Ausgaben 2023'!L$6)</f>
        <v>0</v>
      </c>
      <c r="M116" s="21">
        <f>SUMIFS(Einzelbeträge!$D:$D,Einzelbeträge!$C:$C,'Ausgaben 2023'!$C116,Einzelbeträge!$E:$E,'Ausgaben 2023'!M$6)</f>
        <v>0</v>
      </c>
      <c r="N116" s="35">
        <f>SUMIFS(Einzelbeträge!$D:$D,Einzelbeträge!$C:$C,'Ausgaben 2023'!$C116,Einzelbeträge!$E:$E,'Ausgaben 2023'!N$6)</f>
        <v>0</v>
      </c>
      <c r="O116" s="6"/>
    </row>
    <row r="117" spans="2:15" x14ac:dyDescent="0.35">
      <c r="B117" s="5"/>
      <c r="C117" s="30">
        <f t="shared" si="19"/>
        <v>45027</v>
      </c>
      <c r="D117" s="46">
        <f>SUMIFS(Einzelbeträge!$D:$D,Einzelbeträge!$C:$C,'Ausgaben 2023'!$C117)</f>
        <v>0</v>
      </c>
      <c r="E117" s="21">
        <f>SUMIFS(Einzelbeträge!$D:$D,Einzelbeträge!$C:$C,'Ausgaben 2023'!$C117,Einzelbeträge!$E:$E,'Ausgaben 2023'!E$6)</f>
        <v>0</v>
      </c>
      <c r="F117" s="21">
        <f>SUMIFS(Einzelbeträge!$D:$D,Einzelbeträge!$C:$C,'Ausgaben 2023'!$C117,Einzelbeträge!$E:$E,'Ausgaben 2023'!F$6)</f>
        <v>0</v>
      </c>
      <c r="G117" s="21">
        <f>SUMIFS(Einzelbeträge!$D:$D,Einzelbeträge!$C:$C,'Ausgaben 2023'!$C117,Einzelbeträge!$E:$E,'Ausgaben 2023'!G$6)</f>
        <v>0</v>
      </c>
      <c r="H117" s="21">
        <f>SUMIFS(Einzelbeträge!$D:$D,Einzelbeträge!$C:$C,'Ausgaben 2023'!$C117,Einzelbeträge!$E:$E,'Ausgaben 2023'!H$6)</f>
        <v>0</v>
      </c>
      <c r="I117" s="21">
        <f>SUMIFS(Einzelbeträge!$D:$D,Einzelbeträge!$C:$C,'Ausgaben 2023'!$C117,Einzelbeträge!$E:$E,'Ausgaben 2023'!I$6)</f>
        <v>0</v>
      </c>
      <c r="J117" s="21">
        <f>SUMIFS(Einzelbeträge!$D:$D,Einzelbeträge!$C:$C,'Ausgaben 2023'!$C117,Einzelbeträge!$E:$E,'Ausgaben 2023'!J$6)</f>
        <v>0</v>
      </c>
      <c r="K117" s="21">
        <f>SUMIFS(Einzelbeträge!$D:$D,Einzelbeträge!$C:$C,'Ausgaben 2023'!$C117,Einzelbeträge!$E:$E,'Ausgaben 2023'!K$6)</f>
        <v>0</v>
      </c>
      <c r="L117" s="21">
        <f>SUMIFS(Einzelbeträge!$D:$D,Einzelbeträge!$C:$C,'Ausgaben 2023'!$C117,Einzelbeträge!$E:$E,'Ausgaben 2023'!L$6)</f>
        <v>0</v>
      </c>
      <c r="M117" s="21">
        <f>SUMIFS(Einzelbeträge!$D:$D,Einzelbeträge!$C:$C,'Ausgaben 2023'!$C117,Einzelbeträge!$E:$E,'Ausgaben 2023'!M$6)</f>
        <v>0</v>
      </c>
      <c r="N117" s="35">
        <f>SUMIFS(Einzelbeträge!$D:$D,Einzelbeträge!$C:$C,'Ausgaben 2023'!$C117,Einzelbeträge!$E:$E,'Ausgaben 2023'!N$6)</f>
        <v>0</v>
      </c>
      <c r="O117" s="6"/>
    </row>
    <row r="118" spans="2:15" x14ac:dyDescent="0.35">
      <c r="B118" s="5"/>
      <c r="C118" s="30">
        <f t="shared" si="19"/>
        <v>45028</v>
      </c>
      <c r="D118" s="46">
        <f>SUMIFS(Einzelbeträge!$D:$D,Einzelbeträge!$C:$C,'Ausgaben 2023'!$C118)</f>
        <v>0</v>
      </c>
      <c r="E118" s="21">
        <f>SUMIFS(Einzelbeträge!$D:$D,Einzelbeträge!$C:$C,'Ausgaben 2023'!$C118,Einzelbeträge!$E:$E,'Ausgaben 2023'!E$6)</f>
        <v>0</v>
      </c>
      <c r="F118" s="21">
        <f>SUMIFS(Einzelbeträge!$D:$D,Einzelbeträge!$C:$C,'Ausgaben 2023'!$C118,Einzelbeträge!$E:$E,'Ausgaben 2023'!F$6)</f>
        <v>0</v>
      </c>
      <c r="G118" s="21">
        <f>SUMIFS(Einzelbeträge!$D:$D,Einzelbeträge!$C:$C,'Ausgaben 2023'!$C118,Einzelbeträge!$E:$E,'Ausgaben 2023'!G$6)</f>
        <v>0</v>
      </c>
      <c r="H118" s="21">
        <f>SUMIFS(Einzelbeträge!$D:$D,Einzelbeträge!$C:$C,'Ausgaben 2023'!$C118,Einzelbeträge!$E:$E,'Ausgaben 2023'!H$6)</f>
        <v>0</v>
      </c>
      <c r="I118" s="21">
        <f>SUMIFS(Einzelbeträge!$D:$D,Einzelbeträge!$C:$C,'Ausgaben 2023'!$C118,Einzelbeträge!$E:$E,'Ausgaben 2023'!I$6)</f>
        <v>0</v>
      </c>
      <c r="J118" s="21">
        <f>SUMIFS(Einzelbeträge!$D:$D,Einzelbeträge!$C:$C,'Ausgaben 2023'!$C118,Einzelbeträge!$E:$E,'Ausgaben 2023'!J$6)</f>
        <v>0</v>
      </c>
      <c r="K118" s="21">
        <f>SUMIFS(Einzelbeträge!$D:$D,Einzelbeträge!$C:$C,'Ausgaben 2023'!$C118,Einzelbeträge!$E:$E,'Ausgaben 2023'!K$6)</f>
        <v>0</v>
      </c>
      <c r="L118" s="21">
        <f>SUMIFS(Einzelbeträge!$D:$D,Einzelbeträge!$C:$C,'Ausgaben 2023'!$C118,Einzelbeträge!$E:$E,'Ausgaben 2023'!L$6)</f>
        <v>0</v>
      </c>
      <c r="M118" s="21">
        <f>SUMIFS(Einzelbeträge!$D:$D,Einzelbeträge!$C:$C,'Ausgaben 2023'!$C118,Einzelbeträge!$E:$E,'Ausgaben 2023'!M$6)</f>
        <v>0</v>
      </c>
      <c r="N118" s="35">
        <f>SUMIFS(Einzelbeträge!$D:$D,Einzelbeträge!$C:$C,'Ausgaben 2023'!$C118,Einzelbeträge!$E:$E,'Ausgaben 2023'!N$6)</f>
        <v>0</v>
      </c>
      <c r="O118" s="6"/>
    </row>
    <row r="119" spans="2:15" x14ac:dyDescent="0.35">
      <c r="B119" s="5"/>
      <c r="C119" s="30">
        <f t="shared" si="19"/>
        <v>45029</v>
      </c>
      <c r="D119" s="46">
        <f>SUMIFS(Einzelbeträge!$D:$D,Einzelbeträge!$C:$C,'Ausgaben 2023'!$C119)</f>
        <v>0</v>
      </c>
      <c r="E119" s="21">
        <f>SUMIFS(Einzelbeträge!$D:$D,Einzelbeträge!$C:$C,'Ausgaben 2023'!$C119,Einzelbeträge!$E:$E,'Ausgaben 2023'!E$6)</f>
        <v>0</v>
      </c>
      <c r="F119" s="21">
        <f>SUMIFS(Einzelbeträge!$D:$D,Einzelbeträge!$C:$C,'Ausgaben 2023'!$C119,Einzelbeträge!$E:$E,'Ausgaben 2023'!F$6)</f>
        <v>0</v>
      </c>
      <c r="G119" s="21">
        <f>SUMIFS(Einzelbeträge!$D:$D,Einzelbeträge!$C:$C,'Ausgaben 2023'!$C119,Einzelbeträge!$E:$E,'Ausgaben 2023'!G$6)</f>
        <v>0</v>
      </c>
      <c r="H119" s="21">
        <f>SUMIFS(Einzelbeträge!$D:$D,Einzelbeträge!$C:$C,'Ausgaben 2023'!$C119,Einzelbeträge!$E:$E,'Ausgaben 2023'!H$6)</f>
        <v>0</v>
      </c>
      <c r="I119" s="21">
        <f>SUMIFS(Einzelbeträge!$D:$D,Einzelbeträge!$C:$C,'Ausgaben 2023'!$C119,Einzelbeträge!$E:$E,'Ausgaben 2023'!I$6)</f>
        <v>0</v>
      </c>
      <c r="J119" s="21">
        <f>SUMIFS(Einzelbeträge!$D:$D,Einzelbeträge!$C:$C,'Ausgaben 2023'!$C119,Einzelbeträge!$E:$E,'Ausgaben 2023'!J$6)</f>
        <v>0</v>
      </c>
      <c r="K119" s="21">
        <f>SUMIFS(Einzelbeträge!$D:$D,Einzelbeträge!$C:$C,'Ausgaben 2023'!$C119,Einzelbeträge!$E:$E,'Ausgaben 2023'!K$6)</f>
        <v>0</v>
      </c>
      <c r="L119" s="21">
        <f>SUMIFS(Einzelbeträge!$D:$D,Einzelbeträge!$C:$C,'Ausgaben 2023'!$C119,Einzelbeträge!$E:$E,'Ausgaben 2023'!L$6)</f>
        <v>0</v>
      </c>
      <c r="M119" s="21">
        <f>SUMIFS(Einzelbeträge!$D:$D,Einzelbeträge!$C:$C,'Ausgaben 2023'!$C119,Einzelbeträge!$E:$E,'Ausgaben 2023'!M$6)</f>
        <v>0</v>
      </c>
      <c r="N119" s="35">
        <f>SUMIFS(Einzelbeträge!$D:$D,Einzelbeträge!$C:$C,'Ausgaben 2023'!$C119,Einzelbeträge!$E:$E,'Ausgaben 2023'!N$6)</f>
        <v>0</v>
      </c>
      <c r="O119" s="6"/>
    </row>
    <row r="120" spans="2:15" x14ac:dyDescent="0.35">
      <c r="B120" s="5"/>
      <c r="C120" s="30">
        <f t="shared" si="19"/>
        <v>45030</v>
      </c>
      <c r="D120" s="46">
        <f>SUMIFS(Einzelbeträge!$D:$D,Einzelbeträge!$C:$C,'Ausgaben 2023'!$C120)</f>
        <v>0</v>
      </c>
      <c r="E120" s="21">
        <f>SUMIFS(Einzelbeträge!$D:$D,Einzelbeträge!$C:$C,'Ausgaben 2023'!$C120,Einzelbeträge!$E:$E,'Ausgaben 2023'!E$6)</f>
        <v>0</v>
      </c>
      <c r="F120" s="21">
        <f>SUMIFS(Einzelbeträge!$D:$D,Einzelbeträge!$C:$C,'Ausgaben 2023'!$C120,Einzelbeträge!$E:$E,'Ausgaben 2023'!F$6)</f>
        <v>0</v>
      </c>
      <c r="G120" s="21">
        <f>SUMIFS(Einzelbeträge!$D:$D,Einzelbeträge!$C:$C,'Ausgaben 2023'!$C120,Einzelbeträge!$E:$E,'Ausgaben 2023'!G$6)</f>
        <v>0</v>
      </c>
      <c r="H120" s="21">
        <f>SUMIFS(Einzelbeträge!$D:$D,Einzelbeträge!$C:$C,'Ausgaben 2023'!$C120,Einzelbeträge!$E:$E,'Ausgaben 2023'!H$6)</f>
        <v>0</v>
      </c>
      <c r="I120" s="21">
        <f>SUMIFS(Einzelbeträge!$D:$D,Einzelbeträge!$C:$C,'Ausgaben 2023'!$C120,Einzelbeträge!$E:$E,'Ausgaben 2023'!I$6)</f>
        <v>0</v>
      </c>
      <c r="J120" s="21">
        <f>SUMIFS(Einzelbeträge!$D:$D,Einzelbeträge!$C:$C,'Ausgaben 2023'!$C120,Einzelbeträge!$E:$E,'Ausgaben 2023'!J$6)</f>
        <v>0</v>
      </c>
      <c r="K120" s="21">
        <f>SUMIFS(Einzelbeträge!$D:$D,Einzelbeträge!$C:$C,'Ausgaben 2023'!$C120,Einzelbeträge!$E:$E,'Ausgaben 2023'!K$6)</f>
        <v>0</v>
      </c>
      <c r="L120" s="21">
        <f>SUMIFS(Einzelbeträge!$D:$D,Einzelbeträge!$C:$C,'Ausgaben 2023'!$C120,Einzelbeträge!$E:$E,'Ausgaben 2023'!L$6)</f>
        <v>0</v>
      </c>
      <c r="M120" s="21">
        <f>SUMIFS(Einzelbeträge!$D:$D,Einzelbeträge!$C:$C,'Ausgaben 2023'!$C120,Einzelbeträge!$E:$E,'Ausgaben 2023'!M$6)</f>
        <v>0</v>
      </c>
      <c r="N120" s="35">
        <f>SUMIFS(Einzelbeträge!$D:$D,Einzelbeträge!$C:$C,'Ausgaben 2023'!$C120,Einzelbeträge!$E:$E,'Ausgaben 2023'!N$6)</f>
        <v>0</v>
      </c>
      <c r="O120" s="6"/>
    </row>
    <row r="121" spans="2:15" x14ac:dyDescent="0.35">
      <c r="B121" s="5"/>
      <c r="C121" s="30">
        <f t="shared" si="19"/>
        <v>45031</v>
      </c>
      <c r="D121" s="46">
        <f>SUMIFS(Einzelbeträge!$D:$D,Einzelbeträge!$C:$C,'Ausgaben 2023'!$C121)</f>
        <v>0</v>
      </c>
      <c r="E121" s="21">
        <f>SUMIFS(Einzelbeträge!$D:$D,Einzelbeträge!$C:$C,'Ausgaben 2023'!$C121,Einzelbeträge!$E:$E,'Ausgaben 2023'!E$6)</f>
        <v>0</v>
      </c>
      <c r="F121" s="21">
        <f>SUMIFS(Einzelbeträge!$D:$D,Einzelbeträge!$C:$C,'Ausgaben 2023'!$C121,Einzelbeträge!$E:$E,'Ausgaben 2023'!F$6)</f>
        <v>0</v>
      </c>
      <c r="G121" s="21">
        <f>SUMIFS(Einzelbeträge!$D:$D,Einzelbeträge!$C:$C,'Ausgaben 2023'!$C121,Einzelbeträge!$E:$E,'Ausgaben 2023'!G$6)</f>
        <v>0</v>
      </c>
      <c r="H121" s="21">
        <f>SUMIFS(Einzelbeträge!$D:$D,Einzelbeträge!$C:$C,'Ausgaben 2023'!$C121,Einzelbeträge!$E:$E,'Ausgaben 2023'!H$6)</f>
        <v>0</v>
      </c>
      <c r="I121" s="21">
        <f>SUMIFS(Einzelbeträge!$D:$D,Einzelbeträge!$C:$C,'Ausgaben 2023'!$C121,Einzelbeträge!$E:$E,'Ausgaben 2023'!I$6)</f>
        <v>0</v>
      </c>
      <c r="J121" s="21">
        <f>SUMIFS(Einzelbeträge!$D:$D,Einzelbeträge!$C:$C,'Ausgaben 2023'!$C121,Einzelbeträge!$E:$E,'Ausgaben 2023'!J$6)</f>
        <v>0</v>
      </c>
      <c r="K121" s="21">
        <f>SUMIFS(Einzelbeträge!$D:$D,Einzelbeträge!$C:$C,'Ausgaben 2023'!$C121,Einzelbeträge!$E:$E,'Ausgaben 2023'!K$6)</f>
        <v>0</v>
      </c>
      <c r="L121" s="21">
        <f>SUMIFS(Einzelbeträge!$D:$D,Einzelbeträge!$C:$C,'Ausgaben 2023'!$C121,Einzelbeträge!$E:$E,'Ausgaben 2023'!L$6)</f>
        <v>0</v>
      </c>
      <c r="M121" s="21">
        <f>SUMIFS(Einzelbeträge!$D:$D,Einzelbeträge!$C:$C,'Ausgaben 2023'!$C121,Einzelbeträge!$E:$E,'Ausgaben 2023'!M$6)</f>
        <v>0</v>
      </c>
      <c r="N121" s="35">
        <f>SUMIFS(Einzelbeträge!$D:$D,Einzelbeträge!$C:$C,'Ausgaben 2023'!$C121,Einzelbeträge!$E:$E,'Ausgaben 2023'!N$6)</f>
        <v>0</v>
      </c>
      <c r="O121" s="6"/>
    </row>
    <row r="122" spans="2:15" x14ac:dyDescent="0.35">
      <c r="B122" s="5"/>
      <c r="C122" s="30">
        <f t="shared" si="19"/>
        <v>45032</v>
      </c>
      <c r="D122" s="46">
        <f>SUMIFS(Einzelbeträge!$D:$D,Einzelbeträge!$C:$C,'Ausgaben 2023'!$C122)</f>
        <v>0</v>
      </c>
      <c r="E122" s="21">
        <f>SUMIFS(Einzelbeträge!$D:$D,Einzelbeträge!$C:$C,'Ausgaben 2023'!$C122,Einzelbeträge!$E:$E,'Ausgaben 2023'!E$6)</f>
        <v>0</v>
      </c>
      <c r="F122" s="21">
        <f>SUMIFS(Einzelbeträge!$D:$D,Einzelbeträge!$C:$C,'Ausgaben 2023'!$C122,Einzelbeträge!$E:$E,'Ausgaben 2023'!F$6)</f>
        <v>0</v>
      </c>
      <c r="G122" s="21">
        <f>SUMIFS(Einzelbeträge!$D:$D,Einzelbeträge!$C:$C,'Ausgaben 2023'!$C122,Einzelbeträge!$E:$E,'Ausgaben 2023'!G$6)</f>
        <v>0</v>
      </c>
      <c r="H122" s="21">
        <f>SUMIFS(Einzelbeträge!$D:$D,Einzelbeträge!$C:$C,'Ausgaben 2023'!$C122,Einzelbeträge!$E:$E,'Ausgaben 2023'!H$6)</f>
        <v>0</v>
      </c>
      <c r="I122" s="21">
        <f>SUMIFS(Einzelbeträge!$D:$D,Einzelbeträge!$C:$C,'Ausgaben 2023'!$C122,Einzelbeträge!$E:$E,'Ausgaben 2023'!I$6)</f>
        <v>0</v>
      </c>
      <c r="J122" s="21">
        <f>SUMIFS(Einzelbeträge!$D:$D,Einzelbeträge!$C:$C,'Ausgaben 2023'!$C122,Einzelbeträge!$E:$E,'Ausgaben 2023'!J$6)</f>
        <v>0</v>
      </c>
      <c r="K122" s="21">
        <f>SUMIFS(Einzelbeträge!$D:$D,Einzelbeträge!$C:$C,'Ausgaben 2023'!$C122,Einzelbeträge!$E:$E,'Ausgaben 2023'!K$6)</f>
        <v>0</v>
      </c>
      <c r="L122" s="21">
        <f>SUMIFS(Einzelbeträge!$D:$D,Einzelbeträge!$C:$C,'Ausgaben 2023'!$C122,Einzelbeträge!$E:$E,'Ausgaben 2023'!L$6)</f>
        <v>0</v>
      </c>
      <c r="M122" s="21">
        <f>SUMIFS(Einzelbeträge!$D:$D,Einzelbeträge!$C:$C,'Ausgaben 2023'!$C122,Einzelbeträge!$E:$E,'Ausgaben 2023'!M$6)</f>
        <v>0</v>
      </c>
      <c r="N122" s="35">
        <f>SUMIFS(Einzelbeträge!$D:$D,Einzelbeträge!$C:$C,'Ausgaben 2023'!$C122,Einzelbeträge!$E:$E,'Ausgaben 2023'!N$6)</f>
        <v>0</v>
      </c>
      <c r="O122" s="6"/>
    </row>
    <row r="123" spans="2:15" x14ac:dyDescent="0.35">
      <c r="B123" s="5"/>
      <c r="C123" s="30">
        <f t="shared" si="19"/>
        <v>45033</v>
      </c>
      <c r="D123" s="46">
        <f>SUMIFS(Einzelbeträge!$D:$D,Einzelbeträge!$C:$C,'Ausgaben 2023'!$C123)</f>
        <v>0</v>
      </c>
      <c r="E123" s="21">
        <f>SUMIFS(Einzelbeträge!$D:$D,Einzelbeträge!$C:$C,'Ausgaben 2023'!$C123,Einzelbeträge!$E:$E,'Ausgaben 2023'!E$6)</f>
        <v>0</v>
      </c>
      <c r="F123" s="21">
        <f>SUMIFS(Einzelbeträge!$D:$D,Einzelbeträge!$C:$C,'Ausgaben 2023'!$C123,Einzelbeträge!$E:$E,'Ausgaben 2023'!F$6)</f>
        <v>0</v>
      </c>
      <c r="G123" s="21">
        <f>SUMIFS(Einzelbeträge!$D:$D,Einzelbeträge!$C:$C,'Ausgaben 2023'!$C123,Einzelbeträge!$E:$E,'Ausgaben 2023'!G$6)</f>
        <v>0</v>
      </c>
      <c r="H123" s="21">
        <f>SUMIFS(Einzelbeträge!$D:$D,Einzelbeträge!$C:$C,'Ausgaben 2023'!$C123,Einzelbeträge!$E:$E,'Ausgaben 2023'!H$6)</f>
        <v>0</v>
      </c>
      <c r="I123" s="21">
        <f>SUMIFS(Einzelbeträge!$D:$D,Einzelbeträge!$C:$C,'Ausgaben 2023'!$C123,Einzelbeträge!$E:$E,'Ausgaben 2023'!I$6)</f>
        <v>0</v>
      </c>
      <c r="J123" s="21">
        <f>SUMIFS(Einzelbeträge!$D:$D,Einzelbeträge!$C:$C,'Ausgaben 2023'!$C123,Einzelbeträge!$E:$E,'Ausgaben 2023'!J$6)</f>
        <v>0</v>
      </c>
      <c r="K123" s="21">
        <f>SUMIFS(Einzelbeträge!$D:$D,Einzelbeträge!$C:$C,'Ausgaben 2023'!$C123,Einzelbeträge!$E:$E,'Ausgaben 2023'!K$6)</f>
        <v>0</v>
      </c>
      <c r="L123" s="21">
        <f>SUMIFS(Einzelbeträge!$D:$D,Einzelbeträge!$C:$C,'Ausgaben 2023'!$C123,Einzelbeträge!$E:$E,'Ausgaben 2023'!L$6)</f>
        <v>0</v>
      </c>
      <c r="M123" s="21">
        <f>SUMIFS(Einzelbeträge!$D:$D,Einzelbeträge!$C:$C,'Ausgaben 2023'!$C123,Einzelbeträge!$E:$E,'Ausgaben 2023'!M$6)</f>
        <v>0</v>
      </c>
      <c r="N123" s="35">
        <f>SUMIFS(Einzelbeträge!$D:$D,Einzelbeträge!$C:$C,'Ausgaben 2023'!$C123,Einzelbeträge!$E:$E,'Ausgaben 2023'!N$6)</f>
        <v>0</v>
      </c>
      <c r="O123" s="6"/>
    </row>
    <row r="124" spans="2:15" x14ac:dyDescent="0.35">
      <c r="B124" s="5"/>
      <c r="C124" s="30">
        <f t="shared" si="19"/>
        <v>45034</v>
      </c>
      <c r="D124" s="46">
        <f>SUMIFS(Einzelbeträge!$D:$D,Einzelbeträge!$C:$C,'Ausgaben 2023'!$C124)</f>
        <v>0</v>
      </c>
      <c r="E124" s="21">
        <f>SUMIFS(Einzelbeträge!$D:$D,Einzelbeträge!$C:$C,'Ausgaben 2023'!$C124,Einzelbeträge!$E:$E,'Ausgaben 2023'!E$6)</f>
        <v>0</v>
      </c>
      <c r="F124" s="21">
        <f>SUMIFS(Einzelbeträge!$D:$D,Einzelbeträge!$C:$C,'Ausgaben 2023'!$C124,Einzelbeträge!$E:$E,'Ausgaben 2023'!F$6)</f>
        <v>0</v>
      </c>
      <c r="G124" s="21">
        <f>SUMIFS(Einzelbeträge!$D:$D,Einzelbeträge!$C:$C,'Ausgaben 2023'!$C124,Einzelbeträge!$E:$E,'Ausgaben 2023'!G$6)</f>
        <v>0</v>
      </c>
      <c r="H124" s="21">
        <f>SUMIFS(Einzelbeträge!$D:$D,Einzelbeträge!$C:$C,'Ausgaben 2023'!$C124,Einzelbeträge!$E:$E,'Ausgaben 2023'!H$6)</f>
        <v>0</v>
      </c>
      <c r="I124" s="21">
        <f>SUMIFS(Einzelbeträge!$D:$D,Einzelbeträge!$C:$C,'Ausgaben 2023'!$C124,Einzelbeträge!$E:$E,'Ausgaben 2023'!I$6)</f>
        <v>0</v>
      </c>
      <c r="J124" s="21">
        <f>SUMIFS(Einzelbeträge!$D:$D,Einzelbeträge!$C:$C,'Ausgaben 2023'!$C124,Einzelbeträge!$E:$E,'Ausgaben 2023'!J$6)</f>
        <v>0</v>
      </c>
      <c r="K124" s="21">
        <f>SUMIFS(Einzelbeträge!$D:$D,Einzelbeträge!$C:$C,'Ausgaben 2023'!$C124,Einzelbeträge!$E:$E,'Ausgaben 2023'!K$6)</f>
        <v>0</v>
      </c>
      <c r="L124" s="21">
        <f>SUMIFS(Einzelbeträge!$D:$D,Einzelbeträge!$C:$C,'Ausgaben 2023'!$C124,Einzelbeträge!$E:$E,'Ausgaben 2023'!L$6)</f>
        <v>0</v>
      </c>
      <c r="M124" s="21">
        <f>SUMIFS(Einzelbeträge!$D:$D,Einzelbeträge!$C:$C,'Ausgaben 2023'!$C124,Einzelbeträge!$E:$E,'Ausgaben 2023'!M$6)</f>
        <v>0</v>
      </c>
      <c r="N124" s="35">
        <f>SUMIFS(Einzelbeträge!$D:$D,Einzelbeträge!$C:$C,'Ausgaben 2023'!$C124,Einzelbeträge!$E:$E,'Ausgaben 2023'!N$6)</f>
        <v>0</v>
      </c>
      <c r="O124" s="6"/>
    </row>
    <row r="125" spans="2:15" x14ac:dyDescent="0.35">
      <c r="B125" s="5"/>
      <c r="C125" s="30">
        <f t="shared" si="19"/>
        <v>45035</v>
      </c>
      <c r="D125" s="46">
        <f>SUMIFS(Einzelbeträge!$D:$D,Einzelbeträge!$C:$C,'Ausgaben 2023'!$C125)</f>
        <v>0</v>
      </c>
      <c r="E125" s="21">
        <f>SUMIFS(Einzelbeträge!$D:$D,Einzelbeträge!$C:$C,'Ausgaben 2023'!$C125,Einzelbeträge!$E:$E,'Ausgaben 2023'!E$6)</f>
        <v>0</v>
      </c>
      <c r="F125" s="21">
        <f>SUMIFS(Einzelbeträge!$D:$D,Einzelbeträge!$C:$C,'Ausgaben 2023'!$C125,Einzelbeträge!$E:$E,'Ausgaben 2023'!F$6)</f>
        <v>0</v>
      </c>
      <c r="G125" s="21">
        <f>SUMIFS(Einzelbeträge!$D:$D,Einzelbeträge!$C:$C,'Ausgaben 2023'!$C125,Einzelbeträge!$E:$E,'Ausgaben 2023'!G$6)</f>
        <v>0</v>
      </c>
      <c r="H125" s="21">
        <f>SUMIFS(Einzelbeträge!$D:$D,Einzelbeträge!$C:$C,'Ausgaben 2023'!$C125,Einzelbeträge!$E:$E,'Ausgaben 2023'!H$6)</f>
        <v>0</v>
      </c>
      <c r="I125" s="21">
        <f>SUMIFS(Einzelbeträge!$D:$D,Einzelbeträge!$C:$C,'Ausgaben 2023'!$C125,Einzelbeträge!$E:$E,'Ausgaben 2023'!I$6)</f>
        <v>0</v>
      </c>
      <c r="J125" s="21">
        <f>SUMIFS(Einzelbeträge!$D:$D,Einzelbeträge!$C:$C,'Ausgaben 2023'!$C125,Einzelbeträge!$E:$E,'Ausgaben 2023'!J$6)</f>
        <v>0</v>
      </c>
      <c r="K125" s="21">
        <f>SUMIFS(Einzelbeträge!$D:$D,Einzelbeträge!$C:$C,'Ausgaben 2023'!$C125,Einzelbeträge!$E:$E,'Ausgaben 2023'!K$6)</f>
        <v>0</v>
      </c>
      <c r="L125" s="21">
        <f>SUMIFS(Einzelbeträge!$D:$D,Einzelbeträge!$C:$C,'Ausgaben 2023'!$C125,Einzelbeträge!$E:$E,'Ausgaben 2023'!L$6)</f>
        <v>0</v>
      </c>
      <c r="M125" s="21">
        <f>SUMIFS(Einzelbeträge!$D:$D,Einzelbeträge!$C:$C,'Ausgaben 2023'!$C125,Einzelbeträge!$E:$E,'Ausgaben 2023'!M$6)</f>
        <v>0</v>
      </c>
      <c r="N125" s="35">
        <f>SUMIFS(Einzelbeträge!$D:$D,Einzelbeträge!$C:$C,'Ausgaben 2023'!$C125,Einzelbeträge!$E:$E,'Ausgaben 2023'!N$6)</f>
        <v>0</v>
      </c>
      <c r="O125" s="6"/>
    </row>
    <row r="126" spans="2:15" x14ac:dyDescent="0.35">
      <c r="B126" s="5"/>
      <c r="C126" s="30">
        <f t="shared" si="19"/>
        <v>45036</v>
      </c>
      <c r="D126" s="46">
        <f>SUMIFS(Einzelbeträge!$D:$D,Einzelbeträge!$C:$C,'Ausgaben 2023'!$C126)</f>
        <v>0</v>
      </c>
      <c r="E126" s="21">
        <f>SUMIFS(Einzelbeträge!$D:$D,Einzelbeträge!$C:$C,'Ausgaben 2023'!$C126,Einzelbeträge!$E:$E,'Ausgaben 2023'!E$6)</f>
        <v>0</v>
      </c>
      <c r="F126" s="21">
        <f>SUMIFS(Einzelbeträge!$D:$D,Einzelbeträge!$C:$C,'Ausgaben 2023'!$C126,Einzelbeträge!$E:$E,'Ausgaben 2023'!F$6)</f>
        <v>0</v>
      </c>
      <c r="G126" s="21">
        <f>SUMIFS(Einzelbeträge!$D:$D,Einzelbeträge!$C:$C,'Ausgaben 2023'!$C126,Einzelbeträge!$E:$E,'Ausgaben 2023'!G$6)</f>
        <v>0</v>
      </c>
      <c r="H126" s="21">
        <f>SUMIFS(Einzelbeträge!$D:$D,Einzelbeträge!$C:$C,'Ausgaben 2023'!$C126,Einzelbeträge!$E:$E,'Ausgaben 2023'!H$6)</f>
        <v>0</v>
      </c>
      <c r="I126" s="21">
        <f>SUMIFS(Einzelbeträge!$D:$D,Einzelbeträge!$C:$C,'Ausgaben 2023'!$C126,Einzelbeträge!$E:$E,'Ausgaben 2023'!I$6)</f>
        <v>0</v>
      </c>
      <c r="J126" s="21">
        <f>SUMIFS(Einzelbeträge!$D:$D,Einzelbeträge!$C:$C,'Ausgaben 2023'!$C126,Einzelbeträge!$E:$E,'Ausgaben 2023'!J$6)</f>
        <v>0</v>
      </c>
      <c r="K126" s="21">
        <f>SUMIFS(Einzelbeträge!$D:$D,Einzelbeträge!$C:$C,'Ausgaben 2023'!$C126,Einzelbeträge!$E:$E,'Ausgaben 2023'!K$6)</f>
        <v>0</v>
      </c>
      <c r="L126" s="21">
        <f>SUMIFS(Einzelbeträge!$D:$D,Einzelbeträge!$C:$C,'Ausgaben 2023'!$C126,Einzelbeträge!$E:$E,'Ausgaben 2023'!L$6)</f>
        <v>0</v>
      </c>
      <c r="M126" s="21">
        <f>SUMIFS(Einzelbeträge!$D:$D,Einzelbeträge!$C:$C,'Ausgaben 2023'!$C126,Einzelbeträge!$E:$E,'Ausgaben 2023'!M$6)</f>
        <v>0</v>
      </c>
      <c r="N126" s="35">
        <f>SUMIFS(Einzelbeträge!$D:$D,Einzelbeträge!$C:$C,'Ausgaben 2023'!$C126,Einzelbeträge!$E:$E,'Ausgaben 2023'!N$6)</f>
        <v>0</v>
      </c>
      <c r="O126" s="6"/>
    </row>
    <row r="127" spans="2:15" x14ac:dyDescent="0.35">
      <c r="B127" s="5"/>
      <c r="C127" s="30">
        <f t="shared" si="19"/>
        <v>45037</v>
      </c>
      <c r="D127" s="46">
        <f>SUMIFS(Einzelbeträge!$D:$D,Einzelbeträge!$C:$C,'Ausgaben 2023'!$C127)</f>
        <v>0</v>
      </c>
      <c r="E127" s="21">
        <f>SUMIFS(Einzelbeträge!$D:$D,Einzelbeträge!$C:$C,'Ausgaben 2023'!$C127,Einzelbeträge!$E:$E,'Ausgaben 2023'!E$6)</f>
        <v>0</v>
      </c>
      <c r="F127" s="21">
        <f>SUMIFS(Einzelbeträge!$D:$D,Einzelbeträge!$C:$C,'Ausgaben 2023'!$C127,Einzelbeträge!$E:$E,'Ausgaben 2023'!F$6)</f>
        <v>0</v>
      </c>
      <c r="G127" s="21">
        <f>SUMIFS(Einzelbeträge!$D:$D,Einzelbeträge!$C:$C,'Ausgaben 2023'!$C127,Einzelbeträge!$E:$E,'Ausgaben 2023'!G$6)</f>
        <v>0</v>
      </c>
      <c r="H127" s="21">
        <f>SUMIFS(Einzelbeträge!$D:$D,Einzelbeträge!$C:$C,'Ausgaben 2023'!$C127,Einzelbeträge!$E:$E,'Ausgaben 2023'!H$6)</f>
        <v>0</v>
      </c>
      <c r="I127" s="21">
        <f>SUMIFS(Einzelbeträge!$D:$D,Einzelbeträge!$C:$C,'Ausgaben 2023'!$C127,Einzelbeträge!$E:$E,'Ausgaben 2023'!I$6)</f>
        <v>0</v>
      </c>
      <c r="J127" s="21">
        <f>SUMIFS(Einzelbeträge!$D:$D,Einzelbeträge!$C:$C,'Ausgaben 2023'!$C127,Einzelbeträge!$E:$E,'Ausgaben 2023'!J$6)</f>
        <v>0</v>
      </c>
      <c r="K127" s="21">
        <f>SUMIFS(Einzelbeträge!$D:$D,Einzelbeträge!$C:$C,'Ausgaben 2023'!$C127,Einzelbeträge!$E:$E,'Ausgaben 2023'!K$6)</f>
        <v>0</v>
      </c>
      <c r="L127" s="21">
        <f>SUMIFS(Einzelbeträge!$D:$D,Einzelbeträge!$C:$C,'Ausgaben 2023'!$C127,Einzelbeträge!$E:$E,'Ausgaben 2023'!L$6)</f>
        <v>0</v>
      </c>
      <c r="M127" s="21">
        <f>SUMIFS(Einzelbeträge!$D:$D,Einzelbeträge!$C:$C,'Ausgaben 2023'!$C127,Einzelbeträge!$E:$E,'Ausgaben 2023'!M$6)</f>
        <v>0</v>
      </c>
      <c r="N127" s="35">
        <f>SUMIFS(Einzelbeträge!$D:$D,Einzelbeträge!$C:$C,'Ausgaben 2023'!$C127,Einzelbeträge!$E:$E,'Ausgaben 2023'!N$6)</f>
        <v>0</v>
      </c>
      <c r="O127" s="6"/>
    </row>
    <row r="128" spans="2:15" x14ac:dyDescent="0.35">
      <c r="B128" s="5"/>
      <c r="C128" s="30">
        <f t="shared" si="19"/>
        <v>45038</v>
      </c>
      <c r="D128" s="46">
        <f>SUMIFS(Einzelbeträge!$D:$D,Einzelbeträge!$C:$C,'Ausgaben 2023'!$C128)</f>
        <v>0</v>
      </c>
      <c r="E128" s="21">
        <f>SUMIFS(Einzelbeträge!$D:$D,Einzelbeträge!$C:$C,'Ausgaben 2023'!$C128,Einzelbeträge!$E:$E,'Ausgaben 2023'!E$6)</f>
        <v>0</v>
      </c>
      <c r="F128" s="21">
        <f>SUMIFS(Einzelbeträge!$D:$D,Einzelbeträge!$C:$C,'Ausgaben 2023'!$C128,Einzelbeträge!$E:$E,'Ausgaben 2023'!F$6)</f>
        <v>0</v>
      </c>
      <c r="G128" s="21">
        <f>SUMIFS(Einzelbeträge!$D:$D,Einzelbeträge!$C:$C,'Ausgaben 2023'!$C128,Einzelbeträge!$E:$E,'Ausgaben 2023'!G$6)</f>
        <v>0</v>
      </c>
      <c r="H128" s="21">
        <f>SUMIFS(Einzelbeträge!$D:$D,Einzelbeträge!$C:$C,'Ausgaben 2023'!$C128,Einzelbeträge!$E:$E,'Ausgaben 2023'!H$6)</f>
        <v>0</v>
      </c>
      <c r="I128" s="21">
        <f>SUMIFS(Einzelbeträge!$D:$D,Einzelbeträge!$C:$C,'Ausgaben 2023'!$C128,Einzelbeträge!$E:$E,'Ausgaben 2023'!I$6)</f>
        <v>0</v>
      </c>
      <c r="J128" s="21">
        <f>SUMIFS(Einzelbeträge!$D:$D,Einzelbeträge!$C:$C,'Ausgaben 2023'!$C128,Einzelbeträge!$E:$E,'Ausgaben 2023'!J$6)</f>
        <v>0</v>
      </c>
      <c r="K128" s="21">
        <f>SUMIFS(Einzelbeträge!$D:$D,Einzelbeträge!$C:$C,'Ausgaben 2023'!$C128,Einzelbeträge!$E:$E,'Ausgaben 2023'!K$6)</f>
        <v>0</v>
      </c>
      <c r="L128" s="21">
        <f>SUMIFS(Einzelbeträge!$D:$D,Einzelbeträge!$C:$C,'Ausgaben 2023'!$C128,Einzelbeträge!$E:$E,'Ausgaben 2023'!L$6)</f>
        <v>0</v>
      </c>
      <c r="M128" s="21">
        <f>SUMIFS(Einzelbeträge!$D:$D,Einzelbeträge!$C:$C,'Ausgaben 2023'!$C128,Einzelbeträge!$E:$E,'Ausgaben 2023'!M$6)</f>
        <v>0</v>
      </c>
      <c r="N128" s="35">
        <f>SUMIFS(Einzelbeträge!$D:$D,Einzelbeträge!$C:$C,'Ausgaben 2023'!$C128,Einzelbeträge!$E:$E,'Ausgaben 2023'!N$6)</f>
        <v>0</v>
      </c>
      <c r="O128" s="6"/>
    </row>
    <row r="129" spans="2:15" x14ac:dyDescent="0.35">
      <c r="B129" s="5"/>
      <c r="C129" s="30">
        <f t="shared" si="19"/>
        <v>45039</v>
      </c>
      <c r="D129" s="46">
        <f>SUMIFS(Einzelbeträge!$D:$D,Einzelbeträge!$C:$C,'Ausgaben 2023'!$C129)</f>
        <v>0</v>
      </c>
      <c r="E129" s="21">
        <f>SUMIFS(Einzelbeträge!$D:$D,Einzelbeträge!$C:$C,'Ausgaben 2023'!$C129,Einzelbeträge!$E:$E,'Ausgaben 2023'!E$6)</f>
        <v>0</v>
      </c>
      <c r="F129" s="21">
        <f>SUMIFS(Einzelbeträge!$D:$D,Einzelbeträge!$C:$C,'Ausgaben 2023'!$C129,Einzelbeträge!$E:$E,'Ausgaben 2023'!F$6)</f>
        <v>0</v>
      </c>
      <c r="G129" s="21">
        <f>SUMIFS(Einzelbeträge!$D:$D,Einzelbeträge!$C:$C,'Ausgaben 2023'!$C129,Einzelbeträge!$E:$E,'Ausgaben 2023'!G$6)</f>
        <v>0</v>
      </c>
      <c r="H129" s="21">
        <f>SUMIFS(Einzelbeträge!$D:$D,Einzelbeträge!$C:$C,'Ausgaben 2023'!$C129,Einzelbeträge!$E:$E,'Ausgaben 2023'!H$6)</f>
        <v>0</v>
      </c>
      <c r="I129" s="21">
        <f>SUMIFS(Einzelbeträge!$D:$D,Einzelbeträge!$C:$C,'Ausgaben 2023'!$C129,Einzelbeträge!$E:$E,'Ausgaben 2023'!I$6)</f>
        <v>0</v>
      </c>
      <c r="J129" s="21">
        <f>SUMIFS(Einzelbeträge!$D:$D,Einzelbeträge!$C:$C,'Ausgaben 2023'!$C129,Einzelbeträge!$E:$E,'Ausgaben 2023'!J$6)</f>
        <v>0</v>
      </c>
      <c r="K129" s="21">
        <f>SUMIFS(Einzelbeträge!$D:$D,Einzelbeträge!$C:$C,'Ausgaben 2023'!$C129,Einzelbeträge!$E:$E,'Ausgaben 2023'!K$6)</f>
        <v>0</v>
      </c>
      <c r="L129" s="21">
        <f>SUMIFS(Einzelbeträge!$D:$D,Einzelbeträge!$C:$C,'Ausgaben 2023'!$C129,Einzelbeträge!$E:$E,'Ausgaben 2023'!L$6)</f>
        <v>0</v>
      </c>
      <c r="M129" s="21">
        <f>SUMIFS(Einzelbeträge!$D:$D,Einzelbeträge!$C:$C,'Ausgaben 2023'!$C129,Einzelbeträge!$E:$E,'Ausgaben 2023'!M$6)</f>
        <v>0</v>
      </c>
      <c r="N129" s="35">
        <f>SUMIFS(Einzelbeträge!$D:$D,Einzelbeträge!$C:$C,'Ausgaben 2023'!$C129,Einzelbeträge!$E:$E,'Ausgaben 2023'!N$6)</f>
        <v>0</v>
      </c>
      <c r="O129" s="6"/>
    </row>
    <row r="130" spans="2:15" x14ac:dyDescent="0.35">
      <c r="B130" s="5"/>
      <c r="C130" s="30">
        <f t="shared" si="19"/>
        <v>45040</v>
      </c>
      <c r="D130" s="46">
        <f>SUMIFS(Einzelbeträge!$D:$D,Einzelbeträge!$C:$C,'Ausgaben 2023'!$C130)</f>
        <v>0</v>
      </c>
      <c r="E130" s="21">
        <f>SUMIFS(Einzelbeträge!$D:$D,Einzelbeträge!$C:$C,'Ausgaben 2023'!$C130,Einzelbeträge!$E:$E,'Ausgaben 2023'!E$6)</f>
        <v>0</v>
      </c>
      <c r="F130" s="21">
        <f>SUMIFS(Einzelbeträge!$D:$D,Einzelbeträge!$C:$C,'Ausgaben 2023'!$C130,Einzelbeträge!$E:$E,'Ausgaben 2023'!F$6)</f>
        <v>0</v>
      </c>
      <c r="G130" s="21">
        <f>SUMIFS(Einzelbeträge!$D:$D,Einzelbeträge!$C:$C,'Ausgaben 2023'!$C130,Einzelbeträge!$E:$E,'Ausgaben 2023'!G$6)</f>
        <v>0</v>
      </c>
      <c r="H130" s="21">
        <f>SUMIFS(Einzelbeträge!$D:$D,Einzelbeträge!$C:$C,'Ausgaben 2023'!$C130,Einzelbeträge!$E:$E,'Ausgaben 2023'!H$6)</f>
        <v>0</v>
      </c>
      <c r="I130" s="21">
        <f>SUMIFS(Einzelbeträge!$D:$D,Einzelbeträge!$C:$C,'Ausgaben 2023'!$C130,Einzelbeträge!$E:$E,'Ausgaben 2023'!I$6)</f>
        <v>0</v>
      </c>
      <c r="J130" s="21">
        <f>SUMIFS(Einzelbeträge!$D:$D,Einzelbeträge!$C:$C,'Ausgaben 2023'!$C130,Einzelbeträge!$E:$E,'Ausgaben 2023'!J$6)</f>
        <v>0</v>
      </c>
      <c r="K130" s="21">
        <f>SUMIFS(Einzelbeträge!$D:$D,Einzelbeträge!$C:$C,'Ausgaben 2023'!$C130,Einzelbeträge!$E:$E,'Ausgaben 2023'!K$6)</f>
        <v>0</v>
      </c>
      <c r="L130" s="21">
        <f>SUMIFS(Einzelbeträge!$D:$D,Einzelbeträge!$C:$C,'Ausgaben 2023'!$C130,Einzelbeträge!$E:$E,'Ausgaben 2023'!L$6)</f>
        <v>0</v>
      </c>
      <c r="M130" s="21">
        <f>SUMIFS(Einzelbeträge!$D:$D,Einzelbeträge!$C:$C,'Ausgaben 2023'!$C130,Einzelbeträge!$E:$E,'Ausgaben 2023'!M$6)</f>
        <v>0</v>
      </c>
      <c r="N130" s="35">
        <f>SUMIFS(Einzelbeträge!$D:$D,Einzelbeträge!$C:$C,'Ausgaben 2023'!$C130,Einzelbeträge!$E:$E,'Ausgaben 2023'!N$6)</f>
        <v>0</v>
      </c>
      <c r="O130" s="6"/>
    </row>
    <row r="131" spans="2:15" x14ac:dyDescent="0.35">
      <c r="B131" s="5"/>
      <c r="C131" s="30">
        <f t="shared" si="19"/>
        <v>45041</v>
      </c>
      <c r="D131" s="46">
        <f>SUMIFS(Einzelbeträge!$D:$D,Einzelbeträge!$C:$C,'Ausgaben 2023'!$C131)</f>
        <v>0</v>
      </c>
      <c r="E131" s="21">
        <f>SUMIFS(Einzelbeträge!$D:$D,Einzelbeträge!$C:$C,'Ausgaben 2023'!$C131,Einzelbeträge!$E:$E,'Ausgaben 2023'!E$6)</f>
        <v>0</v>
      </c>
      <c r="F131" s="21">
        <f>SUMIFS(Einzelbeträge!$D:$D,Einzelbeträge!$C:$C,'Ausgaben 2023'!$C131,Einzelbeträge!$E:$E,'Ausgaben 2023'!F$6)</f>
        <v>0</v>
      </c>
      <c r="G131" s="21">
        <f>SUMIFS(Einzelbeträge!$D:$D,Einzelbeträge!$C:$C,'Ausgaben 2023'!$C131,Einzelbeträge!$E:$E,'Ausgaben 2023'!G$6)</f>
        <v>0</v>
      </c>
      <c r="H131" s="21">
        <f>SUMIFS(Einzelbeträge!$D:$D,Einzelbeträge!$C:$C,'Ausgaben 2023'!$C131,Einzelbeträge!$E:$E,'Ausgaben 2023'!H$6)</f>
        <v>0</v>
      </c>
      <c r="I131" s="21">
        <f>SUMIFS(Einzelbeträge!$D:$D,Einzelbeträge!$C:$C,'Ausgaben 2023'!$C131,Einzelbeträge!$E:$E,'Ausgaben 2023'!I$6)</f>
        <v>0</v>
      </c>
      <c r="J131" s="21">
        <f>SUMIFS(Einzelbeträge!$D:$D,Einzelbeträge!$C:$C,'Ausgaben 2023'!$C131,Einzelbeträge!$E:$E,'Ausgaben 2023'!J$6)</f>
        <v>0</v>
      </c>
      <c r="K131" s="21">
        <f>SUMIFS(Einzelbeträge!$D:$D,Einzelbeträge!$C:$C,'Ausgaben 2023'!$C131,Einzelbeträge!$E:$E,'Ausgaben 2023'!K$6)</f>
        <v>0</v>
      </c>
      <c r="L131" s="21">
        <f>SUMIFS(Einzelbeträge!$D:$D,Einzelbeträge!$C:$C,'Ausgaben 2023'!$C131,Einzelbeträge!$E:$E,'Ausgaben 2023'!L$6)</f>
        <v>0</v>
      </c>
      <c r="M131" s="21">
        <f>SUMIFS(Einzelbeträge!$D:$D,Einzelbeträge!$C:$C,'Ausgaben 2023'!$C131,Einzelbeträge!$E:$E,'Ausgaben 2023'!M$6)</f>
        <v>0</v>
      </c>
      <c r="N131" s="35">
        <f>SUMIFS(Einzelbeträge!$D:$D,Einzelbeträge!$C:$C,'Ausgaben 2023'!$C131,Einzelbeträge!$E:$E,'Ausgaben 2023'!N$6)</f>
        <v>0</v>
      </c>
      <c r="O131" s="6"/>
    </row>
    <row r="132" spans="2:15" x14ac:dyDescent="0.35">
      <c r="B132" s="5"/>
      <c r="C132" s="30">
        <f t="shared" si="19"/>
        <v>45042</v>
      </c>
      <c r="D132" s="46">
        <f>SUMIFS(Einzelbeträge!$D:$D,Einzelbeträge!$C:$C,'Ausgaben 2023'!$C132)</f>
        <v>0</v>
      </c>
      <c r="E132" s="21">
        <f>SUMIFS(Einzelbeträge!$D:$D,Einzelbeträge!$C:$C,'Ausgaben 2023'!$C132,Einzelbeträge!$E:$E,'Ausgaben 2023'!E$6)</f>
        <v>0</v>
      </c>
      <c r="F132" s="21">
        <f>SUMIFS(Einzelbeträge!$D:$D,Einzelbeträge!$C:$C,'Ausgaben 2023'!$C132,Einzelbeträge!$E:$E,'Ausgaben 2023'!F$6)</f>
        <v>0</v>
      </c>
      <c r="G132" s="21">
        <f>SUMIFS(Einzelbeträge!$D:$D,Einzelbeträge!$C:$C,'Ausgaben 2023'!$C132,Einzelbeträge!$E:$E,'Ausgaben 2023'!G$6)</f>
        <v>0</v>
      </c>
      <c r="H132" s="21">
        <f>SUMIFS(Einzelbeträge!$D:$D,Einzelbeträge!$C:$C,'Ausgaben 2023'!$C132,Einzelbeträge!$E:$E,'Ausgaben 2023'!H$6)</f>
        <v>0</v>
      </c>
      <c r="I132" s="21">
        <f>SUMIFS(Einzelbeträge!$D:$D,Einzelbeträge!$C:$C,'Ausgaben 2023'!$C132,Einzelbeträge!$E:$E,'Ausgaben 2023'!I$6)</f>
        <v>0</v>
      </c>
      <c r="J132" s="21">
        <f>SUMIFS(Einzelbeträge!$D:$D,Einzelbeträge!$C:$C,'Ausgaben 2023'!$C132,Einzelbeträge!$E:$E,'Ausgaben 2023'!J$6)</f>
        <v>0</v>
      </c>
      <c r="K132" s="21">
        <f>SUMIFS(Einzelbeträge!$D:$D,Einzelbeträge!$C:$C,'Ausgaben 2023'!$C132,Einzelbeträge!$E:$E,'Ausgaben 2023'!K$6)</f>
        <v>0</v>
      </c>
      <c r="L132" s="21">
        <f>SUMIFS(Einzelbeträge!$D:$D,Einzelbeträge!$C:$C,'Ausgaben 2023'!$C132,Einzelbeträge!$E:$E,'Ausgaben 2023'!L$6)</f>
        <v>0</v>
      </c>
      <c r="M132" s="21">
        <f>SUMIFS(Einzelbeträge!$D:$D,Einzelbeträge!$C:$C,'Ausgaben 2023'!$C132,Einzelbeträge!$E:$E,'Ausgaben 2023'!M$6)</f>
        <v>0</v>
      </c>
      <c r="N132" s="35">
        <f>SUMIFS(Einzelbeträge!$D:$D,Einzelbeträge!$C:$C,'Ausgaben 2023'!$C132,Einzelbeträge!$E:$E,'Ausgaben 2023'!N$6)</f>
        <v>0</v>
      </c>
      <c r="O132" s="6"/>
    </row>
    <row r="133" spans="2:15" x14ac:dyDescent="0.35">
      <c r="B133" s="5"/>
      <c r="C133" s="30">
        <f t="shared" si="19"/>
        <v>45043</v>
      </c>
      <c r="D133" s="46">
        <f>SUMIFS(Einzelbeträge!$D:$D,Einzelbeträge!$C:$C,'Ausgaben 2023'!$C133)</f>
        <v>0</v>
      </c>
      <c r="E133" s="21">
        <f>SUMIFS(Einzelbeträge!$D:$D,Einzelbeträge!$C:$C,'Ausgaben 2023'!$C133,Einzelbeträge!$E:$E,'Ausgaben 2023'!E$6)</f>
        <v>0</v>
      </c>
      <c r="F133" s="21">
        <f>SUMIFS(Einzelbeträge!$D:$D,Einzelbeträge!$C:$C,'Ausgaben 2023'!$C133,Einzelbeträge!$E:$E,'Ausgaben 2023'!F$6)</f>
        <v>0</v>
      </c>
      <c r="G133" s="21">
        <f>SUMIFS(Einzelbeträge!$D:$D,Einzelbeträge!$C:$C,'Ausgaben 2023'!$C133,Einzelbeträge!$E:$E,'Ausgaben 2023'!G$6)</f>
        <v>0</v>
      </c>
      <c r="H133" s="21">
        <f>SUMIFS(Einzelbeträge!$D:$D,Einzelbeträge!$C:$C,'Ausgaben 2023'!$C133,Einzelbeträge!$E:$E,'Ausgaben 2023'!H$6)</f>
        <v>0</v>
      </c>
      <c r="I133" s="21">
        <f>SUMIFS(Einzelbeträge!$D:$D,Einzelbeträge!$C:$C,'Ausgaben 2023'!$C133,Einzelbeträge!$E:$E,'Ausgaben 2023'!I$6)</f>
        <v>0</v>
      </c>
      <c r="J133" s="21">
        <f>SUMIFS(Einzelbeträge!$D:$D,Einzelbeträge!$C:$C,'Ausgaben 2023'!$C133,Einzelbeträge!$E:$E,'Ausgaben 2023'!J$6)</f>
        <v>0</v>
      </c>
      <c r="K133" s="21">
        <f>SUMIFS(Einzelbeträge!$D:$D,Einzelbeträge!$C:$C,'Ausgaben 2023'!$C133,Einzelbeträge!$E:$E,'Ausgaben 2023'!K$6)</f>
        <v>0</v>
      </c>
      <c r="L133" s="21">
        <f>SUMIFS(Einzelbeträge!$D:$D,Einzelbeträge!$C:$C,'Ausgaben 2023'!$C133,Einzelbeträge!$E:$E,'Ausgaben 2023'!L$6)</f>
        <v>0</v>
      </c>
      <c r="M133" s="21">
        <f>SUMIFS(Einzelbeträge!$D:$D,Einzelbeträge!$C:$C,'Ausgaben 2023'!$C133,Einzelbeträge!$E:$E,'Ausgaben 2023'!M$6)</f>
        <v>0</v>
      </c>
      <c r="N133" s="35">
        <f>SUMIFS(Einzelbeträge!$D:$D,Einzelbeträge!$C:$C,'Ausgaben 2023'!$C133,Einzelbeträge!$E:$E,'Ausgaben 2023'!N$6)</f>
        <v>0</v>
      </c>
      <c r="O133" s="6"/>
    </row>
    <row r="134" spans="2:15" x14ac:dyDescent="0.35">
      <c r="B134" s="5"/>
      <c r="C134" s="30">
        <f t="shared" si="19"/>
        <v>45044</v>
      </c>
      <c r="D134" s="46">
        <f>SUMIFS(Einzelbeträge!$D:$D,Einzelbeträge!$C:$C,'Ausgaben 2023'!$C134)</f>
        <v>0</v>
      </c>
      <c r="E134" s="21">
        <f>SUMIFS(Einzelbeträge!$D:$D,Einzelbeträge!$C:$C,'Ausgaben 2023'!$C134,Einzelbeträge!$E:$E,'Ausgaben 2023'!E$6)</f>
        <v>0</v>
      </c>
      <c r="F134" s="21">
        <f>SUMIFS(Einzelbeträge!$D:$D,Einzelbeträge!$C:$C,'Ausgaben 2023'!$C134,Einzelbeträge!$E:$E,'Ausgaben 2023'!F$6)</f>
        <v>0</v>
      </c>
      <c r="G134" s="21">
        <f>SUMIFS(Einzelbeträge!$D:$D,Einzelbeträge!$C:$C,'Ausgaben 2023'!$C134,Einzelbeträge!$E:$E,'Ausgaben 2023'!G$6)</f>
        <v>0</v>
      </c>
      <c r="H134" s="21">
        <f>SUMIFS(Einzelbeträge!$D:$D,Einzelbeträge!$C:$C,'Ausgaben 2023'!$C134,Einzelbeträge!$E:$E,'Ausgaben 2023'!H$6)</f>
        <v>0</v>
      </c>
      <c r="I134" s="21">
        <f>SUMIFS(Einzelbeträge!$D:$D,Einzelbeträge!$C:$C,'Ausgaben 2023'!$C134,Einzelbeträge!$E:$E,'Ausgaben 2023'!I$6)</f>
        <v>0</v>
      </c>
      <c r="J134" s="21">
        <f>SUMIFS(Einzelbeträge!$D:$D,Einzelbeträge!$C:$C,'Ausgaben 2023'!$C134,Einzelbeträge!$E:$E,'Ausgaben 2023'!J$6)</f>
        <v>0</v>
      </c>
      <c r="K134" s="21">
        <f>SUMIFS(Einzelbeträge!$D:$D,Einzelbeträge!$C:$C,'Ausgaben 2023'!$C134,Einzelbeträge!$E:$E,'Ausgaben 2023'!K$6)</f>
        <v>0</v>
      </c>
      <c r="L134" s="21">
        <f>SUMIFS(Einzelbeträge!$D:$D,Einzelbeträge!$C:$C,'Ausgaben 2023'!$C134,Einzelbeträge!$E:$E,'Ausgaben 2023'!L$6)</f>
        <v>0</v>
      </c>
      <c r="M134" s="21">
        <f>SUMIFS(Einzelbeträge!$D:$D,Einzelbeträge!$C:$C,'Ausgaben 2023'!$C134,Einzelbeträge!$E:$E,'Ausgaben 2023'!M$6)</f>
        <v>0</v>
      </c>
      <c r="N134" s="35">
        <f>SUMIFS(Einzelbeträge!$D:$D,Einzelbeträge!$C:$C,'Ausgaben 2023'!$C134,Einzelbeträge!$E:$E,'Ausgaben 2023'!N$6)</f>
        <v>0</v>
      </c>
      <c r="O134" s="6"/>
    </row>
    <row r="135" spans="2:15" x14ac:dyDescent="0.35">
      <c r="B135" s="5"/>
      <c r="C135" s="30">
        <f t="shared" si="19"/>
        <v>45045</v>
      </c>
      <c r="D135" s="46">
        <f>SUMIFS(Einzelbeträge!$D:$D,Einzelbeträge!$C:$C,'Ausgaben 2023'!$C135)</f>
        <v>0</v>
      </c>
      <c r="E135" s="21">
        <f>SUMIFS(Einzelbeträge!$D:$D,Einzelbeträge!$C:$C,'Ausgaben 2023'!$C135,Einzelbeträge!$E:$E,'Ausgaben 2023'!E$6)</f>
        <v>0</v>
      </c>
      <c r="F135" s="21">
        <f>SUMIFS(Einzelbeträge!$D:$D,Einzelbeträge!$C:$C,'Ausgaben 2023'!$C135,Einzelbeträge!$E:$E,'Ausgaben 2023'!F$6)</f>
        <v>0</v>
      </c>
      <c r="G135" s="21">
        <f>SUMIFS(Einzelbeträge!$D:$D,Einzelbeträge!$C:$C,'Ausgaben 2023'!$C135,Einzelbeträge!$E:$E,'Ausgaben 2023'!G$6)</f>
        <v>0</v>
      </c>
      <c r="H135" s="21">
        <f>SUMIFS(Einzelbeträge!$D:$D,Einzelbeträge!$C:$C,'Ausgaben 2023'!$C135,Einzelbeträge!$E:$E,'Ausgaben 2023'!H$6)</f>
        <v>0</v>
      </c>
      <c r="I135" s="21">
        <f>SUMIFS(Einzelbeträge!$D:$D,Einzelbeträge!$C:$C,'Ausgaben 2023'!$C135,Einzelbeträge!$E:$E,'Ausgaben 2023'!I$6)</f>
        <v>0</v>
      </c>
      <c r="J135" s="21">
        <f>SUMIFS(Einzelbeträge!$D:$D,Einzelbeträge!$C:$C,'Ausgaben 2023'!$C135,Einzelbeträge!$E:$E,'Ausgaben 2023'!J$6)</f>
        <v>0</v>
      </c>
      <c r="K135" s="21">
        <f>SUMIFS(Einzelbeträge!$D:$D,Einzelbeträge!$C:$C,'Ausgaben 2023'!$C135,Einzelbeträge!$E:$E,'Ausgaben 2023'!K$6)</f>
        <v>0</v>
      </c>
      <c r="L135" s="21">
        <f>SUMIFS(Einzelbeträge!$D:$D,Einzelbeträge!$C:$C,'Ausgaben 2023'!$C135,Einzelbeträge!$E:$E,'Ausgaben 2023'!L$6)</f>
        <v>0</v>
      </c>
      <c r="M135" s="21">
        <f>SUMIFS(Einzelbeträge!$D:$D,Einzelbeträge!$C:$C,'Ausgaben 2023'!$C135,Einzelbeträge!$E:$E,'Ausgaben 2023'!M$6)</f>
        <v>0</v>
      </c>
      <c r="N135" s="35">
        <f>SUMIFS(Einzelbeträge!$D:$D,Einzelbeträge!$C:$C,'Ausgaben 2023'!$C135,Einzelbeträge!$E:$E,'Ausgaben 2023'!N$6)</f>
        <v>0</v>
      </c>
      <c r="O135" s="6"/>
    </row>
    <row r="136" spans="2:15" x14ac:dyDescent="0.35">
      <c r="B136" s="5"/>
      <c r="C136" s="31">
        <f t="shared" si="19"/>
        <v>45046</v>
      </c>
      <c r="D136" s="47">
        <f>SUMIFS(Einzelbeträge!$D:$D,Einzelbeträge!$C:$C,'Ausgaben 2023'!$C136)</f>
        <v>0</v>
      </c>
      <c r="E136" s="37">
        <f>SUMIFS(Einzelbeträge!$D:$D,Einzelbeträge!$C:$C,'Ausgaben 2023'!$C136,Einzelbeträge!$E:$E,'Ausgaben 2023'!E$6)</f>
        <v>0</v>
      </c>
      <c r="F136" s="37">
        <f>SUMIFS(Einzelbeträge!$D:$D,Einzelbeträge!$C:$C,'Ausgaben 2023'!$C136,Einzelbeträge!$E:$E,'Ausgaben 2023'!F$6)</f>
        <v>0</v>
      </c>
      <c r="G136" s="37">
        <f>SUMIFS(Einzelbeträge!$D:$D,Einzelbeträge!$C:$C,'Ausgaben 2023'!$C136,Einzelbeträge!$E:$E,'Ausgaben 2023'!G$6)</f>
        <v>0</v>
      </c>
      <c r="H136" s="37">
        <f>SUMIFS(Einzelbeträge!$D:$D,Einzelbeträge!$C:$C,'Ausgaben 2023'!$C136,Einzelbeträge!$E:$E,'Ausgaben 2023'!H$6)</f>
        <v>0</v>
      </c>
      <c r="I136" s="37">
        <f>SUMIFS(Einzelbeträge!$D:$D,Einzelbeträge!$C:$C,'Ausgaben 2023'!$C136,Einzelbeträge!$E:$E,'Ausgaben 2023'!I$6)</f>
        <v>0</v>
      </c>
      <c r="J136" s="37">
        <f>SUMIFS(Einzelbeträge!$D:$D,Einzelbeträge!$C:$C,'Ausgaben 2023'!$C136,Einzelbeträge!$E:$E,'Ausgaben 2023'!J$6)</f>
        <v>0</v>
      </c>
      <c r="K136" s="37">
        <f>SUMIFS(Einzelbeträge!$D:$D,Einzelbeträge!$C:$C,'Ausgaben 2023'!$C136,Einzelbeträge!$E:$E,'Ausgaben 2023'!K$6)</f>
        <v>0</v>
      </c>
      <c r="L136" s="37">
        <f>SUMIFS(Einzelbeträge!$D:$D,Einzelbeträge!$C:$C,'Ausgaben 2023'!$C136,Einzelbeträge!$E:$E,'Ausgaben 2023'!L$6)</f>
        <v>0</v>
      </c>
      <c r="M136" s="37">
        <f>SUMIFS(Einzelbeträge!$D:$D,Einzelbeträge!$C:$C,'Ausgaben 2023'!$C136,Einzelbeträge!$E:$E,'Ausgaben 2023'!M$6)</f>
        <v>0</v>
      </c>
      <c r="N136" s="38">
        <f>SUMIFS(Einzelbeträge!$D:$D,Einzelbeträge!$C:$C,'Ausgaben 2023'!$C136,Einzelbeträge!$E:$E,'Ausgaben 2023'!N$6)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45047</v>
      </c>
      <c r="D140" s="45">
        <f>SUMIFS(Einzelbeträge!$D:$D,Einzelbeträge!$C:$C,'Ausgaben 2023'!$C140)</f>
        <v>0</v>
      </c>
      <c r="E140" s="32">
        <f>SUMIFS(Einzelbeträge!$D:$D,Einzelbeträge!$C:$C,'Ausgaben 2023'!$C140,Einzelbeträge!$E:$E,'Ausgaben 2023'!E$6)</f>
        <v>0</v>
      </c>
      <c r="F140" s="32">
        <f>SUMIFS(Einzelbeträge!$D:$D,Einzelbeträge!$C:$C,'Ausgaben 2023'!$C140,Einzelbeträge!$E:$E,'Ausgaben 2023'!F$6)</f>
        <v>0</v>
      </c>
      <c r="G140" s="32">
        <f>SUMIFS(Einzelbeträge!$D:$D,Einzelbeträge!$C:$C,'Ausgaben 2023'!$C140,Einzelbeträge!$E:$E,'Ausgaben 2023'!G$6)</f>
        <v>0</v>
      </c>
      <c r="H140" s="32">
        <f>SUMIFS(Einzelbeträge!$D:$D,Einzelbeträge!$C:$C,'Ausgaben 2023'!$C140,Einzelbeträge!$E:$E,'Ausgaben 2023'!H$6)</f>
        <v>0</v>
      </c>
      <c r="I140" s="32">
        <f>SUMIFS(Einzelbeträge!$D:$D,Einzelbeträge!$C:$C,'Ausgaben 2023'!$C140,Einzelbeträge!$E:$E,'Ausgaben 2023'!I$6)</f>
        <v>0</v>
      </c>
      <c r="J140" s="32">
        <f>SUMIFS(Einzelbeträge!$D:$D,Einzelbeträge!$C:$C,'Ausgaben 2023'!$C140,Einzelbeträge!$E:$E,'Ausgaben 2023'!J$6)</f>
        <v>0</v>
      </c>
      <c r="K140" s="32">
        <f>SUMIFS(Einzelbeträge!$D:$D,Einzelbeträge!$C:$C,'Ausgaben 2023'!$C140,Einzelbeträge!$E:$E,'Ausgaben 2023'!K$6)</f>
        <v>0</v>
      </c>
      <c r="L140" s="32">
        <f>SUMIFS(Einzelbeträge!$D:$D,Einzelbeträge!$C:$C,'Ausgaben 2023'!$C140,Einzelbeträge!$E:$E,'Ausgaben 2023'!L$6)</f>
        <v>0</v>
      </c>
      <c r="M140" s="32">
        <f>SUMIFS(Einzelbeträge!$D:$D,Einzelbeträge!$C:$C,'Ausgaben 2023'!$C140,Einzelbeträge!$E:$E,'Ausgaben 2023'!M$6)</f>
        <v>0</v>
      </c>
      <c r="N140" s="33">
        <f>SUMIFS(Einzelbeträge!$D:$D,Einzelbeträge!$C:$C,'Ausgaben 2023'!$C140,Einzelbeträge!$E:$E,'Ausgaben 2023'!N$6)</f>
        <v>0</v>
      </c>
      <c r="O140" s="6"/>
    </row>
    <row r="141" spans="2:15" x14ac:dyDescent="0.35">
      <c r="B141" s="5"/>
      <c r="C141" s="40">
        <f>C140+1</f>
        <v>45048</v>
      </c>
      <c r="D141" s="46">
        <f>SUMIFS(Einzelbeträge!$D:$D,Einzelbeträge!$C:$C,'Ausgaben 2023'!$C141)</f>
        <v>0</v>
      </c>
      <c r="E141" s="21">
        <f>SUMIFS(Einzelbeträge!$D:$D,Einzelbeträge!$C:$C,'Ausgaben 2023'!$C141,Einzelbeträge!$E:$E,'Ausgaben 2023'!E$6)</f>
        <v>0</v>
      </c>
      <c r="F141" s="21">
        <f>SUMIFS(Einzelbeträge!$D:$D,Einzelbeträge!$C:$C,'Ausgaben 2023'!$C141,Einzelbeträge!$E:$E,'Ausgaben 2023'!F$6)</f>
        <v>0</v>
      </c>
      <c r="G141" s="21">
        <f>SUMIFS(Einzelbeträge!$D:$D,Einzelbeträge!$C:$C,'Ausgaben 2023'!$C141,Einzelbeträge!$E:$E,'Ausgaben 2023'!G$6)</f>
        <v>0</v>
      </c>
      <c r="H141" s="21">
        <f>SUMIFS(Einzelbeträge!$D:$D,Einzelbeträge!$C:$C,'Ausgaben 2023'!$C141,Einzelbeträge!$E:$E,'Ausgaben 2023'!H$6)</f>
        <v>0</v>
      </c>
      <c r="I141" s="21">
        <f>SUMIFS(Einzelbeträge!$D:$D,Einzelbeträge!$C:$C,'Ausgaben 2023'!$C141,Einzelbeträge!$E:$E,'Ausgaben 2023'!I$6)</f>
        <v>0</v>
      </c>
      <c r="J141" s="21">
        <f>SUMIFS(Einzelbeträge!$D:$D,Einzelbeträge!$C:$C,'Ausgaben 2023'!$C141,Einzelbeträge!$E:$E,'Ausgaben 2023'!J$6)</f>
        <v>0</v>
      </c>
      <c r="K141" s="21">
        <f>SUMIFS(Einzelbeträge!$D:$D,Einzelbeträge!$C:$C,'Ausgaben 2023'!$C141,Einzelbeträge!$E:$E,'Ausgaben 2023'!K$6)</f>
        <v>0</v>
      </c>
      <c r="L141" s="21">
        <f>SUMIFS(Einzelbeträge!$D:$D,Einzelbeträge!$C:$C,'Ausgaben 2023'!$C141,Einzelbeträge!$E:$E,'Ausgaben 2023'!L$6)</f>
        <v>0</v>
      </c>
      <c r="M141" s="21">
        <f>SUMIFS(Einzelbeträge!$D:$D,Einzelbeträge!$C:$C,'Ausgaben 2023'!$C141,Einzelbeträge!$E:$E,'Ausgaben 2023'!M$6)</f>
        <v>0</v>
      </c>
      <c r="N141" s="35">
        <f>SUMIFS(Einzelbeträge!$D:$D,Einzelbeträge!$C:$C,'Ausgaben 2023'!$C141,Einzelbeträge!$E:$E,'Ausgaben 2023'!N$6)</f>
        <v>0</v>
      </c>
      <c r="O141" s="6"/>
    </row>
    <row r="142" spans="2:15" x14ac:dyDescent="0.35">
      <c r="B142" s="5"/>
      <c r="C142" s="40">
        <f t="shared" ref="C142:C170" si="20">C141+1</f>
        <v>45049</v>
      </c>
      <c r="D142" s="46">
        <f>SUMIFS(Einzelbeträge!$D:$D,Einzelbeträge!$C:$C,'Ausgaben 2023'!$C142)</f>
        <v>0</v>
      </c>
      <c r="E142" s="21">
        <f>SUMIFS(Einzelbeträge!$D:$D,Einzelbeträge!$C:$C,'Ausgaben 2023'!$C142,Einzelbeträge!$E:$E,'Ausgaben 2023'!E$6)</f>
        <v>0</v>
      </c>
      <c r="F142" s="21">
        <f>SUMIFS(Einzelbeträge!$D:$D,Einzelbeträge!$C:$C,'Ausgaben 2023'!$C142,Einzelbeträge!$E:$E,'Ausgaben 2023'!F$6)</f>
        <v>0</v>
      </c>
      <c r="G142" s="21">
        <f>SUMIFS(Einzelbeträge!$D:$D,Einzelbeträge!$C:$C,'Ausgaben 2023'!$C142,Einzelbeträge!$E:$E,'Ausgaben 2023'!G$6)</f>
        <v>0</v>
      </c>
      <c r="H142" s="21">
        <f>SUMIFS(Einzelbeträge!$D:$D,Einzelbeträge!$C:$C,'Ausgaben 2023'!$C142,Einzelbeträge!$E:$E,'Ausgaben 2023'!H$6)</f>
        <v>0</v>
      </c>
      <c r="I142" s="21">
        <f>SUMIFS(Einzelbeträge!$D:$D,Einzelbeträge!$C:$C,'Ausgaben 2023'!$C142,Einzelbeträge!$E:$E,'Ausgaben 2023'!I$6)</f>
        <v>0</v>
      </c>
      <c r="J142" s="21">
        <f>SUMIFS(Einzelbeträge!$D:$D,Einzelbeträge!$C:$C,'Ausgaben 2023'!$C142,Einzelbeträge!$E:$E,'Ausgaben 2023'!J$6)</f>
        <v>0</v>
      </c>
      <c r="K142" s="21">
        <f>SUMIFS(Einzelbeträge!$D:$D,Einzelbeträge!$C:$C,'Ausgaben 2023'!$C142,Einzelbeträge!$E:$E,'Ausgaben 2023'!K$6)</f>
        <v>0</v>
      </c>
      <c r="L142" s="21">
        <f>SUMIFS(Einzelbeträge!$D:$D,Einzelbeträge!$C:$C,'Ausgaben 2023'!$C142,Einzelbeträge!$E:$E,'Ausgaben 2023'!L$6)</f>
        <v>0</v>
      </c>
      <c r="M142" s="21">
        <f>SUMIFS(Einzelbeträge!$D:$D,Einzelbeträge!$C:$C,'Ausgaben 2023'!$C142,Einzelbeträge!$E:$E,'Ausgaben 2023'!M$6)</f>
        <v>0</v>
      </c>
      <c r="N142" s="35">
        <f>SUMIFS(Einzelbeträge!$D:$D,Einzelbeträge!$C:$C,'Ausgaben 2023'!$C142,Einzelbeträge!$E:$E,'Ausgaben 2023'!N$6)</f>
        <v>0</v>
      </c>
      <c r="O142" s="6"/>
    </row>
    <row r="143" spans="2:15" x14ac:dyDescent="0.35">
      <c r="B143" s="5"/>
      <c r="C143" s="40">
        <f t="shared" si="20"/>
        <v>45050</v>
      </c>
      <c r="D143" s="46">
        <f>SUMIFS(Einzelbeträge!$D:$D,Einzelbeträge!$C:$C,'Ausgaben 2023'!$C143)</f>
        <v>0</v>
      </c>
      <c r="E143" s="21">
        <f>SUMIFS(Einzelbeträge!$D:$D,Einzelbeträge!$C:$C,'Ausgaben 2023'!$C143,Einzelbeträge!$E:$E,'Ausgaben 2023'!E$6)</f>
        <v>0</v>
      </c>
      <c r="F143" s="21">
        <f>SUMIFS(Einzelbeträge!$D:$D,Einzelbeträge!$C:$C,'Ausgaben 2023'!$C143,Einzelbeträge!$E:$E,'Ausgaben 2023'!F$6)</f>
        <v>0</v>
      </c>
      <c r="G143" s="21">
        <f>SUMIFS(Einzelbeträge!$D:$D,Einzelbeträge!$C:$C,'Ausgaben 2023'!$C143,Einzelbeträge!$E:$E,'Ausgaben 2023'!G$6)</f>
        <v>0</v>
      </c>
      <c r="H143" s="21">
        <f>SUMIFS(Einzelbeträge!$D:$D,Einzelbeträge!$C:$C,'Ausgaben 2023'!$C143,Einzelbeträge!$E:$E,'Ausgaben 2023'!H$6)</f>
        <v>0</v>
      </c>
      <c r="I143" s="21">
        <f>SUMIFS(Einzelbeträge!$D:$D,Einzelbeträge!$C:$C,'Ausgaben 2023'!$C143,Einzelbeträge!$E:$E,'Ausgaben 2023'!I$6)</f>
        <v>0</v>
      </c>
      <c r="J143" s="21">
        <f>SUMIFS(Einzelbeträge!$D:$D,Einzelbeträge!$C:$C,'Ausgaben 2023'!$C143,Einzelbeträge!$E:$E,'Ausgaben 2023'!J$6)</f>
        <v>0</v>
      </c>
      <c r="K143" s="21">
        <f>SUMIFS(Einzelbeträge!$D:$D,Einzelbeträge!$C:$C,'Ausgaben 2023'!$C143,Einzelbeträge!$E:$E,'Ausgaben 2023'!K$6)</f>
        <v>0</v>
      </c>
      <c r="L143" s="21">
        <f>SUMIFS(Einzelbeträge!$D:$D,Einzelbeträge!$C:$C,'Ausgaben 2023'!$C143,Einzelbeträge!$E:$E,'Ausgaben 2023'!L$6)</f>
        <v>0</v>
      </c>
      <c r="M143" s="21">
        <f>SUMIFS(Einzelbeträge!$D:$D,Einzelbeträge!$C:$C,'Ausgaben 2023'!$C143,Einzelbeträge!$E:$E,'Ausgaben 2023'!M$6)</f>
        <v>0</v>
      </c>
      <c r="N143" s="35">
        <f>SUMIFS(Einzelbeträge!$D:$D,Einzelbeträge!$C:$C,'Ausgaben 2023'!$C143,Einzelbeträge!$E:$E,'Ausgaben 2023'!N$6)</f>
        <v>0</v>
      </c>
      <c r="O143" s="6"/>
    </row>
    <row r="144" spans="2:15" x14ac:dyDescent="0.35">
      <c r="B144" s="5"/>
      <c r="C144" s="40">
        <f t="shared" si="20"/>
        <v>45051</v>
      </c>
      <c r="D144" s="46">
        <f>SUMIFS(Einzelbeträge!$D:$D,Einzelbeträge!$C:$C,'Ausgaben 2023'!$C144)</f>
        <v>0</v>
      </c>
      <c r="E144" s="21">
        <f>SUMIFS(Einzelbeträge!$D:$D,Einzelbeträge!$C:$C,'Ausgaben 2023'!$C144,Einzelbeträge!$E:$E,'Ausgaben 2023'!E$6)</f>
        <v>0</v>
      </c>
      <c r="F144" s="21">
        <f>SUMIFS(Einzelbeträge!$D:$D,Einzelbeträge!$C:$C,'Ausgaben 2023'!$C144,Einzelbeträge!$E:$E,'Ausgaben 2023'!F$6)</f>
        <v>0</v>
      </c>
      <c r="G144" s="21">
        <f>SUMIFS(Einzelbeträge!$D:$D,Einzelbeträge!$C:$C,'Ausgaben 2023'!$C144,Einzelbeträge!$E:$E,'Ausgaben 2023'!G$6)</f>
        <v>0</v>
      </c>
      <c r="H144" s="21">
        <f>SUMIFS(Einzelbeträge!$D:$D,Einzelbeträge!$C:$C,'Ausgaben 2023'!$C144,Einzelbeträge!$E:$E,'Ausgaben 2023'!H$6)</f>
        <v>0</v>
      </c>
      <c r="I144" s="21">
        <f>SUMIFS(Einzelbeträge!$D:$D,Einzelbeträge!$C:$C,'Ausgaben 2023'!$C144,Einzelbeträge!$E:$E,'Ausgaben 2023'!I$6)</f>
        <v>0</v>
      </c>
      <c r="J144" s="21">
        <f>SUMIFS(Einzelbeträge!$D:$D,Einzelbeträge!$C:$C,'Ausgaben 2023'!$C144,Einzelbeträge!$E:$E,'Ausgaben 2023'!J$6)</f>
        <v>0</v>
      </c>
      <c r="K144" s="21">
        <f>SUMIFS(Einzelbeträge!$D:$D,Einzelbeträge!$C:$C,'Ausgaben 2023'!$C144,Einzelbeträge!$E:$E,'Ausgaben 2023'!K$6)</f>
        <v>0</v>
      </c>
      <c r="L144" s="21">
        <f>SUMIFS(Einzelbeträge!$D:$D,Einzelbeträge!$C:$C,'Ausgaben 2023'!$C144,Einzelbeträge!$E:$E,'Ausgaben 2023'!L$6)</f>
        <v>0</v>
      </c>
      <c r="M144" s="21">
        <f>SUMIFS(Einzelbeträge!$D:$D,Einzelbeträge!$C:$C,'Ausgaben 2023'!$C144,Einzelbeträge!$E:$E,'Ausgaben 2023'!M$6)</f>
        <v>0</v>
      </c>
      <c r="N144" s="35">
        <f>SUMIFS(Einzelbeträge!$D:$D,Einzelbeträge!$C:$C,'Ausgaben 2023'!$C144,Einzelbeträge!$E:$E,'Ausgaben 2023'!N$6)</f>
        <v>0</v>
      </c>
      <c r="O144" s="6"/>
    </row>
    <row r="145" spans="2:15" x14ac:dyDescent="0.35">
      <c r="B145" s="5"/>
      <c r="C145" s="40">
        <f t="shared" si="20"/>
        <v>45052</v>
      </c>
      <c r="D145" s="46">
        <f>SUMIFS(Einzelbeträge!$D:$D,Einzelbeträge!$C:$C,'Ausgaben 2023'!$C145)</f>
        <v>0</v>
      </c>
      <c r="E145" s="21">
        <f>SUMIFS(Einzelbeträge!$D:$D,Einzelbeträge!$C:$C,'Ausgaben 2023'!$C145,Einzelbeträge!$E:$E,'Ausgaben 2023'!E$6)</f>
        <v>0</v>
      </c>
      <c r="F145" s="21">
        <f>SUMIFS(Einzelbeträge!$D:$D,Einzelbeträge!$C:$C,'Ausgaben 2023'!$C145,Einzelbeträge!$E:$E,'Ausgaben 2023'!F$6)</f>
        <v>0</v>
      </c>
      <c r="G145" s="21">
        <f>SUMIFS(Einzelbeträge!$D:$D,Einzelbeträge!$C:$C,'Ausgaben 2023'!$C145,Einzelbeträge!$E:$E,'Ausgaben 2023'!G$6)</f>
        <v>0</v>
      </c>
      <c r="H145" s="21">
        <f>SUMIFS(Einzelbeträge!$D:$D,Einzelbeträge!$C:$C,'Ausgaben 2023'!$C145,Einzelbeträge!$E:$E,'Ausgaben 2023'!H$6)</f>
        <v>0</v>
      </c>
      <c r="I145" s="21">
        <f>SUMIFS(Einzelbeträge!$D:$D,Einzelbeträge!$C:$C,'Ausgaben 2023'!$C145,Einzelbeträge!$E:$E,'Ausgaben 2023'!I$6)</f>
        <v>0</v>
      </c>
      <c r="J145" s="21">
        <f>SUMIFS(Einzelbeträge!$D:$D,Einzelbeträge!$C:$C,'Ausgaben 2023'!$C145,Einzelbeträge!$E:$E,'Ausgaben 2023'!J$6)</f>
        <v>0</v>
      </c>
      <c r="K145" s="21">
        <f>SUMIFS(Einzelbeträge!$D:$D,Einzelbeträge!$C:$C,'Ausgaben 2023'!$C145,Einzelbeträge!$E:$E,'Ausgaben 2023'!K$6)</f>
        <v>0</v>
      </c>
      <c r="L145" s="21">
        <f>SUMIFS(Einzelbeträge!$D:$D,Einzelbeträge!$C:$C,'Ausgaben 2023'!$C145,Einzelbeträge!$E:$E,'Ausgaben 2023'!L$6)</f>
        <v>0</v>
      </c>
      <c r="M145" s="21">
        <f>SUMIFS(Einzelbeträge!$D:$D,Einzelbeträge!$C:$C,'Ausgaben 2023'!$C145,Einzelbeträge!$E:$E,'Ausgaben 2023'!M$6)</f>
        <v>0</v>
      </c>
      <c r="N145" s="35">
        <f>SUMIFS(Einzelbeträge!$D:$D,Einzelbeträge!$C:$C,'Ausgaben 2023'!$C145,Einzelbeträge!$E:$E,'Ausgaben 2023'!N$6)</f>
        <v>0</v>
      </c>
      <c r="O145" s="6"/>
    </row>
    <row r="146" spans="2:15" x14ac:dyDescent="0.35">
      <c r="B146" s="5"/>
      <c r="C146" s="40">
        <f t="shared" si="20"/>
        <v>45053</v>
      </c>
      <c r="D146" s="46">
        <f>SUMIFS(Einzelbeträge!$D:$D,Einzelbeträge!$C:$C,'Ausgaben 2023'!$C146)</f>
        <v>0</v>
      </c>
      <c r="E146" s="21">
        <f>SUMIFS(Einzelbeträge!$D:$D,Einzelbeträge!$C:$C,'Ausgaben 2023'!$C146,Einzelbeträge!$E:$E,'Ausgaben 2023'!E$6)</f>
        <v>0</v>
      </c>
      <c r="F146" s="21">
        <f>SUMIFS(Einzelbeträge!$D:$D,Einzelbeträge!$C:$C,'Ausgaben 2023'!$C146,Einzelbeträge!$E:$E,'Ausgaben 2023'!F$6)</f>
        <v>0</v>
      </c>
      <c r="G146" s="21">
        <f>SUMIFS(Einzelbeträge!$D:$D,Einzelbeträge!$C:$C,'Ausgaben 2023'!$C146,Einzelbeträge!$E:$E,'Ausgaben 2023'!G$6)</f>
        <v>0</v>
      </c>
      <c r="H146" s="21">
        <f>SUMIFS(Einzelbeträge!$D:$D,Einzelbeträge!$C:$C,'Ausgaben 2023'!$C146,Einzelbeträge!$E:$E,'Ausgaben 2023'!H$6)</f>
        <v>0</v>
      </c>
      <c r="I146" s="21">
        <f>SUMIFS(Einzelbeträge!$D:$D,Einzelbeträge!$C:$C,'Ausgaben 2023'!$C146,Einzelbeträge!$E:$E,'Ausgaben 2023'!I$6)</f>
        <v>0</v>
      </c>
      <c r="J146" s="21">
        <f>SUMIFS(Einzelbeträge!$D:$D,Einzelbeträge!$C:$C,'Ausgaben 2023'!$C146,Einzelbeträge!$E:$E,'Ausgaben 2023'!J$6)</f>
        <v>0</v>
      </c>
      <c r="K146" s="21">
        <f>SUMIFS(Einzelbeträge!$D:$D,Einzelbeträge!$C:$C,'Ausgaben 2023'!$C146,Einzelbeträge!$E:$E,'Ausgaben 2023'!K$6)</f>
        <v>0</v>
      </c>
      <c r="L146" s="21">
        <f>SUMIFS(Einzelbeträge!$D:$D,Einzelbeträge!$C:$C,'Ausgaben 2023'!$C146,Einzelbeträge!$E:$E,'Ausgaben 2023'!L$6)</f>
        <v>0</v>
      </c>
      <c r="M146" s="21">
        <f>SUMIFS(Einzelbeträge!$D:$D,Einzelbeträge!$C:$C,'Ausgaben 2023'!$C146,Einzelbeträge!$E:$E,'Ausgaben 2023'!M$6)</f>
        <v>0</v>
      </c>
      <c r="N146" s="35">
        <f>SUMIFS(Einzelbeträge!$D:$D,Einzelbeträge!$C:$C,'Ausgaben 2023'!$C146,Einzelbeträge!$E:$E,'Ausgaben 2023'!N$6)</f>
        <v>0</v>
      </c>
      <c r="O146" s="6"/>
    </row>
    <row r="147" spans="2:15" x14ac:dyDescent="0.35">
      <c r="B147" s="5"/>
      <c r="C147" s="40">
        <f t="shared" si="20"/>
        <v>45054</v>
      </c>
      <c r="D147" s="46">
        <f>SUMIFS(Einzelbeträge!$D:$D,Einzelbeträge!$C:$C,'Ausgaben 2023'!$C147)</f>
        <v>0</v>
      </c>
      <c r="E147" s="21">
        <f>SUMIFS(Einzelbeträge!$D:$D,Einzelbeträge!$C:$C,'Ausgaben 2023'!$C147,Einzelbeträge!$E:$E,'Ausgaben 2023'!E$6)</f>
        <v>0</v>
      </c>
      <c r="F147" s="21">
        <f>SUMIFS(Einzelbeträge!$D:$D,Einzelbeträge!$C:$C,'Ausgaben 2023'!$C147,Einzelbeträge!$E:$E,'Ausgaben 2023'!F$6)</f>
        <v>0</v>
      </c>
      <c r="G147" s="21">
        <f>SUMIFS(Einzelbeträge!$D:$D,Einzelbeträge!$C:$C,'Ausgaben 2023'!$C147,Einzelbeträge!$E:$E,'Ausgaben 2023'!G$6)</f>
        <v>0</v>
      </c>
      <c r="H147" s="21">
        <f>SUMIFS(Einzelbeträge!$D:$D,Einzelbeträge!$C:$C,'Ausgaben 2023'!$C147,Einzelbeträge!$E:$E,'Ausgaben 2023'!H$6)</f>
        <v>0</v>
      </c>
      <c r="I147" s="21">
        <f>SUMIFS(Einzelbeträge!$D:$D,Einzelbeträge!$C:$C,'Ausgaben 2023'!$C147,Einzelbeträge!$E:$E,'Ausgaben 2023'!I$6)</f>
        <v>0</v>
      </c>
      <c r="J147" s="21">
        <f>SUMIFS(Einzelbeträge!$D:$D,Einzelbeträge!$C:$C,'Ausgaben 2023'!$C147,Einzelbeträge!$E:$E,'Ausgaben 2023'!J$6)</f>
        <v>0</v>
      </c>
      <c r="K147" s="21">
        <f>SUMIFS(Einzelbeträge!$D:$D,Einzelbeträge!$C:$C,'Ausgaben 2023'!$C147,Einzelbeträge!$E:$E,'Ausgaben 2023'!K$6)</f>
        <v>0</v>
      </c>
      <c r="L147" s="21">
        <f>SUMIFS(Einzelbeträge!$D:$D,Einzelbeträge!$C:$C,'Ausgaben 2023'!$C147,Einzelbeträge!$E:$E,'Ausgaben 2023'!L$6)</f>
        <v>0</v>
      </c>
      <c r="M147" s="21">
        <f>SUMIFS(Einzelbeträge!$D:$D,Einzelbeträge!$C:$C,'Ausgaben 2023'!$C147,Einzelbeträge!$E:$E,'Ausgaben 2023'!M$6)</f>
        <v>0</v>
      </c>
      <c r="N147" s="35">
        <f>SUMIFS(Einzelbeträge!$D:$D,Einzelbeträge!$C:$C,'Ausgaben 2023'!$C147,Einzelbeträge!$E:$E,'Ausgaben 2023'!N$6)</f>
        <v>0</v>
      </c>
      <c r="O147" s="6"/>
    </row>
    <row r="148" spans="2:15" x14ac:dyDescent="0.35">
      <c r="B148" s="5"/>
      <c r="C148" s="40">
        <f t="shared" si="20"/>
        <v>45055</v>
      </c>
      <c r="D148" s="46">
        <f>SUMIFS(Einzelbeträge!$D:$D,Einzelbeträge!$C:$C,'Ausgaben 2023'!$C148)</f>
        <v>0</v>
      </c>
      <c r="E148" s="21">
        <f>SUMIFS(Einzelbeträge!$D:$D,Einzelbeträge!$C:$C,'Ausgaben 2023'!$C148,Einzelbeträge!$E:$E,'Ausgaben 2023'!E$6)</f>
        <v>0</v>
      </c>
      <c r="F148" s="21">
        <f>SUMIFS(Einzelbeträge!$D:$D,Einzelbeträge!$C:$C,'Ausgaben 2023'!$C148,Einzelbeträge!$E:$E,'Ausgaben 2023'!F$6)</f>
        <v>0</v>
      </c>
      <c r="G148" s="21">
        <f>SUMIFS(Einzelbeträge!$D:$D,Einzelbeträge!$C:$C,'Ausgaben 2023'!$C148,Einzelbeträge!$E:$E,'Ausgaben 2023'!G$6)</f>
        <v>0</v>
      </c>
      <c r="H148" s="21">
        <f>SUMIFS(Einzelbeträge!$D:$D,Einzelbeträge!$C:$C,'Ausgaben 2023'!$C148,Einzelbeträge!$E:$E,'Ausgaben 2023'!H$6)</f>
        <v>0</v>
      </c>
      <c r="I148" s="21">
        <f>SUMIFS(Einzelbeträge!$D:$D,Einzelbeträge!$C:$C,'Ausgaben 2023'!$C148,Einzelbeträge!$E:$E,'Ausgaben 2023'!I$6)</f>
        <v>0</v>
      </c>
      <c r="J148" s="21">
        <f>SUMIFS(Einzelbeträge!$D:$D,Einzelbeträge!$C:$C,'Ausgaben 2023'!$C148,Einzelbeträge!$E:$E,'Ausgaben 2023'!J$6)</f>
        <v>0</v>
      </c>
      <c r="K148" s="21">
        <f>SUMIFS(Einzelbeträge!$D:$D,Einzelbeträge!$C:$C,'Ausgaben 2023'!$C148,Einzelbeträge!$E:$E,'Ausgaben 2023'!K$6)</f>
        <v>0</v>
      </c>
      <c r="L148" s="21">
        <f>SUMIFS(Einzelbeträge!$D:$D,Einzelbeträge!$C:$C,'Ausgaben 2023'!$C148,Einzelbeträge!$E:$E,'Ausgaben 2023'!L$6)</f>
        <v>0</v>
      </c>
      <c r="M148" s="21">
        <f>SUMIFS(Einzelbeträge!$D:$D,Einzelbeträge!$C:$C,'Ausgaben 2023'!$C148,Einzelbeträge!$E:$E,'Ausgaben 2023'!M$6)</f>
        <v>0</v>
      </c>
      <c r="N148" s="35">
        <f>SUMIFS(Einzelbeträge!$D:$D,Einzelbeträge!$C:$C,'Ausgaben 2023'!$C148,Einzelbeträge!$E:$E,'Ausgaben 2023'!N$6)</f>
        <v>0</v>
      </c>
      <c r="O148" s="6"/>
    </row>
    <row r="149" spans="2:15" x14ac:dyDescent="0.35">
      <c r="B149" s="5"/>
      <c r="C149" s="40">
        <f t="shared" si="20"/>
        <v>45056</v>
      </c>
      <c r="D149" s="46">
        <f>SUMIFS(Einzelbeträge!$D:$D,Einzelbeträge!$C:$C,'Ausgaben 2023'!$C149)</f>
        <v>0</v>
      </c>
      <c r="E149" s="21">
        <f>SUMIFS(Einzelbeträge!$D:$D,Einzelbeträge!$C:$C,'Ausgaben 2023'!$C149,Einzelbeträge!$E:$E,'Ausgaben 2023'!E$6)</f>
        <v>0</v>
      </c>
      <c r="F149" s="21">
        <f>SUMIFS(Einzelbeträge!$D:$D,Einzelbeträge!$C:$C,'Ausgaben 2023'!$C149,Einzelbeträge!$E:$E,'Ausgaben 2023'!F$6)</f>
        <v>0</v>
      </c>
      <c r="G149" s="21">
        <f>SUMIFS(Einzelbeträge!$D:$D,Einzelbeträge!$C:$C,'Ausgaben 2023'!$C149,Einzelbeträge!$E:$E,'Ausgaben 2023'!G$6)</f>
        <v>0</v>
      </c>
      <c r="H149" s="21">
        <f>SUMIFS(Einzelbeträge!$D:$D,Einzelbeträge!$C:$C,'Ausgaben 2023'!$C149,Einzelbeträge!$E:$E,'Ausgaben 2023'!H$6)</f>
        <v>0</v>
      </c>
      <c r="I149" s="21">
        <f>SUMIFS(Einzelbeträge!$D:$D,Einzelbeträge!$C:$C,'Ausgaben 2023'!$C149,Einzelbeträge!$E:$E,'Ausgaben 2023'!I$6)</f>
        <v>0</v>
      </c>
      <c r="J149" s="21">
        <f>SUMIFS(Einzelbeträge!$D:$D,Einzelbeträge!$C:$C,'Ausgaben 2023'!$C149,Einzelbeträge!$E:$E,'Ausgaben 2023'!J$6)</f>
        <v>0</v>
      </c>
      <c r="K149" s="21">
        <f>SUMIFS(Einzelbeträge!$D:$D,Einzelbeträge!$C:$C,'Ausgaben 2023'!$C149,Einzelbeträge!$E:$E,'Ausgaben 2023'!K$6)</f>
        <v>0</v>
      </c>
      <c r="L149" s="21">
        <f>SUMIFS(Einzelbeträge!$D:$D,Einzelbeträge!$C:$C,'Ausgaben 2023'!$C149,Einzelbeträge!$E:$E,'Ausgaben 2023'!L$6)</f>
        <v>0</v>
      </c>
      <c r="M149" s="21">
        <f>SUMIFS(Einzelbeträge!$D:$D,Einzelbeträge!$C:$C,'Ausgaben 2023'!$C149,Einzelbeträge!$E:$E,'Ausgaben 2023'!M$6)</f>
        <v>0</v>
      </c>
      <c r="N149" s="35">
        <f>SUMIFS(Einzelbeträge!$D:$D,Einzelbeträge!$C:$C,'Ausgaben 2023'!$C149,Einzelbeträge!$E:$E,'Ausgaben 2023'!N$6)</f>
        <v>0</v>
      </c>
      <c r="O149" s="6"/>
    </row>
    <row r="150" spans="2:15" x14ac:dyDescent="0.35">
      <c r="B150" s="5"/>
      <c r="C150" s="40">
        <f t="shared" si="20"/>
        <v>45057</v>
      </c>
      <c r="D150" s="46">
        <f>SUMIFS(Einzelbeträge!$D:$D,Einzelbeträge!$C:$C,'Ausgaben 2023'!$C150)</f>
        <v>0</v>
      </c>
      <c r="E150" s="21">
        <f>SUMIFS(Einzelbeträge!$D:$D,Einzelbeträge!$C:$C,'Ausgaben 2023'!$C150,Einzelbeträge!$E:$E,'Ausgaben 2023'!E$6)</f>
        <v>0</v>
      </c>
      <c r="F150" s="21">
        <f>SUMIFS(Einzelbeträge!$D:$D,Einzelbeträge!$C:$C,'Ausgaben 2023'!$C150,Einzelbeträge!$E:$E,'Ausgaben 2023'!F$6)</f>
        <v>0</v>
      </c>
      <c r="G150" s="21">
        <f>SUMIFS(Einzelbeträge!$D:$D,Einzelbeträge!$C:$C,'Ausgaben 2023'!$C150,Einzelbeträge!$E:$E,'Ausgaben 2023'!G$6)</f>
        <v>0</v>
      </c>
      <c r="H150" s="21">
        <f>SUMIFS(Einzelbeträge!$D:$D,Einzelbeträge!$C:$C,'Ausgaben 2023'!$C150,Einzelbeträge!$E:$E,'Ausgaben 2023'!H$6)</f>
        <v>0</v>
      </c>
      <c r="I150" s="21">
        <f>SUMIFS(Einzelbeträge!$D:$D,Einzelbeträge!$C:$C,'Ausgaben 2023'!$C150,Einzelbeträge!$E:$E,'Ausgaben 2023'!I$6)</f>
        <v>0</v>
      </c>
      <c r="J150" s="21">
        <f>SUMIFS(Einzelbeträge!$D:$D,Einzelbeträge!$C:$C,'Ausgaben 2023'!$C150,Einzelbeträge!$E:$E,'Ausgaben 2023'!J$6)</f>
        <v>0</v>
      </c>
      <c r="K150" s="21">
        <f>SUMIFS(Einzelbeträge!$D:$D,Einzelbeträge!$C:$C,'Ausgaben 2023'!$C150,Einzelbeträge!$E:$E,'Ausgaben 2023'!K$6)</f>
        <v>0</v>
      </c>
      <c r="L150" s="21">
        <f>SUMIFS(Einzelbeträge!$D:$D,Einzelbeträge!$C:$C,'Ausgaben 2023'!$C150,Einzelbeträge!$E:$E,'Ausgaben 2023'!L$6)</f>
        <v>0</v>
      </c>
      <c r="M150" s="21">
        <f>SUMIFS(Einzelbeträge!$D:$D,Einzelbeträge!$C:$C,'Ausgaben 2023'!$C150,Einzelbeträge!$E:$E,'Ausgaben 2023'!M$6)</f>
        <v>0</v>
      </c>
      <c r="N150" s="35">
        <f>SUMIFS(Einzelbeträge!$D:$D,Einzelbeträge!$C:$C,'Ausgaben 2023'!$C150,Einzelbeträge!$E:$E,'Ausgaben 2023'!N$6)</f>
        <v>0</v>
      </c>
      <c r="O150" s="6"/>
    </row>
    <row r="151" spans="2:15" x14ac:dyDescent="0.35">
      <c r="B151" s="5"/>
      <c r="C151" s="40">
        <f t="shared" si="20"/>
        <v>45058</v>
      </c>
      <c r="D151" s="46">
        <f>SUMIFS(Einzelbeträge!$D:$D,Einzelbeträge!$C:$C,'Ausgaben 2023'!$C151)</f>
        <v>0</v>
      </c>
      <c r="E151" s="21">
        <f>SUMIFS(Einzelbeträge!$D:$D,Einzelbeträge!$C:$C,'Ausgaben 2023'!$C151,Einzelbeträge!$E:$E,'Ausgaben 2023'!E$6)</f>
        <v>0</v>
      </c>
      <c r="F151" s="21">
        <f>SUMIFS(Einzelbeträge!$D:$D,Einzelbeträge!$C:$C,'Ausgaben 2023'!$C151,Einzelbeträge!$E:$E,'Ausgaben 2023'!F$6)</f>
        <v>0</v>
      </c>
      <c r="G151" s="21">
        <f>SUMIFS(Einzelbeträge!$D:$D,Einzelbeträge!$C:$C,'Ausgaben 2023'!$C151,Einzelbeträge!$E:$E,'Ausgaben 2023'!G$6)</f>
        <v>0</v>
      </c>
      <c r="H151" s="21">
        <f>SUMIFS(Einzelbeträge!$D:$D,Einzelbeträge!$C:$C,'Ausgaben 2023'!$C151,Einzelbeträge!$E:$E,'Ausgaben 2023'!H$6)</f>
        <v>0</v>
      </c>
      <c r="I151" s="21">
        <f>SUMIFS(Einzelbeträge!$D:$D,Einzelbeträge!$C:$C,'Ausgaben 2023'!$C151,Einzelbeträge!$E:$E,'Ausgaben 2023'!I$6)</f>
        <v>0</v>
      </c>
      <c r="J151" s="21">
        <f>SUMIFS(Einzelbeträge!$D:$D,Einzelbeträge!$C:$C,'Ausgaben 2023'!$C151,Einzelbeträge!$E:$E,'Ausgaben 2023'!J$6)</f>
        <v>0</v>
      </c>
      <c r="K151" s="21">
        <f>SUMIFS(Einzelbeträge!$D:$D,Einzelbeträge!$C:$C,'Ausgaben 2023'!$C151,Einzelbeträge!$E:$E,'Ausgaben 2023'!K$6)</f>
        <v>0</v>
      </c>
      <c r="L151" s="21">
        <f>SUMIFS(Einzelbeträge!$D:$D,Einzelbeträge!$C:$C,'Ausgaben 2023'!$C151,Einzelbeträge!$E:$E,'Ausgaben 2023'!L$6)</f>
        <v>0</v>
      </c>
      <c r="M151" s="21">
        <f>SUMIFS(Einzelbeträge!$D:$D,Einzelbeträge!$C:$C,'Ausgaben 2023'!$C151,Einzelbeträge!$E:$E,'Ausgaben 2023'!M$6)</f>
        <v>0</v>
      </c>
      <c r="N151" s="35">
        <f>SUMIFS(Einzelbeträge!$D:$D,Einzelbeträge!$C:$C,'Ausgaben 2023'!$C151,Einzelbeträge!$E:$E,'Ausgaben 2023'!N$6)</f>
        <v>0</v>
      </c>
      <c r="O151" s="6"/>
    </row>
    <row r="152" spans="2:15" x14ac:dyDescent="0.35">
      <c r="B152" s="5"/>
      <c r="C152" s="40">
        <f t="shared" si="20"/>
        <v>45059</v>
      </c>
      <c r="D152" s="46">
        <f>SUMIFS(Einzelbeträge!$D:$D,Einzelbeträge!$C:$C,'Ausgaben 2023'!$C152)</f>
        <v>0</v>
      </c>
      <c r="E152" s="21">
        <f>SUMIFS(Einzelbeträge!$D:$D,Einzelbeträge!$C:$C,'Ausgaben 2023'!$C152,Einzelbeträge!$E:$E,'Ausgaben 2023'!E$6)</f>
        <v>0</v>
      </c>
      <c r="F152" s="21">
        <f>SUMIFS(Einzelbeträge!$D:$D,Einzelbeträge!$C:$C,'Ausgaben 2023'!$C152,Einzelbeträge!$E:$E,'Ausgaben 2023'!F$6)</f>
        <v>0</v>
      </c>
      <c r="G152" s="21">
        <f>SUMIFS(Einzelbeträge!$D:$D,Einzelbeträge!$C:$C,'Ausgaben 2023'!$C152,Einzelbeträge!$E:$E,'Ausgaben 2023'!G$6)</f>
        <v>0</v>
      </c>
      <c r="H152" s="21">
        <f>SUMIFS(Einzelbeträge!$D:$D,Einzelbeträge!$C:$C,'Ausgaben 2023'!$C152,Einzelbeträge!$E:$E,'Ausgaben 2023'!H$6)</f>
        <v>0</v>
      </c>
      <c r="I152" s="21">
        <f>SUMIFS(Einzelbeträge!$D:$D,Einzelbeträge!$C:$C,'Ausgaben 2023'!$C152,Einzelbeträge!$E:$E,'Ausgaben 2023'!I$6)</f>
        <v>0</v>
      </c>
      <c r="J152" s="21">
        <f>SUMIFS(Einzelbeträge!$D:$D,Einzelbeträge!$C:$C,'Ausgaben 2023'!$C152,Einzelbeträge!$E:$E,'Ausgaben 2023'!J$6)</f>
        <v>0</v>
      </c>
      <c r="K152" s="21">
        <f>SUMIFS(Einzelbeträge!$D:$D,Einzelbeträge!$C:$C,'Ausgaben 2023'!$C152,Einzelbeträge!$E:$E,'Ausgaben 2023'!K$6)</f>
        <v>0</v>
      </c>
      <c r="L152" s="21">
        <f>SUMIFS(Einzelbeträge!$D:$D,Einzelbeträge!$C:$C,'Ausgaben 2023'!$C152,Einzelbeträge!$E:$E,'Ausgaben 2023'!L$6)</f>
        <v>0</v>
      </c>
      <c r="M152" s="21">
        <f>SUMIFS(Einzelbeträge!$D:$D,Einzelbeträge!$C:$C,'Ausgaben 2023'!$C152,Einzelbeträge!$E:$E,'Ausgaben 2023'!M$6)</f>
        <v>0</v>
      </c>
      <c r="N152" s="35">
        <f>SUMIFS(Einzelbeträge!$D:$D,Einzelbeträge!$C:$C,'Ausgaben 2023'!$C152,Einzelbeträge!$E:$E,'Ausgaben 2023'!N$6)</f>
        <v>0</v>
      </c>
      <c r="O152" s="6"/>
    </row>
    <row r="153" spans="2:15" x14ac:dyDescent="0.35">
      <c r="B153" s="5"/>
      <c r="C153" s="40">
        <f t="shared" si="20"/>
        <v>45060</v>
      </c>
      <c r="D153" s="46">
        <f>SUMIFS(Einzelbeträge!$D:$D,Einzelbeträge!$C:$C,'Ausgaben 2023'!$C153)</f>
        <v>0</v>
      </c>
      <c r="E153" s="21">
        <f>SUMIFS(Einzelbeträge!$D:$D,Einzelbeträge!$C:$C,'Ausgaben 2023'!$C153,Einzelbeträge!$E:$E,'Ausgaben 2023'!E$6)</f>
        <v>0</v>
      </c>
      <c r="F153" s="21">
        <f>SUMIFS(Einzelbeträge!$D:$D,Einzelbeträge!$C:$C,'Ausgaben 2023'!$C153,Einzelbeträge!$E:$E,'Ausgaben 2023'!F$6)</f>
        <v>0</v>
      </c>
      <c r="G153" s="21">
        <f>SUMIFS(Einzelbeträge!$D:$D,Einzelbeträge!$C:$C,'Ausgaben 2023'!$C153,Einzelbeträge!$E:$E,'Ausgaben 2023'!G$6)</f>
        <v>0</v>
      </c>
      <c r="H153" s="21">
        <f>SUMIFS(Einzelbeträge!$D:$D,Einzelbeträge!$C:$C,'Ausgaben 2023'!$C153,Einzelbeträge!$E:$E,'Ausgaben 2023'!H$6)</f>
        <v>0</v>
      </c>
      <c r="I153" s="21">
        <f>SUMIFS(Einzelbeträge!$D:$D,Einzelbeträge!$C:$C,'Ausgaben 2023'!$C153,Einzelbeträge!$E:$E,'Ausgaben 2023'!I$6)</f>
        <v>0</v>
      </c>
      <c r="J153" s="21">
        <f>SUMIFS(Einzelbeträge!$D:$D,Einzelbeträge!$C:$C,'Ausgaben 2023'!$C153,Einzelbeträge!$E:$E,'Ausgaben 2023'!J$6)</f>
        <v>0</v>
      </c>
      <c r="K153" s="21">
        <f>SUMIFS(Einzelbeträge!$D:$D,Einzelbeträge!$C:$C,'Ausgaben 2023'!$C153,Einzelbeträge!$E:$E,'Ausgaben 2023'!K$6)</f>
        <v>0</v>
      </c>
      <c r="L153" s="21">
        <f>SUMIFS(Einzelbeträge!$D:$D,Einzelbeträge!$C:$C,'Ausgaben 2023'!$C153,Einzelbeträge!$E:$E,'Ausgaben 2023'!L$6)</f>
        <v>0</v>
      </c>
      <c r="M153" s="21">
        <f>SUMIFS(Einzelbeträge!$D:$D,Einzelbeträge!$C:$C,'Ausgaben 2023'!$C153,Einzelbeträge!$E:$E,'Ausgaben 2023'!M$6)</f>
        <v>0</v>
      </c>
      <c r="N153" s="35">
        <f>SUMIFS(Einzelbeträge!$D:$D,Einzelbeträge!$C:$C,'Ausgaben 2023'!$C153,Einzelbeträge!$E:$E,'Ausgaben 2023'!N$6)</f>
        <v>0</v>
      </c>
      <c r="O153" s="6"/>
    </row>
    <row r="154" spans="2:15" x14ac:dyDescent="0.35">
      <c r="B154" s="5"/>
      <c r="C154" s="40">
        <f t="shared" si="20"/>
        <v>45061</v>
      </c>
      <c r="D154" s="46">
        <f>SUMIFS(Einzelbeträge!$D:$D,Einzelbeträge!$C:$C,'Ausgaben 2023'!$C154)</f>
        <v>0</v>
      </c>
      <c r="E154" s="21">
        <f>SUMIFS(Einzelbeträge!$D:$D,Einzelbeträge!$C:$C,'Ausgaben 2023'!$C154,Einzelbeträge!$E:$E,'Ausgaben 2023'!E$6)</f>
        <v>0</v>
      </c>
      <c r="F154" s="21">
        <f>SUMIFS(Einzelbeträge!$D:$D,Einzelbeträge!$C:$C,'Ausgaben 2023'!$C154,Einzelbeträge!$E:$E,'Ausgaben 2023'!F$6)</f>
        <v>0</v>
      </c>
      <c r="G154" s="21">
        <f>SUMIFS(Einzelbeträge!$D:$D,Einzelbeträge!$C:$C,'Ausgaben 2023'!$C154,Einzelbeträge!$E:$E,'Ausgaben 2023'!G$6)</f>
        <v>0</v>
      </c>
      <c r="H154" s="21">
        <f>SUMIFS(Einzelbeträge!$D:$D,Einzelbeträge!$C:$C,'Ausgaben 2023'!$C154,Einzelbeträge!$E:$E,'Ausgaben 2023'!H$6)</f>
        <v>0</v>
      </c>
      <c r="I154" s="21">
        <f>SUMIFS(Einzelbeträge!$D:$D,Einzelbeträge!$C:$C,'Ausgaben 2023'!$C154,Einzelbeträge!$E:$E,'Ausgaben 2023'!I$6)</f>
        <v>0</v>
      </c>
      <c r="J154" s="21">
        <f>SUMIFS(Einzelbeträge!$D:$D,Einzelbeträge!$C:$C,'Ausgaben 2023'!$C154,Einzelbeträge!$E:$E,'Ausgaben 2023'!J$6)</f>
        <v>0</v>
      </c>
      <c r="K154" s="21">
        <f>SUMIFS(Einzelbeträge!$D:$D,Einzelbeträge!$C:$C,'Ausgaben 2023'!$C154,Einzelbeträge!$E:$E,'Ausgaben 2023'!K$6)</f>
        <v>0</v>
      </c>
      <c r="L154" s="21">
        <f>SUMIFS(Einzelbeträge!$D:$D,Einzelbeträge!$C:$C,'Ausgaben 2023'!$C154,Einzelbeträge!$E:$E,'Ausgaben 2023'!L$6)</f>
        <v>0</v>
      </c>
      <c r="M154" s="21">
        <f>SUMIFS(Einzelbeträge!$D:$D,Einzelbeträge!$C:$C,'Ausgaben 2023'!$C154,Einzelbeträge!$E:$E,'Ausgaben 2023'!M$6)</f>
        <v>0</v>
      </c>
      <c r="N154" s="35">
        <f>SUMIFS(Einzelbeträge!$D:$D,Einzelbeträge!$C:$C,'Ausgaben 2023'!$C154,Einzelbeträge!$E:$E,'Ausgaben 2023'!N$6)</f>
        <v>0</v>
      </c>
      <c r="O154" s="6"/>
    </row>
    <row r="155" spans="2:15" x14ac:dyDescent="0.35">
      <c r="B155" s="5"/>
      <c r="C155" s="40">
        <f t="shared" si="20"/>
        <v>45062</v>
      </c>
      <c r="D155" s="46">
        <f>SUMIFS(Einzelbeträge!$D:$D,Einzelbeträge!$C:$C,'Ausgaben 2023'!$C155)</f>
        <v>0</v>
      </c>
      <c r="E155" s="21">
        <f>SUMIFS(Einzelbeträge!$D:$D,Einzelbeträge!$C:$C,'Ausgaben 2023'!$C155,Einzelbeträge!$E:$E,'Ausgaben 2023'!E$6)</f>
        <v>0</v>
      </c>
      <c r="F155" s="21">
        <f>SUMIFS(Einzelbeträge!$D:$D,Einzelbeträge!$C:$C,'Ausgaben 2023'!$C155,Einzelbeträge!$E:$E,'Ausgaben 2023'!F$6)</f>
        <v>0</v>
      </c>
      <c r="G155" s="21">
        <f>SUMIFS(Einzelbeträge!$D:$D,Einzelbeträge!$C:$C,'Ausgaben 2023'!$C155,Einzelbeträge!$E:$E,'Ausgaben 2023'!G$6)</f>
        <v>0</v>
      </c>
      <c r="H155" s="21">
        <f>SUMIFS(Einzelbeträge!$D:$D,Einzelbeträge!$C:$C,'Ausgaben 2023'!$C155,Einzelbeträge!$E:$E,'Ausgaben 2023'!H$6)</f>
        <v>0</v>
      </c>
      <c r="I155" s="21">
        <f>SUMIFS(Einzelbeträge!$D:$D,Einzelbeträge!$C:$C,'Ausgaben 2023'!$C155,Einzelbeträge!$E:$E,'Ausgaben 2023'!I$6)</f>
        <v>0</v>
      </c>
      <c r="J155" s="21">
        <f>SUMIFS(Einzelbeträge!$D:$D,Einzelbeträge!$C:$C,'Ausgaben 2023'!$C155,Einzelbeträge!$E:$E,'Ausgaben 2023'!J$6)</f>
        <v>0</v>
      </c>
      <c r="K155" s="21">
        <f>SUMIFS(Einzelbeträge!$D:$D,Einzelbeträge!$C:$C,'Ausgaben 2023'!$C155,Einzelbeträge!$E:$E,'Ausgaben 2023'!K$6)</f>
        <v>0</v>
      </c>
      <c r="L155" s="21">
        <f>SUMIFS(Einzelbeträge!$D:$D,Einzelbeträge!$C:$C,'Ausgaben 2023'!$C155,Einzelbeträge!$E:$E,'Ausgaben 2023'!L$6)</f>
        <v>0</v>
      </c>
      <c r="M155" s="21">
        <f>SUMIFS(Einzelbeträge!$D:$D,Einzelbeträge!$C:$C,'Ausgaben 2023'!$C155,Einzelbeträge!$E:$E,'Ausgaben 2023'!M$6)</f>
        <v>0</v>
      </c>
      <c r="N155" s="35">
        <f>SUMIFS(Einzelbeträge!$D:$D,Einzelbeträge!$C:$C,'Ausgaben 2023'!$C155,Einzelbeträge!$E:$E,'Ausgaben 2023'!N$6)</f>
        <v>0</v>
      </c>
      <c r="O155" s="6"/>
    </row>
    <row r="156" spans="2:15" x14ac:dyDescent="0.35">
      <c r="B156" s="5"/>
      <c r="C156" s="40">
        <f t="shared" si="20"/>
        <v>45063</v>
      </c>
      <c r="D156" s="46">
        <f>SUMIFS(Einzelbeträge!$D:$D,Einzelbeträge!$C:$C,'Ausgaben 2023'!$C156)</f>
        <v>0</v>
      </c>
      <c r="E156" s="21">
        <f>SUMIFS(Einzelbeträge!$D:$D,Einzelbeträge!$C:$C,'Ausgaben 2023'!$C156,Einzelbeträge!$E:$E,'Ausgaben 2023'!E$6)</f>
        <v>0</v>
      </c>
      <c r="F156" s="21">
        <f>SUMIFS(Einzelbeträge!$D:$D,Einzelbeträge!$C:$C,'Ausgaben 2023'!$C156,Einzelbeträge!$E:$E,'Ausgaben 2023'!F$6)</f>
        <v>0</v>
      </c>
      <c r="G156" s="21">
        <f>SUMIFS(Einzelbeträge!$D:$D,Einzelbeträge!$C:$C,'Ausgaben 2023'!$C156,Einzelbeträge!$E:$E,'Ausgaben 2023'!G$6)</f>
        <v>0</v>
      </c>
      <c r="H156" s="21">
        <f>SUMIFS(Einzelbeträge!$D:$D,Einzelbeträge!$C:$C,'Ausgaben 2023'!$C156,Einzelbeträge!$E:$E,'Ausgaben 2023'!H$6)</f>
        <v>0</v>
      </c>
      <c r="I156" s="21">
        <f>SUMIFS(Einzelbeträge!$D:$D,Einzelbeträge!$C:$C,'Ausgaben 2023'!$C156,Einzelbeträge!$E:$E,'Ausgaben 2023'!I$6)</f>
        <v>0</v>
      </c>
      <c r="J156" s="21">
        <f>SUMIFS(Einzelbeträge!$D:$D,Einzelbeträge!$C:$C,'Ausgaben 2023'!$C156,Einzelbeträge!$E:$E,'Ausgaben 2023'!J$6)</f>
        <v>0</v>
      </c>
      <c r="K156" s="21">
        <f>SUMIFS(Einzelbeträge!$D:$D,Einzelbeträge!$C:$C,'Ausgaben 2023'!$C156,Einzelbeträge!$E:$E,'Ausgaben 2023'!K$6)</f>
        <v>0</v>
      </c>
      <c r="L156" s="21">
        <f>SUMIFS(Einzelbeträge!$D:$D,Einzelbeträge!$C:$C,'Ausgaben 2023'!$C156,Einzelbeträge!$E:$E,'Ausgaben 2023'!L$6)</f>
        <v>0</v>
      </c>
      <c r="M156" s="21">
        <f>SUMIFS(Einzelbeträge!$D:$D,Einzelbeträge!$C:$C,'Ausgaben 2023'!$C156,Einzelbeträge!$E:$E,'Ausgaben 2023'!M$6)</f>
        <v>0</v>
      </c>
      <c r="N156" s="35">
        <f>SUMIFS(Einzelbeträge!$D:$D,Einzelbeträge!$C:$C,'Ausgaben 2023'!$C156,Einzelbeträge!$E:$E,'Ausgaben 2023'!N$6)</f>
        <v>0</v>
      </c>
      <c r="O156" s="6"/>
    </row>
    <row r="157" spans="2:15" x14ac:dyDescent="0.35">
      <c r="B157" s="5"/>
      <c r="C157" s="40">
        <f t="shared" si="20"/>
        <v>45064</v>
      </c>
      <c r="D157" s="46">
        <f>SUMIFS(Einzelbeträge!$D:$D,Einzelbeträge!$C:$C,'Ausgaben 2023'!$C157)</f>
        <v>0</v>
      </c>
      <c r="E157" s="21">
        <f>SUMIFS(Einzelbeträge!$D:$D,Einzelbeträge!$C:$C,'Ausgaben 2023'!$C157,Einzelbeträge!$E:$E,'Ausgaben 2023'!E$6)</f>
        <v>0</v>
      </c>
      <c r="F157" s="21">
        <f>SUMIFS(Einzelbeträge!$D:$D,Einzelbeträge!$C:$C,'Ausgaben 2023'!$C157,Einzelbeträge!$E:$E,'Ausgaben 2023'!F$6)</f>
        <v>0</v>
      </c>
      <c r="G157" s="21">
        <f>SUMIFS(Einzelbeträge!$D:$D,Einzelbeträge!$C:$C,'Ausgaben 2023'!$C157,Einzelbeträge!$E:$E,'Ausgaben 2023'!G$6)</f>
        <v>0</v>
      </c>
      <c r="H157" s="21">
        <f>SUMIFS(Einzelbeträge!$D:$D,Einzelbeträge!$C:$C,'Ausgaben 2023'!$C157,Einzelbeträge!$E:$E,'Ausgaben 2023'!H$6)</f>
        <v>0</v>
      </c>
      <c r="I157" s="21">
        <f>SUMIFS(Einzelbeträge!$D:$D,Einzelbeträge!$C:$C,'Ausgaben 2023'!$C157,Einzelbeträge!$E:$E,'Ausgaben 2023'!I$6)</f>
        <v>0</v>
      </c>
      <c r="J157" s="21">
        <f>SUMIFS(Einzelbeträge!$D:$D,Einzelbeträge!$C:$C,'Ausgaben 2023'!$C157,Einzelbeträge!$E:$E,'Ausgaben 2023'!J$6)</f>
        <v>0</v>
      </c>
      <c r="K157" s="21">
        <f>SUMIFS(Einzelbeträge!$D:$D,Einzelbeträge!$C:$C,'Ausgaben 2023'!$C157,Einzelbeträge!$E:$E,'Ausgaben 2023'!K$6)</f>
        <v>0</v>
      </c>
      <c r="L157" s="21">
        <f>SUMIFS(Einzelbeträge!$D:$D,Einzelbeträge!$C:$C,'Ausgaben 2023'!$C157,Einzelbeträge!$E:$E,'Ausgaben 2023'!L$6)</f>
        <v>0</v>
      </c>
      <c r="M157" s="21">
        <f>SUMIFS(Einzelbeträge!$D:$D,Einzelbeträge!$C:$C,'Ausgaben 2023'!$C157,Einzelbeträge!$E:$E,'Ausgaben 2023'!M$6)</f>
        <v>0</v>
      </c>
      <c r="N157" s="35">
        <f>SUMIFS(Einzelbeträge!$D:$D,Einzelbeträge!$C:$C,'Ausgaben 2023'!$C157,Einzelbeträge!$E:$E,'Ausgaben 2023'!N$6)</f>
        <v>0</v>
      </c>
      <c r="O157" s="6"/>
    </row>
    <row r="158" spans="2:15" x14ac:dyDescent="0.35">
      <c r="B158" s="5"/>
      <c r="C158" s="40">
        <f t="shared" si="20"/>
        <v>45065</v>
      </c>
      <c r="D158" s="46">
        <f>SUMIFS(Einzelbeträge!$D:$D,Einzelbeträge!$C:$C,'Ausgaben 2023'!$C158)</f>
        <v>0</v>
      </c>
      <c r="E158" s="21">
        <f>SUMIFS(Einzelbeträge!$D:$D,Einzelbeträge!$C:$C,'Ausgaben 2023'!$C158,Einzelbeträge!$E:$E,'Ausgaben 2023'!E$6)</f>
        <v>0</v>
      </c>
      <c r="F158" s="21">
        <f>SUMIFS(Einzelbeträge!$D:$D,Einzelbeträge!$C:$C,'Ausgaben 2023'!$C158,Einzelbeträge!$E:$E,'Ausgaben 2023'!F$6)</f>
        <v>0</v>
      </c>
      <c r="G158" s="21">
        <f>SUMIFS(Einzelbeträge!$D:$D,Einzelbeträge!$C:$C,'Ausgaben 2023'!$C158,Einzelbeträge!$E:$E,'Ausgaben 2023'!G$6)</f>
        <v>0</v>
      </c>
      <c r="H158" s="21">
        <f>SUMIFS(Einzelbeträge!$D:$D,Einzelbeträge!$C:$C,'Ausgaben 2023'!$C158,Einzelbeträge!$E:$E,'Ausgaben 2023'!H$6)</f>
        <v>0</v>
      </c>
      <c r="I158" s="21">
        <f>SUMIFS(Einzelbeträge!$D:$D,Einzelbeträge!$C:$C,'Ausgaben 2023'!$C158,Einzelbeträge!$E:$E,'Ausgaben 2023'!I$6)</f>
        <v>0</v>
      </c>
      <c r="J158" s="21">
        <f>SUMIFS(Einzelbeträge!$D:$D,Einzelbeträge!$C:$C,'Ausgaben 2023'!$C158,Einzelbeträge!$E:$E,'Ausgaben 2023'!J$6)</f>
        <v>0</v>
      </c>
      <c r="K158" s="21">
        <f>SUMIFS(Einzelbeträge!$D:$D,Einzelbeträge!$C:$C,'Ausgaben 2023'!$C158,Einzelbeträge!$E:$E,'Ausgaben 2023'!K$6)</f>
        <v>0</v>
      </c>
      <c r="L158" s="21">
        <f>SUMIFS(Einzelbeträge!$D:$D,Einzelbeträge!$C:$C,'Ausgaben 2023'!$C158,Einzelbeträge!$E:$E,'Ausgaben 2023'!L$6)</f>
        <v>0</v>
      </c>
      <c r="M158" s="21">
        <f>SUMIFS(Einzelbeträge!$D:$D,Einzelbeträge!$C:$C,'Ausgaben 2023'!$C158,Einzelbeträge!$E:$E,'Ausgaben 2023'!M$6)</f>
        <v>0</v>
      </c>
      <c r="N158" s="35">
        <f>SUMIFS(Einzelbeträge!$D:$D,Einzelbeträge!$C:$C,'Ausgaben 2023'!$C158,Einzelbeträge!$E:$E,'Ausgaben 2023'!N$6)</f>
        <v>0</v>
      </c>
      <c r="O158" s="6"/>
    </row>
    <row r="159" spans="2:15" x14ac:dyDescent="0.35">
      <c r="B159" s="5"/>
      <c r="C159" s="40">
        <f t="shared" si="20"/>
        <v>45066</v>
      </c>
      <c r="D159" s="46">
        <f>SUMIFS(Einzelbeträge!$D:$D,Einzelbeträge!$C:$C,'Ausgaben 2023'!$C159)</f>
        <v>0</v>
      </c>
      <c r="E159" s="21">
        <f>SUMIFS(Einzelbeträge!$D:$D,Einzelbeträge!$C:$C,'Ausgaben 2023'!$C159,Einzelbeträge!$E:$E,'Ausgaben 2023'!E$6)</f>
        <v>0</v>
      </c>
      <c r="F159" s="21">
        <f>SUMIFS(Einzelbeträge!$D:$D,Einzelbeträge!$C:$C,'Ausgaben 2023'!$C159,Einzelbeträge!$E:$E,'Ausgaben 2023'!F$6)</f>
        <v>0</v>
      </c>
      <c r="G159" s="21">
        <f>SUMIFS(Einzelbeträge!$D:$D,Einzelbeträge!$C:$C,'Ausgaben 2023'!$C159,Einzelbeträge!$E:$E,'Ausgaben 2023'!G$6)</f>
        <v>0</v>
      </c>
      <c r="H159" s="21">
        <f>SUMIFS(Einzelbeträge!$D:$D,Einzelbeträge!$C:$C,'Ausgaben 2023'!$C159,Einzelbeträge!$E:$E,'Ausgaben 2023'!H$6)</f>
        <v>0</v>
      </c>
      <c r="I159" s="21">
        <f>SUMIFS(Einzelbeträge!$D:$D,Einzelbeträge!$C:$C,'Ausgaben 2023'!$C159,Einzelbeträge!$E:$E,'Ausgaben 2023'!I$6)</f>
        <v>0</v>
      </c>
      <c r="J159" s="21">
        <f>SUMIFS(Einzelbeträge!$D:$D,Einzelbeträge!$C:$C,'Ausgaben 2023'!$C159,Einzelbeträge!$E:$E,'Ausgaben 2023'!J$6)</f>
        <v>0</v>
      </c>
      <c r="K159" s="21">
        <f>SUMIFS(Einzelbeträge!$D:$D,Einzelbeträge!$C:$C,'Ausgaben 2023'!$C159,Einzelbeträge!$E:$E,'Ausgaben 2023'!K$6)</f>
        <v>0</v>
      </c>
      <c r="L159" s="21">
        <f>SUMIFS(Einzelbeträge!$D:$D,Einzelbeträge!$C:$C,'Ausgaben 2023'!$C159,Einzelbeträge!$E:$E,'Ausgaben 2023'!L$6)</f>
        <v>0</v>
      </c>
      <c r="M159" s="21">
        <f>SUMIFS(Einzelbeträge!$D:$D,Einzelbeträge!$C:$C,'Ausgaben 2023'!$C159,Einzelbeträge!$E:$E,'Ausgaben 2023'!M$6)</f>
        <v>0</v>
      </c>
      <c r="N159" s="35">
        <f>SUMIFS(Einzelbeträge!$D:$D,Einzelbeträge!$C:$C,'Ausgaben 2023'!$C159,Einzelbeträge!$E:$E,'Ausgaben 2023'!N$6)</f>
        <v>0</v>
      </c>
      <c r="O159" s="6"/>
    </row>
    <row r="160" spans="2:15" x14ac:dyDescent="0.35">
      <c r="B160" s="5"/>
      <c r="C160" s="40">
        <f t="shared" si="20"/>
        <v>45067</v>
      </c>
      <c r="D160" s="46">
        <f>SUMIFS(Einzelbeträge!$D:$D,Einzelbeträge!$C:$C,'Ausgaben 2023'!$C160)</f>
        <v>0</v>
      </c>
      <c r="E160" s="21">
        <f>SUMIFS(Einzelbeträge!$D:$D,Einzelbeträge!$C:$C,'Ausgaben 2023'!$C160,Einzelbeträge!$E:$E,'Ausgaben 2023'!E$6)</f>
        <v>0</v>
      </c>
      <c r="F160" s="21">
        <f>SUMIFS(Einzelbeträge!$D:$D,Einzelbeträge!$C:$C,'Ausgaben 2023'!$C160,Einzelbeträge!$E:$E,'Ausgaben 2023'!F$6)</f>
        <v>0</v>
      </c>
      <c r="G160" s="21">
        <f>SUMIFS(Einzelbeträge!$D:$D,Einzelbeträge!$C:$C,'Ausgaben 2023'!$C160,Einzelbeträge!$E:$E,'Ausgaben 2023'!G$6)</f>
        <v>0</v>
      </c>
      <c r="H160" s="21">
        <f>SUMIFS(Einzelbeträge!$D:$D,Einzelbeträge!$C:$C,'Ausgaben 2023'!$C160,Einzelbeträge!$E:$E,'Ausgaben 2023'!H$6)</f>
        <v>0</v>
      </c>
      <c r="I160" s="21">
        <f>SUMIFS(Einzelbeträge!$D:$D,Einzelbeträge!$C:$C,'Ausgaben 2023'!$C160,Einzelbeträge!$E:$E,'Ausgaben 2023'!I$6)</f>
        <v>0</v>
      </c>
      <c r="J160" s="21">
        <f>SUMIFS(Einzelbeträge!$D:$D,Einzelbeträge!$C:$C,'Ausgaben 2023'!$C160,Einzelbeträge!$E:$E,'Ausgaben 2023'!J$6)</f>
        <v>0</v>
      </c>
      <c r="K160" s="21">
        <f>SUMIFS(Einzelbeträge!$D:$D,Einzelbeträge!$C:$C,'Ausgaben 2023'!$C160,Einzelbeträge!$E:$E,'Ausgaben 2023'!K$6)</f>
        <v>0</v>
      </c>
      <c r="L160" s="21">
        <f>SUMIFS(Einzelbeträge!$D:$D,Einzelbeträge!$C:$C,'Ausgaben 2023'!$C160,Einzelbeträge!$E:$E,'Ausgaben 2023'!L$6)</f>
        <v>0</v>
      </c>
      <c r="M160" s="21">
        <f>SUMIFS(Einzelbeträge!$D:$D,Einzelbeträge!$C:$C,'Ausgaben 2023'!$C160,Einzelbeträge!$E:$E,'Ausgaben 2023'!M$6)</f>
        <v>0</v>
      </c>
      <c r="N160" s="35">
        <f>SUMIFS(Einzelbeträge!$D:$D,Einzelbeträge!$C:$C,'Ausgaben 2023'!$C160,Einzelbeträge!$E:$E,'Ausgaben 2023'!N$6)</f>
        <v>0</v>
      </c>
      <c r="O160" s="6"/>
    </row>
    <row r="161" spans="2:15" x14ac:dyDescent="0.35">
      <c r="B161" s="5"/>
      <c r="C161" s="40">
        <f t="shared" si="20"/>
        <v>45068</v>
      </c>
      <c r="D161" s="46">
        <f>SUMIFS(Einzelbeträge!$D:$D,Einzelbeträge!$C:$C,'Ausgaben 2023'!$C161)</f>
        <v>0</v>
      </c>
      <c r="E161" s="21">
        <f>SUMIFS(Einzelbeträge!$D:$D,Einzelbeträge!$C:$C,'Ausgaben 2023'!$C161,Einzelbeträge!$E:$E,'Ausgaben 2023'!E$6)</f>
        <v>0</v>
      </c>
      <c r="F161" s="21">
        <f>SUMIFS(Einzelbeträge!$D:$D,Einzelbeträge!$C:$C,'Ausgaben 2023'!$C161,Einzelbeträge!$E:$E,'Ausgaben 2023'!F$6)</f>
        <v>0</v>
      </c>
      <c r="G161" s="21">
        <f>SUMIFS(Einzelbeträge!$D:$D,Einzelbeträge!$C:$C,'Ausgaben 2023'!$C161,Einzelbeträge!$E:$E,'Ausgaben 2023'!G$6)</f>
        <v>0</v>
      </c>
      <c r="H161" s="21">
        <f>SUMIFS(Einzelbeträge!$D:$D,Einzelbeträge!$C:$C,'Ausgaben 2023'!$C161,Einzelbeträge!$E:$E,'Ausgaben 2023'!H$6)</f>
        <v>0</v>
      </c>
      <c r="I161" s="21">
        <f>SUMIFS(Einzelbeträge!$D:$D,Einzelbeträge!$C:$C,'Ausgaben 2023'!$C161,Einzelbeträge!$E:$E,'Ausgaben 2023'!I$6)</f>
        <v>0</v>
      </c>
      <c r="J161" s="21">
        <f>SUMIFS(Einzelbeträge!$D:$D,Einzelbeträge!$C:$C,'Ausgaben 2023'!$C161,Einzelbeträge!$E:$E,'Ausgaben 2023'!J$6)</f>
        <v>0</v>
      </c>
      <c r="K161" s="21">
        <f>SUMIFS(Einzelbeträge!$D:$D,Einzelbeträge!$C:$C,'Ausgaben 2023'!$C161,Einzelbeträge!$E:$E,'Ausgaben 2023'!K$6)</f>
        <v>0</v>
      </c>
      <c r="L161" s="21">
        <f>SUMIFS(Einzelbeträge!$D:$D,Einzelbeträge!$C:$C,'Ausgaben 2023'!$C161,Einzelbeträge!$E:$E,'Ausgaben 2023'!L$6)</f>
        <v>0</v>
      </c>
      <c r="M161" s="21">
        <f>SUMIFS(Einzelbeträge!$D:$D,Einzelbeträge!$C:$C,'Ausgaben 2023'!$C161,Einzelbeträge!$E:$E,'Ausgaben 2023'!M$6)</f>
        <v>0</v>
      </c>
      <c r="N161" s="35">
        <f>SUMIFS(Einzelbeträge!$D:$D,Einzelbeträge!$C:$C,'Ausgaben 2023'!$C161,Einzelbeträge!$E:$E,'Ausgaben 2023'!N$6)</f>
        <v>0</v>
      </c>
      <c r="O161" s="6"/>
    </row>
    <row r="162" spans="2:15" x14ac:dyDescent="0.35">
      <c r="B162" s="5"/>
      <c r="C162" s="40">
        <f t="shared" si="20"/>
        <v>45069</v>
      </c>
      <c r="D162" s="46">
        <f>SUMIFS(Einzelbeträge!$D:$D,Einzelbeträge!$C:$C,'Ausgaben 2023'!$C162)</f>
        <v>0</v>
      </c>
      <c r="E162" s="21">
        <f>SUMIFS(Einzelbeträge!$D:$D,Einzelbeträge!$C:$C,'Ausgaben 2023'!$C162,Einzelbeträge!$E:$E,'Ausgaben 2023'!E$6)</f>
        <v>0</v>
      </c>
      <c r="F162" s="21">
        <f>SUMIFS(Einzelbeträge!$D:$D,Einzelbeträge!$C:$C,'Ausgaben 2023'!$C162,Einzelbeträge!$E:$E,'Ausgaben 2023'!F$6)</f>
        <v>0</v>
      </c>
      <c r="G162" s="21">
        <f>SUMIFS(Einzelbeträge!$D:$D,Einzelbeträge!$C:$C,'Ausgaben 2023'!$C162,Einzelbeträge!$E:$E,'Ausgaben 2023'!G$6)</f>
        <v>0</v>
      </c>
      <c r="H162" s="21">
        <f>SUMIFS(Einzelbeträge!$D:$D,Einzelbeträge!$C:$C,'Ausgaben 2023'!$C162,Einzelbeträge!$E:$E,'Ausgaben 2023'!H$6)</f>
        <v>0</v>
      </c>
      <c r="I162" s="21">
        <f>SUMIFS(Einzelbeträge!$D:$D,Einzelbeträge!$C:$C,'Ausgaben 2023'!$C162,Einzelbeträge!$E:$E,'Ausgaben 2023'!I$6)</f>
        <v>0</v>
      </c>
      <c r="J162" s="21">
        <f>SUMIFS(Einzelbeträge!$D:$D,Einzelbeträge!$C:$C,'Ausgaben 2023'!$C162,Einzelbeträge!$E:$E,'Ausgaben 2023'!J$6)</f>
        <v>0</v>
      </c>
      <c r="K162" s="21">
        <f>SUMIFS(Einzelbeträge!$D:$D,Einzelbeträge!$C:$C,'Ausgaben 2023'!$C162,Einzelbeträge!$E:$E,'Ausgaben 2023'!K$6)</f>
        <v>0</v>
      </c>
      <c r="L162" s="21">
        <f>SUMIFS(Einzelbeträge!$D:$D,Einzelbeträge!$C:$C,'Ausgaben 2023'!$C162,Einzelbeträge!$E:$E,'Ausgaben 2023'!L$6)</f>
        <v>0</v>
      </c>
      <c r="M162" s="21">
        <f>SUMIFS(Einzelbeträge!$D:$D,Einzelbeträge!$C:$C,'Ausgaben 2023'!$C162,Einzelbeträge!$E:$E,'Ausgaben 2023'!M$6)</f>
        <v>0</v>
      </c>
      <c r="N162" s="35">
        <f>SUMIFS(Einzelbeträge!$D:$D,Einzelbeträge!$C:$C,'Ausgaben 2023'!$C162,Einzelbeträge!$E:$E,'Ausgaben 2023'!N$6)</f>
        <v>0</v>
      </c>
      <c r="O162" s="6"/>
    </row>
    <row r="163" spans="2:15" x14ac:dyDescent="0.35">
      <c r="B163" s="5"/>
      <c r="C163" s="40">
        <f t="shared" si="20"/>
        <v>45070</v>
      </c>
      <c r="D163" s="46">
        <f>SUMIFS(Einzelbeträge!$D:$D,Einzelbeträge!$C:$C,'Ausgaben 2023'!$C163)</f>
        <v>0</v>
      </c>
      <c r="E163" s="21">
        <f>SUMIFS(Einzelbeträge!$D:$D,Einzelbeträge!$C:$C,'Ausgaben 2023'!$C163,Einzelbeträge!$E:$E,'Ausgaben 2023'!E$6)</f>
        <v>0</v>
      </c>
      <c r="F163" s="21">
        <f>SUMIFS(Einzelbeträge!$D:$D,Einzelbeträge!$C:$C,'Ausgaben 2023'!$C163,Einzelbeträge!$E:$E,'Ausgaben 2023'!F$6)</f>
        <v>0</v>
      </c>
      <c r="G163" s="21">
        <f>SUMIFS(Einzelbeträge!$D:$D,Einzelbeträge!$C:$C,'Ausgaben 2023'!$C163,Einzelbeträge!$E:$E,'Ausgaben 2023'!G$6)</f>
        <v>0</v>
      </c>
      <c r="H163" s="21">
        <f>SUMIFS(Einzelbeträge!$D:$D,Einzelbeträge!$C:$C,'Ausgaben 2023'!$C163,Einzelbeträge!$E:$E,'Ausgaben 2023'!H$6)</f>
        <v>0</v>
      </c>
      <c r="I163" s="21">
        <f>SUMIFS(Einzelbeträge!$D:$D,Einzelbeträge!$C:$C,'Ausgaben 2023'!$C163,Einzelbeträge!$E:$E,'Ausgaben 2023'!I$6)</f>
        <v>0</v>
      </c>
      <c r="J163" s="21">
        <f>SUMIFS(Einzelbeträge!$D:$D,Einzelbeträge!$C:$C,'Ausgaben 2023'!$C163,Einzelbeträge!$E:$E,'Ausgaben 2023'!J$6)</f>
        <v>0</v>
      </c>
      <c r="K163" s="21">
        <f>SUMIFS(Einzelbeträge!$D:$D,Einzelbeträge!$C:$C,'Ausgaben 2023'!$C163,Einzelbeträge!$E:$E,'Ausgaben 2023'!K$6)</f>
        <v>0</v>
      </c>
      <c r="L163" s="21">
        <f>SUMIFS(Einzelbeträge!$D:$D,Einzelbeträge!$C:$C,'Ausgaben 2023'!$C163,Einzelbeträge!$E:$E,'Ausgaben 2023'!L$6)</f>
        <v>0</v>
      </c>
      <c r="M163" s="21">
        <f>SUMIFS(Einzelbeträge!$D:$D,Einzelbeträge!$C:$C,'Ausgaben 2023'!$C163,Einzelbeträge!$E:$E,'Ausgaben 2023'!M$6)</f>
        <v>0</v>
      </c>
      <c r="N163" s="35">
        <f>SUMIFS(Einzelbeträge!$D:$D,Einzelbeträge!$C:$C,'Ausgaben 2023'!$C163,Einzelbeträge!$E:$E,'Ausgaben 2023'!N$6)</f>
        <v>0</v>
      </c>
      <c r="O163" s="6"/>
    </row>
    <row r="164" spans="2:15" x14ac:dyDescent="0.35">
      <c r="B164" s="5"/>
      <c r="C164" s="40">
        <f t="shared" si="20"/>
        <v>45071</v>
      </c>
      <c r="D164" s="46">
        <f>SUMIFS(Einzelbeträge!$D:$D,Einzelbeträge!$C:$C,'Ausgaben 2023'!$C164)</f>
        <v>0</v>
      </c>
      <c r="E164" s="21">
        <f>SUMIFS(Einzelbeträge!$D:$D,Einzelbeträge!$C:$C,'Ausgaben 2023'!$C164,Einzelbeträge!$E:$E,'Ausgaben 2023'!E$6)</f>
        <v>0</v>
      </c>
      <c r="F164" s="21">
        <f>SUMIFS(Einzelbeträge!$D:$D,Einzelbeträge!$C:$C,'Ausgaben 2023'!$C164,Einzelbeträge!$E:$E,'Ausgaben 2023'!F$6)</f>
        <v>0</v>
      </c>
      <c r="G164" s="21">
        <f>SUMIFS(Einzelbeträge!$D:$D,Einzelbeträge!$C:$C,'Ausgaben 2023'!$C164,Einzelbeträge!$E:$E,'Ausgaben 2023'!G$6)</f>
        <v>0</v>
      </c>
      <c r="H164" s="21">
        <f>SUMIFS(Einzelbeträge!$D:$D,Einzelbeträge!$C:$C,'Ausgaben 2023'!$C164,Einzelbeträge!$E:$E,'Ausgaben 2023'!H$6)</f>
        <v>0</v>
      </c>
      <c r="I164" s="21">
        <f>SUMIFS(Einzelbeträge!$D:$D,Einzelbeträge!$C:$C,'Ausgaben 2023'!$C164,Einzelbeträge!$E:$E,'Ausgaben 2023'!I$6)</f>
        <v>0</v>
      </c>
      <c r="J164" s="21">
        <f>SUMIFS(Einzelbeträge!$D:$D,Einzelbeträge!$C:$C,'Ausgaben 2023'!$C164,Einzelbeträge!$E:$E,'Ausgaben 2023'!J$6)</f>
        <v>0</v>
      </c>
      <c r="K164" s="21">
        <f>SUMIFS(Einzelbeträge!$D:$D,Einzelbeträge!$C:$C,'Ausgaben 2023'!$C164,Einzelbeträge!$E:$E,'Ausgaben 2023'!K$6)</f>
        <v>0</v>
      </c>
      <c r="L164" s="21">
        <f>SUMIFS(Einzelbeträge!$D:$D,Einzelbeträge!$C:$C,'Ausgaben 2023'!$C164,Einzelbeträge!$E:$E,'Ausgaben 2023'!L$6)</f>
        <v>0</v>
      </c>
      <c r="M164" s="21">
        <f>SUMIFS(Einzelbeträge!$D:$D,Einzelbeträge!$C:$C,'Ausgaben 2023'!$C164,Einzelbeträge!$E:$E,'Ausgaben 2023'!M$6)</f>
        <v>0</v>
      </c>
      <c r="N164" s="35">
        <f>SUMIFS(Einzelbeträge!$D:$D,Einzelbeträge!$C:$C,'Ausgaben 2023'!$C164,Einzelbeträge!$E:$E,'Ausgaben 2023'!N$6)</f>
        <v>0</v>
      </c>
      <c r="O164" s="6"/>
    </row>
    <row r="165" spans="2:15" x14ac:dyDescent="0.35">
      <c r="B165" s="5"/>
      <c r="C165" s="40">
        <f t="shared" si="20"/>
        <v>45072</v>
      </c>
      <c r="D165" s="46">
        <f>SUMIFS(Einzelbeträge!$D:$D,Einzelbeträge!$C:$C,'Ausgaben 2023'!$C165)</f>
        <v>0</v>
      </c>
      <c r="E165" s="21">
        <f>SUMIFS(Einzelbeträge!$D:$D,Einzelbeträge!$C:$C,'Ausgaben 2023'!$C165,Einzelbeträge!$E:$E,'Ausgaben 2023'!E$6)</f>
        <v>0</v>
      </c>
      <c r="F165" s="21">
        <f>SUMIFS(Einzelbeträge!$D:$D,Einzelbeträge!$C:$C,'Ausgaben 2023'!$C165,Einzelbeträge!$E:$E,'Ausgaben 2023'!F$6)</f>
        <v>0</v>
      </c>
      <c r="G165" s="21">
        <f>SUMIFS(Einzelbeträge!$D:$D,Einzelbeträge!$C:$C,'Ausgaben 2023'!$C165,Einzelbeträge!$E:$E,'Ausgaben 2023'!G$6)</f>
        <v>0</v>
      </c>
      <c r="H165" s="21">
        <f>SUMIFS(Einzelbeträge!$D:$D,Einzelbeträge!$C:$C,'Ausgaben 2023'!$C165,Einzelbeträge!$E:$E,'Ausgaben 2023'!H$6)</f>
        <v>0</v>
      </c>
      <c r="I165" s="21">
        <f>SUMIFS(Einzelbeträge!$D:$D,Einzelbeträge!$C:$C,'Ausgaben 2023'!$C165,Einzelbeträge!$E:$E,'Ausgaben 2023'!I$6)</f>
        <v>0</v>
      </c>
      <c r="J165" s="21">
        <f>SUMIFS(Einzelbeträge!$D:$D,Einzelbeträge!$C:$C,'Ausgaben 2023'!$C165,Einzelbeträge!$E:$E,'Ausgaben 2023'!J$6)</f>
        <v>0</v>
      </c>
      <c r="K165" s="21">
        <f>SUMIFS(Einzelbeträge!$D:$D,Einzelbeträge!$C:$C,'Ausgaben 2023'!$C165,Einzelbeträge!$E:$E,'Ausgaben 2023'!K$6)</f>
        <v>0</v>
      </c>
      <c r="L165" s="21">
        <f>SUMIFS(Einzelbeträge!$D:$D,Einzelbeträge!$C:$C,'Ausgaben 2023'!$C165,Einzelbeträge!$E:$E,'Ausgaben 2023'!L$6)</f>
        <v>0</v>
      </c>
      <c r="M165" s="21">
        <f>SUMIFS(Einzelbeträge!$D:$D,Einzelbeträge!$C:$C,'Ausgaben 2023'!$C165,Einzelbeträge!$E:$E,'Ausgaben 2023'!M$6)</f>
        <v>0</v>
      </c>
      <c r="N165" s="35">
        <f>SUMIFS(Einzelbeträge!$D:$D,Einzelbeträge!$C:$C,'Ausgaben 2023'!$C165,Einzelbeträge!$E:$E,'Ausgaben 2023'!N$6)</f>
        <v>0</v>
      </c>
      <c r="O165" s="6"/>
    </row>
    <row r="166" spans="2:15" x14ac:dyDescent="0.35">
      <c r="B166" s="5"/>
      <c r="C166" s="40">
        <f t="shared" si="20"/>
        <v>45073</v>
      </c>
      <c r="D166" s="46">
        <f>SUMIFS(Einzelbeträge!$D:$D,Einzelbeträge!$C:$C,'Ausgaben 2023'!$C166)</f>
        <v>0</v>
      </c>
      <c r="E166" s="21">
        <f>SUMIFS(Einzelbeträge!$D:$D,Einzelbeträge!$C:$C,'Ausgaben 2023'!$C166,Einzelbeträge!$E:$E,'Ausgaben 2023'!E$6)</f>
        <v>0</v>
      </c>
      <c r="F166" s="21">
        <f>SUMIFS(Einzelbeträge!$D:$D,Einzelbeträge!$C:$C,'Ausgaben 2023'!$C166,Einzelbeträge!$E:$E,'Ausgaben 2023'!F$6)</f>
        <v>0</v>
      </c>
      <c r="G166" s="21">
        <f>SUMIFS(Einzelbeträge!$D:$D,Einzelbeträge!$C:$C,'Ausgaben 2023'!$C166,Einzelbeträge!$E:$E,'Ausgaben 2023'!G$6)</f>
        <v>0</v>
      </c>
      <c r="H166" s="21">
        <f>SUMIFS(Einzelbeträge!$D:$D,Einzelbeträge!$C:$C,'Ausgaben 2023'!$C166,Einzelbeträge!$E:$E,'Ausgaben 2023'!H$6)</f>
        <v>0</v>
      </c>
      <c r="I166" s="21">
        <f>SUMIFS(Einzelbeträge!$D:$D,Einzelbeträge!$C:$C,'Ausgaben 2023'!$C166,Einzelbeträge!$E:$E,'Ausgaben 2023'!I$6)</f>
        <v>0</v>
      </c>
      <c r="J166" s="21">
        <f>SUMIFS(Einzelbeträge!$D:$D,Einzelbeträge!$C:$C,'Ausgaben 2023'!$C166,Einzelbeträge!$E:$E,'Ausgaben 2023'!J$6)</f>
        <v>0</v>
      </c>
      <c r="K166" s="21">
        <f>SUMIFS(Einzelbeträge!$D:$D,Einzelbeträge!$C:$C,'Ausgaben 2023'!$C166,Einzelbeträge!$E:$E,'Ausgaben 2023'!K$6)</f>
        <v>0</v>
      </c>
      <c r="L166" s="21">
        <f>SUMIFS(Einzelbeträge!$D:$D,Einzelbeträge!$C:$C,'Ausgaben 2023'!$C166,Einzelbeträge!$E:$E,'Ausgaben 2023'!L$6)</f>
        <v>0</v>
      </c>
      <c r="M166" s="21">
        <f>SUMIFS(Einzelbeträge!$D:$D,Einzelbeträge!$C:$C,'Ausgaben 2023'!$C166,Einzelbeträge!$E:$E,'Ausgaben 2023'!M$6)</f>
        <v>0</v>
      </c>
      <c r="N166" s="35">
        <f>SUMIFS(Einzelbeträge!$D:$D,Einzelbeträge!$C:$C,'Ausgaben 2023'!$C166,Einzelbeträge!$E:$E,'Ausgaben 2023'!N$6)</f>
        <v>0</v>
      </c>
      <c r="O166" s="6"/>
    </row>
    <row r="167" spans="2:15" x14ac:dyDescent="0.35">
      <c r="B167" s="5"/>
      <c r="C167" s="40">
        <f t="shared" si="20"/>
        <v>45074</v>
      </c>
      <c r="D167" s="46">
        <f>SUMIFS(Einzelbeträge!$D:$D,Einzelbeträge!$C:$C,'Ausgaben 2023'!$C167)</f>
        <v>0</v>
      </c>
      <c r="E167" s="21">
        <f>SUMIFS(Einzelbeträge!$D:$D,Einzelbeträge!$C:$C,'Ausgaben 2023'!$C167,Einzelbeträge!$E:$E,'Ausgaben 2023'!E$6)</f>
        <v>0</v>
      </c>
      <c r="F167" s="21">
        <f>SUMIFS(Einzelbeträge!$D:$D,Einzelbeträge!$C:$C,'Ausgaben 2023'!$C167,Einzelbeträge!$E:$E,'Ausgaben 2023'!F$6)</f>
        <v>0</v>
      </c>
      <c r="G167" s="21">
        <f>SUMIFS(Einzelbeträge!$D:$D,Einzelbeträge!$C:$C,'Ausgaben 2023'!$C167,Einzelbeträge!$E:$E,'Ausgaben 2023'!G$6)</f>
        <v>0</v>
      </c>
      <c r="H167" s="21">
        <f>SUMIFS(Einzelbeträge!$D:$D,Einzelbeträge!$C:$C,'Ausgaben 2023'!$C167,Einzelbeträge!$E:$E,'Ausgaben 2023'!H$6)</f>
        <v>0</v>
      </c>
      <c r="I167" s="21">
        <f>SUMIFS(Einzelbeträge!$D:$D,Einzelbeträge!$C:$C,'Ausgaben 2023'!$C167,Einzelbeträge!$E:$E,'Ausgaben 2023'!I$6)</f>
        <v>0</v>
      </c>
      <c r="J167" s="21">
        <f>SUMIFS(Einzelbeträge!$D:$D,Einzelbeträge!$C:$C,'Ausgaben 2023'!$C167,Einzelbeträge!$E:$E,'Ausgaben 2023'!J$6)</f>
        <v>0</v>
      </c>
      <c r="K167" s="21">
        <f>SUMIFS(Einzelbeträge!$D:$D,Einzelbeträge!$C:$C,'Ausgaben 2023'!$C167,Einzelbeträge!$E:$E,'Ausgaben 2023'!K$6)</f>
        <v>0</v>
      </c>
      <c r="L167" s="21">
        <f>SUMIFS(Einzelbeträge!$D:$D,Einzelbeträge!$C:$C,'Ausgaben 2023'!$C167,Einzelbeträge!$E:$E,'Ausgaben 2023'!L$6)</f>
        <v>0</v>
      </c>
      <c r="M167" s="21">
        <f>SUMIFS(Einzelbeträge!$D:$D,Einzelbeträge!$C:$C,'Ausgaben 2023'!$C167,Einzelbeträge!$E:$E,'Ausgaben 2023'!M$6)</f>
        <v>0</v>
      </c>
      <c r="N167" s="35">
        <f>SUMIFS(Einzelbeträge!$D:$D,Einzelbeträge!$C:$C,'Ausgaben 2023'!$C167,Einzelbeträge!$E:$E,'Ausgaben 2023'!N$6)</f>
        <v>0</v>
      </c>
      <c r="O167" s="6"/>
    </row>
    <row r="168" spans="2:15" x14ac:dyDescent="0.35">
      <c r="B168" s="5"/>
      <c r="C168" s="40">
        <f t="shared" si="20"/>
        <v>45075</v>
      </c>
      <c r="D168" s="46">
        <f>SUMIFS(Einzelbeträge!$D:$D,Einzelbeträge!$C:$C,'Ausgaben 2023'!$C168)</f>
        <v>0</v>
      </c>
      <c r="E168" s="21">
        <f>SUMIFS(Einzelbeträge!$D:$D,Einzelbeträge!$C:$C,'Ausgaben 2023'!$C168,Einzelbeträge!$E:$E,'Ausgaben 2023'!E$6)</f>
        <v>0</v>
      </c>
      <c r="F168" s="21">
        <f>SUMIFS(Einzelbeträge!$D:$D,Einzelbeträge!$C:$C,'Ausgaben 2023'!$C168,Einzelbeträge!$E:$E,'Ausgaben 2023'!F$6)</f>
        <v>0</v>
      </c>
      <c r="G168" s="21">
        <f>SUMIFS(Einzelbeträge!$D:$D,Einzelbeträge!$C:$C,'Ausgaben 2023'!$C168,Einzelbeträge!$E:$E,'Ausgaben 2023'!G$6)</f>
        <v>0</v>
      </c>
      <c r="H168" s="21">
        <f>SUMIFS(Einzelbeträge!$D:$D,Einzelbeträge!$C:$C,'Ausgaben 2023'!$C168,Einzelbeträge!$E:$E,'Ausgaben 2023'!H$6)</f>
        <v>0</v>
      </c>
      <c r="I168" s="21">
        <f>SUMIFS(Einzelbeträge!$D:$D,Einzelbeträge!$C:$C,'Ausgaben 2023'!$C168,Einzelbeträge!$E:$E,'Ausgaben 2023'!I$6)</f>
        <v>0</v>
      </c>
      <c r="J168" s="21">
        <f>SUMIFS(Einzelbeträge!$D:$D,Einzelbeträge!$C:$C,'Ausgaben 2023'!$C168,Einzelbeträge!$E:$E,'Ausgaben 2023'!J$6)</f>
        <v>0</v>
      </c>
      <c r="K168" s="21">
        <f>SUMIFS(Einzelbeträge!$D:$D,Einzelbeträge!$C:$C,'Ausgaben 2023'!$C168,Einzelbeträge!$E:$E,'Ausgaben 2023'!K$6)</f>
        <v>0</v>
      </c>
      <c r="L168" s="21">
        <f>SUMIFS(Einzelbeträge!$D:$D,Einzelbeträge!$C:$C,'Ausgaben 2023'!$C168,Einzelbeträge!$E:$E,'Ausgaben 2023'!L$6)</f>
        <v>0</v>
      </c>
      <c r="M168" s="21">
        <f>SUMIFS(Einzelbeträge!$D:$D,Einzelbeträge!$C:$C,'Ausgaben 2023'!$C168,Einzelbeträge!$E:$E,'Ausgaben 2023'!M$6)</f>
        <v>0</v>
      </c>
      <c r="N168" s="35">
        <f>SUMIFS(Einzelbeträge!$D:$D,Einzelbeträge!$C:$C,'Ausgaben 2023'!$C168,Einzelbeträge!$E:$E,'Ausgaben 2023'!N$6)</f>
        <v>0</v>
      </c>
      <c r="O168" s="6"/>
    </row>
    <row r="169" spans="2:15" x14ac:dyDescent="0.35">
      <c r="B169" s="5"/>
      <c r="C169" s="40">
        <f t="shared" si="20"/>
        <v>45076</v>
      </c>
      <c r="D169" s="46">
        <f>SUMIFS(Einzelbeträge!$D:$D,Einzelbeträge!$C:$C,'Ausgaben 2023'!$C169)</f>
        <v>0</v>
      </c>
      <c r="E169" s="21">
        <f>SUMIFS(Einzelbeträge!$D:$D,Einzelbeträge!$C:$C,'Ausgaben 2023'!$C169,Einzelbeträge!$E:$E,'Ausgaben 2023'!E$6)</f>
        <v>0</v>
      </c>
      <c r="F169" s="21">
        <f>SUMIFS(Einzelbeträge!$D:$D,Einzelbeträge!$C:$C,'Ausgaben 2023'!$C169,Einzelbeträge!$E:$E,'Ausgaben 2023'!F$6)</f>
        <v>0</v>
      </c>
      <c r="G169" s="21">
        <f>SUMIFS(Einzelbeträge!$D:$D,Einzelbeträge!$C:$C,'Ausgaben 2023'!$C169,Einzelbeträge!$E:$E,'Ausgaben 2023'!G$6)</f>
        <v>0</v>
      </c>
      <c r="H169" s="21">
        <f>SUMIFS(Einzelbeträge!$D:$D,Einzelbeträge!$C:$C,'Ausgaben 2023'!$C169,Einzelbeträge!$E:$E,'Ausgaben 2023'!H$6)</f>
        <v>0</v>
      </c>
      <c r="I169" s="21">
        <f>SUMIFS(Einzelbeträge!$D:$D,Einzelbeträge!$C:$C,'Ausgaben 2023'!$C169,Einzelbeträge!$E:$E,'Ausgaben 2023'!I$6)</f>
        <v>0</v>
      </c>
      <c r="J169" s="21">
        <f>SUMIFS(Einzelbeträge!$D:$D,Einzelbeträge!$C:$C,'Ausgaben 2023'!$C169,Einzelbeträge!$E:$E,'Ausgaben 2023'!J$6)</f>
        <v>0</v>
      </c>
      <c r="K169" s="21">
        <f>SUMIFS(Einzelbeträge!$D:$D,Einzelbeträge!$C:$C,'Ausgaben 2023'!$C169,Einzelbeträge!$E:$E,'Ausgaben 2023'!K$6)</f>
        <v>0</v>
      </c>
      <c r="L169" s="21">
        <f>SUMIFS(Einzelbeträge!$D:$D,Einzelbeträge!$C:$C,'Ausgaben 2023'!$C169,Einzelbeträge!$E:$E,'Ausgaben 2023'!L$6)</f>
        <v>0</v>
      </c>
      <c r="M169" s="21">
        <f>SUMIFS(Einzelbeträge!$D:$D,Einzelbeträge!$C:$C,'Ausgaben 2023'!$C169,Einzelbeträge!$E:$E,'Ausgaben 2023'!M$6)</f>
        <v>0</v>
      </c>
      <c r="N169" s="35">
        <f>SUMIFS(Einzelbeträge!$D:$D,Einzelbeträge!$C:$C,'Ausgaben 2023'!$C169,Einzelbeträge!$E:$E,'Ausgaben 2023'!N$6)</f>
        <v>0</v>
      </c>
      <c r="O169" s="6"/>
    </row>
    <row r="170" spans="2:15" x14ac:dyDescent="0.35">
      <c r="B170" s="5"/>
      <c r="C170" s="31">
        <f t="shared" si="20"/>
        <v>45077</v>
      </c>
      <c r="D170" s="47">
        <f>SUMIFS(Einzelbeträge!$D:$D,Einzelbeträge!$C:$C,'Ausgaben 2023'!$C170)</f>
        <v>0</v>
      </c>
      <c r="E170" s="37">
        <f>SUMIFS(Einzelbeträge!$D:$D,Einzelbeträge!$C:$C,'Ausgaben 2023'!$C170,Einzelbeträge!$E:$E,'Ausgaben 2023'!E$6)</f>
        <v>0</v>
      </c>
      <c r="F170" s="37">
        <f>SUMIFS(Einzelbeträge!$D:$D,Einzelbeträge!$C:$C,'Ausgaben 2023'!$C170,Einzelbeträge!$E:$E,'Ausgaben 2023'!F$6)</f>
        <v>0</v>
      </c>
      <c r="G170" s="37">
        <f>SUMIFS(Einzelbeträge!$D:$D,Einzelbeträge!$C:$C,'Ausgaben 2023'!$C170,Einzelbeträge!$E:$E,'Ausgaben 2023'!G$6)</f>
        <v>0</v>
      </c>
      <c r="H170" s="37">
        <f>SUMIFS(Einzelbeträge!$D:$D,Einzelbeträge!$C:$C,'Ausgaben 2023'!$C170,Einzelbeträge!$E:$E,'Ausgaben 2023'!H$6)</f>
        <v>0</v>
      </c>
      <c r="I170" s="37">
        <f>SUMIFS(Einzelbeträge!$D:$D,Einzelbeträge!$C:$C,'Ausgaben 2023'!$C170,Einzelbeträge!$E:$E,'Ausgaben 2023'!I$6)</f>
        <v>0</v>
      </c>
      <c r="J170" s="37">
        <f>SUMIFS(Einzelbeträge!$D:$D,Einzelbeträge!$C:$C,'Ausgaben 2023'!$C170,Einzelbeträge!$E:$E,'Ausgaben 2023'!J$6)</f>
        <v>0</v>
      </c>
      <c r="K170" s="37">
        <f>SUMIFS(Einzelbeträge!$D:$D,Einzelbeträge!$C:$C,'Ausgaben 2023'!$C170,Einzelbeträge!$E:$E,'Ausgaben 2023'!K$6)</f>
        <v>0</v>
      </c>
      <c r="L170" s="37">
        <f>SUMIFS(Einzelbeträge!$D:$D,Einzelbeträge!$C:$C,'Ausgaben 2023'!$C170,Einzelbeträge!$E:$E,'Ausgaben 2023'!L$6)</f>
        <v>0</v>
      </c>
      <c r="M170" s="37">
        <f>SUMIFS(Einzelbeträge!$D:$D,Einzelbeträge!$C:$C,'Ausgaben 2023'!$C170,Einzelbeträge!$E:$E,'Ausgaben 2023'!M$6)</f>
        <v>0</v>
      </c>
      <c r="N170" s="38">
        <f>SUMIFS(Einzelbeträge!$D:$D,Einzelbeträge!$C:$C,'Ausgaben 2023'!$C170,Einzelbeträge!$E:$E,'Ausgaben 2023'!N$6)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45078</v>
      </c>
      <c r="D174" s="45">
        <f>SUMIFS(Einzelbeträge!$D:$D,Einzelbeträge!$C:$C,'Ausgaben 2023'!$C174)</f>
        <v>0</v>
      </c>
      <c r="E174" s="32">
        <f>SUMIFS(Einzelbeträge!$D:$D,Einzelbeträge!$C:$C,'Ausgaben 2023'!$C174,Einzelbeträge!$E:$E,'Ausgaben 2023'!E$6)</f>
        <v>0</v>
      </c>
      <c r="F174" s="32">
        <f>SUMIFS(Einzelbeträge!$D:$D,Einzelbeträge!$C:$C,'Ausgaben 2023'!$C174,Einzelbeträge!$E:$E,'Ausgaben 2023'!F$6)</f>
        <v>0</v>
      </c>
      <c r="G174" s="32">
        <f>SUMIFS(Einzelbeträge!$D:$D,Einzelbeträge!$C:$C,'Ausgaben 2023'!$C174,Einzelbeträge!$E:$E,'Ausgaben 2023'!G$6)</f>
        <v>0</v>
      </c>
      <c r="H174" s="32">
        <f>SUMIFS(Einzelbeträge!$D:$D,Einzelbeträge!$C:$C,'Ausgaben 2023'!$C174,Einzelbeträge!$E:$E,'Ausgaben 2023'!H$6)</f>
        <v>0</v>
      </c>
      <c r="I174" s="32">
        <f>SUMIFS(Einzelbeträge!$D:$D,Einzelbeträge!$C:$C,'Ausgaben 2023'!$C174,Einzelbeträge!$E:$E,'Ausgaben 2023'!I$6)</f>
        <v>0</v>
      </c>
      <c r="J174" s="32">
        <f>SUMIFS(Einzelbeträge!$D:$D,Einzelbeträge!$C:$C,'Ausgaben 2023'!$C174,Einzelbeträge!$E:$E,'Ausgaben 2023'!J$6)</f>
        <v>0</v>
      </c>
      <c r="K174" s="32">
        <f>SUMIFS(Einzelbeträge!$D:$D,Einzelbeträge!$C:$C,'Ausgaben 2023'!$C174,Einzelbeträge!$E:$E,'Ausgaben 2023'!K$6)</f>
        <v>0</v>
      </c>
      <c r="L174" s="32">
        <f>SUMIFS(Einzelbeträge!$D:$D,Einzelbeträge!$C:$C,'Ausgaben 2023'!$C174,Einzelbeträge!$E:$E,'Ausgaben 2023'!L$6)</f>
        <v>0</v>
      </c>
      <c r="M174" s="32">
        <f>SUMIFS(Einzelbeträge!$D:$D,Einzelbeträge!$C:$C,'Ausgaben 2023'!$C174,Einzelbeträge!$E:$E,'Ausgaben 2023'!M$6)</f>
        <v>0</v>
      </c>
      <c r="N174" s="33">
        <f>SUMIFS(Einzelbeträge!$D:$D,Einzelbeträge!$C:$C,'Ausgaben 2023'!$C174,Einzelbeträge!$E:$E,'Ausgaben 2023'!N$6)</f>
        <v>0</v>
      </c>
      <c r="O174" s="6"/>
    </row>
    <row r="175" spans="2:15" x14ac:dyDescent="0.35">
      <c r="B175" s="5"/>
      <c r="C175" s="30">
        <f>C174+1</f>
        <v>45079</v>
      </c>
      <c r="D175" s="46">
        <f>SUMIFS(Einzelbeträge!$D:$D,Einzelbeträge!$C:$C,'Ausgaben 2023'!$C175)</f>
        <v>0</v>
      </c>
      <c r="E175" s="21">
        <f>SUMIFS(Einzelbeträge!$D:$D,Einzelbeträge!$C:$C,'Ausgaben 2023'!$C175,Einzelbeträge!$E:$E,'Ausgaben 2023'!E$6)</f>
        <v>0</v>
      </c>
      <c r="F175" s="21">
        <f>SUMIFS(Einzelbeträge!$D:$D,Einzelbeträge!$C:$C,'Ausgaben 2023'!$C175,Einzelbeträge!$E:$E,'Ausgaben 2023'!F$6)</f>
        <v>0</v>
      </c>
      <c r="G175" s="21">
        <f>SUMIFS(Einzelbeträge!$D:$D,Einzelbeträge!$C:$C,'Ausgaben 2023'!$C175,Einzelbeträge!$E:$E,'Ausgaben 2023'!G$6)</f>
        <v>0</v>
      </c>
      <c r="H175" s="21">
        <f>SUMIFS(Einzelbeträge!$D:$D,Einzelbeträge!$C:$C,'Ausgaben 2023'!$C175,Einzelbeträge!$E:$E,'Ausgaben 2023'!H$6)</f>
        <v>0</v>
      </c>
      <c r="I175" s="21">
        <f>SUMIFS(Einzelbeträge!$D:$D,Einzelbeträge!$C:$C,'Ausgaben 2023'!$C175,Einzelbeträge!$E:$E,'Ausgaben 2023'!I$6)</f>
        <v>0</v>
      </c>
      <c r="J175" s="21">
        <f>SUMIFS(Einzelbeträge!$D:$D,Einzelbeträge!$C:$C,'Ausgaben 2023'!$C175,Einzelbeträge!$E:$E,'Ausgaben 2023'!J$6)</f>
        <v>0</v>
      </c>
      <c r="K175" s="21">
        <f>SUMIFS(Einzelbeträge!$D:$D,Einzelbeträge!$C:$C,'Ausgaben 2023'!$C175,Einzelbeträge!$E:$E,'Ausgaben 2023'!K$6)</f>
        <v>0</v>
      </c>
      <c r="L175" s="21">
        <f>SUMIFS(Einzelbeträge!$D:$D,Einzelbeträge!$C:$C,'Ausgaben 2023'!$C175,Einzelbeträge!$E:$E,'Ausgaben 2023'!L$6)</f>
        <v>0</v>
      </c>
      <c r="M175" s="21">
        <f>SUMIFS(Einzelbeträge!$D:$D,Einzelbeträge!$C:$C,'Ausgaben 2023'!$C175,Einzelbeträge!$E:$E,'Ausgaben 2023'!M$6)</f>
        <v>0</v>
      </c>
      <c r="N175" s="35">
        <f>SUMIFS(Einzelbeträge!$D:$D,Einzelbeträge!$C:$C,'Ausgaben 2023'!$C175,Einzelbeträge!$E:$E,'Ausgaben 2023'!N$6)</f>
        <v>0</v>
      </c>
      <c r="O175" s="6"/>
    </row>
    <row r="176" spans="2:15" x14ac:dyDescent="0.35">
      <c r="B176" s="5"/>
      <c r="C176" s="30">
        <f t="shared" ref="C176:C203" si="21">C175+1</f>
        <v>45080</v>
      </c>
      <c r="D176" s="46">
        <f>SUMIFS(Einzelbeträge!$D:$D,Einzelbeträge!$C:$C,'Ausgaben 2023'!$C176)</f>
        <v>0</v>
      </c>
      <c r="E176" s="21">
        <f>SUMIFS(Einzelbeträge!$D:$D,Einzelbeträge!$C:$C,'Ausgaben 2023'!$C176,Einzelbeträge!$E:$E,'Ausgaben 2023'!E$6)</f>
        <v>0</v>
      </c>
      <c r="F176" s="21">
        <f>SUMIFS(Einzelbeträge!$D:$D,Einzelbeträge!$C:$C,'Ausgaben 2023'!$C176,Einzelbeträge!$E:$E,'Ausgaben 2023'!F$6)</f>
        <v>0</v>
      </c>
      <c r="G176" s="21">
        <f>SUMIFS(Einzelbeträge!$D:$D,Einzelbeträge!$C:$C,'Ausgaben 2023'!$C176,Einzelbeträge!$E:$E,'Ausgaben 2023'!G$6)</f>
        <v>0</v>
      </c>
      <c r="H176" s="21">
        <f>SUMIFS(Einzelbeträge!$D:$D,Einzelbeträge!$C:$C,'Ausgaben 2023'!$C176,Einzelbeträge!$E:$E,'Ausgaben 2023'!H$6)</f>
        <v>0</v>
      </c>
      <c r="I176" s="21">
        <f>SUMIFS(Einzelbeträge!$D:$D,Einzelbeträge!$C:$C,'Ausgaben 2023'!$C176,Einzelbeträge!$E:$E,'Ausgaben 2023'!I$6)</f>
        <v>0</v>
      </c>
      <c r="J176" s="21">
        <f>SUMIFS(Einzelbeträge!$D:$D,Einzelbeträge!$C:$C,'Ausgaben 2023'!$C176,Einzelbeträge!$E:$E,'Ausgaben 2023'!J$6)</f>
        <v>0</v>
      </c>
      <c r="K176" s="21">
        <f>SUMIFS(Einzelbeträge!$D:$D,Einzelbeträge!$C:$C,'Ausgaben 2023'!$C176,Einzelbeträge!$E:$E,'Ausgaben 2023'!K$6)</f>
        <v>0</v>
      </c>
      <c r="L176" s="21">
        <f>SUMIFS(Einzelbeträge!$D:$D,Einzelbeträge!$C:$C,'Ausgaben 2023'!$C176,Einzelbeträge!$E:$E,'Ausgaben 2023'!L$6)</f>
        <v>0</v>
      </c>
      <c r="M176" s="21">
        <f>SUMIFS(Einzelbeträge!$D:$D,Einzelbeträge!$C:$C,'Ausgaben 2023'!$C176,Einzelbeträge!$E:$E,'Ausgaben 2023'!M$6)</f>
        <v>0</v>
      </c>
      <c r="N176" s="35">
        <f>SUMIFS(Einzelbeträge!$D:$D,Einzelbeträge!$C:$C,'Ausgaben 2023'!$C176,Einzelbeträge!$E:$E,'Ausgaben 2023'!N$6)</f>
        <v>0</v>
      </c>
      <c r="O176" s="6"/>
    </row>
    <row r="177" spans="2:15" x14ac:dyDescent="0.35">
      <c r="B177" s="5"/>
      <c r="C177" s="30">
        <f t="shared" si="21"/>
        <v>45081</v>
      </c>
      <c r="D177" s="46">
        <f>SUMIFS(Einzelbeträge!$D:$D,Einzelbeträge!$C:$C,'Ausgaben 2023'!$C177)</f>
        <v>0</v>
      </c>
      <c r="E177" s="21">
        <f>SUMIFS(Einzelbeträge!$D:$D,Einzelbeträge!$C:$C,'Ausgaben 2023'!$C177,Einzelbeträge!$E:$E,'Ausgaben 2023'!E$6)</f>
        <v>0</v>
      </c>
      <c r="F177" s="21">
        <f>SUMIFS(Einzelbeträge!$D:$D,Einzelbeträge!$C:$C,'Ausgaben 2023'!$C177,Einzelbeträge!$E:$E,'Ausgaben 2023'!F$6)</f>
        <v>0</v>
      </c>
      <c r="G177" s="21">
        <f>SUMIFS(Einzelbeträge!$D:$D,Einzelbeträge!$C:$C,'Ausgaben 2023'!$C177,Einzelbeträge!$E:$E,'Ausgaben 2023'!G$6)</f>
        <v>0</v>
      </c>
      <c r="H177" s="21">
        <f>SUMIFS(Einzelbeträge!$D:$D,Einzelbeträge!$C:$C,'Ausgaben 2023'!$C177,Einzelbeträge!$E:$E,'Ausgaben 2023'!H$6)</f>
        <v>0</v>
      </c>
      <c r="I177" s="21">
        <f>SUMIFS(Einzelbeträge!$D:$D,Einzelbeträge!$C:$C,'Ausgaben 2023'!$C177,Einzelbeträge!$E:$E,'Ausgaben 2023'!I$6)</f>
        <v>0</v>
      </c>
      <c r="J177" s="21">
        <f>SUMIFS(Einzelbeträge!$D:$D,Einzelbeträge!$C:$C,'Ausgaben 2023'!$C177,Einzelbeträge!$E:$E,'Ausgaben 2023'!J$6)</f>
        <v>0</v>
      </c>
      <c r="K177" s="21">
        <f>SUMIFS(Einzelbeträge!$D:$D,Einzelbeträge!$C:$C,'Ausgaben 2023'!$C177,Einzelbeträge!$E:$E,'Ausgaben 2023'!K$6)</f>
        <v>0</v>
      </c>
      <c r="L177" s="21">
        <f>SUMIFS(Einzelbeträge!$D:$D,Einzelbeträge!$C:$C,'Ausgaben 2023'!$C177,Einzelbeträge!$E:$E,'Ausgaben 2023'!L$6)</f>
        <v>0</v>
      </c>
      <c r="M177" s="21">
        <f>SUMIFS(Einzelbeträge!$D:$D,Einzelbeträge!$C:$C,'Ausgaben 2023'!$C177,Einzelbeträge!$E:$E,'Ausgaben 2023'!M$6)</f>
        <v>0</v>
      </c>
      <c r="N177" s="35">
        <f>SUMIFS(Einzelbeträge!$D:$D,Einzelbeträge!$C:$C,'Ausgaben 2023'!$C177,Einzelbeträge!$E:$E,'Ausgaben 2023'!N$6)</f>
        <v>0</v>
      </c>
      <c r="O177" s="6"/>
    </row>
    <row r="178" spans="2:15" x14ac:dyDescent="0.35">
      <c r="B178" s="5"/>
      <c r="C178" s="30">
        <f t="shared" si="21"/>
        <v>45082</v>
      </c>
      <c r="D178" s="46">
        <f>SUMIFS(Einzelbeträge!$D:$D,Einzelbeträge!$C:$C,'Ausgaben 2023'!$C178)</f>
        <v>0</v>
      </c>
      <c r="E178" s="21">
        <f>SUMIFS(Einzelbeträge!$D:$D,Einzelbeträge!$C:$C,'Ausgaben 2023'!$C178,Einzelbeträge!$E:$E,'Ausgaben 2023'!E$6)</f>
        <v>0</v>
      </c>
      <c r="F178" s="21">
        <f>SUMIFS(Einzelbeträge!$D:$D,Einzelbeträge!$C:$C,'Ausgaben 2023'!$C178,Einzelbeträge!$E:$E,'Ausgaben 2023'!F$6)</f>
        <v>0</v>
      </c>
      <c r="G178" s="21">
        <f>SUMIFS(Einzelbeträge!$D:$D,Einzelbeträge!$C:$C,'Ausgaben 2023'!$C178,Einzelbeträge!$E:$E,'Ausgaben 2023'!G$6)</f>
        <v>0</v>
      </c>
      <c r="H178" s="21">
        <f>SUMIFS(Einzelbeträge!$D:$D,Einzelbeträge!$C:$C,'Ausgaben 2023'!$C178,Einzelbeträge!$E:$E,'Ausgaben 2023'!H$6)</f>
        <v>0</v>
      </c>
      <c r="I178" s="21">
        <f>SUMIFS(Einzelbeträge!$D:$D,Einzelbeträge!$C:$C,'Ausgaben 2023'!$C178,Einzelbeträge!$E:$E,'Ausgaben 2023'!I$6)</f>
        <v>0</v>
      </c>
      <c r="J178" s="21">
        <f>SUMIFS(Einzelbeträge!$D:$D,Einzelbeträge!$C:$C,'Ausgaben 2023'!$C178,Einzelbeträge!$E:$E,'Ausgaben 2023'!J$6)</f>
        <v>0</v>
      </c>
      <c r="K178" s="21">
        <f>SUMIFS(Einzelbeträge!$D:$D,Einzelbeträge!$C:$C,'Ausgaben 2023'!$C178,Einzelbeträge!$E:$E,'Ausgaben 2023'!K$6)</f>
        <v>0</v>
      </c>
      <c r="L178" s="21">
        <f>SUMIFS(Einzelbeträge!$D:$D,Einzelbeträge!$C:$C,'Ausgaben 2023'!$C178,Einzelbeträge!$E:$E,'Ausgaben 2023'!L$6)</f>
        <v>0</v>
      </c>
      <c r="M178" s="21">
        <f>SUMIFS(Einzelbeträge!$D:$D,Einzelbeträge!$C:$C,'Ausgaben 2023'!$C178,Einzelbeträge!$E:$E,'Ausgaben 2023'!M$6)</f>
        <v>0</v>
      </c>
      <c r="N178" s="35">
        <f>SUMIFS(Einzelbeträge!$D:$D,Einzelbeträge!$C:$C,'Ausgaben 2023'!$C178,Einzelbeträge!$E:$E,'Ausgaben 2023'!N$6)</f>
        <v>0</v>
      </c>
      <c r="O178" s="6"/>
    </row>
    <row r="179" spans="2:15" x14ac:dyDescent="0.35">
      <c r="B179" s="5"/>
      <c r="C179" s="30">
        <f t="shared" si="21"/>
        <v>45083</v>
      </c>
      <c r="D179" s="46">
        <f>SUMIFS(Einzelbeträge!$D:$D,Einzelbeträge!$C:$C,'Ausgaben 2023'!$C179)</f>
        <v>0</v>
      </c>
      <c r="E179" s="21">
        <f>SUMIFS(Einzelbeträge!$D:$D,Einzelbeträge!$C:$C,'Ausgaben 2023'!$C179,Einzelbeträge!$E:$E,'Ausgaben 2023'!E$6)</f>
        <v>0</v>
      </c>
      <c r="F179" s="21">
        <f>SUMIFS(Einzelbeträge!$D:$D,Einzelbeträge!$C:$C,'Ausgaben 2023'!$C179,Einzelbeträge!$E:$E,'Ausgaben 2023'!F$6)</f>
        <v>0</v>
      </c>
      <c r="G179" s="21">
        <f>SUMIFS(Einzelbeträge!$D:$D,Einzelbeträge!$C:$C,'Ausgaben 2023'!$C179,Einzelbeträge!$E:$E,'Ausgaben 2023'!G$6)</f>
        <v>0</v>
      </c>
      <c r="H179" s="21">
        <f>SUMIFS(Einzelbeträge!$D:$D,Einzelbeträge!$C:$C,'Ausgaben 2023'!$C179,Einzelbeträge!$E:$E,'Ausgaben 2023'!H$6)</f>
        <v>0</v>
      </c>
      <c r="I179" s="21">
        <f>SUMIFS(Einzelbeträge!$D:$D,Einzelbeträge!$C:$C,'Ausgaben 2023'!$C179,Einzelbeträge!$E:$E,'Ausgaben 2023'!I$6)</f>
        <v>0</v>
      </c>
      <c r="J179" s="21">
        <f>SUMIFS(Einzelbeträge!$D:$D,Einzelbeträge!$C:$C,'Ausgaben 2023'!$C179,Einzelbeträge!$E:$E,'Ausgaben 2023'!J$6)</f>
        <v>0</v>
      </c>
      <c r="K179" s="21">
        <f>SUMIFS(Einzelbeträge!$D:$D,Einzelbeträge!$C:$C,'Ausgaben 2023'!$C179,Einzelbeträge!$E:$E,'Ausgaben 2023'!K$6)</f>
        <v>0</v>
      </c>
      <c r="L179" s="21">
        <f>SUMIFS(Einzelbeträge!$D:$D,Einzelbeträge!$C:$C,'Ausgaben 2023'!$C179,Einzelbeträge!$E:$E,'Ausgaben 2023'!L$6)</f>
        <v>0</v>
      </c>
      <c r="M179" s="21">
        <f>SUMIFS(Einzelbeträge!$D:$D,Einzelbeträge!$C:$C,'Ausgaben 2023'!$C179,Einzelbeträge!$E:$E,'Ausgaben 2023'!M$6)</f>
        <v>0</v>
      </c>
      <c r="N179" s="35">
        <f>SUMIFS(Einzelbeträge!$D:$D,Einzelbeträge!$C:$C,'Ausgaben 2023'!$C179,Einzelbeträge!$E:$E,'Ausgaben 2023'!N$6)</f>
        <v>0</v>
      </c>
      <c r="O179" s="6"/>
    </row>
    <row r="180" spans="2:15" x14ac:dyDescent="0.35">
      <c r="B180" s="5"/>
      <c r="C180" s="30">
        <f t="shared" si="21"/>
        <v>45084</v>
      </c>
      <c r="D180" s="46">
        <f>SUMIFS(Einzelbeträge!$D:$D,Einzelbeträge!$C:$C,'Ausgaben 2023'!$C180)</f>
        <v>0</v>
      </c>
      <c r="E180" s="21">
        <f>SUMIFS(Einzelbeträge!$D:$D,Einzelbeträge!$C:$C,'Ausgaben 2023'!$C180,Einzelbeträge!$E:$E,'Ausgaben 2023'!E$6)</f>
        <v>0</v>
      </c>
      <c r="F180" s="21">
        <f>SUMIFS(Einzelbeträge!$D:$D,Einzelbeträge!$C:$C,'Ausgaben 2023'!$C180,Einzelbeträge!$E:$E,'Ausgaben 2023'!F$6)</f>
        <v>0</v>
      </c>
      <c r="G180" s="21">
        <f>SUMIFS(Einzelbeträge!$D:$D,Einzelbeträge!$C:$C,'Ausgaben 2023'!$C180,Einzelbeträge!$E:$E,'Ausgaben 2023'!G$6)</f>
        <v>0</v>
      </c>
      <c r="H180" s="21">
        <f>SUMIFS(Einzelbeträge!$D:$D,Einzelbeträge!$C:$C,'Ausgaben 2023'!$C180,Einzelbeträge!$E:$E,'Ausgaben 2023'!H$6)</f>
        <v>0</v>
      </c>
      <c r="I180" s="21">
        <f>SUMIFS(Einzelbeträge!$D:$D,Einzelbeträge!$C:$C,'Ausgaben 2023'!$C180,Einzelbeträge!$E:$E,'Ausgaben 2023'!I$6)</f>
        <v>0</v>
      </c>
      <c r="J180" s="21">
        <f>SUMIFS(Einzelbeträge!$D:$D,Einzelbeträge!$C:$C,'Ausgaben 2023'!$C180,Einzelbeträge!$E:$E,'Ausgaben 2023'!J$6)</f>
        <v>0</v>
      </c>
      <c r="K180" s="21">
        <f>SUMIFS(Einzelbeträge!$D:$D,Einzelbeträge!$C:$C,'Ausgaben 2023'!$C180,Einzelbeträge!$E:$E,'Ausgaben 2023'!K$6)</f>
        <v>0</v>
      </c>
      <c r="L180" s="21">
        <f>SUMIFS(Einzelbeträge!$D:$D,Einzelbeträge!$C:$C,'Ausgaben 2023'!$C180,Einzelbeträge!$E:$E,'Ausgaben 2023'!L$6)</f>
        <v>0</v>
      </c>
      <c r="M180" s="21">
        <f>SUMIFS(Einzelbeträge!$D:$D,Einzelbeträge!$C:$C,'Ausgaben 2023'!$C180,Einzelbeträge!$E:$E,'Ausgaben 2023'!M$6)</f>
        <v>0</v>
      </c>
      <c r="N180" s="35">
        <f>SUMIFS(Einzelbeträge!$D:$D,Einzelbeträge!$C:$C,'Ausgaben 2023'!$C180,Einzelbeträge!$E:$E,'Ausgaben 2023'!N$6)</f>
        <v>0</v>
      </c>
      <c r="O180" s="6"/>
    </row>
    <row r="181" spans="2:15" x14ac:dyDescent="0.35">
      <c r="B181" s="5"/>
      <c r="C181" s="30">
        <f t="shared" si="21"/>
        <v>45085</v>
      </c>
      <c r="D181" s="46">
        <f>SUMIFS(Einzelbeträge!$D:$D,Einzelbeträge!$C:$C,'Ausgaben 2023'!$C181)</f>
        <v>0</v>
      </c>
      <c r="E181" s="21">
        <f>SUMIFS(Einzelbeträge!$D:$D,Einzelbeträge!$C:$C,'Ausgaben 2023'!$C181,Einzelbeträge!$E:$E,'Ausgaben 2023'!E$6)</f>
        <v>0</v>
      </c>
      <c r="F181" s="21">
        <f>SUMIFS(Einzelbeträge!$D:$D,Einzelbeträge!$C:$C,'Ausgaben 2023'!$C181,Einzelbeträge!$E:$E,'Ausgaben 2023'!F$6)</f>
        <v>0</v>
      </c>
      <c r="G181" s="21">
        <f>SUMIFS(Einzelbeträge!$D:$D,Einzelbeträge!$C:$C,'Ausgaben 2023'!$C181,Einzelbeträge!$E:$E,'Ausgaben 2023'!G$6)</f>
        <v>0</v>
      </c>
      <c r="H181" s="21">
        <f>SUMIFS(Einzelbeträge!$D:$D,Einzelbeträge!$C:$C,'Ausgaben 2023'!$C181,Einzelbeträge!$E:$E,'Ausgaben 2023'!H$6)</f>
        <v>0</v>
      </c>
      <c r="I181" s="21">
        <f>SUMIFS(Einzelbeträge!$D:$D,Einzelbeträge!$C:$C,'Ausgaben 2023'!$C181,Einzelbeträge!$E:$E,'Ausgaben 2023'!I$6)</f>
        <v>0</v>
      </c>
      <c r="J181" s="21">
        <f>SUMIFS(Einzelbeträge!$D:$D,Einzelbeträge!$C:$C,'Ausgaben 2023'!$C181,Einzelbeträge!$E:$E,'Ausgaben 2023'!J$6)</f>
        <v>0</v>
      </c>
      <c r="K181" s="21">
        <f>SUMIFS(Einzelbeträge!$D:$D,Einzelbeträge!$C:$C,'Ausgaben 2023'!$C181,Einzelbeträge!$E:$E,'Ausgaben 2023'!K$6)</f>
        <v>0</v>
      </c>
      <c r="L181" s="21">
        <f>SUMIFS(Einzelbeträge!$D:$D,Einzelbeträge!$C:$C,'Ausgaben 2023'!$C181,Einzelbeträge!$E:$E,'Ausgaben 2023'!L$6)</f>
        <v>0</v>
      </c>
      <c r="M181" s="21">
        <f>SUMIFS(Einzelbeträge!$D:$D,Einzelbeträge!$C:$C,'Ausgaben 2023'!$C181,Einzelbeträge!$E:$E,'Ausgaben 2023'!M$6)</f>
        <v>0</v>
      </c>
      <c r="N181" s="35">
        <f>SUMIFS(Einzelbeträge!$D:$D,Einzelbeträge!$C:$C,'Ausgaben 2023'!$C181,Einzelbeträge!$E:$E,'Ausgaben 2023'!N$6)</f>
        <v>0</v>
      </c>
      <c r="O181" s="6"/>
    </row>
    <row r="182" spans="2:15" x14ac:dyDescent="0.35">
      <c r="B182" s="5"/>
      <c r="C182" s="30">
        <f t="shared" si="21"/>
        <v>45086</v>
      </c>
      <c r="D182" s="46">
        <f>SUMIFS(Einzelbeträge!$D:$D,Einzelbeträge!$C:$C,'Ausgaben 2023'!$C182)</f>
        <v>0</v>
      </c>
      <c r="E182" s="21">
        <f>SUMIFS(Einzelbeträge!$D:$D,Einzelbeträge!$C:$C,'Ausgaben 2023'!$C182,Einzelbeträge!$E:$E,'Ausgaben 2023'!E$6)</f>
        <v>0</v>
      </c>
      <c r="F182" s="21">
        <f>SUMIFS(Einzelbeträge!$D:$D,Einzelbeträge!$C:$C,'Ausgaben 2023'!$C182,Einzelbeträge!$E:$E,'Ausgaben 2023'!F$6)</f>
        <v>0</v>
      </c>
      <c r="G182" s="21">
        <f>SUMIFS(Einzelbeträge!$D:$D,Einzelbeträge!$C:$C,'Ausgaben 2023'!$C182,Einzelbeträge!$E:$E,'Ausgaben 2023'!G$6)</f>
        <v>0</v>
      </c>
      <c r="H182" s="21">
        <f>SUMIFS(Einzelbeträge!$D:$D,Einzelbeträge!$C:$C,'Ausgaben 2023'!$C182,Einzelbeträge!$E:$E,'Ausgaben 2023'!H$6)</f>
        <v>0</v>
      </c>
      <c r="I182" s="21">
        <f>SUMIFS(Einzelbeträge!$D:$D,Einzelbeträge!$C:$C,'Ausgaben 2023'!$C182,Einzelbeträge!$E:$E,'Ausgaben 2023'!I$6)</f>
        <v>0</v>
      </c>
      <c r="J182" s="21">
        <f>SUMIFS(Einzelbeträge!$D:$D,Einzelbeträge!$C:$C,'Ausgaben 2023'!$C182,Einzelbeträge!$E:$E,'Ausgaben 2023'!J$6)</f>
        <v>0</v>
      </c>
      <c r="K182" s="21">
        <f>SUMIFS(Einzelbeträge!$D:$D,Einzelbeträge!$C:$C,'Ausgaben 2023'!$C182,Einzelbeträge!$E:$E,'Ausgaben 2023'!K$6)</f>
        <v>0</v>
      </c>
      <c r="L182" s="21">
        <f>SUMIFS(Einzelbeträge!$D:$D,Einzelbeträge!$C:$C,'Ausgaben 2023'!$C182,Einzelbeträge!$E:$E,'Ausgaben 2023'!L$6)</f>
        <v>0</v>
      </c>
      <c r="M182" s="21">
        <f>SUMIFS(Einzelbeträge!$D:$D,Einzelbeträge!$C:$C,'Ausgaben 2023'!$C182,Einzelbeträge!$E:$E,'Ausgaben 2023'!M$6)</f>
        <v>0</v>
      </c>
      <c r="N182" s="35">
        <f>SUMIFS(Einzelbeträge!$D:$D,Einzelbeträge!$C:$C,'Ausgaben 2023'!$C182,Einzelbeträge!$E:$E,'Ausgaben 2023'!N$6)</f>
        <v>0</v>
      </c>
      <c r="O182" s="6"/>
    </row>
    <row r="183" spans="2:15" x14ac:dyDescent="0.35">
      <c r="B183" s="5"/>
      <c r="C183" s="30">
        <f t="shared" si="21"/>
        <v>45087</v>
      </c>
      <c r="D183" s="46">
        <f>SUMIFS(Einzelbeträge!$D:$D,Einzelbeträge!$C:$C,'Ausgaben 2023'!$C183)</f>
        <v>0</v>
      </c>
      <c r="E183" s="21">
        <f>SUMIFS(Einzelbeträge!$D:$D,Einzelbeträge!$C:$C,'Ausgaben 2023'!$C183,Einzelbeträge!$E:$E,'Ausgaben 2023'!E$6)</f>
        <v>0</v>
      </c>
      <c r="F183" s="21">
        <f>SUMIFS(Einzelbeträge!$D:$D,Einzelbeträge!$C:$C,'Ausgaben 2023'!$C183,Einzelbeträge!$E:$E,'Ausgaben 2023'!F$6)</f>
        <v>0</v>
      </c>
      <c r="G183" s="21">
        <f>SUMIFS(Einzelbeträge!$D:$D,Einzelbeträge!$C:$C,'Ausgaben 2023'!$C183,Einzelbeträge!$E:$E,'Ausgaben 2023'!G$6)</f>
        <v>0</v>
      </c>
      <c r="H183" s="21">
        <f>SUMIFS(Einzelbeträge!$D:$D,Einzelbeträge!$C:$C,'Ausgaben 2023'!$C183,Einzelbeträge!$E:$E,'Ausgaben 2023'!H$6)</f>
        <v>0</v>
      </c>
      <c r="I183" s="21">
        <f>SUMIFS(Einzelbeträge!$D:$D,Einzelbeträge!$C:$C,'Ausgaben 2023'!$C183,Einzelbeträge!$E:$E,'Ausgaben 2023'!I$6)</f>
        <v>0</v>
      </c>
      <c r="J183" s="21">
        <f>SUMIFS(Einzelbeträge!$D:$D,Einzelbeträge!$C:$C,'Ausgaben 2023'!$C183,Einzelbeträge!$E:$E,'Ausgaben 2023'!J$6)</f>
        <v>0</v>
      </c>
      <c r="K183" s="21">
        <f>SUMIFS(Einzelbeträge!$D:$D,Einzelbeträge!$C:$C,'Ausgaben 2023'!$C183,Einzelbeträge!$E:$E,'Ausgaben 2023'!K$6)</f>
        <v>0</v>
      </c>
      <c r="L183" s="21">
        <f>SUMIFS(Einzelbeträge!$D:$D,Einzelbeträge!$C:$C,'Ausgaben 2023'!$C183,Einzelbeträge!$E:$E,'Ausgaben 2023'!L$6)</f>
        <v>0</v>
      </c>
      <c r="M183" s="21">
        <f>SUMIFS(Einzelbeträge!$D:$D,Einzelbeträge!$C:$C,'Ausgaben 2023'!$C183,Einzelbeträge!$E:$E,'Ausgaben 2023'!M$6)</f>
        <v>0</v>
      </c>
      <c r="N183" s="35">
        <f>SUMIFS(Einzelbeträge!$D:$D,Einzelbeträge!$C:$C,'Ausgaben 2023'!$C183,Einzelbeträge!$E:$E,'Ausgaben 2023'!N$6)</f>
        <v>0</v>
      </c>
      <c r="O183" s="6"/>
    </row>
    <row r="184" spans="2:15" x14ac:dyDescent="0.35">
      <c r="B184" s="5"/>
      <c r="C184" s="30">
        <f t="shared" si="21"/>
        <v>45088</v>
      </c>
      <c r="D184" s="46">
        <f>SUMIFS(Einzelbeträge!$D:$D,Einzelbeträge!$C:$C,'Ausgaben 2023'!$C184)</f>
        <v>0</v>
      </c>
      <c r="E184" s="21">
        <f>SUMIFS(Einzelbeträge!$D:$D,Einzelbeträge!$C:$C,'Ausgaben 2023'!$C184,Einzelbeträge!$E:$E,'Ausgaben 2023'!E$6)</f>
        <v>0</v>
      </c>
      <c r="F184" s="21">
        <f>SUMIFS(Einzelbeträge!$D:$D,Einzelbeträge!$C:$C,'Ausgaben 2023'!$C184,Einzelbeträge!$E:$E,'Ausgaben 2023'!F$6)</f>
        <v>0</v>
      </c>
      <c r="G184" s="21">
        <f>SUMIFS(Einzelbeträge!$D:$D,Einzelbeträge!$C:$C,'Ausgaben 2023'!$C184,Einzelbeträge!$E:$E,'Ausgaben 2023'!G$6)</f>
        <v>0</v>
      </c>
      <c r="H184" s="21">
        <f>SUMIFS(Einzelbeträge!$D:$D,Einzelbeträge!$C:$C,'Ausgaben 2023'!$C184,Einzelbeträge!$E:$E,'Ausgaben 2023'!H$6)</f>
        <v>0</v>
      </c>
      <c r="I184" s="21">
        <f>SUMIFS(Einzelbeträge!$D:$D,Einzelbeträge!$C:$C,'Ausgaben 2023'!$C184,Einzelbeträge!$E:$E,'Ausgaben 2023'!I$6)</f>
        <v>0</v>
      </c>
      <c r="J184" s="21">
        <f>SUMIFS(Einzelbeträge!$D:$D,Einzelbeträge!$C:$C,'Ausgaben 2023'!$C184,Einzelbeträge!$E:$E,'Ausgaben 2023'!J$6)</f>
        <v>0</v>
      </c>
      <c r="K184" s="21">
        <f>SUMIFS(Einzelbeträge!$D:$D,Einzelbeträge!$C:$C,'Ausgaben 2023'!$C184,Einzelbeträge!$E:$E,'Ausgaben 2023'!K$6)</f>
        <v>0</v>
      </c>
      <c r="L184" s="21">
        <f>SUMIFS(Einzelbeträge!$D:$D,Einzelbeträge!$C:$C,'Ausgaben 2023'!$C184,Einzelbeträge!$E:$E,'Ausgaben 2023'!L$6)</f>
        <v>0</v>
      </c>
      <c r="M184" s="21">
        <f>SUMIFS(Einzelbeträge!$D:$D,Einzelbeträge!$C:$C,'Ausgaben 2023'!$C184,Einzelbeträge!$E:$E,'Ausgaben 2023'!M$6)</f>
        <v>0</v>
      </c>
      <c r="N184" s="35">
        <f>SUMIFS(Einzelbeträge!$D:$D,Einzelbeträge!$C:$C,'Ausgaben 2023'!$C184,Einzelbeträge!$E:$E,'Ausgaben 2023'!N$6)</f>
        <v>0</v>
      </c>
      <c r="O184" s="6"/>
    </row>
    <row r="185" spans="2:15" x14ac:dyDescent="0.35">
      <c r="B185" s="5"/>
      <c r="C185" s="30">
        <f t="shared" si="21"/>
        <v>45089</v>
      </c>
      <c r="D185" s="46">
        <f>SUMIFS(Einzelbeträge!$D:$D,Einzelbeträge!$C:$C,'Ausgaben 2023'!$C185)</f>
        <v>0</v>
      </c>
      <c r="E185" s="21">
        <f>SUMIFS(Einzelbeträge!$D:$D,Einzelbeträge!$C:$C,'Ausgaben 2023'!$C185,Einzelbeträge!$E:$E,'Ausgaben 2023'!E$6)</f>
        <v>0</v>
      </c>
      <c r="F185" s="21">
        <f>SUMIFS(Einzelbeträge!$D:$D,Einzelbeträge!$C:$C,'Ausgaben 2023'!$C185,Einzelbeträge!$E:$E,'Ausgaben 2023'!F$6)</f>
        <v>0</v>
      </c>
      <c r="G185" s="21">
        <f>SUMIFS(Einzelbeträge!$D:$D,Einzelbeträge!$C:$C,'Ausgaben 2023'!$C185,Einzelbeträge!$E:$E,'Ausgaben 2023'!G$6)</f>
        <v>0</v>
      </c>
      <c r="H185" s="21">
        <f>SUMIFS(Einzelbeträge!$D:$D,Einzelbeträge!$C:$C,'Ausgaben 2023'!$C185,Einzelbeträge!$E:$E,'Ausgaben 2023'!H$6)</f>
        <v>0</v>
      </c>
      <c r="I185" s="21">
        <f>SUMIFS(Einzelbeträge!$D:$D,Einzelbeträge!$C:$C,'Ausgaben 2023'!$C185,Einzelbeträge!$E:$E,'Ausgaben 2023'!I$6)</f>
        <v>0</v>
      </c>
      <c r="J185" s="21">
        <f>SUMIFS(Einzelbeträge!$D:$D,Einzelbeträge!$C:$C,'Ausgaben 2023'!$C185,Einzelbeträge!$E:$E,'Ausgaben 2023'!J$6)</f>
        <v>0</v>
      </c>
      <c r="K185" s="21">
        <f>SUMIFS(Einzelbeträge!$D:$D,Einzelbeträge!$C:$C,'Ausgaben 2023'!$C185,Einzelbeträge!$E:$E,'Ausgaben 2023'!K$6)</f>
        <v>0</v>
      </c>
      <c r="L185" s="21">
        <f>SUMIFS(Einzelbeträge!$D:$D,Einzelbeträge!$C:$C,'Ausgaben 2023'!$C185,Einzelbeträge!$E:$E,'Ausgaben 2023'!L$6)</f>
        <v>0</v>
      </c>
      <c r="M185" s="21">
        <f>SUMIFS(Einzelbeträge!$D:$D,Einzelbeträge!$C:$C,'Ausgaben 2023'!$C185,Einzelbeträge!$E:$E,'Ausgaben 2023'!M$6)</f>
        <v>0</v>
      </c>
      <c r="N185" s="35">
        <f>SUMIFS(Einzelbeträge!$D:$D,Einzelbeträge!$C:$C,'Ausgaben 2023'!$C185,Einzelbeträge!$E:$E,'Ausgaben 2023'!N$6)</f>
        <v>0</v>
      </c>
      <c r="O185" s="6"/>
    </row>
    <row r="186" spans="2:15" x14ac:dyDescent="0.35">
      <c r="B186" s="5"/>
      <c r="C186" s="30">
        <f t="shared" si="21"/>
        <v>45090</v>
      </c>
      <c r="D186" s="46">
        <f>SUMIFS(Einzelbeträge!$D:$D,Einzelbeträge!$C:$C,'Ausgaben 2023'!$C186)</f>
        <v>0</v>
      </c>
      <c r="E186" s="21">
        <f>SUMIFS(Einzelbeträge!$D:$D,Einzelbeträge!$C:$C,'Ausgaben 2023'!$C186,Einzelbeträge!$E:$E,'Ausgaben 2023'!E$6)</f>
        <v>0</v>
      </c>
      <c r="F186" s="21">
        <f>SUMIFS(Einzelbeträge!$D:$D,Einzelbeträge!$C:$C,'Ausgaben 2023'!$C186,Einzelbeträge!$E:$E,'Ausgaben 2023'!F$6)</f>
        <v>0</v>
      </c>
      <c r="G186" s="21">
        <f>SUMIFS(Einzelbeträge!$D:$D,Einzelbeträge!$C:$C,'Ausgaben 2023'!$C186,Einzelbeträge!$E:$E,'Ausgaben 2023'!G$6)</f>
        <v>0</v>
      </c>
      <c r="H186" s="21">
        <f>SUMIFS(Einzelbeträge!$D:$D,Einzelbeträge!$C:$C,'Ausgaben 2023'!$C186,Einzelbeträge!$E:$E,'Ausgaben 2023'!H$6)</f>
        <v>0</v>
      </c>
      <c r="I186" s="21">
        <f>SUMIFS(Einzelbeträge!$D:$D,Einzelbeträge!$C:$C,'Ausgaben 2023'!$C186,Einzelbeträge!$E:$E,'Ausgaben 2023'!I$6)</f>
        <v>0</v>
      </c>
      <c r="J186" s="21">
        <f>SUMIFS(Einzelbeträge!$D:$D,Einzelbeträge!$C:$C,'Ausgaben 2023'!$C186,Einzelbeträge!$E:$E,'Ausgaben 2023'!J$6)</f>
        <v>0</v>
      </c>
      <c r="K186" s="21">
        <f>SUMIFS(Einzelbeträge!$D:$D,Einzelbeträge!$C:$C,'Ausgaben 2023'!$C186,Einzelbeträge!$E:$E,'Ausgaben 2023'!K$6)</f>
        <v>0</v>
      </c>
      <c r="L186" s="21">
        <f>SUMIFS(Einzelbeträge!$D:$D,Einzelbeträge!$C:$C,'Ausgaben 2023'!$C186,Einzelbeträge!$E:$E,'Ausgaben 2023'!L$6)</f>
        <v>0</v>
      </c>
      <c r="M186" s="21">
        <f>SUMIFS(Einzelbeträge!$D:$D,Einzelbeträge!$C:$C,'Ausgaben 2023'!$C186,Einzelbeträge!$E:$E,'Ausgaben 2023'!M$6)</f>
        <v>0</v>
      </c>
      <c r="N186" s="35">
        <f>SUMIFS(Einzelbeträge!$D:$D,Einzelbeträge!$C:$C,'Ausgaben 2023'!$C186,Einzelbeträge!$E:$E,'Ausgaben 2023'!N$6)</f>
        <v>0</v>
      </c>
      <c r="O186" s="6"/>
    </row>
    <row r="187" spans="2:15" x14ac:dyDescent="0.35">
      <c r="B187" s="5"/>
      <c r="C187" s="30">
        <f t="shared" si="21"/>
        <v>45091</v>
      </c>
      <c r="D187" s="46">
        <f>SUMIFS(Einzelbeträge!$D:$D,Einzelbeträge!$C:$C,'Ausgaben 2023'!$C187)</f>
        <v>0</v>
      </c>
      <c r="E187" s="21">
        <f>SUMIFS(Einzelbeträge!$D:$D,Einzelbeträge!$C:$C,'Ausgaben 2023'!$C187,Einzelbeträge!$E:$E,'Ausgaben 2023'!E$6)</f>
        <v>0</v>
      </c>
      <c r="F187" s="21">
        <f>SUMIFS(Einzelbeträge!$D:$D,Einzelbeträge!$C:$C,'Ausgaben 2023'!$C187,Einzelbeträge!$E:$E,'Ausgaben 2023'!F$6)</f>
        <v>0</v>
      </c>
      <c r="G187" s="21">
        <f>SUMIFS(Einzelbeträge!$D:$D,Einzelbeträge!$C:$C,'Ausgaben 2023'!$C187,Einzelbeträge!$E:$E,'Ausgaben 2023'!G$6)</f>
        <v>0</v>
      </c>
      <c r="H187" s="21">
        <f>SUMIFS(Einzelbeträge!$D:$D,Einzelbeträge!$C:$C,'Ausgaben 2023'!$C187,Einzelbeträge!$E:$E,'Ausgaben 2023'!H$6)</f>
        <v>0</v>
      </c>
      <c r="I187" s="21">
        <f>SUMIFS(Einzelbeträge!$D:$D,Einzelbeträge!$C:$C,'Ausgaben 2023'!$C187,Einzelbeträge!$E:$E,'Ausgaben 2023'!I$6)</f>
        <v>0</v>
      </c>
      <c r="J187" s="21">
        <f>SUMIFS(Einzelbeträge!$D:$D,Einzelbeträge!$C:$C,'Ausgaben 2023'!$C187,Einzelbeträge!$E:$E,'Ausgaben 2023'!J$6)</f>
        <v>0</v>
      </c>
      <c r="K187" s="21">
        <f>SUMIFS(Einzelbeträge!$D:$D,Einzelbeträge!$C:$C,'Ausgaben 2023'!$C187,Einzelbeträge!$E:$E,'Ausgaben 2023'!K$6)</f>
        <v>0</v>
      </c>
      <c r="L187" s="21">
        <f>SUMIFS(Einzelbeträge!$D:$D,Einzelbeträge!$C:$C,'Ausgaben 2023'!$C187,Einzelbeträge!$E:$E,'Ausgaben 2023'!L$6)</f>
        <v>0</v>
      </c>
      <c r="M187" s="21">
        <f>SUMIFS(Einzelbeträge!$D:$D,Einzelbeträge!$C:$C,'Ausgaben 2023'!$C187,Einzelbeträge!$E:$E,'Ausgaben 2023'!M$6)</f>
        <v>0</v>
      </c>
      <c r="N187" s="35">
        <f>SUMIFS(Einzelbeträge!$D:$D,Einzelbeträge!$C:$C,'Ausgaben 2023'!$C187,Einzelbeträge!$E:$E,'Ausgaben 2023'!N$6)</f>
        <v>0</v>
      </c>
      <c r="O187" s="6"/>
    </row>
    <row r="188" spans="2:15" x14ac:dyDescent="0.35">
      <c r="B188" s="5"/>
      <c r="C188" s="30">
        <f t="shared" si="21"/>
        <v>45092</v>
      </c>
      <c r="D188" s="46">
        <f>SUMIFS(Einzelbeträge!$D:$D,Einzelbeträge!$C:$C,'Ausgaben 2023'!$C188)</f>
        <v>0</v>
      </c>
      <c r="E188" s="21">
        <f>SUMIFS(Einzelbeträge!$D:$D,Einzelbeträge!$C:$C,'Ausgaben 2023'!$C188,Einzelbeträge!$E:$E,'Ausgaben 2023'!E$6)</f>
        <v>0</v>
      </c>
      <c r="F188" s="21">
        <f>SUMIFS(Einzelbeträge!$D:$D,Einzelbeträge!$C:$C,'Ausgaben 2023'!$C188,Einzelbeträge!$E:$E,'Ausgaben 2023'!F$6)</f>
        <v>0</v>
      </c>
      <c r="G188" s="21">
        <f>SUMIFS(Einzelbeträge!$D:$D,Einzelbeträge!$C:$C,'Ausgaben 2023'!$C188,Einzelbeträge!$E:$E,'Ausgaben 2023'!G$6)</f>
        <v>0</v>
      </c>
      <c r="H188" s="21">
        <f>SUMIFS(Einzelbeträge!$D:$D,Einzelbeträge!$C:$C,'Ausgaben 2023'!$C188,Einzelbeträge!$E:$E,'Ausgaben 2023'!H$6)</f>
        <v>0</v>
      </c>
      <c r="I188" s="21">
        <f>SUMIFS(Einzelbeträge!$D:$D,Einzelbeträge!$C:$C,'Ausgaben 2023'!$C188,Einzelbeträge!$E:$E,'Ausgaben 2023'!I$6)</f>
        <v>0</v>
      </c>
      <c r="J188" s="21">
        <f>SUMIFS(Einzelbeträge!$D:$D,Einzelbeträge!$C:$C,'Ausgaben 2023'!$C188,Einzelbeträge!$E:$E,'Ausgaben 2023'!J$6)</f>
        <v>0</v>
      </c>
      <c r="K188" s="21">
        <f>SUMIFS(Einzelbeträge!$D:$D,Einzelbeträge!$C:$C,'Ausgaben 2023'!$C188,Einzelbeträge!$E:$E,'Ausgaben 2023'!K$6)</f>
        <v>0</v>
      </c>
      <c r="L188" s="21">
        <f>SUMIFS(Einzelbeträge!$D:$D,Einzelbeträge!$C:$C,'Ausgaben 2023'!$C188,Einzelbeträge!$E:$E,'Ausgaben 2023'!L$6)</f>
        <v>0</v>
      </c>
      <c r="M188" s="21">
        <f>SUMIFS(Einzelbeträge!$D:$D,Einzelbeträge!$C:$C,'Ausgaben 2023'!$C188,Einzelbeträge!$E:$E,'Ausgaben 2023'!M$6)</f>
        <v>0</v>
      </c>
      <c r="N188" s="35">
        <f>SUMIFS(Einzelbeträge!$D:$D,Einzelbeträge!$C:$C,'Ausgaben 2023'!$C188,Einzelbeträge!$E:$E,'Ausgaben 2023'!N$6)</f>
        <v>0</v>
      </c>
      <c r="O188" s="6"/>
    </row>
    <row r="189" spans="2:15" x14ac:dyDescent="0.35">
      <c r="B189" s="5"/>
      <c r="C189" s="30">
        <f t="shared" si="21"/>
        <v>45093</v>
      </c>
      <c r="D189" s="46">
        <f>SUMIFS(Einzelbeträge!$D:$D,Einzelbeträge!$C:$C,'Ausgaben 2023'!$C189)</f>
        <v>0</v>
      </c>
      <c r="E189" s="21">
        <f>SUMIFS(Einzelbeträge!$D:$D,Einzelbeträge!$C:$C,'Ausgaben 2023'!$C189,Einzelbeträge!$E:$E,'Ausgaben 2023'!E$6)</f>
        <v>0</v>
      </c>
      <c r="F189" s="21">
        <f>SUMIFS(Einzelbeträge!$D:$D,Einzelbeträge!$C:$C,'Ausgaben 2023'!$C189,Einzelbeträge!$E:$E,'Ausgaben 2023'!F$6)</f>
        <v>0</v>
      </c>
      <c r="G189" s="21">
        <f>SUMIFS(Einzelbeträge!$D:$D,Einzelbeträge!$C:$C,'Ausgaben 2023'!$C189,Einzelbeträge!$E:$E,'Ausgaben 2023'!G$6)</f>
        <v>0</v>
      </c>
      <c r="H189" s="21">
        <f>SUMIFS(Einzelbeträge!$D:$D,Einzelbeträge!$C:$C,'Ausgaben 2023'!$C189,Einzelbeträge!$E:$E,'Ausgaben 2023'!H$6)</f>
        <v>0</v>
      </c>
      <c r="I189" s="21">
        <f>SUMIFS(Einzelbeträge!$D:$D,Einzelbeträge!$C:$C,'Ausgaben 2023'!$C189,Einzelbeträge!$E:$E,'Ausgaben 2023'!I$6)</f>
        <v>0</v>
      </c>
      <c r="J189" s="21">
        <f>SUMIFS(Einzelbeträge!$D:$D,Einzelbeträge!$C:$C,'Ausgaben 2023'!$C189,Einzelbeträge!$E:$E,'Ausgaben 2023'!J$6)</f>
        <v>0</v>
      </c>
      <c r="K189" s="21">
        <f>SUMIFS(Einzelbeträge!$D:$D,Einzelbeträge!$C:$C,'Ausgaben 2023'!$C189,Einzelbeträge!$E:$E,'Ausgaben 2023'!K$6)</f>
        <v>0</v>
      </c>
      <c r="L189" s="21">
        <f>SUMIFS(Einzelbeträge!$D:$D,Einzelbeträge!$C:$C,'Ausgaben 2023'!$C189,Einzelbeträge!$E:$E,'Ausgaben 2023'!L$6)</f>
        <v>0</v>
      </c>
      <c r="M189" s="21">
        <f>SUMIFS(Einzelbeträge!$D:$D,Einzelbeträge!$C:$C,'Ausgaben 2023'!$C189,Einzelbeträge!$E:$E,'Ausgaben 2023'!M$6)</f>
        <v>0</v>
      </c>
      <c r="N189" s="35">
        <f>SUMIFS(Einzelbeträge!$D:$D,Einzelbeträge!$C:$C,'Ausgaben 2023'!$C189,Einzelbeträge!$E:$E,'Ausgaben 2023'!N$6)</f>
        <v>0</v>
      </c>
      <c r="O189" s="6"/>
    </row>
    <row r="190" spans="2:15" x14ac:dyDescent="0.35">
      <c r="B190" s="5"/>
      <c r="C190" s="30">
        <f t="shared" si="21"/>
        <v>45094</v>
      </c>
      <c r="D190" s="46">
        <f>SUMIFS(Einzelbeträge!$D:$D,Einzelbeträge!$C:$C,'Ausgaben 2023'!$C190)</f>
        <v>0</v>
      </c>
      <c r="E190" s="21">
        <f>SUMIFS(Einzelbeträge!$D:$D,Einzelbeträge!$C:$C,'Ausgaben 2023'!$C190,Einzelbeträge!$E:$E,'Ausgaben 2023'!E$6)</f>
        <v>0</v>
      </c>
      <c r="F190" s="21">
        <f>SUMIFS(Einzelbeträge!$D:$D,Einzelbeträge!$C:$C,'Ausgaben 2023'!$C190,Einzelbeträge!$E:$E,'Ausgaben 2023'!F$6)</f>
        <v>0</v>
      </c>
      <c r="G190" s="21">
        <f>SUMIFS(Einzelbeträge!$D:$D,Einzelbeträge!$C:$C,'Ausgaben 2023'!$C190,Einzelbeträge!$E:$E,'Ausgaben 2023'!G$6)</f>
        <v>0</v>
      </c>
      <c r="H190" s="21">
        <f>SUMIFS(Einzelbeträge!$D:$D,Einzelbeträge!$C:$C,'Ausgaben 2023'!$C190,Einzelbeträge!$E:$E,'Ausgaben 2023'!H$6)</f>
        <v>0</v>
      </c>
      <c r="I190" s="21">
        <f>SUMIFS(Einzelbeträge!$D:$D,Einzelbeträge!$C:$C,'Ausgaben 2023'!$C190,Einzelbeträge!$E:$E,'Ausgaben 2023'!I$6)</f>
        <v>0</v>
      </c>
      <c r="J190" s="21">
        <f>SUMIFS(Einzelbeträge!$D:$D,Einzelbeträge!$C:$C,'Ausgaben 2023'!$C190,Einzelbeträge!$E:$E,'Ausgaben 2023'!J$6)</f>
        <v>0</v>
      </c>
      <c r="K190" s="21">
        <f>SUMIFS(Einzelbeträge!$D:$D,Einzelbeträge!$C:$C,'Ausgaben 2023'!$C190,Einzelbeträge!$E:$E,'Ausgaben 2023'!K$6)</f>
        <v>0</v>
      </c>
      <c r="L190" s="21">
        <f>SUMIFS(Einzelbeträge!$D:$D,Einzelbeträge!$C:$C,'Ausgaben 2023'!$C190,Einzelbeträge!$E:$E,'Ausgaben 2023'!L$6)</f>
        <v>0</v>
      </c>
      <c r="M190" s="21">
        <f>SUMIFS(Einzelbeträge!$D:$D,Einzelbeträge!$C:$C,'Ausgaben 2023'!$C190,Einzelbeträge!$E:$E,'Ausgaben 2023'!M$6)</f>
        <v>0</v>
      </c>
      <c r="N190" s="35">
        <f>SUMIFS(Einzelbeträge!$D:$D,Einzelbeträge!$C:$C,'Ausgaben 2023'!$C190,Einzelbeträge!$E:$E,'Ausgaben 2023'!N$6)</f>
        <v>0</v>
      </c>
      <c r="O190" s="6"/>
    </row>
    <row r="191" spans="2:15" x14ac:dyDescent="0.35">
      <c r="B191" s="5"/>
      <c r="C191" s="30">
        <f t="shared" si="21"/>
        <v>45095</v>
      </c>
      <c r="D191" s="46">
        <f>SUMIFS(Einzelbeträge!$D:$D,Einzelbeträge!$C:$C,'Ausgaben 2023'!$C191)</f>
        <v>0</v>
      </c>
      <c r="E191" s="21">
        <f>SUMIFS(Einzelbeträge!$D:$D,Einzelbeträge!$C:$C,'Ausgaben 2023'!$C191,Einzelbeträge!$E:$E,'Ausgaben 2023'!E$6)</f>
        <v>0</v>
      </c>
      <c r="F191" s="21">
        <f>SUMIFS(Einzelbeträge!$D:$D,Einzelbeträge!$C:$C,'Ausgaben 2023'!$C191,Einzelbeträge!$E:$E,'Ausgaben 2023'!F$6)</f>
        <v>0</v>
      </c>
      <c r="G191" s="21">
        <f>SUMIFS(Einzelbeträge!$D:$D,Einzelbeträge!$C:$C,'Ausgaben 2023'!$C191,Einzelbeträge!$E:$E,'Ausgaben 2023'!G$6)</f>
        <v>0</v>
      </c>
      <c r="H191" s="21">
        <f>SUMIFS(Einzelbeträge!$D:$D,Einzelbeträge!$C:$C,'Ausgaben 2023'!$C191,Einzelbeträge!$E:$E,'Ausgaben 2023'!H$6)</f>
        <v>0</v>
      </c>
      <c r="I191" s="21">
        <f>SUMIFS(Einzelbeträge!$D:$D,Einzelbeträge!$C:$C,'Ausgaben 2023'!$C191,Einzelbeträge!$E:$E,'Ausgaben 2023'!I$6)</f>
        <v>0</v>
      </c>
      <c r="J191" s="21">
        <f>SUMIFS(Einzelbeträge!$D:$D,Einzelbeträge!$C:$C,'Ausgaben 2023'!$C191,Einzelbeträge!$E:$E,'Ausgaben 2023'!J$6)</f>
        <v>0</v>
      </c>
      <c r="K191" s="21">
        <f>SUMIFS(Einzelbeträge!$D:$D,Einzelbeträge!$C:$C,'Ausgaben 2023'!$C191,Einzelbeträge!$E:$E,'Ausgaben 2023'!K$6)</f>
        <v>0</v>
      </c>
      <c r="L191" s="21">
        <f>SUMIFS(Einzelbeträge!$D:$D,Einzelbeträge!$C:$C,'Ausgaben 2023'!$C191,Einzelbeträge!$E:$E,'Ausgaben 2023'!L$6)</f>
        <v>0</v>
      </c>
      <c r="M191" s="21">
        <f>SUMIFS(Einzelbeträge!$D:$D,Einzelbeträge!$C:$C,'Ausgaben 2023'!$C191,Einzelbeträge!$E:$E,'Ausgaben 2023'!M$6)</f>
        <v>0</v>
      </c>
      <c r="N191" s="35">
        <f>SUMIFS(Einzelbeträge!$D:$D,Einzelbeträge!$C:$C,'Ausgaben 2023'!$C191,Einzelbeträge!$E:$E,'Ausgaben 2023'!N$6)</f>
        <v>0</v>
      </c>
      <c r="O191" s="6"/>
    </row>
    <row r="192" spans="2:15" x14ac:dyDescent="0.35">
      <c r="B192" s="5"/>
      <c r="C192" s="30">
        <f t="shared" si="21"/>
        <v>45096</v>
      </c>
      <c r="D192" s="46">
        <f>SUMIFS(Einzelbeträge!$D:$D,Einzelbeträge!$C:$C,'Ausgaben 2023'!$C192)</f>
        <v>0</v>
      </c>
      <c r="E192" s="21">
        <f>SUMIFS(Einzelbeträge!$D:$D,Einzelbeträge!$C:$C,'Ausgaben 2023'!$C192,Einzelbeträge!$E:$E,'Ausgaben 2023'!E$6)</f>
        <v>0</v>
      </c>
      <c r="F192" s="21">
        <f>SUMIFS(Einzelbeträge!$D:$D,Einzelbeträge!$C:$C,'Ausgaben 2023'!$C192,Einzelbeträge!$E:$E,'Ausgaben 2023'!F$6)</f>
        <v>0</v>
      </c>
      <c r="G192" s="21">
        <f>SUMIFS(Einzelbeträge!$D:$D,Einzelbeträge!$C:$C,'Ausgaben 2023'!$C192,Einzelbeträge!$E:$E,'Ausgaben 2023'!G$6)</f>
        <v>0</v>
      </c>
      <c r="H192" s="21">
        <f>SUMIFS(Einzelbeträge!$D:$D,Einzelbeträge!$C:$C,'Ausgaben 2023'!$C192,Einzelbeträge!$E:$E,'Ausgaben 2023'!H$6)</f>
        <v>0</v>
      </c>
      <c r="I192" s="21">
        <f>SUMIFS(Einzelbeträge!$D:$D,Einzelbeträge!$C:$C,'Ausgaben 2023'!$C192,Einzelbeträge!$E:$E,'Ausgaben 2023'!I$6)</f>
        <v>0</v>
      </c>
      <c r="J192" s="21">
        <f>SUMIFS(Einzelbeträge!$D:$D,Einzelbeträge!$C:$C,'Ausgaben 2023'!$C192,Einzelbeträge!$E:$E,'Ausgaben 2023'!J$6)</f>
        <v>0</v>
      </c>
      <c r="K192" s="21">
        <f>SUMIFS(Einzelbeträge!$D:$D,Einzelbeträge!$C:$C,'Ausgaben 2023'!$C192,Einzelbeträge!$E:$E,'Ausgaben 2023'!K$6)</f>
        <v>0</v>
      </c>
      <c r="L192" s="21">
        <f>SUMIFS(Einzelbeträge!$D:$D,Einzelbeträge!$C:$C,'Ausgaben 2023'!$C192,Einzelbeträge!$E:$E,'Ausgaben 2023'!L$6)</f>
        <v>0</v>
      </c>
      <c r="M192" s="21">
        <f>SUMIFS(Einzelbeträge!$D:$D,Einzelbeträge!$C:$C,'Ausgaben 2023'!$C192,Einzelbeträge!$E:$E,'Ausgaben 2023'!M$6)</f>
        <v>0</v>
      </c>
      <c r="N192" s="35">
        <f>SUMIFS(Einzelbeträge!$D:$D,Einzelbeträge!$C:$C,'Ausgaben 2023'!$C192,Einzelbeträge!$E:$E,'Ausgaben 2023'!N$6)</f>
        <v>0</v>
      </c>
      <c r="O192" s="6"/>
    </row>
    <row r="193" spans="2:15" x14ac:dyDescent="0.35">
      <c r="B193" s="5"/>
      <c r="C193" s="30">
        <f t="shared" si="21"/>
        <v>45097</v>
      </c>
      <c r="D193" s="46">
        <f>SUMIFS(Einzelbeträge!$D:$D,Einzelbeträge!$C:$C,'Ausgaben 2023'!$C193)</f>
        <v>0</v>
      </c>
      <c r="E193" s="21">
        <f>SUMIFS(Einzelbeträge!$D:$D,Einzelbeträge!$C:$C,'Ausgaben 2023'!$C193,Einzelbeträge!$E:$E,'Ausgaben 2023'!E$6)</f>
        <v>0</v>
      </c>
      <c r="F193" s="21">
        <f>SUMIFS(Einzelbeträge!$D:$D,Einzelbeträge!$C:$C,'Ausgaben 2023'!$C193,Einzelbeträge!$E:$E,'Ausgaben 2023'!F$6)</f>
        <v>0</v>
      </c>
      <c r="G193" s="21">
        <f>SUMIFS(Einzelbeträge!$D:$D,Einzelbeträge!$C:$C,'Ausgaben 2023'!$C193,Einzelbeträge!$E:$E,'Ausgaben 2023'!G$6)</f>
        <v>0</v>
      </c>
      <c r="H193" s="21">
        <f>SUMIFS(Einzelbeträge!$D:$D,Einzelbeträge!$C:$C,'Ausgaben 2023'!$C193,Einzelbeträge!$E:$E,'Ausgaben 2023'!H$6)</f>
        <v>0</v>
      </c>
      <c r="I193" s="21">
        <f>SUMIFS(Einzelbeträge!$D:$D,Einzelbeträge!$C:$C,'Ausgaben 2023'!$C193,Einzelbeträge!$E:$E,'Ausgaben 2023'!I$6)</f>
        <v>0</v>
      </c>
      <c r="J193" s="21">
        <f>SUMIFS(Einzelbeträge!$D:$D,Einzelbeträge!$C:$C,'Ausgaben 2023'!$C193,Einzelbeträge!$E:$E,'Ausgaben 2023'!J$6)</f>
        <v>0</v>
      </c>
      <c r="K193" s="21">
        <f>SUMIFS(Einzelbeträge!$D:$D,Einzelbeträge!$C:$C,'Ausgaben 2023'!$C193,Einzelbeträge!$E:$E,'Ausgaben 2023'!K$6)</f>
        <v>0</v>
      </c>
      <c r="L193" s="21">
        <f>SUMIFS(Einzelbeträge!$D:$D,Einzelbeträge!$C:$C,'Ausgaben 2023'!$C193,Einzelbeträge!$E:$E,'Ausgaben 2023'!L$6)</f>
        <v>0</v>
      </c>
      <c r="M193" s="21">
        <f>SUMIFS(Einzelbeträge!$D:$D,Einzelbeträge!$C:$C,'Ausgaben 2023'!$C193,Einzelbeträge!$E:$E,'Ausgaben 2023'!M$6)</f>
        <v>0</v>
      </c>
      <c r="N193" s="35">
        <f>SUMIFS(Einzelbeträge!$D:$D,Einzelbeträge!$C:$C,'Ausgaben 2023'!$C193,Einzelbeträge!$E:$E,'Ausgaben 2023'!N$6)</f>
        <v>0</v>
      </c>
      <c r="O193" s="6"/>
    </row>
    <row r="194" spans="2:15" x14ac:dyDescent="0.35">
      <c r="B194" s="5"/>
      <c r="C194" s="30">
        <f t="shared" si="21"/>
        <v>45098</v>
      </c>
      <c r="D194" s="46">
        <f>SUMIFS(Einzelbeträge!$D:$D,Einzelbeträge!$C:$C,'Ausgaben 2023'!$C194)</f>
        <v>0</v>
      </c>
      <c r="E194" s="21">
        <f>SUMIFS(Einzelbeträge!$D:$D,Einzelbeträge!$C:$C,'Ausgaben 2023'!$C194,Einzelbeträge!$E:$E,'Ausgaben 2023'!E$6)</f>
        <v>0</v>
      </c>
      <c r="F194" s="21">
        <f>SUMIFS(Einzelbeträge!$D:$D,Einzelbeträge!$C:$C,'Ausgaben 2023'!$C194,Einzelbeträge!$E:$E,'Ausgaben 2023'!F$6)</f>
        <v>0</v>
      </c>
      <c r="G194" s="21">
        <f>SUMIFS(Einzelbeträge!$D:$D,Einzelbeträge!$C:$C,'Ausgaben 2023'!$C194,Einzelbeträge!$E:$E,'Ausgaben 2023'!G$6)</f>
        <v>0</v>
      </c>
      <c r="H194" s="21">
        <f>SUMIFS(Einzelbeträge!$D:$D,Einzelbeträge!$C:$C,'Ausgaben 2023'!$C194,Einzelbeträge!$E:$E,'Ausgaben 2023'!H$6)</f>
        <v>0</v>
      </c>
      <c r="I194" s="21">
        <f>SUMIFS(Einzelbeträge!$D:$D,Einzelbeträge!$C:$C,'Ausgaben 2023'!$C194,Einzelbeträge!$E:$E,'Ausgaben 2023'!I$6)</f>
        <v>0</v>
      </c>
      <c r="J194" s="21">
        <f>SUMIFS(Einzelbeträge!$D:$D,Einzelbeträge!$C:$C,'Ausgaben 2023'!$C194,Einzelbeträge!$E:$E,'Ausgaben 2023'!J$6)</f>
        <v>0</v>
      </c>
      <c r="K194" s="21">
        <f>SUMIFS(Einzelbeträge!$D:$D,Einzelbeträge!$C:$C,'Ausgaben 2023'!$C194,Einzelbeträge!$E:$E,'Ausgaben 2023'!K$6)</f>
        <v>0</v>
      </c>
      <c r="L194" s="21">
        <f>SUMIFS(Einzelbeträge!$D:$D,Einzelbeträge!$C:$C,'Ausgaben 2023'!$C194,Einzelbeträge!$E:$E,'Ausgaben 2023'!L$6)</f>
        <v>0</v>
      </c>
      <c r="M194" s="21">
        <f>SUMIFS(Einzelbeträge!$D:$D,Einzelbeträge!$C:$C,'Ausgaben 2023'!$C194,Einzelbeträge!$E:$E,'Ausgaben 2023'!M$6)</f>
        <v>0</v>
      </c>
      <c r="N194" s="35">
        <f>SUMIFS(Einzelbeträge!$D:$D,Einzelbeträge!$C:$C,'Ausgaben 2023'!$C194,Einzelbeträge!$E:$E,'Ausgaben 2023'!N$6)</f>
        <v>0</v>
      </c>
      <c r="O194" s="6"/>
    </row>
    <row r="195" spans="2:15" x14ac:dyDescent="0.35">
      <c r="B195" s="5"/>
      <c r="C195" s="30">
        <f t="shared" si="21"/>
        <v>45099</v>
      </c>
      <c r="D195" s="46">
        <f>SUMIFS(Einzelbeträge!$D:$D,Einzelbeträge!$C:$C,'Ausgaben 2023'!$C195)</f>
        <v>0</v>
      </c>
      <c r="E195" s="21">
        <f>SUMIFS(Einzelbeträge!$D:$D,Einzelbeträge!$C:$C,'Ausgaben 2023'!$C195,Einzelbeträge!$E:$E,'Ausgaben 2023'!E$6)</f>
        <v>0</v>
      </c>
      <c r="F195" s="21">
        <f>SUMIFS(Einzelbeträge!$D:$D,Einzelbeträge!$C:$C,'Ausgaben 2023'!$C195,Einzelbeträge!$E:$E,'Ausgaben 2023'!F$6)</f>
        <v>0</v>
      </c>
      <c r="G195" s="21">
        <f>SUMIFS(Einzelbeträge!$D:$D,Einzelbeträge!$C:$C,'Ausgaben 2023'!$C195,Einzelbeträge!$E:$E,'Ausgaben 2023'!G$6)</f>
        <v>0</v>
      </c>
      <c r="H195" s="21">
        <f>SUMIFS(Einzelbeträge!$D:$D,Einzelbeträge!$C:$C,'Ausgaben 2023'!$C195,Einzelbeträge!$E:$E,'Ausgaben 2023'!H$6)</f>
        <v>0</v>
      </c>
      <c r="I195" s="21">
        <f>SUMIFS(Einzelbeträge!$D:$D,Einzelbeträge!$C:$C,'Ausgaben 2023'!$C195,Einzelbeträge!$E:$E,'Ausgaben 2023'!I$6)</f>
        <v>0</v>
      </c>
      <c r="J195" s="21">
        <f>SUMIFS(Einzelbeträge!$D:$D,Einzelbeträge!$C:$C,'Ausgaben 2023'!$C195,Einzelbeträge!$E:$E,'Ausgaben 2023'!J$6)</f>
        <v>0</v>
      </c>
      <c r="K195" s="21">
        <f>SUMIFS(Einzelbeträge!$D:$D,Einzelbeträge!$C:$C,'Ausgaben 2023'!$C195,Einzelbeträge!$E:$E,'Ausgaben 2023'!K$6)</f>
        <v>0</v>
      </c>
      <c r="L195" s="21">
        <f>SUMIFS(Einzelbeträge!$D:$D,Einzelbeträge!$C:$C,'Ausgaben 2023'!$C195,Einzelbeträge!$E:$E,'Ausgaben 2023'!L$6)</f>
        <v>0</v>
      </c>
      <c r="M195" s="21">
        <f>SUMIFS(Einzelbeträge!$D:$D,Einzelbeträge!$C:$C,'Ausgaben 2023'!$C195,Einzelbeträge!$E:$E,'Ausgaben 2023'!M$6)</f>
        <v>0</v>
      </c>
      <c r="N195" s="35">
        <f>SUMIFS(Einzelbeträge!$D:$D,Einzelbeträge!$C:$C,'Ausgaben 2023'!$C195,Einzelbeträge!$E:$E,'Ausgaben 2023'!N$6)</f>
        <v>0</v>
      </c>
      <c r="O195" s="6"/>
    </row>
    <row r="196" spans="2:15" x14ac:dyDescent="0.35">
      <c r="B196" s="5"/>
      <c r="C196" s="30">
        <f t="shared" si="21"/>
        <v>45100</v>
      </c>
      <c r="D196" s="46">
        <f>SUMIFS(Einzelbeträge!$D:$D,Einzelbeträge!$C:$C,'Ausgaben 2023'!$C196)</f>
        <v>0</v>
      </c>
      <c r="E196" s="21">
        <f>SUMIFS(Einzelbeträge!$D:$D,Einzelbeträge!$C:$C,'Ausgaben 2023'!$C196,Einzelbeträge!$E:$E,'Ausgaben 2023'!E$6)</f>
        <v>0</v>
      </c>
      <c r="F196" s="21">
        <f>SUMIFS(Einzelbeträge!$D:$D,Einzelbeträge!$C:$C,'Ausgaben 2023'!$C196,Einzelbeträge!$E:$E,'Ausgaben 2023'!F$6)</f>
        <v>0</v>
      </c>
      <c r="G196" s="21">
        <f>SUMIFS(Einzelbeträge!$D:$D,Einzelbeträge!$C:$C,'Ausgaben 2023'!$C196,Einzelbeträge!$E:$E,'Ausgaben 2023'!G$6)</f>
        <v>0</v>
      </c>
      <c r="H196" s="21">
        <f>SUMIFS(Einzelbeträge!$D:$D,Einzelbeträge!$C:$C,'Ausgaben 2023'!$C196,Einzelbeträge!$E:$E,'Ausgaben 2023'!H$6)</f>
        <v>0</v>
      </c>
      <c r="I196" s="21">
        <f>SUMIFS(Einzelbeträge!$D:$D,Einzelbeträge!$C:$C,'Ausgaben 2023'!$C196,Einzelbeträge!$E:$E,'Ausgaben 2023'!I$6)</f>
        <v>0</v>
      </c>
      <c r="J196" s="21">
        <f>SUMIFS(Einzelbeträge!$D:$D,Einzelbeträge!$C:$C,'Ausgaben 2023'!$C196,Einzelbeträge!$E:$E,'Ausgaben 2023'!J$6)</f>
        <v>0</v>
      </c>
      <c r="K196" s="21">
        <f>SUMIFS(Einzelbeträge!$D:$D,Einzelbeträge!$C:$C,'Ausgaben 2023'!$C196,Einzelbeträge!$E:$E,'Ausgaben 2023'!K$6)</f>
        <v>0</v>
      </c>
      <c r="L196" s="21">
        <f>SUMIFS(Einzelbeträge!$D:$D,Einzelbeträge!$C:$C,'Ausgaben 2023'!$C196,Einzelbeträge!$E:$E,'Ausgaben 2023'!L$6)</f>
        <v>0</v>
      </c>
      <c r="M196" s="21">
        <f>SUMIFS(Einzelbeträge!$D:$D,Einzelbeträge!$C:$C,'Ausgaben 2023'!$C196,Einzelbeträge!$E:$E,'Ausgaben 2023'!M$6)</f>
        <v>0</v>
      </c>
      <c r="N196" s="35">
        <f>SUMIFS(Einzelbeträge!$D:$D,Einzelbeträge!$C:$C,'Ausgaben 2023'!$C196,Einzelbeträge!$E:$E,'Ausgaben 2023'!N$6)</f>
        <v>0</v>
      </c>
      <c r="O196" s="6"/>
    </row>
    <row r="197" spans="2:15" x14ac:dyDescent="0.35">
      <c r="B197" s="5"/>
      <c r="C197" s="30">
        <f t="shared" si="21"/>
        <v>45101</v>
      </c>
      <c r="D197" s="46">
        <f>SUMIFS(Einzelbeträge!$D:$D,Einzelbeträge!$C:$C,'Ausgaben 2023'!$C197)</f>
        <v>0</v>
      </c>
      <c r="E197" s="21">
        <f>SUMIFS(Einzelbeträge!$D:$D,Einzelbeträge!$C:$C,'Ausgaben 2023'!$C197,Einzelbeträge!$E:$E,'Ausgaben 2023'!E$6)</f>
        <v>0</v>
      </c>
      <c r="F197" s="21">
        <f>SUMIFS(Einzelbeträge!$D:$D,Einzelbeträge!$C:$C,'Ausgaben 2023'!$C197,Einzelbeträge!$E:$E,'Ausgaben 2023'!F$6)</f>
        <v>0</v>
      </c>
      <c r="G197" s="21">
        <f>SUMIFS(Einzelbeträge!$D:$D,Einzelbeträge!$C:$C,'Ausgaben 2023'!$C197,Einzelbeträge!$E:$E,'Ausgaben 2023'!G$6)</f>
        <v>0</v>
      </c>
      <c r="H197" s="21">
        <f>SUMIFS(Einzelbeträge!$D:$D,Einzelbeträge!$C:$C,'Ausgaben 2023'!$C197,Einzelbeträge!$E:$E,'Ausgaben 2023'!H$6)</f>
        <v>0</v>
      </c>
      <c r="I197" s="21">
        <f>SUMIFS(Einzelbeträge!$D:$D,Einzelbeträge!$C:$C,'Ausgaben 2023'!$C197,Einzelbeträge!$E:$E,'Ausgaben 2023'!I$6)</f>
        <v>0</v>
      </c>
      <c r="J197" s="21">
        <f>SUMIFS(Einzelbeträge!$D:$D,Einzelbeträge!$C:$C,'Ausgaben 2023'!$C197,Einzelbeträge!$E:$E,'Ausgaben 2023'!J$6)</f>
        <v>0</v>
      </c>
      <c r="K197" s="21">
        <f>SUMIFS(Einzelbeträge!$D:$D,Einzelbeträge!$C:$C,'Ausgaben 2023'!$C197,Einzelbeträge!$E:$E,'Ausgaben 2023'!K$6)</f>
        <v>0</v>
      </c>
      <c r="L197" s="21">
        <f>SUMIFS(Einzelbeträge!$D:$D,Einzelbeträge!$C:$C,'Ausgaben 2023'!$C197,Einzelbeträge!$E:$E,'Ausgaben 2023'!L$6)</f>
        <v>0</v>
      </c>
      <c r="M197" s="21">
        <f>SUMIFS(Einzelbeträge!$D:$D,Einzelbeträge!$C:$C,'Ausgaben 2023'!$C197,Einzelbeträge!$E:$E,'Ausgaben 2023'!M$6)</f>
        <v>0</v>
      </c>
      <c r="N197" s="35">
        <f>SUMIFS(Einzelbeträge!$D:$D,Einzelbeträge!$C:$C,'Ausgaben 2023'!$C197,Einzelbeträge!$E:$E,'Ausgaben 2023'!N$6)</f>
        <v>0</v>
      </c>
      <c r="O197" s="6"/>
    </row>
    <row r="198" spans="2:15" x14ac:dyDescent="0.35">
      <c r="B198" s="5"/>
      <c r="C198" s="30">
        <f t="shared" si="21"/>
        <v>45102</v>
      </c>
      <c r="D198" s="46">
        <f>SUMIFS(Einzelbeträge!$D:$D,Einzelbeträge!$C:$C,'Ausgaben 2023'!$C198)</f>
        <v>0</v>
      </c>
      <c r="E198" s="21">
        <f>SUMIFS(Einzelbeträge!$D:$D,Einzelbeträge!$C:$C,'Ausgaben 2023'!$C198,Einzelbeträge!$E:$E,'Ausgaben 2023'!E$6)</f>
        <v>0</v>
      </c>
      <c r="F198" s="21">
        <f>SUMIFS(Einzelbeträge!$D:$D,Einzelbeträge!$C:$C,'Ausgaben 2023'!$C198,Einzelbeträge!$E:$E,'Ausgaben 2023'!F$6)</f>
        <v>0</v>
      </c>
      <c r="G198" s="21">
        <f>SUMIFS(Einzelbeträge!$D:$D,Einzelbeträge!$C:$C,'Ausgaben 2023'!$C198,Einzelbeträge!$E:$E,'Ausgaben 2023'!G$6)</f>
        <v>0</v>
      </c>
      <c r="H198" s="21">
        <f>SUMIFS(Einzelbeträge!$D:$D,Einzelbeträge!$C:$C,'Ausgaben 2023'!$C198,Einzelbeträge!$E:$E,'Ausgaben 2023'!H$6)</f>
        <v>0</v>
      </c>
      <c r="I198" s="21">
        <f>SUMIFS(Einzelbeträge!$D:$D,Einzelbeträge!$C:$C,'Ausgaben 2023'!$C198,Einzelbeträge!$E:$E,'Ausgaben 2023'!I$6)</f>
        <v>0</v>
      </c>
      <c r="J198" s="21">
        <f>SUMIFS(Einzelbeträge!$D:$D,Einzelbeträge!$C:$C,'Ausgaben 2023'!$C198,Einzelbeträge!$E:$E,'Ausgaben 2023'!J$6)</f>
        <v>0</v>
      </c>
      <c r="K198" s="21">
        <f>SUMIFS(Einzelbeträge!$D:$D,Einzelbeträge!$C:$C,'Ausgaben 2023'!$C198,Einzelbeträge!$E:$E,'Ausgaben 2023'!K$6)</f>
        <v>0</v>
      </c>
      <c r="L198" s="21">
        <f>SUMIFS(Einzelbeträge!$D:$D,Einzelbeträge!$C:$C,'Ausgaben 2023'!$C198,Einzelbeträge!$E:$E,'Ausgaben 2023'!L$6)</f>
        <v>0</v>
      </c>
      <c r="M198" s="21">
        <f>SUMIFS(Einzelbeträge!$D:$D,Einzelbeträge!$C:$C,'Ausgaben 2023'!$C198,Einzelbeträge!$E:$E,'Ausgaben 2023'!M$6)</f>
        <v>0</v>
      </c>
      <c r="N198" s="35">
        <f>SUMIFS(Einzelbeträge!$D:$D,Einzelbeträge!$C:$C,'Ausgaben 2023'!$C198,Einzelbeträge!$E:$E,'Ausgaben 2023'!N$6)</f>
        <v>0</v>
      </c>
      <c r="O198" s="6"/>
    </row>
    <row r="199" spans="2:15" x14ac:dyDescent="0.35">
      <c r="B199" s="5"/>
      <c r="C199" s="30">
        <f t="shared" si="21"/>
        <v>45103</v>
      </c>
      <c r="D199" s="46">
        <f>SUMIFS(Einzelbeträge!$D:$D,Einzelbeträge!$C:$C,'Ausgaben 2023'!$C199)</f>
        <v>0</v>
      </c>
      <c r="E199" s="21">
        <f>SUMIFS(Einzelbeträge!$D:$D,Einzelbeträge!$C:$C,'Ausgaben 2023'!$C199,Einzelbeträge!$E:$E,'Ausgaben 2023'!E$6)</f>
        <v>0</v>
      </c>
      <c r="F199" s="21">
        <f>SUMIFS(Einzelbeträge!$D:$D,Einzelbeträge!$C:$C,'Ausgaben 2023'!$C199,Einzelbeträge!$E:$E,'Ausgaben 2023'!F$6)</f>
        <v>0</v>
      </c>
      <c r="G199" s="21">
        <f>SUMIFS(Einzelbeträge!$D:$D,Einzelbeträge!$C:$C,'Ausgaben 2023'!$C199,Einzelbeträge!$E:$E,'Ausgaben 2023'!G$6)</f>
        <v>0</v>
      </c>
      <c r="H199" s="21">
        <f>SUMIFS(Einzelbeträge!$D:$D,Einzelbeträge!$C:$C,'Ausgaben 2023'!$C199,Einzelbeträge!$E:$E,'Ausgaben 2023'!H$6)</f>
        <v>0</v>
      </c>
      <c r="I199" s="21">
        <f>SUMIFS(Einzelbeträge!$D:$D,Einzelbeträge!$C:$C,'Ausgaben 2023'!$C199,Einzelbeträge!$E:$E,'Ausgaben 2023'!I$6)</f>
        <v>0</v>
      </c>
      <c r="J199" s="21">
        <f>SUMIFS(Einzelbeträge!$D:$D,Einzelbeträge!$C:$C,'Ausgaben 2023'!$C199,Einzelbeträge!$E:$E,'Ausgaben 2023'!J$6)</f>
        <v>0</v>
      </c>
      <c r="K199" s="21">
        <f>SUMIFS(Einzelbeträge!$D:$D,Einzelbeträge!$C:$C,'Ausgaben 2023'!$C199,Einzelbeträge!$E:$E,'Ausgaben 2023'!K$6)</f>
        <v>0</v>
      </c>
      <c r="L199" s="21">
        <f>SUMIFS(Einzelbeträge!$D:$D,Einzelbeträge!$C:$C,'Ausgaben 2023'!$C199,Einzelbeträge!$E:$E,'Ausgaben 2023'!L$6)</f>
        <v>0</v>
      </c>
      <c r="M199" s="21">
        <f>SUMIFS(Einzelbeträge!$D:$D,Einzelbeträge!$C:$C,'Ausgaben 2023'!$C199,Einzelbeträge!$E:$E,'Ausgaben 2023'!M$6)</f>
        <v>0</v>
      </c>
      <c r="N199" s="35">
        <f>SUMIFS(Einzelbeträge!$D:$D,Einzelbeträge!$C:$C,'Ausgaben 2023'!$C199,Einzelbeträge!$E:$E,'Ausgaben 2023'!N$6)</f>
        <v>0</v>
      </c>
      <c r="O199" s="6"/>
    </row>
    <row r="200" spans="2:15" x14ac:dyDescent="0.35">
      <c r="B200" s="5"/>
      <c r="C200" s="30">
        <f t="shared" si="21"/>
        <v>45104</v>
      </c>
      <c r="D200" s="46">
        <f>SUMIFS(Einzelbeträge!$D:$D,Einzelbeträge!$C:$C,'Ausgaben 2023'!$C200)</f>
        <v>0</v>
      </c>
      <c r="E200" s="21">
        <f>SUMIFS(Einzelbeträge!$D:$D,Einzelbeträge!$C:$C,'Ausgaben 2023'!$C200,Einzelbeträge!$E:$E,'Ausgaben 2023'!E$6)</f>
        <v>0</v>
      </c>
      <c r="F200" s="21">
        <f>SUMIFS(Einzelbeträge!$D:$D,Einzelbeträge!$C:$C,'Ausgaben 2023'!$C200,Einzelbeträge!$E:$E,'Ausgaben 2023'!F$6)</f>
        <v>0</v>
      </c>
      <c r="G200" s="21">
        <f>SUMIFS(Einzelbeträge!$D:$D,Einzelbeträge!$C:$C,'Ausgaben 2023'!$C200,Einzelbeträge!$E:$E,'Ausgaben 2023'!G$6)</f>
        <v>0</v>
      </c>
      <c r="H200" s="21">
        <f>SUMIFS(Einzelbeträge!$D:$D,Einzelbeträge!$C:$C,'Ausgaben 2023'!$C200,Einzelbeträge!$E:$E,'Ausgaben 2023'!H$6)</f>
        <v>0</v>
      </c>
      <c r="I200" s="21">
        <f>SUMIFS(Einzelbeträge!$D:$D,Einzelbeträge!$C:$C,'Ausgaben 2023'!$C200,Einzelbeträge!$E:$E,'Ausgaben 2023'!I$6)</f>
        <v>0</v>
      </c>
      <c r="J200" s="21">
        <f>SUMIFS(Einzelbeträge!$D:$D,Einzelbeträge!$C:$C,'Ausgaben 2023'!$C200,Einzelbeträge!$E:$E,'Ausgaben 2023'!J$6)</f>
        <v>0</v>
      </c>
      <c r="K200" s="21">
        <f>SUMIFS(Einzelbeträge!$D:$D,Einzelbeträge!$C:$C,'Ausgaben 2023'!$C200,Einzelbeträge!$E:$E,'Ausgaben 2023'!K$6)</f>
        <v>0</v>
      </c>
      <c r="L200" s="21">
        <f>SUMIFS(Einzelbeträge!$D:$D,Einzelbeträge!$C:$C,'Ausgaben 2023'!$C200,Einzelbeträge!$E:$E,'Ausgaben 2023'!L$6)</f>
        <v>0</v>
      </c>
      <c r="M200" s="21">
        <f>SUMIFS(Einzelbeträge!$D:$D,Einzelbeträge!$C:$C,'Ausgaben 2023'!$C200,Einzelbeträge!$E:$E,'Ausgaben 2023'!M$6)</f>
        <v>0</v>
      </c>
      <c r="N200" s="35">
        <f>SUMIFS(Einzelbeträge!$D:$D,Einzelbeträge!$C:$C,'Ausgaben 2023'!$C200,Einzelbeträge!$E:$E,'Ausgaben 2023'!N$6)</f>
        <v>0</v>
      </c>
      <c r="O200" s="6"/>
    </row>
    <row r="201" spans="2:15" x14ac:dyDescent="0.35">
      <c r="B201" s="5"/>
      <c r="C201" s="30">
        <f t="shared" si="21"/>
        <v>45105</v>
      </c>
      <c r="D201" s="46">
        <f>SUMIFS(Einzelbeträge!$D:$D,Einzelbeträge!$C:$C,'Ausgaben 2023'!$C201)</f>
        <v>0</v>
      </c>
      <c r="E201" s="21">
        <f>SUMIFS(Einzelbeträge!$D:$D,Einzelbeträge!$C:$C,'Ausgaben 2023'!$C201,Einzelbeträge!$E:$E,'Ausgaben 2023'!E$6)</f>
        <v>0</v>
      </c>
      <c r="F201" s="21">
        <f>SUMIFS(Einzelbeträge!$D:$D,Einzelbeträge!$C:$C,'Ausgaben 2023'!$C201,Einzelbeträge!$E:$E,'Ausgaben 2023'!F$6)</f>
        <v>0</v>
      </c>
      <c r="G201" s="21">
        <f>SUMIFS(Einzelbeträge!$D:$D,Einzelbeträge!$C:$C,'Ausgaben 2023'!$C201,Einzelbeträge!$E:$E,'Ausgaben 2023'!G$6)</f>
        <v>0</v>
      </c>
      <c r="H201" s="21">
        <f>SUMIFS(Einzelbeträge!$D:$D,Einzelbeträge!$C:$C,'Ausgaben 2023'!$C201,Einzelbeträge!$E:$E,'Ausgaben 2023'!H$6)</f>
        <v>0</v>
      </c>
      <c r="I201" s="21">
        <f>SUMIFS(Einzelbeträge!$D:$D,Einzelbeträge!$C:$C,'Ausgaben 2023'!$C201,Einzelbeträge!$E:$E,'Ausgaben 2023'!I$6)</f>
        <v>0</v>
      </c>
      <c r="J201" s="21">
        <f>SUMIFS(Einzelbeträge!$D:$D,Einzelbeträge!$C:$C,'Ausgaben 2023'!$C201,Einzelbeträge!$E:$E,'Ausgaben 2023'!J$6)</f>
        <v>0</v>
      </c>
      <c r="K201" s="21">
        <f>SUMIFS(Einzelbeträge!$D:$D,Einzelbeträge!$C:$C,'Ausgaben 2023'!$C201,Einzelbeträge!$E:$E,'Ausgaben 2023'!K$6)</f>
        <v>0</v>
      </c>
      <c r="L201" s="21">
        <f>SUMIFS(Einzelbeträge!$D:$D,Einzelbeträge!$C:$C,'Ausgaben 2023'!$C201,Einzelbeträge!$E:$E,'Ausgaben 2023'!L$6)</f>
        <v>0</v>
      </c>
      <c r="M201" s="21">
        <f>SUMIFS(Einzelbeträge!$D:$D,Einzelbeträge!$C:$C,'Ausgaben 2023'!$C201,Einzelbeträge!$E:$E,'Ausgaben 2023'!M$6)</f>
        <v>0</v>
      </c>
      <c r="N201" s="35">
        <f>SUMIFS(Einzelbeträge!$D:$D,Einzelbeträge!$C:$C,'Ausgaben 2023'!$C201,Einzelbeträge!$E:$E,'Ausgaben 2023'!N$6)</f>
        <v>0</v>
      </c>
      <c r="O201" s="6"/>
    </row>
    <row r="202" spans="2:15" x14ac:dyDescent="0.35">
      <c r="B202" s="5"/>
      <c r="C202" s="30">
        <f t="shared" si="21"/>
        <v>45106</v>
      </c>
      <c r="D202" s="46">
        <f>SUMIFS(Einzelbeträge!$D:$D,Einzelbeträge!$C:$C,'Ausgaben 2023'!$C202)</f>
        <v>0</v>
      </c>
      <c r="E202" s="21">
        <f>SUMIFS(Einzelbeträge!$D:$D,Einzelbeträge!$C:$C,'Ausgaben 2023'!$C202,Einzelbeträge!$E:$E,'Ausgaben 2023'!E$6)</f>
        <v>0</v>
      </c>
      <c r="F202" s="21">
        <f>SUMIFS(Einzelbeträge!$D:$D,Einzelbeträge!$C:$C,'Ausgaben 2023'!$C202,Einzelbeträge!$E:$E,'Ausgaben 2023'!F$6)</f>
        <v>0</v>
      </c>
      <c r="G202" s="21">
        <f>SUMIFS(Einzelbeträge!$D:$D,Einzelbeträge!$C:$C,'Ausgaben 2023'!$C202,Einzelbeträge!$E:$E,'Ausgaben 2023'!G$6)</f>
        <v>0</v>
      </c>
      <c r="H202" s="21">
        <f>SUMIFS(Einzelbeträge!$D:$D,Einzelbeträge!$C:$C,'Ausgaben 2023'!$C202,Einzelbeträge!$E:$E,'Ausgaben 2023'!H$6)</f>
        <v>0</v>
      </c>
      <c r="I202" s="21">
        <f>SUMIFS(Einzelbeträge!$D:$D,Einzelbeträge!$C:$C,'Ausgaben 2023'!$C202,Einzelbeträge!$E:$E,'Ausgaben 2023'!I$6)</f>
        <v>0</v>
      </c>
      <c r="J202" s="21">
        <f>SUMIFS(Einzelbeträge!$D:$D,Einzelbeträge!$C:$C,'Ausgaben 2023'!$C202,Einzelbeträge!$E:$E,'Ausgaben 2023'!J$6)</f>
        <v>0</v>
      </c>
      <c r="K202" s="21">
        <f>SUMIFS(Einzelbeträge!$D:$D,Einzelbeträge!$C:$C,'Ausgaben 2023'!$C202,Einzelbeträge!$E:$E,'Ausgaben 2023'!K$6)</f>
        <v>0</v>
      </c>
      <c r="L202" s="21">
        <f>SUMIFS(Einzelbeträge!$D:$D,Einzelbeträge!$C:$C,'Ausgaben 2023'!$C202,Einzelbeträge!$E:$E,'Ausgaben 2023'!L$6)</f>
        <v>0</v>
      </c>
      <c r="M202" s="21">
        <f>SUMIFS(Einzelbeträge!$D:$D,Einzelbeträge!$C:$C,'Ausgaben 2023'!$C202,Einzelbeträge!$E:$E,'Ausgaben 2023'!M$6)</f>
        <v>0</v>
      </c>
      <c r="N202" s="35">
        <f>SUMIFS(Einzelbeträge!$D:$D,Einzelbeträge!$C:$C,'Ausgaben 2023'!$C202,Einzelbeträge!$E:$E,'Ausgaben 2023'!N$6)</f>
        <v>0</v>
      </c>
      <c r="O202" s="6"/>
    </row>
    <row r="203" spans="2:15" x14ac:dyDescent="0.35">
      <c r="B203" s="5"/>
      <c r="C203" s="31">
        <f t="shared" si="21"/>
        <v>45107</v>
      </c>
      <c r="D203" s="47">
        <f>SUMIFS(Einzelbeträge!$D:$D,Einzelbeträge!$C:$C,'Ausgaben 2023'!$C203)</f>
        <v>0</v>
      </c>
      <c r="E203" s="37">
        <f>SUMIFS(Einzelbeträge!$D:$D,Einzelbeträge!$C:$C,'Ausgaben 2023'!$C203,Einzelbeträge!$E:$E,'Ausgaben 2023'!E$6)</f>
        <v>0</v>
      </c>
      <c r="F203" s="37">
        <f>SUMIFS(Einzelbeträge!$D:$D,Einzelbeträge!$C:$C,'Ausgaben 2023'!$C203,Einzelbeträge!$E:$E,'Ausgaben 2023'!F$6)</f>
        <v>0</v>
      </c>
      <c r="G203" s="37">
        <f>SUMIFS(Einzelbeträge!$D:$D,Einzelbeträge!$C:$C,'Ausgaben 2023'!$C203,Einzelbeträge!$E:$E,'Ausgaben 2023'!G$6)</f>
        <v>0</v>
      </c>
      <c r="H203" s="37">
        <f>SUMIFS(Einzelbeträge!$D:$D,Einzelbeträge!$C:$C,'Ausgaben 2023'!$C203,Einzelbeträge!$E:$E,'Ausgaben 2023'!H$6)</f>
        <v>0</v>
      </c>
      <c r="I203" s="37">
        <f>SUMIFS(Einzelbeträge!$D:$D,Einzelbeträge!$C:$C,'Ausgaben 2023'!$C203,Einzelbeträge!$E:$E,'Ausgaben 2023'!I$6)</f>
        <v>0</v>
      </c>
      <c r="J203" s="37">
        <f>SUMIFS(Einzelbeträge!$D:$D,Einzelbeträge!$C:$C,'Ausgaben 2023'!$C203,Einzelbeträge!$E:$E,'Ausgaben 2023'!J$6)</f>
        <v>0</v>
      </c>
      <c r="K203" s="37">
        <f>SUMIFS(Einzelbeträge!$D:$D,Einzelbeträge!$C:$C,'Ausgaben 2023'!$C203,Einzelbeträge!$E:$E,'Ausgaben 2023'!K$6)</f>
        <v>0</v>
      </c>
      <c r="L203" s="37">
        <f>SUMIFS(Einzelbeträge!$D:$D,Einzelbeträge!$C:$C,'Ausgaben 2023'!$C203,Einzelbeträge!$E:$E,'Ausgaben 2023'!L$6)</f>
        <v>0</v>
      </c>
      <c r="M203" s="37">
        <f>SUMIFS(Einzelbeträge!$D:$D,Einzelbeträge!$C:$C,'Ausgaben 2023'!$C203,Einzelbeträge!$E:$E,'Ausgaben 2023'!M$6)</f>
        <v>0</v>
      </c>
      <c r="N203" s="38">
        <f>SUMIFS(Einzelbeträge!$D:$D,Einzelbeträge!$C:$C,'Ausgaben 2023'!$C203,Einzelbeträge!$E:$E,'Ausgaben 2023'!N$6)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45108</v>
      </c>
      <c r="D207" s="45">
        <f>SUMIFS(Einzelbeträge!$D:$D,Einzelbeträge!$C:$C,'Ausgaben 2023'!$C207)</f>
        <v>0</v>
      </c>
      <c r="E207" s="32">
        <f>SUMIFS(Einzelbeträge!$D:$D,Einzelbeträge!$C:$C,'Ausgaben 2023'!$C207,Einzelbeträge!$E:$E,'Ausgaben 2023'!E$6)</f>
        <v>0</v>
      </c>
      <c r="F207" s="32">
        <f>SUMIFS(Einzelbeträge!$D:$D,Einzelbeträge!$C:$C,'Ausgaben 2023'!$C207,Einzelbeträge!$E:$E,'Ausgaben 2023'!F$6)</f>
        <v>0</v>
      </c>
      <c r="G207" s="32">
        <f>SUMIFS(Einzelbeträge!$D:$D,Einzelbeträge!$C:$C,'Ausgaben 2023'!$C207,Einzelbeträge!$E:$E,'Ausgaben 2023'!G$6)</f>
        <v>0</v>
      </c>
      <c r="H207" s="32">
        <f>SUMIFS(Einzelbeträge!$D:$D,Einzelbeträge!$C:$C,'Ausgaben 2023'!$C207,Einzelbeträge!$E:$E,'Ausgaben 2023'!H$6)</f>
        <v>0</v>
      </c>
      <c r="I207" s="32">
        <f>SUMIFS(Einzelbeträge!$D:$D,Einzelbeträge!$C:$C,'Ausgaben 2023'!$C207,Einzelbeträge!$E:$E,'Ausgaben 2023'!I$6)</f>
        <v>0</v>
      </c>
      <c r="J207" s="32">
        <f>SUMIFS(Einzelbeträge!$D:$D,Einzelbeträge!$C:$C,'Ausgaben 2023'!$C207,Einzelbeträge!$E:$E,'Ausgaben 2023'!J$6)</f>
        <v>0</v>
      </c>
      <c r="K207" s="32">
        <f>SUMIFS(Einzelbeträge!$D:$D,Einzelbeträge!$C:$C,'Ausgaben 2023'!$C207,Einzelbeträge!$E:$E,'Ausgaben 2023'!K$6)</f>
        <v>0</v>
      </c>
      <c r="L207" s="32">
        <f>SUMIFS(Einzelbeträge!$D:$D,Einzelbeträge!$C:$C,'Ausgaben 2023'!$C207,Einzelbeträge!$E:$E,'Ausgaben 2023'!L$6)</f>
        <v>0</v>
      </c>
      <c r="M207" s="32">
        <f>SUMIFS(Einzelbeträge!$D:$D,Einzelbeträge!$C:$C,'Ausgaben 2023'!$C207,Einzelbeträge!$E:$E,'Ausgaben 2023'!M$6)</f>
        <v>0</v>
      </c>
      <c r="N207" s="33">
        <f>SUMIFS(Einzelbeträge!$D:$D,Einzelbeträge!$C:$C,'Ausgaben 2023'!$C207,Einzelbeträge!$E:$E,'Ausgaben 2023'!N$6)</f>
        <v>0</v>
      </c>
      <c r="O207" s="6"/>
    </row>
    <row r="208" spans="2:15" x14ac:dyDescent="0.35">
      <c r="B208" s="5"/>
      <c r="C208" s="40">
        <f>C207+1</f>
        <v>45109</v>
      </c>
      <c r="D208" s="46">
        <f>SUMIFS(Einzelbeträge!$D:$D,Einzelbeträge!$C:$C,'Ausgaben 2023'!$C208)</f>
        <v>0</v>
      </c>
      <c r="E208" s="21">
        <f>SUMIFS(Einzelbeträge!$D:$D,Einzelbeträge!$C:$C,'Ausgaben 2023'!$C208,Einzelbeträge!$E:$E,'Ausgaben 2023'!E$6)</f>
        <v>0</v>
      </c>
      <c r="F208" s="21">
        <f>SUMIFS(Einzelbeträge!$D:$D,Einzelbeträge!$C:$C,'Ausgaben 2023'!$C208,Einzelbeträge!$E:$E,'Ausgaben 2023'!F$6)</f>
        <v>0</v>
      </c>
      <c r="G208" s="21">
        <f>SUMIFS(Einzelbeträge!$D:$D,Einzelbeträge!$C:$C,'Ausgaben 2023'!$C208,Einzelbeträge!$E:$E,'Ausgaben 2023'!G$6)</f>
        <v>0</v>
      </c>
      <c r="H208" s="21">
        <f>SUMIFS(Einzelbeträge!$D:$D,Einzelbeträge!$C:$C,'Ausgaben 2023'!$C208,Einzelbeträge!$E:$E,'Ausgaben 2023'!H$6)</f>
        <v>0</v>
      </c>
      <c r="I208" s="21">
        <f>SUMIFS(Einzelbeträge!$D:$D,Einzelbeträge!$C:$C,'Ausgaben 2023'!$C208,Einzelbeträge!$E:$E,'Ausgaben 2023'!I$6)</f>
        <v>0</v>
      </c>
      <c r="J208" s="21">
        <f>SUMIFS(Einzelbeträge!$D:$D,Einzelbeträge!$C:$C,'Ausgaben 2023'!$C208,Einzelbeträge!$E:$E,'Ausgaben 2023'!J$6)</f>
        <v>0</v>
      </c>
      <c r="K208" s="21">
        <f>SUMIFS(Einzelbeträge!$D:$D,Einzelbeträge!$C:$C,'Ausgaben 2023'!$C208,Einzelbeträge!$E:$E,'Ausgaben 2023'!K$6)</f>
        <v>0</v>
      </c>
      <c r="L208" s="21">
        <f>SUMIFS(Einzelbeträge!$D:$D,Einzelbeträge!$C:$C,'Ausgaben 2023'!$C208,Einzelbeträge!$E:$E,'Ausgaben 2023'!L$6)</f>
        <v>0</v>
      </c>
      <c r="M208" s="21">
        <f>SUMIFS(Einzelbeträge!$D:$D,Einzelbeträge!$C:$C,'Ausgaben 2023'!$C208,Einzelbeträge!$E:$E,'Ausgaben 2023'!M$6)</f>
        <v>0</v>
      </c>
      <c r="N208" s="35">
        <f>SUMIFS(Einzelbeträge!$D:$D,Einzelbeträge!$C:$C,'Ausgaben 2023'!$C208,Einzelbeträge!$E:$E,'Ausgaben 2023'!N$6)</f>
        <v>0</v>
      </c>
      <c r="O208" s="6"/>
    </row>
    <row r="209" spans="2:15" x14ac:dyDescent="0.35">
      <c r="B209" s="5"/>
      <c r="C209" s="40">
        <f t="shared" ref="C209:C237" si="22">C208+1</f>
        <v>45110</v>
      </c>
      <c r="D209" s="46">
        <f>SUMIFS(Einzelbeträge!$D:$D,Einzelbeträge!$C:$C,'Ausgaben 2023'!$C209)</f>
        <v>0</v>
      </c>
      <c r="E209" s="21">
        <f>SUMIFS(Einzelbeträge!$D:$D,Einzelbeträge!$C:$C,'Ausgaben 2023'!$C209,Einzelbeträge!$E:$E,'Ausgaben 2023'!E$6)</f>
        <v>0</v>
      </c>
      <c r="F209" s="21">
        <f>SUMIFS(Einzelbeträge!$D:$D,Einzelbeträge!$C:$C,'Ausgaben 2023'!$C209,Einzelbeträge!$E:$E,'Ausgaben 2023'!F$6)</f>
        <v>0</v>
      </c>
      <c r="G209" s="21">
        <f>SUMIFS(Einzelbeträge!$D:$D,Einzelbeträge!$C:$C,'Ausgaben 2023'!$C209,Einzelbeträge!$E:$E,'Ausgaben 2023'!G$6)</f>
        <v>0</v>
      </c>
      <c r="H209" s="21">
        <f>SUMIFS(Einzelbeträge!$D:$D,Einzelbeträge!$C:$C,'Ausgaben 2023'!$C209,Einzelbeträge!$E:$E,'Ausgaben 2023'!H$6)</f>
        <v>0</v>
      </c>
      <c r="I209" s="21">
        <f>SUMIFS(Einzelbeträge!$D:$D,Einzelbeträge!$C:$C,'Ausgaben 2023'!$C209,Einzelbeträge!$E:$E,'Ausgaben 2023'!I$6)</f>
        <v>0</v>
      </c>
      <c r="J209" s="21">
        <f>SUMIFS(Einzelbeträge!$D:$D,Einzelbeträge!$C:$C,'Ausgaben 2023'!$C209,Einzelbeträge!$E:$E,'Ausgaben 2023'!J$6)</f>
        <v>0</v>
      </c>
      <c r="K209" s="21">
        <f>SUMIFS(Einzelbeträge!$D:$D,Einzelbeträge!$C:$C,'Ausgaben 2023'!$C209,Einzelbeträge!$E:$E,'Ausgaben 2023'!K$6)</f>
        <v>0</v>
      </c>
      <c r="L209" s="21">
        <f>SUMIFS(Einzelbeträge!$D:$D,Einzelbeträge!$C:$C,'Ausgaben 2023'!$C209,Einzelbeträge!$E:$E,'Ausgaben 2023'!L$6)</f>
        <v>0</v>
      </c>
      <c r="M209" s="21">
        <f>SUMIFS(Einzelbeträge!$D:$D,Einzelbeträge!$C:$C,'Ausgaben 2023'!$C209,Einzelbeträge!$E:$E,'Ausgaben 2023'!M$6)</f>
        <v>0</v>
      </c>
      <c r="N209" s="35">
        <f>SUMIFS(Einzelbeträge!$D:$D,Einzelbeträge!$C:$C,'Ausgaben 2023'!$C209,Einzelbeträge!$E:$E,'Ausgaben 2023'!N$6)</f>
        <v>0</v>
      </c>
      <c r="O209" s="6"/>
    </row>
    <row r="210" spans="2:15" x14ac:dyDescent="0.35">
      <c r="B210" s="5"/>
      <c r="C210" s="40">
        <f t="shared" si="22"/>
        <v>45111</v>
      </c>
      <c r="D210" s="46">
        <f>SUMIFS(Einzelbeträge!$D:$D,Einzelbeträge!$C:$C,'Ausgaben 2023'!$C210)</f>
        <v>0</v>
      </c>
      <c r="E210" s="21">
        <f>SUMIFS(Einzelbeträge!$D:$D,Einzelbeträge!$C:$C,'Ausgaben 2023'!$C210,Einzelbeträge!$E:$E,'Ausgaben 2023'!E$6)</f>
        <v>0</v>
      </c>
      <c r="F210" s="21">
        <f>SUMIFS(Einzelbeträge!$D:$D,Einzelbeträge!$C:$C,'Ausgaben 2023'!$C210,Einzelbeträge!$E:$E,'Ausgaben 2023'!F$6)</f>
        <v>0</v>
      </c>
      <c r="G210" s="21">
        <f>SUMIFS(Einzelbeträge!$D:$D,Einzelbeträge!$C:$C,'Ausgaben 2023'!$C210,Einzelbeträge!$E:$E,'Ausgaben 2023'!G$6)</f>
        <v>0</v>
      </c>
      <c r="H210" s="21">
        <f>SUMIFS(Einzelbeträge!$D:$D,Einzelbeträge!$C:$C,'Ausgaben 2023'!$C210,Einzelbeträge!$E:$E,'Ausgaben 2023'!H$6)</f>
        <v>0</v>
      </c>
      <c r="I210" s="21">
        <f>SUMIFS(Einzelbeträge!$D:$D,Einzelbeträge!$C:$C,'Ausgaben 2023'!$C210,Einzelbeträge!$E:$E,'Ausgaben 2023'!I$6)</f>
        <v>0</v>
      </c>
      <c r="J210" s="21">
        <f>SUMIFS(Einzelbeträge!$D:$D,Einzelbeträge!$C:$C,'Ausgaben 2023'!$C210,Einzelbeträge!$E:$E,'Ausgaben 2023'!J$6)</f>
        <v>0</v>
      </c>
      <c r="K210" s="21">
        <f>SUMIFS(Einzelbeträge!$D:$D,Einzelbeträge!$C:$C,'Ausgaben 2023'!$C210,Einzelbeträge!$E:$E,'Ausgaben 2023'!K$6)</f>
        <v>0</v>
      </c>
      <c r="L210" s="21">
        <f>SUMIFS(Einzelbeträge!$D:$D,Einzelbeträge!$C:$C,'Ausgaben 2023'!$C210,Einzelbeträge!$E:$E,'Ausgaben 2023'!L$6)</f>
        <v>0</v>
      </c>
      <c r="M210" s="21">
        <f>SUMIFS(Einzelbeträge!$D:$D,Einzelbeträge!$C:$C,'Ausgaben 2023'!$C210,Einzelbeträge!$E:$E,'Ausgaben 2023'!M$6)</f>
        <v>0</v>
      </c>
      <c r="N210" s="35">
        <f>SUMIFS(Einzelbeträge!$D:$D,Einzelbeträge!$C:$C,'Ausgaben 2023'!$C210,Einzelbeträge!$E:$E,'Ausgaben 2023'!N$6)</f>
        <v>0</v>
      </c>
      <c r="O210" s="6"/>
    </row>
    <row r="211" spans="2:15" x14ac:dyDescent="0.35">
      <c r="B211" s="5"/>
      <c r="C211" s="40">
        <f t="shared" si="22"/>
        <v>45112</v>
      </c>
      <c r="D211" s="46">
        <f>SUMIFS(Einzelbeträge!$D:$D,Einzelbeträge!$C:$C,'Ausgaben 2023'!$C211)</f>
        <v>0</v>
      </c>
      <c r="E211" s="21">
        <f>SUMIFS(Einzelbeträge!$D:$D,Einzelbeträge!$C:$C,'Ausgaben 2023'!$C211,Einzelbeträge!$E:$E,'Ausgaben 2023'!E$6)</f>
        <v>0</v>
      </c>
      <c r="F211" s="21">
        <f>SUMIFS(Einzelbeträge!$D:$D,Einzelbeträge!$C:$C,'Ausgaben 2023'!$C211,Einzelbeträge!$E:$E,'Ausgaben 2023'!F$6)</f>
        <v>0</v>
      </c>
      <c r="G211" s="21">
        <f>SUMIFS(Einzelbeträge!$D:$D,Einzelbeträge!$C:$C,'Ausgaben 2023'!$C211,Einzelbeträge!$E:$E,'Ausgaben 2023'!G$6)</f>
        <v>0</v>
      </c>
      <c r="H211" s="21">
        <f>SUMIFS(Einzelbeträge!$D:$D,Einzelbeträge!$C:$C,'Ausgaben 2023'!$C211,Einzelbeträge!$E:$E,'Ausgaben 2023'!H$6)</f>
        <v>0</v>
      </c>
      <c r="I211" s="21">
        <f>SUMIFS(Einzelbeträge!$D:$D,Einzelbeträge!$C:$C,'Ausgaben 2023'!$C211,Einzelbeträge!$E:$E,'Ausgaben 2023'!I$6)</f>
        <v>0</v>
      </c>
      <c r="J211" s="21">
        <f>SUMIFS(Einzelbeträge!$D:$D,Einzelbeträge!$C:$C,'Ausgaben 2023'!$C211,Einzelbeträge!$E:$E,'Ausgaben 2023'!J$6)</f>
        <v>0</v>
      </c>
      <c r="K211" s="21">
        <f>SUMIFS(Einzelbeträge!$D:$D,Einzelbeträge!$C:$C,'Ausgaben 2023'!$C211,Einzelbeträge!$E:$E,'Ausgaben 2023'!K$6)</f>
        <v>0</v>
      </c>
      <c r="L211" s="21">
        <f>SUMIFS(Einzelbeträge!$D:$D,Einzelbeträge!$C:$C,'Ausgaben 2023'!$C211,Einzelbeträge!$E:$E,'Ausgaben 2023'!L$6)</f>
        <v>0</v>
      </c>
      <c r="M211" s="21">
        <f>SUMIFS(Einzelbeträge!$D:$D,Einzelbeträge!$C:$C,'Ausgaben 2023'!$C211,Einzelbeträge!$E:$E,'Ausgaben 2023'!M$6)</f>
        <v>0</v>
      </c>
      <c r="N211" s="35">
        <f>SUMIFS(Einzelbeträge!$D:$D,Einzelbeträge!$C:$C,'Ausgaben 2023'!$C211,Einzelbeträge!$E:$E,'Ausgaben 2023'!N$6)</f>
        <v>0</v>
      </c>
      <c r="O211" s="6"/>
    </row>
    <row r="212" spans="2:15" x14ac:dyDescent="0.35">
      <c r="B212" s="5"/>
      <c r="C212" s="40">
        <f t="shared" si="22"/>
        <v>45113</v>
      </c>
      <c r="D212" s="46">
        <f>SUMIFS(Einzelbeträge!$D:$D,Einzelbeträge!$C:$C,'Ausgaben 2023'!$C212)</f>
        <v>0</v>
      </c>
      <c r="E212" s="21">
        <f>SUMIFS(Einzelbeträge!$D:$D,Einzelbeträge!$C:$C,'Ausgaben 2023'!$C212,Einzelbeträge!$E:$E,'Ausgaben 2023'!E$6)</f>
        <v>0</v>
      </c>
      <c r="F212" s="21">
        <f>SUMIFS(Einzelbeträge!$D:$D,Einzelbeträge!$C:$C,'Ausgaben 2023'!$C212,Einzelbeträge!$E:$E,'Ausgaben 2023'!F$6)</f>
        <v>0</v>
      </c>
      <c r="G212" s="21">
        <f>SUMIFS(Einzelbeträge!$D:$D,Einzelbeträge!$C:$C,'Ausgaben 2023'!$C212,Einzelbeträge!$E:$E,'Ausgaben 2023'!G$6)</f>
        <v>0</v>
      </c>
      <c r="H212" s="21">
        <f>SUMIFS(Einzelbeträge!$D:$D,Einzelbeträge!$C:$C,'Ausgaben 2023'!$C212,Einzelbeträge!$E:$E,'Ausgaben 2023'!H$6)</f>
        <v>0</v>
      </c>
      <c r="I212" s="21">
        <f>SUMIFS(Einzelbeträge!$D:$D,Einzelbeträge!$C:$C,'Ausgaben 2023'!$C212,Einzelbeträge!$E:$E,'Ausgaben 2023'!I$6)</f>
        <v>0</v>
      </c>
      <c r="J212" s="21">
        <f>SUMIFS(Einzelbeträge!$D:$D,Einzelbeträge!$C:$C,'Ausgaben 2023'!$C212,Einzelbeträge!$E:$E,'Ausgaben 2023'!J$6)</f>
        <v>0</v>
      </c>
      <c r="K212" s="21">
        <f>SUMIFS(Einzelbeträge!$D:$D,Einzelbeträge!$C:$C,'Ausgaben 2023'!$C212,Einzelbeträge!$E:$E,'Ausgaben 2023'!K$6)</f>
        <v>0</v>
      </c>
      <c r="L212" s="21">
        <f>SUMIFS(Einzelbeträge!$D:$D,Einzelbeträge!$C:$C,'Ausgaben 2023'!$C212,Einzelbeträge!$E:$E,'Ausgaben 2023'!L$6)</f>
        <v>0</v>
      </c>
      <c r="M212" s="21">
        <f>SUMIFS(Einzelbeträge!$D:$D,Einzelbeträge!$C:$C,'Ausgaben 2023'!$C212,Einzelbeträge!$E:$E,'Ausgaben 2023'!M$6)</f>
        <v>0</v>
      </c>
      <c r="N212" s="35">
        <f>SUMIFS(Einzelbeträge!$D:$D,Einzelbeträge!$C:$C,'Ausgaben 2023'!$C212,Einzelbeträge!$E:$E,'Ausgaben 2023'!N$6)</f>
        <v>0</v>
      </c>
      <c r="O212" s="6"/>
    </row>
    <row r="213" spans="2:15" x14ac:dyDescent="0.35">
      <c r="B213" s="5"/>
      <c r="C213" s="40">
        <f t="shared" si="22"/>
        <v>45114</v>
      </c>
      <c r="D213" s="46">
        <f>SUMIFS(Einzelbeträge!$D:$D,Einzelbeträge!$C:$C,'Ausgaben 2023'!$C213)</f>
        <v>0</v>
      </c>
      <c r="E213" s="21">
        <f>SUMIFS(Einzelbeträge!$D:$D,Einzelbeträge!$C:$C,'Ausgaben 2023'!$C213,Einzelbeträge!$E:$E,'Ausgaben 2023'!E$6)</f>
        <v>0</v>
      </c>
      <c r="F213" s="21">
        <f>SUMIFS(Einzelbeträge!$D:$D,Einzelbeträge!$C:$C,'Ausgaben 2023'!$C213,Einzelbeträge!$E:$E,'Ausgaben 2023'!F$6)</f>
        <v>0</v>
      </c>
      <c r="G213" s="21">
        <f>SUMIFS(Einzelbeträge!$D:$D,Einzelbeträge!$C:$C,'Ausgaben 2023'!$C213,Einzelbeträge!$E:$E,'Ausgaben 2023'!G$6)</f>
        <v>0</v>
      </c>
      <c r="H213" s="21">
        <f>SUMIFS(Einzelbeträge!$D:$D,Einzelbeträge!$C:$C,'Ausgaben 2023'!$C213,Einzelbeträge!$E:$E,'Ausgaben 2023'!H$6)</f>
        <v>0</v>
      </c>
      <c r="I213" s="21">
        <f>SUMIFS(Einzelbeträge!$D:$D,Einzelbeträge!$C:$C,'Ausgaben 2023'!$C213,Einzelbeträge!$E:$E,'Ausgaben 2023'!I$6)</f>
        <v>0</v>
      </c>
      <c r="J213" s="21">
        <f>SUMIFS(Einzelbeträge!$D:$D,Einzelbeträge!$C:$C,'Ausgaben 2023'!$C213,Einzelbeträge!$E:$E,'Ausgaben 2023'!J$6)</f>
        <v>0</v>
      </c>
      <c r="K213" s="21">
        <f>SUMIFS(Einzelbeträge!$D:$D,Einzelbeträge!$C:$C,'Ausgaben 2023'!$C213,Einzelbeträge!$E:$E,'Ausgaben 2023'!K$6)</f>
        <v>0</v>
      </c>
      <c r="L213" s="21">
        <f>SUMIFS(Einzelbeträge!$D:$D,Einzelbeträge!$C:$C,'Ausgaben 2023'!$C213,Einzelbeträge!$E:$E,'Ausgaben 2023'!L$6)</f>
        <v>0</v>
      </c>
      <c r="M213" s="21">
        <f>SUMIFS(Einzelbeträge!$D:$D,Einzelbeträge!$C:$C,'Ausgaben 2023'!$C213,Einzelbeträge!$E:$E,'Ausgaben 2023'!M$6)</f>
        <v>0</v>
      </c>
      <c r="N213" s="35">
        <f>SUMIFS(Einzelbeträge!$D:$D,Einzelbeträge!$C:$C,'Ausgaben 2023'!$C213,Einzelbeträge!$E:$E,'Ausgaben 2023'!N$6)</f>
        <v>0</v>
      </c>
      <c r="O213" s="6"/>
    </row>
    <row r="214" spans="2:15" x14ac:dyDescent="0.35">
      <c r="B214" s="5"/>
      <c r="C214" s="40">
        <f t="shared" si="22"/>
        <v>45115</v>
      </c>
      <c r="D214" s="46">
        <f>SUMIFS(Einzelbeträge!$D:$D,Einzelbeträge!$C:$C,'Ausgaben 2023'!$C214)</f>
        <v>0</v>
      </c>
      <c r="E214" s="21">
        <f>SUMIFS(Einzelbeträge!$D:$D,Einzelbeträge!$C:$C,'Ausgaben 2023'!$C214,Einzelbeträge!$E:$E,'Ausgaben 2023'!E$6)</f>
        <v>0</v>
      </c>
      <c r="F214" s="21">
        <f>SUMIFS(Einzelbeträge!$D:$D,Einzelbeträge!$C:$C,'Ausgaben 2023'!$C214,Einzelbeträge!$E:$E,'Ausgaben 2023'!F$6)</f>
        <v>0</v>
      </c>
      <c r="G214" s="21">
        <f>SUMIFS(Einzelbeträge!$D:$D,Einzelbeträge!$C:$C,'Ausgaben 2023'!$C214,Einzelbeträge!$E:$E,'Ausgaben 2023'!G$6)</f>
        <v>0</v>
      </c>
      <c r="H214" s="21">
        <f>SUMIFS(Einzelbeträge!$D:$D,Einzelbeträge!$C:$C,'Ausgaben 2023'!$C214,Einzelbeträge!$E:$E,'Ausgaben 2023'!H$6)</f>
        <v>0</v>
      </c>
      <c r="I214" s="21">
        <f>SUMIFS(Einzelbeträge!$D:$D,Einzelbeträge!$C:$C,'Ausgaben 2023'!$C214,Einzelbeträge!$E:$E,'Ausgaben 2023'!I$6)</f>
        <v>0</v>
      </c>
      <c r="J214" s="21">
        <f>SUMIFS(Einzelbeträge!$D:$D,Einzelbeträge!$C:$C,'Ausgaben 2023'!$C214,Einzelbeträge!$E:$E,'Ausgaben 2023'!J$6)</f>
        <v>0</v>
      </c>
      <c r="K214" s="21">
        <f>SUMIFS(Einzelbeträge!$D:$D,Einzelbeträge!$C:$C,'Ausgaben 2023'!$C214,Einzelbeträge!$E:$E,'Ausgaben 2023'!K$6)</f>
        <v>0</v>
      </c>
      <c r="L214" s="21">
        <f>SUMIFS(Einzelbeträge!$D:$D,Einzelbeträge!$C:$C,'Ausgaben 2023'!$C214,Einzelbeträge!$E:$E,'Ausgaben 2023'!L$6)</f>
        <v>0</v>
      </c>
      <c r="M214" s="21">
        <f>SUMIFS(Einzelbeträge!$D:$D,Einzelbeträge!$C:$C,'Ausgaben 2023'!$C214,Einzelbeträge!$E:$E,'Ausgaben 2023'!M$6)</f>
        <v>0</v>
      </c>
      <c r="N214" s="35">
        <f>SUMIFS(Einzelbeträge!$D:$D,Einzelbeträge!$C:$C,'Ausgaben 2023'!$C214,Einzelbeträge!$E:$E,'Ausgaben 2023'!N$6)</f>
        <v>0</v>
      </c>
      <c r="O214" s="6"/>
    </row>
    <row r="215" spans="2:15" x14ac:dyDescent="0.35">
      <c r="B215" s="5"/>
      <c r="C215" s="40">
        <f t="shared" si="22"/>
        <v>45116</v>
      </c>
      <c r="D215" s="46">
        <f>SUMIFS(Einzelbeträge!$D:$D,Einzelbeträge!$C:$C,'Ausgaben 2023'!$C215)</f>
        <v>0</v>
      </c>
      <c r="E215" s="21">
        <f>SUMIFS(Einzelbeträge!$D:$D,Einzelbeträge!$C:$C,'Ausgaben 2023'!$C215,Einzelbeträge!$E:$E,'Ausgaben 2023'!E$6)</f>
        <v>0</v>
      </c>
      <c r="F215" s="21">
        <f>SUMIFS(Einzelbeträge!$D:$D,Einzelbeträge!$C:$C,'Ausgaben 2023'!$C215,Einzelbeträge!$E:$E,'Ausgaben 2023'!F$6)</f>
        <v>0</v>
      </c>
      <c r="G215" s="21">
        <f>SUMIFS(Einzelbeträge!$D:$D,Einzelbeträge!$C:$C,'Ausgaben 2023'!$C215,Einzelbeträge!$E:$E,'Ausgaben 2023'!G$6)</f>
        <v>0</v>
      </c>
      <c r="H215" s="21">
        <f>SUMIFS(Einzelbeträge!$D:$D,Einzelbeträge!$C:$C,'Ausgaben 2023'!$C215,Einzelbeträge!$E:$E,'Ausgaben 2023'!H$6)</f>
        <v>0</v>
      </c>
      <c r="I215" s="21">
        <f>SUMIFS(Einzelbeträge!$D:$D,Einzelbeträge!$C:$C,'Ausgaben 2023'!$C215,Einzelbeträge!$E:$E,'Ausgaben 2023'!I$6)</f>
        <v>0</v>
      </c>
      <c r="J215" s="21">
        <f>SUMIFS(Einzelbeträge!$D:$D,Einzelbeträge!$C:$C,'Ausgaben 2023'!$C215,Einzelbeträge!$E:$E,'Ausgaben 2023'!J$6)</f>
        <v>0</v>
      </c>
      <c r="K215" s="21">
        <f>SUMIFS(Einzelbeträge!$D:$D,Einzelbeträge!$C:$C,'Ausgaben 2023'!$C215,Einzelbeträge!$E:$E,'Ausgaben 2023'!K$6)</f>
        <v>0</v>
      </c>
      <c r="L215" s="21">
        <f>SUMIFS(Einzelbeträge!$D:$D,Einzelbeträge!$C:$C,'Ausgaben 2023'!$C215,Einzelbeträge!$E:$E,'Ausgaben 2023'!L$6)</f>
        <v>0</v>
      </c>
      <c r="M215" s="21">
        <f>SUMIFS(Einzelbeträge!$D:$D,Einzelbeträge!$C:$C,'Ausgaben 2023'!$C215,Einzelbeträge!$E:$E,'Ausgaben 2023'!M$6)</f>
        <v>0</v>
      </c>
      <c r="N215" s="35">
        <f>SUMIFS(Einzelbeträge!$D:$D,Einzelbeträge!$C:$C,'Ausgaben 2023'!$C215,Einzelbeträge!$E:$E,'Ausgaben 2023'!N$6)</f>
        <v>0</v>
      </c>
      <c r="O215" s="6"/>
    </row>
    <row r="216" spans="2:15" x14ac:dyDescent="0.35">
      <c r="B216" s="5"/>
      <c r="C216" s="40">
        <f t="shared" si="22"/>
        <v>45117</v>
      </c>
      <c r="D216" s="46">
        <f>SUMIFS(Einzelbeträge!$D:$D,Einzelbeträge!$C:$C,'Ausgaben 2023'!$C216)</f>
        <v>0</v>
      </c>
      <c r="E216" s="21">
        <f>SUMIFS(Einzelbeträge!$D:$D,Einzelbeträge!$C:$C,'Ausgaben 2023'!$C216,Einzelbeträge!$E:$E,'Ausgaben 2023'!E$6)</f>
        <v>0</v>
      </c>
      <c r="F216" s="21">
        <f>SUMIFS(Einzelbeträge!$D:$D,Einzelbeträge!$C:$C,'Ausgaben 2023'!$C216,Einzelbeträge!$E:$E,'Ausgaben 2023'!F$6)</f>
        <v>0</v>
      </c>
      <c r="G216" s="21">
        <f>SUMIFS(Einzelbeträge!$D:$D,Einzelbeträge!$C:$C,'Ausgaben 2023'!$C216,Einzelbeträge!$E:$E,'Ausgaben 2023'!G$6)</f>
        <v>0</v>
      </c>
      <c r="H216" s="21">
        <f>SUMIFS(Einzelbeträge!$D:$D,Einzelbeträge!$C:$C,'Ausgaben 2023'!$C216,Einzelbeträge!$E:$E,'Ausgaben 2023'!H$6)</f>
        <v>0</v>
      </c>
      <c r="I216" s="21">
        <f>SUMIFS(Einzelbeträge!$D:$D,Einzelbeträge!$C:$C,'Ausgaben 2023'!$C216,Einzelbeträge!$E:$E,'Ausgaben 2023'!I$6)</f>
        <v>0</v>
      </c>
      <c r="J216" s="21">
        <f>SUMIFS(Einzelbeträge!$D:$D,Einzelbeträge!$C:$C,'Ausgaben 2023'!$C216,Einzelbeträge!$E:$E,'Ausgaben 2023'!J$6)</f>
        <v>0</v>
      </c>
      <c r="K216" s="21">
        <f>SUMIFS(Einzelbeträge!$D:$D,Einzelbeträge!$C:$C,'Ausgaben 2023'!$C216,Einzelbeträge!$E:$E,'Ausgaben 2023'!K$6)</f>
        <v>0</v>
      </c>
      <c r="L216" s="21">
        <f>SUMIFS(Einzelbeträge!$D:$D,Einzelbeträge!$C:$C,'Ausgaben 2023'!$C216,Einzelbeträge!$E:$E,'Ausgaben 2023'!L$6)</f>
        <v>0</v>
      </c>
      <c r="M216" s="21">
        <f>SUMIFS(Einzelbeträge!$D:$D,Einzelbeträge!$C:$C,'Ausgaben 2023'!$C216,Einzelbeträge!$E:$E,'Ausgaben 2023'!M$6)</f>
        <v>0</v>
      </c>
      <c r="N216" s="35">
        <f>SUMIFS(Einzelbeträge!$D:$D,Einzelbeträge!$C:$C,'Ausgaben 2023'!$C216,Einzelbeträge!$E:$E,'Ausgaben 2023'!N$6)</f>
        <v>0</v>
      </c>
      <c r="O216" s="6"/>
    </row>
    <row r="217" spans="2:15" x14ac:dyDescent="0.35">
      <c r="B217" s="5"/>
      <c r="C217" s="40">
        <f t="shared" si="22"/>
        <v>45118</v>
      </c>
      <c r="D217" s="46">
        <f>SUMIFS(Einzelbeträge!$D:$D,Einzelbeträge!$C:$C,'Ausgaben 2023'!$C217)</f>
        <v>0</v>
      </c>
      <c r="E217" s="21">
        <f>SUMIFS(Einzelbeträge!$D:$D,Einzelbeträge!$C:$C,'Ausgaben 2023'!$C217,Einzelbeträge!$E:$E,'Ausgaben 2023'!E$6)</f>
        <v>0</v>
      </c>
      <c r="F217" s="21">
        <f>SUMIFS(Einzelbeträge!$D:$D,Einzelbeträge!$C:$C,'Ausgaben 2023'!$C217,Einzelbeträge!$E:$E,'Ausgaben 2023'!F$6)</f>
        <v>0</v>
      </c>
      <c r="G217" s="21">
        <f>SUMIFS(Einzelbeträge!$D:$D,Einzelbeträge!$C:$C,'Ausgaben 2023'!$C217,Einzelbeträge!$E:$E,'Ausgaben 2023'!G$6)</f>
        <v>0</v>
      </c>
      <c r="H217" s="21">
        <f>SUMIFS(Einzelbeträge!$D:$D,Einzelbeträge!$C:$C,'Ausgaben 2023'!$C217,Einzelbeträge!$E:$E,'Ausgaben 2023'!H$6)</f>
        <v>0</v>
      </c>
      <c r="I217" s="21">
        <f>SUMIFS(Einzelbeträge!$D:$D,Einzelbeträge!$C:$C,'Ausgaben 2023'!$C217,Einzelbeträge!$E:$E,'Ausgaben 2023'!I$6)</f>
        <v>0</v>
      </c>
      <c r="J217" s="21">
        <f>SUMIFS(Einzelbeträge!$D:$D,Einzelbeträge!$C:$C,'Ausgaben 2023'!$C217,Einzelbeträge!$E:$E,'Ausgaben 2023'!J$6)</f>
        <v>0</v>
      </c>
      <c r="K217" s="21">
        <f>SUMIFS(Einzelbeträge!$D:$D,Einzelbeträge!$C:$C,'Ausgaben 2023'!$C217,Einzelbeträge!$E:$E,'Ausgaben 2023'!K$6)</f>
        <v>0</v>
      </c>
      <c r="L217" s="21">
        <f>SUMIFS(Einzelbeträge!$D:$D,Einzelbeträge!$C:$C,'Ausgaben 2023'!$C217,Einzelbeträge!$E:$E,'Ausgaben 2023'!L$6)</f>
        <v>0</v>
      </c>
      <c r="M217" s="21">
        <f>SUMIFS(Einzelbeträge!$D:$D,Einzelbeträge!$C:$C,'Ausgaben 2023'!$C217,Einzelbeträge!$E:$E,'Ausgaben 2023'!M$6)</f>
        <v>0</v>
      </c>
      <c r="N217" s="35">
        <f>SUMIFS(Einzelbeträge!$D:$D,Einzelbeträge!$C:$C,'Ausgaben 2023'!$C217,Einzelbeträge!$E:$E,'Ausgaben 2023'!N$6)</f>
        <v>0</v>
      </c>
      <c r="O217" s="6"/>
    </row>
    <row r="218" spans="2:15" x14ac:dyDescent="0.35">
      <c r="B218" s="5"/>
      <c r="C218" s="40">
        <f t="shared" si="22"/>
        <v>45119</v>
      </c>
      <c r="D218" s="46">
        <f>SUMIFS(Einzelbeträge!$D:$D,Einzelbeträge!$C:$C,'Ausgaben 2023'!$C218)</f>
        <v>0</v>
      </c>
      <c r="E218" s="21">
        <f>SUMIFS(Einzelbeträge!$D:$D,Einzelbeträge!$C:$C,'Ausgaben 2023'!$C218,Einzelbeträge!$E:$E,'Ausgaben 2023'!E$6)</f>
        <v>0</v>
      </c>
      <c r="F218" s="21">
        <f>SUMIFS(Einzelbeträge!$D:$D,Einzelbeträge!$C:$C,'Ausgaben 2023'!$C218,Einzelbeträge!$E:$E,'Ausgaben 2023'!F$6)</f>
        <v>0</v>
      </c>
      <c r="G218" s="21">
        <f>SUMIFS(Einzelbeträge!$D:$D,Einzelbeträge!$C:$C,'Ausgaben 2023'!$C218,Einzelbeträge!$E:$E,'Ausgaben 2023'!G$6)</f>
        <v>0</v>
      </c>
      <c r="H218" s="21">
        <f>SUMIFS(Einzelbeträge!$D:$D,Einzelbeträge!$C:$C,'Ausgaben 2023'!$C218,Einzelbeträge!$E:$E,'Ausgaben 2023'!H$6)</f>
        <v>0</v>
      </c>
      <c r="I218" s="21">
        <f>SUMIFS(Einzelbeträge!$D:$D,Einzelbeträge!$C:$C,'Ausgaben 2023'!$C218,Einzelbeträge!$E:$E,'Ausgaben 2023'!I$6)</f>
        <v>0</v>
      </c>
      <c r="J218" s="21">
        <f>SUMIFS(Einzelbeträge!$D:$D,Einzelbeträge!$C:$C,'Ausgaben 2023'!$C218,Einzelbeträge!$E:$E,'Ausgaben 2023'!J$6)</f>
        <v>0</v>
      </c>
      <c r="K218" s="21">
        <f>SUMIFS(Einzelbeträge!$D:$D,Einzelbeträge!$C:$C,'Ausgaben 2023'!$C218,Einzelbeträge!$E:$E,'Ausgaben 2023'!K$6)</f>
        <v>0</v>
      </c>
      <c r="L218" s="21">
        <f>SUMIFS(Einzelbeträge!$D:$D,Einzelbeträge!$C:$C,'Ausgaben 2023'!$C218,Einzelbeträge!$E:$E,'Ausgaben 2023'!L$6)</f>
        <v>0</v>
      </c>
      <c r="M218" s="21">
        <f>SUMIFS(Einzelbeträge!$D:$D,Einzelbeträge!$C:$C,'Ausgaben 2023'!$C218,Einzelbeträge!$E:$E,'Ausgaben 2023'!M$6)</f>
        <v>0</v>
      </c>
      <c r="N218" s="35">
        <f>SUMIFS(Einzelbeträge!$D:$D,Einzelbeträge!$C:$C,'Ausgaben 2023'!$C218,Einzelbeträge!$E:$E,'Ausgaben 2023'!N$6)</f>
        <v>0</v>
      </c>
      <c r="O218" s="6"/>
    </row>
    <row r="219" spans="2:15" x14ac:dyDescent="0.35">
      <c r="B219" s="5"/>
      <c r="C219" s="40">
        <f t="shared" si="22"/>
        <v>45120</v>
      </c>
      <c r="D219" s="46">
        <f>SUMIFS(Einzelbeträge!$D:$D,Einzelbeträge!$C:$C,'Ausgaben 2023'!$C219)</f>
        <v>0</v>
      </c>
      <c r="E219" s="21">
        <f>SUMIFS(Einzelbeträge!$D:$D,Einzelbeträge!$C:$C,'Ausgaben 2023'!$C219,Einzelbeträge!$E:$E,'Ausgaben 2023'!E$6)</f>
        <v>0</v>
      </c>
      <c r="F219" s="21">
        <f>SUMIFS(Einzelbeträge!$D:$D,Einzelbeträge!$C:$C,'Ausgaben 2023'!$C219,Einzelbeträge!$E:$E,'Ausgaben 2023'!F$6)</f>
        <v>0</v>
      </c>
      <c r="G219" s="21">
        <f>SUMIFS(Einzelbeträge!$D:$D,Einzelbeträge!$C:$C,'Ausgaben 2023'!$C219,Einzelbeträge!$E:$E,'Ausgaben 2023'!G$6)</f>
        <v>0</v>
      </c>
      <c r="H219" s="21">
        <f>SUMIFS(Einzelbeträge!$D:$D,Einzelbeträge!$C:$C,'Ausgaben 2023'!$C219,Einzelbeträge!$E:$E,'Ausgaben 2023'!H$6)</f>
        <v>0</v>
      </c>
      <c r="I219" s="21">
        <f>SUMIFS(Einzelbeträge!$D:$D,Einzelbeträge!$C:$C,'Ausgaben 2023'!$C219,Einzelbeträge!$E:$E,'Ausgaben 2023'!I$6)</f>
        <v>0</v>
      </c>
      <c r="J219" s="21">
        <f>SUMIFS(Einzelbeträge!$D:$D,Einzelbeträge!$C:$C,'Ausgaben 2023'!$C219,Einzelbeträge!$E:$E,'Ausgaben 2023'!J$6)</f>
        <v>0</v>
      </c>
      <c r="K219" s="21">
        <f>SUMIFS(Einzelbeträge!$D:$D,Einzelbeträge!$C:$C,'Ausgaben 2023'!$C219,Einzelbeträge!$E:$E,'Ausgaben 2023'!K$6)</f>
        <v>0</v>
      </c>
      <c r="L219" s="21">
        <f>SUMIFS(Einzelbeträge!$D:$D,Einzelbeträge!$C:$C,'Ausgaben 2023'!$C219,Einzelbeträge!$E:$E,'Ausgaben 2023'!L$6)</f>
        <v>0</v>
      </c>
      <c r="M219" s="21">
        <f>SUMIFS(Einzelbeträge!$D:$D,Einzelbeträge!$C:$C,'Ausgaben 2023'!$C219,Einzelbeträge!$E:$E,'Ausgaben 2023'!M$6)</f>
        <v>0</v>
      </c>
      <c r="N219" s="35">
        <f>SUMIFS(Einzelbeträge!$D:$D,Einzelbeträge!$C:$C,'Ausgaben 2023'!$C219,Einzelbeträge!$E:$E,'Ausgaben 2023'!N$6)</f>
        <v>0</v>
      </c>
      <c r="O219" s="6"/>
    </row>
    <row r="220" spans="2:15" x14ac:dyDescent="0.35">
      <c r="B220" s="5"/>
      <c r="C220" s="40">
        <f t="shared" si="22"/>
        <v>45121</v>
      </c>
      <c r="D220" s="46">
        <f>SUMIFS(Einzelbeträge!$D:$D,Einzelbeträge!$C:$C,'Ausgaben 2023'!$C220)</f>
        <v>0</v>
      </c>
      <c r="E220" s="21">
        <f>SUMIFS(Einzelbeträge!$D:$D,Einzelbeträge!$C:$C,'Ausgaben 2023'!$C220,Einzelbeträge!$E:$E,'Ausgaben 2023'!E$6)</f>
        <v>0</v>
      </c>
      <c r="F220" s="21">
        <f>SUMIFS(Einzelbeträge!$D:$D,Einzelbeträge!$C:$C,'Ausgaben 2023'!$C220,Einzelbeträge!$E:$E,'Ausgaben 2023'!F$6)</f>
        <v>0</v>
      </c>
      <c r="G220" s="21">
        <f>SUMIFS(Einzelbeträge!$D:$D,Einzelbeträge!$C:$C,'Ausgaben 2023'!$C220,Einzelbeträge!$E:$E,'Ausgaben 2023'!G$6)</f>
        <v>0</v>
      </c>
      <c r="H220" s="21">
        <f>SUMIFS(Einzelbeträge!$D:$D,Einzelbeträge!$C:$C,'Ausgaben 2023'!$C220,Einzelbeträge!$E:$E,'Ausgaben 2023'!H$6)</f>
        <v>0</v>
      </c>
      <c r="I220" s="21">
        <f>SUMIFS(Einzelbeträge!$D:$D,Einzelbeträge!$C:$C,'Ausgaben 2023'!$C220,Einzelbeträge!$E:$E,'Ausgaben 2023'!I$6)</f>
        <v>0</v>
      </c>
      <c r="J220" s="21">
        <f>SUMIFS(Einzelbeträge!$D:$D,Einzelbeträge!$C:$C,'Ausgaben 2023'!$C220,Einzelbeträge!$E:$E,'Ausgaben 2023'!J$6)</f>
        <v>0</v>
      </c>
      <c r="K220" s="21">
        <f>SUMIFS(Einzelbeträge!$D:$D,Einzelbeträge!$C:$C,'Ausgaben 2023'!$C220,Einzelbeträge!$E:$E,'Ausgaben 2023'!K$6)</f>
        <v>0</v>
      </c>
      <c r="L220" s="21">
        <f>SUMIFS(Einzelbeträge!$D:$D,Einzelbeträge!$C:$C,'Ausgaben 2023'!$C220,Einzelbeträge!$E:$E,'Ausgaben 2023'!L$6)</f>
        <v>0</v>
      </c>
      <c r="M220" s="21">
        <f>SUMIFS(Einzelbeträge!$D:$D,Einzelbeträge!$C:$C,'Ausgaben 2023'!$C220,Einzelbeträge!$E:$E,'Ausgaben 2023'!M$6)</f>
        <v>0</v>
      </c>
      <c r="N220" s="35">
        <f>SUMIFS(Einzelbeträge!$D:$D,Einzelbeträge!$C:$C,'Ausgaben 2023'!$C220,Einzelbeträge!$E:$E,'Ausgaben 2023'!N$6)</f>
        <v>0</v>
      </c>
      <c r="O220" s="6"/>
    </row>
    <row r="221" spans="2:15" x14ac:dyDescent="0.35">
      <c r="B221" s="5"/>
      <c r="C221" s="40">
        <f t="shared" si="22"/>
        <v>45122</v>
      </c>
      <c r="D221" s="46">
        <f>SUMIFS(Einzelbeträge!$D:$D,Einzelbeträge!$C:$C,'Ausgaben 2023'!$C221)</f>
        <v>0</v>
      </c>
      <c r="E221" s="21">
        <f>SUMIFS(Einzelbeträge!$D:$D,Einzelbeträge!$C:$C,'Ausgaben 2023'!$C221,Einzelbeträge!$E:$E,'Ausgaben 2023'!E$6)</f>
        <v>0</v>
      </c>
      <c r="F221" s="21">
        <f>SUMIFS(Einzelbeträge!$D:$D,Einzelbeträge!$C:$C,'Ausgaben 2023'!$C221,Einzelbeträge!$E:$E,'Ausgaben 2023'!F$6)</f>
        <v>0</v>
      </c>
      <c r="G221" s="21">
        <f>SUMIFS(Einzelbeträge!$D:$D,Einzelbeträge!$C:$C,'Ausgaben 2023'!$C221,Einzelbeträge!$E:$E,'Ausgaben 2023'!G$6)</f>
        <v>0</v>
      </c>
      <c r="H221" s="21">
        <f>SUMIFS(Einzelbeträge!$D:$D,Einzelbeträge!$C:$C,'Ausgaben 2023'!$C221,Einzelbeträge!$E:$E,'Ausgaben 2023'!H$6)</f>
        <v>0</v>
      </c>
      <c r="I221" s="21">
        <f>SUMIFS(Einzelbeträge!$D:$D,Einzelbeträge!$C:$C,'Ausgaben 2023'!$C221,Einzelbeträge!$E:$E,'Ausgaben 2023'!I$6)</f>
        <v>0</v>
      </c>
      <c r="J221" s="21">
        <f>SUMIFS(Einzelbeträge!$D:$D,Einzelbeträge!$C:$C,'Ausgaben 2023'!$C221,Einzelbeträge!$E:$E,'Ausgaben 2023'!J$6)</f>
        <v>0</v>
      </c>
      <c r="K221" s="21">
        <f>SUMIFS(Einzelbeträge!$D:$D,Einzelbeträge!$C:$C,'Ausgaben 2023'!$C221,Einzelbeträge!$E:$E,'Ausgaben 2023'!K$6)</f>
        <v>0</v>
      </c>
      <c r="L221" s="21">
        <f>SUMIFS(Einzelbeträge!$D:$D,Einzelbeträge!$C:$C,'Ausgaben 2023'!$C221,Einzelbeträge!$E:$E,'Ausgaben 2023'!L$6)</f>
        <v>0</v>
      </c>
      <c r="M221" s="21">
        <f>SUMIFS(Einzelbeträge!$D:$D,Einzelbeträge!$C:$C,'Ausgaben 2023'!$C221,Einzelbeträge!$E:$E,'Ausgaben 2023'!M$6)</f>
        <v>0</v>
      </c>
      <c r="N221" s="35">
        <f>SUMIFS(Einzelbeträge!$D:$D,Einzelbeträge!$C:$C,'Ausgaben 2023'!$C221,Einzelbeträge!$E:$E,'Ausgaben 2023'!N$6)</f>
        <v>0</v>
      </c>
      <c r="O221" s="6"/>
    </row>
    <row r="222" spans="2:15" x14ac:dyDescent="0.35">
      <c r="B222" s="5"/>
      <c r="C222" s="40">
        <f t="shared" si="22"/>
        <v>45123</v>
      </c>
      <c r="D222" s="46">
        <f>SUMIFS(Einzelbeträge!$D:$D,Einzelbeträge!$C:$C,'Ausgaben 2023'!$C222)</f>
        <v>0</v>
      </c>
      <c r="E222" s="21">
        <f>SUMIFS(Einzelbeträge!$D:$D,Einzelbeträge!$C:$C,'Ausgaben 2023'!$C222,Einzelbeträge!$E:$E,'Ausgaben 2023'!E$6)</f>
        <v>0</v>
      </c>
      <c r="F222" s="21">
        <f>SUMIFS(Einzelbeträge!$D:$D,Einzelbeträge!$C:$C,'Ausgaben 2023'!$C222,Einzelbeträge!$E:$E,'Ausgaben 2023'!F$6)</f>
        <v>0</v>
      </c>
      <c r="G222" s="21">
        <f>SUMIFS(Einzelbeträge!$D:$D,Einzelbeträge!$C:$C,'Ausgaben 2023'!$C222,Einzelbeträge!$E:$E,'Ausgaben 2023'!G$6)</f>
        <v>0</v>
      </c>
      <c r="H222" s="21">
        <f>SUMIFS(Einzelbeträge!$D:$D,Einzelbeträge!$C:$C,'Ausgaben 2023'!$C222,Einzelbeträge!$E:$E,'Ausgaben 2023'!H$6)</f>
        <v>0</v>
      </c>
      <c r="I222" s="21">
        <f>SUMIFS(Einzelbeträge!$D:$D,Einzelbeträge!$C:$C,'Ausgaben 2023'!$C222,Einzelbeträge!$E:$E,'Ausgaben 2023'!I$6)</f>
        <v>0</v>
      </c>
      <c r="J222" s="21">
        <f>SUMIFS(Einzelbeträge!$D:$D,Einzelbeträge!$C:$C,'Ausgaben 2023'!$C222,Einzelbeträge!$E:$E,'Ausgaben 2023'!J$6)</f>
        <v>0</v>
      </c>
      <c r="K222" s="21">
        <f>SUMIFS(Einzelbeträge!$D:$D,Einzelbeträge!$C:$C,'Ausgaben 2023'!$C222,Einzelbeträge!$E:$E,'Ausgaben 2023'!K$6)</f>
        <v>0</v>
      </c>
      <c r="L222" s="21">
        <f>SUMIFS(Einzelbeträge!$D:$D,Einzelbeträge!$C:$C,'Ausgaben 2023'!$C222,Einzelbeträge!$E:$E,'Ausgaben 2023'!L$6)</f>
        <v>0</v>
      </c>
      <c r="M222" s="21">
        <f>SUMIFS(Einzelbeträge!$D:$D,Einzelbeträge!$C:$C,'Ausgaben 2023'!$C222,Einzelbeträge!$E:$E,'Ausgaben 2023'!M$6)</f>
        <v>0</v>
      </c>
      <c r="N222" s="35">
        <f>SUMIFS(Einzelbeträge!$D:$D,Einzelbeträge!$C:$C,'Ausgaben 2023'!$C222,Einzelbeträge!$E:$E,'Ausgaben 2023'!N$6)</f>
        <v>0</v>
      </c>
      <c r="O222" s="6"/>
    </row>
    <row r="223" spans="2:15" x14ac:dyDescent="0.35">
      <c r="B223" s="5"/>
      <c r="C223" s="40">
        <f t="shared" si="22"/>
        <v>45124</v>
      </c>
      <c r="D223" s="46">
        <f>SUMIFS(Einzelbeträge!$D:$D,Einzelbeträge!$C:$C,'Ausgaben 2023'!$C223)</f>
        <v>0</v>
      </c>
      <c r="E223" s="21">
        <f>SUMIFS(Einzelbeträge!$D:$D,Einzelbeträge!$C:$C,'Ausgaben 2023'!$C223,Einzelbeträge!$E:$E,'Ausgaben 2023'!E$6)</f>
        <v>0</v>
      </c>
      <c r="F223" s="21">
        <f>SUMIFS(Einzelbeträge!$D:$D,Einzelbeträge!$C:$C,'Ausgaben 2023'!$C223,Einzelbeträge!$E:$E,'Ausgaben 2023'!F$6)</f>
        <v>0</v>
      </c>
      <c r="G223" s="21">
        <f>SUMIFS(Einzelbeträge!$D:$D,Einzelbeträge!$C:$C,'Ausgaben 2023'!$C223,Einzelbeträge!$E:$E,'Ausgaben 2023'!G$6)</f>
        <v>0</v>
      </c>
      <c r="H223" s="21">
        <f>SUMIFS(Einzelbeträge!$D:$D,Einzelbeträge!$C:$C,'Ausgaben 2023'!$C223,Einzelbeträge!$E:$E,'Ausgaben 2023'!H$6)</f>
        <v>0</v>
      </c>
      <c r="I223" s="21">
        <f>SUMIFS(Einzelbeträge!$D:$D,Einzelbeträge!$C:$C,'Ausgaben 2023'!$C223,Einzelbeträge!$E:$E,'Ausgaben 2023'!I$6)</f>
        <v>0</v>
      </c>
      <c r="J223" s="21">
        <f>SUMIFS(Einzelbeträge!$D:$D,Einzelbeträge!$C:$C,'Ausgaben 2023'!$C223,Einzelbeträge!$E:$E,'Ausgaben 2023'!J$6)</f>
        <v>0</v>
      </c>
      <c r="K223" s="21">
        <f>SUMIFS(Einzelbeträge!$D:$D,Einzelbeträge!$C:$C,'Ausgaben 2023'!$C223,Einzelbeträge!$E:$E,'Ausgaben 2023'!K$6)</f>
        <v>0</v>
      </c>
      <c r="L223" s="21">
        <f>SUMIFS(Einzelbeträge!$D:$D,Einzelbeträge!$C:$C,'Ausgaben 2023'!$C223,Einzelbeträge!$E:$E,'Ausgaben 2023'!L$6)</f>
        <v>0</v>
      </c>
      <c r="M223" s="21">
        <f>SUMIFS(Einzelbeträge!$D:$D,Einzelbeträge!$C:$C,'Ausgaben 2023'!$C223,Einzelbeträge!$E:$E,'Ausgaben 2023'!M$6)</f>
        <v>0</v>
      </c>
      <c r="N223" s="35">
        <f>SUMIFS(Einzelbeträge!$D:$D,Einzelbeträge!$C:$C,'Ausgaben 2023'!$C223,Einzelbeträge!$E:$E,'Ausgaben 2023'!N$6)</f>
        <v>0</v>
      </c>
      <c r="O223" s="6"/>
    </row>
    <row r="224" spans="2:15" x14ac:dyDescent="0.35">
      <c r="B224" s="5"/>
      <c r="C224" s="40">
        <f t="shared" si="22"/>
        <v>45125</v>
      </c>
      <c r="D224" s="46">
        <f>SUMIFS(Einzelbeträge!$D:$D,Einzelbeträge!$C:$C,'Ausgaben 2023'!$C224)</f>
        <v>0</v>
      </c>
      <c r="E224" s="21">
        <f>SUMIFS(Einzelbeträge!$D:$D,Einzelbeträge!$C:$C,'Ausgaben 2023'!$C224,Einzelbeträge!$E:$E,'Ausgaben 2023'!E$6)</f>
        <v>0</v>
      </c>
      <c r="F224" s="21">
        <f>SUMIFS(Einzelbeträge!$D:$D,Einzelbeträge!$C:$C,'Ausgaben 2023'!$C224,Einzelbeträge!$E:$E,'Ausgaben 2023'!F$6)</f>
        <v>0</v>
      </c>
      <c r="G224" s="21">
        <f>SUMIFS(Einzelbeträge!$D:$D,Einzelbeträge!$C:$C,'Ausgaben 2023'!$C224,Einzelbeträge!$E:$E,'Ausgaben 2023'!G$6)</f>
        <v>0</v>
      </c>
      <c r="H224" s="21">
        <f>SUMIFS(Einzelbeträge!$D:$D,Einzelbeträge!$C:$C,'Ausgaben 2023'!$C224,Einzelbeträge!$E:$E,'Ausgaben 2023'!H$6)</f>
        <v>0</v>
      </c>
      <c r="I224" s="21">
        <f>SUMIFS(Einzelbeträge!$D:$D,Einzelbeträge!$C:$C,'Ausgaben 2023'!$C224,Einzelbeträge!$E:$E,'Ausgaben 2023'!I$6)</f>
        <v>0</v>
      </c>
      <c r="J224" s="21">
        <f>SUMIFS(Einzelbeträge!$D:$D,Einzelbeträge!$C:$C,'Ausgaben 2023'!$C224,Einzelbeträge!$E:$E,'Ausgaben 2023'!J$6)</f>
        <v>0</v>
      </c>
      <c r="K224" s="21">
        <f>SUMIFS(Einzelbeträge!$D:$D,Einzelbeträge!$C:$C,'Ausgaben 2023'!$C224,Einzelbeträge!$E:$E,'Ausgaben 2023'!K$6)</f>
        <v>0</v>
      </c>
      <c r="L224" s="21">
        <f>SUMIFS(Einzelbeträge!$D:$D,Einzelbeträge!$C:$C,'Ausgaben 2023'!$C224,Einzelbeträge!$E:$E,'Ausgaben 2023'!L$6)</f>
        <v>0</v>
      </c>
      <c r="M224" s="21">
        <f>SUMIFS(Einzelbeträge!$D:$D,Einzelbeträge!$C:$C,'Ausgaben 2023'!$C224,Einzelbeträge!$E:$E,'Ausgaben 2023'!M$6)</f>
        <v>0</v>
      </c>
      <c r="N224" s="35">
        <f>SUMIFS(Einzelbeträge!$D:$D,Einzelbeträge!$C:$C,'Ausgaben 2023'!$C224,Einzelbeträge!$E:$E,'Ausgaben 2023'!N$6)</f>
        <v>0</v>
      </c>
      <c r="O224" s="6"/>
    </row>
    <row r="225" spans="2:15" x14ac:dyDescent="0.35">
      <c r="B225" s="5"/>
      <c r="C225" s="40">
        <f t="shared" si="22"/>
        <v>45126</v>
      </c>
      <c r="D225" s="46">
        <f>SUMIFS(Einzelbeträge!$D:$D,Einzelbeträge!$C:$C,'Ausgaben 2023'!$C225)</f>
        <v>0</v>
      </c>
      <c r="E225" s="21">
        <f>SUMIFS(Einzelbeträge!$D:$D,Einzelbeträge!$C:$C,'Ausgaben 2023'!$C225,Einzelbeträge!$E:$E,'Ausgaben 2023'!E$6)</f>
        <v>0</v>
      </c>
      <c r="F225" s="21">
        <f>SUMIFS(Einzelbeträge!$D:$D,Einzelbeträge!$C:$C,'Ausgaben 2023'!$C225,Einzelbeträge!$E:$E,'Ausgaben 2023'!F$6)</f>
        <v>0</v>
      </c>
      <c r="G225" s="21">
        <f>SUMIFS(Einzelbeträge!$D:$D,Einzelbeträge!$C:$C,'Ausgaben 2023'!$C225,Einzelbeträge!$E:$E,'Ausgaben 2023'!G$6)</f>
        <v>0</v>
      </c>
      <c r="H225" s="21">
        <f>SUMIFS(Einzelbeträge!$D:$D,Einzelbeträge!$C:$C,'Ausgaben 2023'!$C225,Einzelbeträge!$E:$E,'Ausgaben 2023'!H$6)</f>
        <v>0</v>
      </c>
      <c r="I225" s="21">
        <f>SUMIFS(Einzelbeträge!$D:$D,Einzelbeträge!$C:$C,'Ausgaben 2023'!$C225,Einzelbeträge!$E:$E,'Ausgaben 2023'!I$6)</f>
        <v>0</v>
      </c>
      <c r="J225" s="21">
        <f>SUMIFS(Einzelbeträge!$D:$D,Einzelbeträge!$C:$C,'Ausgaben 2023'!$C225,Einzelbeträge!$E:$E,'Ausgaben 2023'!J$6)</f>
        <v>0</v>
      </c>
      <c r="K225" s="21">
        <f>SUMIFS(Einzelbeträge!$D:$D,Einzelbeträge!$C:$C,'Ausgaben 2023'!$C225,Einzelbeträge!$E:$E,'Ausgaben 2023'!K$6)</f>
        <v>0</v>
      </c>
      <c r="L225" s="21">
        <f>SUMIFS(Einzelbeträge!$D:$D,Einzelbeträge!$C:$C,'Ausgaben 2023'!$C225,Einzelbeträge!$E:$E,'Ausgaben 2023'!L$6)</f>
        <v>0</v>
      </c>
      <c r="M225" s="21">
        <f>SUMIFS(Einzelbeträge!$D:$D,Einzelbeträge!$C:$C,'Ausgaben 2023'!$C225,Einzelbeträge!$E:$E,'Ausgaben 2023'!M$6)</f>
        <v>0</v>
      </c>
      <c r="N225" s="35">
        <f>SUMIFS(Einzelbeträge!$D:$D,Einzelbeträge!$C:$C,'Ausgaben 2023'!$C225,Einzelbeträge!$E:$E,'Ausgaben 2023'!N$6)</f>
        <v>0</v>
      </c>
      <c r="O225" s="6"/>
    </row>
    <row r="226" spans="2:15" x14ac:dyDescent="0.35">
      <c r="B226" s="5"/>
      <c r="C226" s="40">
        <f t="shared" si="22"/>
        <v>45127</v>
      </c>
      <c r="D226" s="46">
        <f>SUMIFS(Einzelbeträge!$D:$D,Einzelbeträge!$C:$C,'Ausgaben 2023'!$C226)</f>
        <v>0</v>
      </c>
      <c r="E226" s="21">
        <f>SUMIFS(Einzelbeträge!$D:$D,Einzelbeträge!$C:$C,'Ausgaben 2023'!$C226,Einzelbeträge!$E:$E,'Ausgaben 2023'!E$6)</f>
        <v>0</v>
      </c>
      <c r="F226" s="21">
        <f>SUMIFS(Einzelbeträge!$D:$D,Einzelbeträge!$C:$C,'Ausgaben 2023'!$C226,Einzelbeträge!$E:$E,'Ausgaben 2023'!F$6)</f>
        <v>0</v>
      </c>
      <c r="G226" s="21">
        <f>SUMIFS(Einzelbeträge!$D:$D,Einzelbeträge!$C:$C,'Ausgaben 2023'!$C226,Einzelbeträge!$E:$E,'Ausgaben 2023'!G$6)</f>
        <v>0</v>
      </c>
      <c r="H226" s="21">
        <f>SUMIFS(Einzelbeträge!$D:$D,Einzelbeträge!$C:$C,'Ausgaben 2023'!$C226,Einzelbeträge!$E:$E,'Ausgaben 2023'!H$6)</f>
        <v>0</v>
      </c>
      <c r="I226" s="21">
        <f>SUMIFS(Einzelbeträge!$D:$D,Einzelbeträge!$C:$C,'Ausgaben 2023'!$C226,Einzelbeträge!$E:$E,'Ausgaben 2023'!I$6)</f>
        <v>0</v>
      </c>
      <c r="J226" s="21">
        <f>SUMIFS(Einzelbeträge!$D:$D,Einzelbeträge!$C:$C,'Ausgaben 2023'!$C226,Einzelbeträge!$E:$E,'Ausgaben 2023'!J$6)</f>
        <v>0</v>
      </c>
      <c r="K226" s="21">
        <f>SUMIFS(Einzelbeträge!$D:$D,Einzelbeträge!$C:$C,'Ausgaben 2023'!$C226,Einzelbeträge!$E:$E,'Ausgaben 2023'!K$6)</f>
        <v>0</v>
      </c>
      <c r="L226" s="21">
        <f>SUMIFS(Einzelbeträge!$D:$D,Einzelbeträge!$C:$C,'Ausgaben 2023'!$C226,Einzelbeträge!$E:$E,'Ausgaben 2023'!L$6)</f>
        <v>0</v>
      </c>
      <c r="M226" s="21">
        <f>SUMIFS(Einzelbeträge!$D:$D,Einzelbeträge!$C:$C,'Ausgaben 2023'!$C226,Einzelbeträge!$E:$E,'Ausgaben 2023'!M$6)</f>
        <v>0</v>
      </c>
      <c r="N226" s="35">
        <f>SUMIFS(Einzelbeträge!$D:$D,Einzelbeträge!$C:$C,'Ausgaben 2023'!$C226,Einzelbeträge!$E:$E,'Ausgaben 2023'!N$6)</f>
        <v>0</v>
      </c>
      <c r="O226" s="6"/>
    </row>
    <row r="227" spans="2:15" x14ac:dyDescent="0.35">
      <c r="B227" s="5"/>
      <c r="C227" s="40">
        <f t="shared" si="22"/>
        <v>45128</v>
      </c>
      <c r="D227" s="46">
        <f>SUMIFS(Einzelbeträge!$D:$D,Einzelbeträge!$C:$C,'Ausgaben 2023'!$C227)</f>
        <v>0</v>
      </c>
      <c r="E227" s="21">
        <f>SUMIFS(Einzelbeträge!$D:$D,Einzelbeträge!$C:$C,'Ausgaben 2023'!$C227,Einzelbeträge!$E:$E,'Ausgaben 2023'!E$6)</f>
        <v>0</v>
      </c>
      <c r="F227" s="21">
        <f>SUMIFS(Einzelbeträge!$D:$D,Einzelbeträge!$C:$C,'Ausgaben 2023'!$C227,Einzelbeträge!$E:$E,'Ausgaben 2023'!F$6)</f>
        <v>0</v>
      </c>
      <c r="G227" s="21">
        <f>SUMIFS(Einzelbeträge!$D:$D,Einzelbeträge!$C:$C,'Ausgaben 2023'!$C227,Einzelbeträge!$E:$E,'Ausgaben 2023'!G$6)</f>
        <v>0</v>
      </c>
      <c r="H227" s="21">
        <f>SUMIFS(Einzelbeträge!$D:$D,Einzelbeträge!$C:$C,'Ausgaben 2023'!$C227,Einzelbeträge!$E:$E,'Ausgaben 2023'!H$6)</f>
        <v>0</v>
      </c>
      <c r="I227" s="21">
        <f>SUMIFS(Einzelbeträge!$D:$D,Einzelbeträge!$C:$C,'Ausgaben 2023'!$C227,Einzelbeträge!$E:$E,'Ausgaben 2023'!I$6)</f>
        <v>0</v>
      </c>
      <c r="J227" s="21">
        <f>SUMIFS(Einzelbeträge!$D:$D,Einzelbeträge!$C:$C,'Ausgaben 2023'!$C227,Einzelbeträge!$E:$E,'Ausgaben 2023'!J$6)</f>
        <v>0</v>
      </c>
      <c r="K227" s="21">
        <f>SUMIFS(Einzelbeträge!$D:$D,Einzelbeträge!$C:$C,'Ausgaben 2023'!$C227,Einzelbeträge!$E:$E,'Ausgaben 2023'!K$6)</f>
        <v>0</v>
      </c>
      <c r="L227" s="21">
        <f>SUMIFS(Einzelbeträge!$D:$D,Einzelbeträge!$C:$C,'Ausgaben 2023'!$C227,Einzelbeträge!$E:$E,'Ausgaben 2023'!L$6)</f>
        <v>0</v>
      </c>
      <c r="M227" s="21">
        <f>SUMIFS(Einzelbeträge!$D:$D,Einzelbeträge!$C:$C,'Ausgaben 2023'!$C227,Einzelbeträge!$E:$E,'Ausgaben 2023'!M$6)</f>
        <v>0</v>
      </c>
      <c r="N227" s="35">
        <f>SUMIFS(Einzelbeträge!$D:$D,Einzelbeträge!$C:$C,'Ausgaben 2023'!$C227,Einzelbeträge!$E:$E,'Ausgaben 2023'!N$6)</f>
        <v>0</v>
      </c>
      <c r="O227" s="6"/>
    </row>
    <row r="228" spans="2:15" x14ac:dyDescent="0.35">
      <c r="B228" s="5"/>
      <c r="C228" s="40">
        <f t="shared" si="22"/>
        <v>45129</v>
      </c>
      <c r="D228" s="46">
        <f>SUMIFS(Einzelbeträge!$D:$D,Einzelbeträge!$C:$C,'Ausgaben 2023'!$C228)</f>
        <v>0</v>
      </c>
      <c r="E228" s="21">
        <f>SUMIFS(Einzelbeträge!$D:$D,Einzelbeträge!$C:$C,'Ausgaben 2023'!$C228,Einzelbeträge!$E:$E,'Ausgaben 2023'!E$6)</f>
        <v>0</v>
      </c>
      <c r="F228" s="21">
        <f>SUMIFS(Einzelbeträge!$D:$D,Einzelbeträge!$C:$C,'Ausgaben 2023'!$C228,Einzelbeträge!$E:$E,'Ausgaben 2023'!F$6)</f>
        <v>0</v>
      </c>
      <c r="G228" s="21">
        <f>SUMIFS(Einzelbeträge!$D:$D,Einzelbeträge!$C:$C,'Ausgaben 2023'!$C228,Einzelbeträge!$E:$E,'Ausgaben 2023'!G$6)</f>
        <v>0</v>
      </c>
      <c r="H228" s="21">
        <f>SUMIFS(Einzelbeträge!$D:$D,Einzelbeträge!$C:$C,'Ausgaben 2023'!$C228,Einzelbeträge!$E:$E,'Ausgaben 2023'!H$6)</f>
        <v>0</v>
      </c>
      <c r="I228" s="21">
        <f>SUMIFS(Einzelbeträge!$D:$D,Einzelbeträge!$C:$C,'Ausgaben 2023'!$C228,Einzelbeträge!$E:$E,'Ausgaben 2023'!I$6)</f>
        <v>0</v>
      </c>
      <c r="J228" s="21">
        <f>SUMIFS(Einzelbeträge!$D:$D,Einzelbeträge!$C:$C,'Ausgaben 2023'!$C228,Einzelbeträge!$E:$E,'Ausgaben 2023'!J$6)</f>
        <v>0</v>
      </c>
      <c r="K228" s="21">
        <f>SUMIFS(Einzelbeträge!$D:$D,Einzelbeträge!$C:$C,'Ausgaben 2023'!$C228,Einzelbeträge!$E:$E,'Ausgaben 2023'!K$6)</f>
        <v>0</v>
      </c>
      <c r="L228" s="21">
        <f>SUMIFS(Einzelbeträge!$D:$D,Einzelbeträge!$C:$C,'Ausgaben 2023'!$C228,Einzelbeträge!$E:$E,'Ausgaben 2023'!L$6)</f>
        <v>0</v>
      </c>
      <c r="M228" s="21">
        <f>SUMIFS(Einzelbeträge!$D:$D,Einzelbeträge!$C:$C,'Ausgaben 2023'!$C228,Einzelbeträge!$E:$E,'Ausgaben 2023'!M$6)</f>
        <v>0</v>
      </c>
      <c r="N228" s="35">
        <f>SUMIFS(Einzelbeträge!$D:$D,Einzelbeträge!$C:$C,'Ausgaben 2023'!$C228,Einzelbeträge!$E:$E,'Ausgaben 2023'!N$6)</f>
        <v>0</v>
      </c>
      <c r="O228" s="6"/>
    </row>
    <row r="229" spans="2:15" x14ac:dyDescent="0.35">
      <c r="B229" s="5"/>
      <c r="C229" s="40">
        <f t="shared" si="22"/>
        <v>45130</v>
      </c>
      <c r="D229" s="46">
        <f>SUMIFS(Einzelbeträge!$D:$D,Einzelbeträge!$C:$C,'Ausgaben 2023'!$C229)</f>
        <v>0</v>
      </c>
      <c r="E229" s="21">
        <f>SUMIFS(Einzelbeträge!$D:$D,Einzelbeträge!$C:$C,'Ausgaben 2023'!$C229,Einzelbeträge!$E:$E,'Ausgaben 2023'!E$6)</f>
        <v>0</v>
      </c>
      <c r="F229" s="21">
        <f>SUMIFS(Einzelbeträge!$D:$D,Einzelbeträge!$C:$C,'Ausgaben 2023'!$C229,Einzelbeträge!$E:$E,'Ausgaben 2023'!F$6)</f>
        <v>0</v>
      </c>
      <c r="G229" s="21">
        <f>SUMIFS(Einzelbeträge!$D:$D,Einzelbeträge!$C:$C,'Ausgaben 2023'!$C229,Einzelbeträge!$E:$E,'Ausgaben 2023'!G$6)</f>
        <v>0</v>
      </c>
      <c r="H229" s="21">
        <f>SUMIFS(Einzelbeträge!$D:$D,Einzelbeträge!$C:$C,'Ausgaben 2023'!$C229,Einzelbeträge!$E:$E,'Ausgaben 2023'!H$6)</f>
        <v>0</v>
      </c>
      <c r="I229" s="21">
        <f>SUMIFS(Einzelbeträge!$D:$D,Einzelbeträge!$C:$C,'Ausgaben 2023'!$C229,Einzelbeträge!$E:$E,'Ausgaben 2023'!I$6)</f>
        <v>0</v>
      </c>
      <c r="J229" s="21">
        <f>SUMIFS(Einzelbeträge!$D:$D,Einzelbeträge!$C:$C,'Ausgaben 2023'!$C229,Einzelbeträge!$E:$E,'Ausgaben 2023'!J$6)</f>
        <v>0</v>
      </c>
      <c r="K229" s="21">
        <f>SUMIFS(Einzelbeträge!$D:$D,Einzelbeträge!$C:$C,'Ausgaben 2023'!$C229,Einzelbeträge!$E:$E,'Ausgaben 2023'!K$6)</f>
        <v>0</v>
      </c>
      <c r="L229" s="21">
        <f>SUMIFS(Einzelbeträge!$D:$D,Einzelbeträge!$C:$C,'Ausgaben 2023'!$C229,Einzelbeträge!$E:$E,'Ausgaben 2023'!L$6)</f>
        <v>0</v>
      </c>
      <c r="M229" s="21">
        <f>SUMIFS(Einzelbeträge!$D:$D,Einzelbeträge!$C:$C,'Ausgaben 2023'!$C229,Einzelbeträge!$E:$E,'Ausgaben 2023'!M$6)</f>
        <v>0</v>
      </c>
      <c r="N229" s="35">
        <f>SUMIFS(Einzelbeträge!$D:$D,Einzelbeträge!$C:$C,'Ausgaben 2023'!$C229,Einzelbeträge!$E:$E,'Ausgaben 2023'!N$6)</f>
        <v>0</v>
      </c>
      <c r="O229" s="6"/>
    </row>
    <row r="230" spans="2:15" x14ac:dyDescent="0.35">
      <c r="B230" s="5"/>
      <c r="C230" s="40">
        <f t="shared" si="22"/>
        <v>45131</v>
      </c>
      <c r="D230" s="46">
        <f>SUMIFS(Einzelbeträge!$D:$D,Einzelbeträge!$C:$C,'Ausgaben 2023'!$C230)</f>
        <v>0</v>
      </c>
      <c r="E230" s="21">
        <f>SUMIFS(Einzelbeträge!$D:$D,Einzelbeträge!$C:$C,'Ausgaben 2023'!$C230,Einzelbeträge!$E:$E,'Ausgaben 2023'!E$6)</f>
        <v>0</v>
      </c>
      <c r="F230" s="21">
        <f>SUMIFS(Einzelbeträge!$D:$D,Einzelbeträge!$C:$C,'Ausgaben 2023'!$C230,Einzelbeträge!$E:$E,'Ausgaben 2023'!F$6)</f>
        <v>0</v>
      </c>
      <c r="G230" s="21">
        <f>SUMIFS(Einzelbeträge!$D:$D,Einzelbeträge!$C:$C,'Ausgaben 2023'!$C230,Einzelbeträge!$E:$E,'Ausgaben 2023'!G$6)</f>
        <v>0</v>
      </c>
      <c r="H230" s="21">
        <f>SUMIFS(Einzelbeträge!$D:$D,Einzelbeträge!$C:$C,'Ausgaben 2023'!$C230,Einzelbeträge!$E:$E,'Ausgaben 2023'!H$6)</f>
        <v>0</v>
      </c>
      <c r="I230" s="21">
        <f>SUMIFS(Einzelbeträge!$D:$D,Einzelbeträge!$C:$C,'Ausgaben 2023'!$C230,Einzelbeträge!$E:$E,'Ausgaben 2023'!I$6)</f>
        <v>0</v>
      </c>
      <c r="J230" s="21">
        <f>SUMIFS(Einzelbeträge!$D:$D,Einzelbeträge!$C:$C,'Ausgaben 2023'!$C230,Einzelbeträge!$E:$E,'Ausgaben 2023'!J$6)</f>
        <v>0</v>
      </c>
      <c r="K230" s="21">
        <f>SUMIFS(Einzelbeträge!$D:$D,Einzelbeträge!$C:$C,'Ausgaben 2023'!$C230,Einzelbeträge!$E:$E,'Ausgaben 2023'!K$6)</f>
        <v>0</v>
      </c>
      <c r="L230" s="21">
        <f>SUMIFS(Einzelbeträge!$D:$D,Einzelbeträge!$C:$C,'Ausgaben 2023'!$C230,Einzelbeträge!$E:$E,'Ausgaben 2023'!L$6)</f>
        <v>0</v>
      </c>
      <c r="M230" s="21">
        <f>SUMIFS(Einzelbeträge!$D:$D,Einzelbeträge!$C:$C,'Ausgaben 2023'!$C230,Einzelbeträge!$E:$E,'Ausgaben 2023'!M$6)</f>
        <v>0</v>
      </c>
      <c r="N230" s="35">
        <f>SUMIFS(Einzelbeträge!$D:$D,Einzelbeträge!$C:$C,'Ausgaben 2023'!$C230,Einzelbeträge!$E:$E,'Ausgaben 2023'!N$6)</f>
        <v>0</v>
      </c>
      <c r="O230" s="6"/>
    </row>
    <row r="231" spans="2:15" x14ac:dyDescent="0.35">
      <c r="B231" s="5"/>
      <c r="C231" s="40">
        <f t="shared" si="22"/>
        <v>45132</v>
      </c>
      <c r="D231" s="46">
        <f>SUMIFS(Einzelbeträge!$D:$D,Einzelbeträge!$C:$C,'Ausgaben 2023'!$C231)</f>
        <v>0</v>
      </c>
      <c r="E231" s="21">
        <f>SUMIFS(Einzelbeträge!$D:$D,Einzelbeträge!$C:$C,'Ausgaben 2023'!$C231,Einzelbeträge!$E:$E,'Ausgaben 2023'!E$6)</f>
        <v>0</v>
      </c>
      <c r="F231" s="21">
        <f>SUMIFS(Einzelbeträge!$D:$D,Einzelbeträge!$C:$C,'Ausgaben 2023'!$C231,Einzelbeträge!$E:$E,'Ausgaben 2023'!F$6)</f>
        <v>0</v>
      </c>
      <c r="G231" s="21">
        <f>SUMIFS(Einzelbeträge!$D:$D,Einzelbeträge!$C:$C,'Ausgaben 2023'!$C231,Einzelbeträge!$E:$E,'Ausgaben 2023'!G$6)</f>
        <v>0</v>
      </c>
      <c r="H231" s="21">
        <f>SUMIFS(Einzelbeträge!$D:$D,Einzelbeträge!$C:$C,'Ausgaben 2023'!$C231,Einzelbeträge!$E:$E,'Ausgaben 2023'!H$6)</f>
        <v>0</v>
      </c>
      <c r="I231" s="21">
        <f>SUMIFS(Einzelbeträge!$D:$D,Einzelbeträge!$C:$C,'Ausgaben 2023'!$C231,Einzelbeträge!$E:$E,'Ausgaben 2023'!I$6)</f>
        <v>0</v>
      </c>
      <c r="J231" s="21">
        <f>SUMIFS(Einzelbeträge!$D:$D,Einzelbeträge!$C:$C,'Ausgaben 2023'!$C231,Einzelbeträge!$E:$E,'Ausgaben 2023'!J$6)</f>
        <v>0</v>
      </c>
      <c r="K231" s="21">
        <f>SUMIFS(Einzelbeträge!$D:$D,Einzelbeträge!$C:$C,'Ausgaben 2023'!$C231,Einzelbeträge!$E:$E,'Ausgaben 2023'!K$6)</f>
        <v>0</v>
      </c>
      <c r="L231" s="21">
        <f>SUMIFS(Einzelbeträge!$D:$D,Einzelbeträge!$C:$C,'Ausgaben 2023'!$C231,Einzelbeträge!$E:$E,'Ausgaben 2023'!L$6)</f>
        <v>0</v>
      </c>
      <c r="M231" s="21">
        <f>SUMIFS(Einzelbeträge!$D:$D,Einzelbeträge!$C:$C,'Ausgaben 2023'!$C231,Einzelbeträge!$E:$E,'Ausgaben 2023'!M$6)</f>
        <v>0</v>
      </c>
      <c r="N231" s="35">
        <f>SUMIFS(Einzelbeträge!$D:$D,Einzelbeträge!$C:$C,'Ausgaben 2023'!$C231,Einzelbeträge!$E:$E,'Ausgaben 2023'!N$6)</f>
        <v>0</v>
      </c>
      <c r="O231" s="6"/>
    </row>
    <row r="232" spans="2:15" x14ac:dyDescent="0.35">
      <c r="B232" s="5"/>
      <c r="C232" s="40">
        <f t="shared" si="22"/>
        <v>45133</v>
      </c>
      <c r="D232" s="46">
        <f>SUMIFS(Einzelbeträge!$D:$D,Einzelbeträge!$C:$C,'Ausgaben 2023'!$C232)</f>
        <v>0</v>
      </c>
      <c r="E232" s="21">
        <f>SUMIFS(Einzelbeträge!$D:$D,Einzelbeträge!$C:$C,'Ausgaben 2023'!$C232,Einzelbeträge!$E:$E,'Ausgaben 2023'!E$6)</f>
        <v>0</v>
      </c>
      <c r="F232" s="21">
        <f>SUMIFS(Einzelbeträge!$D:$D,Einzelbeträge!$C:$C,'Ausgaben 2023'!$C232,Einzelbeträge!$E:$E,'Ausgaben 2023'!F$6)</f>
        <v>0</v>
      </c>
      <c r="G232" s="21">
        <f>SUMIFS(Einzelbeträge!$D:$D,Einzelbeträge!$C:$C,'Ausgaben 2023'!$C232,Einzelbeträge!$E:$E,'Ausgaben 2023'!G$6)</f>
        <v>0</v>
      </c>
      <c r="H232" s="21">
        <f>SUMIFS(Einzelbeträge!$D:$D,Einzelbeträge!$C:$C,'Ausgaben 2023'!$C232,Einzelbeträge!$E:$E,'Ausgaben 2023'!H$6)</f>
        <v>0</v>
      </c>
      <c r="I232" s="21">
        <f>SUMIFS(Einzelbeträge!$D:$D,Einzelbeträge!$C:$C,'Ausgaben 2023'!$C232,Einzelbeträge!$E:$E,'Ausgaben 2023'!I$6)</f>
        <v>0</v>
      </c>
      <c r="J232" s="21">
        <f>SUMIFS(Einzelbeträge!$D:$D,Einzelbeträge!$C:$C,'Ausgaben 2023'!$C232,Einzelbeträge!$E:$E,'Ausgaben 2023'!J$6)</f>
        <v>0</v>
      </c>
      <c r="K232" s="21">
        <f>SUMIFS(Einzelbeträge!$D:$D,Einzelbeträge!$C:$C,'Ausgaben 2023'!$C232,Einzelbeträge!$E:$E,'Ausgaben 2023'!K$6)</f>
        <v>0</v>
      </c>
      <c r="L232" s="21">
        <f>SUMIFS(Einzelbeträge!$D:$D,Einzelbeträge!$C:$C,'Ausgaben 2023'!$C232,Einzelbeträge!$E:$E,'Ausgaben 2023'!L$6)</f>
        <v>0</v>
      </c>
      <c r="M232" s="21">
        <f>SUMIFS(Einzelbeträge!$D:$D,Einzelbeträge!$C:$C,'Ausgaben 2023'!$C232,Einzelbeträge!$E:$E,'Ausgaben 2023'!M$6)</f>
        <v>0</v>
      </c>
      <c r="N232" s="35">
        <f>SUMIFS(Einzelbeträge!$D:$D,Einzelbeträge!$C:$C,'Ausgaben 2023'!$C232,Einzelbeträge!$E:$E,'Ausgaben 2023'!N$6)</f>
        <v>0</v>
      </c>
      <c r="O232" s="6"/>
    </row>
    <row r="233" spans="2:15" x14ac:dyDescent="0.35">
      <c r="B233" s="5"/>
      <c r="C233" s="40">
        <f t="shared" si="22"/>
        <v>45134</v>
      </c>
      <c r="D233" s="46">
        <f>SUMIFS(Einzelbeträge!$D:$D,Einzelbeträge!$C:$C,'Ausgaben 2023'!$C233)</f>
        <v>0</v>
      </c>
      <c r="E233" s="21">
        <f>SUMIFS(Einzelbeträge!$D:$D,Einzelbeträge!$C:$C,'Ausgaben 2023'!$C233,Einzelbeträge!$E:$E,'Ausgaben 2023'!E$6)</f>
        <v>0</v>
      </c>
      <c r="F233" s="21">
        <f>SUMIFS(Einzelbeträge!$D:$D,Einzelbeträge!$C:$C,'Ausgaben 2023'!$C233,Einzelbeträge!$E:$E,'Ausgaben 2023'!F$6)</f>
        <v>0</v>
      </c>
      <c r="G233" s="21">
        <f>SUMIFS(Einzelbeträge!$D:$D,Einzelbeträge!$C:$C,'Ausgaben 2023'!$C233,Einzelbeträge!$E:$E,'Ausgaben 2023'!G$6)</f>
        <v>0</v>
      </c>
      <c r="H233" s="21">
        <f>SUMIFS(Einzelbeträge!$D:$D,Einzelbeträge!$C:$C,'Ausgaben 2023'!$C233,Einzelbeträge!$E:$E,'Ausgaben 2023'!H$6)</f>
        <v>0</v>
      </c>
      <c r="I233" s="21">
        <f>SUMIFS(Einzelbeträge!$D:$D,Einzelbeträge!$C:$C,'Ausgaben 2023'!$C233,Einzelbeträge!$E:$E,'Ausgaben 2023'!I$6)</f>
        <v>0</v>
      </c>
      <c r="J233" s="21">
        <f>SUMIFS(Einzelbeträge!$D:$D,Einzelbeträge!$C:$C,'Ausgaben 2023'!$C233,Einzelbeträge!$E:$E,'Ausgaben 2023'!J$6)</f>
        <v>0</v>
      </c>
      <c r="K233" s="21">
        <f>SUMIFS(Einzelbeträge!$D:$D,Einzelbeträge!$C:$C,'Ausgaben 2023'!$C233,Einzelbeträge!$E:$E,'Ausgaben 2023'!K$6)</f>
        <v>0</v>
      </c>
      <c r="L233" s="21">
        <f>SUMIFS(Einzelbeträge!$D:$D,Einzelbeträge!$C:$C,'Ausgaben 2023'!$C233,Einzelbeträge!$E:$E,'Ausgaben 2023'!L$6)</f>
        <v>0</v>
      </c>
      <c r="M233" s="21">
        <f>SUMIFS(Einzelbeträge!$D:$D,Einzelbeträge!$C:$C,'Ausgaben 2023'!$C233,Einzelbeträge!$E:$E,'Ausgaben 2023'!M$6)</f>
        <v>0</v>
      </c>
      <c r="N233" s="35">
        <f>SUMIFS(Einzelbeträge!$D:$D,Einzelbeträge!$C:$C,'Ausgaben 2023'!$C233,Einzelbeträge!$E:$E,'Ausgaben 2023'!N$6)</f>
        <v>0</v>
      </c>
      <c r="O233" s="6"/>
    </row>
    <row r="234" spans="2:15" x14ac:dyDescent="0.35">
      <c r="B234" s="5"/>
      <c r="C234" s="40">
        <f t="shared" si="22"/>
        <v>45135</v>
      </c>
      <c r="D234" s="46">
        <f>SUMIFS(Einzelbeträge!$D:$D,Einzelbeträge!$C:$C,'Ausgaben 2023'!$C234)</f>
        <v>0</v>
      </c>
      <c r="E234" s="21">
        <f>SUMIFS(Einzelbeträge!$D:$D,Einzelbeträge!$C:$C,'Ausgaben 2023'!$C234,Einzelbeträge!$E:$E,'Ausgaben 2023'!E$6)</f>
        <v>0</v>
      </c>
      <c r="F234" s="21">
        <f>SUMIFS(Einzelbeträge!$D:$D,Einzelbeträge!$C:$C,'Ausgaben 2023'!$C234,Einzelbeträge!$E:$E,'Ausgaben 2023'!F$6)</f>
        <v>0</v>
      </c>
      <c r="G234" s="21">
        <f>SUMIFS(Einzelbeträge!$D:$D,Einzelbeträge!$C:$C,'Ausgaben 2023'!$C234,Einzelbeträge!$E:$E,'Ausgaben 2023'!G$6)</f>
        <v>0</v>
      </c>
      <c r="H234" s="21">
        <f>SUMIFS(Einzelbeträge!$D:$D,Einzelbeträge!$C:$C,'Ausgaben 2023'!$C234,Einzelbeträge!$E:$E,'Ausgaben 2023'!H$6)</f>
        <v>0</v>
      </c>
      <c r="I234" s="21">
        <f>SUMIFS(Einzelbeträge!$D:$D,Einzelbeträge!$C:$C,'Ausgaben 2023'!$C234,Einzelbeträge!$E:$E,'Ausgaben 2023'!I$6)</f>
        <v>0</v>
      </c>
      <c r="J234" s="21">
        <f>SUMIFS(Einzelbeträge!$D:$D,Einzelbeträge!$C:$C,'Ausgaben 2023'!$C234,Einzelbeträge!$E:$E,'Ausgaben 2023'!J$6)</f>
        <v>0</v>
      </c>
      <c r="K234" s="21">
        <f>SUMIFS(Einzelbeträge!$D:$D,Einzelbeträge!$C:$C,'Ausgaben 2023'!$C234,Einzelbeträge!$E:$E,'Ausgaben 2023'!K$6)</f>
        <v>0</v>
      </c>
      <c r="L234" s="21">
        <f>SUMIFS(Einzelbeträge!$D:$D,Einzelbeträge!$C:$C,'Ausgaben 2023'!$C234,Einzelbeträge!$E:$E,'Ausgaben 2023'!L$6)</f>
        <v>0</v>
      </c>
      <c r="M234" s="21">
        <f>SUMIFS(Einzelbeträge!$D:$D,Einzelbeträge!$C:$C,'Ausgaben 2023'!$C234,Einzelbeträge!$E:$E,'Ausgaben 2023'!M$6)</f>
        <v>0</v>
      </c>
      <c r="N234" s="35">
        <f>SUMIFS(Einzelbeträge!$D:$D,Einzelbeträge!$C:$C,'Ausgaben 2023'!$C234,Einzelbeträge!$E:$E,'Ausgaben 2023'!N$6)</f>
        <v>0</v>
      </c>
      <c r="O234" s="6"/>
    </row>
    <row r="235" spans="2:15" x14ac:dyDescent="0.35">
      <c r="B235" s="5"/>
      <c r="C235" s="40">
        <f t="shared" si="22"/>
        <v>45136</v>
      </c>
      <c r="D235" s="46">
        <f>SUMIFS(Einzelbeträge!$D:$D,Einzelbeträge!$C:$C,'Ausgaben 2023'!$C235)</f>
        <v>0</v>
      </c>
      <c r="E235" s="21">
        <f>SUMIFS(Einzelbeträge!$D:$D,Einzelbeträge!$C:$C,'Ausgaben 2023'!$C235,Einzelbeträge!$E:$E,'Ausgaben 2023'!E$6)</f>
        <v>0</v>
      </c>
      <c r="F235" s="21">
        <f>SUMIFS(Einzelbeträge!$D:$D,Einzelbeträge!$C:$C,'Ausgaben 2023'!$C235,Einzelbeträge!$E:$E,'Ausgaben 2023'!F$6)</f>
        <v>0</v>
      </c>
      <c r="G235" s="21">
        <f>SUMIFS(Einzelbeträge!$D:$D,Einzelbeträge!$C:$C,'Ausgaben 2023'!$C235,Einzelbeträge!$E:$E,'Ausgaben 2023'!G$6)</f>
        <v>0</v>
      </c>
      <c r="H235" s="21">
        <f>SUMIFS(Einzelbeträge!$D:$D,Einzelbeträge!$C:$C,'Ausgaben 2023'!$C235,Einzelbeträge!$E:$E,'Ausgaben 2023'!H$6)</f>
        <v>0</v>
      </c>
      <c r="I235" s="21">
        <f>SUMIFS(Einzelbeträge!$D:$D,Einzelbeträge!$C:$C,'Ausgaben 2023'!$C235,Einzelbeträge!$E:$E,'Ausgaben 2023'!I$6)</f>
        <v>0</v>
      </c>
      <c r="J235" s="21">
        <f>SUMIFS(Einzelbeträge!$D:$D,Einzelbeträge!$C:$C,'Ausgaben 2023'!$C235,Einzelbeträge!$E:$E,'Ausgaben 2023'!J$6)</f>
        <v>0</v>
      </c>
      <c r="K235" s="21">
        <f>SUMIFS(Einzelbeträge!$D:$D,Einzelbeträge!$C:$C,'Ausgaben 2023'!$C235,Einzelbeträge!$E:$E,'Ausgaben 2023'!K$6)</f>
        <v>0</v>
      </c>
      <c r="L235" s="21">
        <f>SUMIFS(Einzelbeträge!$D:$D,Einzelbeträge!$C:$C,'Ausgaben 2023'!$C235,Einzelbeträge!$E:$E,'Ausgaben 2023'!L$6)</f>
        <v>0</v>
      </c>
      <c r="M235" s="21">
        <f>SUMIFS(Einzelbeträge!$D:$D,Einzelbeträge!$C:$C,'Ausgaben 2023'!$C235,Einzelbeträge!$E:$E,'Ausgaben 2023'!M$6)</f>
        <v>0</v>
      </c>
      <c r="N235" s="35">
        <f>SUMIFS(Einzelbeträge!$D:$D,Einzelbeträge!$C:$C,'Ausgaben 2023'!$C235,Einzelbeträge!$E:$E,'Ausgaben 2023'!N$6)</f>
        <v>0</v>
      </c>
      <c r="O235" s="6"/>
    </row>
    <row r="236" spans="2:15" x14ac:dyDescent="0.35">
      <c r="B236" s="5"/>
      <c r="C236" s="40">
        <f t="shared" si="22"/>
        <v>45137</v>
      </c>
      <c r="D236" s="46">
        <f>SUMIFS(Einzelbeträge!$D:$D,Einzelbeträge!$C:$C,'Ausgaben 2023'!$C236)</f>
        <v>0</v>
      </c>
      <c r="E236" s="21">
        <f>SUMIFS(Einzelbeträge!$D:$D,Einzelbeträge!$C:$C,'Ausgaben 2023'!$C236,Einzelbeträge!$E:$E,'Ausgaben 2023'!E$6)</f>
        <v>0</v>
      </c>
      <c r="F236" s="21">
        <f>SUMIFS(Einzelbeträge!$D:$D,Einzelbeträge!$C:$C,'Ausgaben 2023'!$C236,Einzelbeträge!$E:$E,'Ausgaben 2023'!F$6)</f>
        <v>0</v>
      </c>
      <c r="G236" s="21">
        <f>SUMIFS(Einzelbeträge!$D:$D,Einzelbeträge!$C:$C,'Ausgaben 2023'!$C236,Einzelbeträge!$E:$E,'Ausgaben 2023'!G$6)</f>
        <v>0</v>
      </c>
      <c r="H236" s="21">
        <f>SUMIFS(Einzelbeträge!$D:$D,Einzelbeträge!$C:$C,'Ausgaben 2023'!$C236,Einzelbeträge!$E:$E,'Ausgaben 2023'!H$6)</f>
        <v>0</v>
      </c>
      <c r="I236" s="21">
        <f>SUMIFS(Einzelbeträge!$D:$D,Einzelbeträge!$C:$C,'Ausgaben 2023'!$C236,Einzelbeträge!$E:$E,'Ausgaben 2023'!I$6)</f>
        <v>0</v>
      </c>
      <c r="J236" s="21">
        <f>SUMIFS(Einzelbeträge!$D:$D,Einzelbeträge!$C:$C,'Ausgaben 2023'!$C236,Einzelbeträge!$E:$E,'Ausgaben 2023'!J$6)</f>
        <v>0</v>
      </c>
      <c r="K236" s="21">
        <f>SUMIFS(Einzelbeträge!$D:$D,Einzelbeträge!$C:$C,'Ausgaben 2023'!$C236,Einzelbeträge!$E:$E,'Ausgaben 2023'!K$6)</f>
        <v>0</v>
      </c>
      <c r="L236" s="21">
        <f>SUMIFS(Einzelbeträge!$D:$D,Einzelbeträge!$C:$C,'Ausgaben 2023'!$C236,Einzelbeträge!$E:$E,'Ausgaben 2023'!L$6)</f>
        <v>0</v>
      </c>
      <c r="M236" s="21">
        <f>SUMIFS(Einzelbeträge!$D:$D,Einzelbeträge!$C:$C,'Ausgaben 2023'!$C236,Einzelbeträge!$E:$E,'Ausgaben 2023'!M$6)</f>
        <v>0</v>
      </c>
      <c r="N236" s="35">
        <f>SUMIFS(Einzelbeträge!$D:$D,Einzelbeträge!$C:$C,'Ausgaben 2023'!$C236,Einzelbeträge!$E:$E,'Ausgaben 2023'!N$6)</f>
        <v>0</v>
      </c>
      <c r="O236" s="6"/>
    </row>
    <row r="237" spans="2:15" x14ac:dyDescent="0.35">
      <c r="B237" s="5"/>
      <c r="C237" s="31">
        <f t="shared" si="22"/>
        <v>45138</v>
      </c>
      <c r="D237" s="47">
        <f>SUMIFS(Einzelbeträge!$D:$D,Einzelbeträge!$C:$C,'Ausgaben 2023'!$C237)</f>
        <v>0</v>
      </c>
      <c r="E237" s="37">
        <f>SUMIFS(Einzelbeträge!$D:$D,Einzelbeträge!$C:$C,'Ausgaben 2023'!$C237,Einzelbeträge!$E:$E,'Ausgaben 2023'!E$6)</f>
        <v>0</v>
      </c>
      <c r="F237" s="37">
        <f>SUMIFS(Einzelbeträge!$D:$D,Einzelbeträge!$C:$C,'Ausgaben 2023'!$C237,Einzelbeträge!$E:$E,'Ausgaben 2023'!F$6)</f>
        <v>0</v>
      </c>
      <c r="G237" s="37">
        <f>SUMIFS(Einzelbeträge!$D:$D,Einzelbeträge!$C:$C,'Ausgaben 2023'!$C237,Einzelbeträge!$E:$E,'Ausgaben 2023'!G$6)</f>
        <v>0</v>
      </c>
      <c r="H237" s="37">
        <f>SUMIFS(Einzelbeträge!$D:$D,Einzelbeträge!$C:$C,'Ausgaben 2023'!$C237,Einzelbeträge!$E:$E,'Ausgaben 2023'!H$6)</f>
        <v>0</v>
      </c>
      <c r="I237" s="37">
        <f>SUMIFS(Einzelbeträge!$D:$D,Einzelbeträge!$C:$C,'Ausgaben 2023'!$C237,Einzelbeträge!$E:$E,'Ausgaben 2023'!I$6)</f>
        <v>0</v>
      </c>
      <c r="J237" s="37">
        <f>SUMIFS(Einzelbeträge!$D:$D,Einzelbeträge!$C:$C,'Ausgaben 2023'!$C237,Einzelbeträge!$E:$E,'Ausgaben 2023'!J$6)</f>
        <v>0</v>
      </c>
      <c r="K237" s="37">
        <f>SUMIFS(Einzelbeträge!$D:$D,Einzelbeträge!$C:$C,'Ausgaben 2023'!$C237,Einzelbeträge!$E:$E,'Ausgaben 2023'!K$6)</f>
        <v>0</v>
      </c>
      <c r="L237" s="37">
        <f>SUMIFS(Einzelbeträge!$D:$D,Einzelbeträge!$C:$C,'Ausgaben 2023'!$C237,Einzelbeträge!$E:$E,'Ausgaben 2023'!L$6)</f>
        <v>0</v>
      </c>
      <c r="M237" s="37">
        <f>SUMIFS(Einzelbeträge!$D:$D,Einzelbeträge!$C:$C,'Ausgaben 2023'!$C237,Einzelbeträge!$E:$E,'Ausgaben 2023'!M$6)</f>
        <v>0</v>
      </c>
      <c r="N237" s="38">
        <f>SUMIFS(Einzelbeträge!$D:$D,Einzelbeträge!$C:$C,'Ausgaben 2023'!$C237,Einzelbeträge!$E:$E,'Ausgaben 2023'!N$6)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45139</v>
      </c>
      <c r="D241" s="45">
        <f>SUMIFS(Einzelbeträge!$D:$D,Einzelbeträge!$C:$C,'Ausgaben 2023'!$C241)</f>
        <v>0</v>
      </c>
      <c r="E241" s="32">
        <f>SUMIFS(Einzelbeträge!$D:$D,Einzelbeträge!$C:$C,'Ausgaben 2023'!$C241,Einzelbeträge!$E:$E,'Ausgaben 2023'!E$6)</f>
        <v>0</v>
      </c>
      <c r="F241" s="32">
        <f>SUMIFS(Einzelbeträge!$D:$D,Einzelbeträge!$C:$C,'Ausgaben 2023'!$C241,Einzelbeträge!$E:$E,'Ausgaben 2023'!F$6)</f>
        <v>0</v>
      </c>
      <c r="G241" s="32">
        <f>SUMIFS(Einzelbeträge!$D:$D,Einzelbeträge!$C:$C,'Ausgaben 2023'!$C241,Einzelbeträge!$E:$E,'Ausgaben 2023'!G$6)</f>
        <v>0</v>
      </c>
      <c r="H241" s="32">
        <f>SUMIFS(Einzelbeträge!$D:$D,Einzelbeträge!$C:$C,'Ausgaben 2023'!$C241,Einzelbeträge!$E:$E,'Ausgaben 2023'!H$6)</f>
        <v>0</v>
      </c>
      <c r="I241" s="32">
        <f>SUMIFS(Einzelbeträge!$D:$D,Einzelbeträge!$C:$C,'Ausgaben 2023'!$C241,Einzelbeträge!$E:$E,'Ausgaben 2023'!I$6)</f>
        <v>0</v>
      </c>
      <c r="J241" s="32">
        <f>SUMIFS(Einzelbeträge!$D:$D,Einzelbeträge!$C:$C,'Ausgaben 2023'!$C241,Einzelbeträge!$E:$E,'Ausgaben 2023'!J$6)</f>
        <v>0</v>
      </c>
      <c r="K241" s="32">
        <f>SUMIFS(Einzelbeträge!$D:$D,Einzelbeträge!$C:$C,'Ausgaben 2023'!$C241,Einzelbeträge!$E:$E,'Ausgaben 2023'!K$6)</f>
        <v>0</v>
      </c>
      <c r="L241" s="32">
        <f>SUMIFS(Einzelbeträge!$D:$D,Einzelbeträge!$C:$C,'Ausgaben 2023'!$C241,Einzelbeträge!$E:$E,'Ausgaben 2023'!L$6)</f>
        <v>0</v>
      </c>
      <c r="M241" s="32">
        <f>SUMIFS(Einzelbeträge!$D:$D,Einzelbeträge!$C:$C,'Ausgaben 2023'!$C241,Einzelbeträge!$E:$E,'Ausgaben 2023'!M$6)</f>
        <v>0</v>
      </c>
      <c r="N241" s="33">
        <f>SUMIFS(Einzelbeträge!$D:$D,Einzelbeträge!$C:$C,'Ausgaben 2023'!$C241,Einzelbeträge!$E:$E,'Ausgaben 2023'!N$6)</f>
        <v>0</v>
      </c>
      <c r="O241" s="6"/>
    </row>
    <row r="242" spans="2:15" x14ac:dyDescent="0.35">
      <c r="B242" s="5"/>
      <c r="C242" s="40">
        <f>C241+1</f>
        <v>45140</v>
      </c>
      <c r="D242" s="46">
        <f>SUMIFS(Einzelbeträge!$D:$D,Einzelbeträge!$C:$C,'Ausgaben 2023'!$C242)</f>
        <v>0</v>
      </c>
      <c r="E242" s="21">
        <f>SUMIFS(Einzelbeträge!$D:$D,Einzelbeträge!$C:$C,'Ausgaben 2023'!$C242,Einzelbeträge!$E:$E,'Ausgaben 2023'!E$6)</f>
        <v>0</v>
      </c>
      <c r="F242" s="21">
        <f>SUMIFS(Einzelbeträge!$D:$D,Einzelbeträge!$C:$C,'Ausgaben 2023'!$C242,Einzelbeträge!$E:$E,'Ausgaben 2023'!F$6)</f>
        <v>0</v>
      </c>
      <c r="G242" s="21">
        <f>SUMIFS(Einzelbeträge!$D:$D,Einzelbeträge!$C:$C,'Ausgaben 2023'!$C242,Einzelbeträge!$E:$E,'Ausgaben 2023'!G$6)</f>
        <v>0</v>
      </c>
      <c r="H242" s="21">
        <f>SUMIFS(Einzelbeträge!$D:$D,Einzelbeträge!$C:$C,'Ausgaben 2023'!$C242,Einzelbeträge!$E:$E,'Ausgaben 2023'!H$6)</f>
        <v>0</v>
      </c>
      <c r="I242" s="21">
        <f>SUMIFS(Einzelbeträge!$D:$D,Einzelbeträge!$C:$C,'Ausgaben 2023'!$C242,Einzelbeträge!$E:$E,'Ausgaben 2023'!I$6)</f>
        <v>0</v>
      </c>
      <c r="J242" s="21">
        <f>SUMIFS(Einzelbeträge!$D:$D,Einzelbeträge!$C:$C,'Ausgaben 2023'!$C242,Einzelbeträge!$E:$E,'Ausgaben 2023'!J$6)</f>
        <v>0</v>
      </c>
      <c r="K242" s="21">
        <f>SUMIFS(Einzelbeträge!$D:$D,Einzelbeträge!$C:$C,'Ausgaben 2023'!$C242,Einzelbeträge!$E:$E,'Ausgaben 2023'!K$6)</f>
        <v>0</v>
      </c>
      <c r="L242" s="21">
        <f>SUMIFS(Einzelbeträge!$D:$D,Einzelbeträge!$C:$C,'Ausgaben 2023'!$C242,Einzelbeträge!$E:$E,'Ausgaben 2023'!L$6)</f>
        <v>0</v>
      </c>
      <c r="M242" s="21">
        <f>SUMIFS(Einzelbeträge!$D:$D,Einzelbeträge!$C:$C,'Ausgaben 2023'!$C242,Einzelbeträge!$E:$E,'Ausgaben 2023'!M$6)</f>
        <v>0</v>
      </c>
      <c r="N242" s="35">
        <f>SUMIFS(Einzelbeträge!$D:$D,Einzelbeträge!$C:$C,'Ausgaben 2023'!$C242,Einzelbeträge!$E:$E,'Ausgaben 2023'!N$6)</f>
        <v>0</v>
      </c>
      <c r="O242" s="6"/>
    </row>
    <row r="243" spans="2:15" x14ac:dyDescent="0.35">
      <c r="B243" s="5"/>
      <c r="C243" s="40">
        <f t="shared" ref="C243:C271" si="23">C242+1</f>
        <v>45141</v>
      </c>
      <c r="D243" s="46">
        <f>SUMIFS(Einzelbeträge!$D:$D,Einzelbeträge!$C:$C,'Ausgaben 2023'!$C243)</f>
        <v>0</v>
      </c>
      <c r="E243" s="21">
        <f>SUMIFS(Einzelbeträge!$D:$D,Einzelbeträge!$C:$C,'Ausgaben 2023'!$C243,Einzelbeträge!$E:$E,'Ausgaben 2023'!E$6)</f>
        <v>0</v>
      </c>
      <c r="F243" s="21">
        <f>SUMIFS(Einzelbeträge!$D:$D,Einzelbeträge!$C:$C,'Ausgaben 2023'!$C243,Einzelbeträge!$E:$E,'Ausgaben 2023'!F$6)</f>
        <v>0</v>
      </c>
      <c r="G243" s="21">
        <f>SUMIFS(Einzelbeträge!$D:$D,Einzelbeträge!$C:$C,'Ausgaben 2023'!$C243,Einzelbeträge!$E:$E,'Ausgaben 2023'!G$6)</f>
        <v>0</v>
      </c>
      <c r="H243" s="21">
        <f>SUMIFS(Einzelbeträge!$D:$D,Einzelbeträge!$C:$C,'Ausgaben 2023'!$C243,Einzelbeträge!$E:$E,'Ausgaben 2023'!H$6)</f>
        <v>0</v>
      </c>
      <c r="I243" s="21">
        <f>SUMIFS(Einzelbeträge!$D:$D,Einzelbeträge!$C:$C,'Ausgaben 2023'!$C243,Einzelbeträge!$E:$E,'Ausgaben 2023'!I$6)</f>
        <v>0</v>
      </c>
      <c r="J243" s="21">
        <f>SUMIFS(Einzelbeträge!$D:$D,Einzelbeträge!$C:$C,'Ausgaben 2023'!$C243,Einzelbeträge!$E:$E,'Ausgaben 2023'!J$6)</f>
        <v>0</v>
      </c>
      <c r="K243" s="21">
        <f>SUMIFS(Einzelbeträge!$D:$D,Einzelbeträge!$C:$C,'Ausgaben 2023'!$C243,Einzelbeträge!$E:$E,'Ausgaben 2023'!K$6)</f>
        <v>0</v>
      </c>
      <c r="L243" s="21">
        <f>SUMIFS(Einzelbeträge!$D:$D,Einzelbeträge!$C:$C,'Ausgaben 2023'!$C243,Einzelbeträge!$E:$E,'Ausgaben 2023'!L$6)</f>
        <v>0</v>
      </c>
      <c r="M243" s="21">
        <f>SUMIFS(Einzelbeträge!$D:$D,Einzelbeträge!$C:$C,'Ausgaben 2023'!$C243,Einzelbeträge!$E:$E,'Ausgaben 2023'!M$6)</f>
        <v>0</v>
      </c>
      <c r="N243" s="35">
        <f>SUMIFS(Einzelbeträge!$D:$D,Einzelbeträge!$C:$C,'Ausgaben 2023'!$C243,Einzelbeträge!$E:$E,'Ausgaben 2023'!N$6)</f>
        <v>0</v>
      </c>
      <c r="O243" s="6"/>
    </row>
    <row r="244" spans="2:15" x14ac:dyDescent="0.35">
      <c r="B244" s="5"/>
      <c r="C244" s="40">
        <f t="shared" si="23"/>
        <v>45142</v>
      </c>
      <c r="D244" s="46">
        <f>SUMIFS(Einzelbeträge!$D:$D,Einzelbeträge!$C:$C,'Ausgaben 2023'!$C244)</f>
        <v>0</v>
      </c>
      <c r="E244" s="21">
        <f>SUMIFS(Einzelbeträge!$D:$D,Einzelbeträge!$C:$C,'Ausgaben 2023'!$C244,Einzelbeträge!$E:$E,'Ausgaben 2023'!E$6)</f>
        <v>0</v>
      </c>
      <c r="F244" s="21">
        <f>SUMIFS(Einzelbeträge!$D:$D,Einzelbeträge!$C:$C,'Ausgaben 2023'!$C244,Einzelbeträge!$E:$E,'Ausgaben 2023'!F$6)</f>
        <v>0</v>
      </c>
      <c r="G244" s="21">
        <f>SUMIFS(Einzelbeträge!$D:$D,Einzelbeträge!$C:$C,'Ausgaben 2023'!$C244,Einzelbeträge!$E:$E,'Ausgaben 2023'!G$6)</f>
        <v>0</v>
      </c>
      <c r="H244" s="21">
        <f>SUMIFS(Einzelbeträge!$D:$D,Einzelbeträge!$C:$C,'Ausgaben 2023'!$C244,Einzelbeträge!$E:$E,'Ausgaben 2023'!H$6)</f>
        <v>0</v>
      </c>
      <c r="I244" s="21">
        <f>SUMIFS(Einzelbeträge!$D:$D,Einzelbeträge!$C:$C,'Ausgaben 2023'!$C244,Einzelbeträge!$E:$E,'Ausgaben 2023'!I$6)</f>
        <v>0</v>
      </c>
      <c r="J244" s="21">
        <f>SUMIFS(Einzelbeträge!$D:$D,Einzelbeträge!$C:$C,'Ausgaben 2023'!$C244,Einzelbeträge!$E:$E,'Ausgaben 2023'!J$6)</f>
        <v>0</v>
      </c>
      <c r="K244" s="21">
        <f>SUMIFS(Einzelbeträge!$D:$D,Einzelbeträge!$C:$C,'Ausgaben 2023'!$C244,Einzelbeträge!$E:$E,'Ausgaben 2023'!K$6)</f>
        <v>0</v>
      </c>
      <c r="L244" s="21">
        <f>SUMIFS(Einzelbeträge!$D:$D,Einzelbeträge!$C:$C,'Ausgaben 2023'!$C244,Einzelbeträge!$E:$E,'Ausgaben 2023'!L$6)</f>
        <v>0</v>
      </c>
      <c r="M244" s="21">
        <f>SUMIFS(Einzelbeträge!$D:$D,Einzelbeträge!$C:$C,'Ausgaben 2023'!$C244,Einzelbeträge!$E:$E,'Ausgaben 2023'!M$6)</f>
        <v>0</v>
      </c>
      <c r="N244" s="35">
        <f>SUMIFS(Einzelbeträge!$D:$D,Einzelbeträge!$C:$C,'Ausgaben 2023'!$C244,Einzelbeträge!$E:$E,'Ausgaben 2023'!N$6)</f>
        <v>0</v>
      </c>
      <c r="O244" s="6"/>
    </row>
    <row r="245" spans="2:15" x14ac:dyDescent="0.35">
      <c r="B245" s="5"/>
      <c r="C245" s="40">
        <f t="shared" si="23"/>
        <v>45143</v>
      </c>
      <c r="D245" s="46">
        <f>SUMIFS(Einzelbeträge!$D:$D,Einzelbeträge!$C:$C,'Ausgaben 2023'!$C245)</f>
        <v>0</v>
      </c>
      <c r="E245" s="21">
        <f>SUMIFS(Einzelbeträge!$D:$D,Einzelbeträge!$C:$C,'Ausgaben 2023'!$C245,Einzelbeträge!$E:$E,'Ausgaben 2023'!E$6)</f>
        <v>0</v>
      </c>
      <c r="F245" s="21">
        <f>SUMIFS(Einzelbeträge!$D:$D,Einzelbeträge!$C:$C,'Ausgaben 2023'!$C245,Einzelbeträge!$E:$E,'Ausgaben 2023'!F$6)</f>
        <v>0</v>
      </c>
      <c r="G245" s="21">
        <f>SUMIFS(Einzelbeträge!$D:$D,Einzelbeträge!$C:$C,'Ausgaben 2023'!$C245,Einzelbeträge!$E:$E,'Ausgaben 2023'!G$6)</f>
        <v>0</v>
      </c>
      <c r="H245" s="21">
        <f>SUMIFS(Einzelbeträge!$D:$D,Einzelbeträge!$C:$C,'Ausgaben 2023'!$C245,Einzelbeträge!$E:$E,'Ausgaben 2023'!H$6)</f>
        <v>0</v>
      </c>
      <c r="I245" s="21">
        <f>SUMIFS(Einzelbeträge!$D:$D,Einzelbeträge!$C:$C,'Ausgaben 2023'!$C245,Einzelbeträge!$E:$E,'Ausgaben 2023'!I$6)</f>
        <v>0</v>
      </c>
      <c r="J245" s="21">
        <f>SUMIFS(Einzelbeträge!$D:$D,Einzelbeträge!$C:$C,'Ausgaben 2023'!$C245,Einzelbeträge!$E:$E,'Ausgaben 2023'!J$6)</f>
        <v>0</v>
      </c>
      <c r="K245" s="21">
        <f>SUMIFS(Einzelbeträge!$D:$D,Einzelbeträge!$C:$C,'Ausgaben 2023'!$C245,Einzelbeträge!$E:$E,'Ausgaben 2023'!K$6)</f>
        <v>0</v>
      </c>
      <c r="L245" s="21">
        <f>SUMIFS(Einzelbeträge!$D:$D,Einzelbeträge!$C:$C,'Ausgaben 2023'!$C245,Einzelbeträge!$E:$E,'Ausgaben 2023'!L$6)</f>
        <v>0</v>
      </c>
      <c r="M245" s="21">
        <f>SUMIFS(Einzelbeträge!$D:$D,Einzelbeträge!$C:$C,'Ausgaben 2023'!$C245,Einzelbeträge!$E:$E,'Ausgaben 2023'!M$6)</f>
        <v>0</v>
      </c>
      <c r="N245" s="35">
        <f>SUMIFS(Einzelbeträge!$D:$D,Einzelbeträge!$C:$C,'Ausgaben 2023'!$C245,Einzelbeträge!$E:$E,'Ausgaben 2023'!N$6)</f>
        <v>0</v>
      </c>
      <c r="O245" s="6"/>
    </row>
    <row r="246" spans="2:15" x14ac:dyDescent="0.35">
      <c r="B246" s="5"/>
      <c r="C246" s="40">
        <f t="shared" si="23"/>
        <v>45144</v>
      </c>
      <c r="D246" s="46">
        <f>SUMIFS(Einzelbeträge!$D:$D,Einzelbeträge!$C:$C,'Ausgaben 2023'!$C246)</f>
        <v>0</v>
      </c>
      <c r="E246" s="21">
        <f>SUMIFS(Einzelbeträge!$D:$D,Einzelbeträge!$C:$C,'Ausgaben 2023'!$C246,Einzelbeträge!$E:$E,'Ausgaben 2023'!E$6)</f>
        <v>0</v>
      </c>
      <c r="F246" s="21">
        <f>SUMIFS(Einzelbeträge!$D:$D,Einzelbeträge!$C:$C,'Ausgaben 2023'!$C246,Einzelbeträge!$E:$E,'Ausgaben 2023'!F$6)</f>
        <v>0</v>
      </c>
      <c r="G246" s="21">
        <f>SUMIFS(Einzelbeträge!$D:$D,Einzelbeträge!$C:$C,'Ausgaben 2023'!$C246,Einzelbeträge!$E:$E,'Ausgaben 2023'!G$6)</f>
        <v>0</v>
      </c>
      <c r="H246" s="21">
        <f>SUMIFS(Einzelbeträge!$D:$D,Einzelbeträge!$C:$C,'Ausgaben 2023'!$C246,Einzelbeträge!$E:$E,'Ausgaben 2023'!H$6)</f>
        <v>0</v>
      </c>
      <c r="I246" s="21">
        <f>SUMIFS(Einzelbeträge!$D:$D,Einzelbeträge!$C:$C,'Ausgaben 2023'!$C246,Einzelbeträge!$E:$E,'Ausgaben 2023'!I$6)</f>
        <v>0</v>
      </c>
      <c r="J246" s="21">
        <f>SUMIFS(Einzelbeträge!$D:$D,Einzelbeträge!$C:$C,'Ausgaben 2023'!$C246,Einzelbeträge!$E:$E,'Ausgaben 2023'!J$6)</f>
        <v>0</v>
      </c>
      <c r="K246" s="21">
        <f>SUMIFS(Einzelbeträge!$D:$D,Einzelbeträge!$C:$C,'Ausgaben 2023'!$C246,Einzelbeträge!$E:$E,'Ausgaben 2023'!K$6)</f>
        <v>0</v>
      </c>
      <c r="L246" s="21">
        <f>SUMIFS(Einzelbeträge!$D:$D,Einzelbeträge!$C:$C,'Ausgaben 2023'!$C246,Einzelbeträge!$E:$E,'Ausgaben 2023'!L$6)</f>
        <v>0</v>
      </c>
      <c r="M246" s="21">
        <f>SUMIFS(Einzelbeträge!$D:$D,Einzelbeträge!$C:$C,'Ausgaben 2023'!$C246,Einzelbeträge!$E:$E,'Ausgaben 2023'!M$6)</f>
        <v>0</v>
      </c>
      <c r="N246" s="35">
        <f>SUMIFS(Einzelbeträge!$D:$D,Einzelbeträge!$C:$C,'Ausgaben 2023'!$C246,Einzelbeträge!$E:$E,'Ausgaben 2023'!N$6)</f>
        <v>0</v>
      </c>
      <c r="O246" s="6"/>
    </row>
    <row r="247" spans="2:15" x14ac:dyDescent="0.35">
      <c r="B247" s="5"/>
      <c r="C247" s="40">
        <f t="shared" si="23"/>
        <v>45145</v>
      </c>
      <c r="D247" s="46">
        <f>SUMIFS(Einzelbeträge!$D:$D,Einzelbeträge!$C:$C,'Ausgaben 2023'!$C247)</f>
        <v>0</v>
      </c>
      <c r="E247" s="21">
        <f>SUMIFS(Einzelbeträge!$D:$D,Einzelbeträge!$C:$C,'Ausgaben 2023'!$C247,Einzelbeträge!$E:$E,'Ausgaben 2023'!E$6)</f>
        <v>0</v>
      </c>
      <c r="F247" s="21">
        <f>SUMIFS(Einzelbeträge!$D:$D,Einzelbeträge!$C:$C,'Ausgaben 2023'!$C247,Einzelbeträge!$E:$E,'Ausgaben 2023'!F$6)</f>
        <v>0</v>
      </c>
      <c r="G247" s="21">
        <f>SUMIFS(Einzelbeträge!$D:$D,Einzelbeträge!$C:$C,'Ausgaben 2023'!$C247,Einzelbeträge!$E:$E,'Ausgaben 2023'!G$6)</f>
        <v>0</v>
      </c>
      <c r="H247" s="21">
        <f>SUMIFS(Einzelbeträge!$D:$D,Einzelbeträge!$C:$C,'Ausgaben 2023'!$C247,Einzelbeträge!$E:$E,'Ausgaben 2023'!H$6)</f>
        <v>0</v>
      </c>
      <c r="I247" s="21">
        <f>SUMIFS(Einzelbeträge!$D:$D,Einzelbeträge!$C:$C,'Ausgaben 2023'!$C247,Einzelbeträge!$E:$E,'Ausgaben 2023'!I$6)</f>
        <v>0</v>
      </c>
      <c r="J247" s="21">
        <f>SUMIFS(Einzelbeträge!$D:$D,Einzelbeträge!$C:$C,'Ausgaben 2023'!$C247,Einzelbeträge!$E:$E,'Ausgaben 2023'!J$6)</f>
        <v>0</v>
      </c>
      <c r="K247" s="21">
        <f>SUMIFS(Einzelbeträge!$D:$D,Einzelbeträge!$C:$C,'Ausgaben 2023'!$C247,Einzelbeträge!$E:$E,'Ausgaben 2023'!K$6)</f>
        <v>0</v>
      </c>
      <c r="L247" s="21">
        <f>SUMIFS(Einzelbeträge!$D:$D,Einzelbeträge!$C:$C,'Ausgaben 2023'!$C247,Einzelbeträge!$E:$E,'Ausgaben 2023'!L$6)</f>
        <v>0</v>
      </c>
      <c r="M247" s="21">
        <f>SUMIFS(Einzelbeträge!$D:$D,Einzelbeträge!$C:$C,'Ausgaben 2023'!$C247,Einzelbeträge!$E:$E,'Ausgaben 2023'!M$6)</f>
        <v>0</v>
      </c>
      <c r="N247" s="35">
        <f>SUMIFS(Einzelbeträge!$D:$D,Einzelbeträge!$C:$C,'Ausgaben 2023'!$C247,Einzelbeträge!$E:$E,'Ausgaben 2023'!N$6)</f>
        <v>0</v>
      </c>
      <c r="O247" s="6"/>
    </row>
    <row r="248" spans="2:15" x14ac:dyDescent="0.35">
      <c r="B248" s="5"/>
      <c r="C248" s="40">
        <f t="shared" si="23"/>
        <v>45146</v>
      </c>
      <c r="D248" s="46">
        <f>SUMIFS(Einzelbeträge!$D:$D,Einzelbeträge!$C:$C,'Ausgaben 2023'!$C248)</f>
        <v>0</v>
      </c>
      <c r="E248" s="21">
        <f>SUMIFS(Einzelbeträge!$D:$D,Einzelbeträge!$C:$C,'Ausgaben 2023'!$C248,Einzelbeträge!$E:$E,'Ausgaben 2023'!E$6)</f>
        <v>0</v>
      </c>
      <c r="F248" s="21">
        <f>SUMIFS(Einzelbeträge!$D:$D,Einzelbeträge!$C:$C,'Ausgaben 2023'!$C248,Einzelbeträge!$E:$E,'Ausgaben 2023'!F$6)</f>
        <v>0</v>
      </c>
      <c r="G248" s="21">
        <f>SUMIFS(Einzelbeträge!$D:$D,Einzelbeträge!$C:$C,'Ausgaben 2023'!$C248,Einzelbeträge!$E:$E,'Ausgaben 2023'!G$6)</f>
        <v>0</v>
      </c>
      <c r="H248" s="21">
        <f>SUMIFS(Einzelbeträge!$D:$D,Einzelbeträge!$C:$C,'Ausgaben 2023'!$C248,Einzelbeträge!$E:$E,'Ausgaben 2023'!H$6)</f>
        <v>0</v>
      </c>
      <c r="I248" s="21">
        <f>SUMIFS(Einzelbeträge!$D:$D,Einzelbeträge!$C:$C,'Ausgaben 2023'!$C248,Einzelbeträge!$E:$E,'Ausgaben 2023'!I$6)</f>
        <v>0</v>
      </c>
      <c r="J248" s="21">
        <f>SUMIFS(Einzelbeträge!$D:$D,Einzelbeträge!$C:$C,'Ausgaben 2023'!$C248,Einzelbeträge!$E:$E,'Ausgaben 2023'!J$6)</f>
        <v>0</v>
      </c>
      <c r="K248" s="21">
        <f>SUMIFS(Einzelbeträge!$D:$D,Einzelbeträge!$C:$C,'Ausgaben 2023'!$C248,Einzelbeträge!$E:$E,'Ausgaben 2023'!K$6)</f>
        <v>0</v>
      </c>
      <c r="L248" s="21">
        <f>SUMIFS(Einzelbeträge!$D:$D,Einzelbeträge!$C:$C,'Ausgaben 2023'!$C248,Einzelbeträge!$E:$E,'Ausgaben 2023'!L$6)</f>
        <v>0</v>
      </c>
      <c r="M248" s="21">
        <f>SUMIFS(Einzelbeträge!$D:$D,Einzelbeträge!$C:$C,'Ausgaben 2023'!$C248,Einzelbeträge!$E:$E,'Ausgaben 2023'!M$6)</f>
        <v>0</v>
      </c>
      <c r="N248" s="35">
        <f>SUMIFS(Einzelbeträge!$D:$D,Einzelbeträge!$C:$C,'Ausgaben 2023'!$C248,Einzelbeträge!$E:$E,'Ausgaben 2023'!N$6)</f>
        <v>0</v>
      </c>
      <c r="O248" s="6"/>
    </row>
    <row r="249" spans="2:15" x14ac:dyDescent="0.35">
      <c r="B249" s="5"/>
      <c r="C249" s="40">
        <f t="shared" si="23"/>
        <v>45147</v>
      </c>
      <c r="D249" s="46">
        <f>SUMIFS(Einzelbeträge!$D:$D,Einzelbeträge!$C:$C,'Ausgaben 2023'!$C249)</f>
        <v>0</v>
      </c>
      <c r="E249" s="21">
        <f>SUMIFS(Einzelbeträge!$D:$D,Einzelbeträge!$C:$C,'Ausgaben 2023'!$C249,Einzelbeträge!$E:$E,'Ausgaben 2023'!E$6)</f>
        <v>0</v>
      </c>
      <c r="F249" s="21">
        <f>SUMIFS(Einzelbeträge!$D:$D,Einzelbeträge!$C:$C,'Ausgaben 2023'!$C249,Einzelbeträge!$E:$E,'Ausgaben 2023'!F$6)</f>
        <v>0</v>
      </c>
      <c r="G249" s="21">
        <f>SUMIFS(Einzelbeträge!$D:$D,Einzelbeträge!$C:$C,'Ausgaben 2023'!$C249,Einzelbeträge!$E:$E,'Ausgaben 2023'!G$6)</f>
        <v>0</v>
      </c>
      <c r="H249" s="21">
        <f>SUMIFS(Einzelbeträge!$D:$D,Einzelbeträge!$C:$C,'Ausgaben 2023'!$C249,Einzelbeträge!$E:$E,'Ausgaben 2023'!H$6)</f>
        <v>0</v>
      </c>
      <c r="I249" s="21">
        <f>SUMIFS(Einzelbeträge!$D:$D,Einzelbeträge!$C:$C,'Ausgaben 2023'!$C249,Einzelbeträge!$E:$E,'Ausgaben 2023'!I$6)</f>
        <v>0</v>
      </c>
      <c r="J249" s="21">
        <f>SUMIFS(Einzelbeträge!$D:$D,Einzelbeträge!$C:$C,'Ausgaben 2023'!$C249,Einzelbeträge!$E:$E,'Ausgaben 2023'!J$6)</f>
        <v>0</v>
      </c>
      <c r="K249" s="21">
        <f>SUMIFS(Einzelbeträge!$D:$D,Einzelbeträge!$C:$C,'Ausgaben 2023'!$C249,Einzelbeträge!$E:$E,'Ausgaben 2023'!K$6)</f>
        <v>0</v>
      </c>
      <c r="L249" s="21">
        <f>SUMIFS(Einzelbeträge!$D:$D,Einzelbeträge!$C:$C,'Ausgaben 2023'!$C249,Einzelbeträge!$E:$E,'Ausgaben 2023'!L$6)</f>
        <v>0</v>
      </c>
      <c r="M249" s="21">
        <f>SUMIFS(Einzelbeträge!$D:$D,Einzelbeträge!$C:$C,'Ausgaben 2023'!$C249,Einzelbeträge!$E:$E,'Ausgaben 2023'!M$6)</f>
        <v>0</v>
      </c>
      <c r="N249" s="35">
        <f>SUMIFS(Einzelbeträge!$D:$D,Einzelbeträge!$C:$C,'Ausgaben 2023'!$C249,Einzelbeträge!$E:$E,'Ausgaben 2023'!N$6)</f>
        <v>0</v>
      </c>
      <c r="O249" s="6"/>
    </row>
    <row r="250" spans="2:15" x14ac:dyDescent="0.35">
      <c r="B250" s="5"/>
      <c r="C250" s="40">
        <f t="shared" si="23"/>
        <v>45148</v>
      </c>
      <c r="D250" s="46">
        <f>SUMIFS(Einzelbeträge!$D:$D,Einzelbeträge!$C:$C,'Ausgaben 2023'!$C250)</f>
        <v>0</v>
      </c>
      <c r="E250" s="21">
        <f>SUMIFS(Einzelbeträge!$D:$D,Einzelbeträge!$C:$C,'Ausgaben 2023'!$C250,Einzelbeträge!$E:$E,'Ausgaben 2023'!E$6)</f>
        <v>0</v>
      </c>
      <c r="F250" s="21">
        <f>SUMIFS(Einzelbeträge!$D:$D,Einzelbeträge!$C:$C,'Ausgaben 2023'!$C250,Einzelbeträge!$E:$E,'Ausgaben 2023'!F$6)</f>
        <v>0</v>
      </c>
      <c r="G250" s="21">
        <f>SUMIFS(Einzelbeträge!$D:$D,Einzelbeträge!$C:$C,'Ausgaben 2023'!$C250,Einzelbeträge!$E:$E,'Ausgaben 2023'!G$6)</f>
        <v>0</v>
      </c>
      <c r="H250" s="21">
        <f>SUMIFS(Einzelbeträge!$D:$D,Einzelbeträge!$C:$C,'Ausgaben 2023'!$C250,Einzelbeträge!$E:$E,'Ausgaben 2023'!H$6)</f>
        <v>0</v>
      </c>
      <c r="I250" s="21">
        <f>SUMIFS(Einzelbeträge!$D:$D,Einzelbeträge!$C:$C,'Ausgaben 2023'!$C250,Einzelbeträge!$E:$E,'Ausgaben 2023'!I$6)</f>
        <v>0</v>
      </c>
      <c r="J250" s="21">
        <f>SUMIFS(Einzelbeträge!$D:$D,Einzelbeträge!$C:$C,'Ausgaben 2023'!$C250,Einzelbeträge!$E:$E,'Ausgaben 2023'!J$6)</f>
        <v>0</v>
      </c>
      <c r="K250" s="21">
        <f>SUMIFS(Einzelbeträge!$D:$D,Einzelbeträge!$C:$C,'Ausgaben 2023'!$C250,Einzelbeträge!$E:$E,'Ausgaben 2023'!K$6)</f>
        <v>0</v>
      </c>
      <c r="L250" s="21">
        <f>SUMIFS(Einzelbeträge!$D:$D,Einzelbeträge!$C:$C,'Ausgaben 2023'!$C250,Einzelbeträge!$E:$E,'Ausgaben 2023'!L$6)</f>
        <v>0</v>
      </c>
      <c r="M250" s="21">
        <f>SUMIFS(Einzelbeträge!$D:$D,Einzelbeträge!$C:$C,'Ausgaben 2023'!$C250,Einzelbeträge!$E:$E,'Ausgaben 2023'!M$6)</f>
        <v>0</v>
      </c>
      <c r="N250" s="35">
        <f>SUMIFS(Einzelbeträge!$D:$D,Einzelbeträge!$C:$C,'Ausgaben 2023'!$C250,Einzelbeträge!$E:$E,'Ausgaben 2023'!N$6)</f>
        <v>0</v>
      </c>
      <c r="O250" s="6"/>
    </row>
    <row r="251" spans="2:15" x14ac:dyDescent="0.35">
      <c r="B251" s="5"/>
      <c r="C251" s="40">
        <f t="shared" si="23"/>
        <v>45149</v>
      </c>
      <c r="D251" s="46">
        <f>SUMIFS(Einzelbeträge!$D:$D,Einzelbeträge!$C:$C,'Ausgaben 2023'!$C251)</f>
        <v>0</v>
      </c>
      <c r="E251" s="21">
        <f>SUMIFS(Einzelbeträge!$D:$D,Einzelbeträge!$C:$C,'Ausgaben 2023'!$C251,Einzelbeträge!$E:$E,'Ausgaben 2023'!E$6)</f>
        <v>0</v>
      </c>
      <c r="F251" s="21">
        <f>SUMIFS(Einzelbeträge!$D:$D,Einzelbeträge!$C:$C,'Ausgaben 2023'!$C251,Einzelbeträge!$E:$E,'Ausgaben 2023'!F$6)</f>
        <v>0</v>
      </c>
      <c r="G251" s="21">
        <f>SUMIFS(Einzelbeträge!$D:$D,Einzelbeträge!$C:$C,'Ausgaben 2023'!$C251,Einzelbeträge!$E:$E,'Ausgaben 2023'!G$6)</f>
        <v>0</v>
      </c>
      <c r="H251" s="21">
        <f>SUMIFS(Einzelbeträge!$D:$D,Einzelbeträge!$C:$C,'Ausgaben 2023'!$C251,Einzelbeträge!$E:$E,'Ausgaben 2023'!H$6)</f>
        <v>0</v>
      </c>
      <c r="I251" s="21">
        <f>SUMIFS(Einzelbeträge!$D:$D,Einzelbeträge!$C:$C,'Ausgaben 2023'!$C251,Einzelbeträge!$E:$E,'Ausgaben 2023'!I$6)</f>
        <v>0</v>
      </c>
      <c r="J251" s="21">
        <f>SUMIFS(Einzelbeträge!$D:$D,Einzelbeträge!$C:$C,'Ausgaben 2023'!$C251,Einzelbeträge!$E:$E,'Ausgaben 2023'!J$6)</f>
        <v>0</v>
      </c>
      <c r="K251" s="21">
        <f>SUMIFS(Einzelbeträge!$D:$D,Einzelbeträge!$C:$C,'Ausgaben 2023'!$C251,Einzelbeträge!$E:$E,'Ausgaben 2023'!K$6)</f>
        <v>0</v>
      </c>
      <c r="L251" s="21">
        <f>SUMIFS(Einzelbeträge!$D:$D,Einzelbeträge!$C:$C,'Ausgaben 2023'!$C251,Einzelbeträge!$E:$E,'Ausgaben 2023'!L$6)</f>
        <v>0</v>
      </c>
      <c r="M251" s="21">
        <f>SUMIFS(Einzelbeträge!$D:$D,Einzelbeträge!$C:$C,'Ausgaben 2023'!$C251,Einzelbeträge!$E:$E,'Ausgaben 2023'!M$6)</f>
        <v>0</v>
      </c>
      <c r="N251" s="35">
        <f>SUMIFS(Einzelbeträge!$D:$D,Einzelbeträge!$C:$C,'Ausgaben 2023'!$C251,Einzelbeträge!$E:$E,'Ausgaben 2023'!N$6)</f>
        <v>0</v>
      </c>
      <c r="O251" s="6"/>
    </row>
    <row r="252" spans="2:15" x14ac:dyDescent="0.35">
      <c r="B252" s="5"/>
      <c r="C252" s="40">
        <f t="shared" si="23"/>
        <v>45150</v>
      </c>
      <c r="D252" s="46">
        <f>SUMIFS(Einzelbeträge!$D:$D,Einzelbeträge!$C:$C,'Ausgaben 2023'!$C252)</f>
        <v>0</v>
      </c>
      <c r="E252" s="21">
        <f>SUMIFS(Einzelbeträge!$D:$D,Einzelbeträge!$C:$C,'Ausgaben 2023'!$C252,Einzelbeträge!$E:$E,'Ausgaben 2023'!E$6)</f>
        <v>0</v>
      </c>
      <c r="F252" s="21">
        <f>SUMIFS(Einzelbeträge!$D:$D,Einzelbeträge!$C:$C,'Ausgaben 2023'!$C252,Einzelbeträge!$E:$E,'Ausgaben 2023'!F$6)</f>
        <v>0</v>
      </c>
      <c r="G252" s="21">
        <f>SUMIFS(Einzelbeträge!$D:$D,Einzelbeträge!$C:$C,'Ausgaben 2023'!$C252,Einzelbeträge!$E:$E,'Ausgaben 2023'!G$6)</f>
        <v>0</v>
      </c>
      <c r="H252" s="21">
        <f>SUMIFS(Einzelbeträge!$D:$D,Einzelbeträge!$C:$C,'Ausgaben 2023'!$C252,Einzelbeträge!$E:$E,'Ausgaben 2023'!H$6)</f>
        <v>0</v>
      </c>
      <c r="I252" s="21">
        <f>SUMIFS(Einzelbeträge!$D:$D,Einzelbeträge!$C:$C,'Ausgaben 2023'!$C252,Einzelbeträge!$E:$E,'Ausgaben 2023'!I$6)</f>
        <v>0</v>
      </c>
      <c r="J252" s="21">
        <f>SUMIFS(Einzelbeträge!$D:$D,Einzelbeträge!$C:$C,'Ausgaben 2023'!$C252,Einzelbeträge!$E:$E,'Ausgaben 2023'!J$6)</f>
        <v>0</v>
      </c>
      <c r="K252" s="21">
        <f>SUMIFS(Einzelbeträge!$D:$D,Einzelbeträge!$C:$C,'Ausgaben 2023'!$C252,Einzelbeträge!$E:$E,'Ausgaben 2023'!K$6)</f>
        <v>0</v>
      </c>
      <c r="L252" s="21">
        <f>SUMIFS(Einzelbeträge!$D:$D,Einzelbeträge!$C:$C,'Ausgaben 2023'!$C252,Einzelbeträge!$E:$E,'Ausgaben 2023'!L$6)</f>
        <v>0</v>
      </c>
      <c r="M252" s="21">
        <f>SUMIFS(Einzelbeträge!$D:$D,Einzelbeträge!$C:$C,'Ausgaben 2023'!$C252,Einzelbeträge!$E:$E,'Ausgaben 2023'!M$6)</f>
        <v>0</v>
      </c>
      <c r="N252" s="35">
        <f>SUMIFS(Einzelbeträge!$D:$D,Einzelbeträge!$C:$C,'Ausgaben 2023'!$C252,Einzelbeträge!$E:$E,'Ausgaben 2023'!N$6)</f>
        <v>0</v>
      </c>
      <c r="O252" s="6"/>
    </row>
    <row r="253" spans="2:15" x14ac:dyDescent="0.35">
      <c r="B253" s="5"/>
      <c r="C253" s="40">
        <f t="shared" si="23"/>
        <v>45151</v>
      </c>
      <c r="D253" s="46">
        <f>SUMIFS(Einzelbeträge!$D:$D,Einzelbeträge!$C:$C,'Ausgaben 2023'!$C253)</f>
        <v>0</v>
      </c>
      <c r="E253" s="21">
        <f>SUMIFS(Einzelbeträge!$D:$D,Einzelbeträge!$C:$C,'Ausgaben 2023'!$C253,Einzelbeträge!$E:$E,'Ausgaben 2023'!E$6)</f>
        <v>0</v>
      </c>
      <c r="F253" s="21">
        <f>SUMIFS(Einzelbeträge!$D:$D,Einzelbeträge!$C:$C,'Ausgaben 2023'!$C253,Einzelbeträge!$E:$E,'Ausgaben 2023'!F$6)</f>
        <v>0</v>
      </c>
      <c r="G253" s="21">
        <f>SUMIFS(Einzelbeträge!$D:$D,Einzelbeträge!$C:$C,'Ausgaben 2023'!$C253,Einzelbeträge!$E:$E,'Ausgaben 2023'!G$6)</f>
        <v>0</v>
      </c>
      <c r="H253" s="21">
        <f>SUMIFS(Einzelbeträge!$D:$D,Einzelbeträge!$C:$C,'Ausgaben 2023'!$C253,Einzelbeträge!$E:$E,'Ausgaben 2023'!H$6)</f>
        <v>0</v>
      </c>
      <c r="I253" s="21">
        <f>SUMIFS(Einzelbeträge!$D:$D,Einzelbeträge!$C:$C,'Ausgaben 2023'!$C253,Einzelbeträge!$E:$E,'Ausgaben 2023'!I$6)</f>
        <v>0</v>
      </c>
      <c r="J253" s="21">
        <f>SUMIFS(Einzelbeträge!$D:$D,Einzelbeträge!$C:$C,'Ausgaben 2023'!$C253,Einzelbeträge!$E:$E,'Ausgaben 2023'!J$6)</f>
        <v>0</v>
      </c>
      <c r="K253" s="21">
        <f>SUMIFS(Einzelbeträge!$D:$D,Einzelbeträge!$C:$C,'Ausgaben 2023'!$C253,Einzelbeträge!$E:$E,'Ausgaben 2023'!K$6)</f>
        <v>0</v>
      </c>
      <c r="L253" s="21">
        <f>SUMIFS(Einzelbeträge!$D:$D,Einzelbeträge!$C:$C,'Ausgaben 2023'!$C253,Einzelbeträge!$E:$E,'Ausgaben 2023'!L$6)</f>
        <v>0</v>
      </c>
      <c r="M253" s="21">
        <f>SUMIFS(Einzelbeträge!$D:$D,Einzelbeträge!$C:$C,'Ausgaben 2023'!$C253,Einzelbeträge!$E:$E,'Ausgaben 2023'!M$6)</f>
        <v>0</v>
      </c>
      <c r="N253" s="35">
        <f>SUMIFS(Einzelbeträge!$D:$D,Einzelbeträge!$C:$C,'Ausgaben 2023'!$C253,Einzelbeträge!$E:$E,'Ausgaben 2023'!N$6)</f>
        <v>0</v>
      </c>
      <c r="O253" s="6"/>
    </row>
    <row r="254" spans="2:15" x14ac:dyDescent="0.35">
      <c r="B254" s="5"/>
      <c r="C254" s="40">
        <f t="shared" si="23"/>
        <v>45152</v>
      </c>
      <c r="D254" s="46">
        <f>SUMIFS(Einzelbeträge!$D:$D,Einzelbeträge!$C:$C,'Ausgaben 2023'!$C254)</f>
        <v>0</v>
      </c>
      <c r="E254" s="21">
        <f>SUMIFS(Einzelbeträge!$D:$D,Einzelbeträge!$C:$C,'Ausgaben 2023'!$C254,Einzelbeträge!$E:$E,'Ausgaben 2023'!E$6)</f>
        <v>0</v>
      </c>
      <c r="F254" s="21">
        <f>SUMIFS(Einzelbeträge!$D:$D,Einzelbeträge!$C:$C,'Ausgaben 2023'!$C254,Einzelbeträge!$E:$E,'Ausgaben 2023'!F$6)</f>
        <v>0</v>
      </c>
      <c r="G254" s="21">
        <f>SUMIFS(Einzelbeträge!$D:$D,Einzelbeträge!$C:$C,'Ausgaben 2023'!$C254,Einzelbeträge!$E:$E,'Ausgaben 2023'!G$6)</f>
        <v>0</v>
      </c>
      <c r="H254" s="21">
        <f>SUMIFS(Einzelbeträge!$D:$D,Einzelbeträge!$C:$C,'Ausgaben 2023'!$C254,Einzelbeträge!$E:$E,'Ausgaben 2023'!H$6)</f>
        <v>0</v>
      </c>
      <c r="I254" s="21">
        <f>SUMIFS(Einzelbeträge!$D:$D,Einzelbeträge!$C:$C,'Ausgaben 2023'!$C254,Einzelbeträge!$E:$E,'Ausgaben 2023'!I$6)</f>
        <v>0</v>
      </c>
      <c r="J254" s="21">
        <f>SUMIFS(Einzelbeträge!$D:$D,Einzelbeträge!$C:$C,'Ausgaben 2023'!$C254,Einzelbeträge!$E:$E,'Ausgaben 2023'!J$6)</f>
        <v>0</v>
      </c>
      <c r="K254" s="21">
        <f>SUMIFS(Einzelbeträge!$D:$D,Einzelbeträge!$C:$C,'Ausgaben 2023'!$C254,Einzelbeträge!$E:$E,'Ausgaben 2023'!K$6)</f>
        <v>0</v>
      </c>
      <c r="L254" s="21">
        <f>SUMIFS(Einzelbeträge!$D:$D,Einzelbeträge!$C:$C,'Ausgaben 2023'!$C254,Einzelbeträge!$E:$E,'Ausgaben 2023'!L$6)</f>
        <v>0</v>
      </c>
      <c r="M254" s="21">
        <f>SUMIFS(Einzelbeträge!$D:$D,Einzelbeträge!$C:$C,'Ausgaben 2023'!$C254,Einzelbeträge!$E:$E,'Ausgaben 2023'!M$6)</f>
        <v>0</v>
      </c>
      <c r="N254" s="35">
        <f>SUMIFS(Einzelbeträge!$D:$D,Einzelbeträge!$C:$C,'Ausgaben 2023'!$C254,Einzelbeträge!$E:$E,'Ausgaben 2023'!N$6)</f>
        <v>0</v>
      </c>
      <c r="O254" s="6"/>
    </row>
    <row r="255" spans="2:15" x14ac:dyDescent="0.35">
      <c r="B255" s="5"/>
      <c r="C255" s="40">
        <f t="shared" si="23"/>
        <v>45153</v>
      </c>
      <c r="D255" s="46">
        <f>SUMIFS(Einzelbeträge!$D:$D,Einzelbeträge!$C:$C,'Ausgaben 2023'!$C255)</f>
        <v>0</v>
      </c>
      <c r="E255" s="21">
        <f>SUMIFS(Einzelbeträge!$D:$D,Einzelbeträge!$C:$C,'Ausgaben 2023'!$C255,Einzelbeträge!$E:$E,'Ausgaben 2023'!E$6)</f>
        <v>0</v>
      </c>
      <c r="F255" s="21">
        <f>SUMIFS(Einzelbeträge!$D:$D,Einzelbeträge!$C:$C,'Ausgaben 2023'!$C255,Einzelbeträge!$E:$E,'Ausgaben 2023'!F$6)</f>
        <v>0</v>
      </c>
      <c r="G255" s="21">
        <f>SUMIFS(Einzelbeträge!$D:$D,Einzelbeträge!$C:$C,'Ausgaben 2023'!$C255,Einzelbeträge!$E:$E,'Ausgaben 2023'!G$6)</f>
        <v>0</v>
      </c>
      <c r="H255" s="21">
        <f>SUMIFS(Einzelbeträge!$D:$D,Einzelbeträge!$C:$C,'Ausgaben 2023'!$C255,Einzelbeträge!$E:$E,'Ausgaben 2023'!H$6)</f>
        <v>0</v>
      </c>
      <c r="I255" s="21">
        <f>SUMIFS(Einzelbeträge!$D:$D,Einzelbeträge!$C:$C,'Ausgaben 2023'!$C255,Einzelbeträge!$E:$E,'Ausgaben 2023'!I$6)</f>
        <v>0</v>
      </c>
      <c r="J255" s="21">
        <f>SUMIFS(Einzelbeträge!$D:$D,Einzelbeträge!$C:$C,'Ausgaben 2023'!$C255,Einzelbeträge!$E:$E,'Ausgaben 2023'!J$6)</f>
        <v>0</v>
      </c>
      <c r="K255" s="21">
        <f>SUMIFS(Einzelbeträge!$D:$D,Einzelbeträge!$C:$C,'Ausgaben 2023'!$C255,Einzelbeträge!$E:$E,'Ausgaben 2023'!K$6)</f>
        <v>0</v>
      </c>
      <c r="L255" s="21">
        <f>SUMIFS(Einzelbeträge!$D:$D,Einzelbeträge!$C:$C,'Ausgaben 2023'!$C255,Einzelbeträge!$E:$E,'Ausgaben 2023'!L$6)</f>
        <v>0</v>
      </c>
      <c r="M255" s="21">
        <f>SUMIFS(Einzelbeträge!$D:$D,Einzelbeträge!$C:$C,'Ausgaben 2023'!$C255,Einzelbeträge!$E:$E,'Ausgaben 2023'!M$6)</f>
        <v>0</v>
      </c>
      <c r="N255" s="35">
        <f>SUMIFS(Einzelbeträge!$D:$D,Einzelbeträge!$C:$C,'Ausgaben 2023'!$C255,Einzelbeträge!$E:$E,'Ausgaben 2023'!N$6)</f>
        <v>0</v>
      </c>
      <c r="O255" s="6"/>
    </row>
    <row r="256" spans="2:15" x14ac:dyDescent="0.35">
      <c r="B256" s="5"/>
      <c r="C256" s="40">
        <f t="shared" si="23"/>
        <v>45154</v>
      </c>
      <c r="D256" s="46">
        <f>SUMIFS(Einzelbeträge!$D:$D,Einzelbeträge!$C:$C,'Ausgaben 2023'!$C256)</f>
        <v>0</v>
      </c>
      <c r="E256" s="21">
        <f>SUMIFS(Einzelbeträge!$D:$D,Einzelbeträge!$C:$C,'Ausgaben 2023'!$C256,Einzelbeträge!$E:$E,'Ausgaben 2023'!E$6)</f>
        <v>0</v>
      </c>
      <c r="F256" s="21">
        <f>SUMIFS(Einzelbeträge!$D:$D,Einzelbeträge!$C:$C,'Ausgaben 2023'!$C256,Einzelbeträge!$E:$E,'Ausgaben 2023'!F$6)</f>
        <v>0</v>
      </c>
      <c r="G256" s="21">
        <f>SUMIFS(Einzelbeträge!$D:$D,Einzelbeträge!$C:$C,'Ausgaben 2023'!$C256,Einzelbeträge!$E:$E,'Ausgaben 2023'!G$6)</f>
        <v>0</v>
      </c>
      <c r="H256" s="21">
        <f>SUMIFS(Einzelbeträge!$D:$D,Einzelbeträge!$C:$C,'Ausgaben 2023'!$C256,Einzelbeträge!$E:$E,'Ausgaben 2023'!H$6)</f>
        <v>0</v>
      </c>
      <c r="I256" s="21">
        <f>SUMIFS(Einzelbeträge!$D:$D,Einzelbeträge!$C:$C,'Ausgaben 2023'!$C256,Einzelbeträge!$E:$E,'Ausgaben 2023'!I$6)</f>
        <v>0</v>
      </c>
      <c r="J256" s="21">
        <f>SUMIFS(Einzelbeträge!$D:$D,Einzelbeträge!$C:$C,'Ausgaben 2023'!$C256,Einzelbeträge!$E:$E,'Ausgaben 2023'!J$6)</f>
        <v>0</v>
      </c>
      <c r="K256" s="21">
        <f>SUMIFS(Einzelbeträge!$D:$D,Einzelbeträge!$C:$C,'Ausgaben 2023'!$C256,Einzelbeträge!$E:$E,'Ausgaben 2023'!K$6)</f>
        <v>0</v>
      </c>
      <c r="L256" s="21">
        <f>SUMIFS(Einzelbeträge!$D:$D,Einzelbeträge!$C:$C,'Ausgaben 2023'!$C256,Einzelbeträge!$E:$E,'Ausgaben 2023'!L$6)</f>
        <v>0</v>
      </c>
      <c r="M256" s="21">
        <f>SUMIFS(Einzelbeträge!$D:$D,Einzelbeträge!$C:$C,'Ausgaben 2023'!$C256,Einzelbeträge!$E:$E,'Ausgaben 2023'!M$6)</f>
        <v>0</v>
      </c>
      <c r="N256" s="35">
        <f>SUMIFS(Einzelbeträge!$D:$D,Einzelbeträge!$C:$C,'Ausgaben 2023'!$C256,Einzelbeträge!$E:$E,'Ausgaben 2023'!N$6)</f>
        <v>0</v>
      </c>
      <c r="O256" s="6"/>
    </row>
    <row r="257" spans="2:15" x14ac:dyDescent="0.35">
      <c r="B257" s="5"/>
      <c r="C257" s="40">
        <f t="shared" si="23"/>
        <v>45155</v>
      </c>
      <c r="D257" s="46">
        <f>SUMIFS(Einzelbeträge!$D:$D,Einzelbeträge!$C:$C,'Ausgaben 2023'!$C257)</f>
        <v>0</v>
      </c>
      <c r="E257" s="21">
        <f>SUMIFS(Einzelbeträge!$D:$D,Einzelbeträge!$C:$C,'Ausgaben 2023'!$C257,Einzelbeträge!$E:$E,'Ausgaben 2023'!E$6)</f>
        <v>0</v>
      </c>
      <c r="F257" s="21">
        <f>SUMIFS(Einzelbeträge!$D:$D,Einzelbeträge!$C:$C,'Ausgaben 2023'!$C257,Einzelbeträge!$E:$E,'Ausgaben 2023'!F$6)</f>
        <v>0</v>
      </c>
      <c r="G257" s="21">
        <f>SUMIFS(Einzelbeträge!$D:$D,Einzelbeträge!$C:$C,'Ausgaben 2023'!$C257,Einzelbeträge!$E:$E,'Ausgaben 2023'!G$6)</f>
        <v>0</v>
      </c>
      <c r="H257" s="21">
        <f>SUMIFS(Einzelbeträge!$D:$D,Einzelbeträge!$C:$C,'Ausgaben 2023'!$C257,Einzelbeträge!$E:$E,'Ausgaben 2023'!H$6)</f>
        <v>0</v>
      </c>
      <c r="I257" s="21">
        <f>SUMIFS(Einzelbeträge!$D:$D,Einzelbeträge!$C:$C,'Ausgaben 2023'!$C257,Einzelbeträge!$E:$E,'Ausgaben 2023'!I$6)</f>
        <v>0</v>
      </c>
      <c r="J257" s="21">
        <f>SUMIFS(Einzelbeträge!$D:$D,Einzelbeträge!$C:$C,'Ausgaben 2023'!$C257,Einzelbeträge!$E:$E,'Ausgaben 2023'!J$6)</f>
        <v>0</v>
      </c>
      <c r="K257" s="21">
        <f>SUMIFS(Einzelbeträge!$D:$D,Einzelbeträge!$C:$C,'Ausgaben 2023'!$C257,Einzelbeträge!$E:$E,'Ausgaben 2023'!K$6)</f>
        <v>0</v>
      </c>
      <c r="L257" s="21">
        <f>SUMIFS(Einzelbeträge!$D:$D,Einzelbeträge!$C:$C,'Ausgaben 2023'!$C257,Einzelbeträge!$E:$E,'Ausgaben 2023'!L$6)</f>
        <v>0</v>
      </c>
      <c r="M257" s="21">
        <f>SUMIFS(Einzelbeträge!$D:$D,Einzelbeträge!$C:$C,'Ausgaben 2023'!$C257,Einzelbeträge!$E:$E,'Ausgaben 2023'!M$6)</f>
        <v>0</v>
      </c>
      <c r="N257" s="35">
        <f>SUMIFS(Einzelbeträge!$D:$D,Einzelbeträge!$C:$C,'Ausgaben 2023'!$C257,Einzelbeträge!$E:$E,'Ausgaben 2023'!N$6)</f>
        <v>0</v>
      </c>
      <c r="O257" s="6"/>
    </row>
    <row r="258" spans="2:15" x14ac:dyDescent="0.35">
      <c r="B258" s="5"/>
      <c r="C258" s="40">
        <f t="shared" si="23"/>
        <v>45156</v>
      </c>
      <c r="D258" s="46">
        <f>SUMIFS(Einzelbeträge!$D:$D,Einzelbeträge!$C:$C,'Ausgaben 2023'!$C258)</f>
        <v>0</v>
      </c>
      <c r="E258" s="21">
        <f>SUMIFS(Einzelbeträge!$D:$D,Einzelbeträge!$C:$C,'Ausgaben 2023'!$C258,Einzelbeträge!$E:$E,'Ausgaben 2023'!E$6)</f>
        <v>0</v>
      </c>
      <c r="F258" s="21">
        <f>SUMIFS(Einzelbeträge!$D:$D,Einzelbeträge!$C:$C,'Ausgaben 2023'!$C258,Einzelbeträge!$E:$E,'Ausgaben 2023'!F$6)</f>
        <v>0</v>
      </c>
      <c r="G258" s="21">
        <f>SUMIFS(Einzelbeträge!$D:$D,Einzelbeträge!$C:$C,'Ausgaben 2023'!$C258,Einzelbeträge!$E:$E,'Ausgaben 2023'!G$6)</f>
        <v>0</v>
      </c>
      <c r="H258" s="21">
        <f>SUMIFS(Einzelbeträge!$D:$D,Einzelbeträge!$C:$C,'Ausgaben 2023'!$C258,Einzelbeträge!$E:$E,'Ausgaben 2023'!H$6)</f>
        <v>0</v>
      </c>
      <c r="I258" s="21">
        <f>SUMIFS(Einzelbeträge!$D:$D,Einzelbeträge!$C:$C,'Ausgaben 2023'!$C258,Einzelbeträge!$E:$E,'Ausgaben 2023'!I$6)</f>
        <v>0</v>
      </c>
      <c r="J258" s="21">
        <f>SUMIFS(Einzelbeträge!$D:$D,Einzelbeträge!$C:$C,'Ausgaben 2023'!$C258,Einzelbeträge!$E:$E,'Ausgaben 2023'!J$6)</f>
        <v>0</v>
      </c>
      <c r="K258" s="21">
        <f>SUMIFS(Einzelbeträge!$D:$D,Einzelbeträge!$C:$C,'Ausgaben 2023'!$C258,Einzelbeträge!$E:$E,'Ausgaben 2023'!K$6)</f>
        <v>0</v>
      </c>
      <c r="L258" s="21">
        <f>SUMIFS(Einzelbeträge!$D:$D,Einzelbeträge!$C:$C,'Ausgaben 2023'!$C258,Einzelbeträge!$E:$E,'Ausgaben 2023'!L$6)</f>
        <v>0</v>
      </c>
      <c r="M258" s="21">
        <f>SUMIFS(Einzelbeträge!$D:$D,Einzelbeträge!$C:$C,'Ausgaben 2023'!$C258,Einzelbeträge!$E:$E,'Ausgaben 2023'!M$6)</f>
        <v>0</v>
      </c>
      <c r="N258" s="35">
        <f>SUMIFS(Einzelbeträge!$D:$D,Einzelbeträge!$C:$C,'Ausgaben 2023'!$C258,Einzelbeträge!$E:$E,'Ausgaben 2023'!N$6)</f>
        <v>0</v>
      </c>
      <c r="O258" s="6"/>
    </row>
    <row r="259" spans="2:15" x14ac:dyDescent="0.35">
      <c r="B259" s="5"/>
      <c r="C259" s="40">
        <f t="shared" si="23"/>
        <v>45157</v>
      </c>
      <c r="D259" s="46">
        <f>SUMIFS(Einzelbeträge!$D:$D,Einzelbeträge!$C:$C,'Ausgaben 2023'!$C259)</f>
        <v>0</v>
      </c>
      <c r="E259" s="21">
        <f>SUMIFS(Einzelbeträge!$D:$D,Einzelbeträge!$C:$C,'Ausgaben 2023'!$C259,Einzelbeträge!$E:$E,'Ausgaben 2023'!E$6)</f>
        <v>0</v>
      </c>
      <c r="F259" s="21">
        <f>SUMIFS(Einzelbeträge!$D:$D,Einzelbeträge!$C:$C,'Ausgaben 2023'!$C259,Einzelbeträge!$E:$E,'Ausgaben 2023'!F$6)</f>
        <v>0</v>
      </c>
      <c r="G259" s="21">
        <f>SUMIFS(Einzelbeträge!$D:$D,Einzelbeträge!$C:$C,'Ausgaben 2023'!$C259,Einzelbeträge!$E:$E,'Ausgaben 2023'!G$6)</f>
        <v>0</v>
      </c>
      <c r="H259" s="21">
        <f>SUMIFS(Einzelbeträge!$D:$D,Einzelbeträge!$C:$C,'Ausgaben 2023'!$C259,Einzelbeträge!$E:$E,'Ausgaben 2023'!H$6)</f>
        <v>0</v>
      </c>
      <c r="I259" s="21">
        <f>SUMIFS(Einzelbeträge!$D:$D,Einzelbeträge!$C:$C,'Ausgaben 2023'!$C259,Einzelbeträge!$E:$E,'Ausgaben 2023'!I$6)</f>
        <v>0</v>
      </c>
      <c r="J259" s="21">
        <f>SUMIFS(Einzelbeträge!$D:$D,Einzelbeträge!$C:$C,'Ausgaben 2023'!$C259,Einzelbeträge!$E:$E,'Ausgaben 2023'!J$6)</f>
        <v>0</v>
      </c>
      <c r="K259" s="21">
        <f>SUMIFS(Einzelbeträge!$D:$D,Einzelbeträge!$C:$C,'Ausgaben 2023'!$C259,Einzelbeträge!$E:$E,'Ausgaben 2023'!K$6)</f>
        <v>0</v>
      </c>
      <c r="L259" s="21">
        <f>SUMIFS(Einzelbeträge!$D:$D,Einzelbeträge!$C:$C,'Ausgaben 2023'!$C259,Einzelbeträge!$E:$E,'Ausgaben 2023'!L$6)</f>
        <v>0</v>
      </c>
      <c r="M259" s="21">
        <f>SUMIFS(Einzelbeträge!$D:$D,Einzelbeträge!$C:$C,'Ausgaben 2023'!$C259,Einzelbeträge!$E:$E,'Ausgaben 2023'!M$6)</f>
        <v>0</v>
      </c>
      <c r="N259" s="35">
        <f>SUMIFS(Einzelbeträge!$D:$D,Einzelbeträge!$C:$C,'Ausgaben 2023'!$C259,Einzelbeträge!$E:$E,'Ausgaben 2023'!N$6)</f>
        <v>0</v>
      </c>
      <c r="O259" s="6"/>
    </row>
    <row r="260" spans="2:15" x14ac:dyDescent="0.35">
      <c r="B260" s="5"/>
      <c r="C260" s="40">
        <f t="shared" si="23"/>
        <v>45158</v>
      </c>
      <c r="D260" s="46">
        <f>SUMIFS(Einzelbeträge!$D:$D,Einzelbeträge!$C:$C,'Ausgaben 2023'!$C260)</f>
        <v>0</v>
      </c>
      <c r="E260" s="21">
        <f>SUMIFS(Einzelbeträge!$D:$D,Einzelbeträge!$C:$C,'Ausgaben 2023'!$C260,Einzelbeträge!$E:$E,'Ausgaben 2023'!E$6)</f>
        <v>0</v>
      </c>
      <c r="F260" s="21">
        <f>SUMIFS(Einzelbeträge!$D:$D,Einzelbeträge!$C:$C,'Ausgaben 2023'!$C260,Einzelbeträge!$E:$E,'Ausgaben 2023'!F$6)</f>
        <v>0</v>
      </c>
      <c r="G260" s="21">
        <f>SUMIFS(Einzelbeträge!$D:$D,Einzelbeträge!$C:$C,'Ausgaben 2023'!$C260,Einzelbeträge!$E:$E,'Ausgaben 2023'!G$6)</f>
        <v>0</v>
      </c>
      <c r="H260" s="21">
        <f>SUMIFS(Einzelbeträge!$D:$D,Einzelbeträge!$C:$C,'Ausgaben 2023'!$C260,Einzelbeträge!$E:$E,'Ausgaben 2023'!H$6)</f>
        <v>0</v>
      </c>
      <c r="I260" s="21">
        <f>SUMIFS(Einzelbeträge!$D:$D,Einzelbeträge!$C:$C,'Ausgaben 2023'!$C260,Einzelbeträge!$E:$E,'Ausgaben 2023'!I$6)</f>
        <v>0</v>
      </c>
      <c r="J260" s="21">
        <f>SUMIFS(Einzelbeträge!$D:$D,Einzelbeträge!$C:$C,'Ausgaben 2023'!$C260,Einzelbeträge!$E:$E,'Ausgaben 2023'!J$6)</f>
        <v>0</v>
      </c>
      <c r="K260" s="21">
        <f>SUMIFS(Einzelbeträge!$D:$D,Einzelbeträge!$C:$C,'Ausgaben 2023'!$C260,Einzelbeträge!$E:$E,'Ausgaben 2023'!K$6)</f>
        <v>0</v>
      </c>
      <c r="L260" s="21">
        <f>SUMIFS(Einzelbeträge!$D:$D,Einzelbeträge!$C:$C,'Ausgaben 2023'!$C260,Einzelbeträge!$E:$E,'Ausgaben 2023'!L$6)</f>
        <v>0</v>
      </c>
      <c r="M260" s="21">
        <f>SUMIFS(Einzelbeträge!$D:$D,Einzelbeträge!$C:$C,'Ausgaben 2023'!$C260,Einzelbeträge!$E:$E,'Ausgaben 2023'!M$6)</f>
        <v>0</v>
      </c>
      <c r="N260" s="35">
        <f>SUMIFS(Einzelbeträge!$D:$D,Einzelbeträge!$C:$C,'Ausgaben 2023'!$C260,Einzelbeträge!$E:$E,'Ausgaben 2023'!N$6)</f>
        <v>0</v>
      </c>
      <c r="O260" s="6"/>
    </row>
    <row r="261" spans="2:15" x14ac:dyDescent="0.35">
      <c r="B261" s="5"/>
      <c r="C261" s="40">
        <f t="shared" si="23"/>
        <v>45159</v>
      </c>
      <c r="D261" s="46">
        <f>SUMIFS(Einzelbeträge!$D:$D,Einzelbeträge!$C:$C,'Ausgaben 2023'!$C261)</f>
        <v>0</v>
      </c>
      <c r="E261" s="21">
        <f>SUMIFS(Einzelbeträge!$D:$D,Einzelbeträge!$C:$C,'Ausgaben 2023'!$C261,Einzelbeträge!$E:$E,'Ausgaben 2023'!E$6)</f>
        <v>0</v>
      </c>
      <c r="F261" s="21">
        <f>SUMIFS(Einzelbeträge!$D:$D,Einzelbeträge!$C:$C,'Ausgaben 2023'!$C261,Einzelbeträge!$E:$E,'Ausgaben 2023'!F$6)</f>
        <v>0</v>
      </c>
      <c r="G261" s="21">
        <f>SUMIFS(Einzelbeträge!$D:$D,Einzelbeträge!$C:$C,'Ausgaben 2023'!$C261,Einzelbeträge!$E:$E,'Ausgaben 2023'!G$6)</f>
        <v>0</v>
      </c>
      <c r="H261" s="21">
        <f>SUMIFS(Einzelbeträge!$D:$D,Einzelbeträge!$C:$C,'Ausgaben 2023'!$C261,Einzelbeträge!$E:$E,'Ausgaben 2023'!H$6)</f>
        <v>0</v>
      </c>
      <c r="I261" s="21">
        <f>SUMIFS(Einzelbeträge!$D:$D,Einzelbeträge!$C:$C,'Ausgaben 2023'!$C261,Einzelbeträge!$E:$E,'Ausgaben 2023'!I$6)</f>
        <v>0</v>
      </c>
      <c r="J261" s="21">
        <f>SUMIFS(Einzelbeträge!$D:$D,Einzelbeträge!$C:$C,'Ausgaben 2023'!$C261,Einzelbeträge!$E:$E,'Ausgaben 2023'!J$6)</f>
        <v>0</v>
      </c>
      <c r="K261" s="21">
        <f>SUMIFS(Einzelbeträge!$D:$D,Einzelbeträge!$C:$C,'Ausgaben 2023'!$C261,Einzelbeträge!$E:$E,'Ausgaben 2023'!K$6)</f>
        <v>0</v>
      </c>
      <c r="L261" s="21">
        <f>SUMIFS(Einzelbeträge!$D:$D,Einzelbeträge!$C:$C,'Ausgaben 2023'!$C261,Einzelbeträge!$E:$E,'Ausgaben 2023'!L$6)</f>
        <v>0</v>
      </c>
      <c r="M261" s="21">
        <f>SUMIFS(Einzelbeträge!$D:$D,Einzelbeträge!$C:$C,'Ausgaben 2023'!$C261,Einzelbeträge!$E:$E,'Ausgaben 2023'!M$6)</f>
        <v>0</v>
      </c>
      <c r="N261" s="35">
        <f>SUMIFS(Einzelbeträge!$D:$D,Einzelbeträge!$C:$C,'Ausgaben 2023'!$C261,Einzelbeträge!$E:$E,'Ausgaben 2023'!N$6)</f>
        <v>0</v>
      </c>
      <c r="O261" s="6"/>
    </row>
    <row r="262" spans="2:15" x14ac:dyDescent="0.35">
      <c r="B262" s="5"/>
      <c r="C262" s="40">
        <f t="shared" si="23"/>
        <v>45160</v>
      </c>
      <c r="D262" s="46">
        <f>SUMIFS(Einzelbeträge!$D:$D,Einzelbeträge!$C:$C,'Ausgaben 2023'!$C262)</f>
        <v>0</v>
      </c>
      <c r="E262" s="21">
        <f>SUMIFS(Einzelbeträge!$D:$D,Einzelbeträge!$C:$C,'Ausgaben 2023'!$C262,Einzelbeträge!$E:$E,'Ausgaben 2023'!E$6)</f>
        <v>0</v>
      </c>
      <c r="F262" s="21">
        <f>SUMIFS(Einzelbeträge!$D:$D,Einzelbeträge!$C:$C,'Ausgaben 2023'!$C262,Einzelbeträge!$E:$E,'Ausgaben 2023'!F$6)</f>
        <v>0</v>
      </c>
      <c r="G262" s="21">
        <f>SUMIFS(Einzelbeträge!$D:$D,Einzelbeträge!$C:$C,'Ausgaben 2023'!$C262,Einzelbeträge!$E:$E,'Ausgaben 2023'!G$6)</f>
        <v>0</v>
      </c>
      <c r="H262" s="21">
        <f>SUMIFS(Einzelbeträge!$D:$D,Einzelbeträge!$C:$C,'Ausgaben 2023'!$C262,Einzelbeträge!$E:$E,'Ausgaben 2023'!H$6)</f>
        <v>0</v>
      </c>
      <c r="I262" s="21">
        <f>SUMIFS(Einzelbeträge!$D:$D,Einzelbeträge!$C:$C,'Ausgaben 2023'!$C262,Einzelbeträge!$E:$E,'Ausgaben 2023'!I$6)</f>
        <v>0</v>
      </c>
      <c r="J262" s="21">
        <f>SUMIFS(Einzelbeträge!$D:$D,Einzelbeträge!$C:$C,'Ausgaben 2023'!$C262,Einzelbeträge!$E:$E,'Ausgaben 2023'!J$6)</f>
        <v>0</v>
      </c>
      <c r="K262" s="21">
        <f>SUMIFS(Einzelbeträge!$D:$D,Einzelbeträge!$C:$C,'Ausgaben 2023'!$C262,Einzelbeträge!$E:$E,'Ausgaben 2023'!K$6)</f>
        <v>0</v>
      </c>
      <c r="L262" s="21">
        <f>SUMIFS(Einzelbeträge!$D:$D,Einzelbeträge!$C:$C,'Ausgaben 2023'!$C262,Einzelbeträge!$E:$E,'Ausgaben 2023'!L$6)</f>
        <v>0</v>
      </c>
      <c r="M262" s="21">
        <f>SUMIFS(Einzelbeträge!$D:$D,Einzelbeträge!$C:$C,'Ausgaben 2023'!$C262,Einzelbeträge!$E:$E,'Ausgaben 2023'!M$6)</f>
        <v>0</v>
      </c>
      <c r="N262" s="35">
        <f>SUMIFS(Einzelbeträge!$D:$D,Einzelbeträge!$C:$C,'Ausgaben 2023'!$C262,Einzelbeträge!$E:$E,'Ausgaben 2023'!N$6)</f>
        <v>0</v>
      </c>
      <c r="O262" s="6"/>
    </row>
    <row r="263" spans="2:15" x14ac:dyDescent="0.35">
      <c r="B263" s="5"/>
      <c r="C263" s="40">
        <f t="shared" si="23"/>
        <v>45161</v>
      </c>
      <c r="D263" s="46">
        <f>SUMIFS(Einzelbeträge!$D:$D,Einzelbeträge!$C:$C,'Ausgaben 2023'!$C263)</f>
        <v>0</v>
      </c>
      <c r="E263" s="21">
        <f>SUMIFS(Einzelbeträge!$D:$D,Einzelbeträge!$C:$C,'Ausgaben 2023'!$C263,Einzelbeträge!$E:$E,'Ausgaben 2023'!E$6)</f>
        <v>0</v>
      </c>
      <c r="F263" s="21">
        <f>SUMIFS(Einzelbeträge!$D:$D,Einzelbeträge!$C:$C,'Ausgaben 2023'!$C263,Einzelbeträge!$E:$E,'Ausgaben 2023'!F$6)</f>
        <v>0</v>
      </c>
      <c r="G263" s="21">
        <f>SUMIFS(Einzelbeträge!$D:$D,Einzelbeträge!$C:$C,'Ausgaben 2023'!$C263,Einzelbeträge!$E:$E,'Ausgaben 2023'!G$6)</f>
        <v>0</v>
      </c>
      <c r="H263" s="21">
        <f>SUMIFS(Einzelbeträge!$D:$D,Einzelbeträge!$C:$C,'Ausgaben 2023'!$C263,Einzelbeträge!$E:$E,'Ausgaben 2023'!H$6)</f>
        <v>0</v>
      </c>
      <c r="I263" s="21">
        <f>SUMIFS(Einzelbeträge!$D:$D,Einzelbeträge!$C:$C,'Ausgaben 2023'!$C263,Einzelbeträge!$E:$E,'Ausgaben 2023'!I$6)</f>
        <v>0</v>
      </c>
      <c r="J263" s="21">
        <f>SUMIFS(Einzelbeträge!$D:$D,Einzelbeträge!$C:$C,'Ausgaben 2023'!$C263,Einzelbeträge!$E:$E,'Ausgaben 2023'!J$6)</f>
        <v>0</v>
      </c>
      <c r="K263" s="21">
        <f>SUMIFS(Einzelbeträge!$D:$D,Einzelbeträge!$C:$C,'Ausgaben 2023'!$C263,Einzelbeträge!$E:$E,'Ausgaben 2023'!K$6)</f>
        <v>0</v>
      </c>
      <c r="L263" s="21">
        <f>SUMIFS(Einzelbeträge!$D:$D,Einzelbeträge!$C:$C,'Ausgaben 2023'!$C263,Einzelbeträge!$E:$E,'Ausgaben 2023'!L$6)</f>
        <v>0</v>
      </c>
      <c r="M263" s="21">
        <f>SUMIFS(Einzelbeträge!$D:$D,Einzelbeträge!$C:$C,'Ausgaben 2023'!$C263,Einzelbeträge!$E:$E,'Ausgaben 2023'!M$6)</f>
        <v>0</v>
      </c>
      <c r="N263" s="35">
        <f>SUMIFS(Einzelbeträge!$D:$D,Einzelbeträge!$C:$C,'Ausgaben 2023'!$C263,Einzelbeträge!$E:$E,'Ausgaben 2023'!N$6)</f>
        <v>0</v>
      </c>
      <c r="O263" s="6"/>
    </row>
    <row r="264" spans="2:15" x14ac:dyDescent="0.35">
      <c r="B264" s="5"/>
      <c r="C264" s="40">
        <f t="shared" si="23"/>
        <v>45162</v>
      </c>
      <c r="D264" s="46">
        <f>SUMIFS(Einzelbeträge!$D:$D,Einzelbeträge!$C:$C,'Ausgaben 2023'!$C264)</f>
        <v>0</v>
      </c>
      <c r="E264" s="21">
        <f>SUMIFS(Einzelbeträge!$D:$D,Einzelbeträge!$C:$C,'Ausgaben 2023'!$C264,Einzelbeträge!$E:$E,'Ausgaben 2023'!E$6)</f>
        <v>0</v>
      </c>
      <c r="F264" s="21">
        <f>SUMIFS(Einzelbeträge!$D:$D,Einzelbeträge!$C:$C,'Ausgaben 2023'!$C264,Einzelbeträge!$E:$E,'Ausgaben 2023'!F$6)</f>
        <v>0</v>
      </c>
      <c r="G264" s="21">
        <f>SUMIFS(Einzelbeträge!$D:$D,Einzelbeträge!$C:$C,'Ausgaben 2023'!$C264,Einzelbeträge!$E:$E,'Ausgaben 2023'!G$6)</f>
        <v>0</v>
      </c>
      <c r="H264" s="21">
        <f>SUMIFS(Einzelbeträge!$D:$D,Einzelbeträge!$C:$C,'Ausgaben 2023'!$C264,Einzelbeträge!$E:$E,'Ausgaben 2023'!H$6)</f>
        <v>0</v>
      </c>
      <c r="I264" s="21">
        <f>SUMIFS(Einzelbeträge!$D:$D,Einzelbeträge!$C:$C,'Ausgaben 2023'!$C264,Einzelbeträge!$E:$E,'Ausgaben 2023'!I$6)</f>
        <v>0</v>
      </c>
      <c r="J264" s="21">
        <f>SUMIFS(Einzelbeträge!$D:$D,Einzelbeträge!$C:$C,'Ausgaben 2023'!$C264,Einzelbeträge!$E:$E,'Ausgaben 2023'!J$6)</f>
        <v>0</v>
      </c>
      <c r="K264" s="21">
        <f>SUMIFS(Einzelbeträge!$D:$D,Einzelbeträge!$C:$C,'Ausgaben 2023'!$C264,Einzelbeträge!$E:$E,'Ausgaben 2023'!K$6)</f>
        <v>0</v>
      </c>
      <c r="L264" s="21">
        <f>SUMIFS(Einzelbeträge!$D:$D,Einzelbeträge!$C:$C,'Ausgaben 2023'!$C264,Einzelbeträge!$E:$E,'Ausgaben 2023'!L$6)</f>
        <v>0</v>
      </c>
      <c r="M264" s="21">
        <f>SUMIFS(Einzelbeträge!$D:$D,Einzelbeträge!$C:$C,'Ausgaben 2023'!$C264,Einzelbeträge!$E:$E,'Ausgaben 2023'!M$6)</f>
        <v>0</v>
      </c>
      <c r="N264" s="35">
        <f>SUMIFS(Einzelbeträge!$D:$D,Einzelbeträge!$C:$C,'Ausgaben 2023'!$C264,Einzelbeträge!$E:$E,'Ausgaben 2023'!N$6)</f>
        <v>0</v>
      </c>
      <c r="O264" s="6"/>
    </row>
    <row r="265" spans="2:15" x14ac:dyDescent="0.35">
      <c r="B265" s="5"/>
      <c r="C265" s="40">
        <f t="shared" si="23"/>
        <v>45163</v>
      </c>
      <c r="D265" s="46">
        <f>SUMIFS(Einzelbeträge!$D:$D,Einzelbeträge!$C:$C,'Ausgaben 2023'!$C265)</f>
        <v>0</v>
      </c>
      <c r="E265" s="21">
        <f>SUMIFS(Einzelbeträge!$D:$D,Einzelbeträge!$C:$C,'Ausgaben 2023'!$C265,Einzelbeträge!$E:$E,'Ausgaben 2023'!E$6)</f>
        <v>0</v>
      </c>
      <c r="F265" s="21">
        <f>SUMIFS(Einzelbeträge!$D:$D,Einzelbeträge!$C:$C,'Ausgaben 2023'!$C265,Einzelbeträge!$E:$E,'Ausgaben 2023'!F$6)</f>
        <v>0</v>
      </c>
      <c r="G265" s="21">
        <f>SUMIFS(Einzelbeträge!$D:$D,Einzelbeträge!$C:$C,'Ausgaben 2023'!$C265,Einzelbeträge!$E:$E,'Ausgaben 2023'!G$6)</f>
        <v>0</v>
      </c>
      <c r="H265" s="21">
        <f>SUMIFS(Einzelbeträge!$D:$D,Einzelbeträge!$C:$C,'Ausgaben 2023'!$C265,Einzelbeträge!$E:$E,'Ausgaben 2023'!H$6)</f>
        <v>0</v>
      </c>
      <c r="I265" s="21">
        <f>SUMIFS(Einzelbeträge!$D:$D,Einzelbeträge!$C:$C,'Ausgaben 2023'!$C265,Einzelbeträge!$E:$E,'Ausgaben 2023'!I$6)</f>
        <v>0</v>
      </c>
      <c r="J265" s="21">
        <f>SUMIFS(Einzelbeträge!$D:$D,Einzelbeträge!$C:$C,'Ausgaben 2023'!$C265,Einzelbeträge!$E:$E,'Ausgaben 2023'!J$6)</f>
        <v>0</v>
      </c>
      <c r="K265" s="21">
        <f>SUMIFS(Einzelbeträge!$D:$D,Einzelbeträge!$C:$C,'Ausgaben 2023'!$C265,Einzelbeträge!$E:$E,'Ausgaben 2023'!K$6)</f>
        <v>0</v>
      </c>
      <c r="L265" s="21">
        <f>SUMIFS(Einzelbeträge!$D:$D,Einzelbeträge!$C:$C,'Ausgaben 2023'!$C265,Einzelbeträge!$E:$E,'Ausgaben 2023'!L$6)</f>
        <v>0</v>
      </c>
      <c r="M265" s="21">
        <f>SUMIFS(Einzelbeträge!$D:$D,Einzelbeträge!$C:$C,'Ausgaben 2023'!$C265,Einzelbeträge!$E:$E,'Ausgaben 2023'!M$6)</f>
        <v>0</v>
      </c>
      <c r="N265" s="35">
        <f>SUMIFS(Einzelbeträge!$D:$D,Einzelbeträge!$C:$C,'Ausgaben 2023'!$C265,Einzelbeträge!$E:$E,'Ausgaben 2023'!N$6)</f>
        <v>0</v>
      </c>
      <c r="O265" s="6"/>
    </row>
    <row r="266" spans="2:15" x14ac:dyDescent="0.35">
      <c r="B266" s="5"/>
      <c r="C266" s="40">
        <f t="shared" si="23"/>
        <v>45164</v>
      </c>
      <c r="D266" s="46">
        <f>SUMIFS(Einzelbeträge!$D:$D,Einzelbeträge!$C:$C,'Ausgaben 2023'!$C266)</f>
        <v>0</v>
      </c>
      <c r="E266" s="21">
        <f>SUMIFS(Einzelbeträge!$D:$D,Einzelbeträge!$C:$C,'Ausgaben 2023'!$C266,Einzelbeträge!$E:$E,'Ausgaben 2023'!E$6)</f>
        <v>0</v>
      </c>
      <c r="F266" s="21">
        <f>SUMIFS(Einzelbeträge!$D:$D,Einzelbeträge!$C:$C,'Ausgaben 2023'!$C266,Einzelbeträge!$E:$E,'Ausgaben 2023'!F$6)</f>
        <v>0</v>
      </c>
      <c r="G266" s="21">
        <f>SUMIFS(Einzelbeträge!$D:$D,Einzelbeträge!$C:$C,'Ausgaben 2023'!$C266,Einzelbeträge!$E:$E,'Ausgaben 2023'!G$6)</f>
        <v>0</v>
      </c>
      <c r="H266" s="21">
        <f>SUMIFS(Einzelbeträge!$D:$D,Einzelbeträge!$C:$C,'Ausgaben 2023'!$C266,Einzelbeträge!$E:$E,'Ausgaben 2023'!H$6)</f>
        <v>0</v>
      </c>
      <c r="I266" s="21">
        <f>SUMIFS(Einzelbeträge!$D:$D,Einzelbeträge!$C:$C,'Ausgaben 2023'!$C266,Einzelbeträge!$E:$E,'Ausgaben 2023'!I$6)</f>
        <v>0</v>
      </c>
      <c r="J266" s="21">
        <f>SUMIFS(Einzelbeträge!$D:$D,Einzelbeträge!$C:$C,'Ausgaben 2023'!$C266,Einzelbeträge!$E:$E,'Ausgaben 2023'!J$6)</f>
        <v>0</v>
      </c>
      <c r="K266" s="21">
        <f>SUMIFS(Einzelbeträge!$D:$D,Einzelbeträge!$C:$C,'Ausgaben 2023'!$C266,Einzelbeträge!$E:$E,'Ausgaben 2023'!K$6)</f>
        <v>0</v>
      </c>
      <c r="L266" s="21">
        <f>SUMIFS(Einzelbeträge!$D:$D,Einzelbeträge!$C:$C,'Ausgaben 2023'!$C266,Einzelbeträge!$E:$E,'Ausgaben 2023'!L$6)</f>
        <v>0</v>
      </c>
      <c r="M266" s="21">
        <f>SUMIFS(Einzelbeträge!$D:$D,Einzelbeträge!$C:$C,'Ausgaben 2023'!$C266,Einzelbeträge!$E:$E,'Ausgaben 2023'!M$6)</f>
        <v>0</v>
      </c>
      <c r="N266" s="35">
        <f>SUMIFS(Einzelbeträge!$D:$D,Einzelbeträge!$C:$C,'Ausgaben 2023'!$C266,Einzelbeträge!$E:$E,'Ausgaben 2023'!N$6)</f>
        <v>0</v>
      </c>
      <c r="O266" s="6"/>
    </row>
    <row r="267" spans="2:15" x14ac:dyDescent="0.35">
      <c r="B267" s="5"/>
      <c r="C267" s="40">
        <f t="shared" si="23"/>
        <v>45165</v>
      </c>
      <c r="D267" s="46">
        <f>SUMIFS(Einzelbeträge!$D:$D,Einzelbeträge!$C:$C,'Ausgaben 2023'!$C267)</f>
        <v>0</v>
      </c>
      <c r="E267" s="21">
        <f>SUMIFS(Einzelbeträge!$D:$D,Einzelbeträge!$C:$C,'Ausgaben 2023'!$C267,Einzelbeträge!$E:$E,'Ausgaben 2023'!E$6)</f>
        <v>0</v>
      </c>
      <c r="F267" s="21">
        <f>SUMIFS(Einzelbeträge!$D:$D,Einzelbeträge!$C:$C,'Ausgaben 2023'!$C267,Einzelbeträge!$E:$E,'Ausgaben 2023'!F$6)</f>
        <v>0</v>
      </c>
      <c r="G267" s="21">
        <f>SUMIFS(Einzelbeträge!$D:$D,Einzelbeträge!$C:$C,'Ausgaben 2023'!$C267,Einzelbeträge!$E:$E,'Ausgaben 2023'!G$6)</f>
        <v>0</v>
      </c>
      <c r="H267" s="21">
        <f>SUMIFS(Einzelbeträge!$D:$D,Einzelbeträge!$C:$C,'Ausgaben 2023'!$C267,Einzelbeträge!$E:$E,'Ausgaben 2023'!H$6)</f>
        <v>0</v>
      </c>
      <c r="I267" s="21">
        <f>SUMIFS(Einzelbeträge!$D:$D,Einzelbeträge!$C:$C,'Ausgaben 2023'!$C267,Einzelbeträge!$E:$E,'Ausgaben 2023'!I$6)</f>
        <v>0</v>
      </c>
      <c r="J267" s="21">
        <f>SUMIFS(Einzelbeträge!$D:$D,Einzelbeträge!$C:$C,'Ausgaben 2023'!$C267,Einzelbeträge!$E:$E,'Ausgaben 2023'!J$6)</f>
        <v>0</v>
      </c>
      <c r="K267" s="21">
        <f>SUMIFS(Einzelbeträge!$D:$D,Einzelbeträge!$C:$C,'Ausgaben 2023'!$C267,Einzelbeträge!$E:$E,'Ausgaben 2023'!K$6)</f>
        <v>0</v>
      </c>
      <c r="L267" s="21">
        <f>SUMIFS(Einzelbeträge!$D:$D,Einzelbeträge!$C:$C,'Ausgaben 2023'!$C267,Einzelbeträge!$E:$E,'Ausgaben 2023'!L$6)</f>
        <v>0</v>
      </c>
      <c r="M267" s="21">
        <f>SUMIFS(Einzelbeträge!$D:$D,Einzelbeträge!$C:$C,'Ausgaben 2023'!$C267,Einzelbeträge!$E:$E,'Ausgaben 2023'!M$6)</f>
        <v>0</v>
      </c>
      <c r="N267" s="35">
        <f>SUMIFS(Einzelbeträge!$D:$D,Einzelbeträge!$C:$C,'Ausgaben 2023'!$C267,Einzelbeträge!$E:$E,'Ausgaben 2023'!N$6)</f>
        <v>0</v>
      </c>
      <c r="O267" s="6"/>
    </row>
    <row r="268" spans="2:15" x14ac:dyDescent="0.35">
      <c r="B268" s="5"/>
      <c r="C268" s="40">
        <f t="shared" si="23"/>
        <v>45166</v>
      </c>
      <c r="D268" s="46">
        <f>SUMIFS(Einzelbeträge!$D:$D,Einzelbeträge!$C:$C,'Ausgaben 2023'!$C268)</f>
        <v>0</v>
      </c>
      <c r="E268" s="21">
        <f>SUMIFS(Einzelbeträge!$D:$D,Einzelbeträge!$C:$C,'Ausgaben 2023'!$C268,Einzelbeträge!$E:$E,'Ausgaben 2023'!E$6)</f>
        <v>0</v>
      </c>
      <c r="F268" s="21">
        <f>SUMIFS(Einzelbeträge!$D:$D,Einzelbeträge!$C:$C,'Ausgaben 2023'!$C268,Einzelbeträge!$E:$E,'Ausgaben 2023'!F$6)</f>
        <v>0</v>
      </c>
      <c r="G268" s="21">
        <f>SUMIFS(Einzelbeträge!$D:$D,Einzelbeträge!$C:$C,'Ausgaben 2023'!$C268,Einzelbeträge!$E:$E,'Ausgaben 2023'!G$6)</f>
        <v>0</v>
      </c>
      <c r="H268" s="21">
        <f>SUMIFS(Einzelbeträge!$D:$D,Einzelbeträge!$C:$C,'Ausgaben 2023'!$C268,Einzelbeträge!$E:$E,'Ausgaben 2023'!H$6)</f>
        <v>0</v>
      </c>
      <c r="I268" s="21">
        <f>SUMIFS(Einzelbeträge!$D:$D,Einzelbeträge!$C:$C,'Ausgaben 2023'!$C268,Einzelbeträge!$E:$E,'Ausgaben 2023'!I$6)</f>
        <v>0</v>
      </c>
      <c r="J268" s="21">
        <f>SUMIFS(Einzelbeträge!$D:$D,Einzelbeträge!$C:$C,'Ausgaben 2023'!$C268,Einzelbeträge!$E:$E,'Ausgaben 2023'!J$6)</f>
        <v>0</v>
      </c>
      <c r="K268" s="21">
        <f>SUMIFS(Einzelbeträge!$D:$D,Einzelbeträge!$C:$C,'Ausgaben 2023'!$C268,Einzelbeträge!$E:$E,'Ausgaben 2023'!K$6)</f>
        <v>0</v>
      </c>
      <c r="L268" s="21">
        <f>SUMIFS(Einzelbeträge!$D:$D,Einzelbeträge!$C:$C,'Ausgaben 2023'!$C268,Einzelbeträge!$E:$E,'Ausgaben 2023'!L$6)</f>
        <v>0</v>
      </c>
      <c r="M268" s="21">
        <f>SUMIFS(Einzelbeträge!$D:$D,Einzelbeträge!$C:$C,'Ausgaben 2023'!$C268,Einzelbeträge!$E:$E,'Ausgaben 2023'!M$6)</f>
        <v>0</v>
      </c>
      <c r="N268" s="35">
        <f>SUMIFS(Einzelbeträge!$D:$D,Einzelbeträge!$C:$C,'Ausgaben 2023'!$C268,Einzelbeträge!$E:$E,'Ausgaben 2023'!N$6)</f>
        <v>0</v>
      </c>
      <c r="O268" s="6"/>
    </row>
    <row r="269" spans="2:15" x14ac:dyDescent="0.35">
      <c r="B269" s="5"/>
      <c r="C269" s="40">
        <f t="shared" si="23"/>
        <v>45167</v>
      </c>
      <c r="D269" s="46">
        <f>SUMIFS(Einzelbeträge!$D:$D,Einzelbeträge!$C:$C,'Ausgaben 2023'!$C269)</f>
        <v>0</v>
      </c>
      <c r="E269" s="21">
        <f>SUMIFS(Einzelbeträge!$D:$D,Einzelbeträge!$C:$C,'Ausgaben 2023'!$C269,Einzelbeträge!$E:$E,'Ausgaben 2023'!E$6)</f>
        <v>0</v>
      </c>
      <c r="F269" s="21">
        <f>SUMIFS(Einzelbeträge!$D:$D,Einzelbeträge!$C:$C,'Ausgaben 2023'!$C269,Einzelbeträge!$E:$E,'Ausgaben 2023'!F$6)</f>
        <v>0</v>
      </c>
      <c r="G269" s="21">
        <f>SUMIFS(Einzelbeträge!$D:$D,Einzelbeträge!$C:$C,'Ausgaben 2023'!$C269,Einzelbeträge!$E:$E,'Ausgaben 2023'!G$6)</f>
        <v>0</v>
      </c>
      <c r="H269" s="21">
        <f>SUMIFS(Einzelbeträge!$D:$D,Einzelbeträge!$C:$C,'Ausgaben 2023'!$C269,Einzelbeträge!$E:$E,'Ausgaben 2023'!H$6)</f>
        <v>0</v>
      </c>
      <c r="I269" s="21">
        <f>SUMIFS(Einzelbeträge!$D:$D,Einzelbeträge!$C:$C,'Ausgaben 2023'!$C269,Einzelbeträge!$E:$E,'Ausgaben 2023'!I$6)</f>
        <v>0</v>
      </c>
      <c r="J269" s="21">
        <f>SUMIFS(Einzelbeträge!$D:$D,Einzelbeträge!$C:$C,'Ausgaben 2023'!$C269,Einzelbeträge!$E:$E,'Ausgaben 2023'!J$6)</f>
        <v>0</v>
      </c>
      <c r="K269" s="21">
        <f>SUMIFS(Einzelbeträge!$D:$D,Einzelbeträge!$C:$C,'Ausgaben 2023'!$C269,Einzelbeträge!$E:$E,'Ausgaben 2023'!K$6)</f>
        <v>0</v>
      </c>
      <c r="L269" s="21">
        <f>SUMIFS(Einzelbeträge!$D:$D,Einzelbeträge!$C:$C,'Ausgaben 2023'!$C269,Einzelbeträge!$E:$E,'Ausgaben 2023'!L$6)</f>
        <v>0</v>
      </c>
      <c r="M269" s="21">
        <f>SUMIFS(Einzelbeträge!$D:$D,Einzelbeträge!$C:$C,'Ausgaben 2023'!$C269,Einzelbeträge!$E:$E,'Ausgaben 2023'!M$6)</f>
        <v>0</v>
      </c>
      <c r="N269" s="35">
        <f>SUMIFS(Einzelbeträge!$D:$D,Einzelbeträge!$C:$C,'Ausgaben 2023'!$C269,Einzelbeträge!$E:$E,'Ausgaben 2023'!N$6)</f>
        <v>0</v>
      </c>
      <c r="O269" s="6"/>
    </row>
    <row r="270" spans="2:15" x14ac:dyDescent="0.35">
      <c r="B270" s="5"/>
      <c r="C270" s="40">
        <f t="shared" si="23"/>
        <v>45168</v>
      </c>
      <c r="D270" s="46">
        <f>SUMIFS(Einzelbeträge!$D:$D,Einzelbeträge!$C:$C,'Ausgaben 2023'!$C270)</f>
        <v>0</v>
      </c>
      <c r="E270" s="21">
        <f>SUMIFS(Einzelbeträge!$D:$D,Einzelbeträge!$C:$C,'Ausgaben 2023'!$C270,Einzelbeträge!$E:$E,'Ausgaben 2023'!E$6)</f>
        <v>0</v>
      </c>
      <c r="F270" s="21">
        <f>SUMIFS(Einzelbeträge!$D:$D,Einzelbeträge!$C:$C,'Ausgaben 2023'!$C270,Einzelbeträge!$E:$E,'Ausgaben 2023'!F$6)</f>
        <v>0</v>
      </c>
      <c r="G270" s="21">
        <f>SUMIFS(Einzelbeträge!$D:$D,Einzelbeträge!$C:$C,'Ausgaben 2023'!$C270,Einzelbeträge!$E:$E,'Ausgaben 2023'!G$6)</f>
        <v>0</v>
      </c>
      <c r="H270" s="21">
        <f>SUMIFS(Einzelbeträge!$D:$D,Einzelbeträge!$C:$C,'Ausgaben 2023'!$C270,Einzelbeträge!$E:$E,'Ausgaben 2023'!H$6)</f>
        <v>0</v>
      </c>
      <c r="I270" s="21">
        <f>SUMIFS(Einzelbeträge!$D:$D,Einzelbeträge!$C:$C,'Ausgaben 2023'!$C270,Einzelbeträge!$E:$E,'Ausgaben 2023'!I$6)</f>
        <v>0</v>
      </c>
      <c r="J270" s="21">
        <f>SUMIFS(Einzelbeträge!$D:$D,Einzelbeträge!$C:$C,'Ausgaben 2023'!$C270,Einzelbeträge!$E:$E,'Ausgaben 2023'!J$6)</f>
        <v>0</v>
      </c>
      <c r="K270" s="21">
        <f>SUMIFS(Einzelbeträge!$D:$D,Einzelbeträge!$C:$C,'Ausgaben 2023'!$C270,Einzelbeträge!$E:$E,'Ausgaben 2023'!K$6)</f>
        <v>0</v>
      </c>
      <c r="L270" s="21">
        <f>SUMIFS(Einzelbeträge!$D:$D,Einzelbeträge!$C:$C,'Ausgaben 2023'!$C270,Einzelbeträge!$E:$E,'Ausgaben 2023'!L$6)</f>
        <v>0</v>
      </c>
      <c r="M270" s="21">
        <f>SUMIFS(Einzelbeträge!$D:$D,Einzelbeträge!$C:$C,'Ausgaben 2023'!$C270,Einzelbeträge!$E:$E,'Ausgaben 2023'!M$6)</f>
        <v>0</v>
      </c>
      <c r="N270" s="35">
        <f>SUMIFS(Einzelbeträge!$D:$D,Einzelbeträge!$C:$C,'Ausgaben 2023'!$C270,Einzelbeträge!$E:$E,'Ausgaben 2023'!N$6)</f>
        <v>0</v>
      </c>
      <c r="O270" s="6"/>
    </row>
    <row r="271" spans="2:15" x14ac:dyDescent="0.35">
      <c r="B271" s="5"/>
      <c r="C271" s="31">
        <f t="shared" si="23"/>
        <v>45169</v>
      </c>
      <c r="D271" s="47">
        <f>SUMIFS(Einzelbeträge!$D:$D,Einzelbeträge!$C:$C,'Ausgaben 2023'!$C271)</f>
        <v>0</v>
      </c>
      <c r="E271" s="37">
        <f>SUMIFS(Einzelbeträge!$D:$D,Einzelbeträge!$C:$C,'Ausgaben 2023'!$C271,Einzelbeträge!$E:$E,'Ausgaben 2023'!E$6)</f>
        <v>0</v>
      </c>
      <c r="F271" s="37">
        <f>SUMIFS(Einzelbeträge!$D:$D,Einzelbeträge!$C:$C,'Ausgaben 2023'!$C271,Einzelbeträge!$E:$E,'Ausgaben 2023'!F$6)</f>
        <v>0</v>
      </c>
      <c r="G271" s="37">
        <f>SUMIFS(Einzelbeträge!$D:$D,Einzelbeträge!$C:$C,'Ausgaben 2023'!$C271,Einzelbeträge!$E:$E,'Ausgaben 2023'!G$6)</f>
        <v>0</v>
      </c>
      <c r="H271" s="37">
        <f>SUMIFS(Einzelbeträge!$D:$D,Einzelbeträge!$C:$C,'Ausgaben 2023'!$C271,Einzelbeträge!$E:$E,'Ausgaben 2023'!H$6)</f>
        <v>0</v>
      </c>
      <c r="I271" s="37">
        <f>SUMIFS(Einzelbeträge!$D:$D,Einzelbeträge!$C:$C,'Ausgaben 2023'!$C271,Einzelbeträge!$E:$E,'Ausgaben 2023'!I$6)</f>
        <v>0</v>
      </c>
      <c r="J271" s="37">
        <f>SUMIFS(Einzelbeträge!$D:$D,Einzelbeträge!$C:$C,'Ausgaben 2023'!$C271,Einzelbeträge!$E:$E,'Ausgaben 2023'!J$6)</f>
        <v>0</v>
      </c>
      <c r="K271" s="37">
        <f>SUMIFS(Einzelbeträge!$D:$D,Einzelbeträge!$C:$C,'Ausgaben 2023'!$C271,Einzelbeträge!$E:$E,'Ausgaben 2023'!K$6)</f>
        <v>0</v>
      </c>
      <c r="L271" s="37">
        <f>SUMIFS(Einzelbeträge!$D:$D,Einzelbeträge!$C:$C,'Ausgaben 2023'!$C271,Einzelbeträge!$E:$E,'Ausgaben 2023'!L$6)</f>
        <v>0</v>
      </c>
      <c r="M271" s="37">
        <f>SUMIFS(Einzelbeträge!$D:$D,Einzelbeträge!$C:$C,'Ausgaben 2023'!$C271,Einzelbeträge!$E:$E,'Ausgaben 2023'!M$6)</f>
        <v>0</v>
      </c>
      <c r="N271" s="38">
        <f>SUMIFS(Einzelbeträge!$D:$D,Einzelbeträge!$C:$C,'Ausgaben 2023'!$C271,Einzelbeträge!$E:$E,'Ausgaben 2023'!N$6)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45170</v>
      </c>
      <c r="D275" s="45">
        <f>SUMIFS(Einzelbeträge!$D:$D,Einzelbeträge!$C:$C,'Ausgaben 2023'!$C275)</f>
        <v>0</v>
      </c>
      <c r="E275" s="32">
        <f>SUMIFS(Einzelbeträge!$D:$D,Einzelbeträge!$C:$C,'Ausgaben 2023'!$C275,Einzelbeträge!$E:$E,'Ausgaben 2023'!E$6)</f>
        <v>0</v>
      </c>
      <c r="F275" s="32">
        <f>SUMIFS(Einzelbeträge!$D:$D,Einzelbeträge!$C:$C,'Ausgaben 2023'!$C275,Einzelbeträge!$E:$E,'Ausgaben 2023'!F$6)</f>
        <v>0</v>
      </c>
      <c r="G275" s="32">
        <f>SUMIFS(Einzelbeträge!$D:$D,Einzelbeträge!$C:$C,'Ausgaben 2023'!$C275,Einzelbeträge!$E:$E,'Ausgaben 2023'!G$6)</f>
        <v>0</v>
      </c>
      <c r="H275" s="32">
        <f>SUMIFS(Einzelbeträge!$D:$D,Einzelbeträge!$C:$C,'Ausgaben 2023'!$C275,Einzelbeträge!$E:$E,'Ausgaben 2023'!H$6)</f>
        <v>0</v>
      </c>
      <c r="I275" s="32">
        <f>SUMIFS(Einzelbeträge!$D:$D,Einzelbeträge!$C:$C,'Ausgaben 2023'!$C275,Einzelbeträge!$E:$E,'Ausgaben 2023'!I$6)</f>
        <v>0</v>
      </c>
      <c r="J275" s="32">
        <f>SUMIFS(Einzelbeträge!$D:$D,Einzelbeträge!$C:$C,'Ausgaben 2023'!$C275,Einzelbeträge!$E:$E,'Ausgaben 2023'!J$6)</f>
        <v>0</v>
      </c>
      <c r="K275" s="32">
        <f>SUMIFS(Einzelbeträge!$D:$D,Einzelbeträge!$C:$C,'Ausgaben 2023'!$C275,Einzelbeträge!$E:$E,'Ausgaben 2023'!K$6)</f>
        <v>0</v>
      </c>
      <c r="L275" s="32">
        <f>SUMIFS(Einzelbeträge!$D:$D,Einzelbeträge!$C:$C,'Ausgaben 2023'!$C275,Einzelbeträge!$E:$E,'Ausgaben 2023'!L$6)</f>
        <v>0</v>
      </c>
      <c r="M275" s="32">
        <f>SUMIFS(Einzelbeträge!$D:$D,Einzelbeträge!$C:$C,'Ausgaben 2023'!$C275,Einzelbeträge!$E:$E,'Ausgaben 2023'!M$6)</f>
        <v>0</v>
      </c>
      <c r="N275" s="33">
        <f>SUMIFS(Einzelbeträge!$D:$D,Einzelbeträge!$C:$C,'Ausgaben 2023'!$C275,Einzelbeträge!$E:$E,'Ausgaben 2023'!N$6)</f>
        <v>0</v>
      </c>
      <c r="O275" s="6"/>
    </row>
    <row r="276" spans="2:15" x14ac:dyDescent="0.35">
      <c r="B276" s="5"/>
      <c r="C276" s="30">
        <f>C275+1</f>
        <v>45171</v>
      </c>
      <c r="D276" s="46">
        <f>SUMIFS(Einzelbeträge!$D:$D,Einzelbeträge!$C:$C,'Ausgaben 2023'!$C276)</f>
        <v>0</v>
      </c>
      <c r="E276" s="21">
        <f>SUMIFS(Einzelbeträge!$D:$D,Einzelbeträge!$C:$C,'Ausgaben 2023'!$C276,Einzelbeträge!$E:$E,'Ausgaben 2023'!E$6)</f>
        <v>0</v>
      </c>
      <c r="F276" s="21">
        <f>SUMIFS(Einzelbeträge!$D:$D,Einzelbeträge!$C:$C,'Ausgaben 2023'!$C276,Einzelbeträge!$E:$E,'Ausgaben 2023'!F$6)</f>
        <v>0</v>
      </c>
      <c r="G276" s="21">
        <f>SUMIFS(Einzelbeträge!$D:$D,Einzelbeträge!$C:$C,'Ausgaben 2023'!$C276,Einzelbeträge!$E:$E,'Ausgaben 2023'!G$6)</f>
        <v>0</v>
      </c>
      <c r="H276" s="21">
        <f>SUMIFS(Einzelbeträge!$D:$D,Einzelbeträge!$C:$C,'Ausgaben 2023'!$C276,Einzelbeträge!$E:$E,'Ausgaben 2023'!H$6)</f>
        <v>0</v>
      </c>
      <c r="I276" s="21">
        <f>SUMIFS(Einzelbeträge!$D:$D,Einzelbeträge!$C:$C,'Ausgaben 2023'!$C276,Einzelbeträge!$E:$E,'Ausgaben 2023'!I$6)</f>
        <v>0</v>
      </c>
      <c r="J276" s="21">
        <f>SUMIFS(Einzelbeträge!$D:$D,Einzelbeträge!$C:$C,'Ausgaben 2023'!$C276,Einzelbeträge!$E:$E,'Ausgaben 2023'!J$6)</f>
        <v>0</v>
      </c>
      <c r="K276" s="21">
        <f>SUMIFS(Einzelbeträge!$D:$D,Einzelbeträge!$C:$C,'Ausgaben 2023'!$C276,Einzelbeträge!$E:$E,'Ausgaben 2023'!K$6)</f>
        <v>0</v>
      </c>
      <c r="L276" s="21">
        <f>SUMIFS(Einzelbeträge!$D:$D,Einzelbeträge!$C:$C,'Ausgaben 2023'!$C276,Einzelbeträge!$E:$E,'Ausgaben 2023'!L$6)</f>
        <v>0</v>
      </c>
      <c r="M276" s="21">
        <f>SUMIFS(Einzelbeträge!$D:$D,Einzelbeträge!$C:$C,'Ausgaben 2023'!$C276,Einzelbeträge!$E:$E,'Ausgaben 2023'!M$6)</f>
        <v>0</v>
      </c>
      <c r="N276" s="35">
        <f>SUMIFS(Einzelbeträge!$D:$D,Einzelbeträge!$C:$C,'Ausgaben 2023'!$C276,Einzelbeträge!$E:$E,'Ausgaben 2023'!N$6)</f>
        <v>0</v>
      </c>
      <c r="O276" s="6"/>
    </row>
    <row r="277" spans="2:15" x14ac:dyDescent="0.35">
      <c r="B277" s="5"/>
      <c r="C277" s="30">
        <f t="shared" ref="C277:C304" si="24">C276+1</f>
        <v>45172</v>
      </c>
      <c r="D277" s="46">
        <f>SUMIFS(Einzelbeträge!$D:$D,Einzelbeträge!$C:$C,'Ausgaben 2023'!$C277)</f>
        <v>0</v>
      </c>
      <c r="E277" s="21">
        <f>SUMIFS(Einzelbeträge!$D:$D,Einzelbeträge!$C:$C,'Ausgaben 2023'!$C277,Einzelbeträge!$E:$E,'Ausgaben 2023'!E$6)</f>
        <v>0</v>
      </c>
      <c r="F277" s="21">
        <f>SUMIFS(Einzelbeträge!$D:$D,Einzelbeträge!$C:$C,'Ausgaben 2023'!$C277,Einzelbeträge!$E:$E,'Ausgaben 2023'!F$6)</f>
        <v>0</v>
      </c>
      <c r="G277" s="21">
        <f>SUMIFS(Einzelbeträge!$D:$D,Einzelbeträge!$C:$C,'Ausgaben 2023'!$C277,Einzelbeträge!$E:$E,'Ausgaben 2023'!G$6)</f>
        <v>0</v>
      </c>
      <c r="H277" s="21">
        <f>SUMIFS(Einzelbeträge!$D:$D,Einzelbeträge!$C:$C,'Ausgaben 2023'!$C277,Einzelbeträge!$E:$E,'Ausgaben 2023'!H$6)</f>
        <v>0</v>
      </c>
      <c r="I277" s="21">
        <f>SUMIFS(Einzelbeträge!$D:$D,Einzelbeträge!$C:$C,'Ausgaben 2023'!$C277,Einzelbeträge!$E:$E,'Ausgaben 2023'!I$6)</f>
        <v>0</v>
      </c>
      <c r="J277" s="21">
        <f>SUMIFS(Einzelbeträge!$D:$D,Einzelbeträge!$C:$C,'Ausgaben 2023'!$C277,Einzelbeträge!$E:$E,'Ausgaben 2023'!J$6)</f>
        <v>0</v>
      </c>
      <c r="K277" s="21">
        <f>SUMIFS(Einzelbeträge!$D:$D,Einzelbeträge!$C:$C,'Ausgaben 2023'!$C277,Einzelbeträge!$E:$E,'Ausgaben 2023'!K$6)</f>
        <v>0</v>
      </c>
      <c r="L277" s="21">
        <f>SUMIFS(Einzelbeträge!$D:$D,Einzelbeträge!$C:$C,'Ausgaben 2023'!$C277,Einzelbeträge!$E:$E,'Ausgaben 2023'!L$6)</f>
        <v>0</v>
      </c>
      <c r="M277" s="21">
        <f>SUMIFS(Einzelbeträge!$D:$D,Einzelbeträge!$C:$C,'Ausgaben 2023'!$C277,Einzelbeträge!$E:$E,'Ausgaben 2023'!M$6)</f>
        <v>0</v>
      </c>
      <c r="N277" s="35">
        <f>SUMIFS(Einzelbeträge!$D:$D,Einzelbeträge!$C:$C,'Ausgaben 2023'!$C277,Einzelbeträge!$E:$E,'Ausgaben 2023'!N$6)</f>
        <v>0</v>
      </c>
      <c r="O277" s="6"/>
    </row>
    <row r="278" spans="2:15" x14ac:dyDescent="0.35">
      <c r="B278" s="5"/>
      <c r="C278" s="30">
        <f t="shared" si="24"/>
        <v>45173</v>
      </c>
      <c r="D278" s="46">
        <f>SUMIFS(Einzelbeträge!$D:$D,Einzelbeträge!$C:$C,'Ausgaben 2023'!$C278)</f>
        <v>0</v>
      </c>
      <c r="E278" s="21">
        <f>SUMIFS(Einzelbeträge!$D:$D,Einzelbeträge!$C:$C,'Ausgaben 2023'!$C278,Einzelbeträge!$E:$E,'Ausgaben 2023'!E$6)</f>
        <v>0</v>
      </c>
      <c r="F278" s="21">
        <f>SUMIFS(Einzelbeträge!$D:$D,Einzelbeträge!$C:$C,'Ausgaben 2023'!$C278,Einzelbeträge!$E:$E,'Ausgaben 2023'!F$6)</f>
        <v>0</v>
      </c>
      <c r="G278" s="21">
        <f>SUMIFS(Einzelbeträge!$D:$D,Einzelbeträge!$C:$C,'Ausgaben 2023'!$C278,Einzelbeträge!$E:$E,'Ausgaben 2023'!G$6)</f>
        <v>0</v>
      </c>
      <c r="H278" s="21">
        <f>SUMIFS(Einzelbeträge!$D:$D,Einzelbeträge!$C:$C,'Ausgaben 2023'!$C278,Einzelbeträge!$E:$E,'Ausgaben 2023'!H$6)</f>
        <v>0</v>
      </c>
      <c r="I278" s="21">
        <f>SUMIFS(Einzelbeträge!$D:$D,Einzelbeträge!$C:$C,'Ausgaben 2023'!$C278,Einzelbeträge!$E:$E,'Ausgaben 2023'!I$6)</f>
        <v>0</v>
      </c>
      <c r="J278" s="21">
        <f>SUMIFS(Einzelbeträge!$D:$D,Einzelbeträge!$C:$C,'Ausgaben 2023'!$C278,Einzelbeträge!$E:$E,'Ausgaben 2023'!J$6)</f>
        <v>0</v>
      </c>
      <c r="K278" s="21">
        <f>SUMIFS(Einzelbeträge!$D:$D,Einzelbeträge!$C:$C,'Ausgaben 2023'!$C278,Einzelbeträge!$E:$E,'Ausgaben 2023'!K$6)</f>
        <v>0</v>
      </c>
      <c r="L278" s="21">
        <f>SUMIFS(Einzelbeträge!$D:$D,Einzelbeträge!$C:$C,'Ausgaben 2023'!$C278,Einzelbeträge!$E:$E,'Ausgaben 2023'!L$6)</f>
        <v>0</v>
      </c>
      <c r="M278" s="21">
        <f>SUMIFS(Einzelbeträge!$D:$D,Einzelbeträge!$C:$C,'Ausgaben 2023'!$C278,Einzelbeträge!$E:$E,'Ausgaben 2023'!M$6)</f>
        <v>0</v>
      </c>
      <c r="N278" s="35">
        <f>SUMIFS(Einzelbeträge!$D:$D,Einzelbeträge!$C:$C,'Ausgaben 2023'!$C278,Einzelbeträge!$E:$E,'Ausgaben 2023'!N$6)</f>
        <v>0</v>
      </c>
      <c r="O278" s="6"/>
    </row>
    <row r="279" spans="2:15" x14ac:dyDescent="0.35">
      <c r="B279" s="5"/>
      <c r="C279" s="30">
        <f t="shared" si="24"/>
        <v>45174</v>
      </c>
      <c r="D279" s="46">
        <f>SUMIFS(Einzelbeträge!$D:$D,Einzelbeträge!$C:$C,'Ausgaben 2023'!$C279)</f>
        <v>0</v>
      </c>
      <c r="E279" s="21">
        <f>SUMIFS(Einzelbeträge!$D:$D,Einzelbeträge!$C:$C,'Ausgaben 2023'!$C279,Einzelbeträge!$E:$E,'Ausgaben 2023'!E$6)</f>
        <v>0</v>
      </c>
      <c r="F279" s="21">
        <f>SUMIFS(Einzelbeträge!$D:$D,Einzelbeträge!$C:$C,'Ausgaben 2023'!$C279,Einzelbeträge!$E:$E,'Ausgaben 2023'!F$6)</f>
        <v>0</v>
      </c>
      <c r="G279" s="21">
        <f>SUMIFS(Einzelbeträge!$D:$D,Einzelbeträge!$C:$C,'Ausgaben 2023'!$C279,Einzelbeträge!$E:$E,'Ausgaben 2023'!G$6)</f>
        <v>0</v>
      </c>
      <c r="H279" s="21">
        <f>SUMIFS(Einzelbeträge!$D:$D,Einzelbeträge!$C:$C,'Ausgaben 2023'!$C279,Einzelbeträge!$E:$E,'Ausgaben 2023'!H$6)</f>
        <v>0</v>
      </c>
      <c r="I279" s="21">
        <f>SUMIFS(Einzelbeträge!$D:$D,Einzelbeträge!$C:$C,'Ausgaben 2023'!$C279,Einzelbeträge!$E:$E,'Ausgaben 2023'!I$6)</f>
        <v>0</v>
      </c>
      <c r="J279" s="21">
        <f>SUMIFS(Einzelbeträge!$D:$D,Einzelbeträge!$C:$C,'Ausgaben 2023'!$C279,Einzelbeträge!$E:$E,'Ausgaben 2023'!J$6)</f>
        <v>0</v>
      </c>
      <c r="K279" s="21">
        <f>SUMIFS(Einzelbeträge!$D:$D,Einzelbeträge!$C:$C,'Ausgaben 2023'!$C279,Einzelbeträge!$E:$E,'Ausgaben 2023'!K$6)</f>
        <v>0</v>
      </c>
      <c r="L279" s="21">
        <f>SUMIFS(Einzelbeträge!$D:$D,Einzelbeträge!$C:$C,'Ausgaben 2023'!$C279,Einzelbeträge!$E:$E,'Ausgaben 2023'!L$6)</f>
        <v>0</v>
      </c>
      <c r="M279" s="21">
        <f>SUMIFS(Einzelbeträge!$D:$D,Einzelbeträge!$C:$C,'Ausgaben 2023'!$C279,Einzelbeträge!$E:$E,'Ausgaben 2023'!M$6)</f>
        <v>0</v>
      </c>
      <c r="N279" s="35">
        <f>SUMIFS(Einzelbeträge!$D:$D,Einzelbeträge!$C:$C,'Ausgaben 2023'!$C279,Einzelbeträge!$E:$E,'Ausgaben 2023'!N$6)</f>
        <v>0</v>
      </c>
      <c r="O279" s="6"/>
    </row>
    <row r="280" spans="2:15" x14ac:dyDescent="0.35">
      <c r="B280" s="5"/>
      <c r="C280" s="30">
        <f t="shared" si="24"/>
        <v>45175</v>
      </c>
      <c r="D280" s="46">
        <f>SUMIFS(Einzelbeträge!$D:$D,Einzelbeträge!$C:$C,'Ausgaben 2023'!$C280)</f>
        <v>0</v>
      </c>
      <c r="E280" s="21">
        <f>SUMIFS(Einzelbeträge!$D:$D,Einzelbeträge!$C:$C,'Ausgaben 2023'!$C280,Einzelbeträge!$E:$E,'Ausgaben 2023'!E$6)</f>
        <v>0</v>
      </c>
      <c r="F280" s="21">
        <f>SUMIFS(Einzelbeträge!$D:$D,Einzelbeträge!$C:$C,'Ausgaben 2023'!$C280,Einzelbeträge!$E:$E,'Ausgaben 2023'!F$6)</f>
        <v>0</v>
      </c>
      <c r="G280" s="21">
        <f>SUMIFS(Einzelbeträge!$D:$D,Einzelbeträge!$C:$C,'Ausgaben 2023'!$C280,Einzelbeträge!$E:$E,'Ausgaben 2023'!G$6)</f>
        <v>0</v>
      </c>
      <c r="H280" s="21">
        <f>SUMIFS(Einzelbeträge!$D:$D,Einzelbeträge!$C:$C,'Ausgaben 2023'!$C280,Einzelbeträge!$E:$E,'Ausgaben 2023'!H$6)</f>
        <v>0</v>
      </c>
      <c r="I280" s="21">
        <f>SUMIFS(Einzelbeträge!$D:$D,Einzelbeträge!$C:$C,'Ausgaben 2023'!$C280,Einzelbeträge!$E:$E,'Ausgaben 2023'!I$6)</f>
        <v>0</v>
      </c>
      <c r="J280" s="21">
        <f>SUMIFS(Einzelbeträge!$D:$D,Einzelbeträge!$C:$C,'Ausgaben 2023'!$C280,Einzelbeträge!$E:$E,'Ausgaben 2023'!J$6)</f>
        <v>0</v>
      </c>
      <c r="K280" s="21">
        <f>SUMIFS(Einzelbeträge!$D:$D,Einzelbeträge!$C:$C,'Ausgaben 2023'!$C280,Einzelbeträge!$E:$E,'Ausgaben 2023'!K$6)</f>
        <v>0</v>
      </c>
      <c r="L280" s="21">
        <f>SUMIFS(Einzelbeträge!$D:$D,Einzelbeträge!$C:$C,'Ausgaben 2023'!$C280,Einzelbeträge!$E:$E,'Ausgaben 2023'!L$6)</f>
        <v>0</v>
      </c>
      <c r="M280" s="21">
        <f>SUMIFS(Einzelbeträge!$D:$D,Einzelbeträge!$C:$C,'Ausgaben 2023'!$C280,Einzelbeträge!$E:$E,'Ausgaben 2023'!M$6)</f>
        <v>0</v>
      </c>
      <c r="N280" s="35">
        <f>SUMIFS(Einzelbeträge!$D:$D,Einzelbeträge!$C:$C,'Ausgaben 2023'!$C280,Einzelbeträge!$E:$E,'Ausgaben 2023'!N$6)</f>
        <v>0</v>
      </c>
      <c r="O280" s="6"/>
    </row>
    <row r="281" spans="2:15" x14ac:dyDescent="0.35">
      <c r="B281" s="5"/>
      <c r="C281" s="30">
        <f t="shared" si="24"/>
        <v>45176</v>
      </c>
      <c r="D281" s="46">
        <f>SUMIFS(Einzelbeträge!$D:$D,Einzelbeträge!$C:$C,'Ausgaben 2023'!$C281)</f>
        <v>0</v>
      </c>
      <c r="E281" s="21">
        <f>SUMIFS(Einzelbeträge!$D:$D,Einzelbeträge!$C:$C,'Ausgaben 2023'!$C281,Einzelbeträge!$E:$E,'Ausgaben 2023'!E$6)</f>
        <v>0</v>
      </c>
      <c r="F281" s="21">
        <f>SUMIFS(Einzelbeträge!$D:$D,Einzelbeträge!$C:$C,'Ausgaben 2023'!$C281,Einzelbeträge!$E:$E,'Ausgaben 2023'!F$6)</f>
        <v>0</v>
      </c>
      <c r="G281" s="21">
        <f>SUMIFS(Einzelbeträge!$D:$D,Einzelbeträge!$C:$C,'Ausgaben 2023'!$C281,Einzelbeträge!$E:$E,'Ausgaben 2023'!G$6)</f>
        <v>0</v>
      </c>
      <c r="H281" s="21">
        <f>SUMIFS(Einzelbeträge!$D:$D,Einzelbeträge!$C:$C,'Ausgaben 2023'!$C281,Einzelbeträge!$E:$E,'Ausgaben 2023'!H$6)</f>
        <v>0</v>
      </c>
      <c r="I281" s="21">
        <f>SUMIFS(Einzelbeträge!$D:$D,Einzelbeträge!$C:$C,'Ausgaben 2023'!$C281,Einzelbeträge!$E:$E,'Ausgaben 2023'!I$6)</f>
        <v>0</v>
      </c>
      <c r="J281" s="21">
        <f>SUMIFS(Einzelbeträge!$D:$D,Einzelbeträge!$C:$C,'Ausgaben 2023'!$C281,Einzelbeträge!$E:$E,'Ausgaben 2023'!J$6)</f>
        <v>0</v>
      </c>
      <c r="K281" s="21">
        <f>SUMIFS(Einzelbeträge!$D:$D,Einzelbeträge!$C:$C,'Ausgaben 2023'!$C281,Einzelbeträge!$E:$E,'Ausgaben 2023'!K$6)</f>
        <v>0</v>
      </c>
      <c r="L281" s="21">
        <f>SUMIFS(Einzelbeträge!$D:$D,Einzelbeträge!$C:$C,'Ausgaben 2023'!$C281,Einzelbeträge!$E:$E,'Ausgaben 2023'!L$6)</f>
        <v>0</v>
      </c>
      <c r="M281" s="21">
        <f>SUMIFS(Einzelbeträge!$D:$D,Einzelbeträge!$C:$C,'Ausgaben 2023'!$C281,Einzelbeträge!$E:$E,'Ausgaben 2023'!M$6)</f>
        <v>0</v>
      </c>
      <c r="N281" s="35">
        <f>SUMIFS(Einzelbeträge!$D:$D,Einzelbeträge!$C:$C,'Ausgaben 2023'!$C281,Einzelbeträge!$E:$E,'Ausgaben 2023'!N$6)</f>
        <v>0</v>
      </c>
      <c r="O281" s="6"/>
    </row>
    <row r="282" spans="2:15" x14ac:dyDescent="0.35">
      <c r="B282" s="5"/>
      <c r="C282" s="30">
        <f t="shared" si="24"/>
        <v>45177</v>
      </c>
      <c r="D282" s="46">
        <f>SUMIFS(Einzelbeträge!$D:$D,Einzelbeträge!$C:$C,'Ausgaben 2023'!$C282)</f>
        <v>0</v>
      </c>
      <c r="E282" s="21">
        <f>SUMIFS(Einzelbeträge!$D:$D,Einzelbeträge!$C:$C,'Ausgaben 2023'!$C282,Einzelbeträge!$E:$E,'Ausgaben 2023'!E$6)</f>
        <v>0</v>
      </c>
      <c r="F282" s="21">
        <f>SUMIFS(Einzelbeträge!$D:$D,Einzelbeträge!$C:$C,'Ausgaben 2023'!$C282,Einzelbeträge!$E:$E,'Ausgaben 2023'!F$6)</f>
        <v>0</v>
      </c>
      <c r="G282" s="21">
        <f>SUMIFS(Einzelbeträge!$D:$D,Einzelbeträge!$C:$C,'Ausgaben 2023'!$C282,Einzelbeträge!$E:$E,'Ausgaben 2023'!G$6)</f>
        <v>0</v>
      </c>
      <c r="H282" s="21">
        <f>SUMIFS(Einzelbeträge!$D:$D,Einzelbeträge!$C:$C,'Ausgaben 2023'!$C282,Einzelbeträge!$E:$E,'Ausgaben 2023'!H$6)</f>
        <v>0</v>
      </c>
      <c r="I282" s="21">
        <f>SUMIFS(Einzelbeträge!$D:$D,Einzelbeträge!$C:$C,'Ausgaben 2023'!$C282,Einzelbeträge!$E:$E,'Ausgaben 2023'!I$6)</f>
        <v>0</v>
      </c>
      <c r="J282" s="21">
        <f>SUMIFS(Einzelbeträge!$D:$D,Einzelbeträge!$C:$C,'Ausgaben 2023'!$C282,Einzelbeträge!$E:$E,'Ausgaben 2023'!J$6)</f>
        <v>0</v>
      </c>
      <c r="K282" s="21">
        <f>SUMIFS(Einzelbeträge!$D:$D,Einzelbeträge!$C:$C,'Ausgaben 2023'!$C282,Einzelbeträge!$E:$E,'Ausgaben 2023'!K$6)</f>
        <v>0</v>
      </c>
      <c r="L282" s="21">
        <f>SUMIFS(Einzelbeträge!$D:$D,Einzelbeträge!$C:$C,'Ausgaben 2023'!$C282,Einzelbeträge!$E:$E,'Ausgaben 2023'!L$6)</f>
        <v>0</v>
      </c>
      <c r="M282" s="21">
        <f>SUMIFS(Einzelbeträge!$D:$D,Einzelbeträge!$C:$C,'Ausgaben 2023'!$C282,Einzelbeträge!$E:$E,'Ausgaben 2023'!M$6)</f>
        <v>0</v>
      </c>
      <c r="N282" s="35">
        <f>SUMIFS(Einzelbeträge!$D:$D,Einzelbeträge!$C:$C,'Ausgaben 2023'!$C282,Einzelbeträge!$E:$E,'Ausgaben 2023'!N$6)</f>
        <v>0</v>
      </c>
      <c r="O282" s="6"/>
    </row>
    <row r="283" spans="2:15" x14ac:dyDescent="0.35">
      <c r="B283" s="5"/>
      <c r="C283" s="30">
        <f t="shared" si="24"/>
        <v>45178</v>
      </c>
      <c r="D283" s="46">
        <f>SUMIFS(Einzelbeträge!$D:$D,Einzelbeträge!$C:$C,'Ausgaben 2023'!$C283)</f>
        <v>0</v>
      </c>
      <c r="E283" s="21">
        <f>SUMIFS(Einzelbeträge!$D:$D,Einzelbeträge!$C:$C,'Ausgaben 2023'!$C283,Einzelbeträge!$E:$E,'Ausgaben 2023'!E$6)</f>
        <v>0</v>
      </c>
      <c r="F283" s="21">
        <f>SUMIFS(Einzelbeträge!$D:$D,Einzelbeträge!$C:$C,'Ausgaben 2023'!$C283,Einzelbeträge!$E:$E,'Ausgaben 2023'!F$6)</f>
        <v>0</v>
      </c>
      <c r="G283" s="21">
        <f>SUMIFS(Einzelbeträge!$D:$D,Einzelbeträge!$C:$C,'Ausgaben 2023'!$C283,Einzelbeträge!$E:$E,'Ausgaben 2023'!G$6)</f>
        <v>0</v>
      </c>
      <c r="H283" s="21">
        <f>SUMIFS(Einzelbeträge!$D:$D,Einzelbeträge!$C:$C,'Ausgaben 2023'!$C283,Einzelbeträge!$E:$E,'Ausgaben 2023'!H$6)</f>
        <v>0</v>
      </c>
      <c r="I283" s="21">
        <f>SUMIFS(Einzelbeträge!$D:$D,Einzelbeträge!$C:$C,'Ausgaben 2023'!$C283,Einzelbeträge!$E:$E,'Ausgaben 2023'!I$6)</f>
        <v>0</v>
      </c>
      <c r="J283" s="21">
        <f>SUMIFS(Einzelbeträge!$D:$D,Einzelbeträge!$C:$C,'Ausgaben 2023'!$C283,Einzelbeträge!$E:$E,'Ausgaben 2023'!J$6)</f>
        <v>0</v>
      </c>
      <c r="K283" s="21">
        <f>SUMIFS(Einzelbeträge!$D:$D,Einzelbeträge!$C:$C,'Ausgaben 2023'!$C283,Einzelbeträge!$E:$E,'Ausgaben 2023'!K$6)</f>
        <v>0</v>
      </c>
      <c r="L283" s="21">
        <f>SUMIFS(Einzelbeträge!$D:$D,Einzelbeträge!$C:$C,'Ausgaben 2023'!$C283,Einzelbeträge!$E:$E,'Ausgaben 2023'!L$6)</f>
        <v>0</v>
      </c>
      <c r="M283" s="21">
        <f>SUMIFS(Einzelbeträge!$D:$D,Einzelbeträge!$C:$C,'Ausgaben 2023'!$C283,Einzelbeträge!$E:$E,'Ausgaben 2023'!M$6)</f>
        <v>0</v>
      </c>
      <c r="N283" s="35">
        <f>SUMIFS(Einzelbeträge!$D:$D,Einzelbeträge!$C:$C,'Ausgaben 2023'!$C283,Einzelbeträge!$E:$E,'Ausgaben 2023'!N$6)</f>
        <v>0</v>
      </c>
      <c r="O283" s="6"/>
    </row>
    <row r="284" spans="2:15" x14ac:dyDescent="0.35">
      <c r="B284" s="5"/>
      <c r="C284" s="30">
        <f t="shared" si="24"/>
        <v>45179</v>
      </c>
      <c r="D284" s="46">
        <f>SUMIFS(Einzelbeträge!$D:$D,Einzelbeträge!$C:$C,'Ausgaben 2023'!$C284)</f>
        <v>0</v>
      </c>
      <c r="E284" s="21">
        <f>SUMIFS(Einzelbeträge!$D:$D,Einzelbeträge!$C:$C,'Ausgaben 2023'!$C284,Einzelbeträge!$E:$E,'Ausgaben 2023'!E$6)</f>
        <v>0</v>
      </c>
      <c r="F284" s="21">
        <f>SUMIFS(Einzelbeträge!$D:$D,Einzelbeträge!$C:$C,'Ausgaben 2023'!$C284,Einzelbeträge!$E:$E,'Ausgaben 2023'!F$6)</f>
        <v>0</v>
      </c>
      <c r="G284" s="21">
        <f>SUMIFS(Einzelbeträge!$D:$D,Einzelbeträge!$C:$C,'Ausgaben 2023'!$C284,Einzelbeträge!$E:$E,'Ausgaben 2023'!G$6)</f>
        <v>0</v>
      </c>
      <c r="H284" s="21">
        <f>SUMIFS(Einzelbeträge!$D:$D,Einzelbeträge!$C:$C,'Ausgaben 2023'!$C284,Einzelbeträge!$E:$E,'Ausgaben 2023'!H$6)</f>
        <v>0</v>
      </c>
      <c r="I284" s="21">
        <f>SUMIFS(Einzelbeträge!$D:$D,Einzelbeträge!$C:$C,'Ausgaben 2023'!$C284,Einzelbeträge!$E:$E,'Ausgaben 2023'!I$6)</f>
        <v>0</v>
      </c>
      <c r="J284" s="21">
        <f>SUMIFS(Einzelbeträge!$D:$D,Einzelbeträge!$C:$C,'Ausgaben 2023'!$C284,Einzelbeträge!$E:$E,'Ausgaben 2023'!J$6)</f>
        <v>0</v>
      </c>
      <c r="K284" s="21">
        <f>SUMIFS(Einzelbeträge!$D:$D,Einzelbeträge!$C:$C,'Ausgaben 2023'!$C284,Einzelbeträge!$E:$E,'Ausgaben 2023'!K$6)</f>
        <v>0</v>
      </c>
      <c r="L284" s="21">
        <f>SUMIFS(Einzelbeträge!$D:$D,Einzelbeträge!$C:$C,'Ausgaben 2023'!$C284,Einzelbeträge!$E:$E,'Ausgaben 2023'!L$6)</f>
        <v>0</v>
      </c>
      <c r="M284" s="21">
        <f>SUMIFS(Einzelbeträge!$D:$D,Einzelbeträge!$C:$C,'Ausgaben 2023'!$C284,Einzelbeträge!$E:$E,'Ausgaben 2023'!M$6)</f>
        <v>0</v>
      </c>
      <c r="N284" s="35">
        <f>SUMIFS(Einzelbeträge!$D:$D,Einzelbeträge!$C:$C,'Ausgaben 2023'!$C284,Einzelbeträge!$E:$E,'Ausgaben 2023'!N$6)</f>
        <v>0</v>
      </c>
      <c r="O284" s="6"/>
    </row>
    <row r="285" spans="2:15" x14ac:dyDescent="0.35">
      <c r="B285" s="5"/>
      <c r="C285" s="30">
        <f t="shared" si="24"/>
        <v>45180</v>
      </c>
      <c r="D285" s="46">
        <f>SUMIFS(Einzelbeträge!$D:$D,Einzelbeträge!$C:$C,'Ausgaben 2023'!$C285)</f>
        <v>0</v>
      </c>
      <c r="E285" s="21">
        <f>SUMIFS(Einzelbeträge!$D:$D,Einzelbeträge!$C:$C,'Ausgaben 2023'!$C285,Einzelbeträge!$E:$E,'Ausgaben 2023'!E$6)</f>
        <v>0</v>
      </c>
      <c r="F285" s="21">
        <f>SUMIFS(Einzelbeträge!$D:$D,Einzelbeträge!$C:$C,'Ausgaben 2023'!$C285,Einzelbeträge!$E:$E,'Ausgaben 2023'!F$6)</f>
        <v>0</v>
      </c>
      <c r="G285" s="21">
        <f>SUMIFS(Einzelbeträge!$D:$D,Einzelbeträge!$C:$C,'Ausgaben 2023'!$C285,Einzelbeträge!$E:$E,'Ausgaben 2023'!G$6)</f>
        <v>0</v>
      </c>
      <c r="H285" s="21">
        <f>SUMIFS(Einzelbeträge!$D:$D,Einzelbeträge!$C:$C,'Ausgaben 2023'!$C285,Einzelbeträge!$E:$E,'Ausgaben 2023'!H$6)</f>
        <v>0</v>
      </c>
      <c r="I285" s="21">
        <f>SUMIFS(Einzelbeträge!$D:$D,Einzelbeträge!$C:$C,'Ausgaben 2023'!$C285,Einzelbeträge!$E:$E,'Ausgaben 2023'!I$6)</f>
        <v>0</v>
      </c>
      <c r="J285" s="21">
        <f>SUMIFS(Einzelbeträge!$D:$D,Einzelbeträge!$C:$C,'Ausgaben 2023'!$C285,Einzelbeträge!$E:$E,'Ausgaben 2023'!J$6)</f>
        <v>0</v>
      </c>
      <c r="K285" s="21">
        <f>SUMIFS(Einzelbeträge!$D:$D,Einzelbeträge!$C:$C,'Ausgaben 2023'!$C285,Einzelbeträge!$E:$E,'Ausgaben 2023'!K$6)</f>
        <v>0</v>
      </c>
      <c r="L285" s="21">
        <f>SUMIFS(Einzelbeträge!$D:$D,Einzelbeträge!$C:$C,'Ausgaben 2023'!$C285,Einzelbeträge!$E:$E,'Ausgaben 2023'!L$6)</f>
        <v>0</v>
      </c>
      <c r="M285" s="21">
        <f>SUMIFS(Einzelbeträge!$D:$D,Einzelbeträge!$C:$C,'Ausgaben 2023'!$C285,Einzelbeträge!$E:$E,'Ausgaben 2023'!M$6)</f>
        <v>0</v>
      </c>
      <c r="N285" s="35">
        <f>SUMIFS(Einzelbeträge!$D:$D,Einzelbeträge!$C:$C,'Ausgaben 2023'!$C285,Einzelbeträge!$E:$E,'Ausgaben 2023'!N$6)</f>
        <v>0</v>
      </c>
      <c r="O285" s="6"/>
    </row>
    <row r="286" spans="2:15" x14ac:dyDescent="0.35">
      <c r="B286" s="5"/>
      <c r="C286" s="30">
        <f t="shared" si="24"/>
        <v>45181</v>
      </c>
      <c r="D286" s="46">
        <f>SUMIFS(Einzelbeträge!$D:$D,Einzelbeträge!$C:$C,'Ausgaben 2023'!$C286)</f>
        <v>0</v>
      </c>
      <c r="E286" s="21">
        <f>SUMIFS(Einzelbeträge!$D:$D,Einzelbeträge!$C:$C,'Ausgaben 2023'!$C286,Einzelbeträge!$E:$E,'Ausgaben 2023'!E$6)</f>
        <v>0</v>
      </c>
      <c r="F286" s="21">
        <f>SUMIFS(Einzelbeträge!$D:$D,Einzelbeträge!$C:$C,'Ausgaben 2023'!$C286,Einzelbeträge!$E:$E,'Ausgaben 2023'!F$6)</f>
        <v>0</v>
      </c>
      <c r="G286" s="21">
        <f>SUMIFS(Einzelbeträge!$D:$D,Einzelbeträge!$C:$C,'Ausgaben 2023'!$C286,Einzelbeträge!$E:$E,'Ausgaben 2023'!G$6)</f>
        <v>0</v>
      </c>
      <c r="H286" s="21">
        <f>SUMIFS(Einzelbeträge!$D:$D,Einzelbeträge!$C:$C,'Ausgaben 2023'!$C286,Einzelbeträge!$E:$E,'Ausgaben 2023'!H$6)</f>
        <v>0</v>
      </c>
      <c r="I286" s="21">
        <f>SUMIFS(Einzelbeträge!$D:$D,Einzelbeträge!$C:$C,'Ausgaben 2023'!$C286,Einzelbeträge!$E:$E,'Ausgaben 2023'!I$6)</f>
        <v>0</v>
      </c>
      <c r="J286" s="21">
        <f>SUMIFS(Einzelbeträge!$D:$D,Einzelbeträge!$C:$C,'Ausgaben 2023'!$C286,Einzelbeträge!$E:$E,'Ausgaben 2023'!J$6)</f>
        <v>0</v>
      </c>
      <c r="K286" s="21">
        <f>SUMIFS(Einzelbeträge!$D:$D,Einzelbeträge!$C:$C,'Ausgaben 2023'!$C286,Einzelbeträge!$E:$E,'Ausgaben 2023'!K$6)</f>
        <v>0</v>
      </c>
      <c r="L286" s="21">
        <f>SUMIFS(Einzelbeträge!$D:$D,Einzelbeträge!$C:$C,'Ausgaben 2023'!$C286,Einzelbeträge!$E:$E,'Ausgaben 2023'!L$6)</f>
        <v>0</v>
      </c>
      <c r="M286" s="21">
        <f>SUMIFS(Einzelbeträge!$D:$D,Einzelbeträge!$C:$C,'Ausgaben 2023'!$C286,Einzelbeträge!$E:$E,'Ausgaben 2023'!M$6)</f>
        <v>0</v>
      </c>
      <c r="N286" s="35">
        <f>SUMIFS(Einzelbeträge!$D:$D,Einzelbeträge!$C:$C,'Ausgaben 2023'!$C286,Einzelbeträge!$E:$E,'Ausgaben 2023'!N$6)</f>
        <v>0</v>
      </c>
      <c r="O286" s="6"/>
    </row>
    <row r="287" spans="2:15" x14ac:dyDescent="0.35">
      <c r="B287" s="5"/>
      <c r="C287" s="30">
        <f t="shared" si="24"/>
        <v>45182</v>
      </c>
      <c r="D287" s="46">
        <f>SUMIFS(Einzelbeträge!$D:$D,Einzelbeträge!$C:$C,'Ausgaben 2023'!$C287)</f>
        <v>0</v>
      </c>
      <c r="E287" s="21">
        <f>SUMIFS(Einzelbeträge!$D:$D,Einzelbeträge!$C:$C,'Ausgaben 2023'!$C287,Einzelbeträge!$E:$E,'Ausgaben 2023'!E$6)</f>
        <v>0</v>
      </c>
      <c r="F287" s="21">
        <f>SUMIFS(Einzelbeträge!$D:$D,Einzelbeträge!$C:$C,'Ausgaben 2023'!$C287,Einzelbeträge!$E:$E,'Ausgaben 2023'!F$6)</f>
        <v>0</v>
      </c>
      <c r="G287" s="21">
        <f>SUMIFS(Einzelbeträge!$D:$D,Einzelbeträge!$C:$C,'Ausgaben 2023'!$C287,Einzelbeträge!$E:$E,'Ausgaben 2023'!G$6)</f>
        <v>0</v>
      </c>
      <c r="H287" s="21">
        <f>SUMIFS(Einzelbeträge!$D:$D,Einzelbeträge!$C:$C,'Ausgaben 2023'!$C287,Einzelbeträge!$E:$E,'Ausgaben 2023'!H$6)</f>
        <v>0</v>
      </c>
      <c r="I287" s="21">
        <f>SUMIFS(Einzelbeträge!$D:$D,Einzelbeträge!$C:$C,'Ausgaben 2023'!$C287,Einzelbeträge!$E:$E,'Ausgaben 2023'!I$6)</f>
        <v>0</v>
      </c>
      <c r="J287" s="21">
        <f>SUMIFS(Einzelbeträge!$D:$D,Einzelbeträge!$C:$C,'Ausgaben 2023'!$C287,Einzelbeträge!$E:$E,'Ausgaben 2023'!J$6)</f>
        <v>0</v>
      </c>
      <c r="K287" s="21">
        <f>SUMIFS(Einzelbeträge!$D:$D,Einzelbeträge!$C:$C,'Ausgaben 2023'!$C287,Einzelbeträge!$E:$E,'Ausgaben 2023'!K$6)</f>
        <v>0</v>
      </c>
      <c r="L287" s="21">
        <f>SUMIFS(Einzelbeträge!$D:$D,Einzelbeträge!$C:$C,'Ausgaben 2023'!$C287,Einzelbeträge!$E:$E,'Ausgaben 2023'!L$6)</f>
        <v>0</v>
      </c>
      <c r="M287" s="21">
        <f>SUMIFS(Einzelbeträge!$D:$D,Einzelbeträge!$C:$C,'Ausgaben 2023'!$C287,Einzelbeträge!$E:$E,'Ausgaben 2023'!M$6)</f>
        <v>0</v>
      </c>
      <c r="N287" s="35">
        <f>SUMIFS(Einzelbeträge!$D:$D,Einzelbeträge!$C:$C,'Ausgaben 2023'!$C287,Einzelbeträge!$E:$E,'Ausgaben 2023'!N$6)</f>
        <v>0</v>
      </c>
      <c r="O287" s="6"/>
    </row>
    <row r="288" spans="2:15" x14ac:dyDescent="0.35">
      <c r="B288" s="5"/>
      <c r="C288" s="30">
        <f t="shared" si="24"/>
        <v>45183</v>
      </c>
      <c r="D288" s="46">
        <f>SUMIFS(Einzelbeträge!$D:$D,Einzelbeträge!$C:$C,'Ausgaben 2023'!$C288)</f>
        <v>0</v>
      </c>
      <c r="E288" s="21">
        <f>SUMIFS(Einzelbeträge!$D:$D,Einzelbeträge!$C:$C,'Ausgaben 2023'!$C288,Einzelbeträge!$E:$E,'Ausgaben 2023'!E$6)</f>
        <v>0</v>
      </c>
      <c r="F288" s="21">
        <f>SUMIFS(Einzelbeträge!$D:$D,Einzelbeträge!$C:$C,'Ausgaben 2023'!$C288,Einzelbeträge!$E:$E,'Ausgaben 2023'!F$6)</f>
        <v>0</v>
      </c>
      <c r="G288" s="21">
        <f>SUMIFS(Einzelbeträge!$D:$D,Einzelbeträge!$C:$C,'Ausgaben 2023'!$C288,Einzelbeträge!$E:$E,'Ausgaben 2023'!G$6)</f>
        <v>0</v>
      </c>
      <c r="H288" s="21">
        <f>SUMIFS(Einzelbeträge!$D:$D,Einzelbeträge!$C:$C,'Ausgaben 2023'!$C288,Einzelbeträge!$E:$E,'Ausgaben 2023'!H$6)</f>
        <v>0</v>
      </c>
      <c r="I288" s="21">
        <f>SUMIFS(Einzelbeträge!$D:$D,Einzelbeträge!$C:$C,'Ausgaben 2023'!$C288,Einzelbeträge!$E:$E,'Ausgaben 2023'!I$6)</f>
        <v>0</v>
      </c>
      <c r="J288" s="21">
        <f>SUMIFS(Einzelbeträge!$D:$D,Einzelbeträge!$C:$C,'Ausgaben 2023'!$C288,Einzelbeträge!$E:$E,'Ausgaben 2023'!J$6)</f>
        <v>0</v>
      </c>
      <c r="K288" s="21">
        <f>SUMIFS(Einzelbeträge!$D:$D,Einzelbeträge!$C:$C,'Ausgaben 2023'!$C288,Einzelbeträge!$E:$E,'Ausgaben 2023'!K$6)</f>
        <v>0</v>
      </c>
      <c r="L288" s="21">
        <f>SUMIFS(Einzelbeträge!$D:$D,Einzelbeträge!$C:$C,'Ausgaben 2023'!$C288,Einzelbeträge!$E:$E,'Ausgaben 2023'!L$6)</f>
        <v>0</v>
      </c>
      <c r="M288" s="21">
        <f>SUMIFS(Einzelbeträge!$D:$D,Einzelbeträge!$C:$C,'Ausgaben 2023'!$C288,Einzelbeträge!$E:$E,'Ausgaben 2023'!M$6)</f>
        <v>0</v>
      </c>
      <c r="N288" s="35">
        <f>SUMIFS(Einzelbeträge!$D:$D,Einzelbeträge!$C:$C,'Ausgaben 2023'!$C288,Einzelbeträge!$E:$E,'Ausgaben 2023'!N$6)</f>
        <v>0</v>
      </c>
      <c r="O288" s="6"/>
    </row>
    <row r="289" spans="2:15" x14ac:dyDescent="0.35">
      <c r="B289" s="5"/>
      <c r="C289" s="30">
        <f t="shared" si="24"/>
        <v>45184</v>
      </c>
      <c r="D289" s="46">
        <f>SUMIFS(Einzelbeträge!$D:$D,Einzelbeträge!$C:$C,'Ausgaben 2023'!$C289)</f>
        <v>0</v>
      </c>
      <c r="E289" s="21">
        <f>SUMIFS(Einzelbeträge!$D:$D,Einzelbeträge!$C:$C,'Ausgaben 2023'!$C289,Einzelbeträge!$E:$E,'Ausgaben 2023'!E$6)</f>
        <v>0</v>
      </c>
      <c r="F289" s="21">
        <f>SUMIFS(Einzelbeträge!$D:$D,Einzelbeträge!$C:$C,'Ausgaben 2023'!$C289,Einzelbeträge!$E:$E,'Ausgaben 2023'!F$6)</f>
        <v>0</v>
      </c>
      <c r="G289" s="21">
        <f>SUMIFS(Einzelbeträge!$D:$D,Einzelbeträge!$C:$C,'Ausgaben 2023'!$C289,Einzelbeträge!$E:$E,'Ausgaben 2023'!G$6)</f>
        <v>0</v>
      </c>
      <c r="H289" s="21">
        <f>SUMIFS(Einzelbeträge!$D:$D,Einzelbeträge!$C:$C,'Ausgaben 2023'!$C289,Einzelbeträge!$E:$E,'Ausgaben 2023'!H$6)</f>
        <v>0</v>
      </c>
      <c r="I289" s="21">
        <f>SUMIFS(Einzelbeträge!$D:$D,Einzelbeträge!$C:$C,'Ausgaben 2023'!$C289,Einzelbeträge!$E:$E,'Ausgaben 2023'!I$6)</f>
        <v>0</v>
      </c>
      <c r="J289" s="21">
        <f>SUMIFS(Einzelbeträge!$D:$D,Einzelbeträge!$C:$C,'Ausgaben 2023'!$C289,Einzelbeträge!$E:$E,'Ausgaben 2023'!J$6)</f>
        <v>0</v>
      </c>
      <c r="K289" s="21">
        <f>SUMIFS(Einzelbeträge!$D:$D,Einzelbeträge!$C:$C,'Ausgaben 2023'!$C289,Einzelbeträge!$E:$E,'Ausgaben 2023'!K$6)</f>
        <v>0</v>
      </c>
      <c r="L289" s="21">
        <f>SUMIFS(Einzelbeträge!$D:$D,Einzelbeträge!$C:$C,'Ausgaben 2023'!$C289,Einzelbeträge!$E:$E,'Ausgaben 2023'!L$6)</f>
        <v>0</v>
      </c>
      <c r="M289" s="21">
        <f>SUMIFS(Einzelbeträge!$D:$D,Einzelbeträge!$C:$C,'Ausgaben 2023'!$C289,Einzelbeträge!$E:$E,'Ausgaben 2023'!M$6)</f>
        <v>0</v>
      </c>
      <c r="N289" s="35">
        <f>SUMIFS(Einzelbeträge!$D:$D,Einzelbeträge!$C:$C,'Ausgaben 2023'!$C289,Einzelbeträge!$E:$E,'Ausgaben 2023'!N$6)</f>
        <v>0</v>
      </c>
      <c r="O289" s="6"/>
    </row>
    <row r="290" spans="2:15" x14ac:dyDescent="0.35">
      <c r="B290" s="5"/>
      <c r="C290" s="30">
        <f t="shared" si="24"/>
        <v>45185</v>
      </c>
      <c r="D290" s="46">
        <f>SUMIFS(Einzelbeträge!$D:$D,Einzelbeträge!$C:$C,'Ausgaben 2023'!$C290)</f>
        <v>0</v>
      </c>
      <c r="E290" s="21">
        <f>SUMIFS(Einzelbeträge!$D:$D,Einzelbeträge!$C:$C,'Ausgaben 2023'!$C290,Einzelbeträge!$E:$E,'Ausgaben 2023'!E$6)</f>
        <v>0</v>
      </c>
      <c r="F290" s="21">
        <f>SUMIFS(Einzelbeträge!$D:$D,Einzelbeträge!$C:$C,'Ausgaben 2023'!$C290,Einzelbeträge!$E:$E,'Ausgaben 2023'!F$6)</f>
        <v>0</v>
      </c>
      <c r="G290" s="21">
        <f>SUMIFS(Einzelbeträge!$D:$D,Einzelbeträge!$C:$C,'Ausgaben 2023'!$C290,Einzelbeträge!$E:$E,'Ausgaben 2023'!G$6)</f>
        <v>0</v>
      </c>
      <c r="H290" s="21">
        <f>SUMIFS(Einzelbeträge!$D:$D,Einzelbeträge!$C:$C,'Ausgaben 2023'!$C290,Einzelbeträge!$E:$E,'Ausgaben 2023'!H$6)</f>
        <v>0</v>
      </c>
      <c r="I290" s="21">
        <f>SUMIFS(Einzelbeträge!$D:$D,Einzelbeträge!$C:$C,'Ausgaben 2023'!$C290,Einzelbeträge!$E:$E,'Ausgaben 2023'!I$6)</f>
        <v>0</v>
      </c>
      <c r="J290" s="21">
        <f>SUMIFS(Einzelbeträge!$D:$D,Einzelbeträge!$C:$C,'Ausgaben 2023'!$C290,Einzelbeträge!$E:$E,'Ausgaben 2023'!J$6)</f>
        <v>0</v>
      </c>
      <c r="K290" s="21">
        <f>SUMIFS(Einzelbeträge!$D:$D,Einzelbeträge!$C:$C,'Ausgaben 2023'!$C290,Einzelbeträge!$E:$E,'Ausgaben 2023'!K$6)</f>
        <v>0</v>
      </c>
      <c r="L290" s="21">
        <f>SUMIFS(Einzelbeträge!$D:$D,Einzelbeträge!$C:$C,'Ausgaben 2023'!$C290,Einzelbeträge!$E:$E,'Ausgaben 2023'!L$6)</f>
        <v>0</v>
      </c>
      <c r="M290" s="21">
        <f>SUMIFS(Einzelbeträge!$D:$D,Einzelbeträge!$C:$C,'Ausgaben 2023'!$C290,Einzelbeträge!$E:$E,'Ausgaben 2023'!M$6)</f>
        <v>0</v>
      </c>
      <c r="N290" s="35">
        <f>SUMIFS(Einzelbeträge!$D:$D,Einzelbeträge!$C:$C,'Ausgaben 2023'!$C290,Einzelbeträge!$E:$E,'Ausgaben 2023'!N$6)</f>
        <v>0</v>
      </c>
      <c r="O290" s="6"/>
    </row>
    <row r="291" spans="2:15" x14ac:dyDescent="0.35">
      <c r="B291" s="5"/>
      <c r="C291" s="30">
        <f t="shared" si="24"/>
        <v>45186</v>
      </c>
      <c r="D291" s="46">
        <f>SUMIFS(Einzelbeträge!$D:$D,Einzelbeträge!$C:$C,'Ausgaben 2023'!$C291)</f>
        <v>0</v>
      </c>
      <c r="E291" s="21">
        <f>SUMIFS(Einzelbeträge!$D:$D,Einzelbeträge!$C:$C,'Ausgaben 2023'!$C291,Einzelbeträge!$E:$E,'Ausgaben 2023'!E$6)</f>
        <v>0</v>
      </c>
      <c r="F291" s="21">
        <f>SUMIFS(Einzelbeträge!$D:$D,Einzelbeträge!$C:$C,'Ausgaben 2023'!$C291,Einzelbeträge!$E:$E,'Ausgaben 2023'!F$6)</f>
        <v>0</v>
      </c>
      <c r="G291" s="21">
        <f>SUMIFS(Einzelbeträge!$D:$D,Einzelbeträge!$C:$C,'Ausgaben 2023'!$C291,Einzelbeträge!$E:$E,'Ausgaben 2023'!G$6)</f>
        <v>0</v>
      </c>
      <c r="H291" s="21">
        <f>SUMIFS(Einzelbeträge!$D:$D,Einzelbeträge!$C:$C,'Ausgaben 2023'!$C291,Einzelbeträge!$E:$E,'Ausgaben 2023'!H$6)</f>
        <v>0</v>
      </c>
      <c r="I291" s="21">
        <f>SUMIFS(Einzelbeträge!$D:$D,Einzelbeträge!$C:$C,'Ausgaben 2023'!$C291,Einzelbeträge!$E:$E,'Ausgaben 2023'!I$6)</f>
        <v>0</v>
      </c>
      <c r="J291" s="21">
        <f>SUMIFS(Einzelbeträge!$D:$D,Einzelbeträge!$C:$C,'Ausgaben 2023'!$C291,Einzelbeträge!$E:$E,'Ausgaben 2023'!J$6)</f>
        <v>0</v>
      </c>
      <c r="K291" s="21">
        <f>SUMIFS(Einzelbeträge!$D:$D,Einzelbeträge!$C:$C,'Ausgaben 2023'!$C291,Einzelbeträge!$E:$E,'Ausgaben 2023'!K$6)</f>
        <v>0</v>
      </c>
      <c r="L291" s="21">
        <f>SUMIFS(Einzelbeträge!$D:$D,Einzelbeträge!$C:$C,'Ausgaben 2023'!$C291,Einzelbeträge!$E:$E,'Ausgaben 2023'!L$6)</f>
        <v>0</v>
      </c>
      <c r="M291" s="21">
        <f>SUMIFS(Einzelbeträge!$D:$D,Einzelbeträge!$C:$C,'Ausgaben 2023'!$C291,Einzelbeträge!$E:$E,'Ausgaben 2023'!M$6)</f>
        <v>0</v>
      </c>
      <c r="N291" s="35">
        <f>SUMIFS(Einzelbeträge!$D:$D,Einzelbeträge!$C:$C,'Ausgaben 2023'!$C291,Einzelbeträge!$E:$E,'Ausgaben 2023'!N$6)</f>
        <v>0</v>
      </c>
      <c r="O291" s="6"/>
    </row>
    <row r="292" spans="2:15" x14ac:dyDescent="0.35">
      <c r="B292" s="5"/>
      <c r="C292" s="30">
        <f t="shared" si="24"/>
        <v>45187</v>
      </c>
      <c r="D292" s="46">
        <f>SUMIFS(Einzelbeträge!$D:$D,Einzelbeträge!$C:$C,'Ausgaben 2023'!$C292)</f>
        <v>0</v>
      </c>
      <c r="E292" s="21">
        <f>SUMIFS(Einzelbeträge!$D:$D,Einzelbeträge!$C:$C,'Ausgaben 2023'!$C292,Einzelbeträge!$E:$E,'Ausgaben 2023'!E$6)</f>
        <v>0</v>
      </c>
      <c r="F292" s="21">
        <f>SUMIFS(Einzelbeträge!$D:$D,Einzelbeträge!$C:$C,'Ausgaben 2023'!$C292,Einzelbeträge!$E:$E,'Ausgaben 2023'!F$6)</f>
        <v>0</v>
      </c>
      <c r="G292" s="21">
        <f>SUMIFS(Einzelbeträge!$D:$D,Einzelbeträge!$C:$C,'Ausgaben 2023'!$C292,Einzelbeträge!$E:$E,'Ausgaben 2023'!G$6)</f>
        <v>0</v>
      </c>
      <c r="H292" s="21">
        <f>SUMIFS(Einzelbeträge!$D:$D,Einzelbeträge!$C:$C,'Ausgaben 2023'!$C292,Einzelbeträge!$E:$E,'Ausgaben 2023'!H$6)</f>
        <v>0</v>
      </c>
      <c r="I292" s="21">
        <f>SUMIFS(Einzelbeträge!$D:$D,Einzelbeträge!$C:$C,'Ausgaben 2023'!$C292,Einzelbeträge!$E:$E,'Ausgaben 2023'!I$6)</f>
        <v>0</v>
      </c>
      <c r="J292" s="21">
        <f>SUMIFS(Einzelbeträge!$D:$D,Einzelbeträge!$C:$C,'Ausgaben 2023'!$C292,Einzelbeträge!$E:$E,'Ausgaben 2023'!J$6)</f>
        <v>0</v>
      </c>
      <c r="K292" s="21">
        <f>SUMIFS(Einzelbeträge!$D:$D,Einzelbeträge!$C:$C,'Ausgaben 2023'!$C292,Einzelbeträge!$E:$E,'Ausgaben 2023'!K$6)</f>
        <v>0</v>
      </c>
      <c r="L292" s="21">
        <f>SUMIFS(Einzelbeträge!$D:$D,Einzelbeträge!$C:$C,'Ausgaben 2023'!$C292,Einzelbeträge!$E:$E,'Ausgaben 2023'!L$6)</f>
        <v>0</v>
      </c>
      <c r="M292" s="21">
        <f>SUMIFS(Einzelbeträge!$D:$D,Einzelbeträge!$C:$C,'Ausgaben 2023'!$C292,Einzelbeträge!$E:$E,'Ausgaben 2023'!M$6)</f>
        <v>0</v>
      </c>
      <c r="N292" s="35">
        <f>SUMIFS(Einzelbeträge!$D:$D,Einzelbeträge!$C:$C,'Ausgaben 2023'!$C292,Einzelbeträge!$E:$E,'Ausgaben 2023'!N$6)</f>
        <v>0</v>
      </c>
      <c r="O292" s="6"/>
    </row>
    <row r="293" spans="2:15" x14ac:dyDescent="0.35">
      <c r="B293" s="5"/>
      <c r="C293" s="30">
        <f t="shared" si="24"/>
        <v>45188</v>
      </c>
      <c r="D293" s="46">
        <f>SUMIFS(Einzelbeträge!$D:$D,Einzelbeträge!$C:$C,'Ausgaben 2023'!$C293)</f>
        <v>0</v>
      </c>
      <c r="E293" s="21">
        <f>SUMIFS(Einzelbeträge!$D:$D,Einzelbeträge!$C:$C,'Ausgaben 2023'!$C293,Einzelbeträge!$E:$E,'Ausgaben 2023'!E$6)</f>
        <v>0</v>
      </c>
      <c r="F293" s="21">
        <f>SUMIFS(Einzelbeträge!$D:$D,Einzelbeträge!$C:$C,'Ausgaben 2023'!$C293,Einzelbeträge!$E:$E,'Ausgaben 2023'!F$6)</f>
        <v>0</v>
      </c>
      <c r="G293" s="21">
        <f>SUMIFS(Einzelbeträge!$D:$D,Einzelbeträge!$C:$C,'Ausgaben 2023'!$C293,Einzelbeträge!$E:$E,'Ausgaben 2023'!G$6)</f>
        <v>0</v>
      </c>
      <c r="H293" s="21">
        <f>SUMIFS(Einzelbeträge!$D:$D,Einzelbeträge!$C:$C,'Ausgaben 2023'!$C293,Einzelbeträge!$E:$E,'Ausgaben 2023'!H$6)</f>
        <v>0</v>
      </c>
      <c r="I293" s="21">
        <f>SUMIFS(Einzelbeträge!$D:$D,Einzelbeträge!$C:$C,'Ausgaben 2023'!$C293,Einzelbeträge!$E:$E,'Ausgaben 2023'!I$6)</f>
        <v>0</v>
      </c>
      <c r="J293" s="21">
        <f>SUMIFS(Einzelbeträge!$D:$D,Einzelbeträge!$C:$C,'Ausgaben 2023'!$C293,Einzelbeträge!$E:$E,'Ausgaben 2023'!J$6)</f>
        <v>0</v>
      </c>
      <c r="K293" s="21">
        <f>SUMIFS(Einzelbeträge!$D:$D,Einzelbeträge!$C:$C,'Ausgaben 2023'!$C293,Einzelbeträge!$E:$E,'Ausgaben 2023'!K$6)</f>
        <v>0</v>
      </c>
      <c r="L293" s="21">
        <f>SUMIFS(Einzelbeträge!$D:$D,Einzelbeträge!$C:$C,'Ausgaben 2023'!$C293,Einzelbeträge!$E:$E,'Ausgaben 2023'!L$6)</f>
        <v>0</v>
      </c>
      <c r="M293" s="21">
        <f>SUMIFS(Einzelbeträge!$D:$D,Einzelbeträge!$C:$C,'Ausgaben 2023'!$C293,Einzelbeträge!$E:$E,'Ausgaben 2023'!M$6)</f>
        <v>0</v>
      </c>
      <c r="N293" s="35">
        <f>SUMIFS(Einzelbeträge!$D:$D,Einzelbeträge!$C:$C,'Ausgaben 2023'!$C293,Einzelbeträge!$E:$E,'Ausgaben 2023'!N$6)</f>
        <v>0</v>
      </c>
      <c r="O293" s="6"/>
    </row>
    <row r="294" spans="2:15" x14ac:dyDescent="0.35">
      <c r="B294" s="5"/>
      <c r="C294" s="30">
        <f t="shared" si="24"/>
        <v>45189</v>
      </c>
      <c r="D294" s="46">
        <f>SUMIFS(Einzelbeträge!$D:$D,Einzelbeträge!$C:$C,'Ausgaben 2023'!$C294)</f>
        <v>0</v>
      </c>
      <c r="E294" s="21">
        <f>SUMIFS(Einzelbeträge!$D:$D,Einzelbeträge!$C:$C,'Ausgaben 2023'!$C294,Einzelbeträge!$E:$E,'Ausgaben 2023'!E$6)</f>
        <v>0</v>
      </c>
      <c r="F294" s="21">
        <f>SUMIFS(Einzelbeträge!$D:$D,Einzelbeträge!$C:$C,'Ausgaben 2023'!$C294,Einzelbeträge!$E:$E,'Ausgaben 2023'!F$6)</f>
        <v>0</v>
      </c>
      <c r="G294" s="21">
        <f>SUMIFS(Einzelbeträge!$D:$D,Einzelbeträge!$C:$C,'Ausgaben 2023'!$C294,Einzelbeträge!$E:$E,'Ausgaben 2023'!G$6)</f>
        <v>0</v>
      </c>
      <c r="H294" s="21">
        <f>SUMIFS(Einzelbeträge!$D:$D,Einzelbeträge!$C:$C,'Ausgaben 2023'!$C294,Einzelbeträge!$E:$E,'Ausgaben 2023'!H$6)</f>
        <v>0</v>
      </c>
      <c r="I294" s="21">
        <f>SUMIFS(Einzelbeträge!$D:$D,Einzelbeträge!$C:$C,'Ausgaben 2023'!$C294,Einzelbeträge!$E:$E,'Ausgaben 2023'!I$6)</f>
        <v>0</v>
      </c>
      <c r="J294" s="21">
        <f>SUMIFS(Einzelbeträge!$D:$D,Einzelbeträge!$C:$C,'Ausgaben 2023'!$C294,Einzelbeträge!$E:$E,'Ausgaben 2023'!J$6)</f>
        <v>0</v>
      </c>
      <c r="K294" s="21">
        <f>SUMIFS(Einzelbeträge!$D:$D,Einzelbeträge!$C:$C,'Ausgaben 2023'!$C294,Einzelbeträge!$E:$E,'Ausgaben 2023'!K$6)</f>
        <v>0</v>
      </c>
      <c r="L294" s="21">
        <f>SUMIFS(Einzelbeträge!$D:$D,Einzelbeträge!$C:$C,'Ausgaben 2023'!$C294,Einzelbeträge!$E:$E,'Ausgaben 2023'!L$6)</f>
        <v>0</v>
      </c>
      <c r="M294" s="21">
        <f>SUMIFS(Einzelbeträge!$D:$D,Einzelbeträge!$C:$C,'Ausgaben 2023'!$C294,Einzelbeträge!$E:$E,'Ausgaben 2023'!M$6)</f>
        <v>0</v>
      </c>
      <c r="N294" s="35">
        <f>SUMIFS(Einzelbeträge!$D:$D,Einzelbeträge!$C:$C,'Ausgaben 2023'!$C294,Einzelbeträge!$E:$E,'Ausgaben 2023'!N$6)</f>
        <v>0</v>
      </c>
      <c r="O294" s="6"/>
    </row>
    <row r="295" spans="2:15" x14ac:dyDescent="0.35">
      <c r="B295" s="5"/>
      <c r="C295" s="30">
        <f t="shared" si="24"/>
        <v>45190</v>
      </c>
      <c r="D295" s="46">
        <f>SUMIFS(Einzelbeträge!$D:$D,Einzelbeträge!$C:$C,'Ausgaben 2023'!$C295)</f>
        <v>0</v>
      </c>
      <c r="E295" s="21">
        <f>SUMIFS(Einzelbeträge!$D:$D,Einzelbeträge!$C:$C,'Ausgaben 2023'!$C295,Einzelbeträge!$E:$E,'Ausgaben 2023'!E$6)</f>
        <v>0</v>
      </c>
      <c r="F295" s="21">
        <f>SUMIFS(Einzelbeträge!$D:$D,Einzelbeträge!$C:$C,'Ausgaben 2023'!$C295,Einzelbeträge!$E:$E,'Ausgaben 2023'!F$6)</f>
        <v>0</v>
      </c>
      <c r="G295" s="21">
        <f>SUMIFS(Einzelbeträge!$D:$D,Einzelbeträge!$C:$C,'Ausgaben 2023'!$C295,Einzelbeträge!$E:$E,'Ausgaben 2023'!G$6)</f>
        <v>0</v>
      </c>
      <c r="H295" s="21">
        <f>SUMIFS(Einzelbeträge!$D:$D,Einzelbeträge!$C:$C,'Ausgaben 2023'!$C295,Einzelbeträge!$E:$E,'Ausgaben 2023'!H$6)</f>
        <v>0</v>
      </c>
      <c r="I295" s="21">
        <f>SUMIFS(Einzelbeträge!$D:$D,Einzelbeträge!$C:$C,'Ausgaben 2023'!$C295,Einzelbeträge!$E:$E,'Ausgaben 2023'!I$6)</f>
        <v>0</v>
      </c>
      <c r="J295" s="21">
        <f>SUMIFS(Einzelbeträge!$D:$D,Einzelbeträge!$C:$C,'Ausgaben 2023'!$C295,Einzelbeträge!$E:$E,'Ausgaben 2023'!J$6)</f>
        <v>0</v>
      </c>
      <c r="K295" s="21">
        <f>SUMIFS(Einzelbeträge!$D:$D,Einzelbeträge!$C:$C,'Ausgaben 2023'!$C295,Einzelbeträge!$E:$E,'Ausgaben 2023'!K$6)</f>
        <v>0</v>
      </c>
      <c r="L295" s="21">
        <f>SUMIFS(Einzelbeträge!$D:$D,Einzelbeträge!$C:$C,'Ausgaben 2023'!$C295,Einzelbeträge!$E:$E,'Ausgaben 2023'!L$6)</f>
        <v>0</v>
      </c>
      <c r="M295" s="21">
        <f>SUMIFS(Einzelbeträge!$D:$D,Einzelbeträge!$C:$C,'Ausgaben 2023'!$C295,Einzelbeträge!$E:$E,'Ausgaben 2023'!M$6)</f>
        <v>0</v>
      </c>
      <c r="N295" s="35">
        <f>SUMIFS(Einzelbeträge!$D:$D,Einzelbeträge!$C:$C,'Ausgaben 2023'!$C295,Einzelbeträge!$E:$E,'Ausgaben 2023'!N$6)</f>
        <v>0</v>
      </c>
      <c r="O295" s="6"/>
    </row>
    <row r="296" spans="2:15" x14ac:dyDescent="0.35">
      <c r="B296" s="5"/>
      <c r="C296" s="30">
        <f t="shared" si="24"/>
        <v>45191</v>
      </c>
      <c r="D296" s="46">
        <f>SUMIFS(Einzelbeträge!$D:$D,Einzelbeträge!$C:$C,'Ausgaben 2023'!$C296)</f>
        <v>0</v>
      </c>
      <c r="E296" s="21">
        <f>SUMIFS(Einzelbeträge!$D:$D,Einzelbeträge!$C:$C,'Ausgaben 2023'!$C296,Einzelbeträge!$E:$E,'Ausgaben 2023'!E$6)</f>
        <v>0</v>
      </c>
      <c r="F296" s="21">
        <f>SUMIFS(Einzelbeträge!$D:$D,Einzelbeträge!$C:$C,'Ausgaben 2023'!$C296,Einzelbeträge!$E:$E,'Ausgaben 2023'!F$6)</f>
        <v>0</v>
      </c>
      <c r="G296" s="21">
        <f>SUMIFS(Einzelbeträge!$D:$D,Einzelbeträge!$C:$C,'Ausgaben 2023'!$C296,Einzelbeträge!$E:$E,'Ausgaben 2023'!G$6)</f>
        <v>0</v>
      </c>
      <c r="H296" s="21">
        <f>SUMIFS(Einzelbeträge!$D:$D,Einzelbeträge!$C:$C,'Ausgaben 2023'!$C296,Einzelbeträge!$E:$E,'Ausgaben 2023'!H$6)</f>
        <v>0</v>
      </c>
      <c r="I296" s="21">
        <f>SUMIFS(Einzelbeträge!$D:$D,Einzelbeträge!$C:$C,'Ausgaben 2023'!$C296,Einzelbeträge!$E:$E,'Ausgaben 2023'!I$6)</f>
        <v>0</v>
      </c>
      <c r="J296" s="21">
        <f>SUMIFS(Einzelbeträge!$D:$D,Einzelbeträge!$C:$C,'Ausgaben 2023'!$C296,Einzelbeträge!$E:$E,'Ausgaben 2023'!J$6)</f>
        <v>0</v>
      </c>
      <c r="K296" s="21">
        <f>SUMIFS(Einzelbeträge!$D:$D,Einzelbeträge!$C:$C,'Ausgaben 2023'!$C296,Einzelbeträge!$E:$E,'Ausgaben 2023'!K$6)</f>
        <v>0</v>
      </c>
      <c r="L296" s="21">
        <f>SUMIFS(Einzelbeträge!$D:$D,Einzelbeträge!$C:$C,'Ausgaben 2023'!$C296,Einzelbeträge!$E:$E,'Ausgaben 2023'!L$6)</f>
        <v>0</v>
      </c>
      <c r="M296" s="21">
        <f>SUMIFS(Einzelbeträge!$D:$D,Einzelbeträge!$C:$C,'Ausgaben 2023'!$C296,Einzelbeträge!$E:$E,'Ausgaben 2023'!M$6)</f>
        <v>0</v>
      </c>
      <c r="N296" s="35">
        <f>SUMIFS(Einzelbeträge!$D:$D,Einzelbeträge!$C:$C,'Ausgaben 2023'!$C296,Einzelbeträge!$E:$E,'Ausgaben 2023'!N$6)</f>
        <v>0</v>
      </c>
      <c r="O296" s="6"/>
    </row>
    <row r="297" spans="2:15" x14ac:dyDescent="0.35">
      <c r="B297" s="5"/>
      <c r="C297" s="30">
        <f t="shared" si="24"/>
        <v>45192</v>
      </c>
      <c r="D297" s="46">
        <f>SUMIFS(Einzelbeträge!$D:$D,Einzelbeträge!$C:$C,'Ausgaben 2023'!$C297)</f>
        <v>0</v>
      </c>
      <c r="E297" s="21">
        <f>SUMIFS(Einzelbeträge!$D:$D,Einzelbeträge!$C:$C,'Ausgaben 2023'!$C297,Einzelbeträge!$E:$E,'Ausgaben 2023'!E$6)</f>
        <v>0</v>
      </c>
      <c r="F297" s="21">
        <f>SUMIFS(Einzelbeträge!$D:$D,Einzelbeträge!$C:$C,'Ausgaben 2023'!$C297,Einzelbeträge!$E:$E,'Ausgaben 2023'!F$6)</f>
        <v>0</v>
      </c>
      <c r="G297" s="21">
        <f>SUMIFS(Einzelbeträge!$D:$D,Einzelbeträge!$C:$C,'Ausgaben 2023'!$C297,Einzelbeträge!$E:$E,'Ausgaben 2023'!G$6)</f>
        <v>0</v>
      </c>
      <c r="H297" s="21">
        <f>SUMIFS(Einzelbeträge!$D:$D,Einzelbeträge!$C:$C,'Ausgaben 2023'!$C297,Einzelbeträge!$E:$E,'Ausgaben 2023'!H$6)</f>
        <v>0</v>
      </c>
      <c r="I297" s="21">
        <f>SUMIFS(Einzelbeträge!$D:$D,Einzelbeträge!$C:$C,'Ausgaben 2023'!$C297,Einzelbeträge!$E:$E,'Ausgaben 2023'!I$6)</f>
        <v>0</v>
      </c>
      <c r="J297" s="21">
        <f>SUMIFS(Einzelbeträge!$D:$D,Einzelbeträge!$C:$C,'Ausgaben 2023'!$C297,Einzelbeträge!$E:$E,'Ausgaben 2023'!J$6)</f>
        <v>0</v>
      </c>
      <c r="K297" s="21">
        <f>SUMIFS(Einzelbeträge!$D:$D,Einzelbeträge!$C:$C,'Ausgaben 2023'!$C297,Einzelbeträge!$E:$E,'Ausgaben 2023'!K$6)</f>
        <v>0</v>
      </c>
      <c r="L297" s="21">
        <f>SUMIFS(Einzelbeträge!$D:$D,Einzelbeträge!$C:$C,'Ausgaben 2023'!$C297,Einzelbeträge!$E:$E,'Ausgaben 2023'!L$6)</f>
        <v>0</v>
      </c>
      <c r="M297" s="21">
        <f>SUMIFS(Einzelbeträge!$D:$D,Einzelbeträge!$C:$C,'Ausgaben 2023'!$C297,Einzelbeträge!$E:$E,'Ausgaben 2023'!M$6)</f>
        <v>0</v>
      </c>
      <c r="N297" s="35">
        <f>SUMIFS(Einzelbeträge!$D:$D,Einzelbeträge!$C:$C,'Ausgaben 2023'!$C297,Einzelbeträge!$E:$E,'Ausgaben 2023'!N$6)</f>
        <v>0</v>
      </c>
      <c r="O297" s="6"/>
    </row>
    <row r="298" spans="2:15" x14ac:dyDescent="0.35">
      <c r="B298" s="5"/>
      <c r="C298" s="30">
        <f t="shared" si="24"/>
        <v>45193</v>
      </c>
      <c r="D298" s="46">
        <f>SUMIFS(Einzelbeträge!$D:$D,Einzelbeträge!$C:$C,'Ausgaben 2023'!$C298)</f>
        <v>0</v>
      </c>
      <c r="E298" s="21">
        <f>SUMIFS(Einzelbeträge!$D:$D,Einzelbeträge!$C:$C,'Ausgaben 2023'!$C298,Einzelbeträge!$E:$E,'Ausgaben 2023'!E$6)</f>
        <v>0</v>
      </c>
      <c r="F298" s="21">
        <f>SUMIFS(Einzelbeträge!$D:$D,Einzelbeträge!$C:$C,'Ausgaben 2023'!$C298,Einzelbeträge!$E:$E,'Ausgaben 2023'!F$6)</f>
        <v>0</v>
      </c>
      <c r="G298" s="21">
        <f>SUMIFS(Einzelbeträge!$D:$D,Einzelbeträge!$C:$C,'Ausgaben 2023'!$C298,Einzelbeträge!$E:$E,'Ausgaben 2023'!G$6)</f>
        <v>0</v>
      </c>
      <c r="H298" s="21">
        <f>SUMIFS(Einzelbeträge!$D:$D,Einzelbeträge!$C:$C,'Ausgaben 2023'!$C298,Einzelbeträge!$E:$E,'Ausgaben 2023'!H$6)</f>
        <v>0</v>
      </c>
      <c r="I298" s="21">
        <f>SUMIFS(Einzelbeträge!$D:$D,Einzelbeträge!$C:$C,'Ausgaben 2023'!$C298,Einzelbeträge!$E:$E,'Ausgaben 2023'!I$6)</f>
        <v>0</v>
      </c>
      <c r="J298" s="21">
        <f>SUMIFS(Einzelbeträge!$D:$D,Einzelbeträge!$C:$C,'Ausgaben 2023'!$C298,Einzelbeträge!$E:$E,'Ausgaben 2023'!J$6)</f>
        <v>0</v>
      </c>
      <c r="K298" s="21">
        <f>SUMIFS(Einzelbeträge!$D:$D,Einzelbeträge!$C:$C,'Ausgaben 2023'!$C298,Einzelbeträge!$E:$E,'Ausgaben 2023'!K$6)</f>
        <v>0</v>
      </c>
      <c r="L298" s="21">
        <f>SUMIFS(Einzelbeträge!$D:$D,Einzelbeträge!$C:$C,'Ausgaben 2023'!$C298,Einzelbeträge!$E:$E,'Ausgaben 2023'!L$6)</f>
        <v>0</v>
      </c>
      <c r="M298" s="21">
        <f>SUMIFS(Einzelbeträge!$D:$D,Einzelbeträge!$C:$C,'Ausgaben 2023'!$C298,Einzelbeträge!$E:$E,'Ausgaben 2023'!M$6)</f>
        <v>0</v>
      </c>
      <c r="N298" s="35">
        <f>SUMIFS(Einzelbeträge!$D:$D,Einzelbeträge!$C:$C,'Ausgaben 2023'!$C298,Einzelbeträge!$E:$E,'Ausgaben 2023'!N$6)</f>
        <v>0</v>
      </c>
      <c r="O298" s="6"/>
    </row>
    <row r="299" spans="2:15" x14ac:dyDescent="0.35">
      <c r="B299" s="5"/>
      <c r="C299" s="30">
        <f t="shared" si="24"/>
        <v>45194</v>
      </c>
      <c r="D299" s="46">
        <f>SUMIFS(Einzelbeträge!$D:$D,Einzelbeträge!$C:$C,'Ausgaben 2023'!$C299)</f>
        <v>0</v>
      </c>
      <c r="E299" s="21">
        <f>SUMIFS(Einzelbeträge!$D:$D,Einzelbeträge!$C:$C,'Ausgaben 2023'!$C299,Einzelbeträge!$E:$E,'Ausgaben 2023'!E$6)</f>
        <v>0</v>
      </c>
      <c r="F299" s="21">
        <f>SUMIFS(Einzelbeträge!$D:$D,Einzelbeträge!$C:$C,'Ausgaben 2023'!$C299,Einzelbeträge!$E:$E,'Ausgaben 2023'!F$6)</f>
        <v>0</v>
      </c>
      <c r="G299" s="21">
        <f>SUMIFS(Einzelbeträge!$D:$D,Einzelbeträge!$C:$C,'Ausgaben 2023'!$C299,Einzelbeträge!$E:$E,'Ausgaben 2023'!G$6)</f>
        <v>0</v>
      </c>
      <c r="H299" s="21">
        <f>SUMIFS(Einzelbeträge!$D:$D,Einzelbeträge!$C:$C,'Ausgaben 2023'!$C299,Einzelbeträge!$E:$E,'Ausgaben 2023'!H$6)</f>
        <v>0</v>
      </c>
      <c r="I299" s="21">
        <f>SUMIFS(Einzelbeträge!$D:$D,Einzelbeträge!$C:$C,'Ausgaben 2023'!$C299,Einzelbeträge!$E:$E,'Ausgaben 2023'!I$6)</f>
        <v>0</v>
      </c>
      <c r="J299" s="21">
        <f>SUMIFS(Einzelbeträge!$D:$D,Einzelbeträge!$C:$C,'Ausgaben 2023'!$C299,Einzelbeträge!$E:$E,'Ausgaben 2023'!J$6)</f>
        <v>0</v>
      </c>
      <c r="K299" s="21">
        <f>SUMIFS(Einzelbeträge!$D:$D,Einzelbeträge!$C:$C,'Ausgaben 2023'!$C299,Einzelbeträge!$E:$E,'Ausgaben 2023'!K$6)</f>
        <v>0</v>
      </c>
      <c r="L299" s="21">
        <f>SUMIFS(Einzelbeträge!$D:$D,Einzelbeträge!$C:$C,'Ausgaben 2023'!$C299,Einzelbeträge!$E:$E,'Ausgaben 2023'!L$6)</f>
        <v>0</v>
      </c>
      <c r="M299" s="21">
        <f>SUMIFS(Einzelbeträge!$D:$D,Einzelbeträge!$C:$C,'Ausgaben 2023'!$C299,Einzelbeträge!$E:$E,'Ausgaben 2023'!M$6)</f>
        <v>0</v>
      </c>
      <c r="N299" s="35">
        <f>SUMIFS(Einzelbeträge!$D:$D,Einzelbeträge!$C:$C,'Ausgaben 2023'!$C299,Einzelbeträge!$E:$E,'Ausgaben 2023'!N$6)</f>
        <v>0</v>
      </c>
      <c r="O299" s="6"/>
    </row>
    <row r="300" spans="2:15" x14ac:dyDescent="0.35">
      <c r="B300" s="5"/>
      <c r="C300" s="30">
        <f t="shared" si="24"/>
        <v>45195</v>
      </c>
      <c r="D300" s="46">
        <f>SUMIFS(Einzelbeträge!$D:$D,Einzelbeträge!$C:$C,'Ausgaben 2023'!$C300)</f>
        <v>0</v>
      </c>
      <c r="E300" s="21">
        <f>SUMIFS(Einzelbeträge!$D:$D,Einzelbeträge!$C:$C,'Ausgaben 2023'!$C300,Einzelbeträge!$E:$E,'Ausgaben 2023'!E$6)</f>
        <v>0</v>
      </c>
      <c r="F300" s="21">
        <f>SUMIFS(Einzelbeträge!$D:$D,Einzelbeträge!$C:$C,'Ausgaben 2023'!$C300,Einzelbeträge!$E:$E,'Ausgaben 2023'!F$6)</f>
        <v>0</v>
      </c>
      <c r="G300" s="21">
        <f>SUMIFS(Einzelbeträge!$D:$D,Einzelbeträge!$C:$C,'Ausgaben 2023'!$C300,Einzelbeträge!$E:$E,'Ausgaben 2023'!G$6)</f>
        <v>0</v>
      </c>
      <c r="H300" s="21">
        <f>SUMIFS(Einzelbeträge!$D:$D,Einzelbeträge!$C:$C,'Ausgaben 2023'!$C300,Einzelbeträge!$E:$E,'Ausgaben 2023'!H$6)</f>
        <v>0</v>
      </c>
      <c r="I300" s="21">
        <f>SUMIFS(Einzelbeträge!$D:$D,Einzelbeträge!$C:$C,'Ausgaben 2023'!$C300,Einzelbeträge!$E:$E,'Ausgaben 2023'!I$6)</f>
        <v>0</v>
      </c>
      <c r="J300" s="21">
        <f>SUMIFS(Einzelbeträge!$D:$D,Einzelbeträge!$C:$C,'Ausgaben 2023'!$C300,Einzelbeträge!$E:$E,'Ausgaben 2023'!J$6)</f>
        <v>0</v>
      </c>
      <c r="K300" s="21">
        <f>SUMIFS(Einzelbeträge!$D:$D,Einzelbeträge!$C:$C,'Ausgaben 2023'!$C300,Einzelbeträge!$E:$E,'Ausgaben 2023'!K$6)</f>
        <v>0</v>
      </c>
      <c r="L300" s="21">
        <f>SUMIFS(Einzelbeträge!$D:$D,Einzelbeträge!$C:$C,'Ausgaben 2023'!$C300,Einzelbeträge!$E:$E,'Ausgaben 2023'!L$6)</f>
        <v>0</v>
      </c>
      <c r="M300" s="21">
        <f>SUMIFS(Einzelbeträge!$D:$D,Einzelbeträge!$C:$C,'Ausgaben 2023'!$C300,Einzelbeträge!$E:$E,'Ausgaben 2023'!M$6)</f>
        <v>0</v>
      </c>
      <c r="N300" s="35">
        <f>SUMIFS(Einzelbeträge!$D:$D,Einzelbeträge!$C:$C,'Ausgaben 2023'!$C300,Einzelbeträge!$E:$E,'Ausgaben 2023'!N$6)</f>
        <v>0</v>
      </c>
      <c r="O300" s="6"/>
    </row>
    <row r="301" spans="2:15" x14ac:dyDescent="0.35">
      <c r="B301" s="5"/>
      <c r="C301" s="30">
        <f t="shared" si="24"/>
        <v>45196</v>
      </c>
      <c r="D301" s="46">
        <f>SUMIFS(Einzelbeträge!$D:$D,Einzelbeträge!$C:$C,'Ausgaben 2023'!$C301)</f>
        <v>0</v>
      </c>
      <c r="E301" s="21">
        <f>SUMIFS(Einzelbeträge!$D:$D,Einzelbeträge!$C:$C,'Ausgaben 2023'!$C301,Einzelbeträge!$E:$E,'Ausgaben 2023'!E$6)</f>
        <v>0</v>
      </c>
      <c r="F301" s="21">
        <f>SUMIFS(Einzelbeträge!$D:$D,Einzelbeträge!$C:$C,'Ausgaben 2023'!$C301,Einzelbeträge!$E:$E,'Ausgaben 2023'!F$6)</f>
        <v>0</v>
      </c>
      <c r="G301" s="21">
        <f>SUMIFS(Einzelbeträge!$D:$D,Einzelbeträge!$C:$C,'Ausgaben 2023'!$C301,Einzelbeträge!$E:$E,'Ausgaben 2023'!G$6)</f>
        <v>0</v>
      </c>
      <c r="H301" s="21">
        <f>SUMIFS(Einzelbeträge!$D:$D,Einzelbeträge!$C:$C,'Ausgaben 2023'!$C301,Einzelbeträge!$E:$E,'Ausgaben 2023'!H$6)</f>
        <v>0</v>
      </c>
      <c r="I301" s="21">
        <f>SUMIFS(Einzelbeträge!$D:$D,Einzelbeträge!$C:$C,'Ausgaben 2023'!$C301,Einzelbeträge!$E:$E,'Ausgaben 2023'!I$6)</f>
        <v>0</v>
      </c>
      <c r="J301" s="21">
        <f>SUMIFS(Einzelbeträge!$D:$D,Einzelbeträge!$C:$C,'Ausgaben 2023'!$C301,Einzelbeträge!$E:$E,'Ausgaben 2023'!J$6)</f>
        <v>0</v>
      </c>
      <c r="K301" s="21">
        <f>SUMIFS(Einzelbeträge!$D:$D,Einzelbeträge!$C:$C,'Ausgaben 2023'!$C301,Einzelbeträge!$E:$E,'Ausgaben 2023'!K$6)</f>
        <v>0</v>
      </c>
      <c r="L301" s="21">
        <f>SUMIFS(Einzelbeträge!$D:$D,Einzelbeträge!$C:$C,'Ausgaben 2023'!$C301,Einzelbeträge!$E:$E,'Ausgaben 2023'!L$6)</f>
        <v>0</v>
      </c>
      <c r="M301" s="21">
        <f>SUMIFS(Einzelbeträge!$D:$D,Einzelbeträge!$C:$C,'Ausgaben 2023'!$C301,Einzelbeträge!$E:$E,'Ausgaben 2023'!M$6)</f>
        <v>0</v>
      </c>
      <c r="N301" s="35">
        <f>SUMIFS(Einzelbeträge!$D:$D,Einzelbeträge!$C:$C,'Ausgaben 2023'!$C301,Einzelbeträge!$E:$E,'Ausgaben 2023'!N$6)</f>
        <v>0</v>
      </c>
      <c r="O301" s="6"/>
    </row>
    <row r="302" spans="2:15" x14ac:dyDescent="0.35">
      <c r="B302" s="5"/>
      <c r="C302" s="30">
        <f t="shared" si="24"/>
        <v>45197</v>
      </c>
      <c r="D302" s="46">
        <f>SUMIFS(Einzelbeträge!$D:$D,Einzelbeträge!$C:$C,'Ausgaben 2023'!$C302)</f>
        <v>0</v>
      </c>
      <c r="E302" s="21">
        <f>SUMIFS(Einzelbeträge!$D:$D,Einzelbeträge!$C:$C,'Ausgaben 2023'!$C302,Einzelbeträge!$E:$E,'Ausgaben 2023'!E$6)</f>
        <v>0</v>
      </c>
      <c r="F302" s="21">
        <f>SUMIFS(Einzelbeträge!$D:$D,Einzelbeträge!$C:$C,'Ausgaben 2023'!$C302,Einzelbeträge!$E:$E,'Ausgaben 2023'!F$6)</f>
        <v>0</v>
      </c>
      <c r="G302" s="21">
        <f>SUMIFS(Einzelbeträge!$D:$D,Einzelbeträge!$C:$C,'Ausgaben 2023'!$C302,Einzelbeträge!$E:$E,'Ausgaben 2023'!G$6)</f>
        <v>0</v>
      </c>
      <c r="H302" s="21">
        <f>SUMIFS(Einzelbeträge!$D:$D,Einzelbeträge!$C:$C,'Ausgaben 2023'!$C302,Einzelbeträge!$E:$E,'Ausgaben 2023'!H$6)</f>
        <v>0</v>
      </c>
      <c r="I302" s="21">
        <f>SUMIFS(Einzelbeträge!$D:$D,Einzelbeträge!$C:$C,'Ausgaben 2023'!$C302,Einzelbeträge!$E:$E,'Ausgaben 2023'!I$6)</f>
        <v>0</v>
      </c>
      <c r="J302" s="21">
        <f>SUMIFS(Einzelbeträge!$D:$D,Einzelbeträge!$C:$C,'Ausgaben 2023'!$C302,Einzelbeträge!$E:$E,'Ausgaben 2023'!J$6)</f>
        <v>0</v>
      </c>
      <c r="K302" s="21">
        <f>SUMIFS(Einzelbeträge!$D:$D,Einzelbeträge!$C:$C,'Ausgaben 2023'!$C302,Einzelbeträge!$E:$E,'Ausgaben 2023'!K$6)</f>
        <v>0</v>
      </c>
      <c r="L302" s="21">
        <f>SUMIFS(Einzelbeträge!$D:$D,Einzelbeträge!$C:$C,'Ausgaben 2023'!$C302,Einzelbeträge!$E:$E,'Ausgaben 2023'!L$6)</f>
        <v>0</v>
      </c>
      <c r="M302" s="21">
        <f>SUMIFS(Einzelbeträge!$D:$D,Einzelbeträge!$C:$C,'Ausgaben 2023'!$C302,Einzelbeträge!$E:$E,'Ausgaben 2023'!M$6)</f>
        <v>0</v>
      </c>
      <c r="N302" s="35">
        <f>SUMIFS(Einzelbeträge!$D:$D,Einzelbeträge!$C:$C,'Ausgaben 2023'!$C302,Einzelbeträge!$E:$E,'Ausgaben 2023'!N$6)</f>
        <v>0</v>
      </c>
      <c r="O302" s="6"/>
    </row>
    <row r="303" spans="2:15" x14ac:dyDescent="0.35">
      <c r="B303" s="5"/>
      <c r="C303" s="30">
        <f t="shared" si="24"/>
        <v>45198</v>
      </c>
      <c r="D303" s="46">
        <f>SUMIFS(Einzelbeträge!$D:$D,Einzelbeträge!$C:$C,'Ausgaben 2023'!$C303)</f>
        <v>0</v>
      </c>
      <c r="E303" s="21">
        <f>SUMIFS(Einzelbeträge!$D:$D,Einzelbeträge!$C:$C,'Ausgaben 2023'!$C303,Einzelbeträge!$E:$E,'Ausgaben 2023'!E$6)</f>
        <v>0</v>
      </c>
      <c r="F303" s="21">
        <f>SUMIFS(Einzelbeträge!$D:$D,Einzelbeträge!$C:$C,'Ausgaben 2023'!$C303,Einzelbeträge!$E:$E,'Ausgaben 2023'!F$6)</f>
        <v>0</v>
      </c>
      <c r="G303" s="21">
        <f>SUMIFS(Einzelbeträge!$D:$D,Einzelbeträge!$C:$C,'Ausgaben 2023'!$C303,Einzelbeträge!$E:$E,'Ausgaben 2023'!G$6)</f>
        <v>0</v>
      </c>
      <c r="H303" s="21">
        <f>SUMIFS(Einzelbeträge!$D:$D,Einzelbeträge!$C:$C,'Ausgaben 2023'!$C303,Einzelbeträge!$E:$E,'Ausgaben 2023'!H$6)</f>
        <v>0</v>
      </c>
      <c r="I303" s="21">
        <f>SUMIFS(Einzelbeträge!$D:$D,Einzelbeträge!$C:$C,'Ausgaben 2023'!$C303,Einzelbeträge!$E:$E,'Ausgaben 2023'!I$6)</f>
        <v>0</v>
      </c>
      <c r="J303" s="21">
        <f>SUMIFS(Einzelbeträge!$D:$D,Einzelbeträge!$C:$C,'Ausgaben 2023'!$C303,Einzelbeträge!$E:$E,'Ausgaben 2023'!J$6)</f>
        <v>0</v>
      </c>
      <c r="K303" s="21">
        <f>SUMIFS(Einzelbeträge!$D:$D,Einzelbeträge!$C:$C,'Ausgaben 2023'!$C303,Einzelbeträge!$E:$E,'Ausgaben 2023'!K$6)</f>
        <v>0</v>
      </c>
      <c r="L303" s="21">
        <f>SUMIFS(Einzelbeträge!$D:$D,Einzelbeträge!$C:$C,'Ausgaben 2023'!$C303,Einzelbeträge!$E:$E,'Ausgaben 2023'!L$6)</f>
        <v>0</v>
      </c>
      <c r="M303" s="21">
        <f>SUMIFS(Einzelbeträge!$D:$D,Einzelbeträge!$C:$C,'Ausgaben 2023'!$C303,Einzelbeträge!$E:$E,'Ausgaben 2023'!M$6)</f>
        <v>0</v>
      </c>
      <c r="N303" s="35">
        <f>SUMIFS(Einzelbeträge!$D:$D,Einzelbeträge!$C:$C,'Ausgaben 2023'!$C303,Einzelbeträge!$E:$E,'Ausgaben 2023'!N$6)</f>
        <v>0</v>
      </c>
      <c r="O303" s="6"/>
    </row>
    <row r="304" spans="2:15" x14ac:dyDescent="0.35">
      <c r="B304" s="5"/>
      <c r="C304" s="31">
        <f t="shared" si="24"/>
        <v>45199</v>
      </c>
      <c r="D304" s="47">
        <f>SUMIFS(Einzelbeträge!$D:$D,Einzelbeträge!$C:$C,'Ausgaben 2023'!$C304)</f>
        <v>0</v>
      </c>
      <c r="E304" s="37">
        <f>SUMIFS(Einzelbeträge!$D:$D,Einzelbeträge!$C:$C,'Ausgaben 2023'!$C304,Einzelbeträge!$E:$E,'Ausgaben 2023'!E$6)</f>
        <v>0</v>
      </c>
      <c r="F304" s="37">
        <f>SUMIFS(Einzelbeträge!$D:$D,Einzelbeträge!$C:$C,'Ausgaben 2023'!$C304,Einzelbeträge!$E:$E,'Ausgaben 2023'!F$6)</f>
        <v>0</v>
      </c>
      <c r="G304" s="37">
        <f>SUMIFS(Einzelbeträge!$D:$D,Einzelbeträge!$C:$C,'Ausgaben 2023'!$C304,Einzelbeträge!$E:$E,'Ausgaben 2023'!G$6)</f>
        <v>0</v>
      </c>
      <c r="H304" s="37">
        <f>SUMIFS(Einzelbeträge!$D:$D,Einzelbeträge!$C:$C,'Ausgaben 2023'!$C304,Einzelbeträge!$E:$E,'Ausgaben 2023'!H$6)</f>
        <v>0</v>
      </c>
      <c r="I304" s="37">
        <f>SUMIFS(Einzelbeträge!$D:$D,Einzelbeträge!$C:$C,'Ausgaben 2023'!$C304,Einzelbeträge!$E:$E,'Ausgaben 2023'!I$6)</f>
        <v>0</v>
      </c>
      <c r="J304" s="37">
        <f>SUMIFS(Einzelbeträge!$D:$D,Einzelbeträge!$C:$C,'Ausgaben 2023'!$C304,Einzelbeträge!$E:$E,'Ausgaben 2023'!J$6)</f>
        <v>0</v>
      </c>
      <c r="K304" s="37">
        <f>SUMIFS(Einzelbeträge!$D:$D,Einzelbeträge!$C:$C,'Ausgaben 2023'!$C304,Einzelbeträge!$E:$E,'Ausgaben 2023'!K$6)</f>
        <v>0</v>
      </c>
      <c r="L304" s="37">
        <f>SUMIFS(Einzelbeträge!$D:$D,Einzelbeträge!$C:$C,'Ausgaben 2023'!$C304,Einzelbeträge!$E:$E,'Ausgaben 2023'!L$6)</f>
        <v>0</v>
      </c>
      <c r="M304" s="37">
        <f>SUMIFS(Einzelbeträge!$D:$D,Einzelbeträge!$C:$C,'Ausgaben 2023'!$C304,Einzelbeträge!$E:$E,'Ausgaben 2023'!M$6)</f>
        <v>0</v>
      </c>
      <c r="N304" s="38">
        <f>SUMIFS(Einzelbeträge!$D:$D,Einzelbeträge!$C:$C,'Ausgaben 2023'!$C304,Einzelbeträge!$E:$E,'Ausgaben 2023'!N$6)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45200</v>
      </c>
      <c r="D308" s="45">
        <f>SUMIFS(Einzelbeträge!$D:$D,Einzelbeträge!$C:$C,'Ausgaben 2023'!$C308)</f>
        <v>0</v>
      </c>
      <c r="E308" s="32">
        <f>SUMIFS(Einzelbeträge!$D:$D,Einzelbeträge!$C:$C,'Ausgaben 2023'!$C308,Einzelbeträge!$E:$E,'Ausgaben 2023'!E$6)</f>
        <v>0</v>
      </c>
      <c r="F308" s="32">
        <f>SUMIFS(Einzelbeträge!$D:$D,Einzelbeträge!$C:$C,'Ausgaben 2023'!$C308,Einzelbeträge!$E:$E,'Ausgaben 2023'!F$6)</f>
        <v>0</v>
      </c>
      <c r="G308" s="32">
        <f>SUMIFS(Einzelbeträge!$D:$D,Einzelbeträge!$C:$C,'Ausgaben 2023'!$C308,Einzelbeträge!$E:$E,'Ausgaben 2023'!G$6)</f>
        <v>0</v>
      </c>
      <c r="H308" s="32">
        <f>SUMIFS(Einzelbeträge!$D:$D,Einzelbeträge!$C:$C,'Ausgaben 2023'!$C308,Einzelbeträge!$E:$E,'Ausgaben 2023'!H$6)</f>
        <v>0</v>
      </c>
      <c r="I308" s="32">
        <f>SUMIFS(Einzelbeträge!$D:$D,Einzelbeträge!$C:$C,'Ausgaben 2023'!$C308,Einzelbeträge!$E:$E,'Ausgaben 2023'!I$6)</f>
        <v>0</v>
      </c>
      <c r="J308" s="32">
        <f>SUMIFS(Einzelbeträge!$D:$D,Einzelbeträge!$C:$C,'Ausgaben 2023'!$C308,Einzelbeträge!$E:$E,'Ausgaben 2023'!J$6)</f>
        <v>0</v>
      </c>
      <c r="K308" s="32">
        <f>SUMIFS(Einzelbeträge!$D:$D,Einzelbeträge!$C:$C,'Ausgaben 2023'!$C308,Einzelbeträge!$E:$E,'Ausgaben 2023'!K$6)</f>
        <v>0</v>
      </c>
      <c r="L308" s="32">
        <f>SUMIFS(Einzelbeträge!$D:$D,Einzelbeträge!$C:$C,'Ausgaben 2023'!$C308,Einzelbeträge!$E:$E,'Ausgaben 2023'!L$6)</f>
        <v>0</v>
      </c>
      <c r="M308" s="32">
        <f>SUMIFS(Einzelbeträge!$D:$D,Einzelbeträge!$C:$C,'Ausgaben 2023'!$C308,Einzelbeträge!$E:$E,'Ausgaben 2023'!M$6)</f>
        <v>0</v>
      </c>
      <c r="N308" s="33">
        <f>SUMIFS(Einzelbeträge!$D:$D,Einzelbeträge!$C:$C,'Ausgaben 2023'!$C308,Einzelbeträge!$E:$E,'Ausgaben 2023'!N$6)</f>
        <v>0</v>
      </c>
      <c r="O308" s="6"/>
    </row>
    <row r="309" spans="2:15" x14ac:dyDescent="0.35">
      <c r="B309" s="5"/>
      <c r="C309" s="40">
        <f>C308+1</f>
        <v>45201</v>
      </c>
      <c r="D309" s="46">
        <f>SUMIFS(Einzelbeträge!$D:$D,Einzelbeträge!$C:$C,'Ausgaben 2023'!$C309)</f>
        <v>0</v>
      </c>
      <c r="E309" s="21">
        <f>SUMIFS(Einzelbeträge!$D:$D,Einzelbeträge!$C:$C,'Ausgaben 2023'!$C309,Einzelbeträge!$E:$E,'Ausgaben 2023'!E$6)</f>
        <v>0</v>
      </c>
      <c r="F309" s="21">
        <f>SUMIFS(Einzelbeträge!$D:$D,Einzelbeträge!$C:$C,'Ausgaben 2023'!$C309,Einzelbeträge!$E:$E,'Ausgaben 2023'!F$6)</f>
        <v>0</v>
      </c>
      <c r="G309" s="21">
        <f>SUMIFS(Einzelbeträge!$D:$D,Einzelbeträge!$C:$C,'Ausgaben 2023'!$C309,Einzelbeträge!$E:$E,'Ausgaben 2023'!G$6)</f>
        <v>0</v>
      </c>
      <c r="H309" s="21">
        <f>SUMIFS(Einzelbeträge!$D:$D,Einzelbeträge!$C:$C,'Ausgaben 2023'!$C309,Einzelbeträge!$E:$E,'Ausgaben 2023'!H$6)</f>
        <v>0</v>
      </c>
      <c r="I309" s="21">
        <f>SUMIFS(Einzelbeträge!$D:$D,Einzelbeträge!$C:$C,'Ausgaben 2023'!$C309,Einzelbeträge!$E:$E,'Ausgaben 2023'!I$6)</f>
        <v>0</v>
      </c>
      <c r="J309" s="21">
        <f>SUMIFS(Einzelbeträge!$D:$D,Einzelbeträge!$C:$C,'Ausgaben 2023'!$C309,Einzelbeträge!$E:$E,'Ausgaben 2023'!J$6)</f>
        <v>0</v>
      </c>
      <c r="K309" s="21">
        <f>SUMIFS(Einzelbeträge!$D:$D,Einzelbeträge!$C:$C,'Ausgaben 2023'!$C309,Einzelbeträge!$E:$E,'Ausgaben 2023'!K$6)</f>
        <v>0</v>
      </c>
      <c r="L309" s="21">
        <f>SUMIFS(Einzelbeträge!$D:$D,Einzelbeträge!$C:$C,'Ausgaben 2023'!$C309,Einzelbeträge!$E:$E,'Ausgaben 2023'!L$6)</f>
        <v>0</v>
      </c>
      <c r="M309" s="21">
        <f>SUMIFS(Einzelbeträge!$D:$D,Einzelbeträge!$C:$C,'Ausgaben 2023'!$C309,Einzelbeträge!$E:$E,'Ausgaben 2023'!M$6)</f>
        <v>0</v>
      </c>
      <c r="N309" s="35">
        <f>SUMIFS(Einzelbeträge!$D:$D,Einzelbeträge!$C:$C,'Ausgaben 2023'!$C309,Einzelbeträge!$E:$E,'Ausgaben 2023'!N$6)</f>
        <v>0</v>
      </c>
      <c r="O309" s="6"/>
    </row>
    <row r="310" spans="2:15" x14ac:dyDescent="0.35">
      <c r="B310" s="5"/>
      <c r="C310" s="40">
        <f t="shared" ref="C310:C338" si="25">C309+1</f>
        <v>45202</v>
      </c>
      <c r="D310" s="46">
        <f>SUMIFS(Einzelbeträge!$D:$D,Einzelbeträge!$C:$C,'Ausgaben 2023'!$C310)</f>
        <v>0</v>
      </c>
      <c r="E310" s="21">
        <f>SUMIFS(Einzelbeträge!$D:$D,Einzelbeträge!$C:$C,'Ausgaben 2023'!$C310,Einzelbeträge!$E:$E,'Ausgaben 2023'!E$6)</f>
        <v>0</v>
      </c>
      <c r="F310" s="21">
        <f>SUMIFS(Einzelbeträge!$D:$D,Einzelbeträge!$C:$C,'Ausgaben 2023'!$C310,Einzelbeträge!$E:$E,'Ausgaben 2023'!F$6)</f>
        <v>0</v>
      </c>
      <c r="G310" s="21">
        <f>SUMIFS(Einzelbeträge!$D:$D,Einzelbeträge!$C:$C,'Ausgaben 2023'!$C310,Einzelbeträge!$E:$E,'Ausgaben 2023'!G$6)</f>
        <v>0</v>
      </c>
      <c r="H310" s="21">
        <f>SUMIFS(Einzelbeträge!$D:$D,Einzelbeträge!$C:$C,'Ausgaben 2023'!$C310,Einzelbeträge!$E:$E,'Ausgaben 2023'!H$6)</f>
        <v>0</v>
      </c>
      <c r="I310" s="21">
        <f>SUMIFS(Einzelbeträge!$D:$D,Einzelbeträge!$C:$C,'Ausgaben 2023'!$C310,Einzelbeträge!$E:$E,'Ausgaben 2023'!I$6)</f>
        <v>0</v>
      </c>
      <c r="J310" s="21">
        <f>SUMIFS(Einzelbeträge!$D:$D,Einzelbeträge!$C:$C,'Ausgaben 2023'!$C310,Einzelbeträge!$E:$E,'Ausgaben 2023'!J$6)</f>
        <v>0</v>
      </c>
      <c r="K310" s="21">
        <f>SUMIFS(Einzelbeträge!$D:$D,Einzelbeträge!$C:$C,'Ausgaben 2023'!$C310,Einzelbeträge!$E:$E,'Ausgaben 2023'!K$6)</f>
        <v>0</v>
      </c>
      <c r="L310" s="21">
        <f>SUMIFS(Einzelbeträge!$D:$D,Einzelbeträge!$C:$C,'Ausgaben 2023'!$C310,Einzelbeträge!$E:$E,'Ausgaben 2023'!L$6)</f>
        <v>0</v>
      </c>
      <c r="M310" s="21">
        <f>SUMIFS(Einzelbeträge!$D:$D,Einzelbeträge!$C:$C,'Ausgaben 2023'!$C310,Einzelbeträge!$E:$E,'Ausgaben 2023'!M$6)</f>
        <v>0</v>
      </c>
      <c r="N310" s="35">
        <f>SUMIFS(Einzelbeträge!$D:$D,Einzelbeträge!$C:$C,'Ausgaben 2023'!$C310,Einzelbeträge!$E:$E,'Ausgaben 2023'!N$6)</f>
        <v>0</v>
      </c>
      <c r="O310" s="6"/>
    </row>
    <row r="311" spans="2:15" x14ac:dyDescent="0.35">
      <c r="B311" s="5"/>
      <c r="C311" s="40">
        <f t="shared" si="25"/>
        <v>45203</v>
      </c>
      <c r="D311" s="46">
        <f>SUMIFS(Einzelbeträge!$D:$D,Einzelbeträge!$C:$C,'Ausgaben 2023'!$C311)</f>
        <v>0</v>
      </c>
      <c r="E311" s="21">
        <f>SUMIFS(Einzelbeträge!$D:$D,Einzelbeträge!$C:$C,'Ausgaben 2023'!$C311,Einzelbeträge!$E:$E,'Ausgaben 2023'!E$6)</f>
        <v>0</v>
      </c>
      <c r="F311" s="21">
        <f>SUMIFS(Einzelbeträge!$D:$D,Einzelbeträge!$C:$C,'Ausgaben 2023'!$C311,Einzelbeträge!$E:$E,'Ausgaben 2023'!F$6)</f>
        <v>0</v>
      </c>
      <c r="G311" s="21">
        <f>SUMIFS(Einzelbeträge!$D:$D,Einzelbeträge!$C:$C,'Ausgaben 2023'!$C311,Einzelbeträge!$E:$E,'Ausgaben 2023'!G$6)</f>
        <v>0</v>
      </c>
      <c r="H311" s="21">
        <f>SUMIFS(Einzelbeträge!$D:$D,Einzelbeträge!$C:$C,'Ausgaben 2023'!$C311,Einzelbeträge!$E:$E,'Ausgaben 2023'!H$6)</f>
        <v>0</v>
      </c>
      <c r="I311" s="21">
        <f>SUMIFS(Einzelbeträge!$D:$D,Einzelbeträge!$C:$C,'Ausgaben 2023'!$C311,Einzelbeträge!$E:$E,'Ausgaben 2023'!I$6)</f>
        <v>0</v>
      </c>
      <c r="J311" s="21">
        <f>SUMIFS(Einzelbeträge!$D:$D,Einzelbeträge!$C:$C,'Ausgaben 2023'!$C311,Einzelbeträge!$E:$E,'Ausgaben 2023'!J$6)</f>
        <v>0</v>
      </c>
      <c r="K311" s="21">
        <f>SUMIFS(Einzelbeträge!$D:$D,Einzelbeträge!$C:$C,'Ausgaben 2023'!$C311,Einzelbeträge!$E:$E,'Ausgaben 2023'!K$6)</f>
        <v>0</v>
      </c>
      <c r="L311" s="21">
        <f>SUMIFS(Einzelbeträge!$D:$D,Einzelbeträge!$C:$C,'Ausgaben 2023'!$C311,Einzelbeträge!$E:$E,'Ausgaben 2023'!L$6)</f>
        <v>0</v>
      </c>
      <c r="M311" s="21">
        <f>SUMIFS(Einzelbeträge!$D:$D,Einzelbeträge!$C:$C,'Ausgaben 2023'!$C311,Einzelbeträge!$E:$E,'Ausgaben 2023'!M$6)</f>
        <v>0</v>
      </c>
      <c r="N311" s="35">
        <f>SUMIFS(Einzelbeträge!$D:$D,Einzelbeträge!$C:$C,'Ausgaben 2023'!$C311,Einzelbeträge!$E:$E,'Ausgaben 2023'!N$6)</f>
        <v>0</v>
      </c>
      <c r="O311" s="6"/>
    </row>
    <row r="312" spans="2:15" x14ac:dyDescent="0.35">
      <c r="B312" s="5"/>
      <c r="C312" s="40">
        <f t="shared" si="25"/>
        <v>45204</v>
      </c>
      <c r="D312" s="46">
        <f>SUMIFS(Einzelbeträge!$D:$D,Einzelbeträge!$C:$C,'Ausgaben 2023'!$C312)</f>
        <v>0</v>
      </c>
      <c r="E312" s="21">
        <f>SUMIFS(Einzelbeträge!$D:$D,Einzelbeträge!$C:$C,'Ausgaben 2023'!$C312,Einzelbeträge!$E:$E,'Ausgaben 2023'!E$6)</f>
        <v>0</v>
      </c>
      <c r="F312" s="21">
        <f>SUMIFS(Einzelbeträge!$D:$D,Einzelbeträge!$C:$C,'Ausgaben 2023'!$C312,Einzelbeträge!$E:$E,'Ausgaben 2023'!F$6)</f>
        <v>0</v>
      </c>
      <c r="G312" s="21">
        <f>SUMIFS(Einzelbeträge!$D:$D,Einzelbeträge!$C:$C,'Ausgaben 2023'!$C312,Einzelbeträge!$E:$E,'Ausgaben 2023'!G$6)</f>
        <v>0</v>
      </c>
      <c r="H312" s="21">
        <f>SUMIFS(Einzelbeträge!$D:$D,Einzelbeträge!$C:$C,'Ausgaben 2023'!$C312,Einzelbeträge!$E:$E,'Ausgaben 2023'!H$6)</f>
        <v>0</v>
      </c>
      <c r="I312" s="21">
        <f>SUMIFS(Einzelbeträge!$D:$D,Einzelbeträge!$C:$C,'Ausgaben 2023'!$C312,Einzelbeträge!$E:$E,'Ausgaben 2023'!I$6)</f>
        <v>0</v>
      </c>
      <c r="J312" s="21">
        <f>SUMIFS(Einzelbeträge!$D:$D,Einzelbeträge!$C:$C,'Ausgaben 2023'!$C312,Einzelbeträge!$E:$E,'Ausgaben 2023'!J$6)</f>
        <v>0</v>
      </c>
      <c r="K312" s="21">
        <f>SUMIFS(Einzelbeträge!$D:$D,Einzelbeträge!$C:$C,'Ausgaben 2023'!$C312,Einzelbeträge!$E:$E,'Ausgaben 2023'!K$6)</f>
        <v>0</v>
      </c>
      <c r="L312" s="21">
        <f>SUMIFS(Einzelbeträge!$D:$D,Einzelbeträge!$C:$C,'Ausgaben 2023'!$C312,Einzelbeträge!$E:$E,'Ausgaben 2023'!L$6)</f>
        <v>0</v>
      </c>
      <c r="M312" s="21">
        <f>SUMIFS(Einzelbeträge!$D:$D,Einzelbeträge!$C:$C,'Ausgaben 2023'!$C312,Einzelbeträge!$E:$E,'Ausgaben 2023'!M$6)</f>
        <v>0</v>
      </c>
      <c r="N312" s="35">
        <f>SUMIFS(Einzelbeträge!$D:$D,Einzelbeträge!$C:$C,'Ausgaben 2023'!$C312,Einzelbeträge!$E:$E,'Ausgaben 2023'!N$6)</f>
        <v>0</v>
      </c>
      <c r="O312" s="6"/>
    </row>
    <row r="313" spans="2:15" x14ac:dyDescent="0.35">
      <c r="B313" s="5"/>
      <c r="C313" s="40">
        <f t="shared" si="25"/>
        <v>45205</v>
      </c>
      <c r="D313" s="46">
        <f>SUMIFS(Einzelbeträge!$D:$D,Einzelbeträge!$C:$C,'Ausgaben 2023'!$C313)</f>
        <v>0</v>
      </c>
      <c r="E313" s="21">
        <f>SUMIFS(Einzelbeträge!$D:$D,Einzelbeträge!$C:$C,'Ausgaben 2023'!$C313,Einzelbeträge!$E:$E,'Ausgaben 2023'!E$6)</f>
        <v>0</v>
      </c>
      <c r="F313" s="21">
        <f>SUMIFS(Einzelbeträge!$D:$D,Einzelbeträge!$C:$C,'Ausgaben 2023'!$C313,Einzelbeträge!$E:$E,'Ausgaben 2023'!F$6)</f>
        <v>0</v>
      </c>
      <c r="G313" s="21">
        <f>SUMIFS(Einzelbeträge!$D:$D,Einzelbeträge!$C:$C,'Ausgaben 2023'!$C313,Einzelbeträge!$E:$E,'Ausgaben 2023'!G$6)</f>
        <v>0</v>
      </c>
      <c r="H313" s="21">
        <f>SUMIFS(Einzelbeträge!$D:$D,Einzelbeträge!$C:$C,'Ausgaben 2023'!$C313,Einzelbeträge!$E:$E,'Ausgaben 2023'!H$6)</f>
        <v>0</v>
      </c>
      <c r="I313" s="21">
        <f>SUMIFS(Einzelbeträge!$D:$D,Einzelbeträge!$C:$C,'Ausgaben 2023'!$C313,Einzelbeträge!$E:$E,'Ausgaben 2023'!I$6)</f>
        <v>0</v>
      </c>
      <c r="J313" s="21">
        <f>SUMIFS(Einzelbeträge!$D:$D,Einzelbeträge!$C:$C,'Ausgaben 2023'!$C313,Einzelbeträge!$E:$E,'Ausgaben 2023'!J$6)</f>
        <v>0</v>
      </c>
      <c r="K313" s="21">
        <f>SUMIFS(Einzelbeträge!$D:$D,Einzelbeträge!$C:$C,'Ausgaben 2023'!$C313,Einzelbeträge!$E:$E,'Ausgaben 2023'!K$6)</f>
        <v>0</v>
      </c>
      <c r="L313" s="21">
        <f>SUMIFS(Einzelbeträge!$D:$D,Einzelbeträge!$C:$C,'Ausgaben 2023'!$C313,Einzelbeträge!$E:$E,'Ausgaben 2023'!L$6)</f>
        <v>0</v>
      </c>
      <c r="M313" s="21">
        <f>SUMIFS(Einzelbeträge!$D:$D,Einzelbeträge!$C:$C,'Ausgaben 2023'!$C313,Einzelbeträge!$E:$E,'Ausgaben 2023'!M$6)</f>
        <v>0</v>
      </c>
      <c r="N313" s="35">
        <f>SUMIFS(Einzelbeträge!$D:$D,Einzelbeträge!$C:$C,'Ausgaben 2023'!$C313,Einzelbeträge!$E:$E,'Ausgaben 2023'!N$6)</f>
        <v>0</v>
      </c>
      <c r="O313" s="6"/>
    </row>
    <row r="314" spans="2:15" x14ac:dyDescent="0.35">
      <c r="B314" s="5"/>
      <c r="C314" s="40">
        <f t="shared" si="25"/>
        <v>45206</v>
      </c>
      <c r="D314" s="46">
        <f>SUMIFS(Einzelbeträge!$D:$D,Einzelbeträge!$C:$C,'Ausgaben 2023'!$C314)</f>
        <v>0</v>
      </c>
      <c r="E314" s="21">
        <f>SUMIFS(Einzelbeträge!$D:$D,Einzelbeträge!$C:$C,'Ausgaben 2023'!$C314,Einzelbeträge!$E:$E,'Ausgaben 2023'!E$6)</f>
        <v>0</v>
      </c>
      <c r="F314" s="21">
        <f>SUMIFS(Einzelbeträge!$D:$D,Einzelbeträge!$C:$C,'Ausgaben 2023'!$C314,Einzelbeträge!$E:$E,'Ausgaben 2023'!F$6)</f>
        <v>0</v>
      </c>
      <c r="G314" s="21">
        <f>SUMIFS(Einzelbeträge!$D:$D,Einzelbeträge!$C:$C,'Ausgaben 2023'!$C314,Einzelbeträge!$E:$E,'Ausgaben 2023'!G$6)</f>
        <v>0</v>
      </c>
      <c r="H314" s="21">
        <f>SUMIFS(Einzelbeträge!$D:$D,Einzelbeträge!$C:$C,'Ausgaben 2023'!$C314,Einzelbeträge!$E:$E,'Ausgaben 2023'!H$6)</f>
        <v>0</v>
      </c>
      <c r="I314" s="21">
        <f>SUMIFS(Einzelbeträge!$D:$D,Einzelbeträge!$C:$C,'Ausgaben 2023'!$C314,Einzelbeträge!$E:$E,'Ausgaben 2023'!I$6)</f>
        <v>0</v>
      </c>
      <c r="J314" s="21">
        <f>SUMIFS(Einzelbeträge!$D:$D,Einzelbeträge!$C:$C,'Ausgaben 2023'!$C314,Einzelbeträge!$E:$E,'Ausgaben 2023'!J$6)</f>
        <v>0</v>
      </c>
      <c r="K314" s="21">
        <f>SUMIFS(Einzelbeträge!$D:$D,Einzelbeträge!$C:$C,'Ausgaben 2023'!$C314,Einzelbeträge!$E:$E,'Ausgaben 2023'!K$6)</f>
        <v>0</v>
      </c>
      <c r="L314" s="21">
        <f>SUMIFS(Einzelbeträge!$D:$D,Einzelbeträge!$C:$C,'Ausgaben 2023'!$C314,Einzelbeträge!$E:$E,'Ausgaben 2023'!L$6)</f>
        <v>0</v>
      </c>
      <c r="M314" s="21">
        <f>SUMIFS(Einzelbeträge!$D:$D,Einzelbeträge!$C:$C,'Ausgaben 2023'!$C314,Einzelbeträge!$E:$E,'Ausgaben 2023'!M$6)</f>
        <v>0</v>
      </c>
      <c r="N314" s="35">
        <f>SUMIFS(Einzelbeträge!$D:$D,Einzelbeträge!$C:$C,'Ausgaben 2023'!$C314,Einzelbeträge!$E:$E,'Ausgaben 2023'!N$6)</f>
        <v>0</v>
      </c>
      <c r="O314" s="6"/>
    </row>
    <row r="315" spans="2:15" x14ac:dyDescent="0.35">
      <c r="B315" s="5"/>
      <c r="C315" s="40">
        <f t="shared" si="25"/>
        <v>45207</v>
      </c>
      <c r="D315" s="46">
        <f>SUMIFS(Einzelbeträge!$D:$D,Einzelbeträge!$C:$C,'Ausgaben 2023'!$C315)</f>
        <v>0</v>
      </c>
      <c r="E315" s="21">
        <f>SUMIFS(Einzelbeträge!$D:$D,Einzelbeträge!$C:$C,'Ausgaben 2023'!$C315,Einzelbeträge!$E:$E,'Ausgaben 2023'!E$6)</f>
        <v>0</v>
      </c>
      <c r="F315" s="21">
        <f>SUMIFS(Einzelbeträge!$D:$D,Einzelbeträge!$C:$C,'Ausgaben 2023'!$C315,Einzelbeträge!$E:$E,'Ausgaben 2023'!F$6)</f>
        <v>0</v>
      </c>
      <c r="G315" s="21">
        <f>SUMIFS(Einzelbeträge!$D:$D,Einzelbeträge!$C:$C,'Ausgaben 2023'!$C315,Einzelbeträge!$E:$E,'Ausgaben 2023'!G$6)</f>
        <v>0</v>
      </c>
      <c r="H315" s="21">
        <f>SUMIFS(Einzelbeträge!$D:$D,Einzelbeträge!$C:$C,'Ausgaben 2023'!$C315,Einzelbeträge!$E:$E,'Ausgaben 2023'!H$6)</f>
        <v>0</v>
      </c>
      <c r="I315" s="21">
        <f>SUMIFS(Einzelbeträge!$D:$D,Einzelbeträge!$C:$C,'Ausgaben 2023'!$C315,Einzelbeträge!$E:$E,'Ausgaben 2023'!I$6)</f>
        <v>0</v>
      </c>
      <c r="J315" s="21">
        <f>SUMIFS(Einzelbeträge!$D:$D,Einzelbeträge!$C:$C,'Ausgaben 2023'!$C315,Einzelbeträge!$E:$E,'Ausgaben 2023'!J$6)</f>
        <v>0</v>
      </c>
      <c r="K315" s="21">
        <f>SUMIFS(Einzelbeträge!$D:$D,Einzelbeträge!$C:$C,'Ausgaben 2023'!$C315,Einzelbeträge!$E:$E,'Ausgaben 2023'!K$6)</f>
        <v>0</v>
      </c>
      <c r="L315" s="21">
        <f>SUMIFS(Einzelbeträge!$D:$D,Einzelbeträge!$C:$C,'Ausgaben 2023'!$C315,Einzelbeträge!$E:$E,'Ausgaben 2023'!L$6)</f>
        <v>0</v>
      </c>
      <c r="M315" s="21">
        <f>SUMIFS(Einzelbeträge!$D:$D,Einzelbeträge!$C:$C,'Ausgaben 2023'!$C315,Einzelbeträge!$E:$E,'Ausgaben 2023'!M$6)</f>
        <v>0</v>
      </c>
      <c r="N315" s="35">
        <f>SUMIFS(Einzelbeträge!$D:$D,Einzelbeträge!$C:$C,'Ausgaben 2023'!$C315,Einzelbeträge!$E:$E,'Ausgaben 2023'!N$6)</f>
        <v>0</v>
      </c>
      <c r="O315" s="6"/>
    </row>
    <row r="316" spans="2:15" x14ac:dyDescent="0.35">
      <c r="B316" s="5"/>
      <c r="C316" s="40">
        <f t="shared" si="25"/>
        <v>45208</v>
      </c>
      <c r="D316" s="46">
        <f>SUMIFS(Einzelbeträge!$D:$D,Einzelbeträge!$C:$C,'Ausgaben 2023'!$C316)</f>
        <v>0</v>
      </c>
      <c r="E316" s="21">
        <f>SUMIFS(Einzelbeträge!$D:$D,Einzelbeträge!$C:$C,'Ausgaben 2023'!$C316,Einzelbeträge!$E:$E,'Ausgaben 2023'!E$6)</f>
        <v>0</v>
      </c>
      <c r="F316" s="21">
        <f>SUMIFS(Einzelbeträge!$D:$D,Einzelbeträge!$C:$C,'Ausgaben 2023'!$C316,Einzelbeträge!$E:$E,'Ausgaben 2023'!F$6)</f>
        <v>0</v>
      </c>
      <c r="G316" s="21">
        <f>SUMIFS(Einzelbeträge!$D:$D,Einzelbeträge!$C:$C,'Ausgaben 2023'!$C316,Einzelbeträge!$E:$E,'Ausgaben 2023'!G$6)</f>
        <v>0</v>
      </c>
      <c r="H316" s="21">
        <f>SUMIFS(Einzelbeträge!$D:$D,Einzelbeträge!$C:$C,'Ausgaben 2023'!$C316,Einzelbeträge!$E:$E,'Ausgaben 2023'!H$6)</f>
        <v>0</v>
      </c>
      <c r="I316" s="21">
        <f>SUMIFS(Einzelbeträge!$D:$D,Einzelbeträge!$C:$C,'Ausgaben 2023'!$C316,Einzelbeträge!$E:$E,'Ausgaben 2023'!I$6)</f>
        <v>0</v>
      </c>
      <c r="J316" s="21">
        <f>SUMIFS(Einzelbeträge!$D:$D,Einzelbeträge!$C:$C,'Ausgaben 2023'!$C316,Einzelbeträge!$E:$E,'Ausgaben 2023'!J$6)</f>
        <v>0</v>
      </c>
      <c r="K316" s="21">
        <f>SUMIFS(Einzelbeträge!$D:$D,Einzelbeträge!$C:$C,'Ausgaben 2023'!$C316,Einzelbeträge!$E:$E,'Ausgaben 2023'!K$6)</f>
        <v>0</v>
      </c>
      <c r="L316" s="21">
        <f>SUMIFS(Einzelbeträge!$D:$D,Einzelbeträge!$C:$C,'Ausgaben 2023'!$C316,Einzelbeträge!$E:$E,'Ausgaben 2023'!L$6)</f>
        <v>0</v>
      </c>
      <c r="M316" s="21">
        <f>SUMIFS(Einzelbeträge!$D:$D,Einzelbeträge!$C:$C,'Ausgaben 2023'!$C316,Einzelbeträge!$E:$E,'Ausgaben 2023'!M$6)</f>
        <v>0</v>
      </c>
      <c r="N316" s="35">
        <f>SUMIFS(Einzelbeträge!$D:$D,Einzelbeträge!$C:$C,'Ausgaben 2023'!$C316,Einzelbeträge!$E:$E,'Ausgaben 2023'!N$6)</f>
        <v>0</v>
      </c>
      <c r="O316" s="6"/>
    </row>
    <row r="317" spans="2:15" x14ac:dyDescent="0.35">
      <c r="B317" s="5"/>
      <c r="C317" s="40">
        <f t="shared" si="25"/>
        <v>45209</v>
      </c>
      <c r="D317" s="46">
        <f>SUMIFS(Einzelbeträge!$D:$D,Einzelbeträge!$C:$C,'Ausgaben 2023'!$C317)</f>
        <v>0</v>
      </c>
      <c r="E317" s="21">
        <f>SUMIFS(Einzelbeträge!$D:$D,Einzelbeträge!$C:$C,'Ausgaben 2023'!$C317,Einzelbeträge!$E:$E,'Ausgaben 2023'!E$6)</f>
        <v>0</v>
      </c>
      <c r="F317" s="21">
        <f>SUMIFS(Einzelbeträge!$D:$D,Einzelbeträge!$C:$C,'Ausgaben 2023'!$C317,Einzelbeträge!$E:$E,'Ausgaben 2023'!F$6)</f>
        <v>0</v>
      </c>
      <c r="G317" s="21">
        <f>SUMIFS(Einzelbeträge!$D:$D,Einzelbeträge!$C:$C,'Ausgaben 2023'!$C317,Einzelbeträge!$E:$E,'Ausgaben 2023'!G$6)</f>
        <v>0</v>
      </c>
      <c r="H317" s="21">
        <f>SUMIFS(Einzelbeträge!$D:$D,Einzelbeträge!$C:$C,'Ausgaben 2023'!$C317,Einzelbeträge!$E:$E,'Ausgaben 2023'!H$6)</f>
        <v>0</v>
      </c>
      <c r="I317" s="21">
        <f>SUMIFS(Einzelbeträge!$D:$D,Einzelbeträge!$C:$C,'Ausgaben 2023'!$C317,Einzelbeträge!$E:$E,'Ausgaben 2023'!I$6)</f>
        <v>0</v>
      </c>
      <c r="J317" s="21">
        <f>SUMIFS(Einzelbeträge!$D:$D,Einzelbeträge!$C:$C,'Ausgaben 2023'!$C317,Einzelbeträge!$E:$E,'Ausgaben 2023'!J$6)</f>
        <v>0</v>
      </c>
      <c r="K317" s="21">
        <f>SUMIFS(Einzelbeträge!$D:$D,Einzelbeträge!$C:$C,'Ausgaben 2023'!$C317,Einzelbeträge!$E:$E,'Ausgaben 2023'!K$6)</f>
        <v>0</v>
      </c>
      <c r="L317" s="21">
        <f>SUMIFS(Einzelbeträge!$D:$D,Einzelbeträge!$C:$C,'Ausgaben 2023'!$C317,Einzelbeträge!$E:$E,'Ausgaben 2023'!L$6)</f>
        <v>0</v>
      </c>
      <c r="M317" s="21">
        <f>SUMIFS(Einzelbeträge!$D:$D,Einzelbeträge!$C:$C,'Ausgaben 2023'!$C317,Einzelbeträge!$E:$E,'Ausgaben 2023'!M$6)</f>
        <v>0</v>
      </c>
      <c r="N317" s="35">
        <f>SUMIFS(Einzelbeträge!$D:$D,Einzelbeträge!$C:$C,'Ausgaben 2023'!$C317,Einzelbeträge!$E:$E,'Ausgaben 2023'!N$6)</f>
        <v>0</v>
      </c>
      <c r="O317" s="6"/>
    </row>
    <row r="318" spans="2:15" x14ac:dyDescent="0.35">
      <c r="B318" s="5"/>
      <c r="C318" s="40">
        <f t="shared" si="25"/>
        <v>45210</v>
      </c>
      <c r="D318" s="46">
        <f>SUMIFS(Einzelbeträge!$D:$D,Einzelbeträge!$C:$C,'Ausgaben 2023'!$C318)</f>
        <v>0</v>
      </c>
      <c r="E318" s="21">
        <f>SUMIFS(Einzelbeträge!$D:$D,Einzelbeträge!$C:$C,'Ausgaben 2023'!$C318,Einzelbeträge!$E:$E,'Ausgaben 2023'!E$6)</f>
        <v>0</v>
      </c>
      <c r="F318" s="21">
        <f>SUMIFS(Einzelbeträge!$D:$D,Einzelbeträge!$C:$C,'Ausgaben 2023'!$C318,Einzelbeträge!$E:$E,'Ausgaben 2023'!F$6)</f>
        <v>0</v>
      </c>
      <c r="G318" s="21">
        <f>SUMIFS(Einzelbeträge!$D:$D,Einzelbeträge!$C:$C,'Ausgaben 2023'!$C318,Einzelbeträge!$E:$E,'Ausgaben 2023'!G$6)</f>
        <v>0</v>
      </c>
      <c r="H318" s="21">
        <f>SUMIFS(Einzelbeträge!$D:$D,Einzelbeträge!$C:$C,'Ausgaben 2023'!$C318,Einzelbeträge!$E:$E,'Ausgaben 2023'!H$6)</f>
        <v>0</v>
      </c>
      <c r="I318" s="21">
        <f>SUMIFS(Einzelbeträge!$D:$D,Einzelbeträge!$C:$C,'Ausgaben 2023'!$C318,Einzelbeträge!$E:$E,'Ausgaben 2023'!I$6)</f>
        <v>0</v>
      </c>
      <c r="J318" s="21">
        <f>SUMIFS(Einzelbeträge!$D:$D,Einzelbeträge!$C:$C,'Ausgaben 2023'!$C318,Einzelbeträge!$E:$E,'Ausgaben 2023'!J$6)</f>
        <v>0</v>
      </c>
      <c r="K318" s="21">
        <f>SUMIFS(Einzelbeträge!$D:$D,Einzelbeträge!$C:$C,'Ausgaben 2023'!$C318,Einzelbeträge!$E:$E,'Ausgaben 2023'!K$6)</f>
        <v>0</v>
      </c>
      <c r="L318" s="21">
        <f>SUMIFS(Einzelbeträge!$D:$D,Einzelbeträge!$C:$C,'Ausgaben 2023'!$C318,Einzelbeträge!$E:$E,'Ausgaben 2023'!L$6)</f>
        <v>0</v>
      </c>
      <c r="M318" s="21">
        <f>SUMIFS(Einzelbeträge!$D:$D,Einzelbeträge!$C:$C,'Ausgaben 2023'!$C318,Einzelbeträge!$E:$E,'Ausgaben 2023'!M$6)</f>
        <v>0</v>
      </c>
      <c r="N318" s="35">
        <f>SUMIFS(Einzelbeträge!$D:$D,Einzelbeträge!$C:$C,'Ausgaben 2023'!$C318,Einzelbeträge!$E:$E,'Ausgaben 2023'!N$6)</f>
        <v>0</v>
      </c>
      <c r="O318" s="6"/>
    </row>
    <row r="319" spans="2:15" x14ac:dyDescent="0.35">
      <c r="B319" s="5"/>
      <c r="C319" s="40">
        <f t="shared" si="25"/>
        <v>45211</v>
      </c>
      <c r="D319" s="46">
        <f>SUMIFS(Einzelbeträge!$D:$D,Einzelbeträge!$C:$C,'Ausgaben 2023'!$C319)</f>
        <v>0</v>
      </c>
      <c r="E319" s="21">
        <f>SUMIFS(Einzelbeträge!$D:$D,Einzelbeträge!$C:$C,'Ausgaben 2023'!$C319,Einzelbeträge!$E:$E,'Ausgaben 2023'!E$6)</f>
        <v>0</v>
      </c>
      <c r="F319" s="21">
        <f>SUMIFS(Einzelbeträge!$D:$D,Einzelbeträge!$C:$C,'Ausgaben 2023'!$C319,Einzelbeträge!$E:$E,'Ausgaben 2023'!F$6)</f>
        <v>0</v>
      </c>
      <c r="G319" s="21">
        <f>SUMIFS(Einzelbeträge!$D:$D,Einzelbeträge!$C:$C,'Ausgaben 2023'!$C319,Einzelbeträge!$E:$E,'Ausgaben 2023'!G$6)</f>
        <v>0</v>
      </c>
      <c r="H319" s="21">
        <f>SUMIFS(Einzelbeträge!$D:$D,Einzelbeträge!$C:$C,'Ausgaben 2023'!$C319,Einzelbeträge!$E:$E,'Ausgaben 2023'!H$6)</f>
        <v>0</v>
      </c>
      <c r="I319" s="21">
        <f>SUMIFS(Einzelbeträge!$D:$D,Einzelbeträge!$C:$C,'Ausgaben 2023'!$C319,Einzelbeträge!$E:$E,'Ausgaben 2023'!I$6)</f>
        <v>0</v>
      </c>
      <c r="J319" s="21">
        <f>SUMIFS(Einzelbeträge!$D:$D,Einzelbeträge!$C:$C,'Ausgaben 2023'!$C319,Einzelbeträge!$E:$E,'Ausgaben 2023'!J$6)</f>
        <v>0</v>
      </c>
      <c r="K319" s="21">
        <f>SUMIFS(Einzelbeträge!$D:$D,Einzelbeträge!$C:$C,'Ausgaben 2023'!$C319,Einzelbeträge!$E:$E,'Ausgaben 2023'!K$6)</f>
        <v>0</v>
      </c>
      <c r="L319" s="21">
        <f>SUMIFS(Einzelbeträge!$D:$D,Einzelbeträge!$C:$C,'Ausgaben 2023'!$C319,Einzelbeträge!$E:$E,'Ausgaben 2023'!L$6)</f>
        <v>0</v>
      </c>
      <c r="M319" s="21">
        <f>SUMIFS(Einzelbeträge!$D:$D,Einzelbeträge!$C:$C,'Ausgaben 2023'!$C319,Einzelbeträge!$E:$E,'Ausgaben 2023'!M$6)</f>
        <v>0</v>
      </c>
      <c r="N319" s="35">
        <f>SUMIFS(Einzelbeträge!$D:$D,Einzelbeträge!$C:$C,'Ausgaben 2023'!$C319,Einzelbeträge!$E:$E,'Ausgaben 2023'!N$6)</f>
        <v>0</v>
      </c>
      <c r="O319" s="6"/>
    </row>
    <row r="320" spans="2:15" x14ac:dyDescent="0.35">
      <c r="B320" s="5"/>
      <c r="C320" s="40">
        <f t="shared" si="25"/>
        <v>45212</v>
      </c>
      <c r="D320" s="46">
        <f>SUMIFS(Einzelbeträge!$D:$D,Einzelbeträge!$C:$C,'Ausgaben 2023'!$C320)</f>
        <v>0</v>
      </c>
      <c r="E320" s="21">
        <f>SUMIFS(Einzelbeträge!$D:$D,Einzelbeträge!$C:$C,'Ausgaben 2023'!$C320,Einzelbeträge!$E:$E,'Ausgaben 2023'!E$6)</f>
        <v>0</v>
      </c>
      <c r="F320" s="21">
        <f>SUMIFS(Einzelbeträge!$D:$D,Einzelbeträge!$C:$C,'Ausgaben 2023'!$C320,Einzelbeträge!$E:$E,'Ausgaben 2023'!F$6)</f>
        <v>0</v>
      </c>
      <c r="G320" s="21">
        <f>SUMIFS(Einzelbeträge!$D:$D,Einzelbeträge!$C:$C,'Ausgaben 2023'!$C320,Einzelbeträge!$E:$E,'Ausgaben 2023'!G$6)</f>
        <v>0</v>
      </c>
      <c r="H320" s="21">
        <f>SUMIFS(Einzelbeträge!$D:$D,Einzelbeträge!$C:$C,'Ausgaben 2023'!$C320,Einzelbeträge!$E:$E,'Ausgaben 2023'!H$6)</f>
        <v>0</v>
      </c>
      <c r="I320" s="21">
        <f>SUMIFS(Einzelbeträge!$D:$D,Einzelbeträge!$C:$C,'Ausgaben 2023'!$C320,Einzelbeträge!$E:$E,'Ausgaben 2023'!I$6)</f>
        <v>0</v>
      </c>
      <c r="J320" s="21">
        <f>SUMIFS(Einzelbeträge!$D:$D,Einzelbeträge!$C:$C,'Ausgaben 2023'!$C320,Einzelbeträge!$E:$E,'Ausgaben 2023'!J$6)</f>
        <v>0</v>
      </c>
      <c r="K320" s="21">
        <f>SUMIFS(Einzelbeträge!$D:$D,Einzelbeträge!$C:$C,'Ausgaben 2023'!$C320,Einzelbeträge!$E:$E,'Ausgaben 2023'!K$6)</f>
        <v>0</v>
      </c>
      <c r="L320" s="21">
        <f>SUMIFS(Einzelbeträge!$D:$D,Einzelbeträge!$C:$C,'Ausgaben 2023'!$C320,Einzelbeträge!$E:$E,'Ausgaben 2023'!L$6)</f>
        <v>0</v>
      </c>
      <c r="M320" s="21">
        <f>SUMIFS(Einzelbeträge!$D:$D,Einzelbeträge!$C:$C,'Ausgaben 2023'!$C320,Einzelbeträge!$E:$E,'Ausgaben 2023'!M$6)</f>
        <v>0</v>
      </c>
      <c r="N320" s="35">
        <f>SUMIFS(Einzelbeträge!$D:$D,Einzelbeträge!$C:$C,'Ausgaben 2023'!$C320,Einzelbeträge!$E:$E,'Ausgaben 2023'!N$6)</f>
        <v>0</v>
      </c>
      <c r="O320" s="6"/>
    </row>
    <row r="321" spans="2:15" x14ac:dyDescent="0.35">
      <c r="B321" s="5"/>
      <c r="C321" s="40">
        <f t="shared" si="25"/>
        <v>45213</v>
      </c>
      <c r="D321" s="46">
        <f>SUMIFS(Einzelbeträge!$D:$D,Einzelbeträge!$C:$C,'Ausgaben 2023'!$C321)</f>
        <v>0</v>
      </c>
      <c r="E321" s="21">
        <f>SUMIFS(Einzelbeträge!$D:$D,Einzelbeträge!$C:$C,'Ausgaben 2023'!$C321,Einzelbeträge!$E:$E,'Ausgaben 2023'!E$6)</f>
        <v>0</v>
      </c>
      <c r="F321" s="21">
        <f>SUMIFS(Einzelbeträge!$D:$D,Einzelbeträge!$C:$C,'Ausgaben 2023'!$C321,Einzelbeträge!$E:$E,'Ausgaben 2023'!F$6)</f>
        <v>0</v>
      </c>
      <c r="G321" s="21">
        <f>SUMIFS(Einzelbeträge!$D:$D,Einzelbeträge!$C:$C,'Ausgaben 2023'!$C321,Einzelbeträge!$E:$E,'Ausgaben 2023'!G$6)</f>
        <v>0</v>
      </c>
      <c r="H321" s="21">
        <f>SUMIFS(Einzelbeträge!$D:$D,Einzelbeträge!$C:$C,'Ausgaben 2023'!$C321,Einzelbeträge!$E:$E,'Ausgaben 2023'!H$6)</f>
        <v>0</v>
      </c>
      <c r="I321" s="21">
        <f>SUMIFS(Einzelbeträge!$D:$D,Einzelbeträge!$C:$C,'Ausgaben 2023'!$C321,Einzelbeträge!$E:$E,'Ausgaben 2023'!I$6)</f>
        <v>0</v>
      </c>
      <c r="J321" s="21">
        <f>SUMIFS(Einzelbeträge!$D:$D,Einzelbeträge!$C:$C,'Ausgaben 2023'!$C321,Einzelbeträge!$E:$E,'Ausgaben 2023'!J$6)</f>
        <v>0</v>
      </c>
      <c r="K321" s="21">
        <f>SUMIFS(Einzelbeträge!$D:$D,Einzelbeträge!$C:$C,'Ausgaben 2023'!$C321,Einzelbeträge!$E:$E,'Ausgaben 2023'!K$6)</f>
        <v>0</v>
      </c>
      <c r="L321" s="21">
        <f>SUMIFS(Einzelbeträge!$D:$D,Einzelbeträge!$C:$C,'Ausgaben 2023'!$C321,Einzelbeträge!$E:$E,'Ausgaben 2023'!L$6)</f>
        <v>0</v>
      </c>
      <c r="M321" s="21">
        <f>SUMIFS(Einzelbeträge!$D:$D,Einzelbeträge!$C:$C,'Ausgaben 2023'!$C321,Einzelbeträge!$E:$E,'Ausgaben 2023'!M$6)</f>
        <v>0</v>
      </c>
      <c r="N321" s="35">
        <f>SUMIFS(Einzelbeträge!$D:$D,Einzelbeträge!$C:$C,'Ausgaben 2023'!$C321,Einzelbeträge!$E:$E,'Ausgaben 2023'!N$6)</f>
        <v>0</v>
      </c>
      <c r="O321" s="6"/>
    </row>
    <row r="322" spans="2:15" x14ac:dyDescent="0.35">
      <c r="B322" s="5"/>
      <c r="C322" s="40">
        <f t="shared" si="25"/>
        <v>45214</v>
      </c>
      <c r="D322" s="46">
        <f>SUMIFS(Einzelbeträge!$D:$D,Einzelbeträge!$C:$C,'Ausgaben 2023'!$C322)</f>
        <v>0</v>
      </c>
      <c r="E322" s="21">
        <f>SUMIFS(Einzelbeträge!$D:$D,Einzelbeträge!$C:$C,'Ausgaben 2023'!$C322,Einzelbeträge!$E:$E,'Ausgaben 2023'!E$6)</f>
        <v>0</v>
      </c>
      <c r="F322" s="21">
        <f>SUMIFS(Einzelbeträge!$D:$D,Einzelbeträge!$C:$C,'Ausgaben 2023'!$C322,Einzelbeträge!$E:$E,'Ausgaben 2023'!F$6)</f>
        <v>0</v>
      </c>
      <c r="G322" s="21">
        <f>SUMIFS(Einzelbeträge!$D:$D,Einzelbeträge!$C:$C,'Ausgaben 2023'!$C322,Einzelbeträge!$E:$E,'Ausgaben 2023'!G$6)</f>
        <v>0</v>
      </c>
      <c r="H322" s="21">
        <f>SUMIFS(Einzelbeträge!$D:$D,Einzelbeträge!$C:$C,'Ausgaben 2023'!$C322,Einzelbeträge!$E:$E,'Ausgaben 2023'!H$6)</f>
        <v>0</v>
      </c>
      <c r="I322" s="21">
        <f>SUMIFS(Einzelbeträge!$D:$D,Einzelbeträge!$C:$C,'Ausgaben 2023'!$C322,Einzelbeträge!$E:$E,'Ausgaben 2023'!I$6)</f>
        <v>0</v>
      </c>
      <c r="J322" s="21">
        <f>SUMIFS(Einzelbeträge!$D:$D,Einzelbeträge!$C:$C,'Ausgaben 2023'!$C322,Einzelbeträge!$E:$E,'Ausgaben 2023'!J$6)</f>
        <v>0</v>
      </c>
      <c r="K322" s="21">
        <f>SUMIFS(Einzelbeträge!$D:$D,Einzelbeträge!$C:$C,'Ausgaben 2023'!$C322,Einzelbeträge!$E:$E,'Ausgaben 2023'!K$6)</f>
        <v>0</v>
      </c>
      <c r="L322" s="21">
        <f>SUMIFS(Einzelbeträge!$D:$D,Einzelbeträge!$C:$C,'Ausgaben 2023'!$C322,Einzelbeträge!$E:$E,'Ausgaben 2023'!L$6)</f>
        <v>0</v>
      </c>
      <c r="M322" s="21">
        <f>SUMIFS(Einzelbeträge!$D:$D,Einzelbeträge!$C:$C,'Ausgaben 2023'!$C322,Einzelbeträge!$E:$E,'Ausgaben 2023'!M$6)</f>
        <v>0</v>
      </c>
      <c r="N322" s="35">
        <f>SUMIFS(Einzelbeträge!$D:$D,Einzelbeträge!$C:$C,'Ausgaben 2023'!$C322,Einzelbeträge!$E:$E,'Ausgaben 2023'!N$6)</f>
        <v>0</v>
      </c>
      <c r="O322" s="6"/>
    </row>
    <row r="323" spans="2:15" x14ac:dyDescent="0.35">
      <c r="B323" s="5"/>
      <c r="C323" s="40">
        <f t="shared" si="25"/>
        <v>45215</v>
      </c>
      <c r="D323" s="46">
        <f>SUMIFS(Einzelbeträge!$D:$D,Einzelbeträge!$C:$C,'Ausgaben 2023'!$C323)</f>
        <v>0</v>
      </c>
      <c r="E323" s="21">
        <f>SUMIFS(Einzelbeträge!$D:$D,Einzelbeträge!$C:$C,'Ausgaben 2023'!$C323,Einzelbeträge!$E:$E,'Ausgaben 2023'!E$6)</f>
        <v>0</v>
      </c>
      <c r="F323" s="21">
        <f>SUMIFS(Einzelbeträge!$D:$D,Einzelbeträge!$C:$C,'Ausgaben 2023'!$C323,Einzelbeträge!$E:$E,'Ausgaben 2023'!F$6)</f>
        <v>0</v>
      </c>
      <c r="G323" s="21">
        <f>SUMIFS(Einzelbeträge!$D:$D,Einzelbeträge!$C:$C,'Ausgaben 2023'!$C323,Einzelbeträge!$E:$E,'Ausgaben 2023'!G$6)</f>
        <v>0</v>
      </c>
      <c r="H323" s="21">
        <f>SUMIFS(Einzelbeträge!$D:$D,Einzelbeträge!$C:$C,'Ausgaben 2023'!$C323,Einzelbeträge!$E:$E,'Ausgaben 2023'!H$6)</f>
        <v>0</v>
      </c>
      <c r="I323" s="21">
        <f>SUMIFS(Einzelbeträge!$D:$D,Einzelbeträge!$C:$C,'Ausgaben 2023'!$C323,Einzelbeträge!$E:$E,'Ausgaben 2023'!I$6)</f>
        <v>0</v>
      </c>
      <c r="J323" s="21">
        <f>SUMIFS(Einzelbeträge!$D:$D,Einzelbeträge!$C:$C,'Ausgaben 2023'!$C323,Einzelbeträge!$E:$E,'Ausgaben 2023'!J$6)</f>
        <v>0</v>
      </c>
      <c r="K323" s="21">
        <f>SUMIFS(Einzelbeträge!$D:$D,Einzelbeträge!$C:$C,'Ausgaben 2023'!$C323,Einzelbeträge!$E:$E,'Ausgaben 2023'!K$6)</f>
        <v>0</v>
      </c>
      <c r="L323" s="21">
        <f>SUMIFS(Einzelbeträge!$D:$D,Einzelbeträge!$C:$C,'Ausgaben 2023'!$C323,Einzelbeträge!$E:$E,'Ausgaben 2023'!L$6)</f>
        <v>0</v>
      </c>
      <c r="M323" s="21">
        <f>SUMIFS(Einzelbeträge!$D:$D,Einzelbeträge!$C:$C,'Ausgaben 2023'!$C323,Einzelbeträge!$E:$E,'Ausgaben 2023'!M$6)</f>
        <v>0</v>
      </c>
      <c r="N323" s="35">
        <f>SUMIFS(Einzelbeträge!$D:$D,Einzelbeträge!$C:$C,'Ausgaben 2023'!$C323,Einzelbeträge!$E:$E,'Ausgaben 2023'!N$6)</f>
        <v>0</v>
      </c>
      <c r="O323" s="6"/>
    </row>
    <row r="324" spans="2:15" x14ac:dyDescent="0.35">
      <c r="B324" s="5"/>
      <c r="C324" s="40">
        <f t="shared" si="25"/>
        <v>45216</v>
      </c>
      <c r="D324" s="46">
        <f>SUMIFS(Einzelbeträge!$D:$D,Einzelbeträge!$C:$C,'Ausgaben 2023'!$C324)</f>
        <v>0</v>
      </c>
      <c r="E324" s="21">
        <f>SUMIFS(Einzelbeträge!$D:$D,Einzelbeträge!$C:$C,'Ausgaben 2023'!$C324,Einzelbeträge!$E:$E,'Ausgaben 2023'!E$6)</f>
        <v>0</v>
      </c>
      <c r="F324" s="21">
        <f>SUMIFS(Einzelbeträge!$D:$D,Einzelbeträge!$C:$C,'Ausgaben 2023'!$C324,Einzelbeträge!$E:$E,'Ausgaben 2023'!F$6)</f>
        <v>0</v>
      </c>
      <c r="G324" s="21">
        <f>SUMIFS(Einzelbeträge!$D:$D,Einzelbeträge!$C:$C,'Ausgaben 2023'!$C324,Einzelbeträge!$E:$E,'Ausgaben 2023'!G$6)</f>
        <v>0</v>
      </c>
      <c r="H324" s="21">
        <f>SUMIFS(Einzelbeträge!$D:$D,Einzelbeträge!$C:$C,'Ausgaben 2023'!$C324,Einzelbeträge!$E:$E,'Ausgaben 2023'!H$6)</f>
        <v>0</v>
      </c>
      <c r="I324" s="21">
        <f>SUMIFS(Einzelbeträge!$D:$D,Einzelbeträge!$C:$C,'Ausgaben 2023'!$C324,Einzelbeträge!$E:$E,'Ausgaben 2023'!I$6)</f>
        <v>0</v>
      </c>
      <c r="J324" s="21">
        <f>SUMIFS(Einzelbeträge!$D:$D,Einzelbeträge!$C:$C,'Ausgaben 2023'!$C324,Einzelbeträge!$E:$E,'Ausgaben 2023'!J$6)</f>
        <v>0</v>
      </c>
      <c r="K324" s="21">
        <f>SUMIFS(Einzelbeträge!$D:$D,Einzelbeträge!$C:$C,'Ausgaben 2023'!$C324,Einzelbeträge!$E:$E,'Ausgaben 2023'!K$6)</f>
        <v>0</v>
      </c>
      <c r="L324" s="21">
        <f>SUMIFS(Einzelbeträge!$D:$D,Einzelbeträge!$C:$C,'Ausgaben 2023'!$C324,Einzelbeträge!$E:$E,'Ausgaben 2023'!L$6)</f>
        <v>0</v>
      </c>
      <c r="M324" s="21">
        <f>SUMIFS(Einzelbeträge!$D:$D,Einzelbeträge!$C:$C,'Ausgaben 2023'!$C324,Einzelbeträge!$E:$E,'Ausgaben 2023'!M$6)</f>
        <v>0</v>
      </c>
      <c r="N324" s="35">
        <f>SUMIFS(Einzelbeträge!$D:$D,Einzelbeträge!$C:$C,'Ausgaben 2023'!$C324,Einzelbeträge!$E:$E,'Ausgaben 2023'!N$6)</f>
        <v>0</v>
      </c>
      <c r="O324" s="6"/>
    </row>
    <row r="325" spans="2:15" x14ac:dyDescent="0.35">
      <c r="B325" s="5"/>
      <c r="C325" s="40">
        <f t="shared" si="25"/>
        <v>45217</v>
      </c>
      <c r="D325" s="46">
        <f>SUMIFS(Einzelbeträge!$D:$D,Einzelbeträge!$C:$C,'Ausgaben 2023'!$C325)</f>
        <v>0</v>
      </c>
      <c r="E325" s="21">
        <f>SUMIFS(Einzelbeträge!$D:$D,Einzelbeträge!$C:$C,'Ausgaben 2023'!$C325,Einzelbeträge!$E:$E,'Ausgaben 2023'!E$6)</f>
        <v>0</v>
      </c>
      <c r="F325" s="21">
        <f>SUMIFS(Einzelbeträge!$D:$D,Einzelbeträge!$C:$C,'Ausgaben 2023'!$C325,Einzelbeträge!$E:$E,'Ausgaben 2023'!F$6)</f>
        <v>0</v>
      </c>
      <c r="G325" s="21">
        <f>SUMIFS(Einzelbeträge!$D:$D,Einzelbeträge!$C:$C,'Ausgaben 2023'!$C325,Einzelbeträge!$E:$E,'Ausgaben 2023'!G$6)</f>
        <v>0</v>
      </c>
      <c r="H325" s="21">
        <f>SUMIFS(Einzelbeträge!$D:$D,Einzelbeträge!$C:$C,'Ausgaben 2023'!$C325,Einzelbeträge!$E:$E,'Ausgaben 2023'!H$6)</f>
        <v>0</v>
      </c>
      <c r="I325" s="21">
        <f>SUMIFS(Einzelbeträge!$D:$D,Einzelbeträge!$C:$C,'Ausgaben 2023'!$C325,Einzelbeträge!$E:$E,'Ausgaben 2023'!I$6)</f>
        <v>0</v>
      </c>
      <c r="J325" s="21">
        <f>SUMIFS(Einzelbeträge!$D:$D,Einzelbeträge!$C:$C,'Ausgaben 2023'!$C325,Einzelbeträge!$E:$E,'Ausgaben 2023'!J$6)</f>
        <v>0</v>
      </c>
      <c r="K325" s="21">
        <f>SUMIFS(Einzelbeträge!$D:$D,Einzelbeträge!$C:$C,'Ausgaben 2023'!$C325,Einzelbeträge!$E:$E,'Ausgaben 2023'!K$6)</f>
        <v>0</v>
      </c>
      <c r="L325" s="21">
        <f>SUMIFS(Einzelbeträge!$D:$D,Einzelbeträge!$C:$C,'Ausgaben 2023'!$C325,Einzelbeträge!$E:$E,'Ausgaben 2023'!L$6)</f>
        <v>0</v>
      </c>
      <c r="M325" s="21">
        <f>SUMIFS(Einzelbeträge!$D:$D,Einzelbeträge!$C:$C,'Ausgaben 2023'!$C325,Einzelbeträge!$E:$E,'Ausgaben 2023'!M$6)</f>
        <v>0</v>
      </c>
      <c r="N325" s="35">
        <f>SUMIFS(Einzelbeträge!$D:$D,Einzelbeträge!$C:$C,'Ausgaben 2023'!$C325,Einzelbeträge!$E:$E,'Ausgaben 2023'!N$6)</f>
        <v>0</v>
      </c>
      <c r="O325" s="6"/>
    </row>
    <row r="326" spans="2:15" x14ac:dyDescent="0.35">
      <c r="B326" s="5"/>
      <c r="C326" s="40">
        <f t="shared" si="25"/>
        <v>45218</v>
      </c>
      <c r="D326" s="46">
        <f>SUMIFS(Einzelbeträge!$D:$D,Einzelbeträge!$C:$C,'Ausgaben 2023'!$C326)</f>
        <v>0</v>
      </c>
      <c r="E326" s="21">
        <f>SUMIFS(Einzelbeträge!$D:$D,Einzelbeträge!$C:$C,'Ausgaben 2023'!$C326,Einzelbeträge!$E:$E,'Ausgaben 2023'!E$6)</f>
        <v>0</v>
      </c>
      <c r="F326" s="21">
        <f>SUMIFS(Einzelbeträge!$D:$D,Einzelbeträge!$C:$C,'Ausgaben 2023'!$C326,Einzelbeträge!$E:$E,'Ausgaben 2023'!F$6)</f>
        <v>0</v>
      </c>
      <c r="G326" s="21">
        <f>SUMIFS(Einzelbeträge!$D:$D,Einzelbeträge!$C:$C,'Ausgaben 2023'!$C326,Einzelbeträge!$E:$E,'Ausgaben 2023'!G$6)</f>
        <v>0</v>
      </c>
      <c r="H326" s="21">
        <f>SUMIFS(Einzelbeträge!$D:$D,Einzelbeträge!$C:$C,'Ausgaben 2023'!$C326,Einzelbeträge!$E:$E,'Ausgaben 2023'!H$6)</f>
        <v>0</v>
      </c>
      <c r="I326" s="21">
        <f>SUMIFS(Einzelbeträge!$D:$D,Einzelbeträge!$C:$C,'Ausgaben 2023'!$C326,Einzelbeträge!$E:$E,'Ausgaben 2023'!I$6)</f>
        <v>0</v>
      </c>
      <c r="J326" s="21">
        <f>SUMIFS(Einzelbeträge!$D:$D,Einzelbeträge!$C:$C,'Ausgaben 2023'!$C326,Einzelbeträge!$E:$E,'Ausgaben 2023'!J$6)</f>
        <v>0</v>
      </c>
      <c r="K326" s="21">
        <f>SUMIFS(Einzelbeträge!$D:$D,Einzelbeträge!$C:$C,'Ausgaben 2023'!$C326,Einzelbeträge!$E:$E,'Ausgaben 2023'!K$6)</f>
        <v>0</v>
      </c>
      <c r="L326" s="21">
        <f>SUMIFS(Einzelbeträge!$D:$D,Einzelbeträge!$C:$C,'Ausgaben 2023'!$C326,Einzelbeträge!$E:$E,'Ausgaben 2023'!L$6)</f>
        <v>0</v>
      </c>
      <c r="M326" s="21">
        <f>SUMIFS(Einzelbeträge!$D:$D,Einzelbeträge!$C:$C,'Ausgaben 2023'!$C326,Einzelbeträge!$E:$E,'Ausgaben 2023'!M$6)</f>
        <v>0</v>
      </c>
      <c r="N326" s="35">
        <f>SUMIFS(Einzelbeträge!$D:$D,Einzelbeträge!$C:$C,'Ausgaben 2023'!$C326,Einzelbeträge!$E:$E,'Ausgaben 2023'!N$6)</f>
        <v>0</v>
      </c>
      <c r="O326" s="6"/>
    </row>
    <row r="327" spans="2:15" x14ac:dyDescent="0.35">
      <c r="B327" s="5"/>
      <c r="C327" s="40">
        <f t="shared" si="25"/>
        <v>45219</v>
      </c>
      <c r="D327" s="46">
        <f>SUMIFS(Einzelbeträge!$D:$D,Einzelbeträge!$C:$C,'Ausgaben 2023'!$C327)</f>
        <v>0</v>
      </c>
      <c r="E327" s="21">
        <f>SUMIFS(Einzelbeträge!$D:$D,Einzelbeträge!$C:$C,'Ausgaben 2023'!$C327,Einzelbeträge!$E:$E,'Ausgaben 2023'!E$6)</f>
        <v>0</v>
      </c>
      <c r="F327" s="21">
        <f>SUMIFS(Einzelbeträge!$D:$D,Einzelbeträge!$C:$C,'Ausgaben 2023'!$C327,Einzelbeträge!$E:$E,'Ausgaben 2023'!F$6)</f>
        <v>0</v>
      </c>
      <c r="G327" s="21">
        <f>SUMIFS(Einzelbeträge!$D:$D,Einzelbeträge!$C:$C,'Ausgaben 2023'!$C327,Einzelbeträge!$E:$E,'Ausgaben 2023'!G$6)</f>
        <v>0</v>
      </c>
      <c r="H327" s="21">
        <f>SUMIFS(Einzelbeträge!$D:$D,Einzelbeträge!$C:$C,'Ausgaben 2023'!$C327,Einzelbeträge!$E:$E,'Ausgaben 2023'!H$6)</f>
        <v>0</v>
      </c>
      <c r="I327" s="21">
        <f>SUMIFS(Einzelbeträge!$D:$D,Einzelbeträge!$C:$C,'Ausgaben 2023'!$C327,Einzelbeträge!$E:$E,'Ausgaben 2023'!I$6)</f>
        <v>0</v>
      </c>
      <c r="J327" s="21">
        <f>SUMIFS(Einzelbeträge!$D:$D,Einzelbeträge!$C:$C,'Ausgaben 2023'!$C327,Einzelbeträge!$E:$E,'Ausgaben 2023'!J$6)</f>
        <v>0</v>
      </c>
      <c r="K327" s="21">
        <f>SUMIFS(Einzelbeträge!$D:$D,Einzelbeträge!$C:$C,'Ausgaben 2023'!$C327,Einzelbeträge!$E:$E,'Ausgaben 2023'!K$6)</f>
        <v>0</v>
      </c>
      <c r="L327" s="21">
        <f>SUMIFS(Einzelbeträge!$D:$D,Einzelbeträge!$C:$C,'Ausgaben 2023'!$C327,Einzelbeträge!$E:$E,'Ausgaben 2023'!L$6)</f>
        <v>0</v>
      </c>
      <c r="M327" s="21">
        <f>SUMIFS(Einzelbeträge!$D:$D,Einzelbeträge!$C:$C,'Ausgaben 2023'!$C327,Einzelbeträge!$E:$E,'Ausgaben 2023'!M$6)</f>
        <v>0</v>
      </c>
      <c r="N327" s="35">
        <f>SUMIFS(Einzelbeträge!$D:$D,Einzelbeträge!$C:$C,'Ausgaben 2023'!$C327,Einzelbeträge!$E:$E,'Ausgaben 2023'!N$6)</f>
        <v>0</v>
      </c>
      <c r="O327" s="6"/>
    </row>
    <row r="328" spans="2:15" x14ac:dyDescent="0.35">
      <c r="B328" s="5"/>
      <c r="C328" s="40">
        <f t="shared" si="25"/>
        <v>45220</v>
      </c>
      <c r="D328" s="46">
        <f>SUMIFS(Einzelbeträge!$D:$D,Einzelbeträge!$C:$C,'Ausgaben 2023'!$C328)</f>
        <v>0</v>
      </c>
      <c r="E328" s="21">
        <f>SUMIFS(Einzelbeträge!$D:$D,Einzelbeträge!$C:$C,'Ausgaben 2023'!$C328,Einzelbeträge!$E:$E,'Ausgaben 2023'!E$6)</f>
        <v>0</v>
      </c>
      <c r="F328" s="21">
        <f>SUMIFS(Einzelbeträge!$D:$D,Einzelbeträge!$C:$C,'Ausgaben 2023'!$C328,Einzelbeträge!$E:$E,'Ausgaben 2023'!F$6)</f>
        <v>0</v>
      </c>
      <c r="G328" s="21">
        <f>SUMIFS(Einzelbeträge!$D:$D,Einzelbeträge!$C:$C,'Ausgaben 2023'!$C328,Einzelbeträge!$E:$E,'Ausgaben 2023'!G$6)</f>
        <v>0</v>
      </c>
      <c r="H328" s="21">
        <f>SUMIFS(Einzelbeträge!$D:$D,Einzelbeträge!$C:$C,'Ausgaben 2023'!$C328,Einzelbeträge!$E:$E,'Ausgaben 2023'!H$6)</f>
        <v>0</v>
      </c>
      <c r="I328" s="21">
        <f>SUMIFS(Einzelbeträge!$D:$D,Einzelbeträge!$C:$C,'Ausgaben 2023'!$C328,Einzelbeträge!$E:$E,'Ausgaben 2023'!I$6)</f>
        <v>0</v>
      </c>
      <c r="J328" s="21">
        <f>SUMIFS(Einzelbeträge!$D:$D,Einzelbeträge!$C:$C,'Ausgaben 2023'!$C328,Einzelbeträge!$E:$E,'Ausgaben 2023'!J$6)</f>
        <v>0</v>
      </c>
      <c r="K328" s="21">
        <f>SUMIFS(Einzelbeträge!$D:$D,Einzelbeträge!$C:$C,'Ausgaben 2023'!$C328,Einzelbeträge!$E:$E,'Ausgaben 2023'!K$6)</f>
        <v>0</v>
      </c>
      <c r="L328" s="21">
        <f>SUMIFS(Einzelbeträge!$D:$D,Einzelbeträge!$C:$C,'Ausgaben 2023'!$C328,Einzelbeträge!$E:$E,'Ausgaben 2023'!L$6)</f>
        <v>0</v>
      </c>
      <c r="M328" s="21">
        <f>SUMIFS(Einzelbeträge!$D:$D,Einzelbeträge!$C:$C,'Ausgaben 2023'!$C328,Einzelbeträge!$E:$E,'Ausgaben 2023'!M$6)</f>
        <v>0</v>
      </c>
      <c r="N328" s="35">
        <f>SUMIFS(Einzelbeträge!$D:$D,Einzelbeträge!$C:$C,'Ausgaben 2023'!$C328,Einzelbeträge!$E:$E,'Ausgaben 2023'!N$6)</f>
        <v>0</v>
      </c>
      <c r="O328" s="6"/>
    </row>
    <row r="329" spans="2:15" x14ac:dyDescent="0.35">
      <c r="B329" s="5"/>
      <c r="C329" s="40">
        <f t="shared" si="25"/>
        <v>45221</v>
      </c>
      <c r="D329" s="46">
        <f>SUMIFS(Einzelbeträge!$D:$D,Einzelbeträge!$C:$C,'Ausgaben 2023'!$C329)</f>
        <v>0</v>
      </c>
      <c r="E329" s="21">
        <f>SUMIFS(Einzelbeträge!$D:$D,Einzelbeträge!$C:$C,'Ausgaben 2023'!$C329,Einzelbeträge!$E:$E,'Ausgaben 2023'!E$6)</f>
        <v>0</v>
      </c>
      <c r="F329" s="21">
        <f>SUMIFS(Einzelbeträge!$D:$D,Einzelbeträge!$C:$C,'Ausgaben 2023'!$C329,Einzelbeträge!$E:$E,'Ausgaben 2023'!F$6)</f>
        <v>0</v>
      </c>
      <c r="G329" s="21">
        <f>SUMIFS(Einzelbeträge!$D:$D,Einzelbeträge!$C:$C,'Ausgaben 2023'!$C329,Einzelbeträge!$E:$E,'Ausgaben 2023'!G$6)</f>
        <v>0</v>
      </c>
      <c r="H329" s="21">
        <f>SUMIFS(Einzelbeträge!$D:$D,Einzelbeträge!$C:$C,'Ausgaben 2023'!$C329,Einzelbeträge!$E:$E,'Ausgaben 2023'!H$6)</f>
        <v>0</v>
      </c>
      <c r="I329" s="21">
        <f>SUMIFS(Einzelbeträge!$D:$D,Einzelbeträge!$C:$C,'Ausgaben 2023'!$C329,Einzelbeträge!$E:$E,'Ausgaben 2023'!I$6)</f>
        <v>0</v>
      </c>
      <c r="J329" s="21">
        <f>SUMIFS(Einzelbeträge!$D:$D,Einzelbeträge!$C:$C,'Ausgaben 2023'!$C329,Einzelbeträge!$E:$E,'Ausgaben 2023'!J$6)</f>
        <v>0</v>
      </c>
      <c r="K329" s="21">
        <f>SUMIFS(Einzelbeträge!$D:$D,Einzelbeträge!$C:$C,'Ausgaben 2023'!$C329,Einzelbeträge!$E:$E,'Ausgaben 2023'!K$6)</f>
        <v>0</v>
      </c>
      <c r="L329" s="21">
        <f>SUMIFS(Einzelbeträge!$D:$D,Einzelbeträge!$C:$C,'Ausgaben 2023'!$C329,Einzelbeträge!$E:$E,'Ausgaben 2023'!L$6)</f>
        <v>0</v>
      </c>
      <c r="M329" s="21">
        <f>SUMIFS(Einzelbeträge!$D:$D,Einzelbeträge!$C:$C,'Ausgaben 2023'!$C329,Einzelbeträge!$E:$E,'Ausgaben 2023'!M$6)</f>
        <v>0</v>
      </c>
      <c r="N329" s="35">
        <f>SUMIFS(Einzelbeträge!$D:$D,Einzelbeträge!$C:$C,'Ausgaben 2023'!$C329,Einzelbeträge!$E:$E,'Ausgaben 2023'!N$6)</f>
        <v>0</v>
      </c>
      <c r="O329" s="6"/>
    </row>
    <row r="330" spans="2:15" x14ac:dyDescent="0.35">
      <c r="B330" s="5"/>
      <c r="C330" s="40">
        <f t="shared" si="25"/>
        <v>45222</v>
      </c>
      <c r="D330" s="46">
        <f>SUMIFS(Einzelbeträge!$D:$D,Einzelbeträge!$C:$C,'Ausgaben 2023'!$C330)</f>
        <v>0</v>
      </c>
      <c r="E330" s="21">
        <f>SUMIFS(Einzelbeträge!$D:$D,Einzelbeträge!$C:$C,'Ausgaben 2023'!$C330,Einzelbeträge!$E:$E,'Ausgaben 2023'!E$6)</f>
        <v>0</v>
      </c>
      <c r="F330" s="21">
        <f>SUMIFS(Einzelbeträge!$D:$D,Einzelbeträge!$C:$C,'Ausgaben 2023'!$C330,Einzelbeträge!$E:$E,'Ausgaben 2023'!F$6)</f>
        <v>0</v>
      </c>
      <c r="G330" s="21">
        <f>SUMIFS(Einzelbeträge!$D:$D,Einzelbeträge!$C:$C,'Ausgaben 2023'!$C330,Einzelbeträge!$E:$E,'Ausgaben 2023'!G$6)</f>
        <v>0</v>
      </c>
      <c r="H330" s="21">
        <f>SUMIFS(Einzelbeträge!$D:$D,Einzelbeträge!$C:$C,'Ausgaben 2023'!$C330,Einzelbeträge!$E:$E,'Ausgaben 2023'!H$6)</f>
        <v>0</v>
      </c>
      <c r="I330" s="21">
        <f>SUMIFS(Einzelbeträge!$D:$D,Einzelbeträge!$C:$C,'Ausgaben 2023'!$C330,Einzelbeträge!$E:$E,'Ausgaben 2023'!I$6)</f>
        <v>0</v>
      </c>
      <c r="J330" s="21">
        <f>SUMIFS(Einzelbeträge!$D:$D,Einzelbeträge!$C:$C,'Ausgaben 2023'!$C330,Einzelbeträge!$E:$E,'Ausgaben 2023'!J$6)</f>
        <v>0</v>
      </c>
      <c r="K330" s="21">
        <f>SUMIFS(Einzelbeträge!$D:$D,Einzelbeträge!$C:$C,'Ausgaben 2023'!$C330,Einzelbeträge!$E:$E,'Ausgaben 2023'!K$6)</f>
        <v>0</v>
      </c>
      <c r="L330" s="21">
        <f>SUMIFS(Einzelbeträge!$D:$D,Einzelbeträge!$C:$C,'Ausgaben 2023'!$C330,Einzelbeträge!$E:$E,'Ausgaben 2023'!L$6)</f>
        <v>0</v>
      </c>
      <c r="M330" s="21">
        <f>SUMIFS(Einzelbeträge!$D:$D,Einzelbeträge!$C:$C,'Ausgaben 2023'!$C330,Einzelbeträge!$E:$E,'Ausgaben 2023'!M$6)</f>
        <v>0</v>
      </c>
      <c r="N330" s="35">
        <f>SUMIFS(Einzelbeträge!$D:$D,Einzelbeträge!$C:$C,'Ausgaben 2023'!$C330,Einzelbeträge!$E:$E,'Ausgaben 2023'!N$6)</f>
        <v>0</v>
      </c>
      <c r="O330" s="6"/>
    </row>
    <row r="331" spans="2:15" x14ac:dyDescent="0.35">
      <c r="B331" s="5"/>
      <c r="C331" s="40">
        <f t="shared" si="25"/>
        <v>45223</v>
      </c>
      <c r="D331" s="46">
        <f>SUMIFS(Einzelbeträge!$D:$D,Einzelbeträge!$C:$C,'Ausgaben 2023'!$C331)</f>
        <v>0</v>
      </c>
      <c r="E331" s="21">
        <f>SUMIFS(Einzelbeträge!$D:$D,Einzelbeträge!$C:$C,'Ausgaben 2023'!$C331,Einzelbeträge!$E:$E,'Ausgaben 2023'!E$6)</f>
        <v>0</v>
      </c>
      <c r="F331" s="21">
        <f>SUMIFS(Einzelbeträge!$D:$D,Einzelbeträge!$C:$C,'Ausgaben 2023'!$C331,Einzelbeträge!$E:$E,'Ausgaben 2023'!F$6)</f>
        <v>0</v>
      </c>
      <c r="G331" s="21">
        <f>SUMIFS(Einzelbeträge!$D:$D,Einzelbeträge!$C:$C,'Ausgaben 2023'!$C331,Einzelbeträge!$E:$E,'Ausgaben 2023'!G$6)</f>
        <v>0</v>
      </c>
      <c r="H331" s="21">
        <f>SUMIFS(Einzelbeträge!$D:$D,Einzelbeträge!$C:$C,'Ausgaben 2023'!$C331,Einzelbeträge!$E:$E,'Ausgaben 2023'!H$6)</f>
        <v>0</v>
      </c>
      <c r="I331" s="21">
        <f>SUMIFS(Einzelbeträge!$D:$D,Einzelbeträge!$C:$C,'Ausgaben 2023'!$C331,Einzelbeträge!$E:$E,'Ausgaben 2023'!I$6)</f>
        <v>0</v>
      </c>
      <c r="J331" s="21">
        <f>SUMIFS(Einzelbeträge!$D:$D,Einzelbeträge!$C:$C,'Ausgaben 2023'!$C331,Einzelbeträge!$E:$E,'Ausgaben 2023'!J$6)</f>
        <v>0</v>
      </c>
      <c r="K331" s="21">
        <f>SUMIFS(Einzelbeträge!$D:$D,Einzelbeträge!$C:$C,'Ausgaben 2023'!$C331,Einzelbeträge!$E:$E,'Ausgaben 2023'!K$6)</f>
        <v>0</v>
      </c>
      <c r="L331" s="21">
        <f>SUMIFS(Einzelbeträge!$D:$D,Einzelbeträge!$C:$C,'Ausgaben 2023'!$C331,Einzelbeträge!$E:$E,'Ausgaben 2023'!L$6)</f>
        <v>0</v>
      </c>
      <c r="M331" s="21">
        <f>SUMIFS(Einzelbeträge!$D:$D,Einzelbeträge!$C:$C,'Ausgaben 2023'!$C331,Einzelbeträge!$E:$E,'Ausgaben 2023'!M$6)</f>
        <v>0</v>
      </c>
      <c r="N331" s="35">
        <f>SUMIFS(Einzelbeträge!$D:$D,Einzelbeträge!$C:$C,'Ausgaben 2023'!$C331,Einzelbeträge!$E:$E,'Ausgaben 2023'!N$6)</f>
        <v>0</v>
      </c>
      <c r="O331" s="6"/>
    </row>
    <row r="332" spans="2:15" x14ac:dyDescent="0.35">
      <c r="B332" s="5"/>
      <c r="C332" s="40">
        <f t="shared" si="25"/>
        <v>45224</v>
      </c>
      <c r="D332" s="46">
        <f>SUMIFS(Einzelbeträge!$D:$D,Einzelbeträge!$C:$C,'Ausgaben 2023'!$C332)</f>
        <v>0</v>
      </c>
      <c r="E332" s="21">
        <f>SUMIFS(Einzelbeträge!$D:$D,Einzelbeträge!$C:$C,'Ausgaben 2023'!$C332,Einzelbeträge!$E:$E,'Ausgaben 2023'!E$6)</f>
        <v>0</v>
      </c>
      <c r="F332" s="21">
        <f>SUMIFS(Einzelbeträge!$D:$D,Einzelbeträge!$C:$C,'Ausgaben 2023'!$C332,Einzelbeträge!$E:$E,'Ausgaben 2023'!F$6)</f>
        <v>0</v>
      </c>
      <c r="G332" s="21">
        <f>SUMIFS(Einzelbeträge!$D:$D,Einzelbeträge!$C:$C,'Ausgaben 2023'!$C332,Einzelbeträge!$E:$E,'Ausgaben 2023'!G$6)</f>
        <v>0</v>
      </c>
      <c r="H332" s="21">
        <f>SUMIFS(Einzelbeträge!$D:$D,Einzelbeträge!$C:$C,'Ausgaben 2023'!$C332,Einzelbeträge!$E:$E,'Ausgaben 2023'!H$6)</f>
        <v>0</v>
      </c>
      <c r="I332" s="21">
        <f>SUMIFS(Einzelbeträge!$D:$D,Einzelbeträge!$C:$C,'Ausgaben 2023'!$C332,Einzelbeträge!$E:$E,'Ausgaben 2023'!I$6)</f>
        <v>0</v>
      </c>
      <c r="J332" s="21">
        <f>SUMIFS(Einzelbeträge!$D:$D,Einzelbeträge!$C:$C,'Ausgaben 2023'!$C332,Einzelbeträge!$E:$E,'Ausgaben 2023'!J$6)</f>
        <v>0</v>
      </c>
      <c r="K332" s="21">
        <f>SUMIFS(Einzelbeträge!$D:$D,Einzelbeträge!$C:$C,'Ausgaben 2023'!$C332,Einzelbeträge!$E:$E,'Ausgaben 2023'!K$6)</f>
        <v>0</v>
      </c>
      <c r="L332" s="21">
        <f>SUMIFS(Einzelbeträge!$D:$D,Einzelbeträge!$C:$C,'Ausgaben 2023'!$C332,Einzelbeträge!$E:$E,'Ausgaben 2023'!L$6)</f>
        <v>0</v>
      </c>
      <c r="M332" s="21">
        <f>SUMIFS(Einzelbeträge!$D:$D,Einzelbeträge!$C:$C,'Ausgaben 2023'!$C332,Einzelbeträge!$E:$E,'Ausgaben 2023'!M$6)</f>
        <v>0</v>
      </c>
      <c r="N332" s="35">
        <f>SUMIFS(Einzelbeträge!$D:$D,Einzelbeträge!$C:$C,'Ausgaben 2023'!$C332,Einzelbeträge!$E:$E,'Ausgaben 2023'!N$6)</f>
        <v>0</v>
      </c>
      <c r="O332" s="6"/>
    </row>
    <row r="333" spans="2:15" x14ac:dyDescent="0.35">
      <c r="B333" s="5"/>
      <c r="C333" s="40">
        <f t="shared" si="25"/>
        <v>45225</v>
      </c>
      <c r="D333" s="46">
        <f>SUMIFS(Einzelbeträge!$D:$D,Einzelbeträge!$C:$C,'Ausgaben 2023'!$C333)</f>
        <v>0</v>
      </c>
      <c r="E333" s="21">
        <f>SUMIFS(Einzelbeträge!$D:$D,Einzelbeträge!$C:$C,'Ausgaben 2023'!$C333,Einzelbeträge!$E:$E,'Ausgaben 2023'!E$6)</f>
        <v>0</v>
      </c>
      <c r="F333" s="21">
        <f>SUMIFS(Einzelbeträge!$D:$D,Einzelbeträge!$C:$C,'Ausgaben 2023'!$C333,Einzelbeträge!$E:$E,'Ausgaben 2023'!F$6)</f>
        <v>0</v>
      </c>
      <c r="G333" s="21">
        <f>SUMIFS(Einzelbeträge!$D:$D,Einzelbeträge!$C:$C,'Ausgaben 2023'!$C333,Einzelbeträge!$E:$E,'Ausgaben 2023'!G$6)</f>
        <v>0</v>
      </c>
      <c r="H333" s="21">
        <f>SUMIFS(Einzelbeträge!$D:$D,Einzelbeträge!$C:$C,'Ausgaben 2023'!$C333,Einzelbeträge!$E:$E,'Ausgaben 2023'!H$6)</f>
        <v>0</v>
      </c>
      <c r="I333" s="21">
        <f>SUMIFS(Einzelbeträge!$D:$D,Einzelbeträge!$C:$C,'Ausgaben 2023'!$C333,Einzelbeträge!$E:$E,'Ausgaben 2023'!I$6)</f>
        <v>0</v>
      </c>
      <c r="J333" s="21">
        <f>SUMIFS(Einzelbeträge!$D:$D,Einzelbeträge!$C:$C,'Ausgaben 2023'!$C333,Einzelbeträge!$E:$E,'Ausgaben 2023'!J$6)</f>
        <v>0</v>
      </c>
      <c r="K333" s="21">
        <f>SUMIFS(Einzelbeträge!$D:$D,Einzelbeträge!$C:$C,'Ausgaben 2023'!$C333,Einzelbeträge!$E:$E,'Ausgaben 2023'!K$6)</f>
        <v>0</v>
      </c>
      <c r="L333" s="21">
        <f>SUMIFS(Einzelbeträge!$D:$D,Einzelbeträge!$C:$C,'Ausgaben 2023'!$C333,Einzelbeträge!$E:$E,'Ausgaben 2023'!L$6)</f>
        <v>0</v>
      </c>
      <c r="M333" s="21">
        <f>SUMIFS(Einzelbeträge!$D:$D,Einzelbeträge!$C:$C,'Ausgaben 2023'!$C333,Einzelbeträge!$E:$E,'Ausgaben 2023'!M$6)</f>
        <v>0</v>
      </c>
      <c r="N333" s="35">
        <f>SUMIFS(Einzelbeträge!$D:$D,Einzelbeträge!$C:$C,'Ausgaben 2023'!$C333,Einzelbeträge!$E:$E,'Ausgaben 2023'!N$6)</f>
        <v>0</v>
      </c>
      <c r="O333" s="6"/>
    </row>
    <row r="334" spans="2:15" x14ac:dyDescent="0.35">
      <c r="B334" s="5"/>
      <c r="C334" s="40">
        <f t="shared" si="25"/>
        <v>45226</v>
      </c>
      <c r="D334" s="46">
        <f>SUMIFS(Einzelbeträge!$D:$D,Einzelbeträge!$C:$C,'Ausgaben 2023'!$C334)</f>
        <v>0</v>
      </c>
      <c r="E334" s="21">
        <f>SUMIFS(Einzelbeträge!$D:$D,Einzelbeträge!$C:$C,'Ausgaben 2023'!$C334,Einzelbeträge!$E:$E,'Ausgaben 2023'!E$6)</f>
        <v>0</v>
      </c>
      <c r="F334" s="21">
        <f>SUMIFS(Einzelbeträge!$D:$D,Einzelbeträge!$C:$C,'Ausgaben 2023'!$C334,Einzelbeträge!$E:$E,'Ausgaben 2023'!F$6)</f>
        <v>0</v>
      </c>
      <c r="G334" s="21">
        <f>SUMIFS(Einzelbeträge!$D:$D,Einzelbeträge!$C:$C,'Ausgaben 2023'!$C334,Einzelbeträge!$E:$E,'Ausgaben 2023'!G$6)</f>
        <v>0</v>
      </c>
      <c r="H334" s="21">
        <f>SUMIFS(Einzelbeträge!$D:$D,Einzelbeträge!$C:$C,'Ausgaben 2023'!$C334,Einzelbeträge!$E:$E,'Ausgaben 2023'!H$6)</f>
        <v>0</v>
      </c>
      <c r="I334" s="21">
        <f>SUMIFS(Einzelbeträge!$D:$D,Einzelbeträge!$C:$C,'Ausgaben 2023'!$C334,Einzelbeträge!$E:$E,'Ausgaben 2023'!I$6)</f>
        <v>0</v>
      </c>
      <c r="J334" s="21">
        <f>SUMIFS(Einzelbeträge!$D:$D,Einzelbeträge!$C:$C,'Ausgaben 2023'!$C334,Einzelbeträge!$E:$E,'Ausgaben 2023'!J$6)</f>
        <v>0</v>
      </c>
      <c r="K334" s="21">
        <f>SUMIFS(Einzelbeträge!$D:$D,Einzelbeträge!$C:$C,'Ausgaben 2023'!$C334,Einzelbeträge!$E:$E,'Ausgaben 2023'!K$6)</f>
        <v>0</v>
      </c>
      <c r="L334" s="21">
        <f>SUMIFS(Einzelbeträge!$D:$D,Einzelbeträge!$C:$C,'Ausgaben 2023'!$C334,Einzelbeträge!$E:$E,'Ausgaben 2023'!L$6)</f>
        <v>0</v>
      </c>
      <c r="M334" s="21">
        <f>SUMIFS(Einzelbeträge!$D:$D,Einzelbeträge!$C:$C,'Ausgaben 2023'!$C334,Einzelbeträge!$E:$E,'Ausgaben 2023'!M$6)</f>
        <v>0</v>
      </c>
      <c r="N334" s="35">
        <f>SUMIFS(Einzelbeträge!$D:$D,Einzelbeträge!$C:$C,'Ausgaben 2023'!$C334,Einzelbeträge!$E:$E,'Ausgaben 2023'!N$6)</f>
        <v>0</v>
      </c>
      <c r="O334" s="6"/>
    </row>
    <row r="335" spans="2:15" x14ac:dyDescent="0.35">
      <c r="B335" s="5"/>
      <c r="C335" s="40">
        <f t="shared" si="25"/>
        <v>45227</v>
      </c>
      <c r="D335" s="46">
        <f>SUMIFS(Einzelbeträge!$D:$D,Einzelbeträge!$C:$C,'Ausgaben 2023'!$C335)</f>
        <v>0</v>
      </c>
      <c r="E335" s="21">
        <f>SUMIFS(Einzelbeträge!$D:$D,Einzelbeträge!$C:$C,'Ausgaben 2023'!$C335,Einzelbeträge!$E:$E,'Ausgaben 2023'!E$6)</f>
        <v>0</v>
      </c>
      <c r="F335" s="21">
        <f>SUMIFS(Einzelbeträge!$D:$D,Einzelbeträge!$C:$C,'Ausgaben 2023'!$C335,Einzelbeträge!$E:$E,'Ausgaben 2023'!F$6)</f>
        <v>0</v>
      </c>
      <c r="G335" s="21">
        <f>SUMIFS(Einzelbeträge!$D:$D,Einzelbeträge!$C:$C,'Ausgaben 2023'!$C335,Einzelbeträge!$E:$E,'Ausgaben 2023'!G$6)</f>
        <v>0</v>
      </c>
      <c r="H335" s="21">
        <f>SUMIFS(Einzelbeträge!$D:$D,Einzelbeträge!$C:$C,'Ausgaben 2023'!$C335,Einzelbeträge!$E:$E,'Ausgaben 2023'!H$6)</f>
        <v>0</v>
      </c>
      <c r="I335" s="21">
        <f>SUMIFS(Einzelbeträge!$D:$D,Einzelbeträge!$C:$C,'Ausgaben 2023'!$C335,Einzelbeträge!$E:$E,'Ausgaben 2023'!I$6)</f>
        <v>0</v>
      </c>
      <c r="J335" s="21">
        <f>SUMIFS(Einzelbeträge!$D:$D,Einzelbeträge!$C:$C,'Ausgaben 2023'!$C335,Einzelbeträge!$E:$E,'Ausgaben 2023'!J$6)</f>
        <v>0</v>
      </c>
      <c r="K335" s="21">
        <f>SUMIFS(Einzelbeträge!$D:$D,Einzelbeträge!$C:$C,'Ausgaben 2023'!$C335,Einzelbeträge!$E:$E,'Ausgaben 2023'!K$6)</f>
        <v>0</v>
      </c>
      <c r="L335" s="21">
        <f>SUMIFS(Einzelbeträge!$D:$D,Einzelbeträge!$C:$C,'Ausgaben 2023'!$C335,Einzelbeträge!$E:$E,'Ausgaben 2023'!L$6)</f>
        <v>0</v>
      </c>
      <c r="M335" s="21">
        <f>SUMIFS(Einzelbeträge!$D:$D,Einzelbeträge!$C:$C,'Ausgaben 2023'!$C335,Einzelbeträge!$E:$E,'Ausgaben 2023'!M$6)</f>
        <v>0</v>
      </c>
      <c r="N335" s="35">
        <f>SUMIFS(Einzelbeträge!$D:$D,Einzelbeträge!$C:$C,'Ausgaben 2023'!$C335,Einzelbeträge!$E:$E,'Ausgaben 2023'!N$6)</f>
        <v>0</v>
      </c>
      <c r="O335" s="6"/>
    </row>
    <row r="336" spans="2:15" x14ac:dyDescent="0.35">
      <c r="B336" s="5"/>
      <c r="C336" s="40">
        <f t="shared" si="25"/>
        <v>45228</v>
      </c>
      <c r="D336" s="46">
        <f>SUMIFS(Einzelbeträge!$D:$D,Einzelbeträge!$C:$C,'Ausgaben 2023'!$C336)</f>
        <v>0</v>
      </c>
      <c r="E336" s="21">
        <f>SUMIFS(Einzelbeträge!$D:$D,Einzelbeträge!$C:$C,'Ausgaben 2023'!$C336,Einzelbeträge!$E:$E,'Ausgaben 2023'!E$6)</f>
        <v>0</v>
      </c>
      <c r="F336" s="21">
        <f>SUMIFS(Einzelbeträge!$D:$D,Einzelbeträge!$C:$C,'Ausgaben 2023'!$C336,Einzelbeträge!$E:$E,'Ausgaben 2023'!F$6)</f>
        <v>0</v>
      </c>
      <c r="G336" s="21">
        <f>SUMIFS(Einzelbeträge!$D:$D,Einzelbeträge!$C:$C,'Ausgaben 2023'!$C336,Einzelbeträge!$E:$E,'Ausgaben 2023'!G$6)</f>
        <v>0</v>
      </c>
      <c r="H336" s="21">
        <f>SUMIFS(Einzelbeträge!$D:$D,Einzelbeträge!$C:$C,'Ausgaben 2023'!$C336,Einzelbeträge!$E:$E,'Ausgaben 2023'!H$6)</f>
        <v>0</v>
      </c>
      <c r="I336" s="21">
        <f>SUMIFS(Einzelbeträge!$D:$D,Einzelbeträge!$C:$C,'Ausgaben 2023'!$C336,Einzelbeträge!$E:$E,'Ausgaben 2023'!I$6)</f>
        <v>0</v>
      </c>
      <c r="J336" s="21">
        <f>SUMIFS(Einzelbeträge!$D:$D,Einzelbeträge!$C:$C,'Ausgaben 2023'!$C336,Einzelbeträge!$E:$E,'Ausgaben 2023'!J$6)</f>
        <v>0</v>
      </c>
      <c r="K336" s="21">
        <f>SUMIFS(Einzelbeträge!$D:$D,Einzelbeträge!$C:$C,'Ausgaben 2023'!$C336,Einzelbeträge!$E:$E,'Ausgaben 2023'!K$6)</f>
        <v>0</v>
      </c>
      <c r="L336" s="21">
        <f>SUMIFS(Einzelbeträge!$D:$D,Einzelbeträge!$C:$C,'Ausgaben 2023'!$C336,Einzelbeträge!$E:$E,'Ausgaben 2023'!L$6)</f>
        <v>0</v>
      </c>
      <c r="M336" s="21">
        <f>SUMIFS(Einzelbeträge!$D:$D,Einzelbeträge!$C:$C,'Ausgaben 2023'!$C336,Einzelbeträge!$E:$E,'Ausgaben 2023'!M$6)</f>
        <v>0</v>
      </c>
      <c r="N336" s="35">
        <f>SUMIFS(Einzelbeträge!$D:$D,Einzelbeträge!$C:$C,'Ausgaben 2023'!$C336,Einzelbeträge!$E:$E,'Ausgaben 2023'!N$6)</f>
        <v>0</v>
      </c>
      <c r="O336" s="6"/>
    </row>
    <row r="337" spans="2:15" x14ac:dyDescent="0.35">
      <c r="B337" s="5"/>
      <c r="C337" s="40">
        <f t="shared" si="25"/>
        <v>45229</v>
      </c>
      <c r="D337" s="46">
        <f>SUMIFS(Einzelbeträge!$D:$D,Einzelbeträge!$C:$C,'Ausgaben 2023'!$C337)</f>
        <v>0</v>
      </c>
      <c r="E337" s="21">
        <f>SUMIFS(Einzelbeträge!$D:$D,Einzelbeträge!$C:$C,'Ausgaben 2023'!$C337,Einzelbeträge!$E:$E,'Ausgaben 2023'!E$6)</f>
        <v>0</v>
      </c>
      <c r="F337" s="21">
        <f>SUMIFS(Einzelbeträge!$D:$D,Einzelbeträge!$C:$C,'Ausgaben 2023'!$C337,Einzelbeträge!$E:$E,'Ausgaben 2023'!F$6)</f>
        <v>0</v>
      </c>
      <c r="G337" s="21">
        <f>SUMIFS(Einzelbeträge!$D:$D,Einzelbeträge!$C:$C,'Ausgaben 2023'!$C337,Einzelbeträge!$E:$E,'Ausgaben 2023'!G$6)</f>
        <v>0</v>
      </c>
      <c r="H337" s="21">
        <f>SUMIFS(Einzelbeträge!$D:$D,Einzelbeträge!$C:$C,'Ausgaben 2023'!$C337,Einzelbeträge!$E:$E,'Ausgaben 2023'!H$6)</f>
        <v>0</v>
      </c>
      <c r="I337" s="21">
        <f>SUMIFS(Einzelbeträge!$D:$D,Einzelbeträge!$C:$C,'Ausgaben 2023'!$C337,Einzelbeträge!$E:$E,'Ausgaben 2023'!I$6)</f>
        <v>0</v>
      </c>
      <c r="J337" s="21">
        <f>SUMIFS(Einzelbeträge!$D:$D,Einzelbeträge!$C:$C,'Ausgaben 2023'!$C337,Einzelbeträge!$E:$E,'Ausgaben 2023'!J$6)</f>
        <v>0</v>
      </c>
      <c r="K337" s="21">
        <f>SUMIFS(Einzelbeträge!$D:$D,Einzelbeträge!$C:$C,'Ausgaben 2023'!$C337,Einzelbeträge!$E:$E,'Ausgaben 2023'!K$6)</f>
        <v>0</v>
      </c>
      <c r="L337" s="21">
        <f>SUMIFS(Einzelbeträge!$D:$D,Einzelbeträge!$C:$C,'Ausgaben 2023'!$C337,Einzelbeträge!$E:$E,'Ausgaben 2023'!L$6)</f>
        <v>0</v>
      </c>
      <c r="M337" s="21">
        <f>SUMIFS(Einzelbeträge!$D:$D,Einzelbeträge!$C:$C,'Ausgaben 2023'!$C337,Einzelbeträge!$E:$E,'Ausgaben 2023'!M$6)</f>
        <v>0</v>
      </c>
      <c r="N337" s="35">
        <f>SUMIFS(Einzelbeträge!$D:$D,Einzelbeträge!$C:$C,'Ausgaben 2023'!$C337,Einzelbeträge!$E:$E,'Ausgaben 2023'!N$6)</f>
        <v>0</v>
      </c>
      <c r="O337" s="6"/>
    </row>
    <row r="338" spans="2:15" x14ac:dyDescent="0.35">
      <c r="B338" s="5"/>
      <c r="C338" s="31">
        <f t="shared" si="25"/>
        <v>45230</v>
      </c>
      <c r="D338" s="47">
        <f>SUMIFS(Einzelbeträge!$D:$D,Einzelbeträge!$C:$C,'Ausgaben 2023'!$C338)</f>
        <v>0</v>
      </c>
      <c r="E338" s="37">
        <f>SUMIFS(Einzelbeträge!$D:$D,Einzelbeträge!$C:$C,'Ausgaben 2023'!$C338,Einzelbeträge!$E:$E,'Ausgaben 2023'!E$6)</f>
        <v>0</v>
      </c>
      <c r="F338" s="37">
        <f>SUMIFS(Einzelbeträge!$D:$D,Einzelbeträge!$C:$C,'Ausgaben 2023'!$C338,Einzelbeträge!$E:$E,'Ausgaben 2023'!F$6)</f>
        <v>0</v>
      </c>
      <c r="G338" s="37">
        <f>SUMIFS(Einzelbeträge!$D:$D,Einzelbeträge!$C:$C,'Ausgaben 2023'!$C338,Einzelbeträge!$E:$E,'Ausgaben 2023'!G$6)</f>
        <v>0</v>
      </c>
      <c r="H338" s="37">
        <f>SUMIFS(Einzelbeträge!$D:$D,Einzelbeträge!$C:$C,'Ausgaben 2023'!$C338,Einzelbeträge!$E:$E,'Ausgaben 2023'!H$6)</f>
        <v>0</v>
      </c>
      <c r="I338" s="37">
        <f>SUMIFS(Einzelbeträge!$D:$D,Einzelbeträge!$C:$C,'Ausgaben 2023'!$C338,Einzelbeträge!$E:$E,'Ausgaben 2023'!I$6)</f>
        <v>0</v>
      </c>
      <c r="J338" s="37">
        <f>SUMIFS(Einzelbeträge!$D:$D,Einzelbeträge!$C:$C,'Ausgaben 2023'!$C338,Einzelbeträge!$E:$E,'Ausgaben 2023'!J$6)</f>
        <v>0</v>
      </c>
      <c r="K338" s="37">
        <f>SUMIFS(Einzelbeträge!$D:$D,Einzelbeträge!$C:$C,'Ausgaben 2023'!$C338,Einzelbeträge!$E:$E,'Ausgaben 2023'!K$6)</f>
        <v>0</v>
      </c>
      <c r="L338" s="37">
        <f>SUMIFS(Einzelbeträge!$D:$D,Einzelbeträge!$C:$C,'Ausgaben 2023'!$C338,Einzelbeträge!$E:$E,'Ausgaben 2023'!L$6)</f>
        <v>0</v>
      </c>
      <c r="M338" s="37">
        <f>SUMIFS(Einzelbeträge!$D:$D,Einzelbeträge!$C:$C,'Ausgaben 2023'!$C338,Einzelbeträge!$E:$E,'Ausgaben 2023'!M$6)</f>
        <v>0</v>
      </c>
      <c r="N338" s="38">
        <f>SUMIFS(Einzelbeträge!$D:$D,Einzelbeträge!$C:$C,'Ausgaben 2023'!$C338,Einzelbeträge!$E:$E,'Ausgaben 2023'!N$6)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45231</v>
      </c>
      <c r="D342" s="45">
        <f>SUMIFS(Einzelbeträge!$D:$D,Einzelbeträge!$C:$C,'Ausgaben 2023'!$C342)</f>
        <v>0</v>
      </c>
      <c r="E342" s="32">
        <f>SUMIFS(Einzelbeträge!$D:$D,Einzelbeträge!$C:$C,'Ausgaben 2023'!$C342,Einzelbeträge!$E:$E,'Ausgaben 2023'!E$6)</f>
        <v>0</v>
      </c>
      <c r="F342" s="32">
        <f>SUMIFS(Einzelbeträge!$D:$D,Einzelbeträge!$C:$C,'Ausgaben 2023'!$C342,Einzelbeträge!$E:$E,'Ausgaben 2023'!F$6)</f>
        <v>0</v>
      </c>
      <c r="G342" s="32">
        <f>SUMIFS(Einzelbeträge!$D:$D,Einzelbeträge!$C:$C,'Ausgaben 2023'!$C342,Einzelbeträge!$E:$E,'Ausgaben 2023'!G$6)</f>
        <v>0</v>
      </c>
      <c r="H342" s="32">
        <f>SUMIFS(Einzelbeträge!$D:$D,Einzelbeträge!$C:$C,'Ausgaben 2023'!$C342,Einzelbeträge!$E:$E,'Ausgaben 2023'!H$6)</f>
        <v>0</v>
      </c>
      <c r="I342" s="32">
        <f>SUMIFS(Einzelbeträge!$D:$D,Einzelbeträge!$C:$C,'Ausgaben 2023'!$C342,Einzelbeträge!$E:$E,'Ausgaben 2023'!I$6)</f>
        <v>0</v>
      </c>
      <c r="J342" s="32">
        <f>SUMIFS(Einzelbeträge!$D:$D,Einzelbeträge!$C:$C,'Ausgaben 2023'!$C342,Einzelbeträge!$E:$E,'Ausgaben 2023'!J$6)</f>
        <v>0</v>
      </c>
      <c r="K342" s="32">
        <f>SUMIFS(Einzelbeträge!$D:$D,Einzelbeträge!$C:$C,'Ausgaben 2023'!$C342,Einzelbeträge!$E:$E,'Ausgaben 2023'!K$6)</f>
        <v>0</v>
      </c>
      <c r="L342" s="32">
        <f>SUMIFS(Einzelbeträge!$D:$D,Einzelbeträge!$C:$C,'Ausgaben 2023'!$C342,Einzelbeträge!$E:$E,'Ausgaben 2023'!L$6)</f>
        <v>0</v>
      </c>
      <c r="M342" s="32">
        <f>SUMIFS(Einzelbeträge!$D:$D,Einzelbeträge!$C:$C,'Ausgaben 2023'!$C342,Einzelbeträge!$E:$E,'Ausgaben 2023'!M$6)</f>
        <v>0</v>
      </c>
      <c r="N342" s="33">
        <f>SUMIFS(Einzelbeträge!$D:$D,Einzelbeträge!$C:$C,'Ausgaben 2023'!$C342,Einzelbeträge!$E:$E,'Ausgaben 2023'!N$6)</f>
        <v>0</v>
      </c>
      <c r="O342" s="6"/>
    </row>
    <row r="343" spans="2:15" x14ac:dyDescent="0.35">
      <c r="B343" s="5"/>
      <c r="C343" s="30">
        <f>C342+1</f>
        <v>45232</v>
      </c>
      <c r="D343" s="46">
        <f>SUMIFS(Einzelbeträge!$D:$D,Einzelbeträge!$C:$C,'Ausgaben 2023'!$C343)</f>
        <v>0</v>
      </c>
      <c r="E343" s="21">
        <f>SUMIFS(Einzelbeträge!$D:$D,Einzelbeträge!$C:$C,'Ausgaben 2023'!$C343,Einzelbeträge!$E:$E,'Ausgaben 2023'!E$6)</f>
        <v>0</v>
      </c>
      <c r="F343" s="21">
        <f>SUMIFS(Einzelbeträge!$D:$D,Einzelbeträge!$C:$C,'Ausgaben 2023'!$C343,Einzelbeträge!$E:$E,'Ausgaben 2023'!F$6)</f>
        <v>0</v>
      </c>
      <c r="G343" s="21">
        <f>SUMIFS(Einzelbeträge!$D:$D,Einzelbeträge!$C:$C,'Ausgaben 2023'!$C343,Einzelbeträge!$E:$E,'Ausgaben 2023'!G$6)</f>
        <v>0</v>
      </c>
      <c r="H343" s="21">
        <f>SUMIFS(Einzelbeträge!$D:$D,Einzelbeträge!$C:$C,'Ausgaben 2023'!$C343,Einzelbeträge!$E:$E,'Ausgaben 2023'!H$6)</f>
        <v>0</v>
      </c>
      <c r="I343" s="21">
        <f>SUMIFS(Einzelbeträge!$D:$D,Einzelbeträge!$C:$C,'Ausgaben 2023'!$C343,Einzelbeträge!$E:$E,'Ausgaben 2023'!I$6)</f>
        <v>0</v>
      </c>
      <c r="J343" s="21">
        <f>SUMIFS(Einzelbeträge!$D:$D,Einzelbeträge!$C:$C,'Ausgaben 2023'!$C343,Einzelbeträge!$E:$E,'Ausgaben 2023'!J$6)</f>
        <v>0</v>
      </c>
      <c r="K343" s="21">
        <f>SUMIFS(Einzelbeträge!$D:$D,Einzelbeträge!$C:$C,'Ausgaben 2023'!$C343,Einzelbeträge!$E:$E,'Ausgaben 2023'!K$6)</f>
        <v>0</v>
      </c>
      <c r="L343" s="21">
        <f>SUMIFS(Einzelbeträge!$D:$D,Einzelbeträge!$C:$C,'Ausgaben 2023'!$C343,Einzelbeträge!$E:$E,'Ausgaben 2023'!L$6)</f>
        <v>0</v>
      </c>
      <c r="M343" s="21">
        <f>SUMIFS(Einzelbeträge!$D:$D,Einzelbeträge!$C:$C,'Ausgaben 2023'!$C343,Einzelbeträge!$E:$E,'Ausgaben 2023'!M$6)</f>
        <v>0</v>
      </c>
      <c r="N343" s="35">
        <f>SUMIFS(Einzelbeträge!$D:$D,Einzelbeträge!$C:$C,'Ausgaben 2023'!$C343,Einzelbeträge!$E:$E,'Ausgaben 2023'!N$6)</f>
        <v>0</v>
      </c>
      <c r="O343" s="6"/>
    </row>
    <row r="344" spans="2:15" x14ac:dyDescent="0.35">
      <c r="B344" s="5"/>
      <c r="C344" s="30">
        <f t="shared" ref="C344:C371" si="26">C343+1</f>
        <v>45233</v>
      </c>
      <c r="D344" s="46">
        <f>SUMIFS(Einzelbeträge!$D:$D,Einzelbeträge!$C:$C,'Ausgaben 2023'!$C344)</f>
        <v>0</v>
      </c>
      <c r="E344" s="21">
        <f>SUMIFS(Einzelbeträge!$D:$D,Einzelbeträge!$C:$C,'Ausgaben 2023'!$C344,Einzelbeträge!$E:$E,'Ausgaben 2023'!E$6)</f>
        <v>0</v>
      </c>
      <c r="F344" s="21">
        <f>SUMIFS(Einzelbeträge!$D:$D,Einzelbeträge!$C:$C,'Ausgaben 2023'!$C344,Einzelbeträge!$E:$E,'Ausgaben 2023'!F$6)</f>
        <v>0</v>
      </c>
      <c r="G344" s="21">
        <f>SUMIFS(Einzelbeträge!$D:$D,Einzelbeträge!$C:$C,'Ausgaben 2023'!$C344,Einzelbeträge!$E:$E,'Ausgaben 2023'!G$6)</f>
        <v>0</v>
      </c>
      <c r="H344" s="21">
        <f>SUMIFS(Einzelbeträge!$D:$D,Einzelbeträge!$C:$C,'Ausgaben 2023'!$C344,Einzelbeträge!$E:$E,'Ausgaben 2023'!H$6)</f>
        <v>0</v>
      </c>
      <c r="I344" s="21">
        <f>SUMIFS(Einzelbeträge!$D:$D,Einzelbeträge!$C:$C,'Ausgaben 2023'!$C344,Einzelbeträge!$E:$E,'Ausgaben 2023'!I$6)</f>
        <v>0</v>
      </c>
      <c r="J344" s="21">
        <f>SUMIFS(Einzelbeträge!$D:$D,Einzelbeträge!$C:$C,'Ausgaben 2023'!$C344,Einzelbeträge!$E:$E,'Ausgaben 2023'!J$6)</f>
        <v>0</v>
      </c>
      <c r="K344" s="21">
        <f>SUMIFS(Einzelbeträge!$D:$D,Einzelbeträge!$C:$C,'Ausgaben 2023'!$C344,Einzelbeträge!$E:$E,'Ausgaben 2023'!K$6)</f>
        <v>0</v>
      </c>
      <c r="L344" s="21">
        <f>SUMIFS(Einzelbeträge!$D:$D,Einzelbeträge!$C:$C,'Ausgaben 2023'!$C344,Einzelbeträge!$E:$E,'Ausgaben 2023'!L$6)</f>
        <v>0</v>
      </c>
      <c r="M344" s="21">
        <f>SUMIFS(Einzelbeträge!$D:$D,Einzelbeträge!$C:$C,'Ausgaben 2023'!$C344,Einzelbeträge!$E:$E,'Ausgaben 2023'!M$6)</f>
        <v>0</v>
      </c>
      <c r="N344" s="35">
        <f>SUMIFS(Einzelbeträge!$D:$D,Einzelbeträge!$C:$C,'Ausgaben 2023'!$C344,Einzelbeträge!$E:$E,'Ausgaben 2023'!N$6)</f>
        <v>0</v>
      </c>
      <c r="O344" s="6"/>
    </row>
    <row r="345" spans="2:15" x14ac:dyDescent="0.35">
      <c r="B345" s="5"/>
      <c r="C345" s="30">
        <f t="shared" si="26"/>
        <v>45234</v>
      </c>
      <c r="D345" s="46">
        <f>SUMIFS(Einzelbeträge!$D:$D,Einzelbeträge!$C:$C,'Ausgaben 2023'!$C345)</f>
        <v>0</v>
      </c>
      <c r="E345" s="21">
        <f>SUMIFS(Einzelbeträge!$D:$D,Einzelbeträge!$C:$C,'Ausgaben 2023'!$C345,Einzelbeträge!$E:$E,'Ausgaben 2023'!E$6)</f>
        <v>0</v>
      </c>
      <c r="F345" s="21">
        <f>SUMIFS(Einzelbeträge!$D:$D,Einzelbeträge!$C:$C,'Ausgaben 2023'!$C345,Einzelbeträge!$E:$E,'Ausgaben 2023'!F$6)</f>
        <v>0</v>
      </c>
      <c r="G345" s="21">
        <f>SUMIFS(Einzelbeträge!$D:$D,Einzelbeträge!$C:$C,'Ausgaben 2023'!$C345,Einzelbeträge!$E:$E,'Ausgaben 2023'!G$6)</f>
        <v>0</v>
      </c>
      <c r="H345" s="21">
        <f>SUMIFS(Einzelbeträge!$D:$D,Einzelbeträge!$C:$C,'Ausgaben 2023'!$C345,Einzelbeträge!$E:$E,'Ausgaben 2023'!H$6)</f>
        <v>0</v>
      </c>
      <c r="I345" s="21">
        <f>SUMIFS(Einzelbeträge!$D:$D,Einzelbeträge!$C:$C,'Ausgaben 2023'!$C345,Einzelbeträge!$E:$E,'Ausgaben 2023'!I$6)</f>
        <v>0</v>
      </c>
      <c r="J345" s="21">
        <f>SUMIFS(Einzelbeträge!$D:$D,Einzelbeträge!$C:$C,'Ausgaben 2023'!$C345,Einzelbeträge!$E:$E,'Ausgaben 2023'!J$6)</f>
        <v>0</v>
      </c>
      <c r="K345" s="21">
        <f>SUMIFS(Einzelbeträge!$D:$D,Einzelbeträge!$C:$C,'Ausgaben 2023'!$C345,Einzelbeträge!$E:$E,'Ausgaben 2023'!K$6)</f>
        <v>0</v>
      </c>
      <c r="L345" s="21">
        <f>SUMIFS(Einzelbeträge!$D:$D,Einzelbeträge!$C:$C,'Ausgaben 2023'!$C345,Einzelbeträge!$E:$E,'Ausgaben 2023'!L$6)</f>
        <v>0</v>
      </c>
      <c r="M345" s="21">
        <f>SUMIFS(Einzelbeträge!$D:$D,Einzelbeträge!$C:$C,'Ausgaben 2023'!$C345,Einzelbeträge!$E:$E,'Ausgaben 2023'!M$6)</f>
        <v>0</v>
      </c>
      <c r="N345" s="35">
        <f>SUMIFS(Einzelbeträge!$D:$D,Einzelbeträge!$C:$C,'Ausgaben 2023'!$C345,Einzelbeträge!$E:$E,'Ausgaben 2023'!N$6)</f>
        <v>0</v>
      </c>
      <c r="O345" s="6"/>
    </row>
    <row r="346" spans="2:15" x14ac:dyDescent="0.35">
      <c r="B346" s="5"/>
      <c r="C346" s="30">
        <f t="shared" si="26"/>
        <v>45235</v>
      </c>
      <c r="D346" s="46">
        <f>SUMIFS(Einzelbeträge!$D:$D,Einzelbeträge!$C:$C,'Ausgaben 2023'!$C346)</f>
        <v>0</v>
      </c>
      <c r="E346" s="21">
        <f>SUMIFS(Einzelbeträge!$D:$D,Einzelbeträge!$C:$C,'Ausgaben 2023'!$C346,Einzelbeträge!$E:$E,'Ausgaben 2023'!E$6)</f>
        <v>0</v>
      </c>
      <c r="F346" s="21">
        <f>SUMIFS(Einzelbeträge!$D:$D,Einzelbeträge!$C:$C,'Ausgaben 2023'!$C346,Einzelbeträge!$E:$E,'Ausgaben 2023'!F$6)</f>
        <v>0</v>
      </c>
      <c r="G346" s="21">
        <f>SUMIFS(Einzelbeträge!$D:$D,Einzelbeträge!$C:$C,'Ausgaben 2023'!$C346,Einzelbeträge!$E:$E,'Ausgaben 2023'!G$6)</f>
        <v>0</v>
      </c>
      <c r="H346" s="21">
        <f>SUMIFS(Einzelbeträge!$D:$D,Einzelbeträge!$C:$C,'Ausgaben 2023'!$C346,Einzelbeträge!$E:$E,'Ausgaben 2023'!H$6)</f>
        <v>0</v>
      </c>
      <c r="I346" s="21">
        <f>SUMIFS(Einzelbeträge!$D:$D,Einzelbeträge!$C:$C,'Ausgaben 2023'!$C346,Einzelbeträge!$E:$E,'Ausgaben 2023'!I$6)</f>
        <v>0</v>
      </c>
      <c r="J346" s="21">
        <f>SUMIFS(Einzelbeträge!$D:$D,Einzelbeträge!$C:$C,'Ausgaben 2023'!$C346,Einzelbeträge!$E:$E,'Ausgaben 2023'!J$6)</f>
        <v>0</v>
      </c>
      <c r="K346" s="21">
        <f>SUMIFS(Einzelbeträge!$D:$D,Einzelbeträge!$C:$C,'Ausgaben 2023'!$C346,Einzelbeträge!$E:$E,'Ausgaben 2023'!K$6)</f>
        <v>0</v>
      </c>
      <c r="L346" s="21">
        <f>SUMIFS(Einzelbeträge!$D:$D,Einzelbeträge!$C:$C,'Ausgaben 2023'!$C346,Einzelbeträge!$E:$E,'Ausgaben 2023'!L$6)</f>
        <v>0</v>
      </c>
      <c r="M346" s="21">
        <f>SUMIFS(Einzelbeträge!$D:$D,Einzelbeträge!$C:$C,'Ausgaben 2023'!$C346,Einzelbeträge!$E:$E,'Ausgaben 2023'!M$6)</f>
        <v>0</v>
      </c>
      <c r="N346" s="35">
        <f>SUMIFS(Einzelbeträge!$D:$D,Einzelbeträge!$C:$C,'Ausgaben 2023'!$C346,Einzelbeträge!$E:$E,'Ausgaben 2023'!N$6)</f>
        <v>0</v>
      </c>
      <c r="O346" s="6"/>
    </row>
    <row r="347" spans="2:15" x14ac:dyDescent="0.35">
      <c r="B347" s="5"/>
      <c r="C347" s="30">
        <f t="shared" si="26"/>
        <v>45236</v>
      </c>
      <c r="D347" s="46">
        <f>SUMIFS(Einzelbeträge!$D:$D,Einzelbeträge!$C:$C,'Ausgaben 2023'!$C347)</f>
        <v>0</v>
      </c>
      <c r="E347" s="21">
        <f>SUMIFS(Einzelbeträge!$D:$D,Einzelbeträge!$C:$C,'Ausgaben 2023'!$C347,Einzelbeträge!$E:$E,'Ausgaben 2023'!E$6)</f>
        <v>0</v>
      </c>
      <c r="F347" s="21">
        <f>SUMIFS(Einzelbeträge!$D:$D,Einzelbeträge!$C:$C,'Ausgaben 2023'!$C347,Einzelbeträge!$E:$E,'Ausgaben 2023'!F$6)</f>
        <v>0</v>
      </c>
      <c r="G347" s="21">
        <f>SUMIFS(Einzelbeträge!$D:$D,Einzelbeträge!$C:$C,'Ausgaben 2023'!$C347,Einzelbeträge!$E:$E,'Ausgaben 2023'!G$6)</f>
        <v>0</v>
      </c>
      <c r="H347" s="21">
        <f>SUMIFS(Einzelbeträge!$D:$D,Einzelbeträge!$C:$C,'Ausgaben 2023'!$C347,Einzelbeträge!$E:$E,'Ausgaben 2023'!H$6)</f>
        <v>0</v>
      </c>
      <c r="I347" s="21">
        <f>SUMIFS(Einzelbeträge!$D:$D,Einzelbeträge!$C:$C,'Ausgaben 2023'!$C347,Einzelbeträge!$E:$E,'Ausgaben 2023'!I$6)</f>
        <v>0</v>
      </c>
      <c r="J347" s="21">
        <f>SUMIFS(Einzelbeträge!$D:$D,Einzelbeträge!$C:$C,'Ausgaben 2023'!$C347,Einzelbeträge!$E:$E,'Ausgaben 2023'!J$6)</f>
        <v>0</v>
      </c>
      <c r="K347" s="21">
        <f>SUMIFS(Einzelbeträge!$D:$D,Einzelbeträge!$C:$C,'Ausgaben 2023'!$C347,Einzelbeträge!$E:$E,'Ausgaben 2023'!K$6)</f>
        <v>0</v>
      </c>
      <c r="L347" s="21">
        <f>SUMIFS(Einzelbeträge!$D:$D,Einzelbeträge!$C:$C,'Ausgaben 2023'!$C347,Einzelbeträge!$E:$E,'Ausgaben 2023'!L$6)</f>
        <v>0</v>
      </c>
      <c r="M347" s="21">
        <f>SUMIFS(Einzelbeträge!$D:$D,Einzelbeträge!$C:$C,'Ausgaben 2023'!$C347,Einzelbeträge!$E:$E,'Ausgaben 2023'!M$6)</f>
        <v>0</v>
      </c>
      <c r="N347" s="35">
        <f>SUMIFS(Einzelbeträge!$D:$D,Einzelbeträge!$C:$C,'Ausgaben 2023'!$C347,Einzelbeträge!$E:$E,'Ausgaben 2023'!N$6)</f>
        <v>0</v>
      </c>
      <c r="O347" s="6"/>
    </row>
    <row r="348" spans="2:15" x14ac:dyDescent="0.35">
      <c r="B348" s="5"/>
      <c r="C348" s="30">
        <f t="shared" si="26"/>
        <v>45237</v>
      </c>
      <c r="D348" s="46">
        <f>SUMIFS(Einzelbeträge!$D:$D,Einzelbeträge!$C:$C,'Ausgaben 2023'!$C348)</f>
        <v>0</v>
      </c>
      <c r="E348" s="21">
        <f>SUMIFS(Einzelbeträge!$D:$D,Einzelbeträge!$C:$C,'Ausgaben 2023'!$C348,Einzelbeträge!$E:$E,'Ausgaben 2023'!E$6)</f>
        <v>0</v>
      </c>
      <c r="F348" s="21">
        <f>SUMIFS(Einzelbeträge!$D:$D,Einzelbeträge!$C:$C,'Ausgaben 2023'!$C348,Einzelbeträge!$E:$E,'Ausgaben 2023'!F$6)</f>
        <v>0</v>
      </c>
      <c r="G348" s="21">
        <f>SUMIFS(Einzelbeträge!$D:$D,Einzelbeträge!$C:$C,'Ausgaben 2023'!$C348,Einzelbeträge!$E:$E,'Ausgaben 2023'!G$6)</f>
        <v>0</v>
      </c>
      <c r="H348" s="21">
        <f>SUMIFS(Einzelbeträge!$D:$D,Einzelbeträge!$C:$C,'Ausgaben 2023'!$C348,Einzelbeträge!$E:$E,'Ausgaben 2023'!H$6)</f>
        <v>0</v>
      </c>
      <c r="I348" s="21">
        <f>SUMIFS(Einzelbeträge!$D:$D,Einzelbeträge!$C:$C,'Ausgaben 2023'!$C348,Einzelbeträge!$E:$E,'Ausgaben 2023'!I$6)</f>
        <v>0</v>
      </c>
      <c r="J348" s="21">
        <f>SUMIFS(Einzelbeträge!$D:$D,Einzelbeträge!$C:$C,'Ausgaben 2023'!$C348,Einzelbeträge!$E:$E,'Ausgaben 2023'!J$6)</f>
        <v>0</v>
      </c>
      <c r="K348" s="21">
        <f>SUMIFS(Einzelbeträge!$D:$D,Einzelbeträge!$C:$C,'Ausgaben 2023'!$C348,Einzelbeträge!$E:$E,'Ausgaben 2023'!K$6)</f>
        <v>0</v>
      </c>
      <c r="L348" s="21">
        <f>SUMIFS(Einzelbeträge!$D:$D,Einzelbeträge!$C:$C,'Ausgaben 2023'!$C348,Einzelbeträge!$E:$E,'Ausgaben 2023'!L$6)</f>
        <v>0</v>
      </c>
      <c r="M348" s="21">
        <f>SUMIFS(Einzelbeträge!$D:$D,Einzelbeträge!$C:$C,'Ausgaben 2023'!$C348,Einzelbeträge!$E:$E,'Ausgaben 2023'!M$6)</f>
        <v>0</v>
      </c>
      <c r="N348" s="35">
        <f>SUMIFS(Einzelbeträge!$D:$D,Einzelbeträge!$C:$C,'Ausgaben 2023'!$C348,Einzelbeträge!$E:$E,'Ausgaben 2023'!N$6)</f>
        <v>0</v>
      </c>
      <c r="O348" s="6"/>
    </row>
    <row r="349" spans="2:15" x14ac:dyDescent="0.35">
      <c r="B349" s="5"/>
      <c r="C349" s="30">
        <f t="shared" si="26"/>
        <v>45238</v>
      </c>
      <c r="D349" s="46">
        <f>SUMIFS(Einzelbeträge!$D:$D,Einzelbeträge!$C:$C,'Ausgaben 2023'!$C349)</f>
        <v>0</v>
      </c>
      <c r="E349" s="21">
        <f>SUMIFS(Einzelbeträge!$D:$D,Einzelbeträge!$C:$C,'Ausgaben 2023'!$C349,Einzelbeträge!$E:$E,'Ausgaben 2023'!E$6)</f>
        <v>0</v>
      </c>
      <c r="F349" s="21">
        <f>SUMIFS(Einzelbeträge!$D:$D,Einzelbeträge!$C:$C,'Ausgaben 2023'!$C349,Einzelbeträge!$E:$E,'Ausgaben 2023'!F$6)</f>
        <v>0</v>
      </c>
      <c r="G349" s="21">
        <f>SUMIFS(Einzelbeträge!$D:$D,Einzelbeträge!$C:$C,'Ausgaben 2023'!$C349,Einzelbeträge!$E:$E,'Ausgaben 2023'!G$6)</f>
        <v>0</v>
      </c>
      <c r="H349" s="21">
        <f>SUMIFS(Einzelbeträge!$D:$D,Einzelbeträge!$C:$C,'Ausgaben 2023'!$C349,Einzelbeträge!$E:$E,'Ausgaben 2023'!H$6)</f>
        <v>0</v>
      </c>
      <c r="I349" s="21">
        <f>SUMIFS(Einzelbeträge!$D:$D,Einzelbeträge!$C:$C,'Ausgaben 2023'!$C349,Einzelbeträge!$E:$E,'Ausgaben 2023'!I$6)</f>
        <v>0</v>
      </c>
      <c r="J349" s="21">
        <f>SUMIFS(Einzelbeträge!$D:$D,Einzelbeträge!$C:$C,'Ausgaben 2023'!$C349,Einzelbeträge!$E:$E,'Ausgaben 2023'!J$6)</f>
        <v>0</v>
      </c>
      <c r="K349" s="21">
        <f>SUMIFS(Einzelbeträge!$D:$D,Einzelbeträge!$C:$C,'Ausgaben 2023'!$C349,Einzelbeträge!$E:$E,'Ausgaben 2023'!K$6)</f>
        <v>0</v>
      </c>
      <c r="L349" s="21">
        <f>SUMIFS(Einzelbeträge!$D:$D,Einzelbeträge!$C:$C,'Ausgaben 2023'!$C349,Einzelbeträge!$E:$E,'Ausgaben 2023'!L$6)</f>
        <v>0</v>
      </c>
      <c r="M349" s="21">
        <f>SUMIFS(Einzelbeträge!$D:$D,Einzelbeträge!$C:$C,'Ausgaben 2023'!$C349,Einzelbeträge!$E:$E,'Ausgaben 2023'!M$6)</f>
        <v>0</v>
      </c>
      <c r="N349" s="35">
        <f>SUMIFS(Einzelbeträge!$D:$D,Einzelbeträge!$C:$C,'Ausgaben 2023'!$C349,Einzelbeträge!$E:$E,'Ausgaben 2023'!N$6)</f>
        <v>0</v>
      </c>
      <c r="O349" s="6"/>
    </row>
    <row r="350" spans="2:15" x14ac:dyDescent="0.35">
      <c r="B350" s="5"/>
      <c r="C350" s="30">
        <f t="shared" si="26"/>
        <v>45239</v>
      </c>
      <c r="D350" s="46">
        <f>SUMIFS(Einzelbeträge!$D:$D,Einzelbeträge!$C:$C,'Ausgaben 2023'!$C350)</f>
        <v>0</v>
      </c>
      <c r="E350" s="21">
        <f>SUMIFS(Einzelbeträge!$D:$D,Einzelbeträge!$C:$C,'Ausgaben 2023'!$C350,Einzelbeträge!$E:$E,'Ausgaben 2023'!E$6)</f>
        <v>0</v>
      </c>
      <c r="F350" s="21">
        <f>SUMIFS(Einzelbeträge!$D:$D,Einzelbeträge!$C:$C,'Ausgaben 2023'!$C350,Einzelbeträge!$E:$E,'Ausgaben 2023'!F$6)</f>
        <v>0</v>
      </c>
      <c r="G350" s="21">
        <f>SUMIFS(Einzelbeträge!$D:$D,Einzelbeträge!$C:$C,'Ausgaben 2023'!$C350,Einzelbeträge!$E:$E,'Ausgaben 2023'!G$6)</f>
        <v>0</v>
      </c>
      <c r="H350" s="21">
        <f>SUMIFS(Einzelbeträge!$D:$D,Einzelbeträge!$C:$C,'Ausgaben 2023'!$C350,Einzelbeträge!$E:$E,'Ausgaben 2023'!H$6)</f>
        <v>0</v>
      </c>
      <c r="I350" s="21">
        <f>SUMIFS(Einzelbeträge!$D:$D,Einzelbeträge!$C:$C,'Ausgaben 2023'!$C350,Einzelbeträge!$E:$E,'Ausgaben 2023'!I$6)</f>
        <v>0</v>
      </c>
      <c r="J350" s="21">
        <f>SUMIFS(Einzelbeträge!$D:$D,Einzelbeträge!$C:$C,'Ausgaben 2023'!$C350,Einzelbeträge!$E:$E,'Ausgaben 2023'!J$6)</f>
        <v>0</v>
      </c>
      <c r="K350" s="21">
        <f>SUMIFS(Einzelbeträge!$D:$D,Einzelbeträge!$C:$C,'Ausgaben 2023'!$C350,Einzelbeträge!$E:$E,'Ausgaben 2023'!K$6)</f>
        <v>0</v>
      </c>
      <c r="L350" s="21">
        <f>SUMIFS(Einzelbeträge!$D:$D,Einzelbeträge!$C:$C,'Ausgaben 2023'!$C350,Einzelbeträge!$E:$E,'Ausgaben 2023'!L$6)</f>
        <v>0</v>
      </c>
      <c r="M350" s="21">
        <f>SUMIFS(Einzelbeträge!$D:$D,Einzelbeträge!$C:$C,'Ausgaben 2023'!$C350,Einzelbeträge!$E:$E,'Ausgaben 2023'!M$6)</f>
        <v>0</v>
      </c>
      <c r="N350" s="35">
        <f>SUMIFS(Einzelbeträge!$D:$D,Einzelbeträge!$C:$C,'Ausgaben 2023'!$C350,Einzelbeträge!$E:$E,'Ausgaben 2023'!N$6)</f>
        <v>0</v>
      </c>
      <c r="O350" s="6"/>
    </row>
    <row r="351" spans="2:15" x14ac:dyDescent="0.35">
      <c r="B351" s="5"/>
      <c r="C351" s="30">
        <f t="shared" si="26"/>
        <v>45240</v>
      </c>
      <c r="D351" s="46">
        <f>SUMIFS(Einzelbeträge!$D:$D,Einzelbeträge!$C:$C,'Ausgaben 2023'!$C351)</f>
        <v>0</v>
      </c>
      <c r="E351" s="21">
        <f>SUMIFS(Einzelbeträge!$D:$D,Einzelbeträge!$C:$C,'Ausgaben 2023'!$C351,Einzelbeträge!$E:$E,'Ausgaben 2023'!E$6)</f>
        <v>0</v>
      </c>
      <c r="F351" s="21">
        <f>SUMIFS(Einzelbeträge!$D:$D,Einzelbeträge!$C:$C,'Ausgaben 2023'!$C351,Einzelbeträge!$E:$E,'Ausgaben 2023'!F$6)</f>
        <v>0</v>
      </c>
      <c r="G351" s="21">
        <f>SUMIFS(Einzelbeträge!$D:$D,Einzelbeträge!$C:$C,'Ausgaben 2023'!$C351,Einzelbeträge!$E:$E,'Ausgaben 2023'!G$6)</f>
        <v>0</v>
      </c>
      <c r="H351" s="21">
        <f>SUMIFS(Einzelbeträge!$D:$D,Einzelbeträge!$C:$C,'Ausgaben 2023'!$C351,Einzelbeträge!$E:$E,'Ausgaben 2023'!H$6)</f>
        <v>0</v>
      </c>
      <c r="I351" s="21">
        <f>SUMIFS(Einzelbeträge!$D:$D,Einzelbeträge!$C:$C,'Ausgaben 2023'!$C351,Einzelbeträge!$E:$E,'Ausgaben 2023'!I$6)</f>
        <v>0</v>
      </c>
      <c r="J351" s="21">
        <f>SUMIFS(Einzelbeträge!$D:$D,Einzelbeträge!$C:$C,'Ausgaben 2023'!$C351,Einzelbeträge!$E:$E,'Ausgaben 2023'!J$6)</f>
        <v>0</v>
      </c>
      <c r="K351" s="21">
        <f>SUMIFS(Einzelbeträge!$D:$D,Einzelbeträge!$C:$C,'Ausgaben 2023'!$C351,Einzelbeträge!$E:$E,'Ausgaben 2023'!K$6)</f>
        <v>0</v>
      </c>
      <c r="L351" s="21">
        <f>SUMIFS(Einzelbeträge!$D:$D,Einzelbeträge!$C:$C,'Ausgaben 2023'!$C351,Einzelbeträge!$E:$E,'Ausgaben 2023'!L$6)</f>
        <v>0</v>
      </c>
      <c r="M351" s="21">
        <f>SUMIFS(Einzelbeträge!$D:$D,Einzelbeträge!$C:$C,'Ausgaben 2023'!$C351,Einzelbeträge!$E:$E,'Ausgaben 2023'!M$6)</f>
        <v>0</v>
      </c>
      <c r="N351" s="35">
        <f>SUMIFS(Einzelbeträge!$D:$D,Einzelbeträge!$C:$C,'Ausgaben 2023'!$C351,Einzelbeträge!$E:$E,'Ausgaben 2023'!N$6)</f>
        <v>0</v>
      </c>
      <c r="O351" s="6"/>
    </row>
    <row r="352" spans="2:15" x14ac:dyDescent="0.35">
      <c r="B352" s="5"/>
      <c r="C352" s="30">
        <f t="shared" si="26"/>
        <v>45241</v>
      </c>
      <c r="D352" s="46">
        <f>SUMIFS(Einzelbeträge!$D:$D,Einzelbeträge!$C:$C,'Ausgaben 2023'!$C352)</f>
        <v>0</v>
      </c>
      <c r="E352" s="21">
        <f>SUMIFS(Einzelbeträge!$D:$D,Einzelbeträge!$C:$C,'Ausgaben 2023'!$C352,Einzelbeträge!$E:$E,'Ausgaben 2023'!E$6)</f>
        <v>0</v>
      </c>
      <c r="F352" s="21">
        <f>SUMIFS(Einzelbeträge!$D:$D,Einzelbeträge!$C:$C,'Ausgaben 2023'!$C352,Einzelbeträge!$E:$E,'Ausgaben 2023'!F$6)</f>
        <v>0</v>
      </c>
      <c r="G352" s="21">
        <f>SUMIFS(Einzelbeträge!$D:$D,Einzelbeträge!$C:$C,'Ausgaben 2023'!$C352,Einzelbeträge!$E:$E,'Ausgaben 2023'!G$6)</f>
        <v>0</v>
      </c>
      <c r="H352" s="21">
        <f>SUMIFS(Einzelbeträge!$D:$D,Einzelbeträge!$C:$C,'Ausgaben 2023'!$C352,Einzelbeträge!$E:$E,'Ausgaben 2023'!H$6)</f>
        <v>0</v>
      </c>
      <c r="I352" s="21">
        <f>SUMIFS(Einzelbeträge!$D:$D,Einzelbeträge!$C:$C,'Ausgaben 2023'!$C352,Einzelbeträge!$E:$E,'Ausgaben 2023'!I$6)</f>
        <v>0</v>
      </c>
      <c r="J352" s="21">
        <f>SUMIFS(Einzelbeträge!$D:$D,Einzelbeträge!$C:$C,'Ausgaben 2023'!$C352,Einzelbeträge!$E:$E,'Ausgaben 2023'!J$6)</f>
        <v>0</v>
      </c>
      <c r="K352" s="21">
        <f>SUMIFS(Einzelbeträge!$D:$D,Einzelbeträge!$C:$C,'Ausgaben 2023'!$C352,Einzelbeträge!$E:$E,'Ausgaben 2023'!K$6)</f>
        <v>0</v>
      </c>
      <c r="L352" s="21">
        <f>SUMIFS(Einzelbeträge!$D:$D,Einzelbeträge!$C:$C,'Ausgaben 2023'!$C352,Einzelbeträge!$E:$E,'Ausgaben 2023'!L$6)</f>
        <v>0</v>
      </c>
      <c r="M352" s="21">
        <f>SUMIFS(Einzelbeträge!$D:$D,Einzelbeträge!$C:$C,'Ausgaben 2023'!$C352,Einzelbeträge!$E:$E,'Ausgaben 2023'!M$6)</f>
        <v>0</v>
      </c>
      <c r="N352" s="35">
        <f>SUMIFS(Einzelbeträge!$D:$D,Einzelbeträge!$C:$C,'Ausgaben 2023'!$C352,Einzelbeträge!$E:$E,'Ausgaben 2023'!N$6)</f>
        <v>0</v>
      </c>
      <c r="O352" s="6"/>
    </row>
    <row r="353" spans="2:15" x14ac:dyDescent="0.35">
      <c r="B353" s="5"/>
      <c r="C353" s="30">
        <f t="shared" si="26"/>
        <v>45242</v>
      </c>
      <c r="D353" s="46">
        <f>SUMIFS(Einzelbeträge!$D:$D,Einzelbeträge!$C:$C,'Ausgaben 2023'!$C353)</f>
        <v>0</v>
      </c>
      <c r="E353" s="21">
        <f>SUMIFS(Einzelbeträge!$D:$D,Einzelbeträge!$C:$C,'Ausgaben 2023'!$C353,Einzelbeträge!$E:$E,'Ausgaben 2023'!E$6)</f>
        <v>0</v>
      </c>
      <c r="F353" s="21">
        <f>SUMIFS(Einzelbeträge!$D:$D,Einzelbeträge!$C:$C,'Ausgaben 2023'!$C353,Einzelbeträge!$E:$E,'Ausgaben 2023'!F$6)</f>
        <v>0</v>
      </c>
      <c r="G353" s="21">
        <f>SUMIFS(Einzelbeträge!$D:$D,Einzelbeträge!$C:$C,'Ausgaben 2023'!$C353,Einzelbeträge!$E:$E,'Ausgaben 2023'!G$6)</f>
        <v>0</v>
      </c>
      <c r="H353" s="21">
        <f>SUMIFS(Einzelbeträge!$D:$D,Einzelbeträge!$C:$C,'Ausgaben 2023'!$C353,Einzelbeträge!$E:$E,'Ausgaben 2023'!H$6)</f>
        <v>0</v>
      </c>
      <c r="I353" s="21">
        <f>SUMIFS(Einzelbeträge!$D:$D,Einzelbeträge!$C:$C,'Ausgaben 2023'!$C353,Einzelbeträge!$E:$E,'Ausgaben 2023'!I$6)</f>
        <v>0</v>
      </c>
      <c r="J353" s="21">
        <f>SUMIFS(Einzelbeträge!$D:$D,Einzelbeträge!$C:$C,'Ausgaben 2023'!$C353,Einzelbeträge!$E:$E,'Ausgaben 2023'!J$6)</f>
        <v>0</v>
      </c>
      <c r="K353" s="21">
        <f>SUMIFS(Einzelbeträge!$D:$D,Einzelbeträge!$C:$C,'Ausgaben 2023'!$C353,Einzelbeträge!$E:$E,'Ausgaben 2023'!K$6)</f>
        <v>0</v>
      </c>
      <c r="L353" s="21">
        <f>SUMIFS(Einzelbeträge!$D:$D,Einzelbeträge!$C:$C,'Ausgaben 2023'!$C353,Einzelbeträge!$E:$E,'Ausgaben 2023'!L$6)</f>
        <v>0</v>
      </c>
      <c r="M353" s="21">
        <f>SUMIFS(Einzelbeträge!$D:$D,Einzelbeträge!$C:$C,'Ausgaben 2023'!$C353,Einzelbeträge!$E:$E,'Ausgaben 2023'!M$6)</f>
        <v>0</v>
      </c>
      <c r="N353" s="35">
        <f>SUMIFS(Einzelbeträge!$D:$D,Einzelbeträge!$C:$C,'Ausgaben 2023'!$C353,Einzelbeträge!$E:$E,'Ausgaben 2023'!N$6)</f>
        <v>0</v>
      </c>
      <c r="O353" s="6"/>
    </row>
    <row r="354" spans="2:15" x14ac:dyDescent="0.35">
      <c r="B354" s="5"/>
      <c r="C354" s="30">
        <f t="shared" si="26"/>
        <v>45243</v>
      </c>
      <c r="D354" s="46">
        <f>SUMIFS(Einzelbeträge!$D:$D,Einzelbeträge!$C:$C,'Ausgaben 2023'!$C354)</f>
        <v>0</v>
      </c>
      <c r="E354" s="21">
        <f>SUMIFS(Einzelbeträge!$D:$D,Einzelbeträge!$C:$C,'Ausgaben 2023'!$C354,Einzelbeträge!$E:$E,'Ausgaben 2023'!E$6)</f>
        <v>0</v>
      </c>
      <c r="F354" s="21">
        <f>SUMIFS(Einzelbeträge!$D:$D,Einzelbeträge!$C:$C,'Ausgaben 2023'!$C354,Einzelbeträge!$E:$E,'Ausgaben 2023'!F$6)</f>
        <v>0</v>
      </c>
      <c r="G354" s="21">
        <f>SUMIFS(Einzelbeträge!$D:$D,Einzelbeträge!$C:$C,'Ausgaben 2023'!$C354,Einzelbeträge!$E:$E,'Ausgaben 2023'!G$6)</f>
        <v>0</v>
      </c>
      <c r="H354" s="21">
        <f>SUMIFS(Einzelbeträge!$D:$D,Einzelbeträge!$C:$C,'Ausgaben 2023'!$C354,Einzelbeträge!$E:$E,'Ausgaben 2023'!H$6)</f>
        <v>0</v>
      </c>
      <c r="I354" s="21">
        <f>SUMIFS(Einzelbeträge!$D:$D,Einzelbeträge!$C:$C,'Ausgaben 2023'!$C354,Einzelbeträge!$E:$E,'Ausgaben 2023'!I$6)</f>
        <v>0</v>
      </c>
      <c r="J354" s="21">
        <f>SUMIFS(Einzelbeträge!$D:$D,Einzelbeträge!$C:$C,'Ausgaben 2023'!$C354,Einzelbeträge!$E:$E,'Ausgaben 2023'!J$6)</f>
        <v>0</v>
      </c>
      <c r="K354" s="21">
        <f>SUMIFS(Einzelbeträge!$D:$D,Einzelbeträge!$C:$C,'Ausgaben 2023'!$C354,Einzelbeträge!$E:$E,'Ausgaben 2023'!K$6)</f>
        <v>0</v>
      </c>
      <c r="L354" s="21">
        <f>SUMIFS(Einzelbeträge!$D:$D,Einzelbeträge!$C:$C,'Ausgaben 2023'!$C354,Einzelbeträge!$E:$E,'Ausgaben 2023'!L$6)</f>
        <v>0</v>
      </c>
      <c r="M354" s="21">
        <f>SUMIFS(Einzelbeträge!$D:$D,Einzelbeträge!$C:$C,'Ausgaben 2023'!$C354,Einzelbeträge!$E:$E,'Ausgaben 2023'!M$6)</f>
        <v>0</v>
      </c>
      <c r="N354" s="35">
        <f>SUMIFS(Einzelbeträge!$D:$D,Einzelbeträge!$C:$C,'Ausgaben 2023'!$C354,Einzelbeträge!$E:$E,'Ausgaben 2023'!N$6)</f>
        <v>0</v>
      </c>
      <c r="O354" s="6"/>
    </row>
    <row r="355" spans="2:15" x14ac:dyDescent="0.35">
      <c r="B355" s="5"/>
      <c r="C355" s="30">
        <f t="shared" si="26"/>
        <v>45244</v>
      </c>
      <c r="D355" s="46">
        <f>SUMIFS(Einzelbeträge!$D:$D,Einzelbeträge!$C:$C,'Ausgaben 2023'!$C355)</f>
        <v>0</v>
      </c>
      <c r="E355" s="21">
        <f>SUMIFS(Einzelbeträge!$D:$D,Einzelbeträge!$C:$C,'Ausgaben 2023'!$C355,Einzelbeträge!$E:$E,'Ausgaben 2023'!E$6)</f>
        <v>0</v>
      </c>
      <c r="F355" s="21">
        <f>SUMIFS(Einzelbeträge!$D:$D,Einzelbeträge!$C:$C,'Ausgaben 2023'!$C355,Einzelbeträge!$E:$E,'Ausgaben 2023'!F$6)</f>
        <v>0</v>
      </c>
      <c r="G355" s="21">
        <f>SUMIFS(Einzelbeträge!$D:$D,Einzelbeträge!$C:$C,'Ausgaben 2023'!$C355,Einzelbeträge!$E:$E,'Ausgaben 2023'!G$6)</f>
        <v>0</v>
      </c>
      <c r="H355" s="21">
        <f>SUMIFS(Einzelbeträge!$D:$D,Einzelbeträge!$C:$C,'Ausgaben 2023'!$C355,Einzelbeträge!$E:$E,'Ausgaben 2023'!H$6)</f>
        <v>0</v>
      </c>
      <c r="I355" s="21">
        <f>SUMIFS(Einzelbeträge!$D:$D,Einzelbeträge!$C:$C,'Ausgaben 2023'!$C355,Einzelbeträge!$E:$E,'Ausgaben 2023'!I$6)</f>
        <v>0</v>
      </c>
      <c r="J355" s="21">
        <f>SUMIFS(Einzelbeträge!$D:$D,Einzelbeträge!$C:$C,'Ausgaben 2023'!$C355,Einzelbeträge!$E:$E,'Ausgaben 2023'!J$6)</f>
        <v>0</v>
      </c>
      <c r="K355" s="21">
        <f>SUMIFS(Einzelbeträge!$D:$D,Einzelbeträge!$C:$C,'Ausgaben 2023'!$C355,Einzelbeträge!$E:$E,'Ausgaben 2023'!K$6)</f>
        <v>0</v>
      </c>
      <c r="L355" s="21">
        <f>SUMIFS(Einzelbeträge!$D:$D,Einzelbeträge!$C:$C,'Ausgaben 2023'!$C355,Einzelbeträge!$E:$E,'Ausgaben 2023'!L$6)</f>
        <v>0</v>
      </c>
      <c r="M355" s="21">
        <f>SUMIFS(Einzelbeträge!$D:$D,Einzelbeträge!$C:$C,'Ausgaben 2023'!$C355,Einzelbeträge!$E:$E,'Ausgaben 2023'!M$6)</f>
        <v>0</v>
      </c>
      <c r="N355" s="35">
        <f>SUMIFS(Einzelbeträge!$D:$D,Einzelbeträge!$C:$C,'Ausgaben 2023'!$C355,Einzelbeträge!$E:$E,'Ausgaben 2023'!N$6)</f>
        <v>0</v>
      </c>
      <c r="O355" s="6"/>
    </row>
    <row r="356" spans="2:15" x14ac:dyDescent="0.35">
      <c r="B356" s="5"/>
      <c r="C356" s="30">
        <f t="shared" si="26"/>
        <v>45245</v>
      </c>
      <c r="D356" s="46">
        <f>SUMIFS(Einzelbeträge!$D:$D,Einzelbeträge!$C:$C,'Ausgaben 2023'!$C356)</f>
        <v>0</v>
      </c>
      <c r="E356" s="21">
        <f>SUMIFS(Einzelbeträge!$D:$D,Einzelbeträge!$C:$C,'Ausgaben 2023'!$C356,Einzelbeträge!$E:$E,'Ausgaben 2023'!E$6)</f>
        <v>0</v>
      </c>
      <c r="F356" s="21">
        <f>SUMIFS(Einzelbeträge!$D:$D,Einzelbeträge!$C:$C,'Ausgaben 2023'!$C356,Einzelbeträge!$E:$E,'Ausgaben 2023'!F$6)</f>
        <v>0</v>
      </c>
      <c r="G356" s="21">
        <f>SUMIFS(Einzelbeträge!$D:$D,Einzelbeträge!$C:$C,'Ausgaben 2023'!$C356,Einzelbeträge!$E:$E,'Ausgaben 2023'!G$6)</f>
        <v>0</v>
      </c>
      <c r="H356" s="21">
        <f>SUMIFS(Einzelbeträge!$D:$D,Einzelbeträge!$C:$C,'Ausgaben 2023'!$C356,Einzelbeträge!$E:$E,'Ausgaben 2023'!H$6)</f>
        <v>0</v>
      </c>
      <c r="I356" s="21">
        <f>SUMIFS(Einzelbeträge!$D:$D,Einzelbeträge!$C:$C,'Ausgaben 2023'!$C356,Einzelbeträge!$E:$E,'Ausgaben 2023'!I$6)</f>
        <v>0</v>
      </c>
      <c r="J356" s="21">
        <f>SUMIFS(Einzelbeträge!$D:$D,Einzelbeträge!$C:$C,'Ausgaben 2023'!$C356,Einzelbeträge!$E:$E,'Ausgaben 2023'!J$6)</f>
        <v>0</v>
      </c>
      <c r="K356" s="21">
        <f>SUMIFS(Einzelbeträge!$D:$D,Einzelbeträge!$C:$C,'Ausgaben 2023'!$C356,Einzelbeträge!$E:$E,'Ausgaben 2023'!K$6)</f>
        <v>0</v>
      </c>
      <c r="L356" s="21">
        <f>SUMIFS(Einzelbeträge!$D:$D,Einzelbeträge!$C:$C,'Ausgaben 2023'!$C356,Einzelbeträge!$E:$E,'Ausgaben 2023'!L$6)</f>
        <v>0</v>
      </c>
      <c r="M356" s="21">
        <f>SUMIFS(Einzelbeträge!$D:$D,Einzelbeträge!$C:$C,'Ausgaben 2023'!$C356,Einzelbeträge!$E:$E,'Ausgaben 2023'!M$6)</f>
        <v>0</v>
      </c>
      <c r="N356" s="35">
        <f>SUMIFS(Einzelbeträge!$D:$D,Einzelbeträge!$C:$C,'Ausgaben 2023'!$C356,Einzelbeträge!$E:$E,'Ausgaben 2023'!N$6)</f>
        <v>0</v>
      </c>
      <c r="O356" s="6"/>
    </row>
    <row r="357" spans="2:15" x14ac:dyDescent="0.35">
      <c r="B357" s="5"/>
      <c r="C357" s="30">
        <f t="shared" si="26"/>
        <v>45246</v>
      </c>
      <c r="D357" s="46">
        <f>SUMIFS(Einzelbeträge!$D:$D,Einzelbeträge!$C:$C,'Ausgaben 2023'!$C357)</f>
        <v>0</v>
      </c>
      <c r="E357" s="21">
        <f>SUMIFS(Einzelbeträge!$D:$D,Einzelbeträge!$C:$C,'Ausgaben 2023'!$C357,Einzelbeträge!$E:$E,'Ausgaben 2023'!E$6)</f>
        <v>0</v>
      </c>
      <c r="F357" s="21">
        <f>SUMIFS(Einzelbeträge!$D:$D,Einzelbeträge!$C:$C,'Ausgaben 2023'!$C357,Einzelbeträge!$E:$E,'Ausgaben 2023'!F$6)</f>
        <v>0</v>
      </c>
      <c r="G357" s="21">
        <f>SUMIFS(Einzelbeträge!$D:$D,Einzelbeträge!$C:$C,'Ausgaben 2023'!$C357,Einzelbeträge!$E:$E,'Ausgaben 2023'!G$6)</f>
        <v>0</v>
      </c>
      <c r="H357" s="21">
        <f>SUMIFS(Einzelbeträge!$D:$D,Einzelbeträge!$C:$C,'Ausgaben 2023'!$C357,Einzelbeträge!$E:$E,'Ausgaben 2023'!H$6)</f>
        <v>0</v>
      </c>
      <c r="I357" s="21">
        <f>SUMIFS(Einzelbeträge!$D:$D,Einzelbeträge!$C:$C,'Ausgaben 2023'!$C357,Einzelbeträge!$E:$E,'Ausgaben 2023'!I$6)</f>
        <v>0</v>
      </c>
      <c r="J357" s="21">
        <f>SUMIFS(Einzelbeträge!$D:$D,Einzelbeträge!$C:$C,'Ausgaben 2023'!$C357,Einzelbeträge!$E:$E,'Ausgaben 2023'!J$6)</f>
        <v>0</v>
      </c>
      <c r="K357" s="21">
        <f>SUMIFS(Einzelbeträge!$D:$D,Einzelbeträge!$C:$C,'Ausgaben 2023'!$C357,Einzelbeträge!$E:$E,'Ausgaben 2023'!K$6)</f>
        <v>0</v>
      </c>
      <c r="L357" s="21">
        <f>SUMIFS(Einzelbeträge!$D:$D,Einzelbeträge!$C:$C,'Ausgaben 2023'!$C357,Einzelbeträge!$E:$E,'Ausgaben 2023'!L$6)</f>
        <v>0</v>
      </c>
      <c r="M357" s="21">
        <f>SUMIFS(Einzelbeträge!$D:$D,Einzelbeträge!$C:$C,'Ausgaben 2023'!$C357,Einzelbeträge!$E:$E,'Ausgaben 2023'!M$6)</f>
        <v>0</v>
      </c>
      <c r="N357" s="35">
        <f>SUMIFS(Einzelbeträge!$D:$D,Einzelbeträge!$C:$C,'Ausgaben 2023'!$C357,Einzelbeträge!$E:$E,'Ausgaben 2023'!N$6)</f>
        <v>0</v>
      </c>
      <c r="O357" s="6"/>
    </row>
    <row r="358" spans="2:15" x14ac:dyDescent="0.35">
      <c r="B358" s="5"/>
      <c r="C358" s="30">
        <f t="shared" si="26"/>
        <v>45247</v>
      </c>
      <c r="D358" s="46">
        <f>SUMIFS(Einzelbeträge!$D:$D,Einzelbeträge!$C:$C,'Ausgaben 2023'!$C358)</f>
        <v>0</v>
      </c>
      <c r="E358" s="21">
        <f>SUMIFS(Einzelbeträge!$D:$D,Einzelbeträge!$C:$C,'Ausgaben 2023'!$C358,Einzelbeträge!$E:$E,'Ausgaben 2023'!E$6)</f>
        <v>0</v>
      </c>
      <c r="F358" s="21">
        <f>SUMIFS(Einzelbeträge!$D:$D,Einzelbeträge!$C:$C,'Ausgaben 2023'!$C358,Einzelbeträge!$E:$E,'Ausgaben 2023'!F$6)</f>
        <v>0</v>
      </c>
      <c r="G358" s="21">
        <f>SUMIFS(Einzelbeträge!$D:$D,Einzelbeträge!$C:$C,'Ausgaben 2023'!$C358,Einzelbeträge!$E:$E,'Ausgaben 2023'!G$6)</f>
        <v>0</v>
      </c>
      <c r="H358" s="21">
        <f>SUMIFS(Einzelbeträge!$D:$D,Einzelbeträge!$C:$C,'Ausgaben 2023'!$C358,Einzelbeträge!$E:$E,'Ausgaben 2023'!H$6)</f>
        <v>0</v>
      </c>
      <c r="I358" s="21">
        <f>SUMIFS(Einzelbeträge!$D:$D,Einzelbeträge!$C:$C,'Ausgaben 2023'!$C358,Einzelbeträge!$E:$E,'Ausgaben 2023'!I$6)</f>
        <v>0</v>
      </c>
      <c r="J358" s="21">
        <f>SUMIFS(Einzelbeträge!$D:$D,Einzelbeträge!$C:$C,'Ausgaben 2023'!$C358,Einzelbeträge!$E:$E,'Ausgaben 2023'!J$6)</f>
        <v>0</v>
      </c>
      <c r="K358" s="21">
        <f>SUMIFS(Einzelbeträge!$D:$D,Einzelbeträge!$C:$C,'Ausgaben 2023'!$C358,Einzelbeträge!$E:$E,'Ausgaben 2023'!K$6)</f>
        <v>0</v>
      </c>
      <c r="L358" s="21">
        <f>SUMIFS(Einzelbeträge!$D:$D,Einzelbeträge!$C:$C,'Ausgaben 2023'!$C358,Einzelbeträge!$E:$E,'Ausgaben 2023'!L$6)</f>
        <v>0</v>
      </c>
      <c r="M358" s="21">
        <f>SUMIFS(Einzelbeträge!$D:$D,Einzelbeträge!$C:$C,'Ausgaben 2023'!$C358,Einzelbeträge!$E:$E,'Ausgaben 2023'!M$6)</f>
        <v>0</v>
      </c>
      <c r="N358" s="35">
        <f>SUMIFS(Einzelbeträge!$D:$D,Einzelbeträge!$C:$C,'Ausgaben 2023'!$C358,Einzelbeträge!$E:$E,'Ausgaben 2023'!N$6)</f>
        <v>0</v>
      </c>
      <c r="O358" s="6"/>
    </row>
    <row r="359" spans="2:15" x14ac:dyDescent="0.35">
      <c r="B359" s="5"/>
      <c r="C359" s="30">
        <f t="shared" si="26"/>
        <v>45248</v>
      </c>
      <c r="D359" s="46">
        <f>SUMIFS(Einzelbeträge!$D:$D,Einzelbeträge!$C:$C,'Ausgaben 2023'!$C359)</f>
        <v>0</v>
      </c>
      <c r="E359" s="21">
        <f>SUMIFS(Einzelbeträge!$D:$D,Einzelbeträge!$C:$C,'Ausgaben 2023'!$C359,Einzelbeträge!$E:$E,'Ausgaben 2023'!E$6)</f>
        <v>0</v>
      </c>
      <c r="F359" s="21">
        <f>SUMIFS(Einzelbeträge!$D:$D,Einzelbeträge!$C:$C,'Ausgaben 2023'!$C359,Einzelbeträge!$E:$E,'Ausgaben 2023'!F$6)</f>
        <v>0</v>
      </c>
      <c r="G359" s="21">
        <f>SUMIFS(Einzelbeträge!$D:$D,Einzelbeträge!$C:$C,'Ausgaben 2023'!$C359,Einzelbeträge!$E:$E,'Ausgaben 2023'!G$6)</f>
        <v>0</v>
      </c>
      <c r="H359" s="21">
        <f>SUMIFS(Einzelbeträge!$D:$D,Einzelbeträge!$C:$C,'Ausgaben 2023'!$C359,Einzelbeträge!$E:$E,'Ausgaben 2023'!H$6)</f>
        <v>0</v>
      </c>
      <c r="I359" s="21">
        <f>SUMIFS(Einzelbeträge!$D:$D,Einzelbeträge!$C:$C,'Ausgaben 2023'!$C359,Einzelbeträge!$E:$E,'Ausgaben 2023'!I$6)</f>
        <v>0</v>
      </c>
      <c r="J359" s="21">
        <f>SUMIFS(Einzelbeträge!$D:$D,Einzelbeträge!$C:$C,'Ausgaben 2023'!$C359,Einzelbeträge!$E:$E,'Ausgaben 2023'!J$6)</f>
        <v>0</v>
      </c>
      <c r="K359" s="21">
        <f>SUMIFS(Einzelbeträge!$D:$D,Einzelbeträge!$C:$C,'Ausgaben 2023'!$C359,Einzelbeträge!$E:$E,'Ausgaben 2023'!K$6)</f>
        <v>0</v>
      </c>
      <c r="L359" s="21">
        <f>SUMIFS(Einzelbeträge!$D:$D,Einzelbeträge!$C:$C,'Ausgaben 2023'!$C359,Einzelbeträge!$E:$E,'Ausgaben 2023'!L$6)</f>
        <v>0</v>
      </c>
      <c r="M359" s="21">
        <f>SUMIFS(Einzelbeträge!$D:$D,Einzelbeträge!$C:$C,'Ausgaben 2023'!$C359,Einzelbeträge!$E:$E,'Ausgaben 2023'!M$6)</f>
        <v>0</v>
      </c>
      <c r="N359" s="35">
        <f>SUMIFS(Einzelbeträge!$D:$D,Einzelbeträge!$C:$C,'Ausgaben 2023'!$C359,Einzelbeträge!$E:$E,'Ausgaben 2023'!N$6)</f>
        <v>0</v>
      </c>
      <c r="O359" s="6"/>
    </row>
    <row r="360" spans="2:15" x14ac:dyDescent="0.35">
      <c r="B360" s="5"/>
      <c r="C360" s="30">
        <f t="shared" si="26"/>
        <v>45249</v>
      </c>
      <c r="D360" s="46">
        <f>SUMIFS(Einzelbeträge!$D:$D,Einzelbeträge!$C:$C,'Ausgaben 2023'!$C360)</f>
        <v>0</v>
      </c>
      <c r="E360" s="21">
        <f>SUMIFS(Einzelbeträge!$D:$D,Einzelbeträge!$C:$C,'Ausgaben 2023'!$C360,Einzelbeträge!$E:$E,'Ausgaben 2023'!E$6)</f>
        <v>0</v>
      </c>
      <c r="F360" s="21">
        <f>SUMIFS(Einzelbeträge!$D:$D,Einzelbeträge!$C:$C,'Ausgaben 2023'!$C360,Einzelbeträge!$E:$E,'Ausgaben 2023'!F$6)</f>
        <v>0</v>
      </c>
      <c r="G360" s="21">
        <f>SUMIFS(Einzelbeträge!$D:$D,Einzelbeträge!$C:$C,'Ausgaben 2023'!$C360,Einzelbeträge!$E:$E,'Ausgaben 2023'!G$6)</f>
        <v>0</v>
      </c>
      <c r="H360" s="21">
        <f>SUMIFS(Einzelbeträge!$D:$D,Einzelbeträge!$C:$C,'Ausgaben 2023'!$C360,Einzelbeträge!$E:$E,'Ausgaben 2023'!H$6)</f>
        <v>0</v>
      </c>
      <c r="I360" s="21">
        <f>SUMIFS(Einzelbeträge!$D:$D,Einzelbeträge!$C:$C,'Ausgaben 2023'!$C360,Einzelbeträge!$E:$E,'Ausgaben 2023'!I$6)</f>
        <v>0</v>
      </c>
      <c r="J360" s="21">
        <f>SUMIFS(Einzelbeträge!$D:$D,Einzelbeträge!$C:$C,'Ausgaben 2023'!$C360,Einzelbeträge!$E:$E,'Ausgaben 2023'!J$6)</f>
        <v>0</v>
      </c>
      <c r="K360" s="21">
        <f>SUMIFS(Einzelbeträge!$D:$D,Einzelbeträge!$C:$C,'Ausgaben 2023'!$C360,Einzelbeträge!$E:$E,'Ausgaben 2023'!K$6)</f>
        <v>0</v>
      </c>
      <c r="L360" s="21">
        <f>SUMIFS(Einzelbeträge!$D:$D,Einzelbeträge!$C:$C,'Ausgaben 2023'!$C360,Einzelbeträge!$E:$E,'Ausgaben 2023'!L$6)</f>
        <v>0</v>
      </c>
      <c r="M360" s="21">
        <f>SUMIFS(Einzelbeträge!$D:$D,Einzelbeträge!$C:$C,'Ausgaben 2023'!$C360,Einzelbeträge!$E:$E,'Ausgaben 2023'!M$6)</f>
        <v>0</v>
      </c>
      <c r="N360" s="35">
        <f>SUMIFS(Einzelbeträge!$D:$D,Einzelbeträge!$C:$C,'Ausgaben 2023'!$C360,Einzelbeträge!$E:$E,'Ausgaben 2023'!N$6)</f>
        <v>0</v>
      </c>
      <c r="O360" s="6"/>
    </row>
    <row r="361" spans="2:15" x14ac:dyDescent="0.35">
      <c r="B361" s="5"/>
      <c r="C361" s="30">
        <f t="shared" si="26"/>
        <v>45250</v>
      </c>
      <c r="D361" s="46">
        <f>SUMIFS(Einzelbeträge!$D:$D,Einzelbeträge!$C:$C,'Ausgaben 2023'!$C361)</f>
        <v>0</v>
      </c>
      <c r="E361" s="21">
        <f>SUMIFS(Einzelbeträge!$D:$D,Einzelbeträge!$C:$C,'Ausgaben 2023'!$C361,Einzelbeträge!$E:$E,'Ausgaben 2023'!E$6)</f>
        <v>0</v>
      </c>
      <c r="F361" s="21">
        <f>SUMIFS(Einzelbeträge!$D:$D,Einzelbeträge!$C:$C,'Ausgaben 2023'!$C361,Einzelbeträge!$E:$E,'Ausgaben 2023'!F$6)</f>
        <v>0</v>
      </c>
      <c r="G361" s="21">
        <f>SUMIFS(Einzelbeträge!$D:$D,Einzelbeträge!$C:$C,'Ausgaben 2023'!$C361,Einzelbeträge!$E:$E,'Ausgaben 2023'!G$6)</f>
        <v>0</v>
      </c>
      <c r="H361" s="21">
        <f>SUMIFS(Einzelbeträge!$D:$D,Einzelbeträge!$C:$C,'Ausgaben 2023'!$C361,Einzelbeträge!$E:$E,'Ausgaben 2023'!H$6)</f>
        <v>0</v>
      </c>
      <c r="I361" s="21">
        <f>SUMIFS(Einzelbeträge!$D:$D,Einzelbeträge!$C:$C,'Ausgaben 2023'!$C361,Einzelbeträge!$E:$E,'Ausgaben 2023'!I$6)</f>
        <v>0</v>
      </c>
      <c r="J361" s="21">
        <f>SUMIFS(Einzelbeträge!$D:$D,Einzelbeträge!$C:$C,'Ausgaben 2023'!$C361,Einzelbeträge!$E:$E,'Ausgaben 2023'!J$6)</f>
        <v>0</v>
      </c>
      <c r="K361" s="21">
        <f>SUMIFS(Einzelbeträge!$D:$D,Einzelbeträge!$C:$C,'Ausgaben 2023'!$C361,Einzelbeträge!$E:$E,'Ausgaben 2023'!K$6)</f>
        <v>0</v>
      </c>
      <c r="L361" s="21">
        <f>SUMIFS(Einzelbeträge!$D:$D,Einzelbeträge!$C:$C,'Ausgaben 2023'!$C361,Einzelbeträge!$E:$E,'Ausgaben 2023'!L$6)</f>
        <v>0</v>
      </c>
      <c r="M361" s="21">
        <f>SUMIFS(Einzelbeträge!$D:$D,Einzelbeträge!$C:$C,'Ausgaben 2023'!$C361,Einzelbeträge!$E:$E,'Ausgaben 2023'!M$6)</f>
        <v>0</v>
      </c>
      <c r="N361" s="35">
        <f>SUMIFS(Einzelbeträge!$D:$D,Einzelbeträge!$C:$C,'Ausgaben 2023'!$C361,Einzelbeträge!$E:$E,'Ausgaben 2023'!N$6)</f>
        <v>0</v>
      </c>
      <c r="O361" s="6"/>
    </row>
    <row r="362" spans="2:15" x14ac:dyDescent="0.35">
      <c r="B362" s="5"/>
      <c r="C362" s="30">
        <f t="shared" si="26"/>
        <v>45251</v>
      </c>
      <c r="D362" s="46">
        <f>SUMIFS(Einzelbeträge!$D:$D,Einzelbeträge!$C:$C,'Ausgaben 2023'!$C362)</f>
        <v>0</v>
      </c>
      <c r="E362" s="21">
        <f>SUMIFS(Einzelbeträge!$D:$D,Einzelbeträge!$C:$C,'Ausgaben 2023'!$C362,Einzelbeträge!$E:$E,'Ausgaben 2023'!E$6)</f>
        <v>0</v>
      </c>
      <c r="F362" s="21">
        <f>SUMIFS(Einzelbeträge!$D:$D,Einzelbeträge!$C:$C,'Ausgaben 2023'!$C362,Einzelbeträge!$E:$E,'Ausgaben 2023'!F$6)</f>
        <v>0</v>
      </c>
      <c r="G362" s="21">
        <f>SUMIFS(Einzelbeträge!$D:$D,Einzelbeträge!$C:$C,'Ausgaben 2023'!$C362,Einzelbeträge!$E:$E,'Ausgaben 2023'!G$6)</f>
        <v>0</v>
      </c>
      <c r="H362" s="21">
        <f>SUMIFS(Einzelbeträge!$D:$D,Einzelbeträge!$C:$C,'Ausgaben 2023'!$C362,Einzelbeträge!$E:$E,'Ausgaben 2023'!H$6)</f>
        <v>0</v>
      </c>
      <c r="I362" s="21">
        <f>SUMIFS(Einzelbeträge!$D:$D,Einzelbeträge!$C:$C,'Ausgaben 2023'!$C362,Einzelbeträge!$E:$E,'Ausgaben 2023'!I$6)</f>
        <v>0</v>
      </c>
      <c r="J362" s="21">
        <f>SUMIFS(Einzelbeträge!$D:$D,Einzelbeträge!$C:$C,'Ausgaben 2023'!$C362,Einzelbeträge!$E:$E,'Ausgaben 2023'!J$6)</f>
        <v>0</v>
      </c>
      <c r="K362" s="21">
        <f>SUMIFS(Einzelbeträge!$D:$D,Einzelbeträge!$C:$C,'Ausgaben 2023'!$C362,Einzelbeträge!$E:$E,'Ausgaben 2023'!K$6)</f>
        <v>0</v>
      </c>
      <c r="L362" s="21">
        <f>SUMIFS(Einzelbeträge!$D:$D,Einzelbeträge!$C:$C,'Ausgaben 2023'!$C362,Einzelbeträge!$E:$E,'Ausgaben 2023'!L$6)</f>
        <v>0</v>
      </c>
      <c r="M362" s="21">
        <f>SUMIFS(Einzelbeträge!$D:$D,Einzelbeträge!$C:$C,'Ausgaben 2023'!$C362,Einzelbeträge!$E:$E,'Ausgaben 2023'!M$6)</f>
        <v>0</v>
      </c>
      <c r="N362" s="35">
        <f>SUMIFS(Einzelbeträge!$D:$D,Einzelbeträge!$C:$C,'Ausgaben 2023'!$C362,Einzelbeträge!$E:$E,'Ausgaben 2023'!N$6)</f>
        <v>0</v>
      </c>
      <c r="O362" s="6"/>
    </row>
    <row r="363" spans="2:15" x14ac:dyDescent="0.35">
      <c r="B363" s="5"/>
      <c r="C363" s="30">
        <f t="shared" si="26"/>
        <v>45252</v>
      </c>
      <c r="D363" s="46">
        <f>SUMIFS(Einzelbeträge!$D:$D,Einzelbeträge!$C:$C,'Ausgaben 2023'!$C363)</f>
        <v>0</v>
      </c>
      <c r="E363" s="21">
        <f>SUMIFS(Einzelbeträge!$D:$D,Einzelbeträge!$C:$C,'Ausgaben 2023'!$C363,Einzelbeträge!$E:$E,'Ausgaben 2023'!E$6)</f>
        <v>0</v>
      </c>
      <c r="F363" s="21">
        <f>SUMIFS(Einzelbeträge!$D:$D,Einzelbeträge!$C:$C,'Ausgaben 2023'!$C363,Einzelbeträge!$E:$E,'Ausgaben 2023'!F$6)</f>
        <v>0</v>
      </c>
      <c r="G363" s="21">
        <f>SUMIFS(Einzelbeträge!$D:$D,Einzelbeträge!$C:$C,'Ausgaben 2023'!$C363,Einzelbeträge!$E:$E,'Ausgaben 2023'!G$6)</f>
        <v>0</v>
      </c>
      <c r="H363" s="21">
        <f>SUMIFS(Einzelbeträge!$D:$D,Einzelbeträge!$C:$C,'Ausgaben 2023'!$C363,Einzelbeträge!$E:$E,'Ausgaben 2023'!H$6)</f>
        <v>0</v>
      </c>
      <c r="I363" s="21">
        <f>SUMIFS(Einzelbeträge!$D:$D,Einzelbeträge!$C:$C,'Ausgaben 2023'!$C363,Einzelbeträge!$E:$E,'Ausgaben 2023'!I$6)</f>
        <v>0</v>
      </c>
      <c r="J363" s="21">
        <f>SUMIFS(Einzelbeträge!$D:$D,Einzelbeträge!$C:$C,'Ausgaben 2023'!$C363,Einzelbeträge!$E:$E,'Ausgaben 2023'!J$6)</f>
        <v>0</v>
      </c>
      <c r="K363" s="21">
        <f>SUMIFS(Einzelbeträge!$D:$D,Einzelbeträge!$C:$C,'Ausgaben 2023'!$C363,Einzelbeträge!$E:$E,'Ausgaben 2023'!K$6)</f>
        <v>0</v>
      </c>
      <c r="L363" s="21">
        <f>SUMIFS(Einzelbeträge!$D:$D,Einzelbeträge!$C:$C,'Ausgaben 2023'!$C363,Einzelbeträge!$E:$E,'Ausgaben 2023'!L$6)</f>
        <v>0</v>
      </c>
      <c r="M363" s="21">
        <f>SUMIFS(Einzelbeträge!$D:$D,Einzelbeträge!$C:$C,'Ausgaben 2023'!$C363,Einzelbeträge!$E:$E,'Ausgaben 2023'!M$6)</f>
        <v>0</v>
      </c>
      <c r="N363" s="35">
        <f>SUMIFS(Einzelbeträge!$D:$D,Einzelbeträge!$C:$C,'Ausgaben 2023'!$C363,Einzelbeträge!$E:$E,'Ausgaben 2023'!N$6)</f>
        <v>0</v>
      </c>
      <c r="O363" s="6"/>
    </row>
    <row r="364" spans="2:15" x14ac:dyDescent="0.35">
      <c r="B364" s="5"/>
      <c r="C364" s="30">
        <f t="shared" si="26"/>
        <v>45253</v>
      </c>
      <c r="D364" s="46">
        <f>SUMIFS(Einzelbeträge!$D:$D,Einzelbeträge!$C:$C,'Ausgaben 2023'!$C364)</f>
        <v>0</v>
      </c>
      <c r="E364" s="21">
        <f>SUMIFS(Einzelbeträge!$D:$D,Einzelbeträge!$C:$C,'Ausgaben 2023'!$C364,Einzelbeträge!$E:$E,'Ausgaben 2023'!E$6)</f>
        <v>0</v>
      </c>
      <c r="F364" s="21">
        <f>SUMIFS(Einzelbeträge!$D:$D,Einzelbeträge!$C:$C,'Ausgaben 2023'!$C364,Einzelbeträge!$E:$E,'Ausgaben 2023'!F$6)</f>
        <v>0</v>
      </c>
      <c r="G364" s="21">
        <f>SUMIFS(Einzelbeträge!$D:$D,Einzelbeträge!$C:$C,'Ausgaben 2023'!$C364,Einzelbeträge!$E:$E,'Ausgaben 2023'!G$6)</f>
        <v>0</v>
      </c>
      <c r="H364" s="21">
        <f>SUMIFS(Einzelbeträge!$D:$D,Einzelbeträge!$C:$C,'Ausgaben 2023'!$C364,Einzelbeträge!$E:$E,'Ausgaben 2023'!H$6)</f>
        <v>0</v>
      </c>
      <c r="I364" s="21">
        <f>SUMIFS(Einzelbeträge!$D:$D,Einzelbeträge!$C:$C,'Ausgaben 2023'!$C364,Einzelbeträge!$E:$E,'Ausgaben 2023'!I$6)</f>
        <v>0</v>
      </c>
      <c r="J364" s="21">
        <f>SUMIFS(Einzelbeträge!$D:$D,Einzelbeträge!$C:$C,'Ausgaben 2023'!$C364,Einzelbeträge!$E:$E,'Ausgaben 2023'!J$6)</f>
        <v>0</v>
      </c>
      <c r="K364" s="21">
        <f>SUMIFS(Einzelbeträge!$D:$D,Einzelbeträge!$C:$C,'Ausgaben 2023'!$C364,Einzelbeträge!$E:$E,'Ausgaben 2023'!K$6)</f>
        <v>0</v>
      </c>
      <c r="L364" s="21">
        <f>SUMIFS(Einzelbeträge!$D:$D,Einzelbeträge!$C:$C,'Ausgaben 2023'!$C364,Einzelbeträge!$E:$E,'Ausgaben 2023'!L$6)</f>
        <v>0</v>
      </c>
      <c r="M364" s="21">
        <f>SUMIFS(Einzelbeträge!$D:$D,Einzelbeträge!$C:$C,'Ausgaben 2023'!$C364,Einzelbeträge!$E:$E,'Ausgaben 2023'!M$6)</f>
        <v>0</v>
      </c>
      <c r="N364" s="35">
        <f>SUMIFS(Einzelbeträge!$D:$D,Einzelbeträge!$C:$C,'Ausgaben 2023'!$C364,Einzelbeträge!$E:$E,'Ausgaben 2023'!N$6)</f>
        <v>0</v>
      </c>
      <c r="O364" s="6"/>
    </row>
    <row r="365" spans="2:15" x14ac:dyDescent="0.35">
      <c r="B365" s="5"/>
      <c r="C365" s="30">
        <f t="shared" si="26"/>
        <v>45254</v>
      </c>
      <c r="D365" s="46">
        <f>SUMIFS(Einzelbeträge!$D:$D,Einzelbeträge!$C:$C,'Ausgaben 2023'!$C365)</f>
        <v>0</v>
      </c>
      <c r="E365" s="21">
        <f>SUMIFS(Einzelbeträge!$D:$D,Einzelbeträge!$C:$C,'Ausgaben 2023'!$C365,Einzelbeträge!$E:$E,'Ausgaben 2023'!E$6)</f>
        <v>0</v>
      </c>
      <c r="F365" s="21">
        <f>SUMIFS(Einzelbeträge!$D:$D,Einzelbeträge!$C:$C,'Ausgaben 2023'!$C365,Einzelbeträge!$E:$E,'Ausgaben 2023'!F$6)</f>
        <v>0</v>
      </c>
      <c r="G365" s="21">
        <f>SUMIFS(Einzelbeträge!$D:$D,Einzelbeträge!$C:$C,'Ausgaben 2023'!$C365,Einzelbeträge!$E:$E,'Ausgaben 2023'!G$6)</f>
        <v>0</v>
      </c>
      <c r="H365" s="21">
        <f>SUMIFS(Einzelbeträge!$D:$D,Einzelbeträge!$C:$C,'Ausgaben 2023'!$C365,Einzelbeträge!$E:$E,'Ausgaben 2023'!H$6)</f>
        <v>0</v>
      </c>
      <c r="I365" s="21">
        <f>SUMIFS(Einzelbeträge!$D:$D,Einzelbeträge!$C:$C,'Ausgaben 2023'!$C365,Einzelbeträge!$E:$E,'Ausgaben 2023'!I$6)</f>
        <v>0</v>
      </c>
      <c r="J365" s="21">
        <f>SUMIFS(Einzelbeträge!$D:$D,Einzelbeträge!$C:$C,'Ausgaben 2023'!$C365,Einzelbeträge!$E:$E,'Ausgaben 2023'!J$6)</f>
        <v>0</v>
      </c>
      <c r="K365" s="21">
        <f>SUMIFS(Einzelbeträge!$D:$D,Einzelbeträge!$C:$C,'Ausgaben 2023'!$C365,Einzelbeträge!$E:$E,'Ausgaben 2023'!K$6)</f>
        <v>0</v>
      </c>
      <c r="L365" s="21">
        <f>SUMIFS(Einzelbeträge!$D:$D,Einzelbeträge!$C:$C,'Ausgaben 2023'!$C365,Einzelbeträge!$E:$E,'Ausgaben 2023'!L$6)</f>
        <v>0</v>
      </c>
      <c r="M365" s="21">
        <f>SUMIFS(Einzelbeträge!$D:$D,Einzelbeträge!$C:$C,'Ausgaben 2023'!$C365,Einzelbeträge!$E:$E,'Ausgaben 2023'!M$6)</f>
        <v>0</v>
      </c>
      <c r="N365" s="35">
        <f>SUMIFS(Einzelbeträge!$D:$D,Einzelbeträge!$C:$C,'Ausgaben 2023'!$C365,Einzelbeträge!$E:$E,'Ausgaben 2023'!N$6)</f>
        <v>0</v>
      </c>
      <c r="O365" s="6"/>
    </row>
    <row r="366" spans="2:15" x14ac:dyDescent="0.35">
      <c r="B366" s="5"/>
      <c r="C366" s="30">
        <f t="shared" si="26"/>
        <v>45255</v>
      </c>
      <c r="D366" s="46">
        <f>SUMIFS(Einzelbeträge!$D:$D,Einzelbeträge!$C:$C,'Ausgaben 2023'!$C366)</f>
        <v>0</v>
      </c>
      <c r="E366" s="21">
        <f>SUMIFS(Einzelbeträge!$D:$D,Einzelbeträge!$C:$C,'Ausgaben 2023'!$C366,Einzelbeträge!$E:$E,'Ausgaben 2023'!E$6)</f>
        <v>0</v>
      </c>
      <c r="F366" s="21">
        <f>SUMIFS(Einzelbeträge!$D:$D,Einzelbeträge!$C:$C,'Ausgaben 2023'!$C366,Einzelbeträge!$E:$E,'Ausgaben 2023'!F$6)</f>
        <v>0</v>
      </c>
      <c r="G366" s="21">
        <f>SUMIFS(Einzelbeträge!$D:$D,Einzelbeträge!$C:$C,'Ausgaben 2023'!$C366,Einzelbeträge!$E:$E,'Ausgaben 2023'!G$6)</f>
        <v>0</v>
      </c>
      <c r="H366" s="21">
        <f>SUMIFS(Einzelbeträge!$D:$D,Einzelbeträge!$C:$C,'Ausgaben 2023'!$C366,Einzelbeträge!$E:$E,'Ausgaben 2023'!H$6)</f>
        <v>0</v>
      </c>
      <c r="I366" s="21">
        <f>SUMIFS(Einzelbeträge!$D:$D,Einzelbeträge!$C:$C,'Ausgaben 2023'!$C366,Einzelbeträge!$E:$E,'Ausgaben 2023'!I$6)</f>
        <v>0</v>
      </c>
      <c r="J366" s="21">
        <f>SUMIFS(Einzelbeträge!$D:$D,Einzelbeträge!$C:$C,'Ausgaben 2023'!$C366,Einzelbeträge!$E:$E,'Ausgaben 2023'!J$6)</f>
        <v>0</v>
      </c>
      <c r="K366" s="21">
        <f>SUMIFS(Einzelbeträge!$D:$D,Einzelbeträge!$C:$C,'Ausgaben 2023'!$C366,Einzelbeträge!$E:$E,'Ausgaben 2023'!K$6)</f>
        <v>0</v>
      </c>
      <c r="L366" s="21">
        <f>SUMIFS(Einzelbeträge!$D:$D,Einzelbeträge!$C:$C,'Ausgaben 2023'!$C366,Einzelbeträge!$E:$E,'Ausgaben 2023'!L$6)</f>
        <v>0</v>
      </c>
      <c r="M366" s="21">
        <f>SUMIFS(Einzelbeträge!$D:$D,Einzelbeträge!$C:$C,'Ausgaben 2023'!$C366,Einzelbeträge!$E:$E,'Ausgaben 2023'!M$6)</f>
        <v>0</v>
      </c>
      <c r="N366" s="35">
        <f>SUMIFS(Einzelbeträge!$D:$D,Einzelbeträge!$C:$C,'Ausgaben 2023'!$C366,Einzelbeträge!$E:$E,'Ausgaben 2023'!N$6)</f>
        <v>0</v>
      </c>
      <c r="O366" s="6"/>
    </row>
    <row r="367" spans="2:15" x14ac:dyDescent="0.35">
      <c r="B367" s="5"/>
      <c r="C367" s="30">
        <f t="shared" si="26"/>
        <v>45256</v>
      </c>
      <c r="D367" s="46">
        <f>SUMIFS(Einzelbeträge!$D:$D,Einzelbeträge!$C:$C,'Ausgaben 2023'!$C367)</f>
        <v>0</v>
      </c>
      <c r="E367" s="21">
        <f>SUMIFS(Einzelbeträge!$D:$D,Einzelbeträge!$C:$C,'Ausgaben 2023'!$C367,Einzelbeträge!$E:$E,'Ausgaben 2023'!E$6)</f>
        <v>0</v>
      </c>
      <c r="F367" s="21">
        <f>SUMIFS(Einzelbeträge!$D:$D,Einzelbeträge!$C:$C,'Ausgaben 2023'!$C367,Einzelbeträge!$E:$E,'Ausgaben 2023'!F$6)</f>
        <v>0</v>
      </c>
      <c r="G367" s="21">
        <f>SUMIFS(Einzelbeträge!$D:$D,Einzelbeträge!$C:$C,'Ausgaben 2023'!$C367,Einzelbeträge!$E:$E,'Ausgaben 2023'!G$6)</f>
        <v>0</v>
      </c>
      <c r="H367" s="21">
        <f>SUMIFS(Einzelbeträge!$D:$D,Einzelbeträge!$C:$C,'Ausgaben 2023'!$C367,Einzelbeträge!$E:$E,'Ausgaben 2023'!H$6)</f>
        <v>0</v>
      </c>
      <c r="I367" s="21">
        <f>SUMIFS(Einzelbeträge!$D:$D,Einzelbeträge!$C:$C,'Ausgaben 2023'!$C367,Einzelbeträge!$E:$E,'Ausgaben 2023'!I$6)</f>
        <v>0</v>
      </c>
      <c r="J367" s="21">
        <f>SUMIFS(Einzelbeträge!$D:$D,Einzelbeträge!$C:$C,'Ausgaben 2023'!$C367,Einzelbeträge!$E:$E,'Ausgaben 2023'!J$6)</f>
        <v>0</v>
      </c>
      <c r="K367" s="21">
        <f>SUMIFS(Einzelbeträge!$D:$D,Einzelbeträge!$C:$C,'Ausgaben 2023'!$C367,Einzelbeträge!$E:$E,'Ausgaben 2023'!K$6)</f>
        <v>0</v>
      </c>
      <c r="L367" s="21">
        <f>SUMIFS(Einzelbeträge!$D:$D,Einzelbeträge!$C:$C,'Ausgaben 2023'!$C367,Einzelbeträge!$E:$E,'Ausgaben 2023'!L$6)</f>
        <v>0</v>
      </c>
      <c r="M367" s="21">
        <f>SUMIFS(Einzelbeträge!$D:$D,Einzelbeträge!$C:$C,'Ausgaben 2023'!$C367,Einzelbeträge!$E:$E,'Ausgaben 2023'!M$6)</f>
        <v>0</v>
      </c>
      <c r="N367" s="35">
        <f>SUMIFS(Einzelbeträge!$D:$D,Einzelbeträge!$C:$C,'Ausgaben 2023'!$C367,Einzelbeträge!$E:$E,'Ausgaben 2023'!N$6)</f>
        <v>0</v>
      </c>
      <c r="O367" s="6"/>
    </row>
    <row r="368" spans="2:15" x14ac:dyDescent="0.35">
      <c r="B368" s="5"/>
      <c r="C368" s="30">
        <f t="shared" si="26"/>
        <v>45257</v>
      </c>
      <c r="D368" s="46">
        <f>SUMIFS(Einzelbeträge!$D:$D,Einzelbeträge!$C:$C,'Ausgaben 2023'!$C368)</f>
        <v>0</v>
      </c>
      <c r="E368" s="21">
        <f>SUMIFS(Einzelbeträge!$D:$D,Einzelbeträge!$C:$C,'Ausgaben 2023'!$C368,Einzelbeträge!$E:$E,'Ausgaben 2023'!E$6)</f>
        <v>0</v>
      </c>
      <c r="F368" s="21">
        <f>SUMIFS(Einzelbeträge!$D:$D,Einzelbeträge!$C:$C,'Ausgaben 2023'!$C368,Einzelbeträge!$E:$E,'Ausgaben 2023'!F$6)</f>
        <v>0</v>
      </c>
      <c r="G368" s="21">
        <f>SUMIFS(Einzelbeträge!$D:$D,Einzelbeträge!$C:$C,'Ausgaben 2023'!$C368,Einzelbeträge!$E:$E,'Ausgaben 2023'!G$6)</f>
        <v>0</v>
      </c>
      <c r="H368" s="21">
        <f>SUMIFS(Einzelbeträge!$D:$D,Einzelbeträge!$C:$C,'Ausgaben 2023'!$C368,Einzelbeträge!$E:$E,'Ausgaben 2023'!H$6)</f>
        <v>0</v>
      </c>
      <c r="I368" s="21">
        <f>SUMIFS(Einzelbeträge!$D:$D,Einzelbeträge!$C:$C,'Ausgaben 2023'!$C368,Einzelbeträge!$E:$E,'Ausgaben 2023'!I$6)</f>
        <v>0</v>
      </c>
      <c r="J368" s="21">
        <f>SUMIFS(Einzelbeträge!$D:$D,Einzelbeträge!$C:$C,'Ausgaben 2023'!$C368,Einzelbeträge!$E:$E,'Ausgaben 2023'!J$6)</f>
        <v>0</v>
      </c>
      <c r="K368" s="21">
        <f>SUMIFS(Einzelbeträge!$D:$D,Einzelbeträge!$C:$C,'Ausgaben 2023'!$C368,Einzelbeträge!$E:$E,'Ausgaben 2023'!K$6)</f>
        <v>0</v>
      </c>
      <c r="L368" s="21">
        <f>SUMIFS(Einzelbeträge!$D:$D,Einzelbeträge!$C:$C,'Ausgaben 2023'!$C368,Einzelbeträge!$E:$E,'Ausgaben 2023'!L$6)</f>
        <v>0</v>
      </c>
      <c r="M368" s="21">
        <f>SUMIFS(Einzelbeträge!$D:$D,Einzelbeträge!$C:$C,'Ausgaben 2023'!$C368,Einzelbeträge!$E:$E,'Ausgaben 2023'!M$6)</f>
        <v>0</v>
      </c>
      <c r="N368" s="35">
        <f>SUMIFS(Einzelbeträge!$D:$D,Einzelbeträge!$C:$C,'Ausgaben 2023'!$C368,Einzelbeträge!$E:$E,'Ausgaben 2023'!N$6)</f>
        <v>0</v>
      </c>
      <c r="O368" s="6"/>
    </row>
    <row r="369" spans="2:15" x14ac:dyDescent="0.35">
      <c r="B369" s="5"/>
      <c r="C369" s="30">
        <f t="shared" si="26"/>
        <v>45258</v>
      </c>
      <c r="D369" s="46">
        <f>SUMIFS(Einzelbeträge!$D:$D,Einzelbeträge!$C:$C,'Ausgaben 2023'!$C369)</f>
        <v>0</v>
      </c>
      <c r="E369" s="21">
        <f>SUMIFS(Einzelbeträge!$D:$D,Einzelbeträge!$C:$C,'Ausgaben 2023'!$C369,Einzelbeträge!$E:$E,'Ausgaben 2023'!E$6)</f>
        <v>0</v>
      </c>
      <c r="F369" s="21">
        <f>SUMIFS(Einzelbeträge!$D:$D,Einzelbeträge!$C:$C,'Ausgaben 2023'!$C369,Einzelbeträge!$E:$E,'Ausgaben 2023'!F$6)</f>
        <v>0</v>
      </c>
      <c r="G369" s="21">
        <f>SUMIFS(Einzelbeträge!$D:$D,Einzelbeträge!$C:$C,'Ausgaben 2023'!$C369,Einzelbeträge!$E:$E,'Ausgaben 2023'!G$6)</f>
        <v>0</v>
      </c>
      <c r="H369" s="21">
        <f>SUMIFS(Einzelbeträge!$D:$D,Einzelbeträge!$C:$C,'Ausgaben 2023'!$C369,Einzelbeträge!$E:$E,'Ausgaben 2023'!H$6)</f>
        <v>0</v>
      </c>
      <c r="I369" s="21">
        <f>SUMIFS(Einzelbeträge!$D:$D,Einzelbeträge!$C:$C,'Ausgaben 2023'!$C369,Einzelbeträge!$E:$E,'Ausgaben 2023'!I$6)</f>
        <v>0</v>
      </c>
      <c r="J369" s="21">
        <f>SUMIFS(Einzelbeträge!$D:$D,Einzelbeträge!$C:$C,'Ausgaben 2023'!$C369,Einzelbeträge!$E:$E,'Ausgaben 2023'!J$6)</f>
        <v>0</v>
      </c>
      <c r="K369" s="21">
        <f>SUMIFS(Einzelbeträge!$D:$D,Einzelbeträge!$C:$C,'Ausgaben 2023'!$C369,Einzelbeträge!$E:$E,'Ausgaben 2023'!K$6)</f>
        <v>0</v>
      </c>
      <c r="L369" s="21">
        <f>SUMIFS(Einzelbeträge!$D:$D,Einzelbeträge!$C:$C,'Ausgaben 2023'!$C369,Einzelbeträge!$E:$E,'Ausgaben 2023'!L$6)</f>
        <v>0</v>
      </c>
      <c r="M369" s="21">
        <f>SUMIFS(Einzelbeträge!$D:$D,Einzelbeträge!$C:$C,'Ausgaben 2023'!$C369,Einzelbeträge!$E:$E,'Ausgaben 2023'!M$6)</f>
        <v>0</v>
      </c>
      <c r="N369" s="35">
        <f>SUMIFS(Einzelbeträge!$D:$D,Einzelbeträge!$C:$C,'Ausgaben 2023'!$C369,Einzelbeträge!$E:$E,'Ausgaben 2023'!N$6)</f>
        <v>0</v>
      </c>
      <c r="O369" s="6"/>
    </row>
    <row r="370" spans="2:15" x14ac:dyDescent="0.35">
      <c r="B370" s="5"/>
      <c r="C370" s="30">
        <f t="shared" si="26"/>
        <v>45259</v>
      </c>
      <c r="D370" s="46">
        <f>SUMIFS(Einzelbeträge!$D:$D,Einzelbeträge!$C:$C,'Ausgaben 2023'!$C370)</f>
        <v>0</v>
      </c>
      <c r="E370" s="21">
        <f>SUMIFS(Einzelbeträge!$D:$D,Einzelbeträge!$C:$C,'Ausgaben 2023'!$C370,Einzelbeträge!$E:$E,'Ausgaben 2023'!E$6)</f>
        <v>0</v>
      </c>
      <c r="F370" s="21">
        <f>SUMIFS(Einzelbeträge!$D:$D,Einzelbeträge!$C:$C,'Ausgaben 2023'!$C370,Einzelbeträge!$E:$E,'Ausgaben 2023'!F$6)</f>
        <v>0</v>
      </c>
      <c r="G370" s="21">
        <f>SUMIFS(Einzelbeträge!$D:$D,Einzelbeträge!$C:$C,'Ausgaben 2023'!$C370,Einzelbeträge!$E:$E,'Ausgaben 2023'!G$6)</f>
        <v>0</v>
      </c>
      <c r="H370" s="21">
        <f>SUMIFS(Einzelbeträge!$D:$D,Einzelbeträge!$C:$C,'Ausgaben 2023'!$C370,Einzelbeträge!$E:$E,'Ausgaben 2023'!H$6)</f>
        <v>0</v>
      </c>
      <c r="I370" s="21">
        <f>SUMIFS(Einzelbeträge!$D:$D,Einzelbeträge!$C:$C,'Ausgaben 2023'!$C370,Einzelbeträge!$E:$E,'Ausgaben 2023'!I$6)</f>
        <v>0</v>
      </c>
      <c r="J370" s="21">
        <f>SUMIFS(Einzelbeträge!$D:$D,Einzelbeträge!$C:$C,'Ausgaben 2023'!$C370,Einzelbeträge!$E:$E,'Ausgaben 2023'!J$6)</f>
        <v>0</v>
      </c>
      <c r="K370" s="21">
        <f>SUMIFS(Einzelbeträge!$D:$D,Einzelbeträge!$C:$C,'Ausgaben 2023'!$C370,Einzelbeträge!$E:$E,'Ausgaben 2023'!K$6)</f>
        <v>0</v>
      </c>
      <c r="L370" s="21">
        <f>SUMIFS(Einzelbeträge!$D:$D,Einzelbeträge!$C:$C,'Ausgaben 2023'!$C370,Einzelbeträge!$E:$E,'Ausgaben 2023'!L$6)</f>
        <v>0</v>
      </c>
      <c r="M370" s="21">
        <f>SUMIFS(Einzelbeträge!$D:$D,Einzelbeträge!$C:$C,'Ausgaben 2023'!$C370,Einzelbeträge!$E:$E,'Ausgaben 2023'!M$6)</f>
        <v>0</v>
      </c>
      <c r="N370" s="35">
        <f>SUMIFS(Einzelbeträge!$D:$D,Einzelbeträge!$C:$C,'Ausgaben 2023'!$C370,Einzelbeträge!$E:$E,'Ausgaben 2023'!N$6)</f>
        <v>0</v>
      </c>
      <c r="O370" s="6"/>
    </row>
    <row r="371" spans="2:15" x14ac:dyDescent="0.35">
      <c r="B371" s="5"/>
      <c r="C371" s="31">
        <f t="shared" si="26"/>
        <v>45260</v>
      </c>
      <c r="D371" s="47">
        <f>SUMIFS(Einzelbeträge!$D:$D,Einzelbeträge!$C:$C,'Ausgaben 2023'!$C371)</f>
        <v>0</v>
      </c>
      <c r="E371" s="37">
        <f>SUMIFS(Einzelbeträge!$D:$D,Einzelbeträge!$C:$C,'Ausgaben 2023'!$C371,Einzelbeträge!$E:$E,'Ausgaben 2023'!E$6)</f>
        <v>0</v>
      </c>
      <c r="F371" s="37">
        <f>SUMIFS(Einzelbeträge!$D:$D,Einzelbeträge!$C:$C,'Ausgaben 2023'!$C371,Einzelbeträge!$E:$E,'Ausgaben 2023'!F$6)</f>
        <v>0</v>
      </c>
      <c r="G371" s="37">
        <f>SUMIFS(Einzelbeträge!$D:$D,Einzelbeträge!$C:$C,'Ausgaben 2023'!$C371,Einzelbeträge!$E:$E,'Ausgaben 2023'!G$6)</f>
        <v>0</v>
      </c>
      <c r="H371" s="37">
        <f>SUMIFS(Einzelbeträge!$D:$D,Einzelbeträge!$C:$C,'Ausgaben 2023'!$C371,Einzelbeträge!$E:$E,'Ausgaben 2023'!H$6)</f>
        <v>0</v>
      </c>
      <c r="I371" s="37">
        <f>SUMIFS(Einzelbeträge!$D:$D,Einzelbeträge!$C:$C,'Ausgaben 2023'!$C371,Einzelbeträge!$E:$E,'Ausgaben 2023'!I$6)</f>
        <v>0</v>
      </c>
      <c r="J371" s="37">
        <f>SUMIFS(Einzelbeträge!$D:$D,Einzelbeträge!$C:$C,'Ausgaben 2023'!$C371,Einzelbeträge!$E:$E,'Ausgaben 2023'!J$6)</f>
        <v>0</v>
      </c>
      <c r="K371" s="37">
        <f>SUMIFS(Einzelbeträge!$D:$D,Einzelbeträge!$C:$C,'Ausgaben 2023'!$C371,Einzelbeträge!$E:$E,'Ausgaben 2023'!K$6)</f>
        <v>0</v>
      </c>
      <c r="L371" s="37">
        <f>SUMIFS(Einzelbeträge!$D:$D,Einzelbeträge!$C:$C,'Ausgaben 2023'!$C371,Einzelbeträge!$E:$E,'Ausgaben 2023'!L$6)</f>
        <v>0</v>
      </c>
      <c r="M371" s="37">
        <f>SUMIFS(Einzelbeträge!$D:$D,Einzelbeträge!$C:$C,'Ausgaben 2023'!$C371,Einzelbeträge!$E:$E,'Ausgaben 2023'!M$6)</f>
        <v>0</v>
      </c>
      <c r="N371" s="38">
        <f>SUMIFS(Einzelbeträge!$D:$D,Einzelbeträge!$C:$C,'Ausgaben 2023'!$C371,Einzelbeträge!$E:$E,'Ausgaben 2023'!N$6)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45261</v>
      </c>
      <c r="D375" s="45">
        <f>SUMIFS(Einzelbeträge!$D:$D,Einzelbeträge!$C:$C,'Ausgaben 2023'!$C375)</f>
        <v>0</v>
      </c>
      <c r="E375" s="32">
        <f>SUMIFS(Einzelbeträge!$D:$D,Einzelbeträge!$C:$C,'Ausgaben 2023'!$C375,Einzelbeträge!$E:$E,'Ausgaben 2023'!E$6)</f>
        <v>0</v>
      </c>
      <c r="F375" s="32">
        <f>SUMIFS(Einzelbeträge!$D:$D,Einzelbeträge!$C:$C,'Ausgaben 2023'!$C375,Einzelbeträge!$E:$E,'Ausgaben 2023'!F$6)</f>
        <v>0</v>
      </c>
      <c r="G375" s="32">
        <f>SUMIFS(Einzelbeträge!$D:$D,Einzelbeträge!$C:$C,'Ausgaben 2023'!$C375,Einzelbeträge!$E:$E,'Ausgaben 2023'!G$6)</f>
        <v>0</v>
      </c>
      <c r="H375" s="32">
        <f>SUMIFS(Einzelbeträge!$D:$D,Einzelbeträge!$C:$C,'Ausgaben 2023'!$C375,Einzelbeträge!$E:$E,'Ausgaben 2023'!H$6)</f>
        <v>0</v>
      </c>
      <c r="I375" s="32">
        <f>SUMIFS(Einzelbeträge!$D:$D,Einzelbeträge!$C:$C,'Ausgaben 2023'!$C375,Einzelbeträge!$E:$E,'Ausgaben 2023'!I$6)</f>
        <v>0</v>
      </c>
      <c r="J375" s="32">
        <f>SUMIFS(Einzelbeträge!$D:$D,Einzelbeträge!$C:$C,'Ausgaben 2023'!$C375,Einzelbeträge!$E:$E,'Ausgaben 2023'!J$6)</f>
        <v>0</v>
      </c>
      <c r="K375" s="32">
        <f>SUMIFS(Einzelbeträge!$D:$D,Einzelbeträge!$C:$C,'Ausgaben 2023'!$C375,Einzelbeträge!$E:$E,'Ausgaben 2023'!K$6)</f>
        <v>0</v>
      </c>
      <c r="L375" s="32">
        <f>SUMIFS(Einzelbeträge!$D:$D,Einzelbeträge!$C:$C,'Ausgaben 2023'!$C375,Einzelbeträge!$E:$E,'Ausgaben 2023'!L$6)</f>
        <v>0</v>
      </c>
      <c r="M375" s="32">
        <f>SUMIFS(Einzelbeträge!$D:$D,Einzelbeträge!$C:$C,'Ausgaben 2023'!$C375,Einzelbeträge!$E:$E,'Ausgaben 2023'!M$6)</f>
        <v>0</v>
      </c>
      <c r="N375" s="33">
        <f>SUMIFS(Einzelbeträge!$D:$D,Einzelbeträge!$C:$C,'Ausgaben 2023'!$C375,Einzelbeträge!$E:$E,'Ausgaben 2023'!N$6)</f>
        <v>0</v>
      </c>
      <c r="O375" s="6"/>
    </row>
    <row r="376" spans="2:15" x14ac:dyDescent="0.35">
      <c r="B376" s="5"/>
      <c r="C376" s="40">
        <f>C375+1</f>
        <v>45262</v>
      </c>
      <c r="D376" s="46">
        <f>SUMIFS(Einzelbeträge!$D:$D,Einzelbeträge!$C:$C,'Ausgaben 2023'!$C376)</f>
        <v>0</v>
      </c>
      <c r="E376" s="21">
        <f>SUMIFS(Einzelbeträge!$D:$D,Einzelbeträge!$C:$C,'Ausgaben 2023'!$C376,Einzelbeträge!$E:$E,'Ausgaben 2023'!E$6)</f>
        <v>0</v>
      </c>
      <c r="F376" s="21">
        <f>SUMIFS(Einzelbeträge!$D:$D,Einzelbeträge!$C:$C,'Ausgaben 2023'!$C376,Einzelbeträge!$E:$E,'Ausgaben 2023'!F$6)</f>
        <v>0</v>
      </c>
      <c r="G376" s="21">
        <f>SUMIFS(Einzelbeträge!$D:$D,Einzelbeträge!$C:$C,'Ausgaben 2023'!$C376,Einzelbeträge!$E:$E,'Ausgaben 2023'!G$6)</f>
        <v>0</v>
      </c>
      <c r="H376" s="21">
        <f>SUMIFS(Einzelbeträge!$D:$D,Einzelbeträge!$C:$C,'Ausgaben 2023'!$C376,Einzelbeträge!$E:$E,'Ausgaben 2023'!H$6)</f>
        <v>0</v>
      </c>
      <c r="I376" s="21">
        <f>SUMIFS(Einzelbeträge!$D:$D,Einzelbeträge!$C:$C,'Ausgaben 2023'!$C376,Einzelbeträge!$E:$E,'Ausgaben 2023'!I$6)</f>
        <v>0</v>
      </c>
      <c r="J376" s="21">
        <f>SUMIFS(Einzelbeträge!$D:$D,Einzelbeträge!$C:$C,'Ausgaben 2023'!$C376,Einzelbeträge!$E:$E,'Ausgaben 2023'!J$6)</f>
        <v>0</v>
      </c>
      <c r="K376" s="21">
        <f>SUMIFS(Einzelbeträge!$D:$D,Einzelbeträge!$C:$C,'Ausgaben 2023'!$C376,Einzelbeträge!$E:$E,'Ausgaben 2023'!K$6)</f>
        <v>0</v>
      </c>
      <c r="L376" s="21">
        <f>SUMIFS(Einzelbeträge!$D:$D,Einzelbeträge!$C:$C,'Ausgaben 2023'!$C376,Einzelbeträge!$E:$E,'Ausgaben 2023'!L$6)</f>
        <v>0</v>
      </c>
      <c r="M376" s="21">
        <f>SUMIFS(Einzelbeträge!$D:$D,Einzelbeträge!$C:$C,'Ausgaben 2023'!$C376,Einzelbeträge!$E:$E,'Ausgaben 2023'!M$6)</f>
        <v>0</v>
      </c>
      <c r="N376" s="35">
        <f>SUMIFS(Einzelbeträge!$D:$D,Einzelbeträge!$C:$C,'Ausgaben 2023'!$C376,Einzelbeträge!$E:$E,'Ausgaben 2023'!N$6)</f>
        <v>0</v>
      </c>
      <c r="O376" s="6"/>
    </row>
    <row r="377" spans="2:15" x14ac:dyDescent="0.35">
      <c r="B377" s="5"/>
      <c r="C377" s="40">
        <f t="shared" ref="C377:C405" si="27">C376+1</f>
        <v>45263</v>
      </c>
      <c r="D377" s="46">
        <f>SUMIFS(Einzelbeträge!$D:$D,Einzelbeträge!$C:$C,'Ausgaben 2023'!$C377)</f>
        <v>0</v>
      </c>
      <c r="E377" s="21">
        <f>SUMIFS(Einzelbeträge!$D:$D,Einzelbeträge!$C:$C,'Ausgaben 2023'!$C377,Einzelbeträge!$E:$E,'Ausgaben 2023'!E$6)</f>
        <v>0</v>
      </c>
      <c r="F377" s="21">
        <f>SUMIFS(Einzelbeträge!$D:$D,Einzelbeträge!$C:$C,'Ausgaben 2023'!$C377,Einzelbeträge!$E:$E,'Ausgaben 2023'!F$6)</f>
        <v>0</v>
      </c>
      <c r="G377" s="21">
        <f>SUMIFS(Einzelbeträge!$D:$D,Einzelbeträge!$C:$C,'Ausgaben 2023'!$C377,Einzelbeträge!$E:$E,'Ausgaben 2023'!G$6)</f>
        <v>0</v>
      </c>
      <c r="H377" s="21">
        <f>SUMIFS(Einzelbeträge!$D:$D,Einzelbeträge!$C:$C,'Ausgaben 2023'!$C377,Einzelbeträge!$E:$E,'Ausgaben 2023'!H$6)</f>
        <v>0</v>
      </c>
      <c r="I377" s="21">
        <f>SUMIFS(Einzelbeträge!$D:$D,Einzelbeträge!$C:$C,'Ausgaben 2023'!$C377,Einzelbeträge!$E:$E,'Ausgaben 2023'!I$6)</f>
        <v>0</v>
      </c>
      <c r="J377" s="21">
        <f>SUMIFS(Einzelbeträge!$D:$D,Einzelbeträge!$C:$C,'Ausgaben 2023'!$C377,Einzelbeträge!$E:$E,'Ausgaben 2023'!J$6)</f>
        <v>0</v>
      </c>
      <c r="K377" s="21">
        <f>SUMIFS(Einzelbeträge!$D:$D,Einzelbeträge!$C:$C,'Ausgaben 2023'!$C377,Einzelbeträge!$E:$E,'Ausgaben 2023'!K$6)</f>
        <v>0</v>
      </c>
      <c r="L377" s="21">
        <f>SUMIFS(Einzelbeträge!$D:$D,Einzelbeträge!$C:$C,'Ausgaben 2023'!$C377,Einzelbeträge!$E:$E,'Ausgaben 2023'!L$6)</f>
        <v>0</v>
      </c>
      <c r="M377" s="21">
        <f>SUMIFS(Einzelbeträge!$D:$D,Einzelbeträge!$C:$C,'Ausgaben 2023'!$C377,Einzelbeträge!$E:$E,'Ausgaben 2023'!M$6)</f>
        <v>0</v>
      </c>
      <c r="N377" s="35">
        <f>SUMIFS(Einzelbeträge!$D:$D,Einzelbeträge!$C:$C,'Ausgaben 2023'!$C377,Einzelbeträge!$E:$E,'Ausgaben 2023'!N$6)</f>
        <v>0</v>
      </c>
      <c r="O377" s="6"/>
    </row>
    <row r="378" spans="2:15" x14ac:dyDescent="0.35">
      <c r="B378" s="5"/>
      <c r="C378" s="40">
        <f t="shared" si="27"/>
        <v>45264</v>
      </c>
      <c r="D378" s="46">
        <f>SUMIFS(Einzelbeträge!$D:$D,Einzelbeträge!$C:$C,'Ausgaben 2023'!$C378)</f>
        <v>0</v>
      </c>
      <c r="E378" s="21">
        <f>SUMIFS(Einzelbeträge!$D:$D,Einzelbeträge!$C:$C,'Ausgaben 2023'!$C378,Einzelbeträge!$E:$E,'Ausgaben 2023'!E$6)</f>
        <v>0</v>
      </c>
      <c r="F378" s="21">
        <f>SUMIFS(Einzelbeträge!$D:$D,Einzelbeträge!$C:$C,'Ausgaben 2023'!$C378,Einzelbeträge!$E:$E,'Ausgaben 2023'!F$6)</f>
        <v>0</v>
      </c>
      <c r="G378" s="21">
        <f>SUMIFS(Einzelbeträge!$D:$D,Einzelbeträge!$C:$C,'Ausgaben 2023'!$C378,Einzelbeträge!$E:$E,'Ausgaben 2023'!G$6)</f>
        <v>0</v>
      </c>
      <c r="H378" s="21">
        <f>SUMIFS(Einzelbeträge!$D:$D,Einzelbeträge!$C:$C,'Ausgaben 2023'!$C378,Einzelbeträge!$E:$E,'Ausgaben 2023'!H$6)</f>
        <v>0</v>
      </c>
      <c r="I378" s="21">
        <f>SUMIFS(Einzelbeträge!$D:$D,Einzelbeträge!$C:$C,'Ausgaben 2023'!$C378,Einzelbeträge!$E:$E,'Ausgaben 2023'!I$6)</f>
        <v>0</v>
      </c>
      <c r="J378" s="21">
        <f>SUMIFS(Einzelbeträge!$D:$D,Einzelbeträge!$C:$C,'Ausgaben 2023'!$C378,Einzelbeträge!$E:$E,'Ausgaben 2023'!J$6)</f>
        <v>0</v>
      </c>
      <c r="K378" s="21">
        <f>SUMIFS(Einzelbeträge!$D:$D,Einzelbeträge!$C:$C,'Ausgaben 2023'!$C378,Einzelbeträge!$E:$E,'Ausgaben 2023'!K$6)</f>
        <v>0</v>
      </c>
      <c r="L378" s="21">
        <f>SUMIFS(Einzelbeträge!$D:$D,Einzelbeträge!$C:$C,'Ausgaben 2023'!$C378,Einzelbeträge!$E:$E,'Ausgaben 2023'!L$6)</f>
        <v>0</v>
      </c>
      <c r="M378" s="21">
        <f>SUMIFS(Einzelbeträge!$D:$D,Einzelbeträge!$C:$C,'Ausgaben 2023'!$C378,Einzelbeträge!$E:$E,'Ausgaben 2023'!M$6)</f>
        <v>0</v>
      </c>
      <c r="N378" s="35">
        <f>SUMIFS(Einzelbeträge!$D:$D,Einzelbeträge!$C:$C,'Ausgaben 2023'!$C378,Einzelbeträge!$E:$E,'Ausgaben 2023'!N$6)</f>
        <v>0</v>
      </c>
      <c r="O378" s="6"/>
    </row>
    <row r="379" spans="2:15" x14ac:dyDescent="0.35">
      <c r="B379" s="5"/>
      <c r="C379" s="40">
        <f t="shared" si="27"/>
        <v>45265</v>
      </c>
      <c r="D379" s="46">
        <f>SUMIFS(Einzelbeträge!$D:$D,Einzelbeträge!$C:$C,'Ausgaben 2023'!$C379)</f>
        <v>0</v>
      </c>
      <c r="E379" s="21">
        <f>SUMIFS(Einzelbeträge!$D:$D,Einzelbeträge!$C:$C,'Ausgaben 2023'!$C379,Einzelbeträge!$E:$E,'Ausgaben 2023'!E$6)</f>
        <v>0</v>
      </c>
      <c r="F379" s="21">
        <f>SUMIFS(Einzelbeträge!$D:$D,Einzelbeträge!$C:$C,'Ausgaben 2023'!$C379,Einzelbeträge!$E:$E,'Ausgaben 2023'!F$6)</f>
        <v>0</v>
      </c>
      <c r="G379" s="21">
        <f>SUMIFS(Einzelbeträge!$D:$D,Einzelbeträge!$C:$C,'Ausgaben 2023'!$C379,Einzelbeträge!$E:$E,'Ausgaben 2023'!G$6)</f>
        <v>0</v>
      </c>
      <c r="H379" s="21">
        <f>SUMIFS(Einzelbeträge!$D:$D,Einzelbeträge!$C:$C,'Ausgaben 2023'!$C379,Einzelbeträge!$E:$E,'Ausgaben 2023'!H$6)</f>
        <v>0</v>
      </c>
      <c r="I379" s="21">
        <f>SUMIFS(Einzelbeträge!$D:$D,Einzelbeträge!$C:$C,'Ausgaben 2023'!$C379,Einzelbeträge!$E:$E,'Ausgaben 2023'!I$6)</f>
        <v>0</v>
      </c>
      <c r="J379" s="21">
        <f>SUMIFS(Einzelbeträge!$D:$D,Einzelbeträge!$C:$C,'Ausgaben 2023'!$C379,Einzelbeträge!$E:$E,'Ausgaben 2023'!J$6)</f>
        <v>0</v>
      </c>
      <c r="K379" s="21">
        <f>SUMIFS(Einzelbeträge!$D:$D,Einzelbeträge!$C:$C,'Ausgaben 2023'!$C379,Einzelbeträge!$E:$E,'Ausgaben 2023'!K$6)</f>
        <v>0</v>
      </c>
      <c r="L379" s="21">
        <f>SUMIFS(Einzelbeträge!$D:$D,Einzelbeträge!$C:$C,'Ausgaben 2023'!$C379,Einzelbeträge!$E:$E,'Ausgaben 2023'!L$6)</f>
        <v>0</v>
      </c>
      <c r="M379" s="21">
        <f>SUMIFS(Einzelbeträge!$D:$D,Einzelbeträge!$C:$C,'Ausgaben 2023'!$C379,Einzelbeträge!$E:$E,'Ausgaben 2023'!M$6)</f>
        <v>0</v>
      </c>
      <c r="N379" s="35">
        <f>SUMIFS(Einzelbeträge!$D:$D,Einzelbeträge!$C:$C,'Ausgaben 2023'!$C379,Einzelbeträge!$E:$E,'Ausgaben 2023'!N$6)</f>
        <v>0</v>
      </c>
      <c r="O379" s="6"/>
    </row>
    <row r="380" spans="2:15" x14ac:dyDescent="0.35">
      <c r="B380" s="5"/>
      <c r="C380" s="40">
        <f t="shared" si="27"/>
        <v>45266</v>
      </c>
      <c r="D380" s="46">
        <f>SUMIFS(Einzelbeträge!$D:$D,Einzelbeträge!$C:$C,'Ausgaben 2023'!$C380)</f>
        <v>0</v>
      </c>
      <c r="E380" s="21">
        <f>SUMIFS(Einzelbeträge!$D:$D,Einzelbeträge!$C:$C,'Ausgaben 2023'!$C380,Einzelbeträge!$E:$E,'Ausgaben 2023'!E$6)</f>
        <v>0</v>
      </c>
      <c r="F380" s="21">
        <f>SUMIFS(Einzelbeträge!$D:$D,Einzelbeträge!$C:$C,'Ausgaben 2023'!$C380,Einzelbeträge!$E:$E,'Ausgaben 2023'!F$6)</f>
        <v>0</v>
      </c>
      <c r="G380" s="21">
        <f>SUMIFS(Einzelbeträge!$D:$D,Einzelbeträge!$C:$C,'Ausgaben 2023'!$C380,Einzelbeträge!$E:$E,'Ausgaben 2023'!G$6)</f>
        <v>0</v>
      </c>
      <c r="H380" s="21">
        <f>SUMIFS(Einzelbeträge!$D:$D,Einzelbeträge!$C:$C,'Ausgaben 2023'!$C380,Einzelbeträge!$E:$E,'Ausgaben 2023'!H$6)</f>
        <v>0</v>
      </c>
      <c r="I380" s="21">
        <f>SUMIFS(Einzelbeträge!$D:$D,Einzelbeträge!$C:$C,'Ausgaben 2023'!$C380,Einzelbeträge!$E:$E,'Ausgaben 2023'!I$6)</f>
        <v>0</v>
      </c>
      <c r="J380" s="21">
        <f>SUMIFS(Einzelbeträge!$D:$D,Einzelbeträge!$C:$C,'Ausgaben 2023'!$C380,Einzelbeträge!$E:$E,'Ausgaben 2023'!J$6)</f>
        <v>0</v>
      </c>
      <c r="K380" s="21">
        <f>SUMIFS(Einzelbeträge!$D:$D,Einzelbeträge!$C:$C,'Ausgaben 2023'!$C380,Einzelbeträge!$E:$E,'Ausgaben 2023'!K$6)</f>
        <v>0</v>
      </c>
      <c r="L380" s="21">
        <f>SUMIFS(Einzelbeträge!$D:$D,Einzelbeträge!$C:$C,'Ausgaben 2023'!$C380,Einzelbeträge!$E:$E,'Ausgaben 2023'!L$6)</f>
        <v>0</v>
      </c>
      <c r="M380" s="21">
        <f>SUMIFS(Einzelbeträge!$D:$D,Einzelbeträge!$C:$C,'Ausgaben 2023'!$C380,Einzelbeträge!$E:$E,'Ausgaben 2023'!M$6)</f>
        <v>0</v>
      </c>
      <c r="N380" s="35">
        <f>SUMIFS(Einzelbeträge!$D:$D,Einzelbeträge!$C:$C,'Ausgaben 2023'!$C380,Einzelbeträge!$E:$E,'Ausgaben 2023'!N$6)</f>
        <v>0</v>
      </c>
      <c r="O380" s="6"/>
    </row>
    <row r="381" spans="2:15" x14ac:dyDescent="0.35">
      <c r="B381" s="5"/>
      <c r="C381" s="40">
        <f t="shared" si="27"/>
        <v>45267</v>
      </c>
      <c r="D381" s="46">
        <f>SUMIFS(Einzelbeträge!$D:$D,Einzelbeträge!$C:$C,'Ausgaben 2023'!$C381)</f>
        <v>0</v>
      </c>
      <c r="E381" s="21">
        <f>SUMIFS(Einzelbeträge!$D:$D,Einzelbeträge!$C:$C,'Ausgaben 2023'!$C381,Einzelbeträge!$E:$E,'Ausgaben 2023'!E$6)</f>
        <v>0</v>
      </c>
      <c r="F381" s="21">
        <f>SUMIFS(Einzelbeträge!$D:$D,Einzelbeträge!$C:$C,'Ausgaben 2023'!$C381,Einzelbeträge!$E:$E,'Ausgaben 2023'!F$6)</f>
        <v>0</v>
      </c>
      <c r="G381" s="21">
        <f>SUMIFS(Einzelbeträge!$D:$D,Einzelbeträge!$C:$C,'Ausgaben 2023'!$C381,Einzelbeträge!$E:$E,'Ausgaben 2023'!G$6)</f>
        <v>0</v>
      </c>
      <c r="H381" s="21">
        <f>SUMIFS(Einzelbeträge!$D:$D,Einzelbeträge!$C:$C,'Ausgaben 2023'!$C381,Einzelbeträge!$E:$E,'Ausgaben 2023'!H$6)</f>
        <v>0</v>
      </c>
      <c r="I381" s="21">
        <f>SUMIFS(Einzelbeträge!$D:$D,Einzelbeträge!$C:$C,'Ausgaben 2023'!$C381,Einzelbeträge!$E:$E,'Ausgaben 2023'!I$6)</f>
        <v>0</v>
      </c>
      <c r="J381" s="21">
        <f>SUMIFS(Einzelbeträge!$D:$D,Einzelbeträge!$C:$C,'Ausgaben 2023'!$C381,Einzelbeträge!$E:$E,'Ausgaben 2023'!J$6)</f>
        <v>0</v>
      </c>
      <c r="K381" s="21">
        <f>SUMIFS(Einzelbeträge!$D:$D,Einzelbeträge!$C:$C,'Ausgaben 2023'!$C381,Einzelbeträge!$E:$E,'Ausgaben 2023'!K$6)</f>
        <v>0</v>
      </c>
      <c r="L381" s="21">
        <f>SUMIFS(Einzelbeträge!$D:$D,Einzelbeträge!$C:$C,'Ausgaben 2023'!$C381,Einzelbeträge!$E:$E,'Ausgaben 2023'!L$6)</f>
        <v>0</v>
      </c>
      <c r="M381" s="21">
        <f>SUMIFS(Einzelbeträge!$D:$D,Einzelbeträge!$C:$C,'Ausgaben 2023'!$C381,Einzelbeträge!$E:$E,'Ausgaben 2023'!M$6)</f>
        <v>0</v>
      </c>
      <c r="N381" s="35">
        <f>SUMIFS(Einzelbeträge!$D:$D,Einzelbeträge!$C:$C,'Ausgaben 2023'!$C381,Einzelbeträge!$E:$E,'Ausgaben 2023'!N$6)</f>
        <v>0</v>
      </c>
      <c r="O381" s="6"/>
    </row>
    <row r="382" spans="2:15" x14ac:dyDescent="0.35">
      <c r="B382" s="5"/>
      <c r="C382" s="40">
        <f t="shared" si="27"/>
        <v>45268</v>
      </c>
      <c r="D382" s="46">
        <f>SUMIFS(Einzelbeträge!$D:$D,Einzelbeträge!$C:$C,'Ausgaben 2023'!$C382)</f>
        <v>0</v>
      </c>
      <c r="E382" s="21">
        <f>SUMIFS(Einzelbeträge!$D:$D,Einzelbeträge!$C:$C,'Ausgaben 2023'!$C382,Einzelbeträge!$E:$E,'Ausgaben 2023'!E$6)</f>
        <v>0</v>
      </c>
      <c r="F382" s="21">
        <f>SUMIFS(Einzelbeträge!$D:$D,Einzelbeträge!$C:$C,'Ausgaben 2023'!$C382,Einzelbeträge!$E:$E,'Ausgaben 2023'!F$6)</f>
        <v>0</v>
      </c>
      <c r="G382" s="21">
        <f>SUMIFS(Einzelbeträge!$D:$D,Einzelbeträge!$C:$C,'Ausgaben 2023'!$C382,Einzelbeträge!$E:$E,'Ausgaben 2023'!G$6)</f>
        <v>0</v>
      </c>
      <c r="H382" s="21">
        <f>SUMIFS(Einzelbeträge!$D:$D,Einzelbeträge!$C:$C,'Ausgaben 2023'!$C382,Einzelbeträge!$E:$E,'Ausgaben 2023'!H$6)</f>
        <v>0</v>
      </c>
      <c r="I382" s="21">
        <f>SUMIFS(Einzelbeträge!$D:$D,Einzelbeträge!$C:$C,'Ausgaben 2023'!$C382,Einzelbeträge!$E:$E,'Ausgaben 2023'!I$6)</f>
        <v>0</v>
      </c>
      <c r="J382" s="21">
        <f>SUMIFS(Einzelbeträge!$D:$D,Einzelbeträge!$C:$C,'Ausgaben 2023'!$C382,Einzelbeträge!$E:$E,'Ausgaben 2023'!J$6)</f>
        <v>0</v>
      </c>
      <c r="K382" s="21">
        <f>SUMIFS(Einzelbeträge!$D:$D,Einzelbeträge!$C:$C,'Ausgaben 2023'!$C382,Einzelbeträge!$E:$E,'Ausgaben 2023'!K$6)</f>
        <v>0</v>
      </c>
      <c r="L382" s="21">
        <f>SUMIFS(Einzelbeträge!$D:$D,Einzelbeträge!$C:$C,'Ausgaben 2023'!$C382,Einzelbeträge!$E:$E,'Ausgaben 2023'!L$6)</f>
        <v>0</v>
      </c>
      <c r="M382" s="21">
        <f>SUMIFS(Einzelbeträge!$D:$D,Einzelbeträge!$C:$C,'Ausgaben 2023'!$C382,Einzelbeträge!$E:$E,'Ausgaben 2023'!M$6)</f>
        <v>0</v>
      </c>
      <c r="N382" s="35">
        <f>SUMIFS(Einzelbeträge!$D:$D,Einzelbeträge!$C:$C,'Ausgaben 2023'!$C382,Einzelbeträge!$E:$E,'Ausgaben 2023'!N$6)</f>
        <v>0</v>
      </c>
      <c r="O382" s="6"/>
    </row>
    <row r="383" spans="2:15" x14ac:dyDescent="0.35">
      <c r="B383" s="5"/>
      <c r="C383" s="40">
        <f t="shared" si="27"/>
        <v>45269</v>
      </c>
      <c r="D383" s="46">
        <f>SUMIFS(Einzelbeträge!$D:$D,Einzelbeträge!$C:$C,'Ausgaben 2023'!$C383)</f>
        <v>0</v>
      </c>
      <c r="E383" s="21">
        <f>SUMIFS(Einzelbeträge!$D:$D,Einzelbeträge!$C:$C,'Ausgaben 2023'!$C383,Einzelbeträge!$E:$E,'Ausgaben 2023'!E$6)</f>
        <v>0</v>
      </c>
      <c r="F383" s="21">
        <f>SUMIFS(Einzelbeträge!$D:$D,Einzelbeträge!$C:$C,'Ausgaben 2023'!$C383,Einzelbeträge!$E:$E,'Ausgaben 2023'!F$6)</f>
        <v>0</v>
      </c>
      <c r="G383" s="21">
        <f>SUMIFS(Einzelbeträge!$D:$D,Einzelbeträge!$C:$C,'Ausgaben 2023'!$C383,Einzelbeträge!$E:$E,'Ausgaben 2023'!G$6)</f>
        <v>0</v>
      </c>
      <c r="H383" s="21">
        <f>SUMIFS(Einzelbeträge!$D:$D,Einzelbeträge!$C:$C,'Ausgaben 2023'!$C383,Einzelbeträge!$E:$E,'Ausgaben 2023'!H$6)</f>
        <v>0</v>
      </c>
      <c r="I383" s="21">
        <f>SUMIFS(Einzelbeträge!$D:$D,Einzelbeträge!$C:$C,'Ausgaben 2023'!$C383,Einzelbeträge!$E:$E,'Ausgaben 2023'!I$6)</f>
        <v>0</v>
      </c>
      <c r="J383" s="21">
        <f>SUMIFS(Einzelbeträge!$D:$D,Einzelbeträge!$C:$C,'Ausgaben 2023'!$C383,Einzelbeträge!$E:$E,'Ausgaben 2023'!J$6)</f>
        <v>0</v>
      </c>
      <c r="K383" s="21">
        <f>SUMIFS(Einzelbeträge!$D:$D,Einzelbeträge!$C:$C,'Ausgaben 2023'!$C383,Einzelbeträge!$E:$E,'Ausgaben 2023'!K$6)</f>
        <v>0</v>
      </c>
      <c r="L383" s="21">
        <f>SUMIFS(Einzelbeträge!$D:$D,Einzelbeträge!$C:$C,'Ausgaben 2023'!$C383,Einzelbeträge!$E:$E,'Ausgaben 2023'!L$6)</f>
        <v>0</v>
      </c>
      <c r="M383" s="21">
        <f>SUMIFS(Einzelbeträge!$D:$D,Einzelbeträge!$C:$C,'Ausgaben 2023'!$C383,Einzelbeträge!$E:$E,'Ausgaben 2023'!M$6)</f>
        <v>0</v>
      </c>
      <c r="N383" s="35">
        <f>SUMIFS(Einzelbeträge!$D:$D,Einzelbeträge!$C:$C,'Ausgaben 2023'!$C383,Einzelbeträge!$E:$E,'Ausgaben 2023'!N$6)</f>
        <v>0</v>
      </c>
      <c r="O383" s="6"/>
    </row>
    <row r="384" spans="2:15" x14ac:dyDescent="0.35">
      <c r="B384" s="5"/>
      <c r="C384" s="40">
        <f t="shared" si="27"/>
        <v>45270</v>
      </c>
      <c r="D384" s="46">
        <f>SUMIFS(Einzelbeträge!$D:$D,Einzelbeträge!$C:$C,'Ausgaben 2023'!$C384)</f>
        <v>0</v>
      </c>
      <c r="E384" s="21">
        <f>SUMIFS(Einzelbeträge!$D:$D,Einzelbeträge!$C:$C,'Ausgaben 2023'!$C384,Einzelbeträge!$E:$E,'Ausgaben 2023'!E$6)</f>
        <v>0</v>
      </c>
      <c r="F384" s="21">
        <f>SUMIFS(Einzelbeträge!$D:$D,Einzelbeträge!$C:$C,'Ausgaben 2023'!$C384,Einzelbeträge!$E:$E,'Ausgaben 2023'!F$6)</f>
        <v>0</v>
      </c>
      <c r="G384" s="21">
        <f>SUMIFS(Einzelbeträge!$D:$D,Einzelbeträge!$C:$C,'Ausgaben 2023'!$C384,Einzelbeträge!$E:$E,'Ausgaben 2023'!G$6)</f>
        <v>0</v>
      </c>
      <c r="H384" s="21">
        <f>SUMIFS(Einzelbeträge!$D:$D,Einzelbeträge!$C:$C,'Ausgaben 2023'!$C384,Einzelbeträge!$E:$E,'Ausgaben 2023'!H$6)</f>
        <v>0</v>
      </c>
      <c r="I384" s="21">
        <f>SUMIFS(Einzelbeträge!$D:$D,Einzelbeträge!$C:$C,'Ausgaben 2023'!$C384,Einzelbeträge!$E:$E,'Ausgaben 2023'!I$6)</f>
        <v>0</v>
      </c>
      <c r="J384" s="21">
        <f>SUMIFS(Einzelbeträge!$D:$D,Einzelbeträge!$C:$C,'Ausgaben 2023'!$C384,Einzelbeträge!$E:$E,'Ausgaben 2023'!J$6)</f>
        <v>0</v>
      </c>
      <c r="K384" s="21">
        <f>SUMIFS(Einzelbeträge!$D:$D,Einzelbeträge!$C:$C,'Ausgaben 2023'!$C384,Einzelbeträge!$E:$E,'Ausgaben 2023'!K$6)</f>
        <v>0</v>
      </c>
      <c r="L384" s="21">
        <f>SUMIFS(Einzelbeträge!$D:$D,Einzelbeträge!$C:$C,'Ausgaben 2023'!$C384,Einzelbeträge!$E:$E,'Ausgaben 2023'!L$6)</f>
        <v>0</v>
      </c>
      <c r="M384" s="21">
        <f>SUMIFS(Einzelbeträge!$D:$D,Einzelbeträge!$C:$C,'Ausgaben 2023'!$C384,Einzelbeträge!$E:$E,'Ausgaben 2023'!M$6)</f>
        <v>0</v>
      </c>
      <c r="N384" s="35">
        <f>SUMIFS(Einzelbeträge!$D:$D,Einzelbeträge!$C:$C,'Ausgaben 2023'!$C384,Einzelbeträge!$E:$E,'Ausgaben 2023'!N$6)</f>
        <v>0</v>
      </c>
      <c r="O384" s="6"/>
    </row>
    <row r="385" spans="2:15" x14ac:dyDescent="0.35">
      <c r="B385" s="5"/>
      <c r="C385" s="40">
        <f t="shared" si="27"/>
        <v>45271</v>
      </c>
      <c r="D385" s="46">
        <f>SUMIFS(Einzelbeträge!$D:$D,Einzelbeträge!$C:$C,'Ausgaben 2023'!$C385)</f>
        <v>0</v>
      </c>
      <c r="E385" s="21">
        <f>SUMIFS(Einzelbeträge!$D:$D,Einzelbeträge!$C:$C,'Ausgaben 2023'!$C385,Einzelbeträge!$E:$E,'Ausgaben 2023'!E$6)</f>
        <v>0</v>
      </c>
      <c r="F385" s="21">
        <f>SUMIFS(Einzelbeträge!$D:$D,Einzelbeträge!$C:$C,'Ausgaben 2023'!$C385,Einzelbeträge!$E:$E,'Ausgaben 2023'!F$6)</f>
        <v>0</v>
      </c>
      <c r="G385" s="21">
        <f>SUMIFS(Einzelbeträge!$D:$D,Einzelbeträge!$C:$C,'Ausgaben 2023'!$C385,Einzelbeträge!$E:$E,'Ausgaben 2023'!G$6)</f>
        <v>0</v>
      </c>
      <c r="H385" s="21">
        <f>SUMIFS(Einzelbeträge!$D:$D,Einzelbeträge!$C:$C,'Ausgaben 2023'!$C385,Einzelbeträge!$E:$E,'Ausgaben 2023'!H$6)</f>
        <v>0</v>
      </c>
      <c r="I385" s="21">
        <f>SUMIFS(Einzelbeträge!$D:$D,Einzelbeträge!$C:$C,'Ausgaben 2023'!$C385,Einzelbeträge!$E:$E,'Ausgaben 2023'!I$6)</f>
        <v>0</v>
      </c>
      <c r="J385" s="21">
        <f>SUMIFS(Einzelbeträge!$D:$D,Einzelbeträge!$C:$C,'Ausgaben 2023'!$C385,Einzelbeträge!$E:$E,'Ausgaben 2023'!J$6)</f>
        <v>0</v>
      </c>
      <c r="K385" s="21">
        <f>SUMIFS(Einzelbeträge!$D:$D,Einzelbeträge!$C:$C,'Ausgaben 2023'!$C385,Einzelbeträge!$E:$E,'Ausgaben 2023'!K$6)</f>
        <v>0</v>
      </c>
      <c r="L385" s="21">
        <f>SUMIFS(Einzelbeträge!$D:$D,Einzelbeträge!$C:$C,'Ausgaben 2023'!$C385,Einzelbeträge!$E:$E,'Ausgaben 2023'!L$6)</f>
        <v>0</v>
      </c>
      <c r="M385" s="21">
        <f>SUMIFS(Einzelbeträge!$D:$D,Einzelbeträge!$C:$C,'Ausgaben 2023'!$C385,Einzelbeträge!$E:$E,'Ausgaben 2023'!M$6)</f>
        <v>0</v>
      </c>
      <c r="N385" s="35">
        <f>SUMIFS(Einzelbeträge!$D:$D,Einzelbeträge!$C:$C,'Ausgaben 2023'!$C385,Einzelbeträge!$E:$E,'Ausgaben 2023'!N$6)</f>
        <v>0</v>
      </c>
      <c r="O385" s="6"/>
    </row>
    <row r="386" spans="2:15" x14ac:dyDescent="0.35">
      <c r="B386" s="5"/>
      <c r="C386" s="40">
        <f t="shared" si="27"/>
        <v>45272</v>
      </c>
      <c r="D386" s="46">
        <f>SUMIFS(Einzelbeträge!$D:$D,Einzelbeträge!$C:$C,'Ausgaben 2023'!$C386)</f>
        <v>0</v>
      </c>
      <c r="E386" s="21">
        <f>SUMIFS(Einzelbeträge!$D:$D,Einzelbeträge!$C:$C,'Ausgaben 2023'!$C386,Einzelbeträge!$E:$E,'Ausgaben 2023'!E$6)</f>
        <v>0</v>
      </c>
      <c r="F386" s="21">
        <f>SUMIFS(Einzelbeträge!$D:$D,Einzelbeträge!$C:$C,'Ausgaben 2023'!$C386,Einzelbeträge!$E:$E,'Ausgaben 2023'!F$6)</f>
        <v>0</v>
      </c>
      <c r="G386" s="21">
        <f>SUMIFS(Einzelbeträge!$D:$D,Einzelbeträge!$C:$C,'Ausgaben 2023'!$C386,Einzelbeträge!$E:$E,'Ausgaben 2023'!G$6)</f>
        <v>0</v>
      </c>
      <c r="H386" s="21">
        <f>SUMIFS(Einzelbeträge!$D:$D,Einzelbeträge!$C:$C,'Ausgaben 2023'!$C386,Einzelbeträge!$E:$E,'Ausgaben 2023'!H$6)</f>
        <v>0</v>
      </c>
      <c r="I386" s="21">
        <f>SUMIFS(Einzelbeträge!$D:$D,Einzelbeträge!$C:$C,'Ausgaben 2023'!$C386,Einzelbeträge!$E:$E,'Ausgaben 2023'!I$6)</f>
        <v>0</v>
      </c>
      <c r="J386" s="21">
        <f>SUMIFS(Einzelbeträge!$D:$D,Einzelbeträge!$C:$C,'Ausgaben 2023'!$C386,Einzelbeträge!$E:$E,'Ausgaben 2023'!J$6)</f>
        <v>0</v>
      </c>
      <c r="K386" s="21">
        <f>SUMIFS(Einzelbeträge!$D:$D,Einzelbeträge!$C:$C,'Ausgaben 2023'!$C386,Einzelbeträge!$E:$E,'Ausgaben 2023'!K$6)</f>
        <v>0</v>
      </c>
      <c r="L386" s="21">
        <f>SUMIFS(Einzelbeträge!$D:$D,Einzelbeträge!$C:$C,'Ausgaben 2023'!$C386,Einzelbeträge!$E:$E,'Ausgaben 2023'!L$6)</f>
        <v>0</v>
      </c>
      <c r="M386" s="21">
        <f>SUMIFS(Einzelbeträge!$D:$D,Einzelbeträge!$C:$C,'Ausgaben 2023'!$C386,Einzelbeträge!$E:$E,'Ausgaben 2023'!M$6)</f>
        <v>0</v>
      </c>
      <c r="N386" s="35">
        <f>SUMIFS(Einzelbeträge!$D:$D,Einzelbeträge!$C:$C,'Ausgaben 2023'!$C386,Einzelbeträge!$E:$E,'Ausgaben 2023'!N$6)</f>
        <v>0</v>
      </c>
      <c r="O386" s="6"/>
    </row>
    <row r="387" spans="2:15" x14ac:dyDescent="0.35">
      <c r="B387" s="5"/>
      <c r="C387" s="40">
        <f t="shared" si="27"/>
        <v>45273</v>
      </c>
      <c r="D387" s="46">
        <f>SUMIFS(Einzelbeträge!$D:$D,Einzelbeträge!$C:$C,'Ausgaben 2023'!$C387)</f>
        <v>0</v>
      </c>
      <c r="E387" s="21">
        <f>SUMIFS(Einzelbeträge!$D:$D,Einzelbeträge!$C:$C,'Ausgaben 2023'!$C387,Einzelbeträge!$E:$E,'Ausgaben 2023'!E$6)</f>
        <v>0</v>
      </c>
      <c r="F387" s="21">
        <f>SUMIFS(Einzelbeträge!$D:$D,Einzelbeträge!$C:$C,'Ausgaben 2023'!$C387,Einzelbeträge!$E:$E,'Ausgaben 2023'!F$6)</f>
        <v>0</v>
      </c>
      <c r="G387" s="21">
        <f>SUMIFS(Einzelbeträge!$D:$D,Einzelbeträge!$C:$C,'Ausgaben 2023'!$C387,Einzelbeträge!$E:$E,'Ausgaben 2023'!G$6)</f>
        <v>0</v>
      </c>
      <c r="H387" s="21">
        <f>SUMIFS(Einzelbeträge!$D:$D,Einzelbeträge!$C:$C,'Ausgaben 2023'!$C387,Einzelbeträge!$E:$E,'Ausgaben 2023'!H$6)</f>
        <v>0</v>
      </c>
      <c r="I387" s="21">
        <f>SUMIFS(Einzelbeträge!$D:$D,Einzelbeträge!$C:$C,'Ausgaben 2023'!$C387,Einzelbeträge!$E:$E,'Ausgaben 2023'!I$6)</f>
        <v>0</v>
      </c>
      <c r="J387" s="21">
        <f>SUMIFS(Einzelbeträge!$D:$D,Einzelbeträge!$C:$C,'Ausgaben 2023'!$C387,Einzelbeträge!$E:$E,'Ausgaben 2023'!J$6)</f>
        <v>0</v>
      </c>
      <c r="K387" s="21">
        <f>SUMIFS(Einzelbeträge!$D:$D,Einzelbeträge!$C:$C,'Ausgaben 2023'!$C387,Einzelbeträge!$E:$E,'Ausgaben 2023'!K$6)</f>
        <v>0</v>
      </c>
      <c r="L387" s="21">
        <f>SUMIFS(Einzelbeträge!$D:$D,Einzelbeträge!$C:$C,'Ausgaben 2023'!$C387,Einzelbeträge!$E:$E,'Ausgaben 2023'!L$6)</f>
        <v>0</v>
      </c>
      <c r="M387" s="21">
        <f>SUMIFS(Einzelbeträge!$D:$D,Einzelbeträge!$C:$C,'Ausgaben 2023'!$C387,Einzelbeträge!$E:$E,'Ausgaben 2023'!M$6)</f>
        <v>0</v>
      </c>
      <c r="N387" s="35">
        <f>SUMIFS(Einzelbeträge!$D:$D,Einzelbeträge!$C:$C,'Ausgaben 2023'!$C387,Einzelbeträge!$E:$E,'Ausgaben 2023'!N$6)</f>
        <v>0</v>
      </c>
      <c r="O387" s="6"/>
    </row>
    <row r="388" spans="2:15" x14ac:dyDescent="0.35">
      <c r="B388" s="5"/>
      <c r="C388" s="40">
        <f t="shared" si="27"/>
        <v>45274</v>
      </c>
      <c r="D388" s="46">
        <f>SUMIFS(Einzelbeträge!$D:$D,Einzelbeträge!$C:$C,'Ausgaben 2023'!$C388)</f>
        <v>0</v>
      </c>
      <c r="E388" s="21">
        <f>SUMIFS(Einzelbeträge!$D:$D,Einzelbeträge!$C:$C,'Ausgaben 2023'!$C388,Einzelbeträge!$E:$E,'Ausgaben 2023'!E$6)</f>
        <v>0</v>
      </c>
      <c r="F388" s="21">
        <f>SUMIFS(Einzelbeträge!$D:$D,Einzelbeträge!$C:$C,'Ausgaben 2023'!$C388,Einzelbeträge!$E:$E,'Ausgaben 2023'!F$6)</f>
        <v>0</v>
      </c>
      <c r="G388" s="21">
        <f>SUMIFS(Einzelbeträge!$D:$D,Einzelbeträge!$C:$C,'Ausgaben 2023'!$C388,Einzelbeträge!$E:$E,'Ausgaben 2023'!G$6)</f>
        <v>0</v>
      </c>
      <c r="H388" s="21">
        <f>SUMIFS(Einzelbeträge!$D:$D,Einzelbeträge!$C:$C,'Ausgaben 2023'!$C388,Einzelbeträge!$E:$E,'Ausgaben 2023'!H$6)</f>
        <v>0</v>
      </c>
      <c r="I388" s="21">
        <f>SUMIFS(Einzelbeträge!$D:$D,Einzelbeträge!$C:$C,'Ausgaben 2023'!$C388,Einzelbeträge!$E:$E,'Ausgaben 2023'!I$6)</f>
        <v>0</v>
      </c>
      <c r="J388" s="21">
        <f>SUMIFS(Einzelbeträge!$D:$D,Einzelbeträge!$C:$C,'Ausgaben 2023'!$C388,Einzelbeträge!$E:$E,'Ausgaben 2023'!J$6)</f>
        <v>0</v>
      </c>
      <c r="K388" s="21">
        <f>SUMIFS(Einzelbeträge!$D:$D,Einzelbeträge!$C:$C,'Ausgaben 2023'!$C388,Einzelbeträge!$E:$E,'Ausgaben 2023'!K$6)</f>
        <v>0</v>
      </c>
      <c r="L388" s="21">
        <f>SUMIFS(Einzelbeträge!$D:$D,Einzelbeträge!$C:$C,'Ausgaben 2023'!$C388,Einzelbeträge!$E:$E,'Ausgaben 2023'!L$6)</f>
        <v>0</v>
      </c>
      <c r="M388" s="21">
        <f>SUMIFS(Einzelbeträge!$D:$D,Einzelbeträge!$C:$C,'Ausgaben 2023'!$C388,Einzelbeträge!$E:$E,'Ausgaben 2023'!M$6)</f>
        <v>0</v>
      </c>
      <c r="N388" s="35">
        <f>SUMIFS(Einzelbeträge!$D:$D,Einzelbeträge!$C:$C,'Ausgaben 2023'!$C388,Einzelbeträge!$E:$E,'Ausgaben 2023'!N$6)</f>
        <v>0</v>
      </c>
      <c r="O388" s="6"/>
    </row>
    <row r="389" spans="2:15" x14ac:dyDescent="0.35">
      <c r="B389" s="5"/>
      <c r="C389" s="40">
        <f t="shared" si="27"/>
        <v>45275</v>
      </c>
      <c r="D389" s="46">
        <f>SUMIFS(Einzelbeträge!$D:$D,Einzelbeträge!$C:$C,'Ausgaben 2023'!$C389)</f>
        <v>0</v>
      </c>
      <c r="E389" s="21">
        <f>SUMIFS(Einzelbeträge!$D:$D,Einzelbeträge!$C:$C,'Ausgaben 2023'!$C389,Einzelbeträge!$E:$E,'Ausgaben 2023'!E$6)</f>
        <v>0</v>
      </c>
      <c r="F389" s="21">
        <f>SUMIFS(Einzelbeträge!$D:$D,Einzelbeträge!$C:$C,'Ausgaben 2023'!$C389,Einzelbeträge!$E:$E,'Ausgaben 2023'!F$6)</f>
        <v>0</v>
      </c>
      <c r="G389" s="21">
        <f>SUMIFS(Einzelbeträge!$D:$D,Einzelbeträge!$C:$C,'Ausgaben 2023'!$C389,Einzelbeträge!$E:$E,'Ausgaben 2023'!G$6)</f>
        <v>0</v>
      </c>
      <c r="H389" s="21">
        <f>SUMIFS(Einzelbeträge!$D:$D,Einzelbeträge!$C:$C,'Ausgaben 2023'!$C389,Einzelbeträge!$E:$E,'Ausgaben 2023'!H$6)</f>
        <v>0</v>
      </c>
      <c r="I389" s="21">
        <f>SUMIFS(Einzelbeträge!$D:$D,Einzelbeträge!$C:$C,'Ausgaben 2023'!$C389,Einzelbeträge!$E:$E,'Ausgaben 2023'!I$6)</f>
        <v>0</v>
      </c>
      <c r="J389" s="21">
        <f>SUMIFS(Einzelbeträge!$D:$D,Einzelbeträge!$C:$C,'Ausgaben 2023'!$C389,Einzelbeträge!$E:$E,'Ausgaben 2023'!J$6)</f>
        <v>0</v>
      </c>
      <c r="K389" s="21">
        <f>SUMIFS(Einzelbeträge!$D:$D,Einzelbeträge!$C:$C,'Ausgaben 2023'!$C389,Einzelbeträge!$E:$E,'Ausgaben 2023'!K$6)</f>
        <v>0</v>
      </c>
      <c r="L389" s="21">
        <f>SUMIFS(Einzelbeträge!$D:$D,Einzelbeträge!$C:$C,'Ausgaben 2023'!$C389,Einzelbeträge!$E:$E,'Ausgaben 2023'!L$6)</f>
        <v>0</v>
      </c>
      <c r="M389" s="21">
        <f>SUMIFS(Einzelbeträge!$D:$D,Einzelbeträge!$C:$C,'Ausgaben 2023'!$C389,Einzelbeträge!$E:$E,'Ausgaben 2023'!M$6)</f>
        <v>0</v>
      </c>
      <c r="N389" s="35">
        <f>SUMIFS(Einzelbeträge!$D:$D,Einzelbeträge!$C:$C,'Ausgaben 2023'!$C389,Einzelbeträge!$E:$E,'Ausgaben 2023'!N$6)</f>
        <v>0</v>
      </c>
      <c r="O389" s="6"/>
    </row>
    <row r="390" spans="2:15" x14ac:dyDescent="0.35">
      <c r="B390" s="5"/>
      <c r="C390" s="40">
        <f t="shared" si="27"/>
        <v>45276</v>
      </c>
      <c r="D390" s="46">
        <f>SUMIFS(Einzelbeträge!$D:$D,Einzelbeträge!$C:$C,'Ausgaben 2023'!$C390)</f>
        <v>0</v>
      </c>
      <c r="E390" s="21">
        <f>SUMIFS(Einzelbeträge!$D:$D,Einzelbeträge!$C:$C,'Ausgaben 2023'!$C390,Einzelbeträge!$E:$E,'Ausgaben 2023'!E$6)</f>
        <v>0</v>
      </c>
      <c r="F390" s="21">
        <f>SUMIFS(Einzelbeträge!$D:$D,Einzelbeträge!$C:$C,'Ausgaben 2023'!$C390,Einzelbeträge!$E:$E,'Ausgaben 2023'!F$6)</f>
        <v>0</v>
      </c>
      <c r="G390" s="21">
        <f>SUMIFS(Einzelbeträge!$D:$D,Einzelbeträge!$C:$C,'Ausgaben 2023'!$C390,Einzelbeträge!$E:$E,'Ausgaben 2023'!G$6)</f>
        <v>0</v>
      </c>
      <c r="H390" s="21">
        <f>SUMIFS(Einzelbeträge!$D:$D,Einzelbeträge!$C:$C,'Ausgaben 2023'!$C390,Einzelbeträge!$E:$E,'Ausgaben 2023'!H$6)</f>
        <v>0</v>
      </c>
      <c r="I390" s="21">
        <f>SUMIFS(Einzelbeträge!$D:$D,Einzelbeträge!$C:$C,'Ausgaben 2023'!$C390,Einzelbeträge!$E:$E,'Ausgaben 2023'!I$6)</f>
        <v>0</v>
      </c>
      <c r="J390" s="21">
        <f>SUMIFS(Einzelbeträge!$D:$D,Einzelbeträge!$C:$C,'Ausgaben 2023'!$C390,Einzelbeträge!$E:$E,'Ausgaben 2023'!J$6)</f>
        <v>0</v>
      </c>
      <c r="K390" s="21">
        <f>SUMIFS(Einzelbeträge!$D:$D,Einzelbeträge!$C:$C,'Ausgaben 2023'!$C390,Einzelbeträge!$E:$E,'Ausgaben 2023'!K$6)</f>
        <v>0</v>
      </c>
      <c r="L390" s="21">
        <f>SUMIFS(Einzelbeträge!$D:$D,Einzelbeträge!$C:$C,'Ausgaben 2023'!$C390,Einzelbeträge!$E:$E,'Ausgaben 2023'!L$6)</f>
        <v>0</v>
      </c>
      <c r="M390" s="21">
        <f>SUMIFS(Einzelbeträge!$D:$D,Einzelbeträge!$C:$C,'Ausgaben 2023'!$C390,Einzelbeträge!$E:$E,'Ausgaben 2023'!M$6)</f>
        <v>0</v>
      </c>
      <c r="N390" s="35">
        <f>SUMIFS(Einzelbeträge!$D:$D,Einzelbeträge!$C:$C,'Ausgaben 2023'!$C390,Einzelbeträge!$E:$E,'Ausgaben 2023'!N$6)</f>
        <v>0</v>
      </c>
      <c r="O390" s="6"/>
    </row>
    <row r="391" spans="2:15" x14ac:dyDescent="0.35">
      <c r="B391" s="5"/>
      <c r="C391" s="40">
        <f t="shared" si="27"/>
        <v>45277</v>
      </c>
      <c r="D391" s="46">
        <f>SUMIFS(Einzelbeträge!$D:$D,Einzelbeträge!$C:$C,'Ausgaben 2023'!$C391)</f>
        <v>0</v>
      </c>
      <c r="E391" s="21">
        <f>SUMIFS(Einzelbeträge!$D:$D,Einzelbeträge!$C:$C,'Ausgaben 2023'!$C391,Einzelbeträge!$E:$E,'Ausgaben 2023'!E$6)</f>
        <v>0</v>
      </c>
      <c r="F391" s="21">
        <f>SUMIFS(Einzelbeträge!$D:$D,Einzelbeträge!$C:$C,'Ausgaben 2023'!$C391,Einzelbeträge!$E:$E,'Ausgaben 2023'!F$6)</f>
        <v>0</v>
      </c>
      <c r="G391" s="21">
        <f>SUMIFS(Einzelbeträge!$D:$D,Einzelbeträge!$C:$C,'Ausgaben 2023'!$C391,Einzelbeträge!$E:$E,'Ausgaben 2023'!G$6)</f>
        <v>0</v>
      </c>
      <c r="H391" s="21">
        <f>SUMIFS(Einzelbeträge!$D:$D,Einzelbeträge!$C:$C,'Ausgaben 2023'!$C391,Einzelbeträge!$E:$E,'Ausgaben 2023'!H$6)</f>
        <v>0</v>
      </c>
      <c r="I391" s="21">
        <f>SUMIFS(Einzelbeträge!$D:$D,Einzelbeträge!$C:$C,'Ausgaben 2023'!$C391,Einzelbeträge!$E:$E,'Ausgaben 2023'!I$6)</f>
        <v>0</v>
      </c>
      <c r="J391" s="21">
        <f>SUMIFS(Einzelbeträge!$D:$D,Einzelbeträge!$C:$C,'Ausgaben 2023'!$C391,Einzelbeträge!$E:$E,'Ausgaben 2023'!J$6)</f>
        <v>0</v>
      </c>
      <c r="K391" s="21">
        <f>SUMIFS(Einzelbeträge!$D:$D,Einzelbeträge!$C:$C,'Ausgaben 2023'!$C391,Einzelbeträge!$E:$E,'Ausgaben 2023'!K$6)</f>
        <v>0</v>
      </c>
      <c r="L391" s="21">
        <f>SUMIFS(Einzelbeträge!$D:$D,Einzelbeträge!$C:$C,'Ausgaben 2023'!$C391,Einzelbeträge!$E:$E,'Ausgaben 2023'!L$6)</f>
        <v>0</v>
      </c>
      <c r="M391" s="21">
        <f>SUMIFS(Einzelbeträge!$D:$D,Einzelbeträge!$C:$C,'Ausgaben 2023'!$C391,Einzelbeträge!$E:$E,'Ausgaben 2023'!M$6)</f>
        <v>0</v>
      </c>
      <c r="N391" s="35">
        <f>SUMIFS(Einzelbeträge!$D:$D,Einzelbeträge!$C:$C,'Ausgaben 2023'!$C391,Einzelbeträge!$E:$E,'Ausgaben 2023'!N$6)</f>
        <v>0</v>
      </c>
      <c r="O391" s="6"/>
    </row>
    <row r="392" spans="2:15" x14ac:dyDescent="0.35">
      <c r="B392" s="5"/>
      <c r="C392" s="40">
        <f t="shared" si="27"/>
        <v>45278</v>
      </c>
      <c r="D392" s="46">
        <f>SUMIFS(Einzelbeträge!$D:$D,Einzelbeträge!$C:$C,'Ausgaben 2023'!$C392)</f>
        <v>0</v>
      </c>
      <c r="E392" s="21">
        <f>SUMIFS(Einzelbeträge!$D:$D,Einzelbeträge!$C:$C,'Ausgaben 2023'!$C392,Einzelbeträge!$E:$E,'Ausgaben 2023'!E$6)</f>
        <v>0</v>
      </c>
      <c r="F392" s="21">
        <f>SUMIFS(Einzelbeträge!$D:$D,Einzelbeträge!$C:$C,'Ausgaben 2023'!$C392,Einzelbeträge!$E:$E,'Ausgaben 2023'!F$6)</f>
        <v>0</v>
      </c>
      <c r="G392" s="21">
        <f>SUMIFS(Einzelbeträge!$D:$D,Einzelbeträge!$C:$C,'Ausgaben 2023'!$C392,Einzelbeträge!$E:$E,'Ausgaben 2023'!G$6)</f>
        <v>0</v>
      </c>
      <c r="H392" s="21">
        <f>SUMIFS(Einzelbeträge!$D:$D,Einzelbeträge!$C:$C,'Ausgaben 2023'!$C392,Einzelbeträge!$E:$E,'Ausgaben 2023'!H$6)</f>
        <v>0</v>
      </c>
      <c r="I392" s="21">
        <f>SUMIFS(Einzelbeträge!$D:$D,Einzelbeträge!$C:$C,'Ausgaben 2023'!$C392,Einzelbeträge!$E:$E,'Ausgaben 2023'!I$6)</f>
        <v>0</v>
      </c>
      <c r="J392" s="21">
        <f>SUMIFS(Einzelbeträge!$D:$D,Einzelbeträge!$C:$C,'Ausgaben 2023'!$C392,Einzelbeträge!$E:$E,'Ausgaben 2023'!J$6)</f>
        <v>0</v>
      </c>
      <c r="K392" s="21">
        <f>SUMIFS(Einzelbeträge!$D:$D,Einzelbeträge!$C:$C,'Ausgaben 2023'!$C392,Einzelbeträge!$E:$E,'Ausgaben 2023'!K$6)</f>
        <v>0</v>
      </c>
      <c r="L392" s="21">
        <f>SUMIFS(Einzelbeträge!$D:$D,Einzelbeträge!$C:$C,'Ausgaben 2023'!$C392,Einzelbeträge!$E:$E,'Ausgaben 2023'!L$6)</f>
        <v>0</v>
      </c>
      <c r="M392" s="21">
        <f>SUMIFS(Einzelbeträge!$D:$D,Einzelbeträge!$C:$C,'Ausgaben 2023'!$C392,Einzelbeträge!$E:$E,'Ausgaben 2023'!M$6)</f>
        <v>0</v>
      </c>
      <c r="N392" s="35">
        <f>SUMIFS(Einzelbeträge!$D:$D,Einzelbeträge!$C:$C,'Ausgaben 2023'!$C392,Einzelbeträge!$E:$E,'Ausgaben 2023'!N$6)</f>
        <v>0</v>
      </c>
      <c r="O392" s="6"/>
    </row>
    <row r="393" spans="2:15" x14ac:dyDescent="0.35">
      <c r="B393" s="5"/>
      <c r="C393" s="40">
        <f t="shared" si="27"/>
        <v>45279</v>
      </c>
      <c r="D393" s="46">
        <f>SUMIFS(Einzelbeträge!$D:$D,Einzelbeträge!$C:$C,'Ausgaben 2023'!$C393)</f>
        <v>0</v>
      </c>
      <c r="E393" s="21">
        <f>SUMIFS(Einzelbeträge!$D:$D,Einzelbeträge!$C:$C,'Ausgaben 2023'!$C393,Einzelbeträge!$E:$E,'Ausgaben 2023'!E$6)</f>
        <v>0</v>
      </c>
      <c r="F393" s="21">
        <f>SUMIFS(Einzelbeträge!$D:$D,Einzelbeträge!$C:$C,'Ausgaben 2023'!$C393,Einzelbeträge!$E:$E,'Ausgaben 2023'!F$6)</f>
        <v>0</v>
      </c>
      <c r="G393" s="21">
        <f>SUMIFS(Einzelbeträge!$D:$D,Einzelbeträge!$C:$C,'Ausgaben 2023'!$C393,Einzelbeträge!$E:$E,'Ausgaben 2023'!G$6)</f>
        <v>0</v>
      </c>
      <c r="H393" s="21">
        <f>SUMIFS(Einzelbeträge!$D:$D,Einzelbeträge!$C:$C,'Ausgaben 2023'!$C393,Einzelbeträge!$E:$E,'Ausgaben 2023'!H$6)</f>
        <v>0</v>
      </c>
      <c r="I393" s="21">
        <f>SUMIFS(Einzelbeträge!$D:$D,Einzelbeträge!$C:$C,'Ausgaben 2023'!$C393,Einzelbeträge!$E:$E,'Ausgaben 2023'!I$6)</f>
        <v>0</v>
      </c>
      <c r="J393" s="21">
        <f>SUMIFS(Einzelbeträge!$D:$D,Einzelbeträge!$C:$C,'Ausgaben 2023'!$C393,Einzelbeträge!$E:$E,'Ausgaben 2023'!J$6)</f>
        <v>0</v>
      </c>
      <c r="K393" s="21">
        <f>SUMIFS(Einzelbeträge!$D:$D,Einzelbeträge!$C:$C,'Ausgaben 2023'!$C393,Einzelbeträge!$E:$E,'Ausgaben 2023'!K$6)</f>
        <v>0</v>
      </c>
      <c r="L393" s="21">
        <f>SUMIFS(Einzelbeträge!$D:$D,Einzelbeträge!$C:$C,'Ausgaben 2023'!$C393,Einzelbeträge!$E:$E,'Ausgaben 2023'!L$6)</f>
        <v>0</v>
      </c>
      <c r="M393" s="21">
        <f>SUMIFS(Einzelbeträge!$D:$D,Einzelbeträge!$C:$C,'Ausgaben 2023'!$C393,Einzelbeträge!$E:$E,'Ausgaben 2023'!M$6)</f>
        <v>0</v>
      </c>
      <c r="N393" s="35">
        <f>SUMIFS(Einzelbeträge!$D:$D,Einzelbeträge!$C:$C,'Ausgaben 2023'!$C393,Einzelbeträge!$E:$E,'Ausgaben 2023'!N$6)</f>
        <v>0</v>
      </c>
      <c r="O393" s="6"/>
    </row>
    <row r="394" spans="2:15" x14ac:dyDescent="0.35">
      <c r="B394" s="5"/>
      <c r="C394" s="40">
        <f t="shared" si="27"/>
        <v>45280</v>
      </c>
      <c r="D394" s="46">
        <f>SUMIFS(Einzelbeträge!$D:$D,Einzelbeträge!$C:$C,'Ausgaben 2023'!$C394)</f>
        <v>0</v>
      </c>
      <c r="E394" s="21">
        <f>SUMIFS(Einzelbeträge!$D:$D,Einzelbeträge!$C:$C,'Ausgaben 2023'!$C394,Einzelbeträge!$E:$E,'Ausgaben 2023'!E$6)</f>
        <v>0</v>
      </c>
      <c r="F394" s="21">
        <f>SUMIFS(Einzelbeträge!$D:$D,Einzelbeträge!$C:$C,'Ausgaben 2023'!$C394,Einzelbeträge!$E:$E,'Ausgaben 2023'!F$6)</f>
        <v>0</v>
      </c>
      <c r="G394" s="21">
        <f>SUMIFS(Einzelbeträge!$D:$D,Einzelbeträge!$C:$C,'Ausgaben 2023'!$C394,Einzelbeträge!$E:$E,'Ausgaben 2023'!G$6)</f>
        <v>0</v>
      </c>
      <c r="H394" s="21">
        <f>SUMIFS(Einzelbeträge!$D:$D,Einzelbeträge!$C:$C,'Ausgaben 2023'!$C394,Einzelbeträge!$E:$E,'Ausgaben 2023'!H$6)</f>
        <v>0</v>
      </c>
      <c r="I394" s="21">
        <f>SUMIFS(Einzelbeträge!$D:$D,Einzelbeträge!$C:$C,'Ausgaben 2023'!$C394,Einzelbeträge!$E:$E,'Ausgaben 2023'!I$6)</f>
        <v>0</v>
      </c>
      <c r="J394" s="21">
        <f>SUMIFS(Einzelbeträge!$D:$D,Einzelbeträge!$C:$C,'Ausgaben 2023'!$C394,Einzelbeträge!$E:$E,'Ausgaben 2023'!J$6)</f>
        <v>0</v>
      </c>
      <c r="K394" s="21">
        <f>SUMIFS(Einzelbeträge!$D:$D,Einzelbeträge!$C:$C,'Ausgaben 2023'!$C394,Einzelbeträge!$E:$E,'Ausgaben 2023'!K$6)</f>
        <v>0</v>
      </c>
      <c r="L394" s="21">
        <f>SUMIFS(Einzelbeträge!$D:$D,Einzelbeträge!$C:$C,'Ausgaben 2023'!$C394,Einzelbeträge!$E:$E,'Ausgaben 2023'!L$6)</f>
        <v>0</v>
      </c>
      <c r="M394" s="21">
        <f>SUMIFS(Einzelbeträge!$D:$D,Einzelbeträge!$C:$C,'Ausgaben 2023'!$C394,Einzelbeträge!$E:$E,'Ausgaben 2023'!M$6)</f>
        <v>0</v>
      </c>
      <c r="N394" s="35">
        <f>SUMIFS(Einzelbeträge!$D:$D,Einzelbeträge!$C:$C,'Ausgaben 2023'!$C394,Einzelbeträge!$E:$E,'Ausgaben 2023'!N$6)</f>
        <v>0</v>
      </c>
      <c r="O394" s="6"/>
    </row>
    <row r="395" spans="2:15" x14ac:dyDescent="0.35">
      <c r="B395" s="5"/>
      <c r="C395" s="40">
        <f t="shared" si="27"/>
        <v>45281</v>
      </c>
      <c r="D395" s="46">
        <f>SUMIFS(Einzelbeträge!$D:$D,Einzelbeträge!$C:$C,'Ausgaben 2023'!$C395)</f>
        <v>0</v>
      </c>
      <c r="E395" s="21">
        <f>SUMIFS(Einzelbeträge!$D:$D,Einzelbeträge!$C:$C,'Ausgaben 2023'!$C395,Einzelbeträge!$E:$E,'Ausgaben 2023'!E$6)</f>
        <v>0</v>
      </c>
      <c r="F395" s="21">
        <f>SUMIFS(Einzelbeträge!$D:$D,Einzelbeträge!$C:$C,'Ausgaben 2023'!$C395,Einzelbeträge!$E:$E,'Ausgaben 2023'!F$6)</f>
        <v>0</v>
      </c>
      <c r="G395" s="21">
        <f>SUMIFS(Einzelbeträge!$D:$D,Einzelbeträge!$C:$C,'Ausgaben 2023'!$C395,Einzelbeträge!$E:$E,'Ausgaben 2023'!G$6)</f>
        <v>0</v>
      </c>
      <c r="H395" s="21">
        <f>SUMIFS(Einzelbeträge!$D:$D,Einzelbeträge!$C:$C,'Ausgaben 2023'!$C395,Einzelbeträge!$E:$E,'Ausgaben 2023'!H$6)</f>
        <v>0</v>
      </c>
      <c r="I395" s="21">
        <f>SUMIFS(Einzelbeträge!$D:$D,Einzelbeträge!$C:$C,'Ausgaben 2023'!$C395,Einzelbeträge!$E:$E,'Ausgaben 2023'!I$6)</f>
        <v>0</v>
      </c>
      <c r="J395" s="21">
        <f>SUMIFS(Einzelbeträge!$D:$D,Einzelbeträge!$C:$C,'Ausgaben 2023'!$C395,Einzelbeträge!$E:$E,'Ausgaben 2023'!J$6)</f>
        <v>0</v>
      </c>
      <c r="K395" s="21">
        <f>SUMIFS(Einzelbeträge!$D:$D,Einzelbeträge!$C:$C,'Ausgaben 2023'!$C395,Einzelbeträge!$E:$E,'Ausgaben 2023'!K$6)</f>
        <v>0</v>
      </c>
      <c r="L395" s="21">
        <f>SUMIFS(Einzelbeträge!$D:$D,Einzelbeträge!$C:$C,'Ausgaben 2023'!$C395,Einzelbeträge!$E:$E,'Ausgaben 2023'!L$6)</f>
        <v>0</v>
      </c>
      <c r="M395" s="21">
        <f>SUMIFS(Einzelbeträge!$D:$D,Einzelbeträge!$C:$C,'Ausgaben 2023'!$C395,Einzelbeträge!$E:$E,'Ausgaben 2023'!M$6)</f>
        <v>0</v>
      </c>
      <c r="N395" s="35">
        <f>SUMIFS(Einzelbeträge!$D:$D,Einzelbeträge!$C:$C,'Ausgaben 2023'!$C395,Einzelbeträge!$E:$E,'Ausgaben 2023'!N$6)</f>
        <v>0</v>
      </c>
      <c r="O395" s="6"/>
    </row>
    <row r="396" spans="2:15" x14ac:dyDescent="0.35">
      <c r="B396" s="5"/>
      <c r="C396" s="40">
        <f t="shared" si="27"/>
        <v>45282</v>
      </c>
      <c r="D396" s="46">
        <f>SUMIFS(Einzelbeträge!$D:$D,Einzelbeträge!$C:$C,'Ausgaben 2023'!$C396)</f>
        <v>0</v>
      </c>
      <c r="E396" s="21">
        <f>SUMIFS(Einzelbeträge!$D:$D,Einzelbeträge!$C:$C,'Ausgaben 2023'!$C396,Einzelbeträge!$E:$E,'Ausgaben 2023'!E$6)</f>
        <v>0</v>
      </c>
      <c r="F396" s="21">
        <f>SUMIFS(Einzelbeträge!$D:$D,Einzelbeträge!$C:$C,'Ausgaben 2023'!$C396,Einzelbeträge!$E:$E,'Ausgaben 2023'!F$6)</f>
        <v>0</v>
      </c>
      <c r="G396" s="21">
        <f>SUMIFS(Einzelbeträge!$D:$D,Einzelbeträge!$C:$C,'Ausgaben 2023'!$C396,Einzelbeträge!$E:$E,'Ausgaben 2023'!G$6)</f>
        <v>0</v>
      </c>
      <c r="H396" s="21">
        <f>SUMIFS(Einzelbeträge!$D:$D,Einzelbeträge!$C:$C,'Ausgaben 2023'!$C396,Einzelbeträge!$E:$E,'Ausgaben 2023'!H$6)</f>
        <v>0</v>
      </c>
      <c r="I396" s="21">
        <f>SUMIFS(Einzelbeträge!$D:$D,Einzelbeträge!$C:$C,'Ausgaben 2023'!$C396,Einzelbeträge!$E:$E,'Ausgaben 2023'!I$6)</f>
        <v>0</v>
      </c>
      <c r="J396" s="21">
        <f>SUMIFS(Einzelbeträge!$D:$D,Einzelbeträge!$C:$C,'Ausgaben 2023'!$C396,Einzelbeträge!$E:$E,'Ausgaben 2023'!J$6)</f>
        <v>0</v>
      </c>
      <c r="K396" s="21">
        <f>SUMIFS(Einzelbeträge!$D:$D,Einzelbeträge!$C:$C,'Ausgaben 2023'!$C396,Einzelbeträge!$E:$E,'Ausgaben 2023'!K$6)</f>
        <v>0</v>
      </c>
      <c r="L396" s="21">
        <f>SUMIFS(Einzelbeträge!$D:$D,Einzelbeträge!$C:$C,'Ausgaben 2023'!$C396,Einzelbeträge!$E:$E,'Ausgaben 2023'!L$6)</f>
        <v>0</v>
      </c>
      <c r="M396" s="21">
        <f>SUMIFS(Einzelbeträge!$D:$D,Einzelbeträge!$C:$C,'Ausgaben 2023'!$C396,Einzelbeträge!$E:$E,'Ausgaben 2023'!M$6)</f>
        <v>0</v>
      </c>
      <c r="N396" s="35">
        <f>SUMIFS(Einzelbeträge!$D:$D,Einzelbeträge!$C:$C,'Ausgaben 2023'!$C396,Einzelbeträge!$E:$E,'Ausgaben 2023'!N$6)</f>
        <v>0</v>
      </c>
      <c r="O396" s="6"/>
    </row>
    <row r="397" spans="2:15" x14ac:dyDescent="0.35">
      <c r="B397" s="5"/>
      <c r="C397" s="40">
        <f t="shared" si="27"/>
        <v>45283</v>
      </c>
      <c r="D397" s="46">
        <f>SUMIFS(Einzelbeträge!$D:$D,Einzelbeträge!$C:$C,'Ausgaben 2023'!$C397)</f>
        <v>0</v>
      </c>
      <c r="E397" s="21">
        <f>SUMIFS(Einzelbeträge!$D:$D,Einzelbeträge!$C:$C,'Ausgaben 2023'!$C397,Einzelbeträge!$E:$E,'Ausgaben 2023'!E$6)</f>
        <v>0</v>
      </c>
      <c r="F397" s="21">
        <f>SUMIFS(Einzelbeträge!$D:$D,Einzelbeträge!$C:$C,'Ausgaben 2023'!$C397,Einzelbeträge!$E:$E,'Ausgaben 2023'!F$6)</f>
        <v>0</v>
      </c>
      <c r="G397" s="21">
        <f>SUMIFS(Einzelbeträge!$D:$D,Einzelbeträge!$C:$C,'Ausgaben 2023'!$C397,Einzelbeträge!$E:$E,'Ausgaben 2023'!G$6)</f>
        <v>0</v>
      </c>
      <c r="H397" s="21">
        <f>SUMIFS(Einzelbeträge!$D:$D,Einzelbeträge!$C:$C,'Ausgaben 2023'!$C397,Einzelbeträge!$E:$E,'Ausgaben 2023'!H$6)</f>
        <v>0</v>
      </c>
      <c r="I397" s="21">
        <f>SUMIFS(Einzelbeträge!$D:$D,Einzelbeträge!$C:$C,'Ausgaben 2023'!$C397,Einzelbeträge!$E:$E,'Ausgaben 2023'!I$6)</f>
        <v>0</v>
      </c>
      <c r="J397" s="21">
        <f>SUMIFS(Einzelbeträge!$D:$D,Einzelbeträge!$C:$C,'Ausgaben 2023'!$C397,Einzelbeträge!$E:$E,'Ausgaben 2023'!J$6)</f>
        <v>0</v>
      </c>
      <c r="K397" s="21">
        <f>SUMIFS(Einzelbeträge!$D:$D,Einzelbeträge!$C:$C,'Ausgaben 2023'!$C397,Einzelbeträge!$E:$E,'Ausgaben 2023'!K$6)</f>
        <v>0</v>
      </c>
      <c r="L397" s="21">
        <f>SUMIFS(Einzelbeträge!$D:$D,Einzelbeträge!$C:$C,'Ausgaben 2023'!$C397,Einzelbeträge!$E:$E,'Ausgaben 2023'!L$6)</f>
        <v>0</v>
      </c>
      <c r="M397" s="21">
        <f>SUMIFS(Einzelbeträge!$D:$D,Einzelbeträge!$C:$C,'Ausgaben 2023'!$C397,Einzelbeträge!$E:$E,'Ausgaben 2023'!M$6)</f>
        <v>0</v>
      </c>
      <c r="N397" s="35">
        <f>SUMIFS(Einzelbeträge!$D:$D,Einzelbeträge!$C:$C,'Ausgaben 2023'!$C397,Einzelbeträge!$E:$E,'Ausgaben 2023'!N$6)</f>
        <v>0</v>
      </c>
      <c r="O397" s="6"/>
    </row>
    <row r="398" spans="2:15" x14ac:dyDescent="0.35">
      <c r="B398" s="5"/>
      <c r="C398" s="40">
        <f t="shared" si="27"/>
        <v>45284</v>
      </c>
      <c r="D398" s="46">
        <f>SUMIFS(Einzelbeträge!$D:$D,Einzelbeträge!$C:$C,'Ausgaben 2023'!$C398)</f>
        <v>0</v>
      </c>
      <c r="E398" s="21">
        <f>SUMIFS(Einzelbeträge!$D:$D,Einzelbeträge!$C:$C,'Ausgaben 2023'!$C398,Einzelbeträge!$E:$E,'Ausgaben 2023'!E$6)</f>
        <v>0</v>
      </c>
      <c r="F398" s="21">
        <f>SUMIFS(Einzelbeträge!$D:$D,Einzelbeträge!$C:$C,'Ausgaben 2023'!$C398,Einzelbeträge!$E:$E,'Ausgaben 2023'!F$6)</f>
        <v>0</v>
      </c>
      <c r="G398" s="21">
        <f>SUMIFS(Einzelbeträge!$D:$D,Einzelbeträge!$C:$C,'Ausgaben 2023'!$C398,Einzelbeträge!$E:$E,'Ausgaben 2023'!G$6)</f>
        <v>0</v>
      </c>
      <c r="H398" s="21">
        <f>SUMIFS(Einzelbeträge!$D:$D,Einzelbeträge!$C:$C,'Ausgaben 2023'!$C398,Einzelbeträge!$E:$E,'Ausgaben 2023'!H$6)</f>
        <v>0</v>
      </c>
      <c r="I398" s="21">
        <f>SUMIFS(Einzelbeträge!$D:$D,Einzelbeträge!$C:$C,'Ausgaben 2023'!$C398,Einzelbeträge!$E:$E,'Ausgaben 2023'!I$6)</f>
        <v>0</v>
      </c>
      <c r="J398" s="21">
        <f>SUMIFS(Einzelbeträge!$D:$D,Einzelbeträge!$C:$C,'Ausgaben 2023'!$C398,Einzelbeträge!$E:$E,'Ausgaben 2023'!J$6)</f>
        <v>0</v>
      </c>
      <c r="K398" s="21">
        <f>SUMIFS(Einzelbeträge!$D:$D,Einzelbeträge!$C:$C,'Ausgaben 2023'!$C398,Einzelbeträge!$E:$E,'Ausgaben 2023'!K$6)</f>
        <v>0</v>
      </c>
      <c r="L398" s="21">
        <f>SUMIFS(Einzelbeträge!$D:$D,Einzelbeträge!$C:$C,'Ausgaben 2023'!$C398,Einzelbeträge!$E:$E,'Ausgaben 2023'!L$6)</f>
        <v>0</v>
      </c>
      <c r="M398" s="21">
        <f>SUMIFS(Einzelbeträge!$D:$D,Einzelbeträge!$C:$C,'Ausgaben 2023'!$C398,Einzelbeträge!$E:$E,'Ausgaben 2023'!M$6)</f>
        <v>0</v>
      </c>
      <c r="N398" s="35">
        <f>SUMIFS(Einzelbeträge!$D:$D,Einzelbeträge!$C:$C,'Ausgaben 2023'!$C398,Einzelbeträge!$E:$E,'Ausgaben 2023'!N$6)</f>
        <v>0</v>
      </c>
      <c r="O398" s="6"/>
    </row>
    <row r="399" spans="2:15" x14ac:dyDescent="0.35">
      <c r="B399" s="5"/>
      <c r="C399" s="40">
        <f t="shared" si="27"/>
        <v>45285</v>
      </c>
      <c r="D399" s="46">
        <f>SUMIFS(Einzelbeträge!$D:$D,Einzelbeträge!$C:$C,'Ausgaben 2023'!$C399)</f>
        <v>0</v>
      </c>
      <c r="E399" s="21">
        <f>SUMIFS(Einzelbeträge!$D:$D,Einzelbeträge!$C:$C,'Ausgaben 2023'!$C399,Einzelbeträge!$E:$E,'Ausgaben 2023'!E$6)</f>
        <v>0</v>
      </c>
      <c r="F399" s="21">
        <f>SUMIFS(Einzelbeträge!$D:$D,Einzelbeträge!$C:$C,'Ausgaben 2023'!$C399,Einzelbeträge!$E:$E,'Ausgaben 2023'!F$6)</f>
        <v>0</v>
      </c>
      <c r="G399" s="21">
        <f>SUMIFS(Einzelbeträge!$D:$D,Einzelbeträge!$C:$C,'Ausgaben 2023'!$C399,Einzelbeträge!$E:$E,'Ausgaben 2023'!G$6)</f>
        <v>0</v>
      </c>
      <c r="H399" s="21">
        <f>SUMIFS(Einzelbeträge!$D:$D,Einzelbeträge!$C:$C,'Ausgaben 2023'!$C399,Einzelbeträge!$E:$E,'Ausgaben 2023'!H$6)</f>
        <v>0</v>
      </c>
      <c r="I399" s="21">
        <f>SUMIFS(Einzelbeträge!$D:$D,Einzelbeträge!$C:$C,'Ausgaben 2023'!$C399,Einzelbeträge!$E:$E,'Ausgaben 2023'!I$6)</f>
        <v>0</v>
      </c>
      <c r="J399" s="21">
        <f>SUMIFS(Einzelbeträge!$D:$D,Einzelbeträge!$C:$C,'Ausgaben 2023'!$C399,Einzelbeträge!$E:$E,'Ausgaben 2023'!J$6)</f>
        <v>0</v>
      </c>
      <c r="K399" s="21">
        <f>SUMIFS(Einzelbeträge!$D:$D,Einzelbeträge!$C:$C,'Ausgaben 2023'!$C399,Einzelbeträge!$E:$E,'Ausgaben 2023'!K$6)</f>
        <v>0</v>
      </c>
      <c r="L399" s="21">
        <f>SUMIFS(Einzelbeträge!$D:$D,Einzelbeträge!$C:$C,'Ausgaben 2023'!$C399,Einzelbeträge!$E:$E,'Ausgaben 2023'!L$6)</f>
        <v>0</v>
      </c>
      <c r="M399" s="21">
        <f>SUMIFS(Einzelbeträge!$D:$D,Einzelbeträge!$C:$C,'Ausgaben 2023'!$C399,Einzelbeträge!$E:$E,'Ausgaben 2023'!M$6)</f>
        <v>0</v>
      </c>
      <c r="N399" s="35">
        <f>SUMIFS(Einzelbeträge!$D:$D,Einzelbeträge!$C:$C,'Ausgaben 2023'!$C399,Einzelbeträge!$E:$E,'Ausgaben 2023'!N$6)</f>
        <v>0</v>
      </c>
      <c r="O399" s="6"/>
    </row>
    <row r="400" spans="2:15" x14ac:dyDescent="0.35">
      <c r="B400" s="5"/>
      <c r="C400" s="40">
        <f t="shared" si="27"/>
        <v>45286</v>
      </c>
      <c r="D400" s="46">
        <f>SUMIFS(Einzelbeträge!$D:$D,Einzelbeträge!$C:$C,'Ausgaben 2023'!$C400)</f>
        <v>0</v>
      </c>
      <c r="E400" s="21">
        <f>SUMIFS(Einzelbeträge!$D:$D,Einzelbeträge!$C:$C,'Ausgaben 2023'!$C400,Einzelbeträge!$E:$E,'Ausgaben 2023'!E$6)</f>
        <v>0</v>
      </c>
      <c r="F400" s="21">
        <f>SUMIFS(Einzelbeträge!$D:$D,Einzelbeträge!$C:$C,'Ausgaben 2023'!$C400,Einzelbeträge!$E:$E,'Ausgaben 2023'!F$6)</f>
        <v>0</v>
      </c>
      <c r="G400" s="21">
        <f>SUMIFS(Einzelbeträge!$D:$D,Einzelbeträge!$C:$C,'Ausgaben 2023'!$C400,Einzelbeträge!$E:$E,'Ausgaben 2023'!G$6)</f>
        <v>0</v>
      </c>
      <c r="H400" s="21">
        <f>SUMIFS(Einzelbeträge!$D:$D,Einzelbeträge!$C:$C,'Ausgaben 2023'!$C400,Einzelbeträge!$E:$E,'Ausgaben 2023'!H$6)</f>
        <v>0</v>
      </c>
      <c r="I400" s="21">
        <f>SUMIFS(Einzelbeträge!$D:$D,Einzelbeträge!$C:$C,'Ausgaben 2023'!$C400,Einzelbeträge!$E:$E,'Ausgaben 2023'!I$6)</f>
        <v>0</v>
      </c>
      <c r="J400" s="21">
        <f>SUMIFS(Einzelbeträge!$D:$D,Einzelbeträge!$C:$C,'Ausgaben 2023'!$C400,Einzelbeträge!$E:$E,'Ausgaben 2023'!J$6)</f>
        <v>0</v>
      </c>
      <c r="K400" s="21">
        <f>SUMIFS(Einzelbeträge!$D:$D,Einzelbeträge!$C:$C,'Ausgaben 2023'!$C400,Einzelbeträge!$E:$E,'Ausgaben 2023'!K$6)</f>
        <v>0</v>
      </c>
      <c r="L400" s="21">
        <f>SUMIFS(Einzelbeträge!$D:$D,Einzelbeträge!$C:$C,'Ausgaben 2023'!$C400,Einzelbeträge!$E:$E,'Ausgaben 2023'!L$6)</f>
        <v>0</v>
      </c>
      <c r="M400" s="21">
        <f>SUMIFS(Einzelbeträge!$D:$D,Einzelbeträge!$C:$C,'Ausgaben 2023'!$C400,Einzelbeträge!$E:$E,'Ausgaben 2023'!M$6)</f>
        <v>0</v>
      </c>
      <c r="N400" s="35">
        <f>SUMIFS(Einzelbeträge!$D:$D,Einzelbeträge!$C:$C,'Ausgaben 2023'!$C400,Einzelbeträge!$E:$E,'Ausgaben 2023'!N$6)</f>
        <v>0</v>
      </c>
      <c r="O400" s="6"/>
    </row>
    <row r="401" spans="2:15" x14ac:dyDescent="0.35">
      <c r="B401" s="5"/>
      <c r="C401" s="40">
        <f t="shared" si="27"/>
        <v>45287</v>
      </c>
      <c r="D401" s="46">
        <f>SUMIFS(Einzelbeträge!$D:$D,Einzelbeträge!$C:$C,'Ausgaben 2023'!$C401)</f>
        <v>0</v>
      </c>
      <c r="E401" s="21">
        <f>SUMIFS(Einzelbeträge!$D:$D,Einzelbeträge!$C:$C,'Ausgaben 2023'!$C401,Einzelbeträge!$E:$E,'Ausgaben 2023'!E$6)</f>
        <v>0</v>
      </c>
      <c r="F401" s="21">
        <f>SUMIFS(Einzelbeträge!$D:$D,Einzelbeträge!$C:$C,'Ausgaben 2023'!$C401,Einzelbeträge!$E:$E,'Ausgaben 2023'!F$6)</f>
        <v>0</v>
      </c>
      <c r="G401" s="21">
        <f>SUMIFS(Einzelbeträge!$D:$D,Einzelbeträge!$C:$C,'Ausgaben 2023'!$C401,Einzelbeträge!$E:$E,'Ausgaben 2023'!G$6)</f>
        <v>0</v>
      </c>
      <c r="H401" s="21">
        <f>SUMIFS(Einzelbeträge!$D:$D,Einzelbeträge!$C:$C,'Ausgaben 2023'!$C401,Einzelbeträge!$E:$E,'Ausgaben 2023'!H$6)</f>
        <v>0</v>
      </c>
      <c r="I401" s="21">
        <f>SUMIFS(Einzelbeträge!$D:$D,Einzelbeträge!$C:$C,'Ausgaben 2023'!$C401,Einzelbeträge!$E:$E,'Ausgaben 2023'!I$6)</f>
        <v>0</v>
      </c>
      <c r="J401" s="21">
        <f>SUMIFS(Einzelbeträge!$D:$D,Einzelbeträge!$C:$C,'Ausgaben 2023'!$C401,Einzelbeträge!$E:$E,'Ausgaben 2023'!J$6)</f>
        <v>0</v>
      </c>
      <c r="K401" s="21">
        <f>SUMIFS(Einzelbeträge!$D:$D,Einzelbeträge!$C:$C,'Ausgaben 2023'!$C401,Einzelbeträge!$E:$E,'Ausgaben 2023'!K$6)</f>
        <v>0</v>
      </c>
      <c r="L401" s="21">
        <f>SUMIFS(Einzelbeträge!$D:$D,Einzelbeträge!$C:$C,'Ausgaben 2023'!$C401,Einzelbeträge!$E:$E,'Ausgaben 2023'!L$6)</f>
        <v>0</v>
      </c>
      <c r="M401" s="21">
        <f>SUMIFS(Einzelbeträge!$D:$D,Einzelbeträge!$C:$C,'Ausgaben 2023'!$C401,Einzelbeträge!$E:$E,'Ausgaben 2023'!M$6)</f>
        <v>0</v>
      </c>
      <c r="N401" s="35">
        <f>SUMIFS(Einzelbeträge!$D:$D,Einzelbeträge!$C:$C,'Ausgaben 2023'!$C401,Einzelbeträge!$E:$E,'Ausgaben 2023'!N$6)</f>
        <v>0</v>
      </c>
      <c r="O401" s="6"/>
    </row>
    <row r="402" spans="2:15" x14ac:dyDescent="0.35">
      <c r="B402" s="5"/>
      <c r="C402" s="40">
        <f t="shared" si="27"/>
        <v>45288</v>
      </c>
      <c r="D402" s="46">
        <f>SUMIFS(Einzelbeträge!$D:$D,Einzelbeträge!$C:$C,'Ausgaben 2023'!$C402)</f>
        <v>0</v>
      </c>
      <c r="E402" s="21">
        <f>SUMIFS(Einzelbeträge!$D:$D,Einzelbeträge!$C:$C,'Ausgaben 2023'!$C402,Einzelbeträge!$E:$E,'Ausgaben 2023'!E$6)</f>
        <v>0</v>
      </c>
      <c r="F402" s="21">
        <f>SUMIFS(Einzelbeträge!$D:$D,Einzelbeträge!$C:$C,'Ausgaben 2023'!$C402,Einzelbeträge!$E:$E,'Ausgaben 2023'!F$6)</f>
        <v>0</v>
      </c>
      <c r="G402" s="21">
        <f>SUMIFS(Einzelbeträge!$D:$D,Einzelbeträge!$C:$C,'Ausgaben 2023'!$C402,Einzelbeträge!$E:$E,'Ausgaben 2023'!G$6)</f>
        <v>0</v>
      </c>
      <c r="H402" s="21">
        <f>SUMIFS(Einzelbeträge!$D:$D,Einzelbeträge!$C:$C,'Ausgaben 2023'!$C402,Einzelbeträge!$E:$E,'Ausgaben 2023'!H$6)</f>
        <v>0</v>
      </c>
      <c r="I402" s="21">
        <f>SUMIFS(Einzelbeträge!$D:$D,Einzelbeträge!$C:$C,'Ausgaben 2023'!$C402,Einzelbeträge!$E:$E,'Ausgaben 2023'!I$6)</f>
        <v>0</v>
      </c>
      <c r="J402" s="21">
        <f>SUMIFS(Einzelbeträge!$D:$D,Einzelbeträge!$C:$C,'Ausgaben 2023'!$C402,Einzelbeträge!$E:$E,'Ausgaben 2023'!J$6)</f>
        <v>0</v>
      </c>
      <c r="K402" s="21">
        <f>SUMIFS(Einzelbeträge!$D:$D,Einzelbeträge!$C:$C,'Ausgaben 2023'!$C402,Einzelbeträge!$E:$E,'Ausgaben 2023'!K$6)</f>
        <v>0</v>
      </c>
      <c r="L402" s="21">
        <f>SUMIFS(Einzelbeträge!$D:$D,Einzelbeträge!$C:$C,'Ausgaben 2023'!$C402,Einzelbeträge!$E:$E,'Ausgaben 2023'!L$6)</f>
        <v>0</v>
      </c>
      <c r="M402" s="21">
        <f>SUMIFS(Einzelbeträge!$D:$D,Einzelbeträge!$C:$C,'Ausgaben 2023'!$C402,Einzelbeträge!$E:$E,'Ausgaben 2023'!M$6)</f>
        <v>0</v>
      </c>
      <c r="N402" s="35">
        <f>SUMIFS(Einzelbeträge!$D:$D,Einzelbeträge!$C:$C,'Ausgaben 2023'!$C402,Einzelbeträge!$E:$E,'Ausgaben 2023'!N$6)</f>
        <v>0</v>
      </c>
      <c r="O402" s="6"/>
    </row>
    <row r="403" spans="2:15" x14ac:dyDescent="0.35">
      <c r="B403" s="5"/>
      <c r="C403" s="40">
        <f t="shared" si="27"/>
        <v>45289</v>
      </c>
      <c r="D403" s="46">
        <f>SUMIFS(Einzelbeträge!$D:$D,Einzelbeträge!$C:$C,'Ausgaben 2023'!$C403)</f>
        <v>0</v>
      </c>
      <c r="E403" s="21">
        <f>SUMIFS(Einzelbeträge!$D:$D,Einzelbeträge!$C:$C,'Ausgaben 2023'!$C403,Einzelbeträge!$E:$E,'Ausgaben 2023'!E$6)</f>
        <v>0</v>
      </c>
      <c r="F403" s="21">
        <f>SUMIFS(Einzelbeträge!$D:$D,Einzelbeträge!$C:$C,'Ausgaben 2023'!$C403,Einzelbeträge!$E:$E,'Ausgaben 2023'!F$6)</f>
        <v>0</v>
      </c>
      <c r="G403" s="21">
        <f>SUMIFS(Einzelbeträge!$D:$D,Einzelbeträge!$C:$C,'Ausgaben 2023'!$C403,Einzelbeträge!$E:$E,'Ausgaben 2023'!G$6)</f>
        <v>0</v>
      </c>
      <c r="H403" s="21">
        <f>SUMIFS(Einzelbeträge!$D:$D,Einzelbeträge!$C:$C,'Ausgaben 2023'!$C403,Einzelbeträge!$E:$E,'Ausgaben 2023'!H$6)</f>
        <v>0</v>
      </c>
      <c r="I403" s="21">
        <f>SUMIFS(Einzelbeträge!$D:$D,Einzelbeträge!$C:$C,'Ausgaben 2023'!$C403,Einzelbeträge!$E:$E,'Ausgaben 2023'!I$6)</f>
        <v>0</v>
      </c>
      <c r="J403" s="21">
        <f>SUMIFS(Einzelbeträge!$D:$D,Einzelbeträge!$C:$C,'Ausgaben 2023'!$C403,Einzelbeträge!$E:$E,'Ausgaben 2023'!J$6)</f>
        <v>0</v>
      </c>
      <c r="K403" s="21">
        <f>SUMIFS(Einzelbeträge!$D:$D,Einzelbeträge!$C:$C,'Ausgaben 2023'!$C403,Einzelbeträge!$E:$E,'Ausgaben 2023'!K$6)</f>
        <v>0</v>
      </c>
      <c r="L403" s="21">
        <f>SUMIFS(Einzelbeträge!$D:$D,Einzelbeträge!$C:$C,'Ausgaben 2023'!$C403,Einzelbeträge!$E:$E,'Ausgaben 2023'!L$6)</f>
        <v>0</v>
      </c>
      <c r="M403" s="21">
        <f>SUMIFS(Einzelbeträge!$D:$D,Einzelbeträge!$C:$C,'Ausgaben 2023'!$C403,Einzelbeträge!$E:$E,'Ausgaben 2023'!M$6)</f>
        <v>0</v>
      </c>
      <c r="N403" s="35">
        <f>SUMIFS(Einzelbeträge!$D:$D,Einzelbeträge!$C:$C,'Ausgaben 2023'!$C403,Einzelbeträge!$E:$E,'Ausgaben 2023'!N$6)</f>
        <v>0</v>
      </c>
      <c r="O403" s="6"/>
    </row>
    <row r="404" spans="2:15" x14ac:dyDescent="0.35">
      <c r="B404" s="5"/>
      <c r="C404" s="40">
        <f t="shared" si="27"/>
        <v>45290</v>
      </c>
      <c r="D404" s="46">
        <f>SUMIFS(Einzelbeträge!$D:$D,Einzelbeträge!$C:$C,'Ausgaben 2023'!$C404)</f>
        <v>0</v>
      </c>
      <c r="E404" s="21">
        <f>SUMIFS(Einzelbeträge!$D:$D,Einzelbeträge!$C:$C,'Ausgaben 2023'!$C404,Einzelbeträge!$E:$E,'Ausgaben 2023'!E$6)</f>
        <v>0</v>
      </c>
      <c r="F404" s="21">
        <f>SUMIFS(Einzelbeträge!$D:$D,Einzelbeträge!$C:$C,'Ausgaben 2023'!$C404,Einzelbeträge!$E:$E,'Ausgaben 2023'!F$6)</f>
        <v>0</v>
      </c>
      <c r="G404" s="21">
        <f>SUMIFS(Einzelbeträge!$D:$D,Einzelbeträge!$C:$C,'Ausgaben 2023'!$C404,Einzelbeträge!$E:$E,'Ausgaben 2023'!G$6)</f>
        <v>0</v>
      </c>
      <c r="H404" s="21">
        <f>SUMIFS(Einzelbeträge!$D:$D,Einzelbeträge!$C:$C,'Ausgaben 2023'!$C404,Einzelbeträge!$E:$E,'Ausgaben 2023'!H$6)</f>
        <v>0</v>
      </c>
      <c r="I404" s="21">
        <f>SUMIFS(Einzelbeträge!$D:$D,Einzelbeträge!$C:$C,'Ausgaben 2023'!$C404,Einzelbeträge!$E:$E,'Ausgaben 2023'!I$6)</f>
        <v>0</v>
      </c>
      <c r="J404" s="21">
        <f>SUMIFS(Einzelbeträge!$D:$D,Einzelbeträge!$C:$C,'Ausgaben 2023'!$C404,Einzelbeträge!$E:$E,'Ausgaben 2023'!J$6)</f>
        <v>0</v>
      </c>
      <c r="K404" s="21">
        <f>SUMIFS(Einzelbeträge!$D:$D,Einzelbeträge!$C:$C,'Ausgaben 2023'!$C404,Einzelbeträge!$E:$E,'Ausgaben 2023'!K$6)</f>
        <v>0</v>
      </c>
      <c r="L404" s="21">
        <f>SUMIFS(Einzelbeträge!$D:$D,Einzelbeträge!$C:$C,'Ausgaben 2023'!$C404,Einzelbeträge!$E:$E,'Ausgaben 2023'!L$6)</f>
        <v>0</v>
      </c>
      <c r="M404" s="21">
        <f>SUMIFS(Einzelbeträge!$D:$D,Einzelbeträge!$C:$C,'Ausgaben 2023'!$C404,Einzelbeträge!$E:$E,'Ausgaben 2023'!M$6)</f>
        <v>0</v>
      </c>
      <c r="N404" s="35">
        <f>SUMIFS(Einzelbeträge!$D:$D,Einzelbeträge!$C:$C,'Ausgaben 2023'!$C404,Einzelbeträge!$E:$E,'Ausgaben 2023'!N$6)</f>
        <v>0</v>
      </c>
      <c r="O404" s="6"/>
    </row>
    <row r="405" spans="2:15" x14ac:dyDescent="0.35">
      <c r="B405" s="5"/>
      <c r="C405" s="31">
        <f t="shared" si="27"/>
        <v>45291</v>
      </c>
      <c r="D405" s="47">
        <f>SUMIFS(Einzelbeträge!$D:$D,Einzelbeträge!$C:$C,'Ausgaben 2023'!$C405)</f>
        <v>0</v>
      </c>
      <c r="E405" s="37">
        <f>SUMIFS(Einzelbeträge!$D:$D,Einzelbeträge!$C:$C,'Ausgaben 2023'!$C405,Einzelbeträge!$E:$E,'Ausgaben 2023'!E$6)</f>
        <v>0</v>
      </c>
      <c r="F405" s="37">
        <f>SUMIFS(Einzelbeträge!$D:$D,Einzelbeträge!$C:$C,'Ausgaben 2023'!$C405,Einzelbeträge!$E:$E,'Ausgaben 2023'!F$6)</f>
        <v>0</v>
      </c>
      <c r="G405" s="37">
        <f>SUMIFS(Einzelbeträge!$D:$D,Einzelbeträge!$C:$C,'Ausgaben 2023'!$C405,Einzelbeträge!$E:$E,'Ausgaben 2023'!G$6)</f>
        <v>0</v>
      </c>
      <c r="H405" s="37">
        <f>SUMIFS(Einzelbeträge!$D:$D,Einzelbeträge!$C:$C,'Ausgaben 2023'!$C405,Einzelbeträge!$E:$E,'Ausgaben 2023'!H$6)</f>
        <v>0</v>
      </c>
      <c r="I405" s="37">
        <f>SUMIFS(Einzelbeträge!$D:$D,Einzelbeträge!$C:$C,'Ausgaben 2023'!$C405,Einzelbeträge!$E:$E,'Ausgaben 2023'!I$6)</f>
        <v>0</v>
      </c>
      <c r="J405" s="37">
        <f>SUMIFS(Einzelbeträge!$D:$D,Einzelbeträge!$C:$C,'Ausgaben 2023'!$C405,Einzelbeträge!$E:$E,'Ausgaben 2023'!J$6)</f>
        <v>0</v>
      </c>
      <c r="K405" s="37">
        <f>SUMIFS(Einzelbeträge!$D:$D,Einzelbeträge!$C:$C,'Ausgaben 2023'!$C405,Einzelbeträge!$E:$E,'Ausgaben 2023'!K$6)</f>
        <v>0</v>
      </c>
      <c r="L405" s="37">
        <f>SUMIFS(Einzelbeträge!$D:$D,Einzelbeträge!$C:$C,'Ausgaben 2023'!$C405,Einzelbeträge!$E:$E,'Ausgaben 2023'!L$6)</f>
        <v>0</v>
      </c>
      <c r="M405" s="37">
        <f>SUMIFS(Einzelbeträge!$D:$D,Einzelbeträge!$C:$C,'Ausgaben 2023'!$C405,Einzelbeträge!$E:$E,'Ausgaben 2023'!M$6)</f>
        <v>0</v>
      </c>
      <c r="N405" s="38">
        <f>SUMIFS(Einzelbeträge!$D:$D,Einzelbeträge!$C:$C,'Ausgaben 2023'!$C405,Einzelbeträge!$E:$E,'Ausgaben 2023'!N$6)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94" priority="2">
      <formula>LEN(TRIM(C69))=0</formula>
    </cfRule>
  </conditionalFormatting>
  <conditionalFormatting sqref="D69:N69">
    <cfRule type="expression" dxfId="93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52CD525A-6E22-423F-A7B9-841F95CCCD75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B5248234-B1B4-436D-A737-610FF1D9B25F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92DC0528-4BF3-46EA-9D32-A77EABA07DD2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2AD2E65E-1989-477C-B144-97FF08A0237C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5E9A7C62-F4FF-4590-97D0-C35B0B5B7F9C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49DAFA8E-529B-446B-96D5-2B0D5F98B97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5EAFAA40-92A6-4DFC-851F-C06CF7AB931E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DB2CDDAB-B898-4C33-9166-CE4675C73529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EE121300-43F0-4D1E-94A8-61818096CCB8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B33F589C-4709-4FC1-9C22-A749AD8EE5B1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CEC01377-5E54-4701-9271-B7D933943EE3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14E743AE-AD3F-4DF6-B017-6AEE5EF1247A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7B4DECE8-0539-48F9-AC86-4CAEC3ADEDCB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32419FDE-0AC1-4C40-8796-4F5E3B61EAF5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ED9E4D84-259D-4310-A534-E39119194F19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F3BC80E6-F8A1-4475-9F37-71CF633E538A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F8629671-F48E-425F-8157-395E274E951C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1673966B-DA56-4BE3-877E-4F9B8E38C93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5DCBF397-92C5-421C-A2EA-5087D034658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6BC3FD74-EB0C-4FC3-ACB2-AB03CF3FCE71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6982258F-C38F-4492-9625-DD740D7BECAC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B89A-441D-42DF-B135-90D9FA6044DD}">
  <sheetPr codeName="Sheet6"/>
  <dimension ref="B1:K10"/>
  <sheetViews>
    <sheetView zoomScale="77" workbookViewId="0">
      <pane ySplit="5" topLeftCell="A6" activePane="bottomLeft" state="frozen"/>
      <selection pane="bottomLeft" activeCell="J3" sqref="J3"/>
    </sheetView>
  </sheetViews>
  <sheetFormatPr defaultRowHeight="14.5" x14ac:dyDescent="0.35"/>
  <cols>
    <col min="1" max="2" width="2.81640625" customWidth="1"/>
    <col min="3" max="3" width="12.1796875" bestFit="1" customWidth="1"/>
    <col min="4" max="4" width="9.26953125" bestFit="1" customWidth="1"/>
    <col min="5" max="5" width="11.453125" bestFit="1" customWidth="1"/>
    <col min="6" max="6" width="19.453125" bestFit="1" customWidth="1"/>
    <col min="7" max="9" width="2.81640625" customWidth="1"/>
    <col min="10" max="10" width="7.36328125" bestFit="1" customWidth="1"/>
    <col min="11" max="11" width="2.81640625" customWidth="1"/>
  </cols>
  <sheetData>
    <row r="1" spans="2:11" ht="15" thickBot="1" x14ac:dyDescent="0.4">
      <c r="C1" s="24"/>
      <c r="D1" s="24"/>
      <c r="E1" s="24"/>
      <c r="F1" s="24"/>
    </row>
    <row r="2" spans="2:11" x14ac:dyDescent="0.35">
      <c r="B2" s="2"/>
      <c r="C2" s="3"/>
      <c r="D2" s="3"/>
      <c r="E2" s="3"/>
      <c r="F2" s="3"/>
      <c r="G2" s="4"/>
      <c r="I2" s="2"/>
      <c r="J2" s="3"/>
      <c r="K2" s="4"/>
    </row>
    <row r="3" spans="2:11" x14ac:dyDescent="0.35">
      <c r="B3" s="5"/>
      <c r="C3" s="1" t="s">
        <v>14</v>
      </c>
      <c r="D3" s="7"/>
      <c r="E3" s="7"/>
      <c r="F3" s="7"/>
      <c r="G3" s="6"/>
      <c r="I3" s="5"/>
      <c r="J3" s="86" t="s">
        <v>13</v>
      </c>
      <c r="K3" s="6"/>
    </row>
    <row r="4" spans="2:11" ht="15" thickBot="1" x14ac:dyDescent="0.4">
      <c r="B4" s="5"/>
      <c r="C4" s="7"/>
      <c r="D4" s="7"/>
      <c r="E4" s="7"/>
      <c r="F4" s="7"/>
      <c r="G4" s="6"/>
      <c r="I4" s="8"/>
      <c r="J4" s="9"/>
      <c r="K4" s="10"/>
    </row>
    <row r="5" spans="2:11" x14ac:dyDescent="0.35">
      <c r="B5" s="5"/>
      <c r="C5" s="26" t="s">
        <v>7</v>
      </c>
      <c r="D5" s="27" t="s">
        <v>10</v>
      </c>
      <c r="E5" s="27" t="s">
        <v>11</v>
      </c>
      <c r="F5" s="25" t="s">
        <v>12</v>
      </c>
      <c r="G5" s="6"/>
    </row>
    <row r="6" spans="2:11" x14ac:dyDescent="0.35">
      <c r="B6" s="5"/>
      <c r="C6" s="20">
        <v>46127</v>
      </c>
      <c r="D6" s="29">
        <v>30</v>
      </c>
      <c r="E6" t="s">
        <v>1</v>
      </c>
      <c r="F6" t="s">
        <v>56</v>
      </c>
      <c r="G6" s="6"/>
    </row>
    <row r="7" spans="2:11" x14ac:dyDescent="0.35">
      <c r="B7" s="5"/>
      <c r="C7" s="20">
        <v>46126</v>
      </c>
      <c r="D7" s="29">
        <v>20</v>
      </c>
      <c r="E7" t="s">
        <v>64</v>
      </c>
      <c r="F7" t="s">
        <v>57</v>
      </c>
      <c r="G7" s="6"/>
    </row>
    <row r="8" spans="2:11" x14ac:dyDescent="0.35">
      <c r="B8" s="5"/>
      <c r="C8" s="20">
        <v>46125</v>
      </c>
      <c r="D8" s="29">
        <v>10</v>
      </c>
      <c r="E8" t="s">
        <v>65</v>
      </c>
      <c r="F8" t="s">
        <v>58</v>
      </c>
      <c r="G8" s="6"/>
    </row>
    <row r="9" spans="2:11" ht="15" thickBot="1" x14ac:dyDescent="0.4">
      <c r="B9" s="8"/>
      <c r="C9" s="9"/>
      <c r="D9" s="9"/>
      <c r="E9" s="9"/>
      <c r="F9" s="9"/>
      <c r="G9" s="10"/>
    </row>
    <row r="10" spans="2:11" x14ac:dyDescent="0.35">
      <c r="C10" s="20"/>
      <c r="D10" s="21"/>
    </row>
  </sheetData>
  <hyperlinks>
    <hyperlink ref="J3" location="Eingabe!A1" display="Verbindlichkeiten" xr:uid="{810579CE-4BB6-4CAE-BA87-BCC769E1199E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671DC-89A5-4432-961A-B3EEE44A44BA}">
  <sheetPr codeName="Sheet14"/>
  <dimension ref="B1:AD87"/>
  <sheetViews>
    <sheetView topLeftCell="A37" zoomScale="96" workbookViewId="0">
      <selection activeCell="D45" sqref="D45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2027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>SUM(D48:AC48,D77:AC77)</f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65</v>
      </c>
      <c r="D21" s="67">
        <f t="shared" si="1"/>
        <v>0</v>
      </c>
      <c r="E21" s="6"/>
    </row>
    <row r="22" spans="2:30" x14ac:dyDescent="0.35">
      <c r="B22" s="5"/>
      <c r="C22" s="13" t="s">
        <v>64</v>
      </c>
      <c r="D22" s="67">
        <f t="shared" si="1"/>
        <v>0</v>
      </c>
      <c r="E22" s="6"/>
    </row>
    <row r="23" spans="2:30" x14ac:dyDescent="0.35">
      <c r="B23" s="5"/>
      <c r="C23" s="13" t="s">
        <v>63</v>
      </c>
      <c r="D23" s="67">
        <f t="shared" si="1"/>
        <v>0</v>
      </c>
      <c r="E23" s="6"/>
    </row>
    <row r="24" spans="2:30" x14ac:dyDescent="0.35">
      <c r="B24" s="5"/>
      <c r="C24" s="13" t="s">
        <v>62</v>
      </c>
      <c r="D24" s="67">
        <f t="shared" si="1"/>
        <v>0</v>
      </c>
      <c r="E24" s="6"/>
    </row>
    <row r="25" spans="2:30" x14ac:dyDescent="0.35">
      <c r="B25" s="5"/>
      <c r="C25" s="13" t="s">
        <v>61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2027'!$AI$5:$AR$5,'Ausgaben 2027'!$AI$6:$AR$6)</f>
        <v>0</v>
      </c>
      <c r="E45" s="6"/>
      <c r="G45" s="5"/>
      <c r="H45" s="13" t="s">
        <v>0</v>
      </c>
      <c r="I45" s="67">
        <f>_xlfn.XLOOKUP(H45,'Ausgaben 2027'!$AI$5:$AR$5,'Ausgaben 2027'!$AI$7:$AR$7)</f>
        <v>0</v>
      </c>
      <c r="J45" s="6"/>
      <c r="L45" s="5"/>
      <c r="M45" s="13" t="s">
        <v>0</v>
      </c>
      <c r="N45" s="67">
        <f>_xlfn.XLOOKUP(M45,'Ausgaben 2027'!$AI$5:$AR$5,'Ausgaben 2027'!$AI$8:$AR$8)</f>
        <v>0</v>
      </c>
      <c r="O45" s="6"/>
      <c r="Q45" s="5"/>
      <c r="R45" s="13" t="s">
        <v>0</v>
      </c>
      <c r="S45" s="67">
        <f>_xlfn.XLOOKUP(R45,'Ausgaben 2027'!$AI$5:$AR$5,'Ausgaben 2027'!$AI$9:$AR$9)</f>
        <v>0</v>
      </c>
      <c r="T45" s="6"/>
      <c r="V45" s="5"/>
      <c r="W45" s="13" t="s">
        <v>0</v>
      </c>
      <c r="X45" s="67">
        <f>_xlfn.XLOOKUP(W45,'Ausgaben 2027'!$AI$5:$AR$5,'Ausgaben 2027'!$AI$10:$AR$10)</f>
        <v>0</v>
      </c>
      <c r="Y45" s="6"/>
      <c r="AA45" s="5"/>
      <c r="AB45" s="13" t="s">
        <v>0</v>
      </c>
      <c r="AC45" s="67">
        <f>_xlfn.XLOOKUP(AB45,'Ausgaben 2027'!$AI$5:$AR$5,'Ausgaben 2027'!$AI$11:$AR$11)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2027'!$AI$5:$AR$5,'Ausgaben 2027'!$AI$6:$AR$6)</f>
        <v>0</v>
      </c>
      <c r="E46" s="6"/>
      <c r="G46" s="5"/>
      <c r="H46" s="13" t="s">
        <v>1</v>
      </c>
      <c r="I46" s="67">
        <f>_xlfn.XLOOKUP(H46,'Ausgaben 2027'!$AI$5:$AR$5,'Ausgaben 2027'!$AI$7:$AR$7)</f>
        <v>0</v>
      </c>
      <c r="J46" s="6"/>
      <c r="L46" s="5"/>
      <c r="M46" s="13" t="s">
        <v>1</v>
      </c>
      <c r="N46" s="67">
        <f>_xlfn.XLOOKUP(M46,'Ausgaben 2027'!$AI$5:$AR$5,'Ausgaben 2027'!$AI$8:$AR$8)</f>
        <v>0</v>
      </c>
      <c r="O46" s="6"/>
      <c r="Q46" s="5"/>
      <c r="R46" s="13" t="s">
        <v>1</v>
      </c>
      <c r="S46" s="67">
        <f>_xlfn.XLOOKUP(R46,'Ausgaben 2027'!$AI$5:$AR$5,'Ausgaben 2027'!$AI$9:$AR$9)</f>
        <v>0</v>
      </c>
      <c r="T46" s="6"/>
      <c r="V46" s="5"/>
      <c r="W46" s="13" t="s">
        <v>1</v>
      </c>
      <c r="X46" s="67">
        <f>_xlfn.XLOOKUP(W46,'Ausgaben 2027'!$AI$5:$AR$5,'Ausgaben 2027'!$AI$10:$AR$10)</f>
        <v>0</v>
      </c>
      <c r="Y46" s="6"/>
      <c r="AA46" s="5"/>
      <c r="AB46" s="13" t="s">
        <v>1</v>
      </c>
      <c r="AC46" s="67">
        <f>_xlfn.XLOOKUP(AB46,'Ausgaben 2027'!$AI$5:$AR$5,'Ausgaben 2027'!$AI$11:$AR$11)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2027'!$AI$5:$AR$5,'Ausgaben 2027'!$AI$6:$AR$6)</f>
        <v>0</v>
      </c>
      <c r="E47" s="6"/>
      <c r="G47" s="5"/>
      <c r="H47" s="13" t="s">
        <v>3</v>
      </c>
      <c r="I47" s="67">
        <f>_xlfn.XLOOKUP(H47,'Ausgaben 2027'!$AI$5:$AR$5,'Ausgaben 2027'!$AI$7:$AR$7)</f>
        <v>0</v>
      </c>
      <c r="J47" s="6"/>
      <c r="L47" s="5"/>
      <c r="M47" s="13" t="s">
        <v>3</v>
      </c>
      <c r="N47" s="67">
        <f>_xlfn.XLOOKUP(M47,'Ausgaben 2027'!$AI$5:$AR$5,'Ausgaben 2027'!$AI$8:$AR$8)</f>
        <v>0</v>
      </c>
      <c r="O47" s="6"/>
      <c r="Q47" s="5"/>
      <c r="R47" s="13" t="s">
        <v>3</v>
      </c>
      <c r="S47" s="67">
        <f>_xlfn.XLOOKUP(R47,'Ausgaben 2027'!$AI$5:$AR$5,'Ausgaben 2027'!$AI$9:$AR$9)</f>
        <v>0</v>
      </c>
      <c r="T47" s="6"/>
      <c r="V47" s="5"/>
      <c r="W47" s="13" t="s">
        <v>3</v>
      </c>
      <c r="X47" s="67">
        <f>_xlfn.XLOOKUP(W47,'Ausgaben 2027'!$AI$5:$AR$5,'Ausgaben 2027'!$AI$10:$AR$10)</f>
        <v>0</v>
      </c>
      <c r="Y47" s="6"/>
      <c r="AA47" s="5"/>
      <c r="AB47" s="13" t="s">
        <v>3</v>
      </c>
      <c r="AC47" s="67">
        <f>_xlfn.XLOOKUP(AB47,'Ausgaben 2027'!$AI$5:$AR$5,'Ausgaben 2027'!$AI$11:$AR$11)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2027'!$AI$5:$AR$5,'Ausgaben 2027'!$AI$6:$AR$6)</f>
        <v>0</v>
      </c>
      <c r="E48" s="6"/>
      <c r="G48" s="5"/>
      <c r="H48" s="13" t="s">
        <v>2</v>
      </c>
      <c r="I48" s="67">
        <f>_xlfn.XLOOKUP(H48,'Ausgaben 2027'!$AI$5:$AR$5,'Ausgaben 2027'!$AI$7:$AR$7)</f>
        <v>0</v>
      </c>
      <c r="J48" s="6"/>
      <c r="L48" s="5"/>
      <c r="M48" s="13" t="s">
        <v>2</v>
      </c>
      <c r="N48" s="67">
        <f>_xlfn.XLOOKUP(M48,'Ausgaben 2027'!$AI$5:$AR$5,'Ausgaben 2027'!$AI$8:$AR$8)</f>
        <v>0</v>
      </c>
      <c r="O48" s="6"/>
      <c r="Q48" s="5"/>
      <c r="R48" s="13" t="s">
        <v>2</v>
      </c>
      <c r="S48" s="67">
        <f>_xlfn.XLOOKUP(R48,'Ausgaben 2027'!$AI$5:$AR$5,'Ausgaben 2027'!$AI$9:$AR$9)</f>
        <v>0</v>
      </c>
      <c r="T48" s="6"/>
      <c r="V48" s="5"/>
      <c r="W48" s="13" t="s">
        <v>2</v>
      </c>
      <c r="X48" s="67">
        <f>_xlfn.XLOOKUP(W48,'Ausgaben 2027'!$AI$5:$AR$5,'Ausgaben 2027'!$AI$10:$AR$10)</f>
        <v>0</v>
      </c>
      <c r="Y48" s="6"/>
      <c r="AA48" s="5"/>
      <c r="AB48" s="13" t="s">
        <v>2</v>
      </c>
      <c r="AC48" s="67">
        <f>_xlfn.XLOOKUP(AB48,'Ausgaben 2027'!$AI$5:$AR$5,'Ausgaben 2027'!$AI$11:$AR$11)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2027'!$AI$5:$AR$5,'Ausgaben 2027'!$AI$6:$AR$6)</f>
        <v>0</v>
      </c>
      <c r="E49" s="6"/>
      <c r="G49" s="5"/>
      <c r="H49" s="13" t="s">
        <v>42</v>
      </c>
      <c r="I49" s="67">
        <f>_xlfn.XLOOKUP(H49,'Ausgaben 2027'!$AI$5:$AR$5,'Ausgaben 2027'!$AI$7:$AR$7)</f>
        <v>0</v>
      </c>
      <c r="J49" s="6"/>
      <c r="L49" s="5"/>
      <c r="M49" s="13" t="s">
        <v>42</v>
      </c>
      <c r="N49" s="67">
        <f>_xlfn.XLOOKUP(M49,'Ausgaben 2027'!$AI$5:$AR$5,'Ausgaben 2027'!$AI$8:$AR$8)</f>
        <v>0</v>
      </c>
      <c r="O49" s="6"/>
      <c r="Q49" s="5"/>
      <c r="R49" s="13" t="s">
        <v>42</v>
      </c>
      <c r="S49" s="67">
        <f>_xlfn.XLOOKUP(R49,'Ausgaben 2027'!$AI$5:$AR$5,'Ausgaben 2027'!$AI$9:$AR$9)</f>
        <v>0</v>
      </c>
      <c r="T49" s="6"/>
      <c r="V49" s="5"/>
      <c r="W49" s="13" t="s">
        <v>42</v>
      </c>
      <c r="X49" s="67">
        <f>_xlfn.XLOOKUP(W49,'Ausgaben 2027'!$AI$5:$AR$5,'Ausgaben 2027'!$AI$10:$AR$10)</f>
        <v>0</v>
      </c>
      <c r="Y49" s="6"/>
      <c r="AA49" s="5"/>
      <c r="AB49" s="13" t="s">
        <v>42</v>
      </c>
      <c r="AC49" s="67">
        <f>_xlfn.XLOOKUP(AB49,'Ausgaben 2027'!$AI$5:$AR$5,'Ausgaben 2027'!$AI$11:$AR$11)</f>
        <v>0</v>
      </c>
      <c r="AD49" s="6"/>
    </row>
    <row r="50" spans="2:30" x14ac:dyDescent="0.35">
      <c r="B50" s="5"/>
      <c r="C50" s="13" t="s">
        <v>65</v>
      </c>
      <c r="D50" s="67">
        <f>_xlfn.XLOOKUP(C50,'Ausgaben 2027'!$AI$5:$AR$5,'Ausgaben 2027'!$AI$6:$AR$6)</f>
        <v>0</v>
      </c>
      <c r="E50" s="6"/>
      <c r="G50" s="5"/>
      <c r="H50" s="13" t="s">
        <v>65</v>
      </c>
      <c r="I50" s="67">
        <f>_xlfn.XLOOKUP(H50,'Ausgaben 2027'!$AI$5:$AR$5,'Ausgaben 2027'!$AI$7:$AR$7)</f>
        <v>0</v>
      </c>
      <c r="J50" s="6"/>
      <c r="L50" s="5"/>
      <c r="M50" s="13" t="s">
        <v>65</v>
      </c>
      <c r="N50" s="67">
        <f>_xlfn.XLOOKUP(M50,'Ausgaben 2027'!$AI$5:$AR$5,'Ausgaben 2027'!$AI$8:$AR$8)</f>
        <v>0</v>
      </c>
      <c r="O50" s="6"/>
      <c r="Q50" s="5"/>
      <c r="R50" s="13" t="s">
        <v>65</v>
      </c>
      <c r="S50" s="67">
        <f>_xlfn.XLOOKUP(R50,'Ausgaben 2027'!$AI$5:$AR$5,'Ausgaben 2027'!$AI$9:$AR$9)</f>
        <v>0</v>
      </c>
      <c r="T50" s="6"/>
      <c r="V50" s="5"/>
      <c r="W50" s="13" t="s">
        <v>65</v>
      </c>
      <c r="X50" s="67">
        <f>_xlfn.XLOOKUP(W50,'Ausgaben 2027'!$AI$5:$AR$5,'Ausgaben 2027'!$AI$10:$AR$10)</f>
        <v>0</v>
      </c>
      <c r="Y50" s="6"/>
      <c r="AA50" s="5"/>
      <c r="AB50" s="13" t="s">
        <v>65</v>
      </c>
      <c r="AC50" s="67">
        <f>_xlfn.XLOOKUP(AB50,'Ausgaben 2027'!$AI$5:$AR$5,'Ausgaben 2027'!$AI$11:$AR$11)</f>
        <v>0</v>
      </c>
      <c r="AD50" s="6"/>
    </row>
    <row r="51" spans="2:30" x14ac:dyDescent="0.35">
      <c r="B51" s="5"/>
      <c r="C51" s="13" t="s">
        <v>64</v>
      </c>
      <c r="D51" s="67">
        <f>_xlfn.XLOOKUP(C51,'Ausgaben 2027'!$AI$5:$AR$5,'Ausgaben 2027'!$AI$6:$AR$6)</f>
        <v>0</v>
      </c>
      <c r="E51" s="6"/>
      <c r="G51" s="5"/>
      <c r="H51" s="13" t="s">
        <v>64</v>
      </c>
      <c r="I51" s="67">
        <f>_xlfn.XLOOKUP(H51,'Ausgaben 2027'!$AI$5:$AR$5,'Ausgaben 2027'!$AI$7:$AR$7)</f>
        <v>0</v>
      </c>
      <c r="J51" s="6"/>
      <c r="L51" s="5"/>
      <c r="M51" s="13" t="s">
        <v>64</v>
      </c>
      <c r="N51" s="67">
        <f>_xlfn.XLOOKUP(M51,'Ausgaben 2027'!$AI$5:$AR$5,'Ausgaben 2027'!$AI$8:$AR$8)</f>
        <v>0</v>
      </c>
      <c r="O51" s="6"/>
      <c r="Q51" s="5"/>
      <c r="R51" s="13" t="s">
        <v>64</v>
      </c>
      <c r="S51" s="67">
        <f>_xlfn.XLOOKUP(R51,'Ausgaben 2027'!$AI$5:$AR$5,'Ausgaben 2027'!$AI$9:$AR$9)</f>
        <v>0</v>
      </c>
      <c r="T51" s="6"/>
      <c r="V51" s="5"/>
      <c r="W51" s="13" t="s">
        <v>64</v>
      </c>
      <c r="X51" s="67">
        <f>_xlfn.XLOOKUP(W51,'Ausgaben 2027'!$AI$5:$AR$5,'Ausgaben 2027'!$AI$10:$AR$10)</f>
        <v>0</v>
      </c>
      <c r="Y51" s="6"/>
      <c r="AA51" s="5"/>
      <c r="AB51" s="13" t="s">
        <v>64</v>
      </c>
      <c r="AC51" s="67">
        <f>_xlfn.XLOOKUP(AB51,'Ausgaben 2027'!$AI$5:$AR$5,'Ausgaben 2027'!$AI$11:$AR$11)</f>
        <v>0</v>
      </c>
      <c r="AD51" s="6"/>
    </row>
    <row r="52" spans="2:30" x14ac:dyDescent="0.35">
      <c r="B52" s="5"/>
      <c r="C52" s="13" t="s">
        <v>63</v>
      </c>
      <c r="D52" s="67">
        <f>_xlfn.XLOOKUP(C52,'Ausgaben 2027'!$AI$5:$AR$5,'Ausgaben 2027'!$AI$6:$AR$6)</f>
        <v>0</v>
      </c>
      <c r="E52" s="6"/>
      <c r="G52" s="5"/>
      <c r="H52" s="13" t="s">
        <v>63</v>
      </c>
      <c r="I52" s="67">
        <f>_xlfn.XLOOKUP(H52,'Ausgaben 2027'!$AI$5:$AR$5,'Ausgaben 2027'!$AI$7:$AR$7)</f>
        <v>0</v>
      </c>
      <c r="J52" s="6"/>
      <c r="L52" s="5"/>
      <c r="M52" s="13" t="s">
        <v>63</v>
      </c>
      <c r="N52" s="67">
        <f>_xlfn.XLOOKUP(M52,'Ausgaben 2027'!$AI$5:$AR$5,'Ausgaben 2027'!$AI$8:$AR$8)</f>
        <v>0</v>
      </c>
      <c r="O52" s="6"/>
      <c r="Q52" s="5"/>
      <c r="R52" s="13" t="s">
        <v>63</v>
      </c>
      <c r="S52" s="67">
        <f>_xlfn.XLOOKUP(R52,'Ausgaben 2027'!$AI$5:$AR$5,'Ausgaben 2027'!$AI$9:$AR$9)</f>
        <v>0</v>
      </c>
      <c r="T52" s="6"/>
      <c r="V52" s="5"/>
      <c r="W52" s="13" t="s">
        <v>63</v>
      </c>
      <c r="X52" s="67">
        <f>_xlfn.XLOOKUP(W52,'Ausgaben 2027'!$AI$5:$AR$5,'Ausgaben 2027'!$AI$10:$AR$10)</f>
        <v>0</v>
      </c>
      <c r="Y52" s="6"/>
      <c r="AA52" s="5"/>
      <c r="AB52" s="13" t="s">
        <v>63</v>
      </c>
      <c r="AC52" s="67">
        <f>_xlfn.XLOOKUP(AB52,'Ausgaben 2027'!$AI$5:$AR$5,'Ausgaben 2027'!$AI$11:$AR$11)</f>
        <v>0</v>
      </c>
      <c r="AD52" s="6"/>
    </row>
    <row r="53" spans="2:30" x14ac:dyDescent="0.35">
      <c r="B53" s="5"/>
      <c r="C53" s="13" t="s">
        <v>62</v>
      </c>
      <c r="D53" s="67">
        <f>_xlfn.XLOOKUP(C53,'Ausgaben 2027'!$AI$5:$AR$5,'Ausgaben 2027'!$AI$6:$AR$6)</f>
        <v>0</v>
      </c>
      <c r="E53" s="6"/>
      <c r="G53" s="5"/>
      <c r="H53" s="13" t="s">
        <v>62</v>
      </c>
      <c r="I53" s="67">
        <f>_xlfn.XLOOKUP(H53,'Ausgaben 2027'!$AI$5:$AR$5,'Ausgaben 2027'!$AI$7:$AR$7)</f>
        <v>0</v>
      </c>
      <c r="J53" s="6"/>
      <c r="L53" s="5"/>
      <c r="M53" s="13" t="s">
        <v>62</v>
      </c>
      <c r="N53" s="67">
        <f>_xlfn.XLOOKUP(M53,'Ausgaben 2027'!$AI$5:$AR$5,'Ausgaben 2027'!$AI$8:$AR$8)</f>
        <v>0</v>
      </c>
      <c r="O53" s="6"/>
      <c r="Q53" s="5"/>
      <c r="R53" s="13" t="s">
        <v>62</v>
      </c>
      <c r="S53" s="67">
        <f>_xlfn.XLOOKUP(R53,'Ausgaben 2027'!$AI$5:$AR$5,'Ausgaben 2027'!$AI$9:$AR$9)</f>
        <v>0</v>
      </c>
      <c r="T53" s="6"/>
      <c r="V53" s="5"/>
      <c r="W53" s="13" t="s">
        <v>62</v>
      </c>
      <c r="X53" s="67">
        <f>_xlfn.XLOOKUP(W53,'Ausgaben 2027'!$AI$5:$AR$5,'Ausgaben 2027'!$AI$10:$AR$10)</f>
        <v>0</v>
      </c>
      <c r="Y53" s="6"/>
      <c r="AA53" s="5"/>
      <c r="AB53" s="13" t="s">
        <v>62</v>
      </c>
      <c r="AC53" s="67">
        <f>_xlfn.XLOOKUP(AB53,'Ausgaben 2027'!$AI$5:$AR$5,'Ausgaben 2027'!$AI$11:$AR$11)</f>
        <v>0</v>
      </c>
      <c r="AD53" s="6"/>
    </row>
    <row r="54" spans="2:30" x14ac:dyDescent="0.35">
      <c r="B54" s="5"/>
      <c r="C54" s="13" t="s">
        <v>61</v>
      </c>
      <c r="D54" s="67">
        <f>_xlfn.XLOOKUP(C54,'Ausgaben 2027'!$AI$5:$AR$5,'Ausgaben 2027'!$AI$6:$AR$6)</f>
        <v>0</v>
      </c>
      <c r="E54" s="6"/>
      <c r="G54" s="5"/>
      <c r="H54" s="13" t="s">
        <v>61</v>
      </c>
      <c r="I54" s="67">
        <f>_xlfn.XLOOKUP(H54,'Ausgaben 2027'!$AI$5:$AR$5,'Ausgaben 2027'!$AI$7:$AR$7)</f>
        <v>0</v>
      </c>
      <c r="J54" s="6"/>
      <c r="L54" s="5"/>
      <c r="M54" s="13" t="s">
        <v>61</v>
      </c>
      <c r="N54" s="67">
        <f>_xlfn.XLOOKUP(M54,'Ausgaben 2027'!$AI$5:$AR$5,'Ausgaben 2027'!$AI$8:$AR$8)</f>
        <v>0</v>
      </c>
      <c r="O54" s="6"/>
      <c r="Q54" s="5"/>
      <c r="R54" s="13" t="s">
        <v>61</v>
      </c>
      <c r="S54" s="67">
        <f>_xlfn.XLOOKUP(R54,'Ausgaben 2027'!$AI$5:$AR$5,'Ausgaben 2027'!$AI$9:$AR$9)</f>
        <v>0</v>
      </c>
      <c r="T54" s="6"/>
      <c r="V54" s="5"/>
      <c r="W54" s="13" t="s">
        <v>61</v>
      </c>
      <c r="X54" s="67">
        <f>_xlfn.XLOOKUP(W54,'Ausgaben 2027'!$AI$5:$AR$5,'Ausgaben 2027'!$AI$10:$AR$10)</f>
        <v>0</v>
      </c>
      <c r="Y54" s="6"/>
      <c r="AA54" s="5"/>
      <c r="AB54" s="13" t="s">
        <v>61</v>
      </c>
      <c r="AC54" s="67">
        <f>_xlfn.XLOOKUP(AB54,'Ausgaben 2027'!$AI$5:$AR$5,'Ausgaben 2027'!$AI$11:$AR$11)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2027'!$AI$5:$AR$5,'Ausgaben 2027'!$AI$12:$AR$12)</f>
        <v>0</v>
      </c>
      <c r="E74" s="6"/>
      <c r="G74" s="5"/>
      <c r="H74" s="13" t="s">
        <v>0</v>
      </c>
      <c r="I74" s="67">
        <f>_xlfn.XLOOKUP(H74,'Ausgaben 2027'!$AI$5:$AR$5,'Ausgaben 2027'!$AI$13:$AR$13)</f>
        <v>0</v>
      </c>
      <c r="J74" s="6"/>
      <c r="L74" s="5"/>
      <c r="M74" s="13" t="s">
        <v>0</v>
      </c>
      <c r="N74" s="67">
        <f>_xlfn.XLOOKUP(M74,'Ausgaben 2027'!$AI$5:$AR$5,'Ausgaben 2027'!$AI$14:$AR$14)</f>
        <v>0</v>
      </c>
      <c r="O74" s="6"/>
      <c r="Q74" s="5"/>
      <c r="R74" s="13" t="s">
        <v>0</v>
      </c>
      <c r="S74" s="67">
        <f>_xlfn.XLOOKUP(R74,'Ausgaben 2027'!$AI$5:$AR$5,'Ausgaben 2027'!$AI$15:$AR$15)</f>
        <v>0</v>
      </c>
      <c r="T74" s="6"/>
      <c r="V74" s="5"/>
      <c r="W74" s="13" t="s">
        <v>0</v>
      </c>
      <c r="X74" s="67">
        <f>_xlfn.XLOOKUP(W74,'Ausgaben 2027'!$AI$5:$AR$5,'Ausgaben 2027'!$AI$16:$AR$16)</f>
        <v>0</v>
      </c>
      <c r="Y74" s="6"/>
      <c r="AA74" s="5"/>
      <c r="AB74" s="13" t="s">
        <v>0</v>
      </c>
      <c r="AC74" s="67">
        <f>_xlfn.XLOOKUP(AB74,'Ausgaben 2027'!$AI$5:$AR$5,'Ausgaben 2027'!$AI$17:$AR$17)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2027'!$AI$5:$AR$5,'Ausgaben 2027'!$AI$12:$AR$12)</f>
        <v>0</v>
      </c>
      <c r="E75" s="6"/>
      <c r="G75" s="5"/>
      <c r="H75" s="13" t="s">
        <v>1</v>
      </c>
      <c r="I75" s="67">
        <f>_xlfn.XLOOKUP(H75,'Ausgaben 2027'!$AI$5:$AR$5,'Ausgaben 2027'!$AI$13:$AR$13)</f>
        <v>0</v>
      </c>
      <c r="J75" s="6"/>
      <c r="L75" s="5"/>
      <c r="M75" s="13" t="s">
        <v>1</v>
      </c>
      <c r="N75" s="67">
        <f>_xlfn.XLOOKUP(M75,'Ausgaben 2027'!$AI$5:$AR$5,'Ausgaben 2027'!$AI$14:$AR$14)</f>
        <v>0</v>
      </c>
      <c r="O75" s="6"/>
      <c r="Q75" s="5"/>
      <c r="R75" s="13" t="s">
        <v>1</v>
      </c>
      <c r="S75" s="67">
        <f>_xlfn.XLOOKUP(R75,'Ausgaben 2027'!$AI$5:$AR$5,'Ausgaben 2027'!$AI$15:$AR$15)</f>
        <v>0</v>
      </c>
      <c r="T75" s="6"/>
      <c r="V75" s="5"/>
      <c r="W75" s="13" t="s">
        <v>1</v>
      </c>
      <c r="X75" s="67">
        <f>_xlfn.XLOOKUP(W75,'Ausgaben 2027'!$AI$5:$AR$5,'Ausgaben 2027'!$AI$16:$AR$16)</f>
        <v>0</v>
      </c>
      <c r="Y75" s="6"/>
      <c r="AA75" s="5"/>
      <c r="AB75" s="13" t="s">
        <v>1</v>
      </c>
      <c r="AC75" s="67">
        <f>_xlfn.XLOOKUP(AB75,'Ausgaben 2027'!$AI$5:$AR$5,'Ausgaben 2027'!$AI$17:$AR$17)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2027'!$AI$5:$AR$5,'Ausgaben 2027'!$AI$12:$AR$12)</f>
        <v>0</v>
      </c>
      <c r="E76" s="6"/>
      <c r="G76" s="5"/>
      <c r="H76" s="13" t="s">
        <v>3</v>
      </c>
      <c r="I76" s="67">
        <f>_xlfn.XLOOKUP(H76,'Ausgaben 2027'!$AI$5:$AR$5,'Ausgaben 2027'!$AI$13:$AR$13)</f>
        <v>0</v>
      </c>
      <c r="J76" s="6"/>
      <c r="L76" s="5"/>
      <c r="M76" s="13" t="s">
        <v>3</v>
      </c>
      <c r="N76" s="67">
        <f>_xlfn.XLOOKUP(M76,'Ausgaben 2027'!$AI$5:$AR$5,'Ausgaben 2027'!$AI$14:$AR$14)</f>
        <v>0</v>
      </c>
      <c r="O76" s="6"/>
      <c r="Q76" s="5"/>
      <c r="R76" s="13" t="s">
        <v>3</v>
      </c>
      <c r="S76" s="67">
        <f>_xlfn.XLOOKUP(R76,'Ausgaben 2027'!$AI$5:$AR$5,'Ausgaben 2027'!$AI$15:$AR$15)</f>
        <v>0</v>
      </c>
      <c r="T76" s="6"/>
      <c r="V76" s="5"/>
      <c r="W76" s="13" t="s">
        <v>3</v>
      </c>
      <c r="X76" s="67">
        <f>_xlfn.XLOOKUP(W76,'Ausgaben 2027'!$AI$5:$AR$5,'Ausgaben 2027'!$AI$16:$AR$16)</f>
        <v>0</v>
      </c>
      <c r="Y76" s="6"/>
      <c r="AA76" s="5"/>
      <c r="AB76" s="13" t="s">
        <v>3</v>
      </c>
      <c r="AC76" s="67">
        <f>_xlfn.XLOOKUP(AB76,'Ausgaben 2027'!$AI$5:$AR$5,'Ausgaben 2027'!$AI$17:$AR$17)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2027'!$AI$5:$AR$5,'Ausgaben 2027'!$AI$12:$AR$12)</f>
        <v>0</v>
      </c>
      <c r="E77" s="6"/>
      <c r="G77" s="5"/>
      <c r="H77" s="13" t="s">
        <v>2</v>
      </c>
      <c r="I77" s="67">
        <f>_xlfn.XLOOKUP(H77,'Ausgaben 2027'!$AI$5:$AR$5,'Ausgaben 2027'!$AI$13:$AR$13)</f>
        <v>0</v>
      </c>
      <c r="J77" s="6"/>
      <c r="L77" s="5"/>
      <c r="M77" s="13" t="s">
        <v>2</v>
      </c>
      <c r="N77" s="67">
        <f>_xlfn.XLOOKUP(M77,'Ausgaben 2027'!$AI$5:$AR$5,'Ausgaben 2027'!$AI$14:$AR$14)</f>
        <v>0</v>
      </c>
      <c r="O77" s="6"/>
      <c r="Q77" s="5"/>
      <c r="R77" s="13" t="s">
        <v>2</v>
      </c>
      <c r="S77" s="67">
        <f>_xlfn.XLOOKUP(R77,'Ausgaben 2027'!$AI$5:$AR$5,'Ausgaben 2027'!$AI$15:$AR$15)</f>
        <v>0</v>
      </c>
      <c r="T77" s="6"/>
      <c r="V77" s="5"/>
      <c r="W77" s="13" t="s">
        <v>2</v>
      </c>
      <c r="X77" s="67">
        <f>_xlfn.XLOOKUP(W77,'Ausgaben 2027'!$AI$5:$AR$5,'Ausgaben 2027'!$AI$16:$AR$16)</f>
        <v>0</v>
      </c>
      <c r="Y77" s="6"/>
      <c r="AA77" s="5"/>
      <c r="AB77" s="13" t="s">
        <v>2</v>
      </c>
      <c r="AC77" s="67">
        <f>_xlfn.XLOOKUP(AB77,'Ausgaben 2027'!$AI$5:$AR$5,'Ausgaben 2027'!$AI$17:$AR$17)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2027'!$AI$5:$AR$5,'Ausgaben 2027'!$AI$12:$AR$12)</f>
        <v>0</v>
      </c>
      <c r="E78" s="6"/>
      <c r="G78" s="5"/>
      <c r="H78" s="13" t="s">
        <v>42</v>
      </c>
      <c r="I78" s="67">
        <f>_xlfn.XLOOKUP(H78,'Ausgaben 2027'!$AI$5:$AR$5,'Ausgaben 2027'!$AI$13:$AR$13)</f>
        <v>0</v>
      </c>
      <c r="J78" s="6"/>
      <c r="L78" s="5"/>
      <c r="M78" s="13" t="s">
        <v>42</v>
      </c>
      <c r="N78" s="67">
        <f>_xlfn.XLOOKUP(M78,'Ausgaben 2027'!$AI$5:$AR$5,'Ausgaben 2027'!$AI$14:$AR$14)</f>
        <v>0</v>
      </c>
      <c r="O78" s="6"/>
      <c r="Q78" s="5"/>
      <c r="R78" s="13" t="s">
        <v>42</v>
      </c>
      <c r="S78" s="67">
        <f>_xlfn.XLOOKUP(R78,'Ausgaben 2027'!$AI$5:$AR$5,'Ausgaben 2027'!$AI$15:$AR$15)</f>
        <v>0</v>
      </c>
      <c r="T78" s="6"/>
      <c r="V78" s="5"/>
      <c r="W78" s="13" t="s">
        <v>42</v>
      </c>
      <c r="X78" s="67">
        <f>_xlfn.XLOOKUP(W78,'Ausgaben 2027'!$AI$5:$AR$5,'Ausgaben 2027'!$AI$16:$AR$16)</f>
        <v>0</v>
      </c>
      <c r="Y78" s="6"/>
      <c r="AA78" s="5"/>
      <c r="AB78" s="13" t="s">
        <v>42</v>
      </c>
      <c r="AC78" s="67">
        <f>_xlfn.XLOOKUP(AB78,'Ausgaben 2027'!$AI$5:$AR$5,'Ausgaben 2027'!$AI$17:$AR$17)</f>
        <v>0</v>
      </c>
      <c r="AD78" s="6"/>
    </row>
    <row r="79" spans="2:30" x14ac:dyDescent="0.35">
      <c r="B79" s="5"/>
      <c r="C79" s="13" t="s">
        <v>65</v>
      </c>
      <c r="D79" s="67">
        <f>_xlfn.XLOOKUP(C79,'Ausgaben 2027'!$AI$5:$AR$5,'Ausgaben 2027'!$AI$12:$AR$12)</f>
        <v>0</v>
      </c>
      <c r="E79" s="6"/>
      <c r="G79" s="5"/>
      <c r="H79" s="13" t="s">
        <v>65</v>
      </c>
      <c r="I79" s="67">
        <f>_xlfn.XLOOKUP(H79,'Ausgaben 2027'!$AI$5:$AR$5,'Ausgaben 2027'!$AI$13:$AR$13)</f>
        <v>0</v>
      </c>
      <c r="J79" s="6"/>
      <c r="L79" s="5"/>
      <c r="M79" s="13" t="s">
        <v>65</v>
      </c>
      <c r="N79" s="67">
        <f>_xlfn.XLOOKUP(M79,'Ausgaben 2027'!$AI$5:$AR$5,'Ausgaben 2027'!$AI$14:$AR$14)</f>
        <v>0</v>
      </c>
      <c r="O79" s="6"/>
      <c r="Q79" s="5"/>
      <c r="R79" s="13" t="s">
        <v>65</v>
      </c>
      <c r="S79" s="67">
        <f>_xlfn.XLOOKUP(R79,'Ausgaben 2027'!$AI$5:$AR$5,'Ausgaben 2027'!$AI$15:$AR$15)</f>
        <v>0</v>
      </c>
      <c r="T79" s="6"/>
      <c r="V79" s="5"/>
      <c r="W79" s="13" t="s">
        <v>65</v>
      </c>
      <c r="X79" s="67">
        <f>_xlfn.XLOOKUP(W79,'Ausgaben 2027'!$AI$5:$AR$5,'Ausgaben 2027'!$AI$16:$AR$16)</f>
        <v>0</v>
      </c>
      <c r="Y79" s="6"/>
      <c r="AA79" s="5"/>
      <c r="AB79" s="13" t="s">
        <v>65</v>
      </c>
      <c r="AC79" s="67">
        <f>_xlfn.XLOOKUP(AB79,'Ausgaben 2027'!$AI$5:$AR$5,'Ausgaben 2027'!$AI$17:$AR$17)</f>
        <v>0</v>
      </c>
      <c r="AD79" s="6"/>
    </row>
    <row r="80" spans="2:30" x14ac:dyDescent="0.35">
      <c r="B80" s="5"/>
      <c r="C80" s="13" t="s">
        <v>64</v>
      </c>
      <c r="D80" s="67">
        <f>_xlfn.XLOOKUP(C80,'Ausgaben 2027'!$AI$5:$AR$5,'Ausgaben 2027'!$AI$12:$AR$12)</f>
        <v>0</v>
      </c>
      <c r="E80" s="6"/>
      <c r="G80" s="5"/>
      <c r="H80" s="13" t="s">
        <v>64</v>
      </c>
      <c r="I80" s="67">
        <f>_xlfn.XLOOKUP(H80,'Ausgaben 2027'!$AI$5:$AR$5,'Ausgaben 2027'!$AI$13:$AR$13)</f>
        <v>0</v>
      </c>
      <c r="J80" s="6"/>
      <c r="L80" s="5"/>
      <c r="M80" s="13" t="s">
        <v>64</v>
      </c>
      <c r="N80" s="67">
        <f>_xlfn.XLOOKUP(M80,'Ausgaben 2027'!$AI$5:$AR$5,'Ausgaben 2027'!$AI$14:$AR$14)</f>
        <v>0</v>
      </c>
      <c r="O80" s="6"/>
      <c r="Q80" s="5"/>
      <c r="R80" s="13" t="s">
        <v>64</v>
      </c>
      <c r="S80" s="67">
        <f>_xlfn.XLOOKUP(R80,'Ausgaben 2027'!$AI$5:$AR$5,'Ausgaben 2027'!$AI$15:$AR$15)</f>
        <v>0</v>
      </c>
      <c r="T80" s="6"/>
      <c r="V80" s="5"/>
      <c r="W80" s="13" t="s">
        <v>64</v>
      </c>
      <c r="X80" s="67">
        <f>_xlfn.XLOOKUP(W80,'Ausgaben 2027'!$AI$5:$AR$5,'Ausgaben 2027'!$AI$16:$AR$16)</f>
        <v>0</v>
      </c>
      <c r="Y80" s="6"/>
      <c r="AA80" s="5"/>
      <c r="AB80" s="13" t="s">
        <v>64</v>
      </c>
      <c r="AC80" s="67">
        <f>_xlfn.XLOOKUP(AB80,'Ausgaben 2027'!$AI$5:$AR$5,'Ausgaben 2027'!$AI$17:$AR$17)</f>
        <v>0</v>
      </c>
      <c r="AD80" s="6"/>
    </row>
    <row r="81" spans="2:30" x14ac:dyDescent="0.35">
      <c r="B81" s="5"/>
      <c r="C81" s="13" t="s">
        <v>63</v>
      </c>
      <c r="D81" s="67">
        <f>_xlfn.XLOOKUP(C81,'Ausgaben 2027'!$AI$5:$AR$5,'Ausgaben 2027'!$AI$12:$AR$12)</f>
        <v>0</v>
      </c>
      <c r="E81" s="6"/>
      <c r="G81" s="5"/>
      <c r="H81" s="13" t="s">
        <v>63</v>
      </c>
      <c r="I81" s="67">
        <f>_xlfn.XLOOKUP(H81,'Ausgaben 2027'!$AI$5:$AR$5,'Ausgaben 2027'!$AI$13:$AR$13)</f>
        <v>0</v>
      </c>
      <c r="J81" s="6"/>
      <c r="L81" s="5"/>
      <c r="M81" s="13" t="s">
        <v>63</v>
      </c>
      <c r="N81" s="67">
        <f>_xlfn.XLOOKUP(M81,'Ausgaben 2027'!$AI$5:$AR$5,'Ausgaben 2027'!$AI$14:$AR$14)</f>
        <v>0</v>
      </c>
      <c r="O81" s="6"/>
      <c r="Q81" s="5"/>
      <c r="R81" s="13" t="s">
        <v>63</v>
      </c>
      <c r="S81" s="67">
        <f>_xlfn.XLOOKUP(R81,'Ausgaben 2027'!$AI$5:$AR$5,'Ausgaben 2027'!$AI$15:$AR$15)</f>
        <v>0</v>
      </c>
      <c r="T81" s="6"/>
      <c r="V81" s="5"/>
      <c r="W81" s="13" t="s">
        <v>63</v>
      </c>
      <c r="X81" s="67">
        <f>_xlfn.XLOOKUP(W81,'Ausgaben 2027'!$AI$5:$AR$5,'Ausgaben 2027'!$AI$16:$AR$16)</f>
        <v>0</v>
      </c>
      <c r="Y81" s="6"/>
      <c r="AA81" s="5"/>
      <c r="AB81" s="13" t="s">
        <v>63</v>
      </c>
      <c r="AC81" s="67">
        <f>_xlfn.XLOOKUP(AB81,'Ausgaben 2027'!$AI$5:$AR$5,'Ausgaben 2027'!$AI$17:$AR$17)</f>
        <v>0</v>
      </c>
      <c r="AD81" s="6"/>
    </row>
    <row r="82" spans="2:30" x14ac:dyDescent="0.35">
      <c r="B82" s="5"/>
      <c r="C82" s="13" t="s">
        <v>62</v>
      </c>
      <c r="D82" s="67">
        <f>_xlfn.XLOOKUP(C82,'Ausgaben 2027'!$AI$5:$AR$5,'Ausgaben 2027'!$AI$12:$AR$12)</f>
        <v>0</v>
      </c>
      <c r="E82" s="6"/>
      <c r="G82" s="5"/>
      <c r="H82" s="13" t="s">
        <v>62</v>
      </c>
      <c r="I82" s="67">
        <f>_xlfn.XLOOKUP(H82,'Ausgaben 2027'!$AI$5:$AR$5,'Ausgaben 2027'!$AI$13:$AR$13)</f>
        <v>0</v>
      </c>
      <c r="J82" s="6"/>
      <c r="L82" s="5"/>
      <c r="M82" s="13" t="s">
        <v>62</v>
      </c>
      <c r="N82" s="67">
        <f>_xlfn.XLOOKUP(M82,'Ausgaben 2027'!$AI$5:$AR$5,'Ausgaben 2027'!$AI$14:$AR$14)</f>
        <v>0</v>
      </c>
      <c r="O82" s="6"/>
      <c r="Q82" s="5"/>
      <c r="R82" s="13" t="s">
        <v>62</v>
      </c>
      <c r="S82" s="67">
        <f>_xlfn.XLOOKUP(R82,'Ausgaben 2027'!$AI$5:$AR$5,'Ausgaben 2027'!$AI$15:$AR$15)</f>
        <v>0</v>
      </c>
      <c r="T82" s="6"/>
      <c r="V82" s="5"/>
      <c r="W82" s="13" t="s">
        <v>62</v>
      </c>
      <c r="X82" s="67">
        <f>_xlfn.XLOOKUP(W82,'Ausgaben 2027'!$AI$5:$AR$5,'Ausgaben 2027'!$AI$16:$AR$16)</f>
        <v>0</v>
      </c>
      <c r="Y82" s="6"/>
      <c r="AA82" s="5"/>
      <c r="AB82" s="13" t="s">
        <v>62</v>
      </c>
      <c r="AC82" s="67">
        <f>_xlfn.XLOOKUP(AB82,'Ausgaben 2027'!$AI$5:$AR$5,'Ausgaben 2027'!$AI$17:$AR$17)</f>
        <v>0</v>
      </c>
      <c r="AD82" s="6"/>
    </row>
    <row r="83" spans="2:30" x14ac:dyDescent="0.35">
      <c r="B83" s="5"/>
      <c r="C83" s="13" t="s">
        <v>61</v>
      </c>
      <c r="D83" s="67">
        <f>_xlfn.XLOOKUP(C83,'Ausgaben 2027'!$AI$5:$AR$5,'Ausgaben 2027'!$AI$12:$AR$12)</f>
        <v>0</v>
      </c>
      <c r="E83" s="6"/>
      <c r="G83" s="5"/>
      <c r="H83" s="13" t="s">
        <v>61</v>
      </c>
      <c r="I83" s="67">
        <f>_xlfn.XLOOKUP(H83,'Ausgaben 2027'!$AI$5:$AR$5,'Ausgaben 2027'!$AI$13:$AR$13)</f>
        <v>0</v>
      </c>
      <c r="J83" s="6"/>
      <c r="L83" s="5"/>
      <c r="M83" s="13" t="s">
        <v>61</v>
      </c>
      <c r="N83" s="67">
        <f>_xlfn.XLOOKUP(M83,'Ausgaben 2027'!$AI$5:$AR$5,'Ausgaben 2027'!$AI$14:$AR$14)</f>
        <v>0</v>
      </c>
      <c r="O83" s="6"/>
      <c r="Q83" s="5"/>
      <c r="R83" s="13" t="s">
        <v>61</v>
      </c>
      <c r="S83" s="67">
        <f>_xlfn.XLOOKUP(R83,'Ausgaben 2027'!$AI$5:$AR$5,'Ausgaben 2027'!$AI$15:$AR$15)</f>
        <v>0</v>
      </c>
      <c r="T83" s="6"/>
      <c r="V83" s="5"/>
      <c r="W83" s="13" t="s">
        <v>61</v>
      </c>
      <c r="X83" s="67">
        <f>_xlfn.XLOOKUP(W83,'Ausgaben 2027'!$AI$5:$AR$5,'Ausgaben 2027'!$AI$16:$AR$16)</f>
        <v>0</v>
      </c>
      <c r="Y83" s="6"/>
      <c r="AA83" s="5"/>
      <c r="AB83" s="13" t="s">
        <v>61</v>
      </c>
      <c r="AC83" s="67">
        <f>_xlfn.XLOOKUP(AB83,'Ausgaben 2027'!$AI$5:$AR$5,'Ausgaben 2027'!$AI$17:$AR$17)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38909-5FA6-4204-8620-B3531C963E0B}">
  <sheetPr codeName="Sheet17"/>
  <dimension ref="B1:AS406"/>
  <sheetViews>
    <sheetView topLeftCell="K1" zoomScale="55" zoomScaleNormal="55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4" bestFit="1" customWidth="1"/>
    <col min="4" max="4" width="7.54296875" bestFit="1" customWidth="1"/>
    <col min="5" max="5" width="11.6328125" bestFit="1" customWidth="1"/>
    <col min="6" max="6" width="8.36328125" bestFit="1" customWidth="1"/>
    <col min="7" max="7" width="9.08984375" bestFit="1" customWidth="1"/>
    <col min="8" max="8" width="6.54296875" bestFit="1" customWidth="1"/>
    <col min="9" max="9" width="7.1796875" bestFit="1" customWidth="1"/>
    <col min="10" max="14" width="10" bestFit="1" customWidth="1"/>
    <col min="15" max="17" width="2.81640625" customWidth="1"/>
    <col min="18" max="18" width="22.1796875" bestFit="1" customWidth="1"/>
    <col min="19" max="19" width="7.54296875" bestFit="1" customWidth="1"/>
    <col min="20" max="20" width="11.6328125" bestFit="1" customWidth="1"/>
    <col min="21" max="21" width="8.36328125" bestFit="1" customWidth="1"/>
    <col min="22" max="22" width="9.08984375" bestFit="1" customWidth="1"/>
    <col min="23" max="23" width="6.54296875" bestFit="1" customWidth="1"/>
    <col min="24" max="24" width="7.1796875" bestFit="1" customWidth="1"/>
    <col min="25" max="29" width="10" bestFit="1" customWidth="1"/>
    <col min="30" max="32" width="2.81640625" customWidth="1"/>
    <col min="33" max="33" width="15.6328125" bestFit="1" customWidth="1"/>
    <col min="34" max="34" width="7.54296875" bestFit="1" customWidth="1"/>
    <col min="35" max="35" width="11.6328125" bestFit="1" customWidth="1"/>
    <col min="36" max="36" width="8.36328125" bestFit="1" customWidth="1"/>
    <col min="37" max="37" width="9.08984375" bestFit="1" customWidth="1"/>
    <col min="38" max="38" width="6.54296875" bestFit="1" customWidth="1"/>
    <col min="39" max="39" width="7.1796875" bestFit="1" customWidth="1"/>
    <col min="40" max="44" width="10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28.12.2026 - 03.01.2027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46388</v>
      </c>
      <c r="D7" s="45">
        <f>SUMIFS(Einzelbeträge!$D:$D,Einzelbeträge!$C:$C,'Ausgaben 2027'!$C7)</f>
        <v>0</v>
      </c>
      <c r="E7" s="32">
        <f>SUMIFS(Einzelbeträge!$D:$D,Einzelbeträge!$C:$C,'Ausgaben 2027'!$C7,Einzelbeträge!$E:$E,'Ausgaben 2027'!E$6)</f>
        <v>0</v>
      </c>
      <c r="F7" s="32">
        <f>SUMIFS(Einzelbeträge!$D:$D,Einzelbeträge!$C:$C,'Ausgaben 2027'!$C7,Einzelbeträge!$E:$E,'Ausgaben 2027'!F$6)</f>
        <v>0</v>
      </c>
      <c r="G7" s="32">
        <f>SUMIFS(Einzelbeträge!$D:$D,Einzelbeträge!$C:$C,'Ausgaben 2027'!$C7,Einzelbeträge!$E:$E,'Ausgaben 2027'!G$6)</f>
        <v>0</v>
      </c>
      <c r="H7" s="32">
        <f>SUMIFS(Einzelbeträge!$D:$D,Einzelbeträge!$C:$C,'Ausgaben 2027'!$C7,Einzelbeträge!$E:$E,'Ausgaben 2027'!H$6)</f>
        <v>0</v>
      </c>
      <c r="I7" s="32">
        <f>SUMIFS(Einzelbeträge!$D:$D,Einzelbeträge!$C:$C,'Ausgaben 2027'!$C7,Einzelbeträge!$E:$E,'Ausgaben 2027'!I$6)</f>
        <v>0</v>
      </c>
      <c r="J7" s="32">
        <f>SUMIFS(Einzelbeträge!$D:$D,Einzelbeträge!$C:$C,'Ausgaben 2027'!$C7,Einzelbeträge!$E:$E,'Ausgaben 2027'!J$6)</f>
        <v>0</v>
      </c>
      <c r="K7" s="32">
        <f>SUMIFS(Einzelbeträge!$D:$D,Einzelbeträge!$C:$C,'Ausgaben 2027'!$C7,Einzelbeträge!$E:$E,'Ausgaben 2027'!K$6)</f>
        <v>0</v>
      </c>
      <c r="L7" s="32">
        <f>SUMIFS(Einzelbeträge!$D:$D,Einzelbeträge!$C:$C,'Ausgaben 2027'!$C7,Einzelbeträge!$E:$E,'Ausgaben 2027'!L$6)</f>
        <v>0</v>
      </c>
      <c r="M7" s="32">
        <f>SUMIFS(Einzelbeträge!$D:$D,Einzelbeträge!$C:$C,'Ausgaben 2027'!$C7,Einzelbeträge!$E:$E,'Ausgaben 2027'!M$6)</f>
        <v>0</v>
      </c>
      <c r="N7" s="33">
        <f>SUMIFS(Einzelbeträge!$D:$D,Einzelbeträge!$C:$C,'Ausgaben 2027'!$C7,Einzelbeträge!$E:$E,'Ausgaben 2027'!N$6)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04.01.2027 - 10.01.2027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46389</v>
      </c>
      <c r="D8" s="46">
        <f>SUMIFS(Einzelbeträge!$D:$D,Einzelbeträge!$C:$C,'Ausgaben 2027'!$C8)</f>
        <v>0</v>
      </c>
      <c r="E8" s="21">
        <f>SUMIFS(Einzelbeträge!$D:$D,Einzelbeträge!$C:$C,'Ausgaben 2027'!$C8,Einzelbeträge!$E:$E,'Ausgaben 2027'!E$6)</f>
        <v>0</v>
      </c>
      <c r="F8" s="21">
        <f>SUMIFS(Einzelbeträge!$D:$D,Einzelbeträge!$C:$C,'Ausgaben 2027'!$C8,Einzelbeträge!$E:$E,'Ausgaben 2027'!F$6)</f>
        <v>0</v>
      </c>
      <c r="G8" s="21">
        <f>SUMIFS(Einzelbeträge!$D:$D,Einzelbeträge!$C:$C,'Ausgaben 2027'!$C8,Einzelbeträge!$E:$E,'Ausgaben 2027'!G$6)</f>
        <v>0</v>
      </c>
      <c r="H8" s="21">
        <f>SUMIFS(Einzelbeträge!$D:$D,Einzelbeträge!$C:$C,'Ausgaben 2027'!$C8,Einzelbeträge!$E:$E,'Ausgaben 2027'!H$6)</f>
        <v>0</v>
      </c>
      <c r="I8" s="21">
        <f>SUMIFS(Einzelbeträge!$D:$D,Einzelbeträge!$C:$C,'Ausgaben 2027'!$C8,Einzelbeträge!$E:$E,'Ausgaben 2027'!I$6)</f>
        <v>0</v>
      </c>
      <c r="J8" s="21">
        <f>SUMIFS(Einzelbeträge!$D:$D,Einzelbeträge!$C:$C,'Ausgaben 2027'!$C8,Einzelbeträge!$E:$E,'Ausgaben 2027'!J$6)</f>
        <v>0</v>
      </c>
      <c r="K8" s="21">
        <f>SUMIFS(Einzelbeträge!$D:$D,Einzelbeträge!$C:$C,'Ausgaben 2027'!$C8,Einzelbeträge!$E:$E,'Ausgaben 2027'!K$6)</f>
        <v>0</v>
      </c>
      <c r="L8" s="21">
        <f>SUMIFS(Einzelbeträge!$D:$D,Einzelbeträge!$C:$C,'Ausgaben 2027'!$C8,Einzelbeträge!$E:$E,'Ausgaben 2027'!L$6)</f>
        <v>0</v>
      </c>
      <c r="M8" s="21">
        <f>SUMIFS(Einzelbeträge!$D:$D,Einzelbeträge!$C:$C,'Ausgaben 2027'!$C8,Einzelbeträge!$E:$E,'Ausgaben 2027'!M$6)</f>
        <v>0</v>
      </c>
      <c r="N8" s="35">
        <f>SUMIFS(Einzelbeträge!$D:$D,Einzelbeträge!$C:$C,'Ausgaben 2027'!$C8,Einzelbeträge!$E:$E,'Ausgaben 2027'!N$6)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11.01.2027 - 17.01.2027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46390</v>
      </c>
      <c r="D9" s="46">
        <f>SUMIFS(Einzelbeträge!$D:$D,Einzelbeträge!$C:$C,'Ausgaben 2027'!$C9)</f>
        <v>0</v>
      </c>
      <c r="E9" s="21">
        <f>SUMIFS(Einzelbeträge!$D:$D,Einzelbeträge!$C:$C,'Ausgaben 2027'!$C9,Einzelbeträge!$E:$E,'Ausgaben 2027'!E$6)</f>
        <v>0</v>
      </c>
      <c r="F9" s="21">
        <f>SUMIFS(Einzelbeträge!$D:$D,Einzelbeträge!$C:$C,'Ausgaben 2027'!$C9,Einzelbeträge!$E:$E,'Ausgaben 2027'!F$6)</f>
        <v>0</v>
      </c>
      <c r="G9" s="21">
        <f>SUMIFS(Einzelbeträge!$D:$D,Einzelbeträge!$C:$C,'Ausgaben 2027'!$C9,Einzelbeträge!$E:$E,'Ausgaben 2027'!G$6)</f>
        <v>0</v>
      </c>
      <c r="H9" s="21">
        <f>SUMIFS(Einzelbeträge!$D:$D,Einzelbeträge!$C:$C,'Ausgaben 2027'!$C9,Einzelbeträge!$E:$E,'Ausgaben 2027'!H$6)</f>
        <v>0</v>
      </c>
      <c r="I9" s="21">
        <f>SUMIFS(Einzelbeträge!$D:$D,Einzelbeträge!$C:$C,'Ausgaben 2027'!$C9,Einzelbeträge!$E:$E,'Ausgaben 2027'!I$6)</f>
        <v>0</v>
      </c>
      <c r="J9" s="21">
        <f>SUMIFS(Einzelbeträge!$D:$D,Einzelbeträge!$C:$C,'Ausgaben 2027'!$C9,Einzelbeträge!$E:$E,'Ausgaben 2027'!J$6)</f>
        <v>0</v>
      </c>
      <c r="K9" s="21">
        <f>SUMIFS(Einzelbeträge!$D:$D,Einzelbeträge!$C:$C,'Ausgaben 2027'!$C9,Einzelbeträge!$E:$E,'Ausgaben 2027'!K$6)</f>
        <v>0</v>
      </c>
      <c r="L9" s="21">
        <f>SUMIFS(Einzelbeträge!$D:$D,Einzelbeträge!$C:$C,'Ausgaben 2027'!$C9,Einzelbeträge!$E:$E,'Ausgaben 2027'!L$6)</f>
        <v>0</v>
      </c>
      <c r="M9" s="21">
        <f>SUMIFS(Einzelbeträge!$D:$D,Einzelbeträge!$C:$C,'Ausgaben 2027'!$C9,Einzelbeträge!$E:$E,'Ausgaben 2027'!M$6)</f>
        <v>0</v>
      </c>
      <c r="N9" s="35">
        <f>SUMIFS(Einzelbeträge!$D:$D,Einzelbeträge!$C:$C,'Ausgaben 2027'!$C9,Einzelbeträge!$E:$E,'Ausgaben 2027'!N$6)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18.01.2027 - 24.01.2027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46391</v>
      </c>
      <c r="D10" s="46">
        <f>SUMIFS(Einzelbeträge!$D:$D,Einzelbeträge!$C:$C,'Ausgaben 2027'!$C10)</f>
        <v>0</v>
      </c>
      <c r="E10" s="21">
        <f>SUMIFS(Einzelbeträge!$D:$D,Einzelbeträge!$C:$C,'Ausgaben 2027'!$C10,Einzelbeträge!$E:$E,'Ausgaben 2027'!E$6)</f>
        <v>0</v>
      </c>
      <c r="F10" s="21">
        <f>SUMIFS(Einzelbeträge!$D:$D,Einzelbeträge!$C:$C,'Ausgaben 2027'!$C10,Einzelbeträge!$E:$E,'Ausgaben 2027'!F$6)</f>
        <v>0</v>
      </c>
      <c r="G10" s="21">
        <f>SUMIFS(Einzelbeträge!$D:$D,Einzelbeträge!$C:$C,'Ausgaben 2027'!$C10,Einzelbeträge!$E:$E,'Ausgaben 2027'!G$6)</f>
        <v>0</v>
      </c>
      <c r="H10" s="21">
        <f>SUMIFS(Einzelbeträge!$D:$D,Einzelbeträge!$C:$C,'Ausgaben 2027'!$C10,Einzelbeträge!$E:$E,'Ausgaben 2027'!H$6)</f>
        <v>0</v>
      </c>
      <c r="I10" s="21">
        <f>SUMIFS(Einzelbeträge!$D:$D,Einzelbeträge!$C:$C,'Ausgaben 2027'!$C10,Einzelbeträge!$E:$E,'Ausgaben 2027'!I$6)</f>
        <v>0</v>
      </c>
      <c r="J10" s="21">
        <f>SUMIFS(Einzelbeträge!$D:$D,Einzelbeträge!$C:$C,'Ausgaben 2027'!$C10,Einzelbeträge!$E:$E,'Ausgaben 2027'!J$6)</f>
        <v>0</v>
      </c>
      <c r="K10" s="21">
        <f>SUMIFS(Einzelbeträge!$D:$D,Einzelbeträge!$C:$C,'Ausgaben 2027'!$C10,Einzelbeträge!$E:$E,'Ausgaben 2027'!K$6)</f>
        <v>0</v>
      </c>
      <c r="L10" s="21">
        <f>SUMIFS(Einzelbeträge!$D:$D,Einzelbeträge!$C:$C,'Ausgaben 2027'!$C10,Einzelbeträge!$E:$E,'Ausgaben 2027'!L$6)</f>
        <v>0</v>
      </c>
      <c r="M10" s="21">
        <f>SUMIFS(Einzelbeträge!$D:$D,Einzelbeträge!$C:$C,'Ausgaben 2027'!$C10,Einzelbeträge!$E:$E,'Ausgaben 2027'!M$6)</f>
        <v>0</v>
      </c>
      <c r="N10" s="35">
        <f>SUMIFS(Einzelbeträge!$D:$D,Einzelbeträge!$C:$C,'Ausgaben 2027'!$C10,Einzelbeträge!$E:$E,'Ausgaben 2027'!N$6)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25.01.2027 - 31.01.2027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46392</v>
      </c>
      <c r="D11" s="46">
        <f>SUMIFS(Einzelbeträge!$D:$D,Einzelbeträge!$C:$C,'Ausgaben 2027'!$C11)</f>
        <v>0</v>
      </c>
      <c r="E11" s="21">
        <f>SUMIFS(Einzelbeträge!$D:$D,Einzelbeträge!$C:$C,'Ausgaben 2027'!$C11,Einzelbeträge!$E:$E,'Ausgaben 2027'!E$6)</f>
        <v>0</v>
      </c>
      <c r="F11" s="21">
        <f>SUMIFS(Einzelbeträge!$D:$D,Einzelbeträge!$C:$C,'Ausgaben 2027'!$C11,Einzelbeträge!$E:$E,'Ausgaben 2027'!F$6)</f>
        <v>0</v>
      </c>
      <c r="G11" s="21">
        <f>SUMIFS(Einzelbeträge!$D:$D,Einzelbeträge!$C:$C,'Ausgaben 2027'!$C11,Einzelbeträge!$E:$E,'Ausgaben 2027'!G$6)</f>
        <v>0</v>
      </c>
      <c r="H11" s="21">
        <f>SUMIFS(Einzelbeträge!$D:$D,Einzelbeträge!$C:$C,'Ausgaben 2027'!$C11,Einzelbeträge!$E:$E,'Ausgaben 2027'!H$6)</f>
        <v>0</v>
      </c>
      <c r="I11" s="21">
        <f>SUMIFS(Einzelbeträge!$D:$D,Einzelbeträge!$C:$C,'Ausgaben 2027'!$C11,Einzelbeträge!$E:$E,'Ausgaben 2027'!I$6)</f>
        <v>0</v>
      </c>
      <c r="J11" s="21">
        <f>SUMIFS(Einzelbeträge!$D:$D,Einzelbeträge!$C:$C,'Ausgaben 2027'!$C11,Einzelbeträge!$E:$E,'Ausgaben 2027'!J$6)</f>
        <v>0</v>
      </c>
      <c r="K11" s="21">
        <f>SUMIFS(Einzelbeträge!$D:$D,Einzelbeträge!$C:$C,'Ausgaben 2027'!$C11,Einzelbeträge!$E:$E,'Ausgaben 2027'!K$6)</f>
        <v>0</v>
      </c>
      <c r="L11" s="21">
        <f>SUMIFS(Einzelbeträge!$D:$D,Einzelbeträge!$C:$C,'Ausgaben 2027'!$C11,Einzelbeträge!$E:$E,'Ausgaben 2027'!L$6)</f>
        <v>0</v>
      </c>
      <c r="M11" s="21">
        <f>SUMIFS(Einzelbeträge!$D:$D,Einzelbeträge!$C:$C,'Ausgaben 2027'!$C11,Einzelbeträge!$E:$E,'Ausgaben 2027'!M$6)</f>
        <v>0</v>
      </c>
      <c r="N11" s="35">
        <f>SUMIFS(Einzelbeträge!$D:$D,Einzelbeträge!$C:$C,'Ausgaben 2027'!$C11,Einzelbeträge!$E:$E,'Ausgaben 2027'!N$6)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01.02.2027 - 07.02.2027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46393</v>
      </c>
      <c r="D12" s="46">
        <f>SUMIFS(Einzelbeträge!$D:$D,Einzelbeträge!$C:$C,'Ausgaben 2027'!$C12)</f>
        <v>0</v>
      </c>
      <c r="E12" s="21">
        <f>SUMIFS(Einzelbeträge!$D:$D,Einzelbeträge!$C:$C,'Ausgaben 2027'!$C12,Einzelbeträge!$E:$E,'Ausgaben 2027'!E$6)</f>
        <v>0</v>
      </c>
      <c r="F12" s="21">
        <f>SUMIFS(Einzelbeträge!$D:$D,Einzelbeträge!$C:$C,'Ausgaben 2027'!$C12,Einzelbeträge!$E:$E,'Ausgaben 2027'!F$6)</f>
        <v>0</v>
      </c>
      <c r="G12" s="21">
        <f>SUMIFS(Einzelbeträge!$D:$D,Einzelbeträge!$C:$C,'Ausgaben 2027'!$C12,Einzelbeträge!$E:$E,'Ausgaben 2027'!G$6)</f>
        <v>0</v>
      </c>
      <c r="H12" s="21">
        <f>SUMIFS(Einzelbeträge!$D:$D,Einzelbeträge!$C:$C,'Ausgaben 2027'!$C12,Einzelbeträge!$E:$E,'Ausgaben 2027'!H$6)</f>
        <v>0</v>
      </c>
      <c r="I12" s="21">
        <f>SUMIFS(Einzelbeträge!$D:$D,Einzelbeträge!$C:$C,'Ausgaben 2027'!$C12,Einzelbeträge!$E:$E,'Ausgaben 2027'!I$6)</f>
        <v>0</v>
      </c>
      <c r="J12" s="21">
        <f>SUMIFS(Einzelbeträge!$D:$D,Einzelbeträge!$C:$C,'Ausgaben 2027'!$C12,Einzelbeträge!$E:$E,'Ausgaben 2027'!J$6)</f>
        <v>0</v>
      </c>
      <c r="K12" s="21">
        <f>SUMIFS(Einzelbeträge!$D:$D,Einzelbeträge!$C:$C,'Ausgaben 2027'!$C12,Einzelbeträge!$E:$E,'Ausgaben 2027'!K$6)</f>
        <v>0</v>
      </c>
      <c r="L12" s="21">
        <f>SUMIFS(Einzelbeträge!$D:$D,Einzelbeträge!$C:$C,'Ausgaben 2027'!$C12,Einzelbeträge!$E:$E,'Ausgaben 2027'!L$6)</f>
        <v>0</v>
      </c>
      <c r="M12" s="21">
        <f>SUMIFS(Einzelbeträge!$D:$D,Einzelbeträge!$C:$C,'Ausgaben 2027'!$C12,Einzelbeträge!$E:$E,'Ausgaben 2027'!M$6)</f>
        <v>0</v>
      </c>
      <c r="N12" s="35">
        <f>SUMIFS(Einzelbeträge!$D:$D,Einzelbeträge!$C:$C,'Ausgaben 2027'!$C12,Einzelbeträge!$E:$E,'Ausgaben 2027'!N$6)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08.02.2027 - 14.02.2027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46394</v>
      </c>
      <c r="D13" s="46">
        <f>SUMIFS(Einzelbeträge!$D:$D,Einzelbeträge!$C:$C,'Ausgaben 2027'!$C13)</f>
        <v>0</v>
      </c>
      <c r="E13" s="21">
        <f>SUMIFS(Einzelbeträge!$D:$D,Einzelbeträge!$C:$C,'Ausgaben 2027'!$C13,Einzelbeträge!$E:$E,'Ausgaben 2027'!E$6)</f>
        <v>0</v>
      </c>
      <c r="F13" s="21">
        <f>SUMIFS(Einzelbeträge!$D:$D,Einzelbeträge!$C:$C,'Ausgaben 2027'!$C13,Einzelbeträge!$E:$E,'Ausgaben 2027'!F$6)</f>
        <v>0</v>
      </c>
      <c r="G13" s="21">
        <f>SUMIFS(Einzelbeträge!$D:$D,Einzelbeträge!$C:$C,'Ausgaben 2027'!$C13,Einzelbeträge!$E:$E,'Ausgaben 2027'!G$6)</f>
        <v>0</v>
      </c>
      <c r="H13" s="21">
        <f>SUMIFS(Einzelbeträge!$D:$D,Einzelbeträge!$C:$C,'Ausgaben 2027'!$C13,Einzelbeträge!$E:$E,'Ausgaben 2027'!H$6)</f>
        <v>0</v>
      </c>
      <c r="I13" s="21">
        <f>SUMIFS(Einzelbeträge!$D:$D,Einzelbeträge!$C:$C,'Ausgaben 2027'!$C13,Einzelbeträge!$E:$E,'Ausgaben 2027'!I$6)</f>
        <v>0</v>
      </c>
      <c r="J13" s="21">
        <f>SUMIFS(Einzelbeträge!$D:$D,Einzelbeträge!$C:$C,'Ausgaben 2027'!$C13,Einzelbeträge!$E:$E,'Ausgaben 2027'!J$6)</f>
        <v>0</v>
      </c>
      <c r="K13" s="21">
        <f>SUMIFS(Einzelbeträge!$D:$D,Einzelbeträge!$C:$C,'Ausgaben 2027'!$C13,Einzelbeträge!$E:$E,'Ausgaben 2027'!K$6)</f>
        <v>0</v>
      </c>
      <c r="L13" s="21">
        <f>SUMIFS(Einzelbeträge!$D:$D,Einzelbeträge!$C:$C,'Ausgaben 2027'!$C13,Einzelbeträge!$E:$E,'Ausgaben 2027'!L$6)</f>
        <v>0</v>
      </c>
      <c r="M13" s="21">
        <f>SUMIFS(Einzelbeträge!$D:$D,Einzelbeträge!$C:$C,'Ausgaben 2027'!$C13,Einzelbeträge!$E:$E,'Ausgaben 2027'!M$6)</f>
        <v>0</v>
      </c>
      <c r="N13" s="35">
        <f>SUMIFS(Einzelbeträge!$D:$D,Einzelbeträge!$C:$C,'Ausgaben 2027'!$C13,Einzelbeträge!$E:$E,'Ausgaben 2027'!N$6)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15.02.2027 - 21.02.2027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46395</v>
      </c>
      <c r="D14" s="46">
        <f>SUMIFS(Einzelbeträge!$D:$D,Einzelbeträge!$C:$C,'Ausgaben 2027'!$C14)</f>
        <v>0</v>
      </c>
      <c r="E14" s="21">
        <f>SUMIFS(Einzelbeträge!$D:$D,Einzelbeträge!$C:$C,'Ausgaben 2027'!$C14,Einzelbeträge!$E:$E,'Ausgaben 2027'!E$6)</f>
        <v>0</v>
      </c>
      <c r="F14" s="21">
        <f>SUMIFS(Einzelbeträge!$D:$D,Einzelbeträge!$C:$C,'Ausgaben 2027'!$C14,Einzelbeträge!$E:$E,'Ausgaben 2027'!F$6)</f>
        <v>0</v>
      </c>
      <c r="G14" s="21">
        <f>SUMIFS(Einzelbeträge!$D:$D,Einzelbeträge!$C:$C,'Ausgaben 2027'!$C14,Einzelbeträge!$E:$E,'Ausgaben 2027'!G$6)</f>
        <v>0</v>
      </c>
      <c r="H14" s="21">
        <f>SUMIFS(Einzelbeträge!$D:$D,Einzelbeträge!$C:$C,'Ausgaben 2027'!$C14,Einzelbeträge!$E:$E,'Ausgaben 2027'!H$6)</f>
        <v>0</v>
      </c>
      <c r="I14" s="21">
        <f>SUMIFS(Einzelbeträge!$D:$D,Einzelbeträge!$C:$C,'Ausgaben 2027'!$C14,Einzelbeträge!$E:$E,'Ausgaben 2027'!I$6)</f>
        <v>0</v>
      </c>
      <c r="J14" s="21">
        <f>SUMIFS(Einzelbeträge!$D:$D,Einzelbeträge!$C:$C,'Ausgaben 2027'!$C14,Einzelbeträge!$E:$E,'Ausgaben 2027'!J$6)</f>
        <v>0</v>
      </c>
      <c r="K14" s="21">
        <f>SUMIFS(Einzelbeträge!$D:$D,Einzelbeträge!$C:$C,'Ausgaben 2027'!$C14,Einzelbeträge!$E:$E,'Ausgaben 2027'!K$6)</f>
        <v>0</v>
      </c>
      <c r="L14" s="21">
        <f>SUMIFS(Einzelbeträge!$D:$D,Einzelbeträge!$C:$C,'Ausgaben 2027'!$C14,Einzelbeträge!$E:$E,'Ausgaben 2027'!L$6)</f>
        <v>0</v>
      </c>
      <c r="M14" s="21">
        <f>SUMIFS(Einzelbeträge!$D:$D,Einzelbeträge!$C:$C,'Ausgaben 2027'!$C14,Einzelbeträge!$E:$E,'Ausgaben 2027'!M$6)</f>
        <v>0</v>
      </c>
      <c r="N14" s="35">
        <f>SUMIFS(Einzelbeträge!$D:$D,Einzelbeträge!$C:$C,'Ausgaben 2027'!$C14,Einzelbeträge!$E:$E,'Ausgaben 2027'!N$6)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22.02.2027 - 28.02.2027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46396</v>
      </c>
      <c r="D15" s="46">
        <f>SUMIFS(Einzelbeträge!$D:$D,Einzelbeträge!$C:$C,'Ausgaben 2027'!$C15)</f>
        <v>0</v>
      </c>
      <c r="E15" s="21">
        <f>SUMIFS(Einzelbeträge!$D:$D,Einzelbeträge!$C:$C,'Ausgaben 2027'!$C15,Einzelbeträge!$E:$E,'Ausgaben 2027'!E$6)</f>
        <v>0</v>
      </c>
      <c r="F15" s="21">
        <f>SUMIFS(Einzelbeträge!$D:$D,Einzelbeträge!$C:$C,'Ausgaben 2027'!$C15,Einzelbeträge!$E:$E,'Ausgaben 2027'!F$6)</f>
        <v>0</v>
      </c>
      <c r="G15" s="21">
        <f>SUMIFS(Einzelbeträge!$D:$D,Einzelbeträge!$C:$C,'Ausgaben 2027'!$C15,Einzelbeträge!$E:$E,'Ausgaben 2027'!G$6)</f>
        <v>0</v>
      </c>
      <c r="H15" s="21">
        <f>SUMIFS(Einzelbeträge!$D:$D,Einzelbeträge!$C:$C,'Ausgaben 2027'!$C15,Einzelbeträge!$E:$E,'Ausgaben 2027'!H$6)</f>
        <v>0</v>
      </c>
      <c r="I15" s="21">
        <f>SUMIFS(Einzelbeträge!$D:$D,Einzelbeträge!$C:$C,'Ausgaben 2027'!$C15,Einzelbeträge!$E:$E,'Ausgaben 2027'!I$6)</f>
        <v>0</v>
      </c>
      <c r="J15" s="21">
        <f>SUMIFS(Einzelbeträge!$D:$D,Einzelbeträge!$C:$C,'Ausgaben 2027'!$C15,Einzelbeträge!$E:$E,'Ausgaben 2027'!J$6)</f>
        <v>0</v>
      </c>
      <c r="K15" s="21">
        <f>SUMIFS(Einzelbeträge!$D:$D,Einzelbeträge!$C:$C,'Ausgaben 2027'!$C15,Einzelbeträge!$E:$E,'Ausgaben 2027'!K$6)</f>
        <v>0</v>
      </c>
      <c r="L15" s="21">
        <f>SUMIFS(Einzelbeträge!$D:$D,Einzelbeträge!$C:$C,'Ausgaben 2027'!$C15,Einzelbeträge!$E:$E,'Ausgaben 2027'!L$6)</f>
        <v>0</v>
      </c>
      <c r="M15" s="21">
        <f>SUMIFS(Einzelbeträge!$D:$D,Einzelbeträge!$C:$C,'Ausgaben 2027'!$C15,Einzelbeträge!$E:$E,'Ausgaben 2027'!M$6)</f>
        <v>0</v>
      </c>
      <c r="N15" s="35">
        <f>SUMIFS(Einzelbeträge!$D:$D,Einzelbeträge!$C:$C,'Ausgaben 2027'!$C15,Einzelbeträge!$E:$E,'Ausgaben 2027'!N$6)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01.03.2027 - 07.03.2027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46397</v>
      </c>
      <c r="D16" s="46">
        <f>SUMIFS(Einzelbeträge!$D:$D,Einzelbeträge!$C:$C,'Ausgaben 2027'!$C16)</f>
        <v>0</v>
      </c>
      <c r="E16" s="21">
        <f>SUMIFS(Einzelbeträge!$D:$D,Einzelbeträge!$C:$C,'Ausgaben 2027'!$C16,Einzelbeträge!$E:$E,'Ausgaben 2027'!E$6)</f>
        <v>0</v>
      </c>
      <c r="F16" s="21">
        <f>SUMIFS(Einzelbeträge!$D:$D,Einzelbeträge!$C:$C,'Ausgaben 2027'!$C16,Einzelbeträge!$E:$E,'Ausgaben 2027'!F$6)</f>
        <v>0</v>
      </c>
      <c r="G16" s="21">
        <f>SUMIFS(Einzelbeträge!$D:$D,Einzelbeträge!$C:$C,'Ausgaben 2027'!$C16,Einzelbeträge!$E:$E,'Ausgaben 2027'!G$6)</f>
        <v>0</v>
      </c>
      <c r="H16" s="21">
        <f>SUMIFS(Einzelbeträge!$D:$D,Einzelbeträge!$C:$C,'Ausgaben 2027'!$C16,Einzelbeträge!$E:$E,'Ausgaben 2027'!H$6)</f>
        <v>0</v>
      </c>
      <c r="I16" s="21">
        <f>SUMIFS(Einzelbeträge!$D:$D,Einzelbeträge!$C:$C,'Ausgaben 2027'!$C16,Einzelbeträge!$E:$E,'Ausgaben 2027'!I$6)</f>
        <v>0</v>
      </c>
      <c r="J16" s="21">
        <f>SUMIFS(Einzelbeträge!$D:$D,Einzelbeträge!$C:$C,'Ausgaben 2027'!$C16,Einzelbeträge!$E:$E,'Ausgaben 2027'!J$6)</f>
        <v>0</v>
      </c>
      <c r="K16" s="21">
        <f>SUMIFS(Einzelbeträge!$D:$D,Einzelbeträge!$C:$C,'Ausgaben 2027'!$C16,Einzelbeträge!$E:$E,'Ausgaben 2027'!K$6)</f>
        <v>0</v>
      </c>
      <c r="L16" s="21">
        <f>SUMIFS(Einzelbeträge!$D:$D,Einzelbeträge!$C:$C,'Ausgaben 2027'!$C16,Einzelbeträge!$E:$E,'Ausgaben 2027'!L$6)</f>
        <v>0</v>
      </c>
      <c r="M16" s="21">
        <f>SUMIFS(Einzelbeträge!$D:$D,Einzelbeträge!$C:$C,'Ausgaben 2027'!$C16,Einzelbeträge!$E:$E,'Ausgaben 2027'!M$6)</f>
        <v>0</v>
      </c>
      <c r="N16" s="35">
        <f>SUMIFS(Einzelbeträge!$D:$D,Einzelbeträge!$C:$C,'Ausgaben 2027'!$C16,Einzelbeträge!$E:$E,'Ausgaben 2027'!N$6)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08.03.2027 - 14.03.2027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46398</v>
      </c>
      <c r="D17" s="46">
        <f>SUMIFS(Einzelbeträge!$D:$D,Einzelbeträge!$C:$C,'Ausgaben 2027'!$C17)</f>
        <v>0</v>
      </c>
      <c r="E17" s="21">
        <f>SUMIFS(Einzelbeträge!$D:$D,Einzelbeträge!$C:$C,'Ausgaben 2027'!$C17,Einzelbeträge!$E:$E,'Ausgaben 2027'!E$6)</f>
        <v>0</v>
      </c>
      <c r="F17" s="21">
        <f>SUMIFS(Einzelbeträge!$D:$D,Einzelbeträge!$C:$C,'Ausgaben 2027'!$C17,Einzelbeträge!$E:$E,'Ausgaben 2027'!F$6)</f>
        <v>0</v>
      </c>
      <c r="G17" s="21">
        <f>SUMIFS(Einzelbeträge!$D:$D,Einzelbeträge!$C:$C,'Ausgaben 2027'!$C17,Einzelbeträge!$E:$E,'Ausgaben 2027'!G$6)</f>
        <v>0</v>
      </c>
      <c r="H17" s="21">
        <f>SUMIFS(Einzelbeträge!$D:$D,Einzelbeträge!$C:$C,'Ausgaben 2027'!$C17,Einzelbeträge!$E:$E,'Ausgaben 2027'!H$6)</f>
        <v>0</v>
      </c>
      <c r="I17" s="21">
        <f>SUMIFS(Einzelbeträge!$D:$D,Einzelbeträge!$C:$C,'Ausgaben 2027'!$C17,Einzelbeträge!$E:$E,'Ausgaben 2027'!I$6)</f>
        <v>0</v>
      </c>
      <c r="J17" s="21">
        <f>SUMIFS(Einzelbeträge!$D:$D,Einzelbeträge!$C:$C,'Ausgaben 2027'!$C17,Einzelbeträge!$E:$E,'Ausgaben 2027'!J$6)</f>
        <v>0</v>
      </c>
      <c r="K17" s="21">
        <f>SUMIFS(Einzelbeträge!$D:$D,Einzelbeträge!$C:$C,'Ausgaben 2027'!$C17,Einzelbeträge!$E:$E,'Ausgaben 2027'!K$6)</f>
        <v>0</v>
      </c>
      <c r="L17" s="21">
        <f>SUMIFS(Einzelbeträge!$D:$D,Einzelbeträge!$C:$C,'Ausgaben 2027'!$C17,Einzelbeträge!$E:$E,'Ausgaben 2027'!L$6)</f>
        <v>0</v>
      </c>
      <c r="M17" s="21">
        <f>SUMIFS(Einzelbeträge!$D:$D,Einzelbeträge!$C:$C,'Ausgaben 2027'!$C17,Einzelbeträge!$E:$E,'Ausgaben 2027'!M$6)</f>
        <v>0</v>
      </c>
      <c r="N17" s="35">
        <f>SUMIFS(Einzelbeträge!$D:$D,Einzelbeträge!$C:$C,'Ausgaben 2027'!$C17,Einzelbeträge!$E:$E,'Ausgaben 2027'!N$6)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15.03.2027 - 21.03.2027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46399</v>
      </c>
      <c r="D18" s="46">
        <f>SUMIFS(Einzelbeträge!$D:$D,Einzelbeträge!$C:$C,'Ausgaben 2027'!$C18)</f>
        <v>0</v>
      </c>
      <c r="E18" s="21">
        <f>SUMIFS(Einzelbeträge!$D:$D,Einzelbeträge!$C:$C,'Ausgaben 2027'!$C18,Einzelbeträge!$E:$E,'Ausgaben 2027'!E$6)</f>
        <v>0</v>
      </c>
      <c r="F18" s="21">
        <f>SUMIFS(Einzelbeträge!$D:$D,Einzelbeträge!$C:$C,'Ausgaben 2027'!$C18,Einzelbeträge!$E:$E,'Ausgaben 2027'!F$6)</f>
        <v>0</v>
      </c>
      <c r="G18" s="21">
        <f>SUMIFS(Einzelbeträge!$D:$D,Einzelbeträge!$C:$C,'Ausgaben 2027'!$C18,Einzelbeträge!$E:$E,'Ausgaben 2027'!G$6)</f>
        <v>0</v>
      </c>
      <c r="H18" s="21">
        <f>SUMIFS(Einzelbeträge!$D:$D,Einzelbeträge!$C:$C,'Ausgaben 2027'!$C18,Einzelbeträge!$E:$E,'Ausgaben 2027'!H$6)</f>
        <v>0</v>
      </c>
      <c r="I18" s="21">
        <f>SUMIFS(Einzelbeträge!$D:$D,Einzelbeträge!$C:$C,'Ausgaben 2027'!$C18,Einzelbeträge!$E:$E,'Ausgaben 2027'!I$6)</f>
        <v>0</v>
      </c>
      <c r="J18" s="21">
        <f>SUMIFS(Einzelbeträge!$D:$D,Einzelbeträge!$C:$C,'Ausgaben 2027'!$C18,Einzelbeträge!$E:$E,'Ausgaben 2027'!J$6)</f>
        <v>0</v>
      </c>
      <c r="K18" s="21">
        <f>SUMIFS(Einzelbeträge!$D:$D,Einzelbeträge!$C:$C,'Ausgaben 2027'!$C18,Einzelbeträge!$E:$E,'Ausgaben 2027'!K$6)</f>
        <v>0</v>
      </c>
      <c r="L18" s="21">
        <f>SUMIFS(Einzelbeträge!$D:$D,Einzelbeträge!$C:$C,'Ausgaben 2027'!$C18,Einzelbeträge!$E:$E,'Ausgaben 2027'!L$6)</f>
        <v>0</v>
      </c>
      <c r="M18" s="21">
        <f>SUMIFS(Einzelbeträge!$D:$D,Einzelbeträge!$C:$C,'Ausgaben 2027'!$C18,Einzelbeträge!$E:$E,'Ausgaben 2027'!M$6)</f>
        <v>0</v>
      </c>
      <c r="N18" s="35">
        <f>SUMIFS(Einzelbeträge!$D:$D,Einzelbeträge!$C:$C,'Ausgaben 2027'!$C18,Einzelbeträge!$E:$E,'Ausgaben 2027'!N$6)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22.03.2027 - 28.03.2027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46400</v>
      </c>
      <c r="D19" s="46">
        <f>SUMIFS(Einzelbeträge!$D:$D,Einzelbeträge!$C:$C,'Ausgaben 2027'!$C19)</f>
        <v>0</v>
      </c>
      <c r="E19" s="21">
        <f>SUMIFS(Einzelbeträge!$D:$D,Einzelbeträge!$C:$C,'Ausgaben 2027'!$C19,Einzelbeträge!$E:$E,'Ausgaben 2027'!E$6)</f>
        <v>0</v>
      </c>
      <c r="F19" s="21">
        <f>SUMIFS(Einzelbeträge!$D:$D,Einzelbeträge!$C:$C,'Ausgaben 2027'!$C19,Einzelbeträge!$E:$E,'Ausgaben 2027'!F$6)</f>
        <v>0</v>
      </c>
      <c r="G19" s="21">
        <f>SUMIFS(Einzelbeträge!$D:$D,Einzelbeträge!$C:$C,'Ausgaben 2027'!$C19,Einzelbeträge!$E:$E,'Ausgaben 2027'!G$6)</f>
        <v>0</v>
      </c>
      <c r="H19" s="21">
        <f>SUMIFS(Einzelbeträge!$D:$D,Einzelbeträge!$C:$C,'Ausgaben 2027'!$C19,Einzelbeträge!$E:$E,'Ausgaben 2027'!H$6)</f>
        <v>0</v>
      </c>
      <c r="I19" s="21">
        <f>SUMIFS(Einzelbeträge!$D:$D,Einzelbeträge!$C:$C,'Ausgaben 2027'!$C19,Einzelbeträge!$E:$E,'Ausgaben 2027'!I$6)</f>
        <v>0</v>
      </c>
      <c r="J19" s="21">
        <f>SUMIFS(Einzelbeträge!$D:$D,Einzelbeträge!$C:$C,'Ausgaben 2027'!$C19,Einzelbeträge!$E:$E,'Ausgaben 2027'!J$6)</f>
        <v>0</v>
      </c>
      <c r="K19" s="21">
        <f>SUMIFS(Einzelbeträge!$D:$D,Einzelbeträge!$C:$C,'Ausgaben 2027'!$C19,Einzelbeträge!$E:$E,'Ausgaben 2027'!K$6)</f>
        <v>0</v>
      </c>
      <c r="L19" s="21">
        <f>SUMIFS(Einzelbeträge!$D:$D,Einzelbeträge!$C:$C,'Ausgaben 2027'!$C19,Einzelbeträge!$E:$E,'Ausgaben 2027'!L$6)</f>
        <v>0</v>
      </c>
      <c r="M19" s="21">
        <f>SUMIFS(Einzelbeträge!$D:$D,Einzelbeträge!$C:$C,'Ausgaben 2027'!$C19,Einzelbeträge!$E:$E,'Ausgaben 2027'!M$6)</f>
        <v>0</v>
      </c>
      <c r="N19" s="35">
        <f>SUMIFS(Einzelbeträge!$D:$D,Einzelbeträge!$C:$C,'Ausgaben 2027'!$C19,Einzelbeträge!$E:$E,'Ausgaben 2027'!N$6)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29.03.2027 - 04.04.2027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46401</v>
      </c>
      <c r="D20" s="46">
        <f>SUMIFS(Einzelbeträge!$D:$D,Einzelbeträge!$C:$C,'Ausgaben 2027'!$C20)</f>
        <v>0</v>
      </c>
      <c r="E20" s="21">
        <f>SUMIFS(Einzelbeträge!$D:$D,Einzelbeträge!$C:$C,'Ausgaben 2027'!$C20,Einzelbeträge!$E:$E,'Ausgaben 2027'!E$6)</f>
        <v>0</v>
      </c>
      <c r="F20" s="21">
        <f>SUMIFS(Einzelbeträge!$D:$D,Einzelbeträge!$C:$C,'Ausgaben 2027'!$C20,Einzelbeträge!$E:$E,'Ausgaben 2027'!F$6)</f>
        <v>0</v>
      </c>
      <c r="G20" s="21">
        <f>SUMIFS(Einzelbeträge!$D:$D,Einzelbeträge!$C:$C,'Ausgaben 2027'!$C20,Einzelbeträge!$E:$E,'Ausgaben 2027'!G$6)</f>
        <v>0</v>
      </c>
      <c r="H20" s="21">
        <f>SUMIFS(Einzelbeträge!$D:$D,Einzelbeträge!$C:$C,'Ausgaben 2027'!$C20,Einzelbeträge!$E:$E,'Ausgaben 2027'!H$6)</f>
        <v>0</v>
      </c>
      <c r="I20" s="21">
        <f>SUMIFS(Einzelbeträge!$D:$D,Einzelbeträge!$C:$C,'Ausgaben 2027'!$C20,Einzelbeträge!$E:$E,'Ausgaben 2027'!I$6)</f>
        <v>0</v>
      </c>
      <c r="J20" s="21">
        <f>SUMIFS(Einzelbeträge!$D:$D,Einzelbeträge!$C:$C,'Ausgaben 2027'!$C20,Einzelbeträge!$E:$E,'Ausgaben 2027'!J$6)</f>
        <v>0</v>
      </c>
      <c r="K20" s="21">
        <f>SUMIFS(Einzelbeträge!$D:$D,Einzelbeträge!$C:$C,'Ausgaben 2027'!$C20,Einzelbeträge!$E:$E,'Ausgaben 2027'!K$6)</f>
        <v>0</v>
      </c>
      <c r="L20" s="21">
        <f>SUMIFS(Einzelbeträge!$D:$D,Einzelbeträge!$C:$C,'Ausgaben 2027'!$C20,Einzelbeträge!$E:$E,'Ausgaben 2027'!L$6)</f>
        <v>0</v>
      </c>
      <c r="M20" s="21">
        <f>SUMIFS(Einzelbeträge!$D:$D,Einzelbeträge!$C:$C,'Ausgaben 2027'!$C20,Einzelbeträge!$E:$E,'Ausgaben 2027'!M$6)</f>
        <v>0</v>
      </c>
      <c r="N20" s="35">
        <f>SUMIFS(Einzelbeträge!$D:$D,Einzelbeträge!$C:$C,'Ausgaben 2027'!$C20,Einzelbeträge!$E:$E,'Ausgaben 2027'!N$6)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05.04.2027 - 11.04.2027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46402</v>
      </c>
      <c r="D21" s="46">
        <f>SUMIFS(Einzelbeträge!$D:$D,Einzelbeträge!$C:$C,'Ausgaben 2027'!$C21)</f>
        <v>0</v>
      </c>
      <c r="E21" s="21">
        <f>SUMIFS(Einzelbeträge!$D:$D,Einzelbeträge!$C:$C,'Ausgaben 2027'!$C21,Einzelbeträge!$E:$E,'Ausgaben 2027'!E$6)</f>
        <v>0</v>
      </c>
      <c r="F21" s="21">
        <f>SUMIFS(Einzelbeträge!$D:$D,Einzelbeträge!$C:$C,'Ausgaben 2027'!$C21,Einzelbeträge!$E:$E,'Ausgaben 2027'!F$6)</f>
        <v>0</v>
      </c>
      <c r="G21" s="21">
        <f>SUMIFS(Einzelbeträge!$D:$D,Einzelbeträge!$C:$C,'Ausgaben 2027'!$C21,Einzelbeträge!$E:$E,'Ausgaben 2027'!G$6)</f>
        <v>0</v>
      </c>
      <c r="H21" s="21">
        <f>SUMIFS(Einzelbeträge!$D:$D,Einzelbeträge!$C:$C,'Ausgaben 2027'!$C21,Einzelbeträge!$E:$E,'Ausgaben 2027'!H$6)</f>
        <v>0</v>
      </c>
      <c r="I21" s="21">
        <f>SUMIFS(Einzelbeträge!$D:$D,Einzelbeträge!$C:$C,'Ausgaben 2027'!$C21,Einzelbeträge!$E:$E,'Ausgaben 2027'!I$6)</f>
        <v>0</v>
      </c>
      <c r="J21" s="21">
        <f>SUMIFS(Einzelbeträge!$D:$D,Einzelbeträge!$C:$C,'Ausgaben 2027'!$C21,Einzelbeträge!$E:$E,'Ausgaben 2027'!J$6)</f>
        <v>0</v>
      </c>
      <c r="K21" s="21">
        <f>SUMIFS(Einzelbeträge!$D:$D,Einzelbeträge!$C:$C,'Ausgaben 2027'!$C21,Einzelbeträge!$E:$E,'Ausgaben 2027'!K$6)</f>
        <v>0</v>
      </c>
      <c r="L21" s="21">
        <f>SUMIFS(Einzelbeträge!$D:$D,Einzelbeträge!$C:$C,'Ausgaben 2027'!$C21,Einzelbeträge!$E:$E,'Ausgaben 2027'!L$6)</f>
        <v>0</v>
      </c>
      <c r="M21" s="21">
        <f>SUMIFS(Einzelbeträge!$D:$D,Einzelbeträge!$C:$C,'Ausgaben 2027'!$C21,Einzelbeträge!$E:$E,'Ausgaben 2027'!M$6)</f>
        <v>0</v>
      </c>
      <c r="N21" s="35">
        <f>SUMIFS(Einzelbeträge!$D:$D,Einzelbeträge!$C:$C,'Ausgaben 2027'!$C21,Einzelbeträge!$E:$E,'Ausgaben 2027'!N$6)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12.04.2027 - 18.04.2027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46403</v>
      </c>
      <c r="D22" s="46">
        <f>SUMIFS(Einzelbeträge!$D:$D,Einzelbeträge!$C:$C,'Ausgaben 2027'!$C22)</f>
        <v>0</v>
      </c>
      <c r="E22" s="21">
        <f>SUMIFS(Einzelbeträge!$D:$D,Einzelbeträge!$C:$C,'Ausgaben 2027'!$C22,Einzelbeträge!$E:$E,'Ausgaben 2027'!E$6)</f>
        <v>0</v>
      </c>
      <c r="F22" s="21">
        <f>SUMIFS(Einzelbeträge!$D:$D,Einzelbeträge!$C:$C,'Ausgaben 2027'!$C22,Einzelbeträge!$E:$E,'Ausgaben 2027'!F$6)</f>
        <v>0</v>
      </c>
      <c r="G22" s="21">
        <f>SUMIFS(Einzelbeträge!$D:$D,Einzelbeträge!$C:$C,'Ausgaben 2027'!$C22,Einzelbeträge!$E:$E,'Ausgaben 2027'!G$6)</f>
        <v>0</v>
      </c>
      <c r="H22" s="21">
        <f>SUMIFS(Einzelbeträge!$D:$D,Einzelbeträge!$C:$C,'Ausgaben 2027'!$C22,Einzelbeträge!$E:$E,'Ausgaben 2027'!H$6)</f>
        <v>0</v>
      </c>
      <c r="I22" s="21">
        <f>SUMIFS(Einzelbeträge!$D:$D,Einzelbeträge!$C:$C,'Ausgaben 2027'!$C22,Einzelbeträge!$E:$E,'Ausgaben 2027'!I$6)</f>
        <v>0</v>
      </c>
      <c r="J22" s="21">
        <f>SUMIFS(Einzelbeträge!$D:$D,Einzelbeträge!$C:$C,'Ausgaben 2027'!$C22,Einzelbeträge!$E:$E,'Ausgaben 2027'!J$6)</f>
        <v>0</v>
      </c>
      <c r="K22" s="21">
        <f>SUMIFS(Einzelbeträge!$D:$D,Einzelbeträge!$C:$C,'Ausgaben 2027'!$C22,Einzelbeträge!$E:$E,'Ausgaben 2027'!K$6)</f>
        <v>0</v>
      </c>
      <c r="L22" s="21">
        <f>SUMIFS(Einzelbeträge!$D:$D,Einzelbeträge!$C:$C,'Ausgaben 2027'!$C22,Einzelbeträge!$E:$E,'Ausgaben 2027'!L$6)</f>
        <v>0</v>
      </c>
      <c r="M22" s="21">
        <f>SUMIFS(Einzelbeträge!$D:$D,Einzelbeträge!$C:$C,'Ausgaben 2027'!$C22,Einzelbeträge!$E:$E,'Ausgaben 2027'!M$6)</f>
        <v>0</v>
      </c>
      <c r="N22" s="35">
        <f>SUMIFS(Einzelbeträge!$D:$D,Einzelbeträge!$C:$C,'Ausgaben 2027'!$C22,Einzelbeträge!$E:$E,'Ausgaben 2027'!N$6)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19.04.2027 - 25.04.2027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46404</v>
      </c>
      <c r="D23" s="46">
        <f>SUMIFS(Einzelbeträge!$D:$D,Einzelbeträge!$C:$C,'Ausgaben 2027'!$C23)</f>
        <v>0</v>
      </c>
      <c r="E23" s="21">
        <f>SUMIFS(Einzelbeträge!$D:$D,Einzelbeträge!$C:$C,'Ausgaben 2027'!$C23,Einzelbeträge!$E:$E,'Ausgaben 2027'!E$6)</f>
        <v>0</v>
      </c>
      <c r="F23" s="21">
        <f>SUMIFS(Einzelbeträge!$D:$D,Einzelbeträge!$C:$C,'Ausgaben 2027'!$C23,Einzelbeträge!$E:$E,'Ausgaben 2027'!F$6)</f>
        <v>0</v>
      </c>
      <c r="G23" s="21">
        <f>SUMIFS(Einzelbeträge!$D:$D,Einzelbeträge!$C:$C,'Ausgaben 2027'!$C23,Einzelbeträge!$E:$E,'Ausgaben 2027'!G$6)</f>
        <v>0</v>
      </c>
      <c r="H23" s="21">
        <f>SUMIFS(Einzelbeträge!$D:$D,Einzelbeträge!$C:$C,'Ausgaben 2027'!$C23,Einzelbeträge!$E:$E,'Ausgaben 2027'!H$6)</f>
        <v>0</v>
      </c>
      <c r="I23" s="21">
        <f>SUMIFS(Einzelbeträge!$D:$D,Einzelbeträge!$C:$C,'Ausgaben 2027'!$C23,Einzelbeträge!$E:$E,'Ausgaben 2027'!I$6)</f>
        <v>0</v>
      </c>
      <c r="J23" s="21">
        <f>SUMIFS(Einzelbeträge!$D:$D,Einzelbeträge!$C:$C,'Ausgaben 2027'!$C23,Einzelbeträge!$E:$E,'Ausgaben 2027'!J$6)</f>
        <v>0</v>
      </c>
      <c r="K23" s="21">
        <f>SUMIFS(Einzelbeträge!$D:$D,Einzelbeträge!$C:$C,'Ausgaben 2027'!$C23,Einzelbeträge!$E:$E,'Ausgaben 2027'!K$6)</f>
        <v>0</v>
      </c>
      <c r="L23" s="21">
        <f>SUMIFS(Einzelbeträge!$D:$D,Einzelbeträge!$C:$C,'Ausgaben 2027'!$C23,Einzelbeträge!$E:$E,'Ausgaben 2027'!L$6)</f>
        <v>0</v>
      </c>
      <c r="M23" s="21">
        <f>SUMIFS(Einzelbeträge!$D:$D,Einzelbeträge!$C:$C,'Ausgaben 2027'!$C23,Einzelbeträge!$E:$E,'Ausgaben 2027'!M$6)</f>
        <v>0</v>
      </c>
      <c r="N23" s="35">
        <f>SUMIFS(Einzelbeträge!$D:$D,Einzelbeträge!$C:$C,'Ausgaben 2027'!$C23,Einzelbeträge!$E:$E,'Ausgaben 2027'!N$6)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26.04.2027 - 02.05.2027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46405</v>
      </c>
      <c r="D24" s="46">
        <f>SUMIFS(Einzelbeträge!$D:$D,Einzelbeträge!$C:$C,'Ausgaben 2027'!$C24)</f>
        <v>0</v>
      </c>
      <c r="E24" s="21">
        <f>SUMIFS(Einzelbeträge!$D:$D,Einzelbeträge!$C:$C,'Ausgaben 2027'!$C24,Einzelbeträge!$E:$E,'Ausgaben 2027'!E$6)</f>
        <v>0</v>
      </c>
      <c r="F24" s="21">
        <f>SUMIFS(Einzelbeträge!$D:$D,Einzelbeträge!$C:$C,'Ausgaben 2027'!$C24,Einzelbeträge!$E:$E,'Ausgaben 2027'!F$6)</f>
        <v>0</v>
      </c>
      <c r="G24" s="21">
        <f>SUMIFS(Einzelbeträge!$D:$D,Einzelbeträge!$C:$C,'Ausgaben 2027'!$C24,Einzelbeträge!$E:$E,'Ausgaben 2027'!G$6)</f>
        <v>0</v>
      </c>
      <c r="H24" s="21">
        <f>SUMIFS(Einzelbeträge!$D:$D,Einzelbeträge!$C:$C,'Ausgaben 2027'!$C24,Einzelbeträge!$E:$E,'Ausgaben 2027'!H$6)</f>
        <v>0</v>
      </c>
      <c r="I24" s="21">
        <f>SUMIFS(Einzelbeträge!$D:$D,Einzelbeträge!$C:$C,'Ausgaben 2027'!$C24,Einzelbeträge!$E:$E,'Ausgaben 2027'!I$6)</f>
        <v>0</v>
      </c>
      <c r="J24" s="21">
        <f>SUMIFS(Einzelbeträge!$D:$D,Einzelbeträge!$C:$C,'Ausgaben 2027'!$C24,Einzelbeträge!$E:$E,'Ausgaben 2027'!J$6)</f>
        <v>0</v>
      </c>
      <c r="K24" s="21">
        <f>SUMIFS(Einzelbeträge!$D:$D,Einzelbeträge!$C:$C,'Ausgaben 2027'!$C24,Einzelbeträge!$E:$E,'Ausgaben 2027'!K$6)</f>
        <v>0</v>
      </c>
      <c r="L24" s="21">
        <f>SUMIFS(Einzelbeträge!$D:$D,Einzelbeträge!$C:$C,'Ausgaben 2027'!$C24,Einzelbeträge!$E:$E,'Ausgaben 2027'!L$6)</f>
        <v>0</v>
      </c>
      <c r="M24" s="21">
        <f>SUMIFS(Einzelbeträge!$D:$D,Einzelbeträge!$C:$C,'Ausgaben 2027'!$C24,Einzelbeträge!$E:$E,'Ausgaben 2027'!M$6)</f>
        <v>0</v>
      </c>
      <c r="N24" s="35">
        <f>SUMIFS(Einzelbeträge!$D:$D,Einzelbeträge!$C:$C,'Ausgaben 2027'!$C24,Einzelbeträge!$E:$E,'Ausgaben 2027'!N$6)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03.05.2027 - 09.05.2027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46406</v>
      </c>
      <c r="D25" s="46">
        <f>SUMIFS(Einzelbeträge!$D:$D,Einzelbeträge!$C:$C,'Ausgaben 2027'!$C25)</f>
        <v>0</v>
      </c>
      <c r="E25" s="21">
        <f>SUMIFS(Einzelbeträge!$D:$D,Einzelbeträge!$C:$C,'Ausgaben 2027'!$C25,Einzelbeträge!$E:$E,'Ausgaben 2027'!E$6)</f>
        <v>0</v>
      </c>
      <c r="F25" s="21">
        <f>SUMIFS(Einzelbeträge!$D:$D,Einzelbeträge!$C:$C,'Ausgaben 2027'!$C25,Einzelbeträge!$E:$E,'Ausgaben 2027'!F$6)</f>
        <v>0</v>
      </c>
      <c r="G25" s="21">
        <f>SUMIFS(Einzelbeträge!$D:$D,Einzelbeträge!$C:$C,'Ausgaben 2027'!$C25,Einzelbeträge!$E:$E,'Ausgaben 2027'!G$6)</f>
        <v>0</v>
      </c>
      <c r="H25" s="21">
        <f>SUMIFS(Einzelbeträge!$D:$D,Einzelbeträge!$C:$C,'Ausgaben 2027'!$C25,Einzelbeträge!$E:$E,'Ausgaben 2027'!H$6)</f>
        <v>0</v>
      </c>
      <c r="I25" s="21">
        <f>SUMIFS(Einzelbeträge!$D:$D,Einzelbeträge!$C:$C,'Ausgaben 2027'!$C25,Einzelbeträge!$E:$E,'Ausgaben 2027'!I$6)</f>
        <v>0</v>
      </c>
      <c r="J25" s="21">
        <f>SUMIFS(Einzelbeträge!$D:$D,Einzelbeträge!$C:$C,'Ausgaben 2027'!$C25,Einzelbeträge!$E:$E,'Ausgaben 2027'!J$6)</f>
        <v>0</v>
      </c>
      <c r="K25" s="21">
        <f>SUMIFS(Einzelbeträge!$D:$D,Einzelbeträge!$C:$C,'Ausgaben 2027'!$C25,Einzelbeträge!$E:$E,'Ausgaben 2027'!K$6)</f>
        <v>0</v>
      </c>
      <c r="L25" s="21">
        <f>SUMIFS(Einzelbeträge!$D:$D,Einzelbeträge!$C:$C,'Ausgaben 2027'!$C25,Einzelbeträge!$E:$E,'Ausgaben 2027'!L$6)</f>
        <v>0</v>
      </c>
      <c r="M25" s="21">
        <f>SUMIFS(Einzelbeträge!$D:$D,Einzelbeträge!$C:$C,'Ausgaben 2027'!$C25,Einzelbeträge!$E:$E,'Ausgaben 2027'!M$6)</f>
        <v>0</v>
      </c>
      <c r="N25" s="35">
        <f>SUMIFS(Einzelbeträge!$D:$D,Einzelbeträge!$C:$C,'Ausgaben 2027'!$C25,Einzelbeträge!$E:$E,'Ausgaben 2027'!N$6)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10.05.2027 - 16.05.2027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46407</v>
      </c>
      <c r="D26" s="46">
        <f>SUMIFS(Einzelbeträge!$D:$D,Einzelbeträge!$C:$C,'Ausgaben 2027'!$C26)</f>
        <v>0</v>
      </c>
      <c r="E26" s="21">
        <f>SUMIFS(Einzelbeträge!$D:$D,Einzelbeträge!$C:$C,'Ausgaben 2027'!$C26,Einzelbeträge!$E:$E,'Ausgaben 2027'!E$6)</f>
        <v>0</v>
      </c>
      <c r="F26" s="21">
        <f>SUMIFS(Einzelbeträge!$D:$D,Einzelbeträge!$C:$C,'Ausgaben 2027'!$C26,Einzelbeträge!$E:$E,'Ausgaben 2027'!F$6)</f>
        <v>0</v>
      </c>
      <c r="G26" s="21">
        <f>SUMIFS(Einzelbeträge!$D:$D,Einzelbeträge!$C:$C,'Ausgaben 2027'!$C26,Einzelbeträge!$E:$E,'Ausgaben 2027'!G$6)</f>
        <v>0</v>
      </c>
      <c r="H26" s="21">
        <f>SUMIFS(Einzelbeträge!$D:$D,Einzelbeträge!$C:$C,'Ausgaben 2027'!$C26,Einzelbeträge!$E:$E,'Ausgaben 2027'!H$6)</f>
        <v>0</v>
      </c>
      <c r="I26" s="21">
        <f>SUMIFS(Einzelbeträge!$D:$D,Einzelbeträge!$C:$C,'Ausgaben 2027'!$C26,Einzelbeträge!$E:$E,'Ausgaben 2027'!I$6)</f>
        <v>0</v>
      </c>
      <c r="J26" s="21">
        <f>SUMIFS(Einzelbeträge!$D:$D,Einzelbeträge!$C:$C,'Ausgaben 2027'!$C26,Einzelbeträge!$E:$E,'Ausgaben 2027'!J$6)</f>
        <v>0</v>
      </c>
      <c r="K26" s="21">
        <f>SUMIFS(Einzelbeträge!$D:$D,Einzelbeträge!$C:$C,'Ausgaben 2027'!$C26,Einzelbeträge!$E:$E,'Ausgaben 2027'!K$6)</f>
        <v>0</v>
      </c>
      <c r="L26" s="21">
        <f>SUMIFS(Einzelbeträge!$D:$D,Einzelbeträge!$C:$C,'Ausgaben 2027'!$C26,Einzelbeträge!$E:$E,'Ausgaben 2027'!L$6)</f>
        <v>0</v>
      </c>
      <c r="M26" s="21">
        <f>SUMIFS(Einzelbeträge!$D:$D,Einzelbeträge!$C:$C,'Ausgaben 2027'!$C26,Einzelbeträge!$E:$E,'Ausgaben 2027'!M$6)</f>
        <v>0</v>
      </c>
      <c r="N26" s="35">
        <f>SUMIFS(Einzelbeträge!$D:$D,Einzelbeträge!$C:$C,'Ausgaben 2027'!$C26,Einzelbeträge!$E:$E,'Ausgaben 2027'!N$6)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17.05.2027 - 23.05.2027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46408</v>
      </c>
      <c r="D27" s="46">
        <f>SUMIFS(Einzelbeträge!$D:$D,Einzelbeträge!$C:$C,'Ausgaben 2027'!$C27)</f>
        <v>0</v>
      </c>
      <c r="E27" s="21">
        <f>SUMIFS(Einzelbeträge!$D:$D,Einzelbeträge!$C:$C,'Ausgaben 2027'!$C27,Einzelbeträge!$E:$E,'Ausgaben 2027'!E$6)</f>
        <v>0</v>
      </c>
      <c r="F27" s="21">
        <f>SUMIFS(Einzelbeträge!$D:$D,Einzelbeträge!$C:$C,'Ausgaben 2027'!$C27,Einzelbeträge!$E:$E,'Ausgaben 2027'!F$6)</f>
        <v>0</v>
      </c>
      <c r="G27" s="21">
        <f>SUMIFS(Einzelbeträge!$D:$D,Einzelbeträge!$C:$C,'Ausgaben 2027'!$C27,Einzelbeträge!$E:$E,'Ausgaben 2027'!G$6)</f>
        <v>0</v>
      </c>
      <c r="H27" s="21">
        <f>SUMIFS(Einzelbeträge!$D:$D,Einzelbeträge!$C:$C,'Ausgaben 2027'!$C27,Einzelbeträge!$E:$E,'Ausgaben 2027'!H$6)</f>
        <v>0</v>
      </c>
      <c r="I27" s="21">
        <f>SUMIFS(Einzelbeträge!$D:$D,Einzelbeträge!$C:$C,'Ausgaben 2027'!$C27,Einzelbeträge!$E:$E,'Ausgaben 2027'!I$6)</f>
        <v>0</v>
      </c>
      <c r="J27" s="21">
        <f>SUMIFS(Einzelbeträge!$D:$D,Einzelbeträge!$C:$C,'Ausgaben 2027'!$C27,Einzelbeträge!$E:$E,'Ausgaben 2027'!J$6)</f>
        <v>0</v>
      </c>
      <c r="K27" s="21">
        <f>SUMIFS(Einzelbeträge!$D:$D,Einzelbeträge!$C:$C,'Ausgaben 2027'!$C27,Einzelbeträge!$E:$E,'Ausgaben 2027'!K$6)</f>
        <v>0</v>
      </c>
      <c r="L27" s="21">
        <f>SUMIFS(Einzelbeträge!$D:$D,Einzelbeträge!$C:$C,'Ausgaben 2027'!$C27,Einzelbeträge!$E:$E,'Ausgaben 2027'!L$6)</f>
        <v>0</v>
      </c>
      <c r="M27" s="21">
        <f>SUMIFS(Einzelbeträge!$D:$D,Einzelbeträge!$C:$C,'Ausgaben 2027'!$C27,Einzelbeträge!$E:$E,'Ausgaben 2027'!M$6)</f>
        <v>0</v>
      </c>
      <c r="N27" s="35">
        <f>SUMIFS(Einzelbeträge!$D:$D,Einzelbeträge!$C:$C,'Ausgaben 2027'!$C27,Einzelbeträge!$E:$E,'Ausgaben 2027'!N$6)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24.05.2027 - 30.05.2027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46409</v>
      </c>
      <c r="D28" s="46">
        <f>SUMIFS(Einzelbeträge!$D:$D,Einzelbeträge!$C:$C,'Ausgaben 2027'!$C28)</f>
        <v>0</v>
      </c>
      <c r="E28" s="21">
        <f>SUMIFS(Einzelbeträge!$D:$D,Einzelbeträge!$C:$C,'Ausgaben 2027'!$C28,Einzelbeträge!$E:$E,'Ausgaben 2027'!E$6)</f>
        <v>0</v>
      </c>
      <c r="F28" s="21">
        <f>SUMIFS(Einzelbeträge!$D:$D,Einzelbeträge!$C:$C,'Ausgaben 2027'!$C28,Einzelbeträge!$E:$E,'Ausgaben 2027'!F$6)</f>
        <v>0</v>
      </c>
      <c r="G28" s="21">
        <f>SUMIFS(Einzelbeträge!$D:$D,Einzelbeträge!$C:$C,'Ausgaben 2027'!$C28,Einzelbeträge!$E:$E,'Ausgaben 2027'!G$6)</f>
        <v>0</v>
      </c>
      <c r="H28" s="21">
        <f>SUMIFS(Einzelbeträge!$D:$D,Einzelbeträge!$C:$C,'Ausgaben 2027'!$C28,Einzelbeträge!$E:$E,'Ausgaben 2027'!H$6)</f>
        <v>0</v>
      </c>
      <c r="I28" s="21">
        <f>SUMIFS(Einzelbeträge!$D:$D,Einzelbeträge!$C:$C,'Ausgaben 2027'!$C28,Einzelbeträge!$E:$E,'Ausgaben 2027'!I$6)</f>
        <v>0</v>
      </c>
      <c r="J28" s="21">
        <f>SUMIFS(Einzelbeträge!$D:$D,Einzelbeträge!$C:$C,'Ausgaben 2027'!$C28,Einzelbeträge!$E:$E,'Ausgaben 2027'!J$6)</f>
        <v>0</v>
      </c>
      <c r="K28" s="21">
        <f>SUMIFS(Einzelbeträge!$D:$D,Einzelbeträge!$C:$C,'Ausgaben 2027'!$C28,Einzelbeträge!$E:$E,'Ausgaben 2027'!K$6)</f>
        <v>0</v>
      </c>
      <c r="L28" s="21">
        <f>SUMIFS(Einzelbeträge!$D:$D,Einzelbeträge!$C:$C,'Ausgaben 2027'!$C28,Einzelbeträge!$E:$E,'Ausgaben 2027'!L$6)</f>
        <v>0</v>
      </c>
      <c r="M28" s="21">
        <f>SUMIFS(Einzelbeträge!$D:$D,Einzelbeträge!$C:$C,'Ausgaben 2027'!$C28,Einzelbeträge!$E:$E,'Ausgaben 2027'!M$6)</f>
        <v>0</v>
      </c>
      <c r="N28" s="35">
        <f>SUMIFS(Einzelbeträge!$D:$D,Einzelbeträge!$C:$C,'Ausgaben 2027'!$C28,Einzelbeträge!$E:$E,'Ausgaben 2027'!N$6)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31.05.2027 - 06.06.2027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46410</v>
      </c>
      <c r="D29" s="46">
        <f>SUMIFS(Einzelbeträge!$D:$D,Einzelbeträge!$C:$C,'Ausgaben 2027'!$C29)</f>
        <v>0</v>
      </c>
      <c r="E29" s="21">
        <f>SUMIFS(Einzelbeträge!$D:$D,Einzelbeträge!$C:$C,'Ausgaben 2027'!$C29,Einzelbeträge!$E:$E,'Ausgaben 2027'!E$6)</f>
        <v>0</v>
      </c>
      <c r="F29" s="21">
        <f>SUMIFS(Einzelbeträge!$D:$D,Einzelbeträge!$C:$C,'Ausgaben 2027'!$C29,Einzelbeträge!$E:$E,'Ausgaben 2027'!F$6)</f>
        <v>0</v>
      </c>
      <c r="G29" s="21">
        <f>SUMIFS(Einzelbeträge!$D:$D,Einzelbeträge!$C:$C,'Ausgaben 2027'!$C29,Einzelbeträge!$E:$E,'Ausgaben 2027'!G$6)</f>
        <v>0</v>
      </c>
      <c r="H29" s="21">
        <f>SUMIFS(Einzelbeträge!$D:$D,Einzelbeträge!$C:$C,'Ausgaben 2027'!$C29,Einzelbeträge!$E:$E,'Ausgaben 2027'!H$6)</f>
        <v>0</v>
      </c>
      <c r="I29" s="21">
        <f>SUMIFS(Einzelbeträge!$D:$D,Einzelbeträge!$C:$C,'Ausgaben 2027'!$C29,Einzelbeträge!$E:$E,'Ausgaben 2027'!I$6)</f>
        <v>0</v>
      </c>
      <c r="J29" s="21">
        <f>SUMIFS(Einzelbeträge!$D:$D,Einzelbeträge!$C:$C,'Ausgaben 2027'!$C29,Einzelbeträge!$E:$E,'Ausgaben 2027'!J$6)</f>
        <v>0</v>
      </c>
      <c r="K29" s="21">
        <f>SUMIFS(Einzelbeträge!$D:$D,Einzelbeträge!$C:$C,'Ausgaben 2027'!$C29,Einzelbeträge!$E:$E,'Ausgaben 2027'!K$6)</f>
        <v>0</v>
      </c>
      <c r="L29" s="21">
        <f>SUMIFS(Einzelbeträge!$D:$D,Einzelbeträge!$C:$C,'Ausgaben 2027'!$C29,Einzelbeträge!$E:$E,'Ausgaben 2027'!L$6)</f>
        <v>0</v>
      </c>
      <c r="M29" s="21">
        <f>SUMIFS(Einzelbeträge!$D:$D,Einzelbeträge!$C:$C,'Ausgaben 2027'!$C29,Einzelbeträge!$E:$E,'Ausgaben 2027'!M$6)</f>
        <v>0</v>
      </c>
      <c r="N29" s="35">
        <f>SUMIFS(Einzelbeträge!$D:$D,Einzelbeträge!$C:$C,'Ausgaben 2027'!$C29,Einzelbeträge!$E:$E,'Ausgaben 2027'!N$6)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07.06.2027 - 13.06.2027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46411</v>
      </c>
      <c r="D30" s="46">
        <f>SUMIFS(Einzelbeträge!$D:$D,Einzelbeträge!$C:$C,'Ausgaben 2027'!$C30)</f>
        <v>0</v>
      </c>
      <c r="E30" s="21">
        <f>SUMIFS(Einzelbeträge!$D:$D,Einzelbeträge!$C:$C,'Ausgaben 2027'!$C30,Einzelbeträge!$E:$E,'Ausgaben 2027'!E$6)</f>
        <v>0</v>
      </c>
      <c r="F30" s="21">
        <f>SUMIFS(Einzelbeträge!$D:$D,Einzelbeträge!$C:$C,'Ausgaben 2027'!$C30,Einzelbeträge!$E:$E,'Ausgaben 2027'!F$6)</f>
        <v>0</v>
      </c>
      <c r="G30" s="21">
        <f>SUMIFS(Einzelbeträge!$D:$D,Einzelbeträge!$C:$C,'Ausgaben 2027'!$C30,Einzelbeträge!$E:$E,'Ausgaben 2027'!G$6)</f>
        <v>0</v>
      </c>
      <c r="H30" s="21">
        <f>SUMIFS(Einzelbeträge!$D:$D,Einzelbeträge!$C:$C,'Ausgaben 2027'!$C30,Einzelbeträge!$E:$E,'Ausgaben 2027'!H$6)</f>
        <v>0</v>
      </c>
      <c r="I30" s="21">
        <f>SUMIFS(Einzelbeträge!$D:$D,Einzelbeträge!$C:$C,'Ausgaben 2027'!$C30,Einzelbeträge!$E:$E,'Ausgaben 2027'!I$6)</f>
        <v>0</v>
      </c>
      <c r="J30" s="21">
        <f>SUMIFS(Einzelbeträge!$D:$D,Einzelbeträge!$C:$C,'Ausgaben 2027'!$C30,Einzelbeträge!$E:$E,'Ausgaben 2027'!J$6)</f>
        <v>0</v>
      </c>
      <c r="K30" s="21">
        <f>SUMIFS(Einzelbeträge!$D:$D,Einzelbeträge!$C:$C,'Ausgaben 2027'!$C30,Einzelbeträge!$E:$E,'Ausgaben 2027'!K$6)</f>
        <v>0</v>
      </c>
      <c r="L30" s="21">
        <f>SUMIFS(Einzelbeträge!$D:$D,Einzelbeträge!$C:$C,'Ausgaben 2027'!$C30,Einzelbeträge!$E:$E,'Ausgaben 2027'!L$6)</f>
        <v>0</v>
      </c>
      <c r="M30" s="21">
        <f>SUMIFS(Einzelbeträge!$D:$D,Einzelbeträge!$C:$C,'Ausgaben 2027'!$C30,Einzelbeträge!$E:$E,'Ausgaben 2027'!M$6)</f>
        <v>0</v>
      </c>
      <c r="N30" s="35">
        <f>SUMIFS(Einzelbeträge!$D:$D,Einzelbeträge!$C:$C,'Ausgaben 2027'!$C30,Einzelbeträge!$E:$E,'Ausgaben 2027'!N$6)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14.06.2027 - 20.06.2027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46412</v>
      </c>
      <c r="D31" s="46">
        <f>SUMIFS(Einzelbeträge!$D:$D,Einzelbeträge!$C:$C,'Ausgaben 2027'!$C31)</f>
        <v>0</v>
      </c>
      <c r="E31" s="21">
        <f>SUMIFS(Einzelbeträge!$D:$D,Einzelbeträge!$C:$C,'Ausgaben 2027'!$C31,Einzelbeträge!$E:$E,'Ausgaben 2027'!E$6)</f>
        <v>0</v>
      </c>
      <c r="F31" s="21">
        <f>SUMIFS(Einzelbeträge!$D:$D,Einzelbeträge!$C:$C,'Ausgaben 2027'!$C31,Einzelbeträge!$E:$E,'Ausgaben 2027'!F$6)</f>
        <v>0</v>
      </c>
      <c r="G31" s="21">
        <f>SUMIFS(Einzelbeträge!$D:$D,Einzelbeträge!$C:$C,'Ausgaben 2027'!$C31,Einzelbeträge!$E:$E,'Ausgaben 2027'!G$6)</f>
        <v>0</v>
      </c>
      <c r="H31" s="21">
        <f>SUMIFS(Einzelbeträge!$D:$D,Einzelbeträge!$C:$C,'Ausgaben 2027'!$C31,Einzelbeträge!$E:$E,'Ausgaben 2027'!H$6)</f>
        <v>0</v>
      </c>
      <c r="I31" s="21">
        <f>SUMIFS(Einzelbeträge!$D:$D,Einzelbeträge!$C:$C,'Ausgaben 2027'!$C31,Einzelbeträge!$E:$E,'Ausgaben 2027'!I$6)</f>
        <v>0</v>
      </c>
      <c r="J31" s="21">
        <f>SUMIFS(Einzelbeträge!$D:$D,Einzelbeträge!$C:$C,'Ausgaben 2027'!$C31,Einzelbeträge!$E:$E,'Ausgaben 2027'!J$6)</f>
        <v>0</v>
      </c>
      <c r="K31" s="21">
        <f>SUMIFS(Einzelbeträge!$D:$D,Einzelbeträge!$C:$C,'Ausgaben 2027'!$C31,Einzelbeträge!$E:$E,'Ausgaben 2027'!K$6)</f>
        <v>0</v>
      </c>
      <c r="L31" s="21">
        <f>SUMIFS(Einzelbeträge!$D:$D,Einzelbeträge!$C:$C,'Ausgaben 2027'!$C31,Einzelbeträge!$E:$E,'Ausgaben 2027'!L$6)</f>
        <v>0</v>
      </c>
      <c r="M31" s="21">
        <f>SUMIFS(Einzelbeträge!$D:$D,Einzelbeträge!$C:$C,'Ausgaben 2027'!$C31,Einzelbeträge!$E:$E,'Ausgaben 2027'!M$6)</f>
        <v>0</v>
      </c>
      <c r="N31" s="35">
        <f>SUMIFS(Einzelbeträge!$D:$D,Einzelbeträge!$C:$C,'Ausgaben 2027'!$C31,Einzelbeträge!$E:$E,'Ausgaben 2027'!N$6)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21.06.2027 - 27.06.2027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46413</v>
      </c>
      <c r="D32" s="46">
        <f>SUMIFS(Einzelbeträge!$D:$D,Einzelbeträge!$C:$C,'Ausgaben 2027'!$C32)</f>
        <v>0</v>
      </c>
      <c r="E32" s="21">
        <f>SUMIFS(Einzelbeträge!$D:$D,Einzelbeträge!$C:$C,'Ausgaben 2027'!$C32,Einzelbeträge!$E:$E,'Ausgaben 2027'!E$6)</f>
        <v>0</v>
      </c>
      <c r="F32" s="21">
        <f>SUMIFS(Einzelbeträge!$D:$D,Einzelbeträge!$C:$C,'Ausgaben 2027'!$C32,Einzelbeträge!$E:$E,'Ausgaben 2027'!F$6)</f>
        <v>0</v>
      </c>
      <c r="G32" s="21">
        <f>SUMIFS(Einzelbeträge!$D:$D,Einzelbeträge!$C:$C,'Ausgaben 2027'!$C32,Einzelbeträge!$E:$E,'Ausgaben 2027'!G$6)</f>
        <v>0</v>
      </c>
      <c r="H32" s="21">
        <f>SUMIFS(Einzelbeträge!$D:$D,Einzelbeträge!$C:$C,'Ausgaben 2027'!$C32,Einzelbeträge!$E:$E,'Ausgaben 2027'!H$6)</f>
        <v>0</v>
      </c>
      <c r="I32" s="21">
        <f>SUMIFS(Einzelbeträge!$D:$D,Einzelbeträge!$C:$C,'Ausgaben 2027'!$C32,Einzelbeträge!$E:$E,'Ausgaben 2027'!I$6)</f>
        <v>0</v>
      </c>
      <c r="J32" s="21">
        <f>SUMIFS(Einzelbeträge!$D:$D,Einzelbeträge!$C:$C,'Ausgaben 2027'!$C32,Einzelbeträge!$E:$E,'Ausgaben 2027'!J$6)</f>
        <v>0</v>
      </c>
      <c r="K32" s="21">
        <f>SUMIFS(Einzelbeträge!$D:$D,Einzelbeträge!$C:$C,'Ausgaben 2027'!$C32,Einzelbeträge!$E:$E,'Ausgaben 2027'!K$6)</f>
        <v>0</v>
      </c>
      <c r="L32" s="21">
        <f>SUMIFS(Einzelbeträge!$D:$D,Einzelbeträge!$C:$C,'Ausgaben 2027'!$C32,Einzelbeträge!$E:$E,'Ausgaben 2027'!L$6)</f>
        <v>0</v>
      </c>
      <c r="M32" s="21">
        <f>SUMIFS(Einzelbeträge!$D:$D,Einzelbeträge!$C:$C,'Ausgaben 2027'!$C32,Einzelbeträge!$E:$E,'Ausgaben 2027'!M$6)</f>
        <v>0</v>
      </c>
      <c r="N32" s="35">
        <f>SUMIFS(Einzelbeträge!$D:$D,Einzelbeträge!$C:$C,'Ausgaben 2027'!$C32,Einzelbeträge!$E:$E,'Ausgaben 2027'!N$6)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28.06.2027 - 04.07.2027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46414</v>
      </c>
      <c r="D33" s="46">
        <f>SUMIFS(Einzelbeträge!$D:$D,Einzelbeträge!$C:$C,'Ausgaben 2027'!$C33)</f>
        <v>0</v>
      </c>
      <c r="E33" s="21">
        <f>SUMIFS(Einzelbeträge!$D:$D,Einzelbeträge!$C:$C,'Ausgaben 2027'!$C33,Einzelbeträge!$E:$E,'Ausgaben 2027'!E$6)</f>
        <v>0</v>
      </c>
      <c r="F33" s="21">
        <f>SUMIFS(Einzelbeträge!$D:$D,Einzelbeträge!$C:$C,'Ausgaben 2027'!$C33,Einzelbeträge!$E:$E,'Ausgaben 2027'!F$6)</f>
        <v>0</v>
      </c>
      <c r="G33" s="21">
        <f>SUMIFS(Einzelbeträge!$D:$D,Einzelbeträge!$C:$C,'Ausgaben 2027'!$C33,Einzelbeträge!$E:$E,'Ausgaben 2027'!G$6)</f>
        <v>0</v>
      </c>
      <c r="H33" s="21">
        <f>SUMIFS(Einzelbeträge!$D:$D,Einzelbeträge!$C:$C,'Ausgaben 2027'!$C33,Einzelbeträge!$E:$E,'Ausgaben 2027'!H$6)</f>
        <v>0</v>
      </c>
      <c r="I33" s="21">
        <f>SUMIFS(Einzelbeträge!$D:$D,Einzelbeträge!$C:$C,'Ausgaben 2027'!$C33,Einzelbeträge!$E:$E,'Ausgaben 2027'!I$6)</f>
        <v>0</v>
      </c>
      <c r="J33" s="21">
        <f>SUMIFS(Einzelbeträge!$D:$D,Einzelbeträge!$C:$C,'Ausgaben 2027'!$C33,Einzelbeträge!$E:$E,'Ausgaben 2027'!J$6)</f>
        <v>0</v>
      </c>
      <c r="K33" s="21">
        <f>SUMIFS(Einzelbeträge!$D:$D,Einzelbeträge!$C:$C,'Ausgaben 2027'!$C33,Einzelbeträge!$E:$E,'Ausgaben 2027'!K$6)</f>
        <v>0</v>
      </c>
      <c r="L33" s="21">
        <f>SUMIFS(Einzelbeträge!$D:$D,Einzelbeträge!$C:$C,'Ausgaben 2027'!$C33,Einzelbeträge!$E:$E,'Ausgaben 2027'!L$6)</f>
        <v>0</v>
      </c>
      <c r="M33" s="21">
        <f>SUMIFS(Einzelbeträge!$D:$D,Einzelbeträge!$C:$C,'Ausgaben 2027'!$C33,Einzelbeträge!$E:$E,'Ausgaben 2027'!M$6)</f>
        <v>0</v>
      </c>
      <c r="N33" s="35">
        <f>SUMIFS(Einzelbeträge!$D:$D,Einzelbeträge!$C:$C,'Ausgaben 2027'!$C33,Einzelbeträge!$E:$E,'Ausgaben 2027'!N$6)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05.07.2027 - 11.07.2027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46415</v>
      </c>
      <c r="D34" s="46">
        <f>SUMIFS(Einzelbeträge!$D:$D,Einzelbeträge!$C:$C,'Ausgaben 2027'!$C34)</f>
        <v>0</v>
      </c>
      <c r="E34" s="21">
        <f>SUMIFS(Einzelbeträge!$D:$D,Einzelbeträge!$C:$C,'Ausgaben 2027'!$C34,Einzelbeträge!$E:$E,'Ausgaben 2027'!E$6)</f>
        <v>0</v>
      </c>
      <c r="F34" s="21">
        <f>SUMIFS(Einzelbeträge!$D:$D,Einzelbeträge!$C:$C,'Ausgaben 2027'!$C34,Einzelbeträge!$E:$E,'Ausgaben 2027'!F$6)</f>
        <v>0</v>
      </c>
      <c r="G34" s="21">
        <f>SUMIFS(Einzelbeträge!$D:$D,Einzelbeträge!$C:$C,'Ausgaben 2027'!$C34,Einzelbeträge!$E:$E,'Ausgaben 2027'!G$6)</f>
        <v>0</v>
      </c>
      <c r="H34" s="21">
        <f>SUMIFS(Einzelbeträge!$D:$D,Einzelbeträge!$C:$C,'Ausgaben 2027'!$C34,Einzelbeträge!$E:$E,'Ausgaben 2027'!H$6)</f>
        <v>0</v>
      </c>
      <c r="I34" s="21">
        <f>SUMIFS(Einzelbeträge!$D:$D,Einzelbeträge!$C:$C,'Ausgaben 2027'!$C34,Einzelbeträge!$E:$E,'Ausgaben 2027'!I$6)</f>
        <v>0</v>
      </c>
      <c r="J34" s="21">
        <f>SUMIFS(Einzelbeträge!$D:$D,Einzelbeträge!$C:$C,'Ausgaben 2027'!$C34,Einzelbeträge!$E:$E,'Ausgaben 2027'!J$6)</f>
        <v>0</v>
      </c>
      <c r="K34" s="21">
        <f>SUMIFS(Einzelbeträge!$D:$D,Einzelbeträge!$C:$C,'Ausgaben 2027'!$C34,Einzelbeträge!$E:$E,'Ausgaben 2027'!K$6)</f>
        <v>0</v>
      </c>
      <c r="L34" s="21">
        <f>SUMIFS(Einzelbeträge!$D:$D,Einzelbeträge!$C:$C,'Ausgaben 2027'!$C34,Einzelbeträge!$E:$E,'Ausgaben 2027'!L$6)</f>
        <v>0</v>
      </c>
      <c r="M34" s="21">
        <f>SUMIFS(Einzelbeträge!$D:$D,Einzelbeträge!$C:$C,'Ausgaben 2027'!$C34,Einzelbeträge!$E:$E,'Ausgaben 2027'!M$6)</f>
        <v>0</v>
      </c>
      <c r="N34" s="35">
        <f>SUMIFS(Einzelbeträge!$D:$D,Einzelbeträge!$C:$C,'Ausgaben 2027'!$C34,Einzelbeträge!$E:$E,'Ausgaben 2027'!N$6)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12.07.2027 - 18.07.2027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46416</v>
      </c>
      <c r="D35" s="46">
        <f>SUMIFS(Einzelbeträge!$D:$D,Einzelbeträge!$C:$C,'Ausgaben 2027'!$C35)</f>
        <v>0</v>
      </c>
      <c r="E35" s="21">
        <f>SUMIFS(Einzelbeträge!$D:$D,Einzelbeträge!$C:$C,'Ausgaben 2027'!$C35,Einzelbeträge!$E:$E,'Ausgaben 2027'!E$6)</f>
        <v>0</v>
      </c>
      <c r="F35" s="21">
        <f>SUMIFS(Einzelbeträge!$D:$D,Einzelbeträge!$C:$C,'Ausgaben 2027'!$C35,Einzelbeträge!$E:$E,'Ausgaben 2027'!F$6)</f>
        <v>0</v>
      </c>
      <c r="G35" s="21">
        <f>SUMIFS(Einzelbeträge!$D:$D,Einzelbeträge!$C:$C,'Ausgaben 2027'!$C35,Einzelbeträge!$E:$E,'Ausgaben 2027'!G$6)</f>
        <v>0</v>
      </c>
      <c r="H35" s="21">
        <f>SUMIFS(Einzelbeträge!$D:$D,Einzelbeträge!$C:$C,'Ausgaben 2027'!$C35,Einzelbeträge!$E:$E,'Ausgaben 2027'!H$6)</f>
        <v>0</v>
      </c>
      <c r="I35" s="21">
        <f>SUMIFS(Einzelbeträge!$D:$D,Einzelbeträge!$C:$C,'Ausgaben 2027'!$C35,Einzelbeträge!$E:$E,'Ausgaben 2027'!I$6)</f>
        <v>0</v>
      </c>
      <c r="J35" s="21">
        <f>SUMIFS(Einzelbeträge!$D:$D,Einzelbeträge!$C:$C,'Ausgaben 2027'!$C35,Einzelbeträge!$E:$E,'Ausgaben 2027'!J$6)</f>
        <v>0</v>
      </c>
      <c r="K35" s="21">
        <f>SUMIFS(Einzelbeträge!$D:$D,Einzelbeträge!$C:$C,'Ausgaben 2027'!$C35,Einzelbeträge!$E:$E,'Ausgaben 2027'!K$6)</f>
        <v>0</v>
      </c>
      <c r="L35" s="21">
        <f>SUMIFS(Einzelbeträge!$D:$D,Einzelbeträge!$C:$C,'Ausgaben 2027'!$C35,Einzelbeträge!$E:$E,'Ausgaben 2027'!L$6)</f>
        <v>0</v>
      </c>
      <c r="M35" s="21">
        <f>SUMIFS(Einzelbeträge!$D:$D,Einzelbeträge!$C:$C,'Ausgaben 2027'!$C35,Einzelbeträge!$E:$E,'Ausgaben 2027'!M$6)</f>
        <v>0</v>
      </c>
      <c r="N35" s="35">
        <f>SUMIFS(Einzelbeträge!$D:$D,Einzelbeträge!$C:$C,'Ausgaben 2027'!$C35,Einzelbeträge!$E:$E,'Ausgaben 2027'!N$6)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19.07.2027 - 25.07.2027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46417</v>
      </c>
      <c r="D36" s="46">
        <f>SUMIFS(Einzelbeträge!$D:$D,Einzelbeträge!$C:$C,'Ausgaben 2027'!$C36)</f>
        <v>0</v>
      </c>
      <c r="E36" s="21">
        <f>SUMIFS(Einzelbeträge!$D:$D,Einzelbeträge!$C:$C,'Ausgaben 2027'!$C36,Einzelbeträge!$E:$E,'Ausgaben 2027'!E$6)</f>
        <v>0</v>
      </c>
      <c r="F36" s="21">
        <f>SUMIFS(Einzelbeträge!$D:$D,Einzelbeträge!$C:$C,'Ausgaben 2027'!$C36,Einzelbeträge!$E:$E,'Ausgaben 2027'!F$6)</f>
        <v>0</v>
      </c>
      <c r="G36" s="21">
        <f>SUMIFS(Einzelbeträge!$D:$D,Einzelbeträge!$C:$C,'Ausgaben 2027'!$C36,Einzelbeträge!$E:$E,'Ausgaben 2027'!G$6)</f>
        <v>0</v>
      </c>
      <c r="H36" s="21">
        <f>SUMIFS(Einzelbeträge!$D:$D,Einzelbeträge!$C:$C,'Ausgaben 2027'!$C36,Einzelbeträge!$E:$E,'Ausgaben 2027'!H$6)</f>
        <v>0</v>
      </c>
      <c r="I36" s="21">
        <f>SUMIFS(Einzelbeträge!$D:$D,Einzelbeträge!$C:$C,'Ausgaben 2027'!$C36,Einzelbeträge!$E:$E,'Ausgaben 2027'!I$6)</f>
        <v>0</v>
      </c>
      <c r="J36" s="21">
        <f>SUMIFS(Einzelbeträge!$D:$D,Einzelbeträge!$C:$C,'Ausgaben 2027'!$C36,Einzelbeträge!$E:$E,'Ausgaben 2027'!J$6)</f>
        <v>0</v>
      </c>
      <c r="K36" s="21">
        <f>SUMIFS(Einzelbeträge!$D:$D,Einzelbeträge!$C:$C,'Ausgaben 2027'!$C36,Einzelbeträge!$E:$E,'Ausgaben 2027'!K$6)</f>
        <v>0</v>
      </c>
      <c r="L36" s="21">
        <f>SUMIFS(Einzelbeträge!$D:$D,Einzelbeträge!$C:$C,'Ausgaben 2027'!$C36,Einzelbeträge!$E:$E,'Ausgaben 2027'!L$6)</f>
        <v>0</v>
      </c>
      <c r="M36" s="21">
        <f>SUMIFS(Einzelbeträge!$D:$D,Einzelbeträge!$C:$C,'Ausgaben 2027'!$C36,Einzelbeträge!$E:$E,'Ausgaben 2027'!M$6)</f>
        <v>0</v>
      </c>
      <c r="N36" s="35">
        <f>SUMIFS(Einzelbeträge!$D:$D,Einzelbeträge!$C:$C,'Ausgaben 2027'!$C36,Einzelbeträge!$E:$E,'Ausgaben 2027'!N$6)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26.07.2027 - 01.08.2027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46418</v>
      </c>
      <c r="D37" s="47">
        <f>SUMIFS(Einzelbeträge!$D:$D,Einzelbeträge!$C:$C,'Ausgaben 2027'!$C37)</f>
        <v>0</v>
      </c>
      <c r="E37" s="37">
        <f>SUMIFS(Einzelbeträge!$D:$D,Einzelbeträge!$C:$C,'Ausgaben 2027'!$C37,Einzelbeträge!$E:$E,'Ausgaben 2027'!E$6)</f>
        <v>0</v>
      </c>
      <c r="F37" s="37">
        <f>SUMIFS(Einzelbeträge!$D:$D,Einzelbeträge!$C:$C,'Ausgaben 2027'!$C37,Einzelbeträge!$E:$E,'Ausgaben 2027'!F$6)</f>
        <v>0</v>
      </c>
      <c r="G37" s="37">
        <f>SUMIFS(Einzelbeträge!$D:$D,Einzelbeträge!$C:$C,'Ausgaben 2027'!$C37,Einzelbeträge!$E:$E,'Ausgaben 2027'!G$6)</f>
        <v>0</v>
      </c>
      <c r="H37" s="37">
        <f>SUMIFS(Einzelbeträge!$D:$D,Einzelbeträge!$C:$C,'Ausgaben 2027'!$C37,Einzelbeträge!$E:$E,'Ausgaben 2027'!H$6)</f>
        <v>0</v>
      </c>
      <c r="I37" s="37">
        <f>SUMIFS(Einzelbeträge!$D:$D,Einzelbeträge!$C:$C,'Ausgaben 2027'!$C37,Einzelbeträge!$E:$E,'Ausgaben 2027'!I$6)</f>
        <v>0</v>
      </c>
      <c r="J37" s="37">
        <f>SUMIFS(Einzelbeträge!$D:$D,Einzelbeträge!$C:$C,'Ausgaben 2027'!$C37,Einzelbeträge!$E:$E,'Ausgaben 2027'!J$6)</f>
        <v>0</v>
      </c>
      <c r="K37" s="37">
        <f>SUMIFS(Einzelbeträge!$D:$D,Einzelbeträge!$C:$C,'Ausgaben 2027'!$C37,Einzelbeträge!$E:$E,'Ausgaben 2027'!K$6)</f>
        <v>0</v>
      </c>
      <c r="L37" s="37">
        <f>SUMIFS(Einzelbeträge!$D:$D,Einzelbeträge!$C:$C,'Ausgaben 2027'!$C37,Einzelbeträge!$E:$E,'Ausgaben 2027'!L$6)</f>
        <v>0</v>
      </c>
      <c r="M37" s="37">
        <f>SUMIFS(Einzelbeträge!$D:$D,Einzelbeträge!$C:$C,'Ausgaben 2027'!$C37,Einzelbeträge!$E:$E,'Ausgaben 2027'!M$6)</f>
        <v>0</v>
      </c>
      <c r="N37" s="38">
        <f>SUMIFS(Einzelbeträge!$D:$D,Einzelbeträge!$C:$C,'Ausgaben 2027'!$C37,Einzelbeträge!$E:$E,'Ausgaben 2027'!N$6)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02.08.2027 - 08.08.2027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09.08.2027 - 15.08.2027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16.08.2027 - 22.08.2027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23.08.2027 - 29.08.2027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46419</v>
      </c>
      <c r="D41" s="45">
        <f>SUMIFS(Einzelbeträge!$D:$D,Einzelbeträge!$C:$C,'Ausgaben 2027'!$C41)</f>
        <v>0</v>
      </c>
      <c r="E41" s="88">
        <f>SUMIFS(Einzelbeträge!$D:$D,Einzelbeträge!$C:$C,'Ausgaben 2027'!$C41,Einzelbeträge!$E:$E,'Ausgaben 2027'!E$6)</f>
        <v>0</v>
      </c>
      <c r="F41" s="32">
        <f>SUMIFS(Einzelbeträge!$D:$D,Einzelbeträge!$C:$C,'Ausgaben 2027'!$C41,Einzelbeträge!$E:$E,'Ausgaben 2027'!F$6)</f>
        <v>0</v>
      </c>
      <c r="G41" s="32">
        <f>SUMIFS(Einzelbeträge!$D:$D,Einzelbeträge!$C:$C,'Ausgaben 2027'!$C41,Einzelbeträge!$E:$E,'Ausgaben 2027'!G$6)</f>
        <v>0</v>
      </c>
      <c r="H41" s="32">
        <f>SUMIFS(Einzelbeträge!$D:$D,Einzelbeträge!$C:$C,'Ausgaben 2027'!$C41,Einzelbeträge!$E:$E,'Ausgaben 2027'!H$6)</f>
        <v>0</v>
      </c>
      <c r="I41" s="32">
        <f>SUMIFS(Einzelbeträge!$D:$D,Einzelbeträge!$C:$C,'Ausgaben 2027'!$C41,Einzelbeträge!$E:$E,'Ausgaben 2027'!I$6)</f>
        <v>0</v>
      </c>
      <c r="J41" s="32">
        <f>SUMIFS(Einzelbeträge!$D:$D,Einzelbeträge!$C:$C,'Ausgaben 2027'!$C41,Einzelbeträge!$E:$E,'Ausgaben 2027'!J$6)</f>
        <v>0</v>
      </c>
      <c r="K41" s="32">
        <f>SUMIFS(Einzelbeträge!$D:$D,Einzelbeträge!$C:$C,'Ausgaben 2027'!$C41,Einzelbeträge!$E:$E,'Ausgaben 2027'!K$6)</f>
        <v>0</v>
      </c>
      <c r="L41" s="32">
        <f>SUMIFS(Einzelbeträge!$D:$D,Einzelbeträge!$C:$C,'Ausgaben 2027'!$C41,Einzelbeträge!$E:$E,'Ausgaben 2027'!L$6)</f>
        <v>0</v>
      </c>
      <c r="M41" s="32">
        <f>SUMIFS(Einzelbeträge!$D:$D,Einzelbeträge!$C:$C,'Ausgaben 2027'!$C41,Einzelbeträge!$E:$E,'Ausgaben 2027'!M$6)</f>
        <v>0</v>
      </c>
      <c r="N41" s="33">
        <f>SUMIFS(Einzelbeträge!$D:$D,Einzelbeträge!$C:$C,'Ausgaben 2027'!$C41,Einzelbeträge!$E:$E,'Ausgaben 2027'!N$6)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30.08.2027 - 05.09.2027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46420</v>
      </c>
      <c r="D42" s="46">
        <f>SUMIFS(Einzelbeträge!$D:$D,Einzelbeträge!$C:$C,'Ausgaben 2027'!$C42)</f>
        <v>0</v>
      </c>
      <c r="E42" s="34">
        <f>SUMIFS(Einzelbeträge!$D:$D,Einzelbeträge!$C:$C,'Ausgaben 2027'!$C42,Einzelbeträge!$E:$E,'Ausgaben 2027'!E$6)</f>
        <v>0</v>
      </c>
      <c r="F42" s="21">
        <f>SUMIFS(Einzelbeträge!$D:$D,Einzelbeträge!$C:$C,'Ausgaben 2027'!$C42,Einzelbeträge!$E:$E,'Ausgaben 2027'!F$6)</f>
        <v>0</v>
      </c>
      <c r="G42" s="21">
        <f>SUMIFS(Einzelbeträge!$D:$D,Einzelbeträge!$C:$C,'Ausgaben 2027'!$C42,Einzelbeträge!$E:$E,'Ausgaben 2027'!G$6)</f>
        <v>0</v>
      </c>
      <c r="H42" s="21">
        <f>SUMIFS(Einzelbeträge!$D:$D,Einzelbeträge!$C:$C,'Ausgaben 2027'!$C42,Einzelbeträge!$E:$E,'Ausgaben 2027'!H$6)</f>
        <v>0</v>
      </c>
      <c r="I42" s="21">
        <f>SUMIFS(Einzelbeträge!$D:$D,Einzelbeträge!$C:$C,'Ausgaben 2027'!$C42,Einzelbeträge!$E:$E,'Ausgaben 2027'!I$6)</f>
        <v>0</v>
      </c>
      <c r="J42" s="21">
        <f>SUMIFS(Einzelbeträge!$D:$D,Einzelbeträge!$C:$C,'Ausgaben 2027'!$C42,Einzelbeträge!$E:$E,'Ausgaben 2027'!J$6)</f>
        <v>0</v>
      </c>
      <c r="K42" s="21">
        <f>SUMIFS(Einzelbeträge!$D:$D,Einzelbeträge!$C:$C,'Ausgaben 2027'!$C42,Einzelbeträge!$E:$E,'Ausgaben 2027'!K$6)</f>
        <v>0</v>
      </c>
      <c r="L42" s="21">
        <f>SUMIFS(Einzelbeträge!$D:$D,Einzelbeträge!$C:$C,'Ausgaben 2027'!$C42,Einzelbeträge!$E:$E,'Ausgaben 2027'!L$6)</f>
        <v>0</v>
      </c>
      <c r="M42" s="21">
        <f>SUMIFS(Einzelbeträge!$D:$D,Einzelbeträge!$C:$C,'Ausgaben 2027'!$C42,Einzelbeträge!$E:$E,'Ausgaben 2027'!M$6)</f>
        <v>0</v>
      </c>
      <c r="N42" s="35">
        <f>SUMIFS(Einzelbeträge!$D:$D,Einzelbeträge!$C:$C,'Ausgaben 2027'!$C42,Einzelbeträge!$E:$E,'Ausgaben 2027'!N$6)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06.09.2027 - 12.09.2027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46421</v>
      </c>
      <c r="D43" s="46">
        <f>SUMIFS(Einzelbeträge!$D:$D,Einzelbeträge!$C:$C,'Ausgaben 2027'!$C43)</f>
        <v>0</v>
      </c>
      <c r="E43" s="34">
        <f>SUMIFS(Einzelbeträge!$D:$D,Einzelbeträge!$C:$C,'Ausgaben 2027'!$C43,Einzelbeträge!$E:$E,'Ausgaben 2027'!E$6)</f>
        <v>0</v>
      </c>
      <c r="F43" s="21">
        <f>SUMIFS(Einzelbeträge!$D:$D,Einzelbeträge!$C:$C,'Ausgaben 2027'!$C43,Einzelbeträge!$E:$E,'Ausgaben 2027'!F$6)</f>
        <v>0</v>
      </c>
      <c r="G43" s="21">
        <f>SUMIFS(Einzelbeträge!$D:$D,Einzelbeträge!$C:$C,'Ausgaben 2027'!$C43,Einzelbeträge!$E:$E,'Ausgaben 2027'!G$6)</f>
        <v>0</v>
      </c>
      <c r="H43" s="21">
        <f>SUMIFS(Einzelbeträge!$D:$D,Einzelbeträge!$C:$C,'Ausgaben 2027'!$C43,Einzelbeträge!$E:$E,'Ausgaben 2027'!H$6)</f>
        <v>0</v>
      </c>
      <c r="I43" s="21">
        <f>SUMIFS(Einzelbeträge!$D:$D,Einzelbeträge!$C:$C,'Ausgaben 2027'!$C43,Einzelbeträge!$E:$E,'Ausgaben 2027'!I$6)</f>
        <v>0</v>
      </c>
      <c r="J43" s="21">
        <f>SUMIFS(Einzelbeträge!$D:$D,Einzelbeträge!$C:$C,'Ausgaben 2027'!$C43,Einzelbeträge!$E:$E,'Ausgaben 2027'!J$6)</f>
        <v>0</v>
      </c>
      <c r="K43" s="21">
        <f>SUMIFS(Einzelbeträge!$D:$D,Einzelbeträge!$C:$C,'Ausgaben 2027'!$C43,Einzelbeträge!$E:$E,'Ausgaben 2027'!K$6)</f>
        <v>0</v>
      </c>
      <c r="L43" s="21">
        <f>SUMIFS(Einzelbeträge!$D:$D,Einzelbeträge!$C:$C,'Ausgaben 2027'!$C43,Einzelbeträge!$E:$E,'Ausgaben 2027'!L$6)</f>
        <v>0</v>
      </c>
      <c r="M43" s="21">
        <f>SUMIFS(Einzelbeträge!$D:$D,Einzelbeträge!$C:$C,'Ausgaben 2027'!$C43,Einzelbeträge!$E:$E,'Ausgaben 2027'!M$6)</f>
        <v>0</v>
      </c>
      <c r="N43" s="35">
        <f>SUMIFS(Einzelbeträge!$D:$D,Einzelbeträge!$C:$C,'Ausgaben 2027'!$C43,Einzelbeträge!$E:$E,'Ausgaben 2027'!N$6)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13.09.2027 - 19.09.2027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46422</v>
      </c>
      <c r="D44" s="46">
        <f>SUMIFS(Einzelbeträge!$D:$D,Einzelbeträge!$C:$C,'Ausgaben 2027'!$C44)</f>
        <v>0</v>
      </c>
      <c r="E44" s="34">
        <f>SUMIFS(Einzelbeträge!$D:$D,Einzelbeträge!$C:$C,'Ausgaben 2027'!$C44,Einzelbeträge!$E:$E,'Ausgaben 2027'!E$6)</f>
        <v>0</v>
      </c>
      <c r="F44" s="21">
        <f>SUMIFS(Einzelbeträge!$D:$D,Einzelbeträge!$C:$C,'Ausgaben 2027'!$C44,Einzelbeträge!$E:$E,'Ausgaben 2027'!F$6)</f>
        <v>0</v>
      </c>
      <c r="G44" s="21">
        <f>SUMIFS(Einzelbeträge!$D:$D,Einzelbeträge!$C:$C,'Ausgaben 2027'!$C44,Einzelbeträge!$E:$E,'Ausgaben 2027'!G$6)</f>
        <v>0</v>
      </c>
      <c r="H44" s="21">
        <f>SUMIFS(Einzelbeträge!$D:$D,Einzelbeträge!$C:$C,'Ausgaben 2027'!$C44,Einzelbeträge!$E:$E,'Ausgaben 2027'!H$6)</f>
        <v>0</v>
      </c>
      <c r="I44" s="21">
        <f>SUMIFS(Einzelbeträge!$D:$D,Einzelbeträge!$C:$C,'Ausgaben 2027'!$C44,Einzelbeträge!$E:$E,'Ausgaben 2027'!I$6)</f>
        <v>0</v>
      </c>
      <c r="J44" s="21">
        <f>SUMIFS(Einzelbeträge!$D:$D,Einzelbeträge!$C:$C,'Ausgaben 2027'!$C44,Einzelbeträge!$E:$E,'Ausgaben 2027'!J$6)</f>
        <v>0</v>
      </c>
      <c r="K44" s="21">
        <f>SUMIFS(Einzelbeträge!$D:$D,Einzelbeträge!$C:$C,'Ausgaben 2027'!$C44,Einzelbeträge!$E:$E,'Ausgaben 2027'!K$6)</f>
        <v>0</v>
      </c>
      <c r="L44" s="21">
        <f>SUMIFS(Einzelbeträge!$D:$D,Einzelbeträge!$C:$C,'Ausgaben 2027'!$C44,Einzelbeträge!$E:$E,'Ausgaben 2027'!L$6)</f>
        <v>0</v>
      </c>
      <c r="M44" s="21">
        <f>SUMIFS(Einzelbeträge!$D:$D,Einzelbeträge!$C:$C,'Ausgaben 2027'!$C44,Einzelbeträge!$E:$E,'Ausgaben 2027'!M$6)</f>
        <v>0</v>
      </c>
      <c r="N44" s="35">
        <f>SUMIFS(Einzelbeträge!$D:$D,Einzelbeträge!$C:$C,'Ausgaben 2027'!$C44,Einzelbeträge!$E:$E,'Ausgaben 2027'!N$6)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20.09.2027 - 26.09.2027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46423</v>
      </c>
      <c r="D45" s="46">
        <f>SUMIFS(Einzelbeträge!$D:$D,Einzelbeträge!$C:$C,'Ausgaben 2027'!$C45)</f>
        <v>0</v>
      </c>
      <c r="E45" s="34">
        <f>SUMIFS(Einzelbeträge!$D:$D,Einzelbeträge!$C:$C,'Ausgaben 2027'!$C45,Einzelbeträge!$E:$E,'Ausgaben 2027'!E$6)</f>
        <v>0</v>
      </c>
      <c r="F45" s="21">
        <f>SUMIFS(Einzelbeträge!$D:$D,Einzelbeträge!$C:$C,'Ausgaben 2027'!$C45,Einzelbeträge!$E:$E,'Ausgaben 2027'!F$6)</f>
        <v>0</v>
      </c>
      <c r="G45" s="21">
        <f>SUMIFS(Einzelbeträge!$D:$D,Einzelbeträge!$C:$C,'Ausgaben 2027'!$C45,Einzelbeträge!$E:$E,'Ausgaben 2027'!G$6)</f>
        <v>0</v>
      </c>
      <c r="H45" s="21">
        <f>SUMIFS(Einzelbeträge!$D:$D,Einzelbeträge!$C:$C,'Ausgaben 2027'!$C45,Einzelbeträge!$E:$E,'Ausgaben 2027'!H$6)</f>
        <v>0</v>
      </c>
      <c r="I45" s="21">
        <f>SUMIFS(Einzelbeträge!$D:$D,Einzelbeträge!$C:$C,'Ausgaben 2027'!$C45,Einzelbeträge!$E:$E,'Ausgaben 2027'!I$6)</f>
        <v>0</v>
      </c>
      <c r="J45" s="21">
        <f>SUMIFS(Einzelbeträge!$D:$D,Einzelbeträge!$C:$C,'Ausgaben 2027'!$C45,Einzelbeträge!$E:$E,'Ausgaben 2027'!J$6)</f>
        <v>0</v>
      </c>
      <c r="K45" s="21">
        <f>SUMIFS(Einzelbeträge!$D:$D,Einzelbeträge!$C:$C,'Ausgaben 2027'!$C45,Einzelbeträge!$E:$E,'Ausgaben 2027'!K$6)</f>
        <v>0</v>
      </c>
      <c r="L45" s="21">
        <f>SUMIFS(Einzelbeträge!$D:$D,Einzelbeträge!$C:$C,'Ausgaben 2027'!$C45,Einzelbeträge!$E:$E,'Ausgaben 2027'!L$6)</f>
        <v>0</v>
      </c>
      <c r="M45" s="21">
        <f>SUMIFS(Einzelbeträge!$D:$D,Einzelbeträge!$C:$C,'Ausgaben 2027'!$C45,Einzelbeträge!$E:$E,'Ausgaben 2027'!M$6)</f>
        <v>0</v>
      </c>
      <c r="N45" s="35">
        <f>SUMIFS(Einzelbeträge!$D:$D,Einzelbeträge!$C:$C,'Ausgaben 2027'!$C45,Einzelbeträge!$E:$E,'Ausgaben 2027'!N$6)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27.09.2027 - 03.10.2027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46424</v>
      </c>
      <c r="D46" s="46">
        <f>SUMIFS(Einzelbeträge!$D:$D,Einzelbeträge!$C:$C,'Ausgaben 2027'!$C46)</f>
        <v>0</v>
      </c>
      <c r="E46" s="34">
        <f>SUMIFS(Einzelbeträge!$D:$D,Einzelbeträge!$C:$C,'Ausgaben 2027'!$C46,Einzelbeträge!$E:$E,'Ausgaben 2027'!E$6)</f>
        <v>0</v>
      </c>
      <c r="F46" s="21">
        <f>SUMIFS(Einzelbeträge!$D:$D,Einzelbeträge!$C:$C,'Ausgaben 2027'!$C46,Einzelbeträge!$E:$E,'Ausgaben 2027'!F$6)</f>
        <v>0</v>
      </c>
      <c r="G46" s="21">
        <f>SUMIFS(Einzelbeträge!$D:$D,Einzelbeträge!$C:$C,'Ausgaben 2027'!$C46,Einzelbeträge!$E:$E,'Ausgaben 2027'!G$6)</f>
        <v>0</v>
      </c>
      <c r="H46" s="21">
        <f>SUMIFS(Einzelbeträge!$D:$D,Einzelbeträge!$C:$C,'Ausgaben 2027'!$C46,Einzelbeträge!$E:$E,'Ausgaben 2027'!H$6)</f>
        <v>0</v>
      </c>
      <c r="I46" s="21">
        <f>SUMIFS(Einzelbeträge!$D:$D,Einzelbeträge!$C:$C,'Ausgaben 2027'!$C46,Einzelbeträge!$E:$E,'Ausgaben 2027'!I$6)</f>
        <v>0</v>
      </c>
      <c r="J46" s="21">
        <f>SUMIFS(Einzelbeträge!$D:$D,Einzelbeträge!$C:$C,'Ausgaben 2027'!$C46,Einzelbeträge!$E:$E,'Ausgaben 2027'!J$6)</f>
        <v>0</v>
      </c>
      <c r="K46" s="21">
        <f>SUMIFS(Einzelbeträge!$D:$D,Einzelbeträge!$C:$C,'Ausgaben 2027'!$C46,Einzelbeträge!$E:$E,'Ausgaben 2027'!K$6)</f>
        <v>0</v>
      </c>
      <c r="L46" s="21">
        <f>SUMIFS(Einzelbeträge!$D:$D,Einzelbeträge!$C:$C,'Ausgaben 2027'!$C46,Einzelbeträge!$E:$E,'Ausgaben 2027'!L$6)</f>
        <v>0</v>
      </c>
      <c r="M46" s="21">
        <f>SUMIFS(Einzelbeträge!$D:$D,Einzelbeträge!$C:$C,'Ausgaben 2027'!$C46,Einzelbeträge!$E:$E,'Ausgaben 2027'!M$6)</f>
        <v>0</v>
      </c>
      <c r="N46" s="35">
        <f>SUMIFS(Einzelbeträge!$D:$D,Einzelbeträge!$C:$C,'Ausgaben 2027'!$C46,Einzelbeträge!$E:$E,'Ausgaben 2027'!N$6)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04.10.2027 - 10.10.2027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46425</v>
      </c>
      <c r="D47" s="46">
        <f>SUMIFS(Einzelbeträge!$D:$D,Einzelbeträge!$C:$C,'Ausgaben 2027'!$C47)</f>
        <v>0</v>
      </c>
      <c r="E47" s="34">
        <f>SUMIFS(Einzelbeträge!$D:$D,Einzelbeträge!$C:$C,'Ausgaben 2027'!$C47,Einzelbeträge!$E:$E,'Ausgaben 2027'!E$6)</f>
        <v>0</v>
      </c>
      <c r="F47" s="21">
        <f>SUMIFS(Einzelbeträge!$D:$D,Einzelbeträge!$C:$C,'Ausgaben 2027'!$C47,Einzelbeträge!$E:$E,'Ausgaben 2027'!F$6)</f>
        <v>0</v>
      </c>
      <c r="G47" s="21">
        <f>SUMIFS(Einzelbeträge!$D:$D,Einzelbeträge!$C:$C,'Ausgaben 2027'!$C47,Einzelbeträge!$E:$E,'Ausgaben 2027'!G$6)</f>
        <v>0</v>
      </c>
      <c r="H47" s="21">
        <f>SUMIFS(Einzelbeträge!$D:$D,Einzelbeträge!$C:$C,'Ausgaben 2027'!$C47,Einzelbeträge!$E:$E,'Ausgaben 2027'!H$6)</f>
        <v>0</v>
      </c>
      <c r="I47" s="21">
        <f>SUMIFS(Einzelbeträge!$D:$D,Einzelbeträge!$C:$C,'Ausgaben 2027'!$C47,Einzelbeträge!$E:$E,'Ausgaben 2027'!I$6)</f>
        <v>0</v>
      </c>
      <c r="J47" s="21">
        <f>SUMIFS(Einzelbeträge!$D:$D,Einzelbeträge!$C:$C,'Ausgaben 2027'!$C47,Einzelbeträge!$E:$E,'Ausgaben 2027'!J$6)</f>
        <v>0</v>
      </c>
      <c r="K47" s="21">
        <f>SUMIFS(Einzelbeträge!$D:$D,Einzelbeträge!$C:$C,'Ausgaben 2027'!$C47,Einzelbeträge!$E:$E,'Ausgaben 2027'!K$6)</f>
        <v>0</v>
      </c>
      <c r="L47" s="21">
        <f>SUMIFS(Einzelbeträge!$D:$D,Einzelbeträge!$C:$C,'Ausgaben 2027'!$C47,Einzelbeträge!$E:$E,'Ausgaben 2027'!L$6)</f>
        <v>0</v>
      </c>
      <c r="M47" s="21">
        <f>SUMIFS(Einzelbeträge!$D:$D,Einzelbeträge!$C:$C,'Ausgaben 2027'!$C47,Einzelbeträge!$E:$E,'Ausgaben 2027'!M$6)</f>
        <v>0</v>
      </c>
      <c r="N47" s="35">
        <f>SUMIFS(Einzelbeträge!$D:$D,Einzelbeträge!$C:$C,'Ausgaben 2027'!$C47,Einzelbeträge!$E:$E,'Ausgaben 2027'!N$6)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11.10.2027 - 17.10.2027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46426</v>
      </c>
      <c r="D48" s="46">
        <f>SUMIFS(Einzelbeträge!$D:$D,Einzelbeträge!$C:$C,'Ausgaben 2027'!$C48)</f>
        <v>0</v>
      </c>
      <c r="E48" s="34">
        <f>SUMIFS(Einzelbeträge!$D:$D,Einzelbeträge!$C:$C,'Ausgaben 2027'!$C48,Einzelbeträge!$E:$E,'Ausgaben 2027'!E$6)</f>
        <v>0</v>
      </c>
      <c r="F48" s="21">
        <f>SUMIFS(Einzelbeträge!$D:$D,Einzelbeträge!$C:$C,'Ausgaben 2027'!$C48,Einzelbeträge!$E:$E,'Ausgaben 2027'!F$6)</f>
        <v>0</v>
      </c>
      <c r="G48" s="21">
        <f>SUMIFS(Einzelbeträge!$D:$D,Einzelbeträge!$C:$C,'Ausgaben 2027'!$C48,Einzelbeträge!$E:$E,'Ausgaben 2027'!G$6)</f>
        <v>0</v>
      </c>
      <c r="H48" s="21">
        <f>SUMIFS(Einzelbeträge!$D:$D,Einzelbeträge!$C:$C,'Ausgaben 2027'!$C48,Einzelbeträge!$E:$E,'Ausgaben 2027'!H$6)</f>
        <v>0</v>
      </c>
      <c r="I48" s="21">
        <f>SUMIFS(Einzelbeträge!$D:$D,Einzelbeträge!$C:$C,'Ausgaben 2027'!$C48,Einzelbeträge!$E:$E,'Ausgaben 2027'!I$6)</f>
        <v>0</v>
      </c>
      <c r="J48" s="21">
        <f>SUMIFS(Einzelbeträge!$D:$D,Einzelbeträge!$C:$C,'Ausgaben 2027'!$C48,Einzelbeträge!$E:$E,'Ausgaben 2027'!J$6)</f>
        <v>0</v>
      </c>
      <c r="K48" s="21">
        <f>SUMIFS(Einzelbeträge!$D:$D,Einzelbeträge!$C:$C,'Ausgaben 2027'!$C48,Einzelbeträge!$E:$E,'Ausgaben 2027'!K$6)</f>
        <v>0</v>
      </c>
      <c r="L48" s="21">
        <f>SUMIFS(Einzelbeträge!$D:$D,Einzelbeträge!$C:$C,'Ausgaben 2027'!$C48,Einzelbeträge!$E:$E,'Ausgaben 2027'!L$6)</f>
        <v>0</v>
      </c>
      <c r="M48" s="21">
        <f>SUMIFS(Einzelbeträge!$D:$D,Einzelbeträge!$C:$C,'Ausgaben 2027'!$C48,Einzelbeträge!$E:$E,'Ausgaben 2027'!M$6)</f>
        <v>0</v>
      </c>
      <c r="N48" s="35">
        <f>SUMIFS(Einzelbeträge!$D:$D,Einzelbeträge!$C:$C,'Ausgaben 2027'!$C48,Einzelbeträge!$E:$E,'Ausgaben 2027'!N$6)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18.10.2027 - 24.10.2027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46427</v>
      </c>
      <c r="D49" s="46">
        <f>SUMIFS(Einzelbeträge!$D:$D,Einzelbeträge!$C:$C,'Ausgaben 2027'!$C49)</f>
        <v>0</v>
      </c>
      <c r="E49" s="34">
        <f>SUMIFS(Einzelbeträge!$D:$D,Einzelbeträge!$C:$C,'Ausgaben 2027'!$C49,Einzelbeträge!$E:$E,'Ausgaben 2027'!E$6)</f>
        <v>0</v>
      </c>
      <c r="F49" s="21">
        <f>SUMIFS(Einzelbeträge!$D:$D,Einzelbeträge!$C:$C,'Ausgaben 2027'!$C49,Einzelbeträge!$E:$E,'Ausgaben 2027'!F$6)</f>
        <v>0</v>
      </c>
      <c r="G49" s="21">
        <f>SUMIFS(Einzelbeträge!$D:$D,Einzelbeträge!$C:$C,'Ausgaben 2027'!$C49,Einzelbeträge!$E:$E,'Ausgaben 2027'!G$6)</f>
        <v>0</v>
      </c>
      <c r="H49" s="21">
        <f>SUMIFS(Einzelbeträge!$D:$D,Einzelbeträge!$C:$C,'Ausgaben 2027'!$C49,Einzelbeträge!$E:$E,'Ausgaben 2027'!H$6)</f>
        <v>0</v>
      </c>
      <c r="I49" s="21">
        <f>SUMIFS(Einzelbeträge!$D:$D,Einzelbeträge!$C:$C,'Ausgaben 2027'!$C49,Einzelbeträge!$E:$E,'Ausgaben 2027'!I$6)</f>
        <v>0</v>
      </c>
      <c r="J49" s="21">
        <f>SUMIFS(Einzelbeträge!$D:$D,Einzelbeträge!$C:$C,'Ausgaben 2027'!$C49,Einzelbeträge!$E:$E,'Ausgaben 2027'!J$6)</f>
        <v>0</v>
      </c>
      <c r="K49" s="21">
        <f>SUMIFS(Einzelbeträge!$D:$D,Einzelbeträge!$C:$C,'Ausgaben 2027'!$C49,Einzelbeträge!$E:$E,'Ausgaben 2027'!K$6)</f>
        <v>0</v>
      </c>
      <c r="L49" s="21">
        <f>SUMIFS(Einzelbeträge!$D:$D,Einzelbeträge!$C:$C,'Ausgaben 2027'!$C49,Einzelbeträge!$E:$E,'Ausgaben 2027'!L$6)</f>
        <v>0</v>
      </c>
      <c r="M49" s="21">
        <f>SUMIFS(Einzelbeträge!$D:$D,Einzelbeträge!$C:$C,'Ausgaben 2027'!$C49,Einzelbeträge!$E:$E,'Ausgaben 2027'!M$6)</f>
        <v>0</v>
      </c>
      <c r="N49" s="35">
        <f>SUMIFS(Einzelbeträge!$D:$D,Einzelbeträge!$C:$C,'Ausgaben 2027'!$C49,Einzelbeträge!$E:$E,'Ausgaben 2027'!N$6)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25.10.2027 - 31.10.2027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46428</v>
      </c>
      <c r="D50" s="46">
        <f>SUMIFS(Einzelbeträge!$D:$D,Einzelbeträge!$C:$C,'Ausgaben 2027'!$C50)</f>
        <v>0</v>
      </c>
      <c r="E50" s="34">
        <f>SUMIFS(Einzelbeträge!$D:$D,Einzelbeträge!$C:$C,'Ausgaben 2027'!$C50,Einzelbeträge!$E:$E,'Ausgaben 2027'!E$6)</f>
        <v>0</v>
      </c>
      <c r="F50" s="21">
        <f>SUMIFS(Einzelbeträge!$D:$D,Einzelbeträge!$C:$C,'Ausgaben 2027'!$C50,Einzelbeträge!$E:$E,'Ausgaben 2027'!F$6)</f>
        <v>0</v>
      </c>
      <c r="G50" s="21">
        <f>SUMIFS(Einzelbeträge!$D:$D,Einzelbeträge!$C:$C,'Ausgaben 2027'!$C50,Einzelbeträge!$E:$E,'Ausgaben 2027'!G$6)</f>
        <v>0</v>
      </c>
      <c r="H50" s="21">
        <f>SUMIFS(Einzelbeträge!$D:$D,Einzelbeträge!$C:$C,'Ausgaben 2027'!$C50,Einzelbeträge!$E:$E,'Ausgaben 2027'!H$6)</f>
        <v>0</v>
      </c>
      <c r="I50" s="21">
        <f>SUMIFS(Einzelbeträge!$D:$D,Einzelbeträge!$C:$C,'Ausgaben 2027'!$C50,Einzelbeträge!$E:$E,'Ausgaben 2027'!I$6)</f>
        <v>0</v>
      </c>
      <c r="J50" s="21">
        <f>SUMIFS(Einzelbeträge!$D:$D,Einzelbeträge!$C:$C,'Ausgaben 2027'!$C50,Einzelbeträge!$E:$E,'Ausgaben 2027'!J$6)</f>
        <v>0</v>
      </c>
      <c r="K50" s="21">
        <f>SUMIFS(Einzelbeträge!$D:$D,Einzelbeträge!$C:$C,'Ausgaben 2027'!$C50,Einzelbeträge!$E:$E,'Ausgaben 2027'!K$6)</f>
        <v>0</v>
      </c>
      <c r="L50" s="21">
        <f>SUMIFS(Einzelbeträge!$D:$D,Einzelbeträge!$C:$C,'Ausgaben 2027'!$C50,Einzelbeträge!$E:$E,'Ausgaben 2027'!L$6)</f>
        <v>0</v>
      </c>
      <c r="M50" s="21">
        <f>SUMIFS(Einzelbeträge!$D:$D,Einzelbeträge!$C:$C,'Ausgaben 2027'!$C50,Einzelbeträge!$E:$E,'Ausgaben 2027'!M$6)</f>
        <v>0</v>
      </c>
      <c r="N50" s="35">
        <f>SUMIFS(Einzelbeträge!$D:$D,Einzelbeträge!$C:$C,'Ausgaben 2027'!$C50,Einzelbeträge!$E:$E,'Ausgaben 2027'!N$6)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01.11.2027 - 07.11.2027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46429</v>
      </c>
      <c r="D51" s="46">
        <f>SUMIFS(Einzelbeträge!$D:$D,Einzelbeträge!$C:$C,'Ausgaben 2027'!$C51)</f>
        <v>0</v>
      </c>
      <c r="E51" s="34">
        <f>SUMIFS(Einzelbeträge!$D:$D,Einzelbeträge!$C:$C,'Ausgaben 2027'!$C51,Einzelbeträge!$E:$E,'Ausgaben 2027'!E$6)</f>
        <v>0</v>
      </c>
      <c r="F51" s="21">
        <f>SUMIFS(Einzelbeträge!$D:$D,Einzelbeträge!$C:$C,'Ausgaben 2027'!$C51,Einzelbeträge!$E:$E,'Ausgaben 2027'!F$6)</f>
        <v>0</v>
      </c>
      <c r="G51" s="21">
        <f>SUMIFS(Einzelbeträge!$D:$D,Einzelbeträge!$C:$C,'Ausgaben 2027'!$C51,Einzelbeträge!$E:$E,'Ausgaben 2027'!G$6)</f>
        <v>0</v>
      </c>
      <c r="H51" s="21">
        <f>SUMIFS(Einzelbeträge!$D:$D,Einzelbeträge!$C:$C,'Ausgaben 2027'!$C51,Einzelbeträge!$E:$E,'Ausgaben 2027'!H$6)</f>
        <v>0</v>
      </c>
      <c r="I51" s="21">
        <f>SUMIFS(Einzelbeträge!$D:$D,Einzelbeträge!$C:$C,'Ausgaben 2027'!$C51,Einzelbeträge!$E:$E,'Ausgaben 2027'!I$6)</f>
        <v>0</v>
      </c>
      <c r="J51" s="21">
        <f>SUMIFS(Einzelbeträge!$D:$D,Einzelbeträge!$C:$C,'Ausgaben 2027'!$C51,Einzelbeträge!$E:$E,'Ausgaben 2027'!J$6)</f>
        <v>0</v>
      </c>
      <c r="K51" s="21">
        <f>SUMIFS(Einzelbeträge!$D:$D,Einzelbeträge!$C:$C,'Ausgaben 2027'!$C51,Einzelbeträge!$E:$E,'Ausgaben 2027'!K$6)</f>
        <v>0</v>
      </c>
      <c r="L51" s="21">
        <f>SUMIFS(Einzelbeträge!$D:$D,Einzelbeträge!$C:$C,'Ausgaben 2027'!$C51,Einzelbeträge!$E:$E,'Ausgaben 2027'!L$6)</f>
        <v>0</v>
      </c>
      <c r="M51" s="21">
        <f>SUMIFS(Einzelbeträge!$D:$D,Einzelbeträge!$C:$C,'Ausgaben 2027'!$C51,Einzelbeträge!$E:$E,'Ausgaben 2027'!M$6)</f>
        <v>0</v>
      </c>
      <c r="N51" s="35">
        <f>SUMIFS(Einzelbeträge!$D:$D,Einzelbeträge!$C:$C,'Ausgaben 2027'!$C51,Einzelbeträge!$E:$E,'Ausgaben 2027'!N$6)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08.11.2027 - 14.11.2027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46430</v>
      </c>
      <c r="D52" s="46">
        <f>SUMIFS(Einzelbeträge!$D:$D,Einzelbeträge!$C:$C,'Ausgaben 2027'!$C52)</f>
        <v>0</v>
      </c>
      <c r="E52" s="34">
        <f>SUMIFS(Einzelbeträge!$D:$D,Einzelbeträge!$C:$C,'Ausgaben 2027'!$C52,Einzelbeträge!$E:$E,'Ausgaben 2027'!E$6)</f>
        <v>0</v>
      </c>
      <c r="F52" s="21">
        <f>SUMIFS(Einzelbeträge!$D:$D,Einzelbeträge!$C:$C,'Ausgaben 2027'!$C52,Einzelbeträge!$E:$E,'Ausgaben 2027'!F$6)</f>
        <v>0</v>
      </c>
      <c r="G52" s="21">
        <f>SUMIFS(Einzelbeträge!$D:$D,Einzelbeträge!$C:$C,'Ausgaben 2027'!$C52,Einzelbeträge!$E:$E,'Ausgaben 2027'!G$6)</f>
        <v>0</v>
      </c>
      <c r="H52" s="21">
        <f>SUMIFS(Einzelbeträge!$D:$D,Einzelbeträge!$C:$C,'Ausgaben 2027'!$C52,Einzelbeträge!$E:$E,'Ausgaben 2027'!H$6)</f>
        <v>0</v>
      </c>
      <c r="I52" s="21">
        <f>SUMIFS(Einzelbeträge!$D:$D,Einzelbeträge!$C:$C,'Ausgaben 2027'!$C52,Einzelbeträge!$E:$E,'Ausgaben 2027'!I$6)</f>
        <v>0</v>
      </c>
      <c r="J52" s="21">
        <f>SUMIFS(Einzelbeträge!$D:$D,Einzelbeträge!$C:$C,'Ausgaben 2027'!$C52,Einzelbeträge!$E:$E,'Ausgaben 2027'!J$6)</f>
        <v>0</v>
      </c>
      <c r="K52" s="21">
        <f>SUMIFS(Einzelbeträge!$D:$D,Einzelbeträge!$C:$C,'Ausgaben 2027'!$C52,Einzelbeträge!$E:$E,'Ausgaben 2027'!K$6)</f>
        <v>0</v>
      </c>
      <c r="L52" s="21">
        <f>SUMIFS(Einzelbeträge!$D:$D,Einzelbeträge!$C:$C,'Ausgaben 2027'!$C52,Einzelbeträge!$E:$E,'Ausgaben 2027'!L$6)</f>
        <v>0</v>
      </c>
      <c r="M52" s="21">
        <f>SUMIFS(Einzelbeträge!$D:$D,Einzelbeträge!$C:$C,'Ausgaben 2027'!$C52,Einzelbeträge!$E:$E,'Ausgaben 2027'!M$6)</f>
        <v>0</v>
      </c>
      <c r="N52" s="35">
        <f>SUMIFS(Einzelbeträge!$D:$D,Einzelbeträge!$C:$C,'Ausgaben 2027'!$C52,Einzelbeträge!$E:$E,'Ausgaben 2027'!N$6)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15.11.2027 - 21.11.2027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46431</v>
      </c>
      <c r="D53" s="46">
        <f>SUMIFS(Einzelbeträge!$D:$D,Einzelbeträge!$C:$C,'Ausgaben 2027'!$C53)</f>
        <v>0</v>
      </c>
      <c r="E53" s="34">
        <f>SUMIFS(Einzelbeträge!$D:$D,Einzelbeträge!$C:$C,'Ausgaben 2027'!$C53,Einzelbeträge!$E:$E,'Ausgaben 2027'!E$6)</f>
        <v>0</v>
      </c>
      <c r="F53" s="21">
        <f>SUMIFS(Einzelbeträge!$D:$D,Einzelbeträge!$C:$C,'Ausgaben 2027'!$C53,Einzelbeträge!$E:$E,'Ausgaben 2027'!F$6)</f>
        <v>0</v>
      </c>
      <c r="G53" s="21">
        <f>SUMIFS(Einzelbeträge!$D:$D,Einzelbeträge!$C:$C,'Ausgaben 2027'!$C53,Einzelbeträge!$E:$E,'Ausgaben 2027'!G$6)</f>
        <v>0</v>
      </c>
      <c r="H53" s="21">
        <f>SUMIFS(Einzelbeträge!$D:$D,Einzelbeträge!$C:$C,'Ausgaben 2027'!$C53,Einzelbeträge!$E:$E,'Ausgaben 2027'!H$6)</f>
        <v>0</v>
      </c>
      <c r="I53" s="21">
        <f>SUMIFS(Einzelbeträge!$D:$D,Einzelbeträge!$C:$C,'Ausgaben 2027'!$C53,Einzelbeträge!$E:$E,'Ausgaben 2027'!I$6)</f>
        <v>0</v>
      </c>
      <c r="J53" s="21">
        <f>SUMIFS(Einzelbeträge!$D:$D,Einzelbeträge!$C:$C,'Ausgaben 2027'!$C53,Einzelbeträge!$E:$E,'Ausgaben 2027'!J$6)</f>
        <v>0</v>
      </c>
      <c r="K53" s="21">
        <f>SUMIFS(Einzelbeträge!$D:$D,Einzelbeträge!$C:$C,'Ausgaben 2027'!$C53,Einzelbeträge!$E:$E,'Ausgaben 2027'!K$6)</f>
        <v>0</v>
      </c>
      <c r="L53" s="21">
        <f>SUMIFS(Einzelbeträge!$D:$D,Einzelbeträge!$C:$C,'Ausgaben 2027'!$C53,Einzelbeträge!$E:$E,'Ausgaben 2027'!L$6)</f>
        <v>0</v>
      </c>
      <c r="M53" s="21">
        <f>SUMIFS(Einzelbeträge!$D:$D,Einzelbeträge!$C:$C,'Ausgaben 2027'!$C53,Einzelbeträge!$E:$E,'Ausgaben 2027'!M$6)</f>
        <v>0</v>
      </c>
      <c r="N53" s="35">
        <f>SUMIFS(Einzelbeträge!$D:$D,Einzelbeträge!$C:$C,'Ausgaben 2027'!$C53,Einzelbeträge!$E:$E,'Ausgaben 2027'!N$6)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22.11.2027 - 28.11.2027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46432</v>
      </c>
      <c r="D54" s="46">
        <f>SUMIFS(Einzelbeträge!$D:$D,Einzelbeträge!$C:$C,'Ausgaben 2027'!$C54)</f>
        <v>0</v>
      </c>
      <c r="E54" s="34">
        <f>SUMIFS(Einzelbeträge!$D:$D,Einzelbeträge!$C:$C,'Ausgaben 2027'!$C54,Einzelbeträge!$E:$E,'Ausgaben 2027'!E$6)</f>
        <v>0</v>
      </c>
      <c r="F54" s="21">
        <f>SUMIFS(Einzelbeträge!$D:$D,Einzelbeträge!$C:$C,'Ausgaben 2027'!$C54,Einzelbeträge!$E:$E,'Ausgaben 2027'!F$6)</f>
        <v>0</v>
      </c>
      <c r="G54" s="21">
        <f>SUMIFS(Einzelbeträge!$D:$D,Einzelbeträge!$C:$C,'Ausgaben 2027'!$C54,Einzelbeträge!$E:$E,'Ausgaben 2027'!G$6)</f>
        <v>0</v>
      </c>
      <c r="H54" s="21">
        <f>SUMIFS(Einzelbeträge!$D:$D,Einzelbeträge!$C:$C,'Ausgaben 2027'!$C54,Einzelbeträge!$E:$E,'Ausgaben 2027'!H$6)</f>
        <v>0</v>
      </c>
      <c r="I54" s="21">
        <f>SUMIFS(Einzelbeträge!$D:$D,Einzelbeträge!$C:$C,'Ausgaben 2027'!$C54,Einzelbeträge!$E:$E,'Ausgaben 2027'!I$6)</f>
        <v>0</v>
      </c>
      <c r="J54" s="21">
        <f>SUMIFS(Einzelbeträge!$D:$D,Einzelbeträge!$C:$C,'Ausgaben 2027'!$C54,Einzelbeträge!$E:$E,'Ausgaben 2027'!J$6)</f>
        <v>0</v>
      </c>
      <c r="K54" s="21">
        <f>SUMIFS(Einzelbeträge!$D:$D,Einzelbeträge!$C:$C,'Ausgaben 2027'!$C54,Einzelbeträge!$E:$E,'Ausgaben 2027'!K$6)</f>
        <v>0</v>
      </c>
      <c r="L54" s="21">
        <f>SUMIFS(Einzelbeträge!$D:$D,Einzelbeträge!$C:$C,'Ausgaben 2027'!$C54,Einzelbeträge!$E:$E,'Ausgaben 2027'!L$6)</f>
        <v>0</v>
      </c>
      <c r="M54" s="21">
        <f>SUMIFS(Einzelbeträge!$D:$D,Einzelbeträge!$C:$C,'Ausgaben 2027'!$C54,Einzelbeträge!$E:$E,'Ausgaben 2027'!M$6)</f>
        <v>0</v>
      </c>
      <c r="N54" s="35">
        <f>SUMIFS(Einzelbeträge!$D:$D,Einzelbeträge!$C:$C,'Ausgaben 2027'!$C54,Einzelbeträge!$E:$E,'Ausgaben 2027'!N$6)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29.11.2027 - 05.12.2027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46433</v>
      </c>
      <c r="D55" s="46">
        <f>SUMIFS(Einzelbeträge!$D:$D,Einzelbeträge!$C:$C,'Ausgaben 2027'!$C55)</f>
        <v>0</v>
      </c>
      <c r="E55" s="34">
        <f>SUMIFS(Einzelbeträge!$D:$D,Einzelbeträge!$C:$C,'Ausgaben 2027'!$C55,Einzelbeträge!$E:$E,'Ausgaben 2027'!E$6)</f>
        <v>0</v>
      </c>
      <c r="F55" s="21">
        <f>SUMIFS(Einzelbeträge!$D:$D,Einzelbeträge!$C:$C,'Ausgaben 2027'!$C55,Einzelbeträge!$E:$E,'Ausgaben 2027'!F$6)</f>
        <v>0</v>
      </c>
      <c r="G55" s="21">
        <f>SUMIFS(Einzelbeträge!$D:$D,Einzelbeträge!$C:$C,'Ausgaben 2027'!$C55,Einzelbeträge!$E:$E,'Ausgaben 2027'!G$6)</f>
        <v>0</v>
      </c>
      <c r="H55" s="21">
        <f>SUMIFS(Einzelbeträge!$D:$D,Einzelbeträge!$C:$C,'Ausgaben 2027'!$C55,Einzelbeträge!$E:$E,'Ausgaben 2027'!H$6)</f>
        <v>0</v>
      </c>
      <c r="I55" s="21">
        <f>SUMIFS(Einzelbeträge!$D:$D,Einzelbeträge!$C:$C,'Ausgaben 2027'!$C55,Einzelbeträge!$E:$E,'Ausgaben 2027'!I$6)</f>
        <v>0</v>
      </c>
      <c r="J55" s="21">
        <f>SUMIFS(Einzelbeträge!$D:$D,Einzelbeträge!$C:$C,'Ausgaben 2027'!$C55,Einzelbeträge!$E:$E,'Ausgaben 2027'!J$6)</f>
        <v>0</v>
      </c>
      <c r="K55" s="21">
        <f>SUMIFS(Einzelbeträge!$D:$D,Einzelbeträge!$C:$C,'Ausgaben 2027'!$C55,Einzelbeträge!$E:$E,'Ausgaben 2027'!K$6)</f>
        <v>0</v>
      </c>
      <c r="L55" s="21">
        <f>SUMIFS(Einzelbeträge!$D:$D,Einzelbeträge!$C:$C,'Ausgaben 2027'!$C55,Einzelbeträge!$E:$E,'Ausgaben 2027'!L$6)</f>
        <v>0</v>
      </c>
      <c r="M55" s="21">
        <f>SUMIFS(Einzelbeträge!$D:$D,Einzelbeträge!$C:$C,'Ausgaben 2027'!$C55,Einzelbeträge!$E:$E,'Ausgaben 2027'!M$6)</f>
        <v>0</v>
      </c>
      <c r="N55" s="35">
        <f>SUMIFS(Einzelbeträge!$D:$D,Einzelbeträge!$C:$C,'Ausgaben 2027'!$C55,Einzelbeträge!$E:$E,'Ausgaben 2027'!N$6)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06.12.2027 - 12.12.2027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46434</v>
      </c>
      <c r="D56" s="46">
        <f>SUMIFS(Einzelbeträge!$D:$D,Einzelbeträge!$C:$C,'Ausgaben 2027'!$C56)</f>
        <v>0</v>
      </c>
      <c r="E56" s="34">
        <f>SUMIFS(Einzelbeträge!$D:$D,Einzelbeträge!$C:$C,'Ausgaben 2027'!$C56,Einzelbeträge!$E:$E,'Ausgaben 2027'!E$6)</f>
        <v>0</v>
      </c>
      <c r="F56" s="21">
        <f>SUMIFS(Einzelbeträge!$D:$D,Einzelbeträge!$C:$C,'Ausgaben 2027'!$C56,Einzelbeträge!$E:$E,'Ausgaben 2027'!F$6)</f>
        <v>0</v>
      </c>
      <c r="G56" s="21">
        <f>SUMIFS(Einzelbeträge!$D:$D,Einzelbeträge!$C:$C,'Ausgaben 2027'!$C56,Einzelbeträge!$E:$E,'Ausgaben 2027'!G$6)</f>
        <v>0</v>
      </c>
      <c r="H56" s="21">
        <f>SUMIFS(Einzelbeträge!$D:$D,Einzelbeträge!$C:$C,'Ausgaben 2027'!$C56,Einzelbeträge!$E:$E,'Ausgaben 2027'!H$6)</f>
        <v>0</v>
      </c>
      <c r="I56" s="21">
        <f>SUMIFS(Einzelbeträge!$D:$D,Einzelbeträge!$C:$C,'Ausgaben 2027'!$C56,Einzelbeträge!$E:$E,'Ausgaben 2027'!I$6)</f>
        <v>0</v>
      </c>
      <c r="J56" s="21">
        <f>SUMIFS(Einzelbeträge!$D:$D,Einzelbeträge!$C:$C,'Ausgaben 2027'!$C56,Einzelbeträge!$E:$E,'Ausgaben 2027'!J$6)</f>
        <v>0</v>
      </c>
      <c r="K56" s="21">
        <f>SUMIFS(Einzelbeträge!$D:$D,Einzelbeträge!$C:$C,'Ausgaben 2027'!$C56,Einzelbeträge!$E:$E,'Ausgaben 2027'!K$6)</f>
        <v>0</v>
      </c>
      <c r="L56" s="21">
        <f>SUMIFS(Einzelbeträge!$D:$D,Einzelbeträge!$C:$C,'Ausgaben 2027'!$C56,Einzelbeträge!$E:$E,'Ausgaben 2027'!L$6)</f>
        <v>0</v>
      </c>
      <c r="M56" s="21">
        <f>SUMIFS(Einzelbeträge!$D:$D,Einzelbeträge!$C:$C,'Ausgaben 2027'!$C56,Einzelbeträge!$E:$E,'Ausgaben 2027'!M$6)</f>
        <v>0</v>
      </c>
      <c r="N56" s="35">
        <f>SUMIFS(Einzelbeträge!$D:$D,Einzelbeträge!$C:$C,'Ausgaben 2027'!$C56,Einzelbeträge!$E:$E,'Ausgaben 2027'!N$6)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13.12.2027 - 19.12.2027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46435</v>
      </c>
      <c r="D57" s="46">
        <f>SUMIFS(Einzelbeträge!$D:$D,Einzelbeträge!$C:$C,'Ausgaben 2027'!$C57)</f>
        <v>0</v>
      </c>
      <c r="E57" s="34">
        <f>SUMIFS(Einzelbeträge!$D:$D,Einzelbeträge!$C:$C,'Ausgaben 2027'!$C57,Einzelbeträge!$E:$E,'Ausgaben 2027'!E$6)</f>
        <v>0</v>
      </c>
      <c r="F57" s="21">
        <f>SUMIFS(Einzelbeträge!$D:$D,Einzelbeträge!$C:$C,'Ausgaben 2027'!$C57,Einzelbeträge!$E:$E,'Ausgaben 2027'!F$6)</f>
        <v>0</v>
      </c>
      <c r="G57" s="21">
        <f>SUMIFS(Einzelbeträge!$D:$D,Einzelbeträge!$C:$C,'Ausgaben 2027'!$C57,Einzelbeträge!$E:$E,'Ausgaben 2027'!G$6)</f>
        <v>0</v>
      </c>
      <c r="H57" s="21">
        <f>SUMIFS(Einzelbeträge!$D:$D,Einzelbeträge!$C:$C,'Ausgaben 2027'!$C57,Einzelbeträge!$E:$E,'Ausgaben 2027'!H$6)</f>
        <v>0</v>
      </c>
      <c r="I57" s="21">
        <f>SUMIFS(Einzelbeträge!$D:$D,Einzelbeträge!$C:$C,'Ausgaben 2027'!$C57,Einzelbeträge!$E:$E,'Ausgaben 2027'!I$6)</f>
        <v>0</v>
      </c>
      <c r="J57" s="21">
        <f>SUMIFS(Einzelbeträge!$D:$D,Einzelbeträge!$C:$C,'Ausgaben 2027'!$C57,Einzelbeträge!$E:$E,'Ausgaben 2027'!J$6)</f>
        <v>0</v>
      </c>
      <c r="K57" s="21">
        <f>SUMIFS(Einzelbeträge!$D:$D,Einzelbeträge!$C:$C,'Ausgaben 2027'!$C57,Einzelbeträge!$E:$E,'Ausgaben 2027'!K$6)</f>
        <v>0</v>
      </c>
      <c r="L57" s="21">
        <f>SUMIFS(Einzelbeträge!$D:$D,Einzelbeträge!$C:$C,'Ausgaben 2027'!$C57,Einzelbeträge!$E:$E,'Ausgaben 2027'!L$6)</f>
        <v>0</v>
      </c>
      <c r="M57" s="21">
        <f>SUMIFS(Einzelbeträge!$D:$D,Einzelbeträge!$C:$C,'Ausgaben 2027'!$C57,Einzelbeträge!$E:$E,'Ausgaben 2027'!M$6)</f>
        <v>0</v>
      </c>
      <c r="N57" s="35">
        <f>SUMIFS(Einzelbeträge!$D:$D,Einzelbeträge!$C:$C,'Ausgaben 2027'!$C57,Einzelbeträge!$E:$E,'Ausgaben 2027'!N$6)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20.12.2027 - 26.12.2027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46436</v>
      </c>
      <c r="D58" s="46">
        <f>SUMIFS(Einzelbeträge!$D:$D,Einzelbeträge!$C:$C,'Ausgaben 2027'!$C58)</f>
        <v>0</v>
      </c>
      <c r="E58" s="34">
        <f>SUMIFS(Einzelbeträge!$D:$D,Einzelbeträge!$C:$C,'Ausgaben 2027'!$C58,Einzelbeträge!$E:$E,'Ausgaben 2027'!E$6)</f>
        <v>0</v>
      </c>
      <c r="F58" s="21">
        <f>SUMIFS(Einzelbeträge!$D:$D,Einzelbeträge!$C:$C,'Ausgaben 2027'!$C58,Einzelbeträge!$E:$E,'Ausgaben 2027'!F$6)</f>
        <v>0</v>
      </c>
      <c r="G58" s="21">
        <f>SUMIFS(Einzelbeträge!$D:$D,Einzelbeträge!$C:$C,'Ausgaben 2027'!$C58,Einzelbeträge!$E:$E,'Ausgaben 2027'!G$6)</f>
        <v>0</v>
      </c>
      <c r="H58" s="21">
        <f>SUMIFS(Einzelbeträge!$D:$D,Einzelbeträge!$C:$C,'Ausgaben 2027'!$C58,Einzelbeträge!$E:$E,'Ausgaben 2027'!H$6)</f>
        <v>0</v>
      </c>
      <c r="I58" s="21">
        <f>SUMIFS(Einzelbeträge!$D:$D,Einzelbeträge!$C:$C,'Ausgaben 2027'!$C58,Einzelbeträge!$E:$E,'Ausgaben 2027'!I$6)</f>
        <v>0</v>
      </c>
      <c r="J58" s="21">
        <f>SUMIFS(Einzelbeträge!$D:$D,Einzelbeträge!$C:$C,'Ausgaben 2027'!$C58,Einzelbeträge!$E:$E,'Ausgaben 2027'!J$6)</f>
        <v>0</v>
      </c>
      <c r="K58" s="21">
        <f>SUMIFS(Einzelbeträge!$D:$D,Einzelbeträge!$C:$C,'Ausgaben 2027'!$C58,Einzelbeträge!$E:$E,'Ausgaben 2027'!K$6)</f>
        <v>0</v>
      </c>
      <c r="L58" s="21">
        <f>SUMIFS(Einzelbeträge!$D:$D,Einzelbeträge!$C:$C,'Ausgaben 2027'!$C58,Einzelbeträge!$E:$E,'Ausgaben 2027'!L$6)</f>
        <v>0</v>
      </c>
      <c r="M58" s="21">
        <f>SUMIFS(Einzelbeträge!$D:$D,Einzelbeträge!$C:$C,'Ausgaben 2027'!$C58,Einzelbeträge!$E:$E,'Ausgaben 2027'!M$6)</f>
        <v>0</v>
      </c>
      <c r="N58" s="35">
        <f>SUMIFS(Einzelbeträge!$D:$D,Einzelbeträge!$C:$C,'Ausgaben 2027'!$C58,Einzelbeträge!$E:$E,'Ausgaben 2027'!N$6)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27.12.2027 - 02.01.2028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46437</v>
      </c>
      <c r="D59" s="46">
        <f>SUMIFS(Einzelbeträge!$D:$D,Einzelbeträge!$C:$C,'Ausgaben 2027'!$C59)</f>
        <v>0</v>
      </c>
      <c r="E59" s="34">
        <f>SUMIFS(Einzelbeträge!$D:$D,Einzelbeträge!$C:$C,'Ausgaben 2027'!$C59,Einzelbeträge!$E:$E,'Ausgaben 2027'!E$6)</f>
        <v>0</v>
      </c>
      <c r="F59" s="21">
        <f>SUMIFS(Einzelbeträge!$D:$D,Einzelbeträge!$C:$C,'Ausgaben 2027'!$C59,Einzelbeträge!$E:$E,'Ausgaben 2027'!F$6)</f>
        <v>0</v>
      </c>
      <c r="G59" s="21">
        <f>SUMIFS(Einzelbeträge!$D:$D,Einzelbeträge!$C:$C,'Ausgaben 2027'!$C59,Einzelbeträge!$E:$E,'Ausgaben 2027'!G$6)</f>
        <v>0</v>
      </c>
      <c r="H59" s="21">
        <f>SUMIFS(Einzelbeträge!$D:$D,Einzelbeträge!$C:$C,'Ausgaben 2027'!$C59,Einzelbeträge!$E:$E,'Ausgaben 2027'!H$6)</f>
        <v>0</v>
      </c>
      <c r="I59" s="21">
        <f>SUMIFS(Einzelbeträge!$D:$D,Einzelbeträge!$C:$C,'Ausgaben 2027'!$C59,Einzelbeträge!$E:$E,'Ausgaben 2027'!I$6)</f>
        <v>0</v>
      </c>
      <c r="J59" s="21">
        <f>SUMIFS(Einzelbeträge!$D:$D,Einzelbeträge!$C:$C,'Ausgaben 2027'!$C59,Einzelbeträge!$E:$E,'Ausgaben 2027'!J$6)</f>
        <v>0</v>
      </c>
      <c r="K59" s="21">
        <f>SUMIFS(Einzelbeträge!$D:$D,Einzelbeträge!$C:$C,'Ausgaben 2027'!$C59,Einzelbeträge!$E:$E,'Ausgaben 2027'!K$6)</f>
        <v>0</v>
      </c>
      <c r="L59" s="21">
        <f>SUMIFS(Einzelbeträge!$D:$D,Einzelbeträge!$C:$C,'Ausgaben 2027'!$C59,Einzelbeträge!$E:$E,'Ausgaben 2027'!L$6)</f>
        <v>0</v>
      </c>
      <c r="M59" s="21">
        <f>SUMIFS(Einzelbeträge!$D:$D,Einzelbeträge!$C:$C,'Ausgaben 2027'!$C59,Einzelbeträge!$E:$E,'Ausgaben 2027'!M$6)</f>
        <v>0</v>
      </c>
      <c r="N59" s="35">
        <f>SUMIFS(Einzelbeträge!$D:$D,Einzelbeträge!$C:$C,'Ausgaben 2027'!$C59,Einzelbeträge!$E:$E,'Ausgaben 2027'!N$6)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46438</v>
      </c>
      <c r="D60" s="46">
        <f>SUMIFS(Einzelbeträge!$D:$D,Einzelbeträge!$C:$C,'Ausgaben 2027'!$C60)</f>
        <v>0</v>
      </c>
      <c r="E60" s="34">
        <f>SUMIFS(Einzelbeträge!$D:$D,Einzelbeträge!$C:$C,'Ausgaben 2027'!$C60,Einzelbeträge!$E:$E,'Ausgaben 2027'!E$6)</f>
        <v>0</v>
      </c>
      <c r="F60" s="21">
        <f>SUMIFS(Einzelbeträge!$D:$D,Einzelbeträge!$C:$C,'Ausgaben 2027'!$C60,Einzelbeträge!$E:$E,'Ausgaben 2027'!F$6)</f>
        <v>0</v>
      </c>
      <c r="G60" s="21">
        <f>SUMIFS(Einzelbeträge!$D:$D,Einzelbeträge!$C:$C,'Ausgaben 2027'!$C60,Einzelbeträge!$E:$E,'Ausgaben 2027'!G$6)</f>
        <v>0</v>
      </c>
      <c r="H60" s="21">
        <f>SUMIFS(Einzelbeträge!$D:$D,Einzelbeträge!$C:$C,'Ausgaben 2027'!$C60,Einzelbeträge!$E:$E,'Ausgaben 2027'!H$6)</f>
        <v>0</v>
      </c>
      <c r="I60" s="21">
        <f>SUMIFS(Einzelbeträge!$D:$D,Einzelbeträge!$C:$C,'Ausgaben 2027'!$C60,Einzelbeträge!$E:$E,'Ausgaben 2027'!I$6)</f>
        <v>0</v>
      </c>
      <c r="J60" s="21">
        <f>SUMIFS(Einzelbeträge!$D:$D,Einzelbeträge!$C:$C,'Ausgaben 2027'!$C60,Einzelbeträge!$E:$E,'Ausgaben 2027'!J$6)</f>
        <v>0</v>
      </c>
      <c r="K60" s="21">
        <f>SUMIFS(Einzelbeträge!$D:$D,Einzelbeträge!$C:$C,'Ausgaben 2027'!$C60,Einzelbeträge!$E:$E,'Ausgaben 2027'!K$6)</f>
        <v>0</v>
      </c>
      <c r="L60" s="21">
        <f>SUMIFS(Einzelbeträge!$D:$D,Einzelbeträge!$C:$C,'Ausgaben 2027'!$C60,Einzelbeträge!$E:$E,'Ausgaben 2027'!L$6)</f>
        <v>0</v>
      </c>
      <c r="M60" s="21">
        <f>SUMIFS(Einzelbeträge!$D:$D,Einzelbeträge!$C:$C,'Ausgaben 2027'!$C60,Einzelbeträge!$E:$E,'Ausgaben 2027'!M$6)</f>
        <v>0</v>
      </c>
      <c r="N60" s="35">
        <f>SUMIFS(Einzelbeträge!$D:$D,Einzelbeträge!$C:$C,'Ausgaben 2027'!$C60,Einzelbeträge!$E:$E,'Ausgaben 2027'!N$6)</f>
        <v>0</v>
      </c>
      <c r="O60" s="6"/>
    </row>
    <row r="61" spans="2:30" x14ac:dyDescent="0.35">
      <c r="B61" s="5"/>
      <c r="C61" s="40">
        <f t="shared" si="15"/>
        <v>46439</v>
      </c>
      <c r="D61" s="46">
        <f>SUMIFS(Einzelbeträge!$D:$D,Einzelbeträge!$C:$C,'Ausgaben 2027'!$C61)</f>
        <v>0</v>
      </c>
      <c r="E61" s="34">
        <f>SUMIFS(Einzelbeträge!$D:$D,Einzelbeträge!$C:$C,'Ausgaben 2027'!$C61,Einzelbeträge!$E:$E,'Ausgaben 2027'!E$6)</f>
        <v>0</v>
      </c>
      <c r="F61" s="21">
        <f>SUMIFS(Einzelbeträge!$D:$D,Einzelbeträge!$C:$C,'Ausgaben 2027'!$C61,Einzelbeträge!$E:$E,'Ausgaben 2027'!F$6)</f>
        <v>0</v>
      </c>
      <c r="G61" s="21">
        <f>SUMIFS(Einzelbeträge!$D:$D,Einzelbeträge!$C:$C,'Ausgaben 2027'!$C61,Einzelbeträge!$E:$E,'Ausgaben 2027'!G$6)</f>
        <v>0</v>
      </c>
      <c r="H61" s="21">
        <f>SUMIFS(Einzelbeträge!$D:$D,Einzelbeträge!$C:$C,'Ausgaben 2027'!$C61,Einzelbeträge!$E:$E,'Ausgaben 2027'!H$6)</f>
        <v>0</v>
      </c>
      <c r="I61" s="21">
        <f>SUMIFS(Einzelbeträge!$D:$D,Einzelbeträge!$C:$C,'Ausgaben 2027'!$C61,Einzelbeträge!$E:$E,'Ausgaben 2027'!I$6)</f>
        <v>0</v>
      </c>
      <c r="J61" s="21">
        <f>SUMIFS(Einzelbeträge!$D:$D,Einzelbeträge!$C:$C,'Ausgaben 2027'!$C61,Einzelbeträge!$E:$E,'Ausgaben 2027'!J$6)</f>
        <v>0</v>
      </c>
      <c r="K61" s="21">
        <f>SUMIFS(Einzelbeträge!$D:$D,Einzelbeträge!$C:$C,'Ausgaben 2027'!$C61,Einzelbeträge!$E:$E,'Ausgaben 2027'!K$6)</f>
        <v>0</v>
      </c>
      <c r="L61" s="21">
        <f>SUMIFS(Einzelbeträge!$D:$D,Einzelbeträge!$C:$C,'Ausgaben 2027'!$C61,Einzelbeträge!$E:$E,'Ausgaben 2027'!L$6)</f>
        <v>0</v>
      </c>
      <c r="M61" s="21">
        <f>SUMIFS(Einzelbeträge!$D:$D,Einzelbeträge!$C:$C,'Ausgaben 2027'!$C61,Einzelbeträge!$E:$E,'Ausgaben 2027'!M$6)</f>
        <v>0</v>
      </c>
      <c r="N61" s="35">
        <f>SUMIFS(Einzelbeträge!$D:$D,Einzelbeträge!$C:$C,'Ausgaben 2027'!$C61,Einzelbeträge!$E:$E,'Ausgaben 2027'!N$6)</f>
        <v>0</v>
      </c>
      <c r="O61" s="6"/>
    </row>
    <row r="62" spans="2:30" x14ac:dyDescent="0.35">
      <c r="B62" s="5"/>
      <c r="C62" s="40">
        <f t="shared" si="15"/>
        <v>46440</v>
      </c>
      <c r="D62" s="46">
        <f>SUMIFS(Einzelbeträge!$D:$D,Einzelbeträge!$C:$C,'Ausgaben 2027'!$C62)</f>
        <v>0</v>
      </c>
      <c r="E62" s="34">
        <f>SUMIFS(Einzelbeträge!$D:$D,Einzelbeträge!$C:$C,'Ausgaben 2027'!$C62,Einzelbeträge!$E:$E,'Ausgaben 2027'!E$6)</f>
        <v>0</v>
      </c>
      <c r="F62" s="21">
        <f>SUMIFS(Einzelbeträge!$D:$D,Einzelbeträge!$C:$C,'Ausgaben 2027'!$C62,Einzelbeträge!$E:$E,'Ausgaben 2027'!F$6)</f>
        <v>0</v>
      </c>
      <c r="G62" s="21">
        <f>SUMIFS(Einzelbeträge!$D:$D,Einzelbeträge!$C:$C,'Ausgaben 2027'!$C62,Einzelbeträge!$E:$E,'Ausgaben 2027'!G$6)</f>
        <v>0</v>
      </c>
      <c r="H62" s="21">
        <f>SUMIFS(Einzelbeträge!$D:$D,Einzelbeträge!$C:$C,'Ausgaben 2027'!$C62,Einzelbeträge!$E:$E,'Ausgaben 2027'!H$6)</f>
        <v>0</v>
      </c>
      <c r="I62" s="21">
        <f>SUMIFS(Einzelbeträge!$D:$D,Einzelbeträge!$C:$C,'Ausgaben 2027'!$C62,Einzelbeträge!$E:$E,'Ausgaben 2027'!I$6)</f>
        <v>0</v>
      </c>
      <c r="J62" s="21">
        <f>SUMIFS(Einzelbeträge!$D:$D,Einzelbeträge!$C:$C,'Ausgaben 2027'!$C62,Einzelbeträge!$E:$E,'Ausgaben 2027'!J$6)</f>
        <v>0</v>
      </c>
      <c r="K62" s="21">
        <f>SUMIFS(Einzelbeträge!$D:$D,Einzelbeträge!$C:$C,'Ausgaben 2027'!$C62,Einzelbeträge!$E:$E,'Ausgaben 2027'!K$6)</f>
        <v>0</v>
      </c>
      <c r="L62" s="21">
        <f>SUMIFS(Einzelbeträge!$D:$D,Einzelbeträge!$C:$C,'Ausgaben 2027'!$C62,Einzelbeträge!$E:$E,'Ausgaben 2027'!L$6)</f>
        <v>0</v>
      </c>
      <c r="M62" s="21">
        <f>SUMIFS(Einzelbeträge!$D:$D,Einzelbeträge!$C:$C,'Ausgaben 2027'!$C62,Einzelbeträge!$E:$E,'Ausgaben 2027'!M$6)</f>
        <v>0</v>
      </c>
      <c r="N62" s="35">
        <f>SUMIFS(Einzelbeträge!$D:$D,Einzelbeträge!$C:$C,'Ausgaben 2027'!$C62,Einzelbeträge!$E:$E,'Ausgaben 2027'!N$6)</f>
        <v>0</v>
      </c>
      <c r="O62" s="6"/>
    </row>
    <row r="63" spans="2:30" x14ac:dyDescent="0.35">
      <c r="B63" s="5"/>
      <c r="C63" s="40">
        <f t="shared" si="15"/>
        <v>46441</v>
      </c>
      <c r="D63" s="46">
        <f>SUMIFS(Einzelbeträge!$D:$D,Einzelbeträge!$C:$C,'Ausgaben 2027'!$C63)</f>
        <v>0</v>
      </c>
      <c r="E63" s="34">
        <f>SUMIFS(Einzelbeträge!$D:$D,Einzelbeträge!$C:$C,'Ausgaben 2027'!$C63,Einzelbeträge!$E:$E,'Ausgaben 2027'!E$6)</f>
        <v>0</v>
      </c>
      <c r="F63" s="21">
        <f>SUMIFS(Einzelbeträge!$D:$D,Einzelbeträge!$C:$C,'Ausgaben 2027'!$C63,Einzelbeträge!$E:$E,'Ausgaben 2027'!F$6)</f>
        <v>0</v>
      </c>
      <c r="G63" s="21">
        <f>SUMIFS(Einzelbeträge!$D:$D,Einzelbeträge!$C:$C,'Ausgaben 2027'!$C63,Einzelbeträge!$E:$E,'Ausgaben 2027'!G$6)</f>
        <v>0</v>
      </c>
      <c r="H63" s="21">
        <f>SUMIFS(Einzelbeträge!$D:$D,Einzelbeträge!$C:$C,'Ausgaben 2027'!$C63,Einzelbeträge!$E:$E,'Ausgaben 2027'!H$6)</f>
        <v>0</v>
      </c>
      <c r="I63" s="21">
        <f>SUMIFS(Einzelbeträge!$D:$D,Einzelbeträge!$C:$C,'Ausgaben 2027'!$C63,Einzelbeträge!$E:$E,'Ausgaben 2027'!I$6)</f>
        <v>0</v>
      </c>
      <c r="J63" s="21">
        <f>SUMIFS(Einzelbeträge!$D:$D,Einzelbeträge!$C:$C,'Ausgaben 2027'!$C63,Einzelbeträge!$E:$E,'Ausgaben 2027'!J$6)</f>
        <v>0</v>
      </c>
      <c r="K63" s="21">
        <f>SUMIFS(Einzelbeträge!$D:$D,Einzelbeträge!$C:$C,'Ausgaben 2027'!$C63,Einzelbeträge!$E:$E,'Ausgaben 2027'!K$6)</f>
        <v>0</v>
      </c>
      <c r="L63" s="21">
        <f>SUMIFS(Einzelbeträge!$D:$D,Einzelbeträge!$C:$C,'Ausgaben 2027'!$C63,Einzelbeträge!$E:$E,'Ausgaben 2027'!L$6)</f>
        <v>0</v>
      </c>
      <c r="M63" s="21">
        <f>SUMIFS(Einzelbeträge!$D:$D,Einzelbeträge!$C:$C,'Ausgaben 2027'!$C63,Einzelbeträge!$E:$E,'Ausgaben 2027'!M$6)</f>
        <v>0</v>
      </c>
      <c r="N63" s="35">
        <f>SUMIFS(Einzelbeträge!$D:$D,Einzelbeträge!$C:$C,'Ausgaben 2027'!$C63,Einzelbeträge!$E:$E,'Ausgaben 2027'!N$6)</f>
        <v>0</v>
      </c>
      <c r="O63" s="6"/>
    </row>
    <row r="64" spans="2:30" x14ac:dyDescent="0.35">
      <c r="B64" s="5"/>
      <c r="C64" s="40">
        <f t="shared" si="15"/>
        <v>46442</v>
      </c>
      <c r="D64" s="46">
        <f>SUMIFS(Einzelbeträge!$D:$D,Einzelbeträge!$C:$C,'Ausgaben 2027'!$C64)</f>
        <v>0</v>
      </c>
      <c r="E64" s="34">
        <f>SUMIFS(Einzelbeträge!$D:$D,Einzelbeträge!$C:$C,'Ausgaben 2027'!$C64,Einzelbeträge!$E:$E,'Ausgaben 2027'!E$6)</f>
        <v>0</v>
      </c>
      <c r="F64" s="21">
        <f>SUMIFS(Einzelbeträge!$D:$D,Einzelbeträge!$C:$C,'Ausgaben 2027'!$C64,Einzelbeträge!$E:$E,'Ausgaben 2027'!F$6)</f>
        <v>0</v>
      </c>
      <c r="G64" s="21">
        <f>SUMIFS(Einzelbeträge!$D:$D,Einzelbeträge!$C:$C,'Ausgaben 2027'!$C64,Einzelbeträge!$E:$E,'Ausgaben 2027'!G$6)</f>
        <v>0</v>
      </c>
      <c r="H64" s="21">
        <f>SUMIFS(Einzelbeträge!$D:$D,Einzelbeträge!$C:$C,'Ausgaben 2027'!$C64,Einzelbeträge!$E:$E,'Ausgaben 2027'!H$6)</f>
        <v>0</v>
      </c>
      <c r="I64" s="21">
        <f>SUMIFS(Einzelbeträge!$D:$D,Einzelbeträge!$C:$C,'Ausgaben 2027'!$C64,Einzelbeträge!$E:$E,'Ausgaben 2027'!I$6)</f>
        <v>0</v>
      </c>
      <c r="J64" s="21">
        <f>SUMIFS(Einzelbeträge!$D:$D,Einzelbeträge!$C:$C,'Ausgaben 2027'!$C64,Einzelbeträge!$E:$E,'Ausgaben 2027'!J$6)</f>
        <v>0</v>
      </c>
      <c r="K64" s="21">
        <f>SUMIFS(Einzelbeträge!$D:$D,Einzelbeträge!$C:$C,'Ausgaben 2027'!$C64,Einzelbeträge!$E:$E,'Ausgaben 2027'!K$6)</f>
        <v>0</v>
      </c>
      <c r="L64" s="21">
        <f>SUMIFS(Einzelbeträge!$D:$D,Einzelbeträge!$C:$C,'Ausgaben 2027'!$C64,Einzelbeträge!$E:$E,'Ausgaben 2027'!L$6)</f>
        <v>0</v>
      </c>
      <c r="M64" s="21">
        <f>SUMIFS(Einzelbeträge!$D:$D,Einzelbeträge!$C:$C,'Ausgaben 2027'!$C64,Einzelbeträge!$E:$E,'Ausgaben 2027'!M$6)</f>
        <v>0</v>
      </c>
      <c r="N64" s="35">
        <f>SUMIFS(Einzelbeträge!$D:$D,Einzelbeträge!$C:$C,'Ausgaben 2027'!$C64,Einzelbeträge!$E:$E,'Ausgaben 2027'!N$6)</f>
        <v>0</v>
      </c>
      <c r="O64" s="6"/>
    </row>
    <row r="65" spans="2:15" x14ac:dyDescent="0.35">
      <c r="B65" s="5"/>
      <c r="C65" s="40">
        <f t="shared" si="15"/>
        <v>46443</v>
      </c>
      <c r="D65" s="46">
        <f>SUMIFS(Einzelbeträge!$D:$D,Einzelbeträge!$C:$C,'Ausgaben 2027'!$C65)</f>
        <v>0</v>
      </c>
      <c r="E65" s="34">
        <f>SUMIFS(Einzelbeträge!$D:$D,Einzelbeträge!$C:$C,'Ausgaben 2027'!$C65,Einzelbeträge!$E:$E,'Ausgaben 2027'!E$6)</f>
        <v>0</v>
      </c>
      <c r="F65" s="21">
        <f>SUMIFS(Einzelbeträge!$D:$D,Einzelbeträge!$C:$C,'Ausgaben 2027'!$C65,Einzelbeträge!$E:$E,'Ausgaben 2027'!F$6)</f>
        <v>0</v>
      </c>
      <c r="G65" s="21">
        <f>SUMIFS(Einzelbeträge!$D:$D,Einzelbeträge!$C:$C,'Ausgaben 2027'!$C65,Einzelbeträge!$E:$E,'Ausgaben 2027'!G$6)</f>
        <v>0</v>
      </c>
      <c r="H65" s="21">
        <f>SUMIFS(Einzelbeträge!$D:$D,Einzelbeträge!$C:$C,'Ausgaben 2027'!$C65,Einzelbeträge!$E:$E,'Ausgaben 2027'!H$6)</f>
        <v>0</v>
      </c>
      <c r="I65" s="21">
        <f>SUMIFS(Einzelbeträge!$D:$D,Einzelbeträge!$C:$C,'Ausgaben 2027'!$C65,Einzelbeträge!$E:$E,'Ausgaben 2027'!I$6)</f>
        <v>0</v>
      </c>
      <c r="J65" s="21">
        <f>SUMIFS(Einzelbeträge!$D:$D,Einzelbeträge!$C:$C,'Ausgaben 2027'!$C65,Einzelbeträge!$E:$E,'Ausgaben 2027'!J$6)</f>
        <v>0</v>
      </c>
      <c r="K65" s="21">
        <f>SUMIFS(Einzelbeträge!$D:$D,Einzelbeträge!$C:$C,'Ausgaben 2027'!$C65,Einzelbeträge!$E:$E,'Ausgaben 2027'!K$6)</f>
        <v>0</v>
      </c>
      <c r="L65" s="21">
        <f>SUMIFS(Einzelbeträge!$D:$D,Einzelbeträge!$C:$C,'Ausgaben 2027'!$C65,Einzelbeträge!$E:$E,'Ausgaben 2027'!L$6)</f>
        <v>0</v>
      </c>
      <c r="M65" s="21">
        <f>SUMIFS(Einzelbeträge!$D:$D,Einzelbeträge!$C:$C,'Ausgaben 2027'!$C65,Einzelbeträge!$E:$E,'Ausgaben 2027'!M$6)</f>
        <v>0</v>
      </c>
      <c r="N65" s="35">
        <f>SUMIFS(Einzelbeträge!$D:$D,Einzelbeträge!$C:$C,'Ausgaben 2027'!$C65,Einzelbeträge!$E:$E,'Ausgaben 2027'!N$6)</f>
        <v>0</v>
      </c>
      <c r="O65" s="6"/>
    </row>
    <row r="66" spans="2:15" x14ac:dyDescent="0.35">
      <c r="B66" s="5"/>
      <c r="C66" s="40">
        <f t="shared" si="15"/>
        <v>46444</v>
      </c>
      <c r="D66" s="46">
        <f>SUMIFS(Einzelbeträge!$D:$D,Einzelbeträge!$C:$C,'Ausgaben 2027'!$C66)</f>
        <v>0</v>
      </c>
      <c r="E66" s="34">
        <f>SUMIFS(Einzelbeträge!$D:$D,Einzelbeträge!$C:$C,'Ausgaben 2027'!$C66,Einzelbeträge!$E:$E,'Ausgaben 2027'!E$6)</f>
        <v>0</v>
      </c>
      <c r="F66" s="21">
        <f>SUMIFS(Einzelbeträge!$D:$D,Einzelbeträge!$C:$C,'Ausgaben 2027'!$C66,Einzelbeträge!$E:$E,'Ausgaben 2027'!F$6)</f>
        <v>0</v>
      </c>
      <c r="G66" s="21">
        <f>SUMIFS(Einzelbeträge!$D:$D,Einzelbeträge!$C:$C,'Ausgaben 2027'!$C66,Einzelbeträge!$E:$E,'Ausgaben 2027'!G$6)</f>
        <v>0</v>
      </c>
      <c r="H66" s="21">
        <f>SUMIFS(Einzelbeträge!$D:$D,Einzelbeträge!$C:$C,'Ausgaben 2027'!$C66,Einzelbeträge!$E:$E,'Ausgaben 2027'!H$6)</f>
        <v>0</v>
      </c>
      <c r="I66" s="21">
        <f>SUMIFS(Einzelbeträge!$D:$D,Einzelbeträge!$C:$C,'Ausgaben 2027'!$C66,Einzelbeträge!$E:$E,'Ausgaben 2027'!I$6)</f>
        <v>0</v>
      </c>
      <c r="J66" s="21">
        <f>SUMIFS(Einzelbeträge!$D:$D,Einzelbeträge!$C:$C,'Ausgaben 2027'!$C66,Einzelbeträge!$E:$E,'Ausgaben 2027'!J$6)</f>
        <v>0</v>
      </c>
      <c r="K66" s="21">
        <f>SUMIFS(Einzelbeträge!$D:$D,Einzelbeträge!$C:$C,'Ausgaben 2027'!$C66,Einzelbeträge!$E:$E,'Ausgaben 2027'!K$6)</f>
        <v>0</v>
      </c>
      <c r="L66" s="21">
        <f>SUMIFS(Einzelbeträge!$D:$D,Einzelbeträge!$C:$C,'Ausgaben 2027'!$C66,Einzelbeträge!$E:$E,'Ausgaben 2027'!L$6)</f>
        <v>0</v>
      </c>
      <c r="M66" s="21">
        <f>SUMIFS(Einzelbeträge!$D:$D,Einzelbeträge!$C:$C,'Ausgaben 2027'!$C66,Einzelbeträge!$E:$E,'Ausgaben 2027'!M$6)</f>
        <v>0</v>
      </c>
      <c r="N66" s="35">
        <f>SUMIFS(Einzelbeträge!$D:$D,Einzelbeträge!$C:$C,'Ausgaben 2027'!$C66,Einzelbeträge!$E:$E,'Ausgaben 2027'!N$6)</f>
        <v>0</v>
      </c>
      <c r="O66" s="6"/>
    </row>
    <row r="67" spans="2:15" x14ac:dyDescent="0.35">
      <c r="B67" s="5"/>
      <c r="C67" s="40">
        <f t="shared" si="15"/>
        <v>46445</v>
      </c>
      <c r="D67" s="46">
        <f>SUMIFS(Einzelbeträge!$D:$D,Einzelbeträge!$C:$C,'Ausgaben 2027'!$C67)</f>
        <v>0</v>
      </c>
      <c r="E67" s="34">
        <f>SUMIFS(Einzelbeträge!$D:$D,Einzelbeträge!$C:$C,'Ausgaben 2027'!$C67,Einzelbeträge!$E:$E,'Ausgaben 2027'!E$6)</f>
        <v>0</v>
      </c>
      <c r="F67" s="21">
        <f>SUMIFS(Einzelbeträge!$D:$D,Einzelbeträge!$C:$C,'Ausgaben 2027'!$C67,Einzelbeträge!$E:$E,'Ausgaben 2027'!F$6)</f>
        <v>0</v>
      </c>
      <c r="G67" s="21">
        <f>SUMIFS(Einzelbeträge!$D:$D,Einzelbeträge!$C:$C,'Ausgaben 2027'!$C67,Einzelbeträge!$E:$E,'Ausgaben 2027'!G$6)</f>
        <v>0</v>
      </c>
      <c r="H67" s="21">
        <f>SUMIFS(Einzelbeträge!$D:$D,Einzelbeträge!$C:$C,'Ausgaben 2027'!$C67,Einzelbeträge!$E:$E,'Ausgaben 2027'!H$6)</f>
        <v>0</v>
      </c>
      <c r="I67" s="21">
        <f>SUMIFS(Einzelbeträge!$D:$D,Einzelbeträge!$C:$C,'Ausgaben 2027'!$C67,Einzelbeträge!$E:$E,'Ausgaben 2027'!I$6)</f>
        <v>0</v>
      </c>
      <c r="J67" s="21">
        <f>SUMIFS(Einzelbeträge!$D:$D,Einzelbeträge!$C:$C,'Ausgaben 2027'!$C67,Einzelbeträge!$E:$E,'Ausgaben 2027'!J$6)</f>
        <v>0</v>
      </c>
      <c r="K67" s="21">
        <f>SUMIFS(Einzelbeträge!$D:$D,Einzelbeträge!$C:$C,'Ausgaben 2027'!$C67,Einzelbeträge!$E:$E,'Ausgaben 2027'!K$6)</f>
        <v>0</v>
      </c>
      <c r="L67" s="21">
        <f>SUMIFS(Einzelbeträge!$D:$D,Einzelbeträge!$C:$C,'Ausgaben 2027'!$C67,Einzelbeträge!$E:$E,'Ausgaben 2027'!L$6)</f>
        <v>0</v>
      </c>
      <c r="M67" s="21">
        <f>SUMIFS(Einzelbeträge!$D:$D,Einzelbeträge!$C:$C,'Ausgaben 2027'!$C67,Einzelbeträge!$E:$E,'Ausgaben 2027'!M$6)</f>
        <v>0</v>
      </c>
      <c r="N67" s="35">
        <f>SUMIFS(Einzelbeträge!$D:$D,Einzelbeträge!$C:$C,'Ausgaben 2027'!$C67,Einzelbeträge!$E:$E,'Ausgaben 2027'!N$6)</f>
        <v>0</v>
      </c>
      <c r="O67" s="6"/>
    </row>
    <row r="68" spans="2:15" x14ac:dyDescent="0.35">
      <c r="B68" s="5"/>
      <c r="C68" s="40">
        <f t="shared" si="15"/>
        <v>46446</v>
      </c>
      <c r="D68" s="46">
        <f>SUMIFS(Einzelbeträge!$D:$D,Einzelbeträge!$C:$C,'Ausgaben 2027'!$C68)</f>
        <v>0</v>
      </c>
      <c r="E68" s="34">
        <f>SUMIFS(Einzelbeträge!$D:$D,Einzelbeträge!$C:$C,'Ausgaben 2027'!$C68,Einzelbeträge!$E:$E,'Ausgaben 2027'!E$6)</f>
        <v>0</v>
      </c>
      <c r="F68" s="21">
        <f>SUMIFS(Einzelbeträge!$D:$D,Einzelbeträge!$C:$C,'Ausgaben 2027'!$C68,Einzelbeträge!$E:$E,'Ausgaben 2027'!F$6)</f>
        <v>0</v>
      </c>
      <c r="G68" s="21">
        <f>SUMIFS(Einzelbeträge!$D:$D,Einzelbeträge!$C:$C,'Ausgaben 2027'!$C68,Einzelbeträge!$E:$E,'Ausgaben 2027'!G$6)</f>
        <v>0</v>
      </c>
      <c r="H68" s="21">
        <f>SUMIFS(Einzelbeträge!$D:$D,Einzelbeträge!$C:$C,'Ausgaben 2027'!$C68,Einzelbeträge!$E:$E,'Ausgaben 2027'!H$6)</f>
        <v>0</v>
      </c>
      <c r="I68" s="21">
        <f>SUMIFS(Einzelbeträge!$D:$D,Einzelbeträge!$C:$C,'Ausgaben 2027'!$C68,Einzelbeträge!$E:$E,'Ausgaben 2027'!I$6)</f>
        <v>0</v>
      </c>
      <c r="J68" s="21">
        <f>SUMIFS(Einzelbeträge!$D:$D,Einzelbeträge!$C:$C,'Ausgaben 2027'!$C68,Einzelbeträge!$E:$E,'Ausgaben 2027'!J$6)</f>
        <v>0</v>
      </c>
      <c r="K68" s="21">
        <f>SUMIFS(Einzelbeträge!$D:$D,Einzelbeträge!$C:$C,'Ausgaben 2027'!$C68,Einzelbeträge!$E:$E,'Ausgaben 2027'!K$6)</f>
        <v>0</v>
      </c>
      <c r="L68" s="21">
        <f>SUMIFS(Einzelbeträge!$D:$D,Einzelbeträge!$C:$C,'Ausgaben 2027'!$C68,Einzelbeträge!$E:$E,'Ausgaben 2027'!L$6)</f>
        <v>0</v>
      </c>
      <c r="M68" s="21">
        <f>SUMIFS(Einzelbeträge!$D:$D,Einzelbeträge!$C:$C,'Ausgaben 2027'!$C68,Einzelbeträge!$E:$E,'Ausgaben 2027'!M$6)</f>
        <v>0</v>
      </c>
      <c r="N68" s="35">
        <f>SUMIFS(Einzelbeträge!$D:$D,Einzelbeträge!$C:$C,'Ausgaben 2027'!$C68,Einzelbeträge!$E:$E,'Ausgaben 2027'!N$6)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47">
        <f>SUMIFS(Einzelbeträge!$D:$D,Einzelbeträge!$C:$C,'Ausgaben 2027'!$C69)</f>
        <v>0</v>
      </c>
      <c r="E69" s="36">
        <f>SUMIFS(Einzelbeträge!$D:$D,Einzelbeträge!$C:$C,'Ausgaben 2027'!$C69,Einzelbeträge!$E:$E,'Ausgaben 2027'!E$6)</f>
        <v>0</v>
      </c>
      <c r="F69" s="37">
        <f>SUMIFS(Einzelbeträge!$D:$D,Einzelbeträge!$C:$C,'Ausgaben 2027'!$C69,Einzelbeträge!$E:$E,'Ausgaben 2027'!F$6)</f>
        <v>0</v>
      </c>
      <c r="G69" s="37">
        <f>SUMIFS(Einzelbeträge!$D:$D,Einzelbeträge!$C:$C,'Ausgaben 2027'!$C69,Einzelbeträge!$E:$E,'Ausgaben 2027'!G$6)</f>
        <v>0</v>
      </c>
      <c r="H69" s="37">
        <f>SUMIFS(Einzelbeträge!$D:$D,Einzelbeträge!$C:$C,'Ausgaben 2027'!$C69,Einzelbeträge!$E:$E,'Ausgaben 2027'!H$6)</f>
        <v>0</v>
      </c>
      <c r="I69" s="37">
        <f>SUMIFS(Einzelbeträge!$D:$D,Einzelbeträge!$C:$C,'Ausgaben 2027'!$C69,Einzelbeträge!$E:$E,'Ausgaben 2027'!I$6)</f>
        <v>0</v>
      </c>
      <c r="J69" s="37">
        <f>SUMIFS(Einzelbeträge!$D:$D,Einzelbeträge!$C:$C,'Ausgaben 2027'!$C69,Einzelbeträge!$E:$E,'Ausgaben 2027'!J$6)</f>
        <v>0</v>
      </c>
      <c r="K69" s="37">
        <f>SUMIFS(Einzelbeträge!$D:$D,Einzelbeträge!$C:$C,'Ausgaben 2027'!$C69,Einzelbeträge!$E:$E,'Ausgaben 2027'!K$6)</f>
        <v>0</v>
      </c>
      <c r="L69" s="37">
        <f>SUMIFS(Einzelbeträge!$D:$D,Einzelbeträge!$C:$C,'Ausgaben 2027'!$C69,Einzelbeträge!$E:$E,'Ausgaben 2027'!L$6)</f>
        <v>0</v>
      </c>
      <c r="M69" s="37">
        <f>SUMIFS(Einzelbeträge!$D:$D,Einzelbeträge!$C:$C,'Ausgaben 2027'!$C69,Einzelbeträge!$E:$E,'Ausgaben 2027'!M$6)</f>
        <v>0</v>
      </c>
      <c r="N69" s="38">
        <f>SUMIFS(Einzelbeträge!$D:$D,Einzelbeträge!$C:$C,'Ausgaben 2027'!$C69,Einzelbeträge!$E:$E,'Ausgaben 2027'!N$6)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46447</v>
      </c>
      <c r="D73" s="45">
        <f>SUMIFS(Einzelbeträge!$D:$D,Einzelbeträge!$C:$C,'Ausgaben 2027'!$C73)</f>
        <v>0</v>
      </c>
      <c r="E73" s="32">
        <f>SUMIFS(Einzelbeträge!$D:$D,Einzelbeträge!$C:$C,'Ausgaben 2027'!$C73,Einzelbeträge!$E:$E,'Ausgaben 2027'!E$6)</f>
        <v>0</v>
      </c>
      <c r="F73" s="32">
        <f>SUMIFS(Einzelbeträge!$D:$D,Einzelbeträge!$C:$C,'Ausgaben 2027'!$C73,Einzelbeträge!$E:$E,'Ausgaben 2027'!F$6)</f>
        <v>0</v>
      </c>
      <c r="G73" s="32">
        <f>SUMIFS(Einzelbeträge!$D:$D,Einzelbeträge!$C:$C,'Ausgaben 2027'!$C73,Einzelbeträge!$E:$E,'Ausgaben 2027'!G$6)</f>
        <v>0</v>
      </c>
      <c r="H73" s="32">
        <f>SUMIFS(Einzelbeträge!$D:$D,Einzelbeträge!$C:$C,'Ausgaben 2027'!$C73,Einzelbeträge!$E:$E,'Ausgaben 2027'!H$6)</f>
        <v>0</v>
      </c>
      <c r="I73" s="32">
        <f>SUMIFS(Einzelbeträge!$D:$D,Einzelbeträge!$C:$C,'Ausgaben 2027'!$C73,Einzelbeträge!$E:$E,'Ausgaben 2027'!I$6)</f>
        <v>0</v>
      </c>
      <c r="J73" s="32">
        <f>SUMIFS(Einzelbeträge!$D:$D,Einzelbeträge!$C:$C,'Ausgaben 2027'!$C73,Einzelbeträge!$E:$E,'Ausgaben 2027'!J$6)</f>
        <v>0</v>
      </c>
      <c r="K73" s="32">
        <f>SUMIFS(Einzelbeträge!$D:$D,Einzelbeträge!$C:$C,'Ausgaben 2027'!$C73,Einzelbeträge!$E:$E,'Ausgaben 2027'!K$6)</f>
        <v>0</v>
      </c>
      <c r="L73" s="32">
        <f>SUMIFS(Einzelbeträge!$D:$D,Einzelbeträge!$C:$C,'Ausgaben 2027'!$C73,Einzelbeträge!$E:$E,'Ausgaben 2027'!L$6)</f>
        <v>0</v>
      </c>
      <c r="M73" s="32">
        <f>SUMIFS(Einzelbeträge!$D:$D,Einzelbeträge!$C:$C,'Ausgaben 2027'!$C73,Einzelbeträge!$E:$E,'Ausgaben 2027'!M$6)</f>
        <v>0</v>
      </c>
      <c r="N73" s="33">
        <f>SUMIFS(Einzelbeträge!$D:$D,Einzelbeträge!$C:$C,'Ausgaben 2027'!$C73,Einzelbeträge!$E:$E,'Ausgaben 2027'!N$6)</f>
        <v>0</v>
      </c>
      <c r="O73" s="6"/>
    </row>
    <row r="74" spans="2:15" x14ac:dyDescent="0.35">
      <c r="B74" s="5"/>
      <c r="C74" s="40">
        <f>C73+1</f>
        <v>46448</v>
      </c>
      <c r="D74" s="46">
        <f>SUMIFS(Einzelbeträge!$D:$D,Einzelbeträge!$C:$C,'Ausgaben 2027'!$C74)</f>
        <v>0</v>
      </c>
      <c r="E74" s="21">
        <f>SUMIFS(Einzelbeträge!$D:$D,Einzelbeträge!$C:$C,'Ausgaben 2027'!$C74,Einzelbeträge!$E:$E,'Ausgaben 2027'!E$6)</f>
        <v>0</v>
      </c>
      <c r="F74" s="21">
        <f>SUMIFS(Einzelbeträge!$D:$D,Einzelbeträge!$C:$C,'Ausgaben 2027'!$C74,Einzelbeträge!$E:$E,'Ausgaben 2027'!F$6)</f>
        <v>0</v>
      </c>
      <c r="G74" s="21">
        <f>SUMIFS(Einzelbeträge!$D:$D,Einzelbeträge!$C:$C,'Ausgaben 2027'!$C74,Einzelbeträge!$E:$E,'Ausgaben 2027'!G$6)</f>
        <v>0</v>
      </c>
      <c r="H74" s="21">
        <f>SUMIFS(Einzelbeträge!$D:$D,Einzelbeträge!$C:$C,'Ausgaben 2027'!$C74,Einzelbeträge!$E:$E,'Ausgaben 2027'!H$6)</f>
        <v>0</v>
      </c>
      <c r="I74" s="21">
        <f>SUMIFS(Einzelbeträge!$D:$D,Einzelbeträge!$C:$C,'Ausgaben 2027'!$C74,Einzelbeträge!$E:$E,'Ausgaben 2027'!I$6)</f>
        <v>0</v>
      </c>
      <c r="J74" s="21">
        <f>SUMIFS(Einzelbeträge!$D:$D,Einzelbeträge!$C:$C,'Ausgaben 2027'!$C74,Einzelbeträge!$E:$E,'Ausgaben 2027'!J$6)</f>
        <v>0</v>
      </c>
      <c r="K74" s="21">
        <f>SUMIFS(Einzelbeträge!$D:$D,Einzelbeträge!$C:$C,'Ausgaben 2027'!$C74,Einzelbeträge!$E:$E,'Ausgaben 2027'!K$6)</f>
        <v>0</v>
      </c>
      <c r="L74" s="21">
        <f>SUMIFS(Einzelbeträge!$D:$D,Einzelbeträge!$C:$C,'Ausgaben 2027'!$C74,Einzelbeträge!$E:$E,'Ausgaben 2027'!L$6)</f>
        <v>0</v>
      </c>
      <c r="M74" s="21">
        <f>SUMIFS(Einzelbeträge!$D:$D,Einzelbeträge!$C:$C,'Ausgaben 2027'!$C74,Einzelbeträge!$E:$E,'Ausgaben 2027'!M$6)</f>
        <v>0</v>
      </c>
      <c r="N74" s="35">
        <f>SUMIFS(Einzelbeträge!$D:$D,Einzelbeträge!$C:$C,'Ausgaben 2027'!$C74,Einzelbeträge!$E:$E,'Ausgaben 2027'!N$6)</f>
        <v>0</v>
      </c>
      <c r="O74" s="6"/>
    </row>
    <row r="75" spans="2:15" x14ac:dyDescent="0.35">
      <c r="B75" s="5"/>
      <c r="C75" s="40">
        <f t="shared" ref="C75:C103" si="18">C74+1</f>
        <v>46449</v>
      </c>
      <c r="D75" s="46">
        <f>SUMIFS(Einzelbeträge!$D:$D,Einzelbeträge!$C:$C,'Ausgaben 2027'!$C75)</f>
        <v>0</v>
      </c>
      <c r="E75" s="21">
        <f>SUMIFS(Einzelbeträge!$D:$D,Einzelbeträge!$C:$C,'Ausgaben 2027'!$C75,Einzelbeträge!$E:$E,'Ausgaben 2027'!E$6)</f>
        <v>0</v>
      </c>
      <c r="F75" s="21">
        <f>SUMIFS(Einzelbeträge!$D:$D,Einzelbeträge!$C:$C,'Ausgaben 2027'!$C75,Einzelbeträge!$E:$E,'Ausgaben 2027'!F$6)</f>
        <v>0</v>
      </c>
      <c r="G75" s="21">
        <f>SUMIFS(Einzelbeträge!$D:$D,Einzelbeträge!$C:$C,'Ausgaben 2027'!$C75,Einzelbeträge!$E:$E,'Ausgaben 2027'!G$6)</f>
        <v>0</v>
      </c>
      <c r="H75" s="21">
        <f>SUMIFS(Einzelbeträge!$D:$D,Einzelbeträge!$C:$C,'Ausgaben 2027'!$C75,Einzelbeträge!$E:$E,'Ausgaben 2027'!H$6)</f>
        <v>0</v>
      </c>
      <c r="I75" s="21">
        <f>SUMIFS(Einzelbeträge!$D:$D,Einzelbeträge!$C:$C,'Ausgaben 2027'!$C75,Einzelbeträge!$E:$E,'Ausgaben 2027'!I$6)</f>
        <v>0</v>
      </c>
      <c r="J75" s="21">
        <f>SUMIFS(Einzelbeträge!$D:$D,Einzelbeträge!$C:$C,'Ausgaben 2027'!$C75,Einzelbeträge!$E:$E,'Ausgaben 2027'!J$6)</f>
        <v>0</v>
      </c>
      <c r="K75" s="21">
        <f>SUMIFS(Einzelbeträge!$D:$D,Einzelbeträge!$C:$C,'Ausgaben 2027'!$C75,Einzelbeträge!$E:$E,'Ausgaben 2027'!K$6)</f>
        <v>0</v>
      </c>
      <c r="L75" s="21">
        <f>SUMIFS(Einzelbeträge!$D:$D,Einzelbeträge!$C:$C,'Ausgaben 2027'!$C75,Einzelbeträge!$E:$E,'Ausgaben 2027'!L$6)</f>
        <v>0</v>
      </c>
      <c r="M75" s="21">
        <f>SUMIFS(Einzelbeträge!$D:$D,Einzelbeträge!$C:$C,'Ausgaben 2027'!$C75,Einzelbeträge!$E:$E,'Ausgaben 2027'!M$6)</f>
        <v>0</v>
      </c>
      <c r="N75" s="35">
        <f>SUMIFS(Einzelbeträge!$D:$D,Einzelbeträge!$C:$C,'Ausgaben 2027'!$C75,Einzelbeträge!$E:$E,'Ausgaben 2027'!N$6)</f>
        <v>0</v>
      </c>
      <c r="O75" s="6"/>
    </row>
    <row r="76" spans="2:15" x14ac:dyDescent="0.35">
      <c r="B76" s="5"/>
      <c r="C76" s="40">
        <f t="shared" si="18"/>
        <v>46450</v>
      </c>
      <c r="D76" s="46">
        <f>SUMIFS(Einzelbeträge!$D:$D,Einzelbeträge!$C:$C,'Ausgaben 2027'!$C76)</f>
        <v>0</v>
      </c>
      <c r="E76" s="21">
        <f>SUMIFS(Einzelbeträge!$D:$D,Einzelbeträge!$C:$C,'Ausgaben 2027'!$C76,Einzelbeträge!$E:$E,'Ausgaben 2027'!E$6)</f>
        <v>0</v>
      </c>
      <c r="F76" s="21">
        <f>SUMIFS(Einzelbeträge!$D:$D,Einzelbeträge!$C:$C,'Ausgaben 2027'!$C76,Einzelbeträge!$E:$E,'Ausgaben 2027'!F$6)</f>
        <v>0</v>
      </c>
      <c r="G76" s="21">
        <f>SUMIFS(Einzelbeträge!$D:$D,Einzelbeträge!$C:$C,'Ausgaben 2027'!$C76,Einzelbeträge!$E:$E,'Ausgaben 2027'!G$6)</f>
        <v>0</v>
      </c>
      <c r="H76" s="21">
        <f>SUMIFS(Einzelbeträge!$D:$D,Einzelbeträge!$C:$C,'Ausgaben 2027'!$C76,Einzelbeträge!$E:$E,'Ausgaben 2027'!H$6)</f>
        <v>0</v>
      </c>
      <c r="I76" s="21">
        <f>SUMIFS(Einzelbeträge!$D:$D,Einzelbeträge!$C:$C,'Ausgaben 2027'!$C76,Einzelbeträge!$E:$E,'Ausgaben 2027'!I$6)</f>
        <v>0</v>
      </c>
      <c r="J76" s="21">
        <f>SUMIFS(Einzelbeträge!$D:$D,Einzelbeträge!$C:$C,'Ausgaben 2027'!$C76,Einzelbeträge!$E:$E,'Ausgaben 2027'!J$6)</f>
        <v>0</v>
      </c>
      <c r="K76" s="21">
        <f>SUMIFS(Einzelbeträge!$D:$D,Einzelbeträge!$C:$C,'Ausgaben 2027'!$C76,Einzelbeträge!$E:$E,'Ausgaben 2027'!K$6)</f>
        <v>0</v>
      </c>
      <c r="L76" s="21">
        <f>SUMIFS(Einzelbeträge!$D:$D,Einzelbeträge!$C:$C,'Ausgaben 2027'!$C76,Einzelbeträge!$E:$E,'Ausgaben 2027'!L$6)</f>
        <v>0</v>
      </c>
      <c r="M76" s="21">
        <f>SUMIFS(Einzelbeträge!$D:$D,Einzelbeträge!$C:$C,'Ausgaben 2027'!$C76,Einzelbeträge!$E:$E,'Ausgaben 2027'!M$6)</f>
        <v>0</v>
      </c>
      <c r="N76" s="35">
        <f>SUMIFS(Einzelbeträge!$D:$D,Einzelbeträge!$C:$C,'Ausgaben 2027'!$C76,Einzelbeträge!$E:$E,'Ausgaben 2027'!N$6)</f>
        <v>0</v>
      </c>
      <c r="O76" s="6"/>
    </row>
    <row r="77" spans="2:15" x14ac:dyDescent="0.35">
      <c r="B77" s="5"/>
      <c r="C77" s="40">
        <f t="shared" si="18"/>
        <v>46451</v>
      </c>
      <c r="D77" s="46">
        <f>SUMIFS(Einzelbeträge!$D:$D,Einzelbeträge!$C:$C,'Ausgaben 2027'!$C77)</f>
        <v>0</v>
      </c>
      <c r="E77" s="21">
        <f>SUMIFS(Einzelbeträge!$D:$D,Einzelbeträge!$C:$C,'Ausgaben 2027'!$C77,Einzelbeträge!$E:$E,'Ausgaben 2027'!E$6)</f>
        <v>0</v>
      </c>
      <c r="F77" s="21">
        <f>SUMIFS(Einzelbeträge!$D:$D,Einzelbeträge!$C:$C,'Ausgaben 2027'!$C77,Einzelbeträge!$E:$E,'Ausgaben 2027'!F$6)</f>
        <v>0</v>
      </c>
      <c r="G77" s="21">
        <f>SUMIFS(Einzelbeträge!$D:$D,Einzelbeträge!$C:$C,'Ausgaben 2027'!$C77,Einzelbeträge!$E:$E,'Ausgaben 2027'!G$6)</f>
        <v>0</v>
      </c>
      <c r="H77" s="21">
        <f>SUMIFS(Einzelbeträge!$D:$D,Einzelbeträge!$C:$C,'Ausgaben 2027'!$C77,Einzelbeträge!$E:$E,'Ausgaben 2027'!H$6)</f>
        <v>0</v>
      </c>
      <c r="I77" s="21">
        <f>SUMIFS(Einzelbeträge!$D:$D,Einzelbeträge!$C:$C,'Ausgaben 2027'!$C77,Einzelbeträge!$E:$E,'Ausgaben 2027'!I$6)</f>
        <v>0</v>
      </c>
      <c r="J77" s="21">
        <f>SUMIFS(Einzelbeträge!$D:$D,Einzelbeträge!$C:$C,'Ausgaben 2027'!$C77,Einzelbeträge!$E:$E,'Ausgaben 2027'!J$6)</f>
        <v>0</v>
      </c>
      <c r="K77" s="21">
        <f>SUMIFS(Einzelbeträge!$D:$D,Einzelbeträge!$C:$C,'Ausgaben 2027'!$C77,Einzelbeträge!$E:$E,'Ausgaben 2027'!K$6)</f>
        <v>0</v>
      </c>
      <c r="L77" s="21">
        <f>SUMIFS(Einzelbeträge!$D:$D,Einzelbeträge!$C:$C,'Ausgaben 2027'!$C77,Einzelbeträge!$E:$E,'Ausgaben 2027'!L$6)</f>
        <v>0</v>
      </c>
      <c r="M77" s="21">
        <f>SUMIFS(Einzelbeträge!$D:$D,Einzelbeträge!$C:$C,'Ausgaben 2027'!$C77,Einzelbeträge!$E:$E,'Ausgaben 2027'!M$6)</f>
        <v>0</v>
      </c>
      <c r="N77" s="35">
        <f>SUMIFS(Einzelbeträge!$D:$D,Einzelbeträge!$C:$C,'Ausgaben 2027'!$C77,Einzelbeträge!$E:$E,'Ausgaben 2027'!N$6)</f>
        <v>0</v>
      </c>
      <c r="O77" s="6"/>
    </row>
    <row r="78" spans="2:15" x14ac:dyDescent="0.35">
      <c r="B78" s="5"/>
      <c r="C78" s="40">
        <f t="shared" si="18"/>
        <v>46452</v>
      </c>
      <c r="D78" s="46">
        <f>SUMIFS(Einzelbeträge!$D:$D,Einzelbeträge!$C:$C,'Ausgaben 2027'!$C78)</f>
        <v>0</v>
      </c>
      <c r="E78" s="21">
        <f>SUMIFS(Einzelbeträge!$D:$D,Einzelbeträge!$C:$C,'Ausgaben 2027'!$C78,Einzelbeträge!$E:$E,'Ausgaben 2027'!E$6)</f>
        <v>0</v>
      </c>
      <c r="F78" s="21">
        <f>SUMIFS(Einzelbeträge!$D:$D,Einzelbeträge!$C:$C,'Ausgaben 2027'!$C78,Einzelbeträge!$E:$E,'Ausgaben 2027'!F$6)</f>
        <v>0</v>
      </c>
      <c r="G78" s="21">
        <f>SUMIFS(Einzelbeträge!$D:$D,Einzelbeträge!$C:$C,'Ausgaben 2027'!$C78,Einzelbeträge!$E:$E,'Ausgaben 2027'!G$6)</f>
        <v>0</v>
      </c>
      <c r="H78" s="21">
        <f>SUMIFS(Einzelbeträge!$D:$D,Einzelbeträge!$C:$C,'Ausgaben 2027'!$C78,Einzelbeträge!$E:$E,'Ausgaben 2027'!H$6)</f>
        <v>0</v>
      </c>
      <c r="I78" s="21">
        <f>SUMIFS(Einzelbeträge!$D:$D,Einzelbeträge!$C:$C,'Ausgaben 2027'!$C78,Einzelbeträge!$E:$E,'Ausgaben 2027'!I$6)</f>
        <v>0</v>
      </c>
      <c r="J78" s="21">
        <f>SUMIFS(Einzelbeträge!$D:$D,Einzelbeträge!$C:$C,'Ausgaben 2027'!$C78,Einzelbeträge!$E:$E,'Ausgaben 2027'!J$6)</f>
        <v>0</v>
      </c>
      <c r="K78" s="21">
        <f>SUMIFS(Einzelbeträge!$D:$D,Einzelbeträge!$C:$C,'Ausgaben 2027'!$C78,Einzelbeträge!$E:$E,'Ausgaben 2027'!K$6)</f>
        <v>0</v>
      </c>
      <c r="L78" s="21">
        <f>SUMIFS(Einzelbeträge!$D:$D,Einzelbeträge!$C:$C,'Ausgaben 2027'!$C78,Einzelbeträge!$E:$E,'Ausgaben 2027'!L$6)</f>
        <v>0</v>
      </c>
      <c r="M78" s="21">
        <f>SUMIFS(Einzelbeträge!$D:$D,Einzelbeträge!$C:$C,'Ausgaben 2027'!$C78,Einzelbeträge!$E:$E,'Ausgaben 2027'!M$6)</f>
        <v>0</v>
      </c>
      <c r="N78" s="35">
        <f>SUMIFS(Einzelbeträge!$D:$D,Einzelbeträge!$C:$C,'Ausgaben 2027'!$C78,Einzelbeträge!$E:$E,'Ausgaben 2027'!N$6)</f>
        <v>0</v>
      </c>
      <c r="O78" s="6"/>
    </row>
    <row r="79" spans="2:15" x14ac:dyDescent="0.35">
      <c r="B79" s="5"/>
      <c r="C79" s="40">
        <f t="shared" si="18"/>
        <v>46453</v>
      </c>
      <c r="D79" s="46">
        <f>SUMIFS(Einzelbeträge!$D:$D,Einzelbeträge!$C:$C,'Ausgaben 2027'!$C79)</f>
        <v>0</v>
      </c>
      <c r="E79" s="21">
        <f>SUMIFS(Einzelbeträge!$D:$D,Einzelbeträge!$C:$C,'Ausgaben 2027'!$C79,Einzelbeträge!$E:$E,'Ausgaben 2027'!E$6)</f>
        <v>0</v>
      </c>
      <c r="F79" s="21">
        <f>SUMIFS(Einzelbeträge!$D:$D,Einzelbeträge!$C:$C,'Ausgaben 2027'!$C79,Einzelbeträge!$E:$E,'Ausgaben 2027'!F$6)</f>
        <v>0</v>
      </c>
      <c r="G79" s="21">
        <f>SUMIFS(Einzelbeträge!$D:$D,Einzelbeträge!$C:$C,'Ausgaben 2027'!$C79,Einzelbeträge!$E:$E,'Ausgaben 2027'!G$6)</f>
        <v>0</v>
      </c>
      <c r="H79" s="21">
        <f>SUMIFS(Einzelbeträge!$D:$D,Einzelbeträge!$C:$C,'Ausgaben 2027'!$C79,Einzelbeträge!$E:$E,'Ausgaben 2027'!H$6)</f>
        <v>0</v>
      </c>
      <c r="I79" s="21">
        <f>SUMIFS(Einzelbeträge!$D:$D,Einzelbeträge!$C:$C,'Ausgaben 2027'!$C79,Einzelbeträge!$E:$E,'Ausgaben 2027'!I$6)</f>
        <v>0</v>
      </c>
      <c r="J79" s="21">
        <f>SUMIFS(Einzelbeträge!$D:$D,Einzelbeträge!$C:$C,'Ausgaben 2027'!$C79,Einzelbeträge!$E:$E,'Ausgaben 2027'!J$6)</f>
        <v>0</v>
      </c>
      <c r="K79" s="21">
        <f>SUMIFS(Einzelbeträge!$D:$D,Einzelbeträge!$C:$C,'Ausgaben 2027'!$C79,Einzelbeträge!$E:$E,'Ausgaben 2027'!K$6)</f>
        <v>0</v>
      </c>
      <c r="L79" s="21">
        <f>SUMIFS(Einzelbeträge!$D:$D,Einzelbeträge!$C:$C,'Ausgaben 2027'!$C79,Einzelbeträge!$E:$E,'Ausgaben 2027'!L$6)</f>
        <v>0</v>
      </c>
      <c r="M79" s="21">
        <f>SUMIFS(Einzelbeträge!$D:$D,Einzelbeträge!$C:$C,'Ausgaben 2027'!$C79,Einzelbeträge!$E:$E,'Ausgaben 2027'!M$6)</f>
        <v>0</v>
      </c>
      <c r="N79" s="35">
        <f>SUMIFS(Einzelbeträge!$D:$D,Einzelbeträge!$C:$C,'Ausgaben 2027'!$C79,Einzelbeträge!$E:$E,'Ausgaben 2027'!N$6)</f>
        <v>0</v>
      </c>
      <c r="O79" s="6"/>
    </row>
    <row r="80" spans="2:15" x14ac:dyDescent="0.35">
      <c r="B80" s="5"/>
      <c r="C80" s="40">
        <f t="shared" si="18"/>
        <v>46454</v>
      </c>
      <c r="D80" s="46">
        <f>SUMIFS(Einzelbeträge!$D:$D,Einzelbeträge!$C:$C,'Ausgaben 2027'!$C80)</f>
        <v>0</v>
      </c>
      <c r="E80" s="21">
        <f>SUMIFS(Einzelbeträge!$D:$D,Einzelbeträge!$C:$C,'Ausgaben 2027'!$C80,Einzelbeträge!$E:$E,'Ausgaben 2027'!E$6)</f>
        <v>0</v>
      </c>
      <c r="F80" s="21">
        <f>SUMIFS(Einzelbeträge!$D:$D,Einzelbeträge!$C:$C,'Ausgaben 2027'!$C80,Einzelbeträge!$E:$E,'Ausgaben 2027'!F$6)</f>
        <v>0</v>
      </c>
      <c r="G80" s="21">
        <f>SUMIFS(Einzelbeträge!$D:$D,Einzelbeträge!$C:$C,'Ausgaben 2027'!$C80,Einzelbeträge!$E:$E,'Ausgaben 2027'!G$6)</f>
        <v>0</v>
      </c>
      <c r="H80" s="21">
        <f>SUMIFS(Einzelbeträge!$D:$D,Einzelbeträge!$C:$C,'Ausgaben 2027'!$C80,Einzelbeträge!$E:$E,'Ausgaben 2027'!H$6)</f>
        <v>0</v>
      </c>
      <c r="I80" s="21">
        <f>SUMIFS(Einzelbeträge!$D:$D,Einzelbeträge!$C:$C,'Ausgaben 2027'!$C80,Einzelbeträge!$E:$E,'Ausgaben 2027'!I$6)</f>
        <v>0</v>
      </c>
      <c r="J80" s="21">
        <f>SUMIFS(Einzelbeträge!$D:$D,Einzelbeträge!$C:$C,'Ausgaben 2027'!$C80,Einzelbeträge!$E:$E,'Ausgaben 2027'!J$6)</f>
        <v>0</v>
      </c>
      <c r="K80" s="21">
        <f>SUMIFS(Einzelbeträge!$D:$D,Einzelbeträge!$C:$C,'Ausgaben 2027'!$C80,Einzelbeträge!$E:$E,'Ausgaben 2027'!K$6)</f>
        <v>0</v>
      </c>
      <c r="L80" s="21">
        <f>SUMIFS(Einzelbeträge!$D:$D,Einzelbeträge!$C:$C,'Ausgaben 2027'!$C80,Einzelbeträge!$E:$E,'Ausgaben 2027'!L$6)</f>
        <v>0</v>
      </c>
      <c r="M80" s="21">
        <f>SUMIFS(Einzelbeträge!$D:$D,Einzelbeträge!$C:$C,'Ausgaben 2027'!$C80,Einzelbeträge!$E:$E,'Ausgaben 2027'!M$6)</f>
        <v>0</v>
      </c>
      <c r="N80" s="35">
        <f>SUMIFS(Einzelbeträge!$D:$D,Einzelbeträge!$C:$C,'Ausgaben 2027'!$C80,Einzelbeträge!$E:$E,'Ausgaben 2027'!N$6)</f>
        <v>0</v>
      </c>
      <c r="O80" s="6"/>
    </row>
    <row r="81" spans="2:15" x14ac:dyDescent="0.35">
      <c r="B81" s="5"/>
      <c r="C81" s="40">
        <f t="shared" si="18"/>
        <v>46455</v>
      </c>
      <c r="D81" s="46">
        <f>SUMIFS(Einzelbeträge!$D:$D,Einzelbeträge!$C:$C,'Ausgaben 2027'!$C81)</f>
        <v>0</v>
      </c>
      <c r="E81" s="21">
        <f>SUMIFS(Einzelbeträge!$D:$D,Einzelbeträge!$C:$C,'Ausgaben 2027'!$C81,Einzelbeträge!$E:$E,'Ausgaben 2027'!E$6)</f>
        <v>0</v>
      </c>
      <c r="F81" s="21">
        <f>SUMIFS(Einzelbeträge!$D:$D,Einzelbeträge!$C:$C,'Ausgaben 2027'!$C81,Einzelbeträge!$E:$E,'Ausgaben 2027'!F$6)</f>
        <v>0</v>
      </c>
      <c r="G81" s="21">
        <f>SUMIFS(Einzelbeträge!$D:$D,Einzelbeträge!$C:$C,'Ausgaben 2027'!$C81,Einzelbeträge!$E:$E,'Ausgaben 2027'!G$6)</f>
        <v>0</v>
      </c>
      <c r="H81" s="21">
        <f>SUMIFS(Einzelbeträge!$D:$D,Einzelbeträge!$C:$C,'Ausgaben 2027'!$C81,Einzelbeträge!$E:$E,'Ausgaben 2027'!H$6)</f>
        <v>0</v>
      </c>
      <c r="I81" s="21">
        <f>SUMIFS(Einzelbeträge!$D:$D,Einzelbeträge!$C:$C,'Ausgaben 2027'!$C81,Einzelbeträge!$E:$E,'Ausgaben 2027'!I$6)</f>
        <v>0</v>
      </c>
      <c r="J81" s="21">
        <f>SUMIFS(Einzelbeträge!$D:$D,Einzelbeträge!$C:$C,'Ausgaben 2027'!$C81,Einzelbeträge!$E:$E,'Ausgaben 2027'!J$6)</f>
        <v>0</v>
      </c>
      <c r="K81" s="21">
        <f>SUMIFS(Einzelbeträge!$D:$D,Einzelbeträge!$C:$C,'Ausgaben 2027'!$C81,Einzelbeträge!$E:$E,'Ausgaben 2027'!K$6)</f>
        <v>0</v>
      </c>
      <c r="L81" s="21">
        <f>SUMIFS(Einzelbeträge!$D:$D,Einzelbeträge!$C:$C,'Ausgaben 2027'!$C81,Einzelbeträge!$E:$E,'Ausgaben 2027'!L$6)</f>
        <v>0</v>
      </c>
      <c r="M81" s="21">
        <f>SUMIFS(Einzelbeträge!$D:$D,Einzelbeträge!$C:$C,'Ausgaben 2027'!$C81,Einzelbeträge!$E:$E,'Ausgaben 2027'!M$6)</f>
        <v>0</v>
      </c>
      <c r="N81" s="35">
        <f>SUMIFS(Einzelbeträge!$D:$D,Einzelbeträge!$C:$C,'Ausgaben 2027'!$C81,Einzelbeträge!$E:$E,'Ausgaben 2027'!N$6)</f>
        <v>0</v>
      </c>
      <c r="O81" s="6"/>
    </row>
    <row r="82" spans="2:15" x14ac:dyDescent="0.35">
      <c r="B82" s="5"/>
      <c r="C82" s="40">
        <f t="shared" si="18"/>
        <v>46456</v>
      </c>
      <c r="D82" s="46">
        <f>SUMIFS(Einzelbeträge!$D:$D,Einzelbeträge!$C:$C,'Ausgaben 2027'!$C82)</f>
        <v>0</v>
      </c>
      <c r="E82" s="21">
        <f>SUMIFS(Einzelbeträge!$D:$D,Einzelbeträge!$C:$C,'Ausgaben 2027'!$C82,Einzelbeträge!$E:$E,'Ausgaben 2027'!E$6)</f>
        <v>0</v>
      </c>
      <c r="F82" s="21">
        <f>SUMIFS(Einzelbeträge!$D:$D,Einzelbeträge!$C:$C,'Ausgaben 2027'!$C82,Einzelbeträge!$E:$E,'Ausgaben 2027'!F$6)</f>
        <v>0</v>
      </c>
      <c r="G82" s="21">
        <f>SUMIFS(Einzelbeträge!$D:$D,Einzelbeträge!$C:$C,'Ausgaben 2027'!$C82,Einzelbeträge!$E:$E,'Ausgaben 2027'!G$6)</f>
        <v>0</v>
      </c>
      <c r="H82" s="21">
        <f>SUMIFS(Einzelbeträge!$D:$D,Einzelbeträge!$C:$C,'Ausgaben 2027'!$C82,Einzelbeträge!$E:$E,'Ausgaben 2027'!H$6)</f>
        <v>0</v>
      </c>
      <c r="I82" s="21">
        <f>SUMIFS(Einzelbeträge!$D:$D,Einzelbeträge!$C:$C,'Ausgaben 2027'!$C82,Einzelbeträge!$E:$E,'Ausgaben 2027'!I$6)</f>
        <v>0</v>
      </c>
      <c r="J82" s="21">
        <f>SUMIFS(Einzelbeträge!$D:$D,Einzelbeträge!$C:$C,'Ausgaben 2027'!$C82,Einzelbeträge!$E:$E,'Ausgaben 2027'!J$6)</f>
        <v>0</v>
      </c>
      <c r="K82" s="21">
        <f>SUMIFS(Einzelbeträge!$D:$D,Einzelbeträge!$C:$C,'Ausgaben 2027'!$C82,Einzelbeträge!$E:$E,'Ausgaben 2027'!K$6)</f>
        <v>0</v>
      </c>
      <c r="L82" s="21">
        <f>SUMIFS(Einzelbeträge!$D:$D,Einzelbeträge!$C:$C,'Ausgaben 2027'!$C82,Einzelbeträge!$E:$E,'Ausgaben 2027'!L$6)</f>
        <v>0</v>
      </c>
      <c r="M82" s="21">
        <f>SUMIFS(Einzelbeträge!$D:$D,Einzelbeträge!$C:$C,'Ausgaben 2027'!$C82,Einzelbeträge!$E:$E,'Ausgaben 2027'!M$6)</f>
        <v>0</v>
      </c>
      <c r="N82" s="35">
        <f>SUMIFS(Einzelbeträge!$D:$D,Einzelbeträge!$C:$C,'Ausgaben 2027'!$C82,Einzelbeträge!$E:$E,'Ausgaben 2027'!N$6)</f>
        <v>0</v>
      </c>
      <c r="O82" s="6"/>
    </row>
    <row r="83" spans="2:15" x14ac:dyDescent="0.35">
      <c r="B83" s="5"/>
      <c r="C83" s="40">
        <f t="shared" si="18"/>
        <v>46457</v>
      </c>
      <c r="D83" s="46">
        <f>SUMIFS(Einzelbeträge!$D:$D,Einzelbeträge!$C:$C,'Ausgaben 2027'!$C83)</f>
        <v>0</v>
      </c>
      <c r="E83" s="21">
        <f>SUMIFS(Einzelbeträge!$D:$D,Einzelbeträge!$C:$C,'Ausgaben 2027'!$C83,Einzelbeträge!$E:$E,'Ausgaben 2027'!E$6)</f>
        <v>0</v>
      </c>
      <c r="F83" s="21">
        <f>SUMIFS(Einzelbeträge!$D:$D,Einzelbeträge!$C:$C,'Ausgaben 2027'!$C83,Einzelbeträge!$E:$E,'Ausgaben 2027'!F$6)</f>
        <v>0</v>
      </c>
      <c r="G83" s="21">
        <f>SUMIFS(Einzelbeträge!$D:$D,Einzelbeträge!$C:$C,'Ausgaben 2027'!$C83,Einzelbeträge!$E:$E,'Ausgaben 2027'!G$6)</f>
        <v>0</v>
      </c>
      <c r="H83" s="21">
        <f>SUMIFS(Einzelbeträge!$D:$D,Einzelbeträge!$C:$C,'Ausgaben 2027'!$C83,Einzelbeträge!$E:$E,'Ausgaben 2027'!H$6)</f>
        <v>0</v>
      </c>
      <c r="I83" s="21">
        <f>SUMIFS(Einzelbeträge!$D:$D,Einzelbeträge!$C:$C,'Ausgaben 2027'!$C83,Einzelbeträge!$E:$E,'Ausgaben 2027'!I$6)</f>
        <v>0</v>
      </c>
      <c r="J83" s="21">
        <f>SUMIFS(Einzelbeträge!$D:$D,Einzelbeträge!$C:$C,'Ausgaben 2027'!$C83,Einzelbeträge!$E:$E,'Ausgaben 2027'!J$6)</f>
        <v>0</v>
      </c>
      <c r="K83" s="21">
        <f>SUMIFS(Einzelbeträge!$D:$D,Einzelbeträge!$C:$C,'Ausgaben 2027'!$C83,Einzelbeträge!$E:$E,'Ausgaben 2027'!K$6)</f>
        <v>0</v>
      </c>
      <c r="L83" s="21">
        <f>SUMIFS(Einzelbeträge!$D:$D,Einzelbeträge!$C:$C,'Ausgaben 2027'!$C83,Einzelbeträge!$E:$E,'Ausgaben 2027'!L$6)</f>
        <v>0</v>
      </c>
      <c r="M83" s="21">
        <f>SUMIFS(Einzelbeträge!$D:$D,Einzelbeträge!$C:$C,'Ausgaben 2027'!$C83,Einzelbeträge!$E:$E,'Ausgaben 2027'!M$6)</f>
        <v>0</v>
      </c>
      <c r="N83" s="35">
        <f>SUMIFS(Einzelbeträge!$D:$D,Einzelbeträge!$C:$C,'Ausgaben 2027'!$C83,Einzelbeträge!$E:$E,'Ausgaben 2027'!N$6)</f>
        <v>0</v>
      </c>
      <c r="O83" s="6"/>
    </row>
    <row r="84" spans="2:15" x14ac:dyDescent="0.35">
      <c r="B84" s="5"/>
      <c r="C84" s="40">
        <f t="shared" si="18"/>
        <v>46458</v>
      </c>
      <c r="D84" s="46">
        <f>SUMIFS(Einzelbeträge!$D:$D,Einzelbeträge!$C:$C,'Ausgaben 2027'!$C84)</f>
        <v>0</v>
      </c>
      <c r="E84" s="21">
        <f>SUMIFS(Einzelbeträge!$D:$D,Einzelbeträge!$C:$C,'Ausgaben 2027'!$C84,Einzelbeträge!$E:$E,'Ausgaben 2027'!E$6)</f>
        <v>0</v>
      </c>
      <c r="F84" s="21">
        <f>SUMIFS(Einzelbeträge!$D:$D,Einzelbeträge!$C:$C,'Ausgaben 2027'!$C84,Einzelbeträge!$E:$E,'Ausgaben 2027'!F$6)</f>
        <v>0</v>
      </c>
      <c r="G84" s="21">
        <f>SUMIFS(Einzelbeträge!$D:$D,Einzelbeträge!$C:$C,'Ausgaben 2027'!$C84,Einzelbeträge!$E:$E,'Ausgaben 2027'!G$6)</f>
        <v>0</v>
      </c>
      <c r="H84" s="21">
        <f>SUMIFS(Einzelbeträge!$D:$D,Einzelbeträge!$C:$C,'Ausgaben 2027'!$C84,Einzelbeträge!$E:$E,'Ausgaben 2027'!H$6)</f>
        <v>0</v>
      </c>
      <c r="I84" s="21">
        <f>SUMIFS(Einzelbeträge!$D:$D,Einzelbeträge!$C:$C,'Ausgaben 2027'!$C84,Einzelbeträge!$E:$E,'Ausgaben 2027'!I$6)</f>
        <v>0</v>
      </c>
      <c r="J84" s="21">
        <f>SUMIFS(Einzelbeträge!$D:$D,Einzelbeträge!$C:$C,'Ausgaben 2027'!$C84,Einzelbeträge!$E:$E,'Ausgaben 2027'!J$6)</f>
        <v>0</v>
      </c>
      <c r="K84" s="21">
        <f>SUMIFS(Einzelbeträge!$D:$D,Einzelbeträge!$C:$C,'Ausgaben 2027'!$C84,Einzelbeträge!$E:$E,'Ausgaben 2027'!K$6)</f>
        <v>0</v>
      </c>
      <c r="L84" s="21">
        <f>SUMIFS(Einzelbeträge!$D:$D,Einzelbeträge!$C:$C,'Ausgaben 2027'!$C84,Einzelbeträge!$E:$E,'Ausgaben 2027'!L$6)</f>
        <v>0</v>
      </c>
      <c r="M84" s="21">
        <f>SUMIFS(Einzelbeträge!$D:$D,Einzelbeträge!$C:$C,'Ausgaben 2027'!$C84,Einzelbeträge!$E:$E,'Ausgaben 2027'!M$6)</f>
        <v>0</v>
      </c>
      <c r="N84" s="35">
        <f>SUMIFS(Einzelbeträge!$D:$D,Einzelbeträge!$C:$C,'Ausgaben 2027'!$C84,Einzelbeträge!$E:$E,'Ausgaben 2027'!N$6)</f>
        <v>0</v>
      </c>
      <c r="O84" s="6"/>
    </row>
    <row r="85" spans="2:15" x14ac:dyDescent="0.35">
      <c r="B85" s="5"/>
      <c r="C85" s="40">
        <f t="shared" si="18"/>
        <v>46459</v>
      </c>
      <c r="D85" s="46">
        <f>SUMIFS(Einzelbeträge!$D:$D,Einzelbeträge!$C:$C,'Ausgaben 2027'!$C85)</f>
        <v>0</v>
      </c>
      <c r="E85" s="21">
        <f>SUMIFS(Einzelbeträge!$D:$D,Einzelbeträge!$C:$C,'Ausgaben 2027'!$C85,Einzelbeträge!$E:$E,'Ausgaben 2027'!E$6)</f>
        <v>0</v>
      </c>
      <c r="F85" s="21">
        <f>SUMIFS(Einzelbeträge!$D:$D,Einzelbeträge!$C:$C,'Ausgaben 2027'!$C85,Einzelbeträge!$E:$E,'Ausgaben 2027'!F$6)</f>
        <v>0</v>
      </c>
      <c r="G85" s="21">
        <f>SUMIFS(Einzelbeträge!$D:$D,Einzelbeträge!$C:$C,'Ausgaben 2027'!$C85,Einzelbeträge!$E:$E,'Ausgaben 2027'!G$6)</f>
        <v>0</v>
      </c>
      <c r="H85" s="21">
        <f>SUMIFS(Einzelbeträge!$D:$D,Einzelbeträge!$C:$C,'Ausgaben 2027'!$C85,Einzelbeträge!$E:$E,'Ausgaben 2027'!H$6)</f>
        <v>0</v>
      </c>
      <c r="I85" s="21">
        <f>SUMIFS(Einzelbeträge!$D:$D,Einzelbeträge!$C:$C,'Ausgaben 2027'!$C85,Einzelbeträge!$E:$E,'Ausgaben 2027'!I$6)</f>
        <v>0</v>
      </c>
      <c r="J85" s="21">
        <f>SUMIFS(Einzelbeträge!$D:$D,Einzelbeträge!$C:$C,'Ausgaben 2027'!$C85,Einzelbeträge!$E:$E,'Ausgaben 2027'!J$6)</f>
        <v>0</v>
      </c>
      <c r="K85" s="21">
        <f>SUMIFS(Einzelbeträge!$D:$D,Einzelbeträge!$C:$C,'Ausgaben 2027'!$C85,Einzelbeträge!$E:$E,'Ausgaben 2027'!K$6)</f>
        <v>0</v>
      </c>
      <c r="L85" s="21">
        <f>SUMIFS(Einzelbeträge!$D:$D,Einzelbeträge!$C:$C,'Ausgaben 2027'!$C85,Einzelbeträge!$E:$E,'Ausgaben 2027'!L$6)</f>
        <v>0</v>
      </c>
      <c r="M85" s="21">
        <f>SUMIFS(Einzelbeträge!$D:$D,Einzelbeträge!$C:$C,'Ausgaben 2027'!$C85,Einzelbeträge!$E:$E,'Ausgaben 2027'!M$6)</f>
        <v>0</v>
      </c>
      <c r="N85" s="35">
        <f>SUMIFS(Einzelbeträge!$D:$D,Einzelbeträge!$C:$C,'Ausgaben 2027'!$C85,Einzelbeträge!$E:$E,'Ausgaben 2027'!N$6)</f>
        <v>0</v>
      </c>
      <c r="O85" s="6"/>
    </row>
    <row r="86" spans="2:15" x14ac:dyDescent="0.35">
      <c r="B86" s="5"/>
      <c r="C86" s="40">
        <f t="shared" si="18"/>
        <v>46460</v>
      </c>
      <c r="D86" s="46">
        <f>SUMIFS(Einzelbeträge!$D:$D,Einzelbeträge!$C:$C,'Ausgaben 2027'!$C86)</f>
        <v>0</v>
      </c>
      <c r="E86" s="21">
        <f>SUMIFS(Einzelbeträge!$D:$D,Einzelbeträge!$C:$C,'Ausgaben 2027'!$C86,Einzelbeträge!$E:$E,'Ausgaben 2027'!E$6)</f>
        <v>0</v>
      </c>
      <c r="F86" s="21">
        <f>SUMIFS(Einzelbeträge!$D:$D,Einzelbeträge!$C:$C,'Ausgaben 2027'!$C86,Einzelbeträge!$E:$E,'Ausgaben 2027'!F$6)</f>
        <v>0</v>
      </c>
      <c r="G86" s="21">
        <f>SUMIFS(Einzelbeträge!$D:$D,Einzelbeträge!$C:$C,'Ausgaben 2027'!$C86,Einzelbeträge!$E:$E,'Ausgaben 2027'!G$6)</f>
        <v>0</v>
      </c>
      <c r="H86" s="21">
        <f>SUMIFS(Einzelbeträge!$D:$D,Einzelbeträge!$C:$C,'Ausgaben 2027'!$C86,Einzelbeträge!$E:$E,'Ausgaben 2027'!H$6)</f>
        <v>0</v>
      </c>
      <c r="I86" s="21">
        <f>SUMIFS(Einzelbeträge!$D:$D,Einzelbeträge!$C:$C,'Ausgaben 2027'!$C86,Einzelbeträge!$E:$E,'Ausgaben 2027'!I$6)</f>
        <v>0</v>
      </c>
      <c r="J86" s="21">
        <f>SUMIFS(Einzelbeträge!$D:$D,Einzelbeträge!$C:$C,'Ausgaben 2027'!$C86,Einzelbeträge!$E:$E,'Ausgaben 2027'!J$6)</f>
        <v>0</v>
      </c>
      <c r="K86" s="21">
        <f>SUMIFS(Einzelbeträge!$D:$D,Einzelbeträge!$C:$C,'Ausgaben 2027'!$C86,Einzelbeträge!$E:$E,'Ausgaben 2027'!K$6)</f>
        <v>0</v>
      </c>
      <c r="L86" s="21">
        <f>SUMIFS(Einzelbeträge!$D:$D,Einzelbeträge!$C:$C,'Ausgaben 2027'!$C86,Einzelbeträge!$E:$E,'Ausgaben 2027'!L$6)</f>
        <v>0</v>
      </c>
      <c r="M86" s="21">
        <f>SUMIFS(Einzelbeträge!$D:$D,Einzelbeträge!$C:$C,'Ausgaben 2027'!$C86,Einzelbeträge!$E:$E,'Ausgaben 2027'!M$6)</f>
        <v>0</v>
      </c>
      <c r="N86" s="35">
        <f>SUMIFS(Einzelbeträge!$D:$D,Einzelbeträge!$C:$C,'Ausgaben 2027'!$C86,Einzelbeträge!$E:$E,'Ausgaben 2027'!N$6)</f>
        <v>0</v>
      </c>
      <c r="O86" s="6"/>
    </row>
    <row r="87" spans="2:15" x14ac:dyDescent="0.35">
      <c r="B87" s="5"/>
      <c r="C87" s="40">
        <f t="shared" si="18"/>
        <v>46461</v>
      </c>
      <c r="D87" s="46">
        <f>SUMIFS(Einzelbeträge!$D:$D,Einzelbeträge!$C:$C,'Ausgaben 2027'!$C87)</f>
        <v>0</v>
      </c>
      <c r="E87" s="21">
        <f>SUMIFS(Einzelbeträge!$D:$D,Einzelbeträge!$C:$C,'Ausgaben 2027'!$C87,Einzelbeträge!$E:$E,'Ausgaben 2027'!E$6)</f>
        <v>0</v>
      </c>
      <c r="F87" s="21">
        <f>SUMIFS(Einzelbeträge!$D:$D,Einzelbeträge!$C:$C,'Ausgaben 2027'!$C87,Einzelbeträge!$E:$E,'Ausgaben 2027'!F$6)</f>
        <v>0</v>
      </c>
      <c r="G87" s="21">
        <f>SUMIFS(Einzelbeträge!$D:$D,Einzelbeträge!$C:$C,'Ausgaben 2027'!$C87,Einzelbeträge!$E:$E,'Ausgaben 2027'!G$6)</f>
        <v>0</v>
      </c>
      <c r="H87" s="21">
        <f>SUMIFS(Einzelbeträge!$D:$D,Einzelbeträge!$C:$C,'Ausgaben 2027'!$C87,Einzelbeträge!$E:$E,'Ausgaben 2027'!H$6)</f>
        <v>0</v>
      </c>
      <c r="I87" s="21">
        <f>SUMIFS(Einzelbeträge!$D:$D,Einzelbeträge!$C:$C,'Ausgaben 2027'!$C87,Einzelbeträge!$E:$E,'Ausgaben 2027'!I$6)</f>
        <v>0</v>
      </c>
      <c r="J87" s="21">
        <f>SUMIFS(Einzelbeträge!$D:$D,Einzelbeträge!$C:$C,'Ausgaben 2027'!$C87,Einzelbeträge!$E:$E,'Ausgaben 2027'!J$6)</f>
        <v>0</v>
      </c>
      <c r="K87" s="21">
        <f>SUMIFS(Einzelbeträge!$D:$D,Einzelbeträge!$C:$C,'Ausgaben 2027'!$C87,Einzelbeträge!$E:$E,'Ausgaben 2027'!K$6)</f>
        <v>0</v>
      </c>
      <c r="L87" s="21">
        <f>SUMIFS(Einzelbeträge!$D:$D,Einzelbeträge!$C:$C,'Ausgaben 2027'!$C87,Einzelbeträge!$E:$E,'Ausgaben 2027'!L$6)</f>
        <v>0</v>
      </c>
      <c r="M87" s="21">
        <f>SUMIFS(Einzelbeträge!$D:$D,Einzelbeträge!$C:$C,'Ausgaben 2027'!$C87,Einzelbeträge!$E:$E,'Ausgaben 2027'!M$6)</f>
        <v>0</v>
      </c>
      <c r="N87" s="35">
        <f>SUMIFS(Einzelbeträge!$D:$D,Einzelbeträge!$C:$C,'Ausgaben 2027'!$C87,Einzelbeträge!$E:$E,'Ausgaben 2027'!N$6)</f>
        <v>0</v>
      </c>
      <c r="O87" s="6"/>
    </row>
    <row r="88" spans="2:15" x14ac:dyDescent="0.35">
      <c r="B88" s="5"/>
      <c r="C88" s="40">
        <f t="shared" si="18"/>
        <v>46462</v>
      </c>
      <c r="D88" s="46">
        <f>SUMIFS(Einzelbeträge!$D:$D,Einzelbeträge!$C:$C,'Ausgaben 2027'!$C88)</f>
        <v>0</v>
      </c>
      <c r="E88" s="21">
        <f>SUMIFS(Einzelbeträge!$D:$D,Einzelbeträge!$C:$C,'Ausgaben 2027'!$C88,Einzelbeträge!$E:$E,'Ausgaben 2027'!E$6)</f>
        <v>0</v>
      </c>
      <c r="F88" s="21">
        <f>SUMIFS(Einzelbeträge!$D:$D,Einzelbeträge!$C:$C,'Ausgaben 2027'!$C88,Einzelbeträge!$E:$E,'Ausgaben 2027'!F$6)</f>
        <v>0</v>
      </c>
      <c r="G88" s="21">
        <f>SUMIFS(Einzelbeträge!$D:$D,Einzelbeträge!$C:$C,'Ausgaben 2027'!$C88,Einzelbeträge!$E:$E,'Ausgaben 2027'!G$6)</f>
        <v>0</v>
      </c>
      <c r="H88" s="21">
        <f>SUMIFS(Einzelbeträge!$D:$D,Einzelbeträge!$C:$C,'Ausgaben 2027'!$C88,Einzelbeträge!$E:$E,'Ausgaben 2027'!H$6)</f>
        <v>0</v>
      </c>
      <c r="I88" s="21">
        <f>SUMIFS(Einzelbeträge!$D:$D,Einzelbeträge!$C:$C,'Ausgaben 2027'!$C88,Einzelbeträge!$E:$E,'Ausgaben 2027'!I$6)</f>
        <v>0</v>
      </c>
      <c r="J88" s="21">
        <f>SUMIFS(Einzelbeträge!$D:$D,Einzelbeträge!$C:$C,'Ausgaben 2027'!$C88,Einzelbeträge!$E:$E,'Ausgaben 2027'!J$6)</f>
        <v>0</v>
      </c>
      <c r="K88" s="21">
        <f>SUMIFS(Einzelbeträge!$D:$D,Einzelbeträge!$C:$C,'Ausgaben 2027'!$C88,Einzelbeträge!$E:$E,'Ausgaben 2027'!K$6)</f>
        <v>0</v>
      </c>
      <c r="L88" s="21">
        <f>SUMIFS(Einzelbeträge!$D:$D,Einzelbeträge!$C:$C,'Ausgaben 2027'!$C88,Einzelbeträge!$E:$E,'Ausgaben 2027'!L$6)</f>
        <v>0</v>
      </c>
      <c r="M88" s="21">
        <f>SUMIFS(Einzelbeträge!$D:$D,Einzelbeträge!$C:$C,'Ausgaben 2027'!$C88,Einzelbeträge!$E:$E,'Ausgaben 2027'!M$6)</f>
        <v>0</v>
      </c>
      <c r="N88" s="35">
        <f>SUMIFS(Einzelbeträge!$D:$D,Einzelbeträge!$C:$C,'Ausgaben 2027'!$C88,Einzelbeträge!$E:$E,'Ausgaben 2027'!N$6)</f>
        <v>0</v>
      </c>
      <c r="O88" s="6"/>
    </row>
    <row r="89" spans="2:15" x14ac:dyDescent="0.35">
      <c r="B89" s="5"/>
      <c r="C89" s="40">
        <f t="shared" si="18"/>
        <v>46463</v>
      </c>
      <c r="D89" s="46">
        <f>SUMIFS(Einzelbeträge!$D:$D,Einzelbeträge!$C:$C,'Ausgaben 2027'!$C89)</f>
        <v>0</v>
      </c>
      <c r="E89" s="21">
        <f>SUMIFS(Einzelbeträge!$D:$D,Einzelbeträge!$C:$C,'Ausgaben 2027'!$C89,Einzelbeträge!$E:$E,'Ausgaben 2027'!E$6)</f>
        <v>0</v>
      </c>
      <c r="F89" s="21">
        <f>SUMIFS(Einzelbeträge!$D:$D,Einzelbeträge!$C:$C,'Ausgaben 2027'!$C89,Einzelbeträge!$E:$E,'Ausgaben 2027'!F$6)</f>
        <v>0</v>
      </c>
      <c r="G89" s="21">
        <f>SUMIFS(Einzelbeträge!$D:$D,Einzelbeträge!$C:$C,'Ausgaben 2027'!$C89,Einzelbeträge!$E:$E,'Ausgaben 2027'!G$6)</f>
        <v>0</v>
      </c>
      <c r="H89" s="21">
        <f>SUMIFS(Einzelbeträge!$D:$D,Einzelbeträge!$C:$C,'Ausgaben 2027'!$C89,Einzelbeträge!$E:$E,'Ausgaben 2027'!H$6)</f>
        <v>0</v>
      </c>
      <c r="I89" s="21">
        <f>SUMIFS(Einzelbeträge!$D:$D,Einzelbeträge!$C:$C,'Ausgaben 2027'!$C89,Einzelbeträge!$E:$E,'Ausgaben 2027'!I$6)</f>
        <v>0</v>
      </c>
      <c r="J89" s="21">
        <f>SUMIFS(Einzelbeträge!$D:$D,Einzelbeträge!$C:$C,'Ausgaben 2027'!$C89,Einzelbeträge!$E:$E,'Ausgaben 2027'!J$6)</f>
        <v>0</v>
      </c>
      <c r="K89" s="21">
        <f>SUMIFS(Einzelbeträge!$D:$D,Einzelbeträge!$C:$C,'Ausgaben 2027'!$C89,Einzelbeträge!$E:$E,'Ausgaben 2027'!K$6)</f>
        <v>0</v>
      </c>
      <c r="L89" s="21">
        <f>SUMIFS(Einzelbeträge!$D:$D,Einzelbeträge!$C:$C,'Ausgaben 2027'!$C89,Einzelbeträge!$E:$E,'Ausgaben 2027'!L$6)</f>
        <v>0</v>
      </c>
      <c r="M89" s="21">
        <f>SUMIFS(Einzelbeträge!$D:$D,Einzelbeträge!$C:$C,'Ausgaben 2027'!$C89,Einzelbeträge!$E:$E,'Ausgaben 2027'!M$6)</f>
        <v>0</v>
      </c>
      <c r="N89" s="35">
        <f>SUMIFS(Einzelbeträge!$D:$D,Einzelbeträge!$C:$C,'Ausgaben 2027'!$C89,Einzelbeträge!$E:$E,'Ausgaben 2027'!N$6)</f>
        <v>0</v>
      </c>
      <c r="O89" s="6"/>
    </row>
    <row r="90" spans="2:15" x14ac:dyDescent="0.35">
      <c r="B90" s="5"/>
      <c r="C90" s="40">
        <f t="shared" si="18"/>
        <v>46464</v>
      </c>
      <c r="D90" s="46">
        <f>SUMIFS(Einzelbeträge!$D:$D,Einzelbeträge!$C:$C,'Ausgaben 2027'!$C90)</f>
        <v>0</v>
      </c>
      <c r="E90" s="21">
        <f>SUMIFS(Einzelbeträge!$D:$D,Einzelbeträge!$C:$C,'Ausgaben 2027'!$C90,Einzelbeträge!$E:$E,'Ausgaben 2027'!E$6)</f>
        <v>0</v>
      </c>
      <c r="F90" s="21">
        <f>SUMIFS(Einzelbeträge!$D:$D,Einzelbeträge!$C:$C,'Ausgaben 2027'!$C90,Einzelbeträge!$E:$E,'Ausgaben 2027'!F$6)</f>
        <v>0</v>
      </c>
      <c r="G90" s="21">
        <f>SUMIFS(Einzelbeträge!$D:$D,Einzelbeträge!$C:$C,'Ausgaben 2027'!$C90,Einzelbeträge!$E:$E,'Ausgaben 2027'!G$6)</f>
        <v>0</v>
      </c>
      <c r="H90" s="21">
        <f>SUMIFS(Einzelbeträge!$D:$D,Einzelbeträge!$C:$C,'Ausgaben 2027'!$C90,Einzelbeträge!$E:$E,'Ausgaben 2027'!H$6)</f>
        <v>0</v>
      </c>
      <c r="I90" s="21">
        <f>SUMIFS(Einzelbeträge!$D:$D,Einzelbeträge!$C:$C,'Ausgaben 2027'!$C90,Einzelbeträge!$E:$E,'Ausgaben 2027'!I$6)</f>
        <v>0</v>
      </c>
      <c r="J90" s="21">
        <f>SUMIFS(Einzelbeträge!$D:$D,Einzelbeträge!$C:$C,'Ausgaben 2027'!$C90,Einzelbeträge!$E:$E,'Ausgaben 2027'!J$6)</f>
        <v>0</v>
      </c>
      <c r="K90" s="21">
        <f>SUMIFS(Einzelbeträge!$D:$D,Einzelbeträge!$C:$C,'Ausgaben 2027'!$C90,Einzelbeträge!$E:$E,'Ausgaben 2027'!K$6)</f>
        <v>0</v>
      </c>
      <c r="L90" s="21">
        <f>SUMIFS(Einzelbeträge!$D:$D,Einzelbeträge!$C:$C,'Ausgaben 2027'!$C90,Einzelbeträge!$E:$E,'Ausgaben 2027'!L$6)</f>
        <v>0</v>
      </c>
      <c r="M90" s="21">
        <f>SUMIFS(Einzelbeträge!$D:$D,Einzelbeträge!$C:$C,'Ausgaben 2027'!$C90,Einzelbeträge!$E:$E,'Ausgaben 2027'!M$6)</f>
        <v>0</v>
      </c>
      <c r="N90" s="35">
        <f>SUMIFS(Einzelbeträge!$D:$D,Einzelbeträge!$C:$C,'Ausgaben 2027'!$C90,Einzelbeträge!$E:$E,'Ausgaben 2027'!N$6)</f>
        <v>0</v>
      </c>
      <c r="O90" s="6"/>
    </row>
    <row r="91" spans="2:15" x14ac:dyDescent="0.35">
      <c r="B91" s="5"/>
      <c r="C91" s="40">
        <f t="shared" si="18"/>
        <v>46465</v>
      </c>
      <c r="D91" s="46">
        <f>SUMIFS(Einzelbeträge!$D:$D,Einzelbeträge!$C:$C,'Ausgaben 2027'!$C91)</f>
        <v>0</v>
      </c>
      <c r="E91" s="21">
        <f>SUMIFS(Einzelbeträge!$D:$D,Einzelbeträge!$C:$C,'Ausgaben 2027'!$C91,Einzelbeträge!$E:$E,'Ausgaben 2027'!E$6)</f>
        <v>0</v>
      </c>
      <c r="F91" s="21">
        <f>SUMIFS(Einzelbeträge!$D:$D,Einzelbeträge!$C:$C,'Ausgaben 2027'!$C91,Einzelbeträge!$E:$E,'Ausgaben 2027'!F$6)</f>
        <v>0</v>
      </c>
      <c r="G91" s="21">
        <f>SUMIFS(Einzelbeträge!$D:$D,Einzelbeträge!$C:$C,'Ausgaben 2027'!$C91,Einzelbeträge!$E:$E,'Ausgaben 2027'!G$6)</f>
        <v>0</v>
      </c>
      <c r="H91" s="21">
        <f>SUMIFS(Einzelbeträge!$D:$D,Einzelbeträge!$C:$C,'Ausgaben 2027'!$C91,Einzelbeträge!$E:$E,'Ausgaben 2027'!H$6)</f>
        <v>0</v>
      </c>
      <c r="I91" s="21">
        <f>SUMIFS(Einzelbeträge!$D:$D,Einzelbeträge!$C:$C,'Ausgaben 2027'!$C91,Einzelbeträge!$E:$E,'Ausgaben 2027'!I$6)</f>
        <v>0</v>
      </c>
      <c r="J91" s="21">
        <f>SUMIFS(Einzelbeträge!$D:$D,Einzelbeträge!$C:$C,'Ausgaben 2027'!$C91,Einzelbeträge!$E:$E,'Ausgaben 2027'!J$6)</f>
        <v>0</v>
      </c>
      <c r="K91" s="21">
        <f>SUMIFS(Einzelbeträge!$D:$D,Einzelbeträge!$C:$C,'Ausgaben 2027'!$C91,Einzelbeträge!$E:$E,'Ausgaben 2027'!K$6)</f>
        <v>0</v>
      </c>
      <c r="L91" s="21">
        <f>SUMIFS(Einzelbeträge!$D:$D,Einzelbeträge!$C:$C,'Ausgaben 2027'!$C91,Einzelbeträge!$E:$E,'Ausgaben 2027'!L$6)</f>
        <v>0</v>
      </c>
      <c r="M91" s="21">
        <f>SUMIFS(Einzelbeträge!$D:$D,Einzelbeträge!$C:$C,'Ausgaben 2027'!$C91,Einzelbeträge!$E:$E,'Ausgaben 2027'!M$6)</f>
        <v>0</v>
      </c>
      <c r="N91" s="35">
        <f>SUMIFS(Einzelbeträge!$D:$D,Einzelbeträge!$C:$C,'Ausgaben 2027'!$C91,Einzelbeträge!$E:$E,'Ausgaben 2027'!N$6)</f>
        <v>0</v>
      </c>
      <c r="O91" s="6"/>
    </row>
    <row r="92" spans="2:15" x14ac:dyDescent="0.35">
      <c r="B92" s="5"/>
      <c r="C92" s="40">
        <f t="shared" si="18"/>
        <v>46466</v>
      </c>
      <c r="D92" s="46">
        <f>SUMIFS(Einzelbeträge!$D:$D,Einzelbeträge!$C:$C,'Ausgaben 2027'!$C92)</f>
        <v>0</v>
      </c>
      <c r="E92" s="21">
        <f>SUMIFS(Einzelbeträge!$D:$D,Einzelbeträge!$C:$C,'Ausgaben 2027'!$C92,Einzelbeträge!$E:$E,'Ausgaben 2027'!E$6)</f>
        <v>0</v>
      </c>
      <c r="F92" s="21">
        <f>SUMIFS(Einzelbeträge!$D:$D,Einzelbeträge!$C:$C,'Ausgaben 2027'!$C92,Einzelbeträge!$E:$E,'Ausgaben 2027'!F$6)</f>
        <v>0</v>
      </c>
      <c r="G92" s="21">
        <f>SUMIFS(Einzelbeträge!$D:$D,Einzelbeträge!$C:$C,'Ausgaben 2027'!$C92,Einzelbeträge!$E:$E,'Ausgaben 2027'!G$6)</f>
        <v>0</v>
      </c>
      <c r="H92" s="21">
        <f>SUMIFS(Einzelbeträge!$D:$D,Einzelbeträge!$C:$C,'Ausgaben 2027'!$C92,Einzelbeträge!$E:$E,'Ausgaben 2027'!H$6)</f>
        <v>0</v>
      </c>
      <c r="I92" s="21">
        <f>SUMIFS(Einzelbeträge!$D:$D,Einzelbeträge!$C:$C,'Ausgaben 2027'!$C92,Einzelbeträge!$E:$E,'Ausgaben 2027'!I$6)</f>
        <v>0</v>
      </c>
      <c r="J92" s="21">
        <f>SUMIFS(Einzelbeträge!$D:$D,Einzelbeträge!$C:$C,'Ausgaben 2027'!$C92,Einzelbeträge!$E:$E,'Ausgaben 2027'!J$6)</f>
        <v>0</v>
      </c>
      <c r="K92" s="21">
        <f>SUMIFS(Einzelbeträge!$D:$D,Einzelbeträge!$C:$C,'Ausgaben 2027'!$C92,Einzelbeträge!$E:$E,'Ausgaben 2027'!K$6)</f>
        <v>0</v>
      </c>
      <c r="L92" s="21">
        <f>SUMIFS(Einzelbeträge!$D:$D,Einzelbeträge!$C:$C,'Ausgaben 2027'!$C92,Einzelbeträge!$E:$E,'Ausgaben 2027'!L$6)</f>
        <v>0</v>
      </c>
      <c r="M92" s="21">
        <f>SUMIFS(Einzelbeträge!$D:$D,Einzelbeträge!$C:$C,'Ausgaben 2027'!$C92,Einzelbeträge!$E:$E,'Ausgaben 2027'!M$6)</f>
        <v>0</v>
      </c>
      <c r="N92" s="35">
        <f>SUMIFS(Einzelbeträge!$D:$D,Einzelbeträge!$C:$C,'Ausgaben 2027'!$C92,Einzelbeträge!$E:$E,'Ausgaben 2027'!N$6)</f>
        <v>0</v>
      </c>
      <c r="O92" s="6"/>
    </row>
    <row r="93" spans="2:15" x14ac:dyDescent="0.35">
      <c r="B93" s="5"/>
      <c r="C93" s="40">
        <f t="shared" si="18"/>
        <v>46467</v>
      </c>
      <c r="D93" s="46">
        <f>SUMIFS(Einzelbeträge!$D:$D,Einzelbeträge!$C:$C,'Ausgaben 2027'!$C93)</f>
        <v>0</v>
      </c>
      <c r="E93" s="21">
        <f>SUMIFS(Einzelbeträge!$D:$D,Einzelbeträge!$C:$C,'Ausgaben 2027'!$C93,Einzelbeträge!$E:$E,'Ausgaben 2027'!E$6)</f>
        <v>0</v>
      </c>
      <c r="F93" s="21">
        <f>SUMIFS(Einzelbeträge!$D:$D,Einzelbeträge!$C:$C,'Ausgaben 2027'!$C93,Einzelbeträge!$E:$E,'Ausgaben 2027'!F$6)</f>
        <v>0</v>
      </c>
      <c r="G93" s="21">
        <f>SUMIFS(Einzelbeträge!$D:$D,Einzelbeträge!$C:$C,'Ausgaben 2027'!$C93,Einzelbeträge!$E:$E,'Ausgaben 2027'!G$6)</f>
        <v>0</v>
      </c>
      <c r="H93" s="21">
        <f>SUMIFS(Einzelbeträge!$D:$D,Einzelbeträge!$C:$C,'Ausgaben 2027'!$C93,Einzelbeträge!$E:$E,'Ausgaben 2027'!H$6)</f>
        <v>0</v>
      </c>
      <c r="I93" s="21">
        <f>SUMIFS(Einzelbeträge!$D:$D,Einzelbeträge!$C:$C,'Ausgaben 2027'!$C93,Einzelbeträge!$E:$E,'Ausgaben 2027'!I$6)</f>
        <v>0</v>
      </c>
      <c r="J93" s="21">
        <f>SUMIFS(Einzelbeträge!$D:$D,Einzelbeträge!$C:$C,'Ausgaben 2027'!$C93,Einzelbeträge!$E:$E,'Ausgaben 2027'!J$6)</f>
        <v>0</v>
      </c>
      <c r="K93" s="21">
        <f>SUMIFS(Einzelbeträge!$D:$D,Einzelbeträge!$C:$C,'Ausgaben 2027'!$C93,Einzelbeträge!$E:$E,'Ausgaben 2027'!K$6)</f>
        <v>0</v>
      </c>
      <c r="L93" s="21">
        <f>SUMIFS(Einzelbeträge!$D:$D,Einzelbeträge!$C:$C,'Ausgaben 2027'!$C93,Einzelbeträge!$E:$E,'Ausgaben 2027'!L$6)</f>
        <v>0</v>
      </c>
      <c r="M93" s="21">
        <f>SUMIFS(Einzelbeträge!$D:$D,Einzelbeträge!$C:$C,'Ausgaben 2027'!$C93,Einzelbeträge!$E:$E,'Ausgaben 2027'!M$6)</f>
        <v>0</v>
      </c>
      <c r="N93" s="35">
        <f>SUMIFS(Einzelbeträge!$D:$D,Einzelbeträge!$C:$C,'Ausgaben 2027'!$C93,Einzelbeträge!$E:$E,'Ausgaben 2027'!N$6)</f>
        <v>0</v>
      </c>
      <c r="O93" s="6"/>
    </row>
    <row r="94" spans="2:15" x14ac:dyDescent="0.35">
      <c r="B94" s="5"/>
      <c r="C94" s="40">
        <f t="shared" si="18"/>
        <v>46468</v>
      </c>
      <c r="D94" s="46">
        <f>SUMIFS(Einzelbeträge!$D:$D,Einzelbeträge!$C:$C,'Ausgaben 2027'!$C94)</f>
        <v>0</v>
      </c>
      <c r="E94" s="21">
        <f>SUMIFS(Einzelbeträge!$D:$D,Einzelbeträge!$C:$C,'Ausgaben 2027'!$C94,Einzelbeträge!$E:$E,'Ausgaben 2027'!E$6)</f>
        <v>0</v>
      </c>
      <c r="F94" s="21">
        <f>SUMIFS(Einzelbeträge!$D:$D,Einzelbeträge!$C:$C,'Ausgaben 2027'!$C94,Einzelbeträge!$E:$E,'Ausgaben 2027'!F$6)</f>
        <v>0</v>
      </c>
      <c r="G94" s="21">
        <f>SUMIFS(Einzelbeträge!$D:$D,Einzelbeträge!$C:$C,'Ausgaben 2027'!$C94,Einzelbeträge!$E:$E,'Ausgaben 2027'!G$6)</f>
        <v>0</v>
      </c>
      <c r="H94" s="21">
        <f>SUMIFS(Einzelbeträge!$D:$D,Einzelbeträge!$C:$C,'Ausgaben 2027'!$C94,Einzelbeträge!$E:$E,'Ausgaben 2027'!H$6)</f>
        <v>0</v>
      </c>
      <c r="I94" s="21">
        <f>SUMIFS(Einzelbeträge!$D:$D,Einzelbeträge!$C:$C,'Ausgaben 2027'!$C94,Einzelbeträge!$E:$E,'Ausgaben 2027'!I$6)</f>
        <v>0</v>
      </c>
      <c r="J94" s="21">
        <f>SUMIFS(Einzelbeträge!$D:$D,Einzelbeträge!$C:$C,'Ausgaben 2027'!$C94,Einzelbeträge!$E:$E,'Ausgaben 2027'!J$6)</f>
        <v>0</v>
      </c>
      <c r="K94" s="21">
        <f>SUMIFS(Einzelbeträge!$D:$D,Einzelbeträge!$C:$C,'Ausgaben 2027'!$C94,Einzelbeträge!$E:$E,'Ausgaben 2027'!K$6)</f>
        <v>0</v>
      </c>
      <c r="L94" s="21">
        <f>SUMIFS(Einzelbeträge!$D:$D,Einzelbeträge!$C:$C,'Ausgaben 2027'!$C94,Einzelbeträge!$E:$E,'Ausgaben 2027'!L$6)</f>
        <v>0</v>
      </c>
      <c r="M94" s="21">
        <f>SUMIFS(Einzelbeträge!$D:$D,Einzelbeträge!$C:$C,'Ausgaben 2027'!$C94,Einzelbeträge!$E:$E,'Ausgaben 2027'!M$6)</f>
        <v>0</v>
      </c>
      <c r="N94" s="35">
        <f>SUMIFS(Einzelbeträge!$D:$D,Einzelbeträge!$C:$C,'Ausgaben 2027'!$C94,Einzelbeträge!$E:$E,'Ausgaben 2027'!N$6)</f>
        <v>0</v>
      </c>
      <c r="O94" s="6"/>
    </row>
    <row r="95" spans="2:15" x14ac:dyDescent="0.35">
      <c r="B95" s="5"/>
      <c r="C95" s="40">
        <f t="shared" si="18"/>
        <v>46469</v>
      </c>
      <c r="D95" s="46">
        <f>SUMIFS(Einzelbeträge!$D:$D,Einzelbeträge!$C:$C,'Ausgaben 2027'!$C95)</f>
        <v>0</v>
      </c>
      <c r="E95" s="21">
        <f>SUMIFS(Einzelbeträge!$D:$D,Einzelbeträge!$C:$C,'Ausgaben 2027'!$C95,Einzelbeträge!$E:$E,'Ausgaben 2027'!E$6)</f>
        <v>0</v>
      </c>
      <c r="F95" s="21">
        <f>SUMIFS(Einzelbeträge!$D:$D,Einzelbeträge!$C:$C,'Ausgaben 2027'!$C95,Einzelbeträge!$E:$E,'Ausgaben 2027'!F$6)</f>
        <v>0</v>
      </c>
      <c r="G95" s="21">
        <f>SUMIFS(Einzelbeträge!$D:$D,Einzelbeträge!$C:$C,'Ausgaben 2027'!$C95,Einzelbeträge!$E:$E,'Ausgaben 2027'!G$6)</f>
        <v>0</v>
      </c>
      <c r="H95" s="21">
        <f>SUMIFS(Einzelbeträge!$D:$D,Einzelbeträge!$C:$C,'Ausgaben 2027'!$C95,Einzelbeträge!$E:$E,'Ausgaben 2027'!H$6)</f>
        <v>0</v>
      </c>
      <c r="I95" s="21">
        <f>SUMIFS(Einzelbeträge!$D:$D,Einzelbeträge!$C:$C,'Ausgaben 2027'!$C95,Einzelbeträge!$E:$E,'Ausgaben 2027'!I$6)</f>
        <v>0</v>
      </c>
      <c r="J95" s="21">
        <f>SUMIFS(Einzelbeträge!$D:$D,Einzelbeträge!$C:$C,'Ausgaben 2027'!$C95,Einzelbeträge!$E:$E,'Ausgaben 2027'!J$6)</f>
        <v>0</v>
      </c>
      <c r="K95" s="21">
        <f>SUMIFS(Einzelbeträge!$D:$D,Einzelbeträge!$C:$C,'Ausgaben 2027'!$C95,Einzelbeträge!$E:$E,'Ausgaben 2027'!K$6)</f>
        <v>0</v>
      </c>
      <c r="L95" s="21">
        <f>SUMIFS(Einzelbeträge!$D:$D,Einzelbeträge!$C:$C,'Ausgaben 2027'!$C95,Einzelbeträge!$E:$E,'Ausgaben 2027'!L$6)</f>
        <v>0</v>
      </c>
      <c r="M95" s="21">
        <f>SUMIFS(Einzelbeträge!$D:$D,Einzelbeträge!$C:$C,'Ausgaben 2027'!$C95,Einzelbeträge!$E:$E,'Ausgaben 2027'!M$6)</f>
        <v>0</v>
      </c>
      <c r="N95" s="35">
        <f>SUMIFS(Einzelbeträge!$D:$D,Einzelbeträge!$C:$C,'Ausgaben 2027'!$C95,Einzelbeträge!$E:$E,'Ausgaben 2027'!N$6)</f>
        <v>0</v>
      </c>
      <c r="O95" s="6"/>
    </row>
    <row r="96" spans="2:15" x14ac:dyDescent="0.35">
      <c r="B96" s="5"/>
      <c r="C96" s="40">
        <f t="shared" si="18"/>
        <v>46470</v>
      </c>
      <c r="D96" s="46">
        <f>SUMIFS(Einzelbeträge!$D:$D,Einzelbeträge!$C:$C,'Ausgaben 2027'!$C96)</f>
        <v>0</v>
      </c>
      <c r="E96" s="21">
        <f>SUMIFS(Einzelbeträge!$D:$D,Einzelbeträge!$C:$C,'Ausgaben 2027'!$C96,Einzelbeträge!$E:$E,'Ausgaben 2027'!E$6)</f>
        <v>0</v>
      </c>
      <c r="F96" s="21">
        <f>SUMIFS(Einzelbeträge!$D:$D,Einzelbeträge!$C:$C,'Ausgaben 2027'!$C96,Einzelbeträge!$E:$E,'Ausgaben 2027'!F$6)</f>
        <v>0</v>
      </c>
      <c r="G96" s="21">
        <f>SUMIFS(Einzelbeträge!$D:$D,Einzelbeträge!$C:$C,'Ausgaben 2027'!$C96,Einzelbeträge!$E:$E,'Ausgaben 2027'!G$6)</f>
        <v>0</v>
      </c>
      <c r="H96" s="21">
        <f>SUMIFS(Einzelbeträge!$D:$D,Einzelbeträge!$C:$C,'Ausgaben 2027'!$C96,Einzelbeträge!$E:$E,'Ausgaben 2027'!H$6)</f>
        <v>0</v>
      </c>
      <c r="I96" s="21">
        <f>SUMIFS(Einzelbeträge!$D:$D,Einzelbeträge!$C:$C,'Ausgaben 2027'!$C96,Einzelbeträge!$E:$E,'Ausgaben 2027'!I$6)</f>
        <v>0</v>
      </c>
      <c r="J96" s="21">
        <f>SUMIFS(Einzelbeträge!$D:$D,Einzelbeträge!$C:$C,'Ausgaben 2027'!$C96,Einzelbeträge!$E:$E,'Ausgaben 2027'!J$6)</f>
        <v>0</v>
      </c>
      <c r="K96" s="21">
        <f>SUMIFS(Einzelbeträge!$D:$D,Einzelbeträge!$C:$C,'Ausgaben 2027'!$C96,Einzelbeträge!$E:$E,'Ausgaben 2027'!K$6)</f>
        <v>0</v>
      </c>
      <c r="L96" s="21">
        <f>SUMIFS(Einzelbeträge!$D:$D,Einzelbeträge!$C:$C,'Ausgaben 2027'!$C96,Einzelbeträge!$E:$E,'Ausgaben 2027'!L$6)</f>
        <v>0</v>
      </c>
      <c r="M96" s="21">
        <f>SUMIFS(Einzelbeträge!$D:$D,Einzelbeträge!$C:$C,'Ausgaben 2027'!$C96,Einzelbeträge!$E:$E,'Ausgaben 2027'!M$6)</f>
        <v>0</v>
      </c>
      <c r="N96" s="35">
        <f>SUMIFS(Einzelbeträge!$D:$D,Einzelbeträge!$C:$C,'Ausgaben 2027'!$C96,Einzelbeträge!$E:$E,'Ausgaben 2027'!N$6)</f>
        <v>0</v>
      </c>
      <c r="O96" s="6"/>
    </row>
    <row r="97" spans="2:15" x14ac:dyDescent="0.35">
      <c r="B97" s="5"/>
      <c r="C97" s="40">
        <f t="shared" si="18"/>
        <v>46471</v>
      </c>
      <c r="D97" s="46">
        <f>SUMIFS(Einzelbeträge!$D:$D,Einzelbeträge!$C:$C,'Ausgaben 2027'!$C97)</f>
        <v>0</v>
      </c>
      <c r="E97" s="21">
        <f>SUMIFS(Einzelbeträge!$D:$D,Einzelbeträge!$C:$C,'Ausgaben 2027'!$C97,Einzelbeträge!$E:$E,'Ausgaben 2027'!E$6)</f>
        <v>0</v>
      </c>
      <c r="F97" s="21">
        <f>SUMIFS(Einzelbeträge!$D:$D,Einzelbeträge!$C:$C,'Ausgaben 2027'!$C97,Einzelbeträge!$E:$E,'Ausgaben 2027'!F$6)</f>
        <v>0</v>
      </c>
      <c r="G97" s="21">
        <f>SUMIFS(Einzelbeträge!$D:$D,Einzelbeträge!$C:$C,'Ausgaben 2027'!$C97,Einzelbeträge!$E:$E,'Ausgaben 2027'!G$6)</f>
        <v>0</v>
      </c>
      <c r="H97" s="21">
        <f>SUMIFS(Einzelbeträge!$D:$D,Einzelbeträge!$C:$C,'Ausgaben 2027'!$C97,Einzelbeträge!$E:$E,'Ausgaben 2027'!H$6)</f>
        <v>0</v>
      </c>
      <c r="I97" s="21">
        <f>SUMIFS(Einzelbeträge!$D:$D,Einzelbeträge!$C:$C,'Ausgaben 2027'!$C97,Einzelbeträge!$E:$E,'Ausgaben 2027'!I$6)</f>
        <v>0</v>
      </c>
      <c r="J97" s="21">
        <f>SUMIFS(Einzelbeträge!$D:$D,Einzelbeträge!$C:$C,'Ausgaben 2027'!$C97,Einzelbeträge!$E:$E,'Ausgaben 2027'!J$6)</f>
        <v>0</v>
      </c>
      <c r="K97" s="21">
        <f>SUMIFS(Einzelbeträge!$D:$D,Einzelbeträge!$C:$C,'Ausgaben 2027'!$C97,Einzelbeträge!$E:$E,'Ausgaben 2027'!K$6)</f>
        <v>0</v>
      </c>
      <c r="L97" s="21">
        <f>SUMIFS(Einzelbeträge!$D:$D,Einzelbeträge!$C:$C,'Ausgaben 2027'!$C97,Einzelbeträge!$E:$E,'Ausgaben 2027'!L$6)</f>
        <v>0</v>
      </c>
      <c r="M97" s="21">
        <f>SUMIFS(Einzelbeträge!$D:$D,Einzelbeträge!$C:$C,'Ausgaben 2027'!$C97,Einzelbeträge!$E:$E,'Ausgaben 2027'!M$6)</f>
        <v>0</v>
      </c>
      <c r="N97" s="35">
        <f>SUMIFS(Einzelbeträge!$D:$D,Einzelbeträge!$C:$C,'Ausgaben 2027'!$C97,Einzelbeträge!$E:$E,'Ausgaben 2027'!N$6)</f>
        <v>0</v>
      </c>
      <c r="O97" s="6"/>
    </row>
    <row r="98" spans="2:15" x14ac:dyDescent="0.35">
      <c r="B98" s="5"/>
      <c r="C98" s="40">
        <f t="shared" si="18"/>
        <v>46472</v>
      </c>
      <c r="D98" s="46">
        <f>SUMIFS(Einzelbeträge!$D:$D,Einzelbeträge!$C:$C,'Ausgaben 2027'!$C98)</f>
        <v>0</v>
      </c>
      <c r="E98" s="21">
        <f>SUMIFS(Einzelbeträge!$D:$D,Einzelbeträge!$C:$C,'Ausgaben 2027'!$C98,Einzelbeträge!$E:$E,'Ausgaben 2027'!E$6)</f>
        <v>0</v>
      </c>
      <c r="F98" s="21">
        <f>SUMIFS(Einzelbeträge!$D:$D,Einzelbeträge!$C:$C,'Ausgaben 2027'!$C98,Einzelbeträge!$E:$E,'Ausgaben 2027'!F$6)</f>
        <v>0</v>
      </c>
      <c r="G98" s="21">
        <f>SUMIFS(Einzelbeträge!$D:$D,Einzelbeträge!$C:$C,'Ausgaben 2027'!$C98,Einzelbeträge!$E:$E,'Ausgaben 2027'!G$6)</f>
        <v>0</v>
      </c>
      <c r="H98" s="21">
        <f>SUMIFS(Einzelbeträge!$D:$D,Einzelbeträge!$C:$C,'Ausgaben 2027'!$C98,Einzelbeträge!$E:$E,'Ausgaben 2027'!H$6)</f>
        <v>0</v>
      </c>
      <c r="I98" s="21">
        <f>SUMIFS(Einzelbeträge!$D:$D,Einzelbeträge!$C:$C,'Ausgaben 2027'!$C98,Einzelbeträge!$E:$E,'Ausgaben 2027'!I$6)</f>
        <v>0</v>
      </c>
      <c r="J98" s="21">
        <f>SUMIFS(Einzelbeträge!$D:$D,Einzelbeträge!$C:$C,'Ausgaben 2027'!$C98,Einzelbeträge!$E:$E,'Ausgaben 2027'!J$6)</f>
        <v>0</v>
      </c>
      <c r="K98" s="21">
        <f>SUMIFS(Einzelbeträge!$D:$D,Einzelbeträge!$C:$C,'Ausgaben 2027'!$C98,Einzelbeträge!$E:$E,'Ausgaben 2027'!K$6)</f>
        <v>0</v>
      </c>
      <c r="L98" s="21">
        <f>SUMIFS(Einzelbeträge!$D:$D,Einzelbeträge!$C:$C,'Ausgaben 2027'!$C98,Einzelbeträge!$E:$E,'Ausgaben 2027'!L$6)</f>
        <v>0</v>
      </c>
      <c r="M98" s="21">
        <f>SUMIFS(Einzelbeträge!$D:$D,Einzelbeträge!$C:$C,'Ausgaben 2027'!$C98,Einzelbeträge!$E:$E,'Ausgaben 2027'!M$6)</f>
        <v>0</v>
      </c>
      <c r="N98" s="35">
        <f>SUMIFS(Einzelbeträge!$D:$D,Einzelbeträge!$C:$C,'Ausgaben 2027'!$C98,Einzelbeträge!$E:$E,'Ausgaben 2027'!N$6)</f>
        <v>0</v>
      </c>
      <c r="O98" s="6"/>
    </row>
    <row r="99" spans="2:15" x14ac:dyDescent="0.35">
      <c r="B99" s="5"/>
      <c r="C99" s="40">
        <f t="shared" si="18"/>
        <v>46473</v>
      </c>
      <c r="D99" s="46">
        <f>SUMIFS(Einzelbeträge!$D:$D,Einzelbeträge!$C:$C,'Ausgaben 2027'!$C99)</f>
        <v>0</v>
      </c>
      <c r="E99" s="21">
        <f>SUMIFS(Einzelbeträge!$D:$D,Einzelbeträge!$C:$C,'Ausgaben 2027'!$C99,Einzelbeträge!$E:$E,'Ausgaben 2027'!E$6)</f>
        <v>0</v>
      </c>
      <c r="F99" s="21">
        <f>SUMIFS(Einzelbeträge!$D:$D,Einzelbeträge!$C:$C,'Ausgaben 2027'!$C99,Einzelbeträge!$E:$E,'Ausgaben 2027'!F$6)</f>
        <v>0</v>
      </c>
      <c r="G99" s="21">
        <f>SUMIFS(Einzelbeträge!$D:$D,Einzelbeträge!$C:$C,'Ausgaben 2027'!$C99,Einzelbeträge!$E:$E,'Ausgaben 2027'!G$6)</f>
        <v>0</v>
      </c>
      <c r="H99" s="21">
        <f>SUMIFS(Einzelbeträge!$D:$D,Einzelbeträge!$C:$C,'Ausgaben 2027'!$C99,Einzelbeträge!$E:$E,'Ausgaben 2027'!H$6)</f>
        <v>0</v>
      </c>
      <c r="I99" s="21">
        <f>SUMIFS(Einzelbeträge!$D:$D,Einzelbeträge!$C:$C,'Ausgaben 2027'!$C99,Einzelbeträge!$E:$E,'Ausgaben 2027'!I$6)</f>
        <v>0</v>
      </c>
      <c r="J99" s="21">
        <f>SUMIFS(Einzelbeträge!$D:$D,Einzelbeträge!$C:$C,'Ausgaben 2027'!$C99,Einzelbeträge!$E:$E,'Ausgaben 2027'!J$6)</f>
        <v>0</v>
      </c>
      <c r="K99" s="21">
        <f>SUMIFS(Einzelbeträge!$D:$D,Einzelbeträge!$C:$C,'Ausgaben 2027'!$C99,Einzelbeträge!$E:$E,'Ausgaben 2027'!K$6)</f>
        <v>0</v>
      </c>
      <c r="L99" s="21">
        <f>SUMIFS(Einzelbeträge!$D:$D,Einzelbeträge!$C:$C,'Ausgaben 2027'!$C99,Einzelbeträge!$E:$E,'Ausgaben 2027'!L$6)</f>
        <v>0</v>
      </c>
      <c r="M99" s="21">
        <f>SUMIFS(Einzelbeträge!$D:$D,Einzelbeträge!$C:$C,'Ausgaben 2027'!$C99,Einzelbeträge!$E:$E,'Ausgaben 2027'!M$6)</f>
        <v>0</v>
      </c>
      <c r="N99" s="35">
        <f>SUMIFS(Einzelbeträge!$D:$D,Einzelbeträge!$C:$C,'Ausgaben 2027'!$C99,Einzelbeträge!$E:$E,'Ausgaben 2027'!N$6)</f>
        <v>0</v>
      </c>
      <c r="O99" s="6"/>
    </row>
    <row r="100" spans="2:15" x14ac:dyDescent="0.35">
      <c r="B100" s="5"/>
      <c r="C100" s="40">
        <f t="shared" si="18"/>
        <v>46474</v>
      </c>
      <c r="D100" s="46">
        <f>SUMIFS(Einzelbeträge!$D:$D,Einzelbeträge!$C:$C,'Ausgaben 2027'!$C100)</f>
        <v>0</v>
      </c>
      <c r="E100" s="21">
        <f>SUMIFS(Einzelbeträge!$D:$D,Einzelbeträge!$C:$C,'Ausgaben 2027'!$C100,Einzelbeträge!$E:$E,'Ausgaben 2027'!E$6)</f>
        <v>0</v>
      </c>
      <c r="F100" s="21">
        <f>SUMIFS(Einzelbeträge!$D:$D,Einzelbeträge!$C:$C,'Ausgaben 2027'!$C100,Einzelbeträge!$E:$E,'Ausgaben 2027'!F$6)</f>
        <v>0</v>
      </c>
      <c r="G100" s="21">
        <f>SUMIFS(Einzelbeträge!$D:$D,Einzelbeträge!$C:$C,'Ausgaben 2027'!$C100,Einzelbeträge!$E:$E,'Ausgaben 2027'!G$6)</f>
        <v>0</v>
      </c>
      <c r="H100" s="21">
        <f>SUMIFS(Einzelbeträge!$D:$D,Einzelbeträge!$C:$C,'Ausgaben 2027'!$C100,Einzelbeträge!$E:$E,'Ausgaben 2027'!H$6)</f>
        <v>0</v>
      </c>
      <c r="I100" s="21">
        <f>SUMIFS(Einzelbeträge!$D:$D,Einzelbeträge!$C:$C,'Ausgaben 2027'!$C100,Einzelbeträge!$E:$E,'Ausgaben 2027'!I$6)</f>
        <v>0</v>
      </c>
      <c r="J100" s="21">
        <f>SUMIFS(Einzelbeträge!$D:$D,Einzelbeträge!$C:$C,'Ausgaben 2027'!$C100,Einzelbeträge!$E:$E,'Ausgaben 2027'!J$6)</f>
        <v>0</v>
      </c>
      <c r="K100" s="21">
        <f>SUMIFS(Einzelbeträge!$D:$D,Einzelbeträge!$C:$C,'Ausgaben 2027'!$C100,Einzelbeträge!$E:$E,'Ausgaben 2027'!K$6)</f>
        <v>0</v>
      </c>
      <c r="L100" s="21">
        <f>SUMIFS(Einzelbeträge!$D:$D,Einzelbeträge!$C:$C,'Ausgaben 2027'!$C100,Einzelbeträge!$E:$E,'Ausgaben 2027'!L$6)</f>
        <v>0</v>
      </c>
      <c r="M100" s="21">
        <f>SUMIFS(Einzelbeträge!$D:$D,Einzelbeträge!$C:$C,'Ausgaben 2027'!$C100,Einzelbeträge!$E:$E,'Ausgaben 2027'!M$6)</f>
        <v>0</v>
      </c>
      <c r="N100" s="35">
        <f>SUMIFS(Einzelbeträge!$D:$D,Einzelbeträge!$C:$C,'Ausgaben 2027'!$C100,Einzelbeträge!$E:$E,'Ausgaben 2027'!N$6)</f>
        <v>0</v>
      </c>
      <c r="O100" s="6"/>
    </row>
    <row r="101" spans="2:15" x14ac:dyDescent="0.35">
      <c r="B101" s="5"/>
      <c r="C101" s="40">
        <f t="shared" si="18"/>
        <v>46475</v>
      </c>
      <c r="D101" s="46">
        <f>SUMIFS(Einzelbeträge!$D:$D,Einzelbeträge!$C:$C,'Ausgaben 2027'!$C101)</f>
        <v>0</v>
      </c>
      <c r="E101" s="21">
        <f>SUMIFS(Einzelbeträge!$D:$D,Einzelbeträge!$C:$C,'Ausgaben 2027'!$C101,Einzelbeträge!$E:$E,'Ausgaben 2027'!E$6)</f>
        <v>0</v>
      </c>
      <c r="F101" s="21">
        <f>SUMIFS(Einzelbeträge!$D:$D,Einzelbeträge!$C:$C,'Ausgaben 2027'!$C101,Einzelbeträge!$E:$E,'Ausgaben 2027'!F$6)</f>
        <v>0</v>
      </c>
      <c r="G101" s="21">
        <f>SUMIFS(Einzelbeträge!$D:$D,Einzelbeträge!$C:$C,'Ausgaben 2027'!$C101,Einzelbeträge!$E:$E,'Ausgaben 2027'!G$6)</f>
        <v>0</v>
      </c>
      <c r="H101" s="21">
        <f>SUMIFS(Einzelbeträge!$D:$D,Einzelbeträge!$C:$C,'Ausgaben 2027'!$C101,Einzelbeträge!$E:$E,'Ausgaben 2027'!H$6)</f>
        <v>0</v>
      </c>
      <c r="I101" s="21">
        <f>SUMIFS(Einzelbeträge!$D:$D,Einzelbeträge!$C:$C,'Ausgaben 2027'!$C101,Einzelbeträge!$E:$E,'Ausgaben 2027'!I$6)</f>
        <v>0</v>
      </c>
      <c r="J101" s="21">
        <f>SUMIFS(Einzelbeträge!$D:$D,Einzelbeträge!$C:$C,'Ausgaben 2027'!$C101,Einzelbeträge!$E:$E,'Ausgaben 2027'!J$6)</f>
        <v>0</v>
      </c>
      <c r="K101" s="21">
        <f>SUMIFS(Einzelbeträge!$D:$D,Einzelbeträge!$C:$C,'Ausgaben 2027'!$C101,Einzelbeträge!$E:$E,'Ausgaben 2027'!K$6)</f>
        <v>0</v>
      </c>
      <c r="L101" s="21">
        <f>SUMIFS(Einzelbeträge!$D:$D,Einzelbeträge!$C:$C,'Ausgaben 2027'!$C101,Einzelbeträge!$E:$E,'Ausgaben 2027'!L$6)</f>
        <v>0</v>
      </c>
      <c r="M101" s="21">
        <f>SUMIFS(Einzelbeträge!$D:$D,Einzelbeträge!$C:$C,'Ausgaben 2027'!$C101,Einzelbeträge!$E:$E,'Ausgaben 2027'!M$6)</f>
        <v>0</v>
      </c>
      <c r="N101" s="35">
        <f>SUMIFS(Einzelbeträge!$D:$D,Einzelbeträge!$C:$C,'Ausgaben 2027'!$C101,Einzelbeträge!$E:$E,'Ausgaben 2027'!N$6)</f>
        <v>0</v>
      </c>
      <c r="O101" s="6"/>
    </row>
    <row r="102" spans="2:15" x14ac:dyDescent="0.35">
      <c r="B102" s="5"/>
      <c r="C102" s="40">
        <f t="shared" si="18"/>
        <v>46476</v>
      </c>
      <c r="D102" s="46">
        <f>SUMIFS(Einzelbeträge!$D:$D,Einzelbeträge!$C:$C,'Ausgaben 2027'!$C102)</f>
        <v>0</v>
      </c>
      <c r="E102" s="21">
        <f>SUMIFS(Einzelbeträge!$D:$D,Einzelbeträge!$C:$C,'Ausgaben 2027'!$C102,Einzelbeträge!$E:$E,'Ausgaben 2027'!E$6)</f>
        <v>0</v>
      </c>
      <c r="F102" s="21">
        <f>SUMIFS(Einzelbeträge!$D:$D,Einzelbeträge!$C:$C,'Ausgaben 2027'!$C102,Einzelbeträge!$E:$E,'Ausgaben 2027'!F$6)</f>
        <v>0</v>
      </c>
      <c r="G102" s="21">
        <f>SUMIFS(Einzelbeträge!$D:$D,Einzelbeträge!$C:$C,'Ausgaben 2027'!$C102,Einzelbeträge!$E:$E,'Ausgaben 2027'!G$6)</f>
        <v>0</v>
      </c>
      <c r="H102" s="21">
        <f>SUMIFS(Einzelbeträge!$D:$D,Einzelbeträge!$C:$C,'Ausgaben 2027'!$C102,Einzelbeträge!$E:$E,'Ausgaben 2027'!H$6)</f>
        <v>0</v>
      </c>
      <c r="I102" s="21">
        <f>SUMIFS(Einzelbeträge!$D:$D,Einzelbeträge!$C:$C,'Ausgaben 2027'!$C102,Einzelbeträge!$E:$E,'Ausgaben 2027'!I$6)</f>
        <v>0</v>
      </c>
      <c r="J102" s="21">
        <f>SUMIFS(Einzelbeträge!$D:$D,Einzelbeträge!$C:$C,'Ausgaben 2027'!$C102,Einzelbeträge!$E:$E,'Ausgaben 2027'!J$6)</f>
        <v>0</v>
      </c>
      <c r="K102" s="21">
        <f>SUMIFS(Einzelbeträge!$D:$D,Einzelbeträge!$C:$C,'Ausgaben 2027'!$C102,Einzelbeträge!$E:$E,'Ausgaben 2027'!K$6)</f>
        <v>0</v>
      </c>
      <c r="L102" s="21">
        <f>SUMIFS(Einzelbeträge!$D:$D,Einzelbeträge!$C:$C,'Ausgaben 2027'!$C102,Einzelbeträge!$E:$E,'Ausgaben 2027'!L$6)</f>
        <v>0</v>
      </c>
      <c r="M102" s="21">
        <f>SUMIFS(Einzelbeträge!$D:$D,Einzelbeträge!$C:$C,'Ausgaben 2027'!$C102,Einzelbeträge!$E:$E,'Ausgaben 2027'!M$6)</f>
        <v>0</v>
      </c>
      <c r="N102" s="35">
        <f>SUMIFS(Einzelbeträge!$D:$D,Einzelbeträge!$C:$C,'Ausgaben 2027'!$C102,Einzelbeträge!$E:$E,'Ausgaben 2027'!N$6)</f>
        <v>0</v>
      </c>
      <c r="O102" s="6"/>
    </row>
    <row r="103" spans="2:15" x14ac:dyDescent="0.35">
      <c r="B103" s="5"/>
      <c r="C103" s="31">
        <f t="shared" si="18"/>
        <v>46477</v>
      </c>
      <c r="D103" s="47">
        <f>SUMIFS(Einzelbeträge!$D:$D,Einzelbeträge!$C:$C,'Ausgaben 2027'!$C103)</f>
        <v>0</v>
      </c>
      <c r="E103" s="37">
        <f>SUMIFS(Einzelbeträge!$D:$D,Einzelbeträge!$C:$C,'Ausgaben 2027'!$C103,Einzelbeträge!$E:$E,'Ausgaben 2027'!E$6)</f>
        <v>0</v>
      </c>
      <c r="F103" s="37">
        <f>SUMIFS(Einzelbeträge!$D:$D,Einzelbeträge!$C:$C,'Ausgaben 2027'!$C103,Einzelbeträge!$E:$E,'Ausgaben 2027'!F$6)</f>
        <v>0</v>
      </c>
      <c r="G103" s="37">
        <f>SUMIFS(Einzelbeträge!$D:$D,Einzelbeträge!$C:$C,'Ausgaben 2027'!$C103,Einzelbeträge!$E:$E,'Ausgaben 2027'!G$6)</f>
        <v>0</v>
      </c>
      <c r="H103" s="37">
        <f>SUMIFS(Einzelbeträge!$D:$D,Einzelbeträge!$C:$C,'Ausgaben 2027'!$C103,Einzelbeträge!$E:$E,'Ausgaben 2027'!H$6)</f>
        <v>0</v>
      </c>
      <c r="I103" s="37">
        <f>SUMIFS(Einzelbeträge!$D:$D,Einzelbeträge!$C:$C,'Ausgaben 2027'!$C103,Einzelbeträge!$E:$E,'Ausgaben 2027'!I$6)</f>
        <v>0</v>
      </c>
      <c r="J103" s="37">
        <f>SUMIFS(Einzelbeträge!$D:$D,Einzelbeträge!$C:$C,'Ausgaben 2027'!$C103,Einzelbeträge!$E:$E,'Ausgaben 2027'!J$6)</f>
        <v>0</v>
      </c>
      <c r="K103" s="37">
        <f>SUMIFS(Einzelbeträge!$D:$D,Einzelbeträge!$C:$C,'Ausgaben 2027'!$C103,Einzelbeträge!$E:$E,'Ausgaben 2027'!K$6)</f>
        <v>0</v>
      </c>
      <c r="L103" s="37">
        <f>SUMIFS(Einzelbeträge!$D:$D,Einzelbeträge!$C:$C,'Ausgaben 2027'!$C103,Einzelbeträge!$E:$E,'Ausgaben 2027'!L$6)</f>
        <v>0</v>
      </c>
      <c r="M103" s="37">
        <f>SUMIFS(Einzelbeträge!$D:$D,Einzelbeträge!$C:$C,'Ausgaben 2027'!$C103,Einzelbeträge!$E:$E,'Ausgaben 2027'!M$6)</f>
        <v>0</v>
      </c>
      <c r="N103" s="38">
        <f>SUMIFS(Einzelbeträge!$D:$D,Einzelbeträge!$C:$C,'Ausgaben 2027'!$C103,Einzelbeträge!$E:$E,'Ausgaben 2027'!N$6)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46478</v>
      </c>
      <c r="D107" s="45">
        <f>SUMIFS(Einzelbeträge!$D:$D,Einzelbeträge!$C:$C,'Ausgaben 2027'!$C107)</f>
        <v>0</v>
      </c>
      <c r="E107" s="32">
        <f>SUMIFS(Einzelbeträge!$D:$D,Einzelbeträge!$C:$C,'Ausgaben 2027'!$C107,Einzelbeträge!$E:$E,'Ausgaben 2027'!E$6)</f>
        <v>0</v>
      </c>
      <c r="F107" s="32">
        <f>SUMIFS(Einzelbeträge!$D:$D,Einzelbeträge!$C:$C,'Ausgaben 2027'!$C107,Einzelbeträge!$E:$E,'Ausgaben 2027'!F$6)</f>
        <v>0</v>
      </c>
      <c r="G107" s="32">
        <f>SUMIFS(Einzelbeträge!$D:$D,Einzelbeträge!$C:$C,'Ausgaben 2027'!$C107,Einzelbeträge!$E:$E,'Ausgaben 2027'!G$6)</f>
        <v>0</v>
      </c>
      <c r="H107" s="32">
        <f>SUMIFS(Einzelbeträge!$D:$D,Einzelbeträge!$C:$C,'Ausgaben 2027'!$C107,Einzelbeträge!$E:$E,'Ausgaben 2027'!H$6)</f>
        <v>0</v>
      </c>
      <c r="I107" s="32">
        <f>SUMIFS(Einzelbeträge!$D:$D,Einzelbeträge!$C:$C,'Ausgaben 2027'!$C107,Einzelbeträge!$E:$E,'Ausgaben 2027'!I$6)</f>
        <v>0</v>
      </c>
      <c r="J107" s="32">
        <f>SUMIFS(Einzelbeträge!$D:$D,Einzelbeträge!$C:$C,'Ausgaben 2027'!$C107,Einzelbeträge!$E:$E,'Ausgaben 2027'!J$6)</f>
        <v>0</v>
      </c>
      <c r="K107" s="32">
        <f>SUMIFS(Einzelbeträge!$D:$D,Einzelbeträge!$C:$C,'Ausgaben 2027'!$C107,Einzelbeträge!$E:$E,'Ausgaben 2027'!K$6)</f>
        <v>0</v>
      </c>
      <c r="L107" s="32">
        <f>SUMIFS(Einzelbeträge!$D:$D,Einzelbeträge!$C:$C,'Ausgaben 2027'!$C107,Einzelbeträge!$E:$E,'Ausgaben 2027'!L$6)</f>
        <v>0</v>
      </c>
      <c r="M107" s="32">
        <f>SUMIFS(Einzelbeträge!$D:$D,Einzelbeträge!$C:$C,'Ausgaben 2027'!$C107,Einzelbeträge!$E:$E,'Ausgaben 2027'!M$6)</f>
        <v>0</v>
      </c>
      <c r="N107" s="33">
        <f>SUMIFS(Einzelbeträge!$D:$D,Einzelbeträge!$C:$C,'Ausgaben 2027'!$C107,Einzelbeträge!$E:$E,'Ausgaben 2027'!N$6)</f>
        <v>0</v>
      </c>
      <c r="O107" s="6"/>
    </row>
    <row r="108" spans="2:15" x14ac:dyDescent="0.35">
      <c r="B108" s="5"/>
      <c r="C108" s="30">
        <f>C107+1</f>
        <v>46479</v>
      </c>
      <c r="D108" s="46">
        <f>SUMIFS(Einzelbeträge!$D:$D,Einzelbeträge!$C:$C,'Ausgaben 2027'!$C108)</f>
        <v>0</v>
      </c>
      <c r="E108" s="21">
        <f>SUMIFS(Einzelbeträge!$D:$D,Einzelbeträge!$C:$C,'Ausgaben 2027'!$C108,Einzelbeträge!$E:$E,'Ausgaben 2027'!E$6)</f>
        <v>0</v>
      </c>
      <c r="F108" s="21">
        <f>SUMIFS(Einzelbeträge!$D:$D,Einzelbeträge!$C:$C,'Ausgaben 2027'!$C108,Einzelbeträge!$E:$E,'Ausgaben 2027'!F$6)</f>
        <v>0</v>
      </c>
      <c r="G108" s="21">
        <f>SUMIFS(Einzelbeträge!$D:$D,Einzelbeträge!$C:$C,'Ausgaben 2027'!$C108,Einzelbeträge!$E:$E,'Ausgaben 2027'!G$6)</f>
        <v>0</v>
      </c>
      <c r="H108" s="21">
        <f>SUMIFS(Einzelbeträge!$D:$D,Einzelbeträge!$C:$C,'Ausgaben 2027'!$C108,Einzelbeträge!$E:$E,'Ausgaben 2027'!H$6)</f>
        <v>0</v>
      </c>
      <c r="I108" s="21">
        <f>SUMIFS(Einzelbeträge!$D:$D,Einzelbeträge!$C:$C,'Ausgaben 2027'!$C108,Einzelbeträge!$E:$E,'Ausgaben 2027'!I$6)</f>
        <v>0</v>
      </c>
      <c r="J108" s="21">
        <f>SUMIFS(Einzelbeträge!$D:$D,Einzelbeträge!$C:$C,'Ausgaben 2027'!$C108,Einzelbeträge!$E:$E,'Ausgaben 2027'!J$6)</f>
        <v>0</v>
      </c>
      <c r="K108" s="21">
        <f>SUMIFS(Einzelbeträge!$D:$D,Einzelbeträge!$C:$C,'Ausgaben 2027'!$C108,Einzelbeträge!$E:$E,'Ausgaben 2027'!K$6)</f>
        <v>0</v>
      </c>
      <c r="L108" s="21">
        <f>SUMIFS(Einzelbeträge!$D:$D,Einzelbeträge!$C:$C,'Ausgaben 2027'!$C108,Einzelbeträge!$E:$E,'Ausgaben 2027'!L$6)</f>
        <v>0</v>
      </c>
      <c r="M108" s="21">
        <f>SUMIFS(Einzelbeträge!$D:$D,Einzelbeträge!$C:$C,'Ausgaben 2027'!$C108,Einzelbeträge!$E:$E,'Ausgaben 2027'!M$6)</f>
        <v>0</v>
      </c>
      <c r="N108" s="35">
        <f>SUMIFS(Einzelbeträge!$D:$D,Einzelbeträge!$C:$C,'Ausgaben 2027'!$C108,Einzelbeträge!$E:$E,'Ausgaben 2027'!N$6)</f>
        <v>0</v>
      </c>
      <c r="O108" s="6"/>
    </row>
    <row r="109" spans="2:15" x14ac:dyDescent="0.35">
      <c r="B109" s="5"/>
      <c r="C109" s="30">
        <f t="shared" ref="C109:C136" si="19">C108+1</f>
        <v>46480</v>
      </c>
      <c r="D109" s="46">
        <f>SUMIFS(Einzelbeträge!$D:$D,Einzelbeträge!$C:$C,'Ausgaben 2027'!$C109)</f>
        <v>0</v>
      </c>
      <c r="E109" s="21">
        <f>SUMIFS(Einzelbeträge!$D:$D,Einzelbeträge!$C:$C,'Ausgaben 2027'!$C109,Einzelbeträge!$E:$E,'Ausgaben 2027'!E$6)</f>
        <v>0</v>
      </c>
      <c r="F109" s="21">
        <f>SUMIFS(Einzelbeträge!$D:$D,Einzelbeträge!$C:$C,'Ausgaben 2027'!$C109,Einzelbeträge!$E:$E,'Ausgaben 2027'!F$6)</f>
        <v>0</v>
      </c>
      <c r="G109" s="21">
        <f>SUMIFS(Einzelbeträge!$D:$D,Einzelbeträge!$C:$C,'Ausgaben 2027'!$C109,Einzelbeträge!$E:$E,'Ausgaben 2027'!G$6)</f>
        <v>0</v>
      </c>
      <c r="H109" s="21">
        <f>SUMIFS(Einzelbeträge!$D:$D,Einzelbeträge!$C:$C,'Ausgaben 2027'!$C109,Einzelbeträge!$E:$E,'Ausgaben 2027'!H$6)</f>
        <v>0</v>
      </c>
      <c r="I109" s="21">
        <f>SUMIFS(Einzelbeträge!$D:$D,Einzelbeträge!$C:$C,'Ausgaben 2027'!$C109,Einzelbeträge!$E:$E,'Ausgaben 2027'!I$6)</f>
        <v>0</v>
      </c>
      <c r="J109" s="21">
        <f>SUMIFS(Einzelbeträge!$D:$D,Einzelbeträge!$C:$C,'Ausgaben 2027'!$C109,Einzelbeträge!$E:$E,'Ausgaben 2027'!J$6)</f>
        <v>0</v>
      </c>
      <c r="K109" s="21">
        <f>SUMIFS(Einzelbeträge!$D:$D,Einzelbeträge!$C:$C,'Ausgaben 2027'!$C109,Einzelbeträge!$E:$E,'Ausgaben 2027'!K$6)</f>
        <v>0</v>
      </c>
      <c r="L109" s="21">
        <f>SUMIFS(Einzelbeträge!$D:$D,Einzelbeträge!$C:$C,'Ausgaben 2027'!$C109,Einzelbeträge!$E:$E,'Ausgaben 2027'!L$6)</f>
        <v>0</v>
      </c>
      <c r="M109" s="21">
        <f>SUMIFS(Einzelbeträge!$D:$D,Einzelbeträge!$C:$C,'Ausgaben 2027'!$C109,Einzelbeträge!$E:$E,'Ausgaben 2027'!M$6)</f>
        <v>0</v>
      </c>
      <c r="N109" s="35">
        <f>SUMIFS(Einzelbeträge!$D:$D,Einzelbeträge!$C:$C,'Ausgaben 2027'!$C109,Einzelbeträge!$E:$E,'Ausgaben 2027'!N$6)</f>
        <v>0</v>
      </c>
      <c r="O109" s="6"/>
    </row>
    <row r="110" spans="2:15" x14ac:dyDescent="0.35">
      <c r="B110" s="5"/>
      <c r="C110" s="30">
        <f t="shared" si="19"/>
        <v>46481</v>
      </c>
      <c r="D110" s="46">
        <f>SUMIFS(Einzelbeträge!$D:$D,Einzelbeträge!$C:$C,'Ausgaben 2027'!$C110)</f>
        <v>0</v>
      </c>
      <c r="E110" s="21">
        <f>SUMIFS(Einzelbeträge!$D:$D,Einzelbeträge!$C:$C,'Ausgaben 2027'!$C110,Einzelbeträge!$E:$E,'Ausgaben 2027'!E$6)</f>
        <v>0</v>
      </c>
      <c r="F110" s="21">
        <f>SUMIFS(Einzelbeträge!$D:$D,Einzelbeträge!$C:$C,'Ausgaben 2027'!$C110,Einzelbeträge!$E:$E,'Ausgaben 2027'!F$6)</f>
        <v>0</v>
      </c>
      <c r="G110" s="21">
        <f>SUMIFS(Einzelbeträge!$D:$D,Einzelbeträge!$C:$C,'Ausgaben 2027'!$C110,Einzelbeträge!$E:$E,'Ausgaben 2027'!G$6)</f>
        <v>0</v>
      </c>
      <c r="H110" s="21">
        <f>SUMIFS(Einzelbeträge!$D:$D,Einzelbeträge!$C:$C,'Ausgaben 2027'!$C110,Einzelbeträge!$E:$E,'Ausgaben 2027'!H$6)</f>
        <v>0</v>
      </c>
      <c r="I110" s="21">
        <f>SUMIFS(Einzelbeträge!$D:$D,Einzelbeträge!$C:$C,'Ausgaben 2027'!$C110,Einzelbeträge!$E:$E,'Ausgaben 2027'!I$6)</f>
        <v>0</v>
      </c>
      <c r="J110" s="21">
        <f>SUMIFS(Einzelbeträge!$D:$D,Einzelbeträge!$C:$C,'Ausgaben 2027'!$C110,Einzelbeträge!$E:$E,'Ausgaben 2027'!J$6)</f>
        <v>0</v>
      </c>
      <c r="K110" s="21">
        <f>SUMIFS(Einzelbeträge!$D:$D,Einzelbeträge!$C:$C,'Ausgaben 2027'!$C110,Einzelbeträge!$E:$E,'Ausgaben 2027'!K$6)</f>
        <v>0</v>
      </c>
      <c r="L110" s="21">
        <f>SUMIFS(Einzelbeträge!$D:$D,Einzelbeträge!$C:$C,'Ausgaben 2027'!$C110,Einzelbeträge!$E:$E,'Ausgaben 2027'!L$6)</f>
        <v>0</v>
      </c>
      <c r="M110" s="21">
        <f>SUMIFS(Einzelbeträge!$D:$D,Einzelbeträge!$C:$C,'Ausgaben 2027'!$C110,Einzelbeträge!$E:$E,'Ausgaben 2027'!M$6)</f>
        <v>0</v>
      </c>
      <c r="N110" s="35">
        <f>SUMIFS(Einzelbeträge!$D:$D,Einzelbeträge!$C:$C,'Ausgaben 2027'!$C110,Einzelbeträge!$E:$E,'Ausgaben 2027'!N$6)</f>
        <v>0</v>
      </c>
      <c r="O110" s="6"/>
    </row>
    <row r="111" spans="2:15" x14ac:dyDescent="0.35">
      <c r="B111" s="5"/>
      <c r="C111" s="30">
        <f t="shared" si="19"/>
        <v>46482</v>
      </c>
      <c r="D111" s="46">
        <f>SUMIFS(Einzelbeträge!$D:$D,Einzelbeträge!$C:$C,'Ausgaben 2027'!$C111)</f>
        <v>0</v>
      </c>
      <c r="E111" s="21">
        <f>SUMIFS(Einzelbeträge!$D:$D,Einzelbeträge!$C:$C,'Ausgaben 2027'!$C111,Einzelbeträge!$E:$E,'Ausgaben 2027'!E$6)</f>
        <v>0</v>
      </c>
      <c r="F111" s="21">
        <f>SUMIFS(Einzelbeträge!$D:$D,Einzelbeträge!$C:$C,'Ausgaben 2027'!$C111,Einzelbeträge!$E:$E,'Ausgaben 2027'!F$6)</f>
        <v>0</v>
      </c>
      <c r="G111" s="21">
        <f>SUMIFS(Einzelbeträge!$D:$D,Einzelbeträge!$C:$C,'Ausgaben 2027'!$C111,Einzelbeträge!$E:$E,'Ausgaben 2027'!G$6)</f>
        <v>0</v>
      </c>
      <c r="H111" s="21">
        <f>SUMIFS(Einzelbeträge!$D:$D,Einzelbeträge!$C:$C,'Ausgaben 2027'!$C111,Einzelbeträge!$E:$E,'Ausgaben 2027'!H$6)</f>
        <v>0</v>
      </c>
      <c r="I111" s="21">
        <f>SUMIFS(Einzelbeträge!$D:$D,Einzelbeträge!$C:$C,'Ausgaben 2027'!$C111,Einzelbeträge!$E:$E,'Ausgaben 2027'!I$6)</f>
        <v>0</v>
      </c>
      <c r="J111" s="21">
        <f>SUMIFS(Einzelbeträge!$D:$D,Einzelbeträge!$C:$C,'Ausgaben 2027'!$C111,Einzelbeträge!$E:$E,'Ausgaben 2027'!J$6)</f>
        <v>0</v>
      </c>
      <c r="K111" s="21">
        <f>SUMIFS(Einzelbeträge!$D:$D,Einzelbeträge!$C:$C,'Ausgaben 2027'!$C111,Einzelbeträge!$E:$E,'Ausgaben 2027'!K$6)</f>
        <v>0</v>
      </c>
      <c r="L111" s="21">
        <f>SUMIFS(Einzelbeträge!$D:$D,Einzelbeträge!$C:$C,'Ausgaben 2027'!$C111,Einzelbeträge!$E:$E,'Ausgaben 2027'!L$6)</f>
        <v>0</v>
      </c>
      <c r="M111" s="21">
        <f>SUMIFS(Einzelbeträge!$D:$D,Einzelbeträge!$C:$C,'Ausgaben 2027'!$C111,Einzelbeträge!$E:$E,'Ausgaben 2027'!M$6)</f>
        <v>0</v>
      </c>
      <c r="N111" s="35">
        <f>SUMIFS(Einzelbeträge!$D:$D,Einzelbeträge!$C:$C,'Ausgaben 2027'!$C111,Einzelbeträge!$E:$E,'Ausgaben 2027'!N$6)</f>
        <v>0</v>
      </c>
      <c r="O111" s="6"/>
    </row>
    <row r="112" spans="2:15" x14ac:dyDescent="0.35">
      <c r="B112" s="5"/>
      <c r="C112" s="30">
        <f t="shared" si="19"/>
        <v>46483</v>
      </c>
      <c r="D112" s="46">
        <f>SUMIFS(Einzelbeträge!$D:$D,Einzelbeträge!$C:$C,'Ausgaben 2027'!$C112)</f>
        <v>0</v>
      </c>
      <c r="E112" s="21">
        <f>SUMIFS(Einzelbeträge!$D:$D,Einzelbeträge!$C:$C,'Ausgaben 2027'!$C112,Einzelbeträge!$E:$E,'Ausgaben 2027'!E$6)</f>
        <v>0</v>
      </c>
      <c r="F112" s="21">
        <f>SUMIFS(Einzelbeträge!$D:$D,Einzelbeträge!$C:$C,'Ausgaben 2027'!$C112,Einzelbeträge!$E:$E,'Ausgaben 2027'!F$6)</f>
        <v>0</v>
      </c>
      <c r="G112" s="21">
        <f>SUMIFS(Einzelbeträge!$D:$D,Einzelbeträge!$C:$C,'Ausgaben 2027'!$C112,Einzelbeträge!$E:$E,'Ausgaben 2027'!G$6)</f>
        <v>0</v>
      </c>
      <c r="H112" s="21">
        <f>SUMIFS(Einzelbeträge!$D:$D,Einzelbeträge!$C:$C,'Ausgaben 2027'!$C112,Einzelbeträge!$E:$E,'Ausgaben 2027'!H$6)</f>
        <v>0</v>
      </c>
      <c r="I112" s="21">
        <f>SUMIFS(Einzelbeträge!$D:$D,Einzelbeträge!$C:$C,'Ausgaben 2027'!$C112,Einzelbeträge!$E:$E,'Ausgaben 2027'!I$6)</f>
        <v>0</v>
      </c>
      <c r="J112" s="21">
        <f>SUMIFS(Einzelbeträge!$D:$D,Einzelbeträge!$C:$C,'Ausgaben 2027'!$C112,Einzelbeträge!$E:$E,'Ausgaben 2027'!J$6)</f>
        <v>0</v>
      </c>
      <c r="K112" s="21">
        <f>SUMIFS(Einzelbeträge!$D:$D,Einzelbeträge!$C:$C,'Ausgaben 2027'!$C112,Einzelbeträge!$E:$E,'Ausgaben 2027'!K$6)</f>
        <v>0</v>
      </c>
      <c r="L112" s="21">
        <f>SUMIFS(Einzelbeträge!$D:$D,Einzelbeträge!$C:$C,'Ausgaben 2027'!$C112,Einzelbeträge!$E:$E,'Ausgaben 2027'!L$6)</f>
        <v>0</v>
      </c>
      <c r="M112" s="21">
        <f>SUMIFS(Einzelbeträge!$D:$D,Einzelbeträge!$C:$C,'Ausgaben 2027'!$C112,Einzelbeträge!$E:$E,'Ausgaben 2027'!M$6)</f>
        <v>0</v>
      </c>
      <c r="N112" s="35">
        <f>SUMIFS(Einzelbeträge!$D:$D,Einzelbeträge!$C:$C,'Ausgaben 2027'!$C112,Einzelbeträge!$E:$E,'Ausgaben 2027'!N$6)</f>
        <v>0</v>
      </c>
      <c r="O112" s="6"/>
    </row>
    <row r="113" spans="2:15" x14ac:dyDescent="0.35">
      <c r="B113" s="5"/>
      <c r="C113" s="30">
        <f t="shared" si="19"/>
        <v>46484</v>
      </c>
      <c r="D113" s="46">
        <f>SUMIFS(Einzelbeträge!$D:$D,Einzelbeträge!$C:$C,'Ausgaben 2027'!$C113)</f>
        <v>0</v>
      </c>
      <c r="E113" s="21">
        <f>SUMIFS(Einzelbeträge!$D:$D,Einzelbeträge!$C:$C,'Ausgaben 2027'!$C113,Einzelbeträge!$E:$E,'Ausgaben 2027'!E$6)</f>
        <v>0</v>
      </c>
      <c r="F113" s="21">
        <f>SUMIFS(Einzelbeträge!$D:$D,Einzelbeträge!$C:$C,'Ausgaben 2027'!$C113,Einzelbeträge!$E:$E,'Ausgaben 2027'!F$6)</f>
        <v>0</v>
      </c>
      <c r="G113" s="21">
        <f>SUMIFS(Einzelbeträge!$D:$D,Einzelbeträge!$C:$C,'Ausgaben 2027'!$C113,Einzelbeträge!$E:$E,'Ausgaben 2027'!G$6)</f>
        <v>0</v>
      </c>
      <c r="H113" s="21">
        <f>SUMIFS(Einzelbeträge!$D:$D,Einzelbeträge!$C:$C,'Ausgaben 2027'!$C113,Einzelbeträge!$E:$E,'Ausgaben 2027'!H$6)</f>
        <v>0</v>
      </c>
      <c r="I113" s="21">
        <f>SUMIFS(Einzelbeträge!$D:$D,Einzelbeträge!$C:$C,'Ausgaben 2027'!$C113,Einzelbeträge!$E:$E,'Ausgaben 2027'!I$6)</f>
        <v>0</v>
      </c>
      <c r="J113" s="21">
        <f>SUMIFS(Einzelbeträge!$D:$D,Einzelbeträge!$C:$C,'Ausgaben 2027'!$C113,Einzelbeträge!$E:$E,'Ausgaben 2027'!J$6)</f>
        <v>0</v>
      </c>
      <c r="K113" s="21">
        <f>SUMIFS(Einzelbeträge!$D:$D,Einzelbeträge!$C:$C,'Ausgaben 2027'!$C113,Einzelbeträge!$E:$E,'Ausgaben 2027'!K$6)</f>
        <v>0</v>
      </c>
      <c r="L113" s="21">
        <f>SUMIFS(Einzelbeträge!$D:$D,Einzelbeträge!$C:$C,'Ausgaben 2027'!$C113,Einzelbeträge!$E:$E,'Ausgaben 2027'!L$6)</f>
        <v>0</v>
      </c>
      <c r="M113" s="21">
        <f>SUMIFS(Einzelbeträge!$D:$D,Einzelbeträge!$C:$C,'Ausgaben 2027'!$C113,Einzelbeträge!$E:$E,'Ausgaben 2027'!M$6)</f>
        <v>0</v>
      </c>
      <c r="N113" s="35">
        <f>SUMIFS(Einzelbeträge!$D:$D,Einzelbeträge!$C:$C,'Ausgaben 2027'!$C113,Einzelbeträge!$E:$E,'Ausgaben 2027'!N$6)</f>
        <v>0</v>
      </c>
      <c r="O113" s="6"/>
    </row>
    <row r="114" spans="2:15" x14ac:dyDescent="0.35">
      <c r="B114" s="5"/>
      <c r="C114" s="30">
        <f t="shared" si="19"/>
        <v>46485</v>
      </c>
      <c r="D114" s="46">
        <f>SUMIFS(Einzelbeträge!$D:$D,Einzelbeträge!$C:$C,'Ausgaben 2027'!$C114)</f>
        <v>0</v>
      </c>
      <c r="E114" s="21">
        <f>SUMIFS(Einzelbeträge!$D:$D,Einzelbeträge!$C:$C,'Ausgaben 2027'!$C114,Einzelbeträge!$E:$E,'Ausgaben 2027'!E$6)</f>
        <v>0</v>
      </c>
      <c r="F114" s="21">
        <f>SUMIFS(Einzelbeträge!$D:$D,Einzelbeträge!$C:$C,'Ausgaben 2027'!$C114,Einzelbeträge!$E:$E,'Ausgaben 2027'!F$6)</f>
        <v>0</v>
      </c>
      <c r="G114" s="21">
        <f>SUMIFS(Einzelbeträge!$D:$D,Einzelbeträge!$C:$C,'Ausgaben 2027'!$C114,Einzelbeträge!$E:$E,'Ausgaben 2027'!G$6)</f>
        <v>0</v>
      </c>
      <c r="H114" s="21">
        <f>SUMIFS(Einzelbeträge!$D:$D,Einzelbeträge!$C:$C,'Ausgaben 2027'!$C114,Einzelbeträge!$E:$E,'Ausgaben 2027'!H$6)</f>
        <v>0</v>
      </c>
      <c r="I114" s="21">
        <f>SUMIFS(Einzelbeträge!$D:$D,Einzelbeträge!$C:$C,'Ausgaben 2027'!$C114,Einzelbeträge!$E:$E,'Ausgaben 2027'!I$6)</f>
        <v>0</v>
      </c>
      <c r="J114" s="21">
        <f>SUMIFS(Einzelbeträge!$D:$D,Einzelbeträge!$C:$C,'Ausgaben 2027'!$C114,Einzelbeträge!$E:$E,'Ausgaben 2027'!J$6)</f>
        <v>0</v>
      </c>
      <c r="K114" s="21">
        <f>SUMIFS(Einzelbeträge!$D:$D,Einzelbeträge!$C:$C,'Ausgaben 2027'!$C114,Einzelbeträge!$E:$E,'Ausgaben 2027'!K$6)</f>
        <v>0</v>
      </c>
      <c r="L114" s="21">
        <f>SUMIFS(Einzelbeträge!$D:$D,Einzelbeträge!$C:$C,'Ausgaben 2027'!$C114,Einzelbeträge!$E:$E,'Ausgaben 2027'!L$6)</f>
        <v>0</v>
      </c>
      <c r="M114" s="21">
        <f>SUMIFS(Einzelbeträge!$D:$D,Einzelbeträge!$C:$C,'Ausgaben 2027'!$C114,Einzelbeträge!$E:$E,'Ausgaben 2027'!M$6)</f>
        <v>0</v>
      </c>
      <c r="N114" s="35">
        <f>SUMIFS(Einzelbeträge!$D:$D,Einzelbeträge!$C:$C,'Ausgaben 2027'!$C114,Einzelbeträge!$E:$E,'Ausgaben 2027'!N$6)</f>
        <v>0</v>
      </c>
      <c r="O114" s="6"/>
    </row>
    <row r="115" spans="2:15" x14ac:dyDescent="0.35">
      <c r="B115" s="5"/>
      <c r="C115" s="30">
        <f t="shared" si="19"/>
        <v>46486</v>
      </c>
      <c r="D115" s="46">
        <f>SUMIFS(Einzelbeträge!$D:$D,Einzelbeträge!$C:$C,'Ausgaben 2027'!$C115)</f>
        <v>0</v>
      </c>
      <c r="E115" s="21">
        <f>SUMIFS(Einzelbeträge!$D:$D,Einzelbeträge!$C:$C,'Ausgaben 2027'!$C115,Einzelbeträge!$E:$E,'Ausgaben 2027'!E$6)</f>
        <v>0</v>
      </c>
      <c r="F115" s="21">
        <f>SUMIFS(Einzelbeträge!$D:$D,Einzelbeträge!$C:$C,'Ausgaben 2027'!$C115,Einzelbeträge!$E:$E,'Ausgaben 2027'!F$6)</f>
        <v>0</v>
      </c>
      <c r="G115" s="21">
        <f>SUMIFS(Einzelbeträge!$D:$D,Einzelbeträge!$C:$C,'Ausgaben 2027'!$C115,Einzelbeträge!$E:$E,'Ausgaben 2027'!G$6)</f>
        <v>0</v>
      </c>
      <c r="H115" s="21">
        <f>SUMIFS(Einzelbeträge!$D:$D,Einzelbeträge!$C:$C,'Ausgaben 2027'!$C115,Einzelbeträge!$E:$E,'Ausgaben 2027'!H$6)</f>
        <v>0</v>
      </c>
      <c r="I115" s="21">
        <f>SUMIFS(Einzelbeträge!$D:$D,Einzelbeträge!$C:$C,'Ausgaben 2027'!$C115,Einzelbeträge!$E:$E,'Ausgaben 2027'!I$6)</f>
        <v>0</v>
      </c>
      <c r="J115" s="21">
        <f>SUMIFS(Einzelbeträge!$D:$D,Einzelbeträge!$C:$C,'Ausgaben 2027'!$C115,Einzelbeträge!$E:$E,'Ausgaben 2027'!J$6)</f>
        <v>0</v>
      </c>
      <c r="K115" s="21">
        <f>SUMIFS(Einzelbeträge!$D:$D,Einzelbeträge!$C:$C,'Ausgaben 2027'!$C115,Einzelbeträge!$E:$E,'Ausgaben 2027'!K$6)</f>
        <v>0</v>
      </c>
      <c r="L115" s="21">
        <f>SUMIFS(Einzelbeträge!$D:$D,Einzelbeträge!$C:$C,'Ausgaben 2027'!$C115,Einzelbeträge!$E:$E,'Ausgaben 2027'!L$6)</f>
        <v>0</v>
      </c>
      <c r="M115" s="21">
        <f>SUMIFS(Einzelbeträge!$D:$D,Einzelbeträge!$C:$C,'Ausgaben 2027'!$C115,Einzelbeträge!$E:$E,'Ausgaben 2027'!M$6)</f>
        <v>0</v>
      </c>
      <c r="N115" s="35">
        <f>SUMIFS(Einzelbeträge!$D:$D,Einzelbeträge!$C:$C,'Ausgaben 2027'!$C115,Einzelbeträge!$E:$E,'Ausgaben 2027'!N$6)</f>
        <v>0</v>
      </c>
      <c r="O115" s="6"/>
    </row>
    <row r="116" spans="2:15" x14ac:dyDescent="0.35">
      <c r="B116" s="5"/>
      <c r="C116" s="30">
        <f t="shared" si="19"/>
        <v>46487</v>
      </c>
      <c r="D116" s="46">
        <f>SUMIFS(Einzelbeträge!$D:$D,Einzelbeträge!$C:$C,'Ausgaben 2027'!$C116)</f>
        <v>0</v>
      </c>
      <c r="E116" s="21">
        <f>SUMIFS(Einzelbeträge!$D:$D,Einzelbeträge!$C:$C,'Ausgaben 2027'!$C116,Einzelbeträge!$E:$E,'Ausgaben 2027'!E$6)</f>
        <v>0</v>
      </c>
      <c r="F116" s="21">
        <f>SUMIFS(Einzelbeträge!$D:$D,Einzelbeträge!$C:$C,'Ausgaben 2027'!$C116,Einzelbeträge!$E:$E,'Ausgaben 2027'!F$6)</f>
        <v>0</v>
      </c>
      <c r="G116" s="21">
        <f>SUMIFS(Einzelbeträge!$D:$D,Einzelbeträge!$C:$C,'Ausgaben 2027'!$C116,Einzelbeträge!$E:$E,'Ausgaben 2027'!G$6)</f>
        <v>0</v>
      </c>
      <c r="H116" s="21">
        <f>SUMIFS(Einzelbeträge!$D:$D,Einzelbeträge!$C:$C,'Ausgaben 2027'!$C116,Einzelbeträge!$E:$E,'Ausgaben 2027'!H$6)</f>
        <v>0</v>
      </c>
      <c r="I116" s="21">
        <f>SUMIFS(Einzelbeträge!$D:$D,Einzelbeträge!$C:$C,'Ausgaben 2027'!$C116,Einzelbeträge!$E:$E,'Ausgaben 2027'!I$6)</f>
        <v>0</v>
      </c>
      <c r="J116" s="21">
        <f>SUMIFS(Einzelbeträge!$D:$D,Einzelbeträge!$C:$C,'Ausgaben 2027'!$C116,Einzelbeträge!$E:$E,'Ausgaben 2027'!J$6)</f>
        <v>0</v>
      </c>
      <c r="K116" s="21">
        <f>SUMIFS(Einzelbeträge!$D:$D,Einzelbeträge!$C:$C,'Ausgaben 2027'!$C116,Einzelbeträge!$E:$E,'Ausgaben 2027'!K$6)</f>
        <v>0</v>
      </c>
      <c r="L116" s="21">
        <f>SUMIFS(Einzelbeträge!$D:$D,Einzelbeträge!$C:$C,'Ausgaben 2027'!$C116,Einzelbeträge!$E:$E,'Ausgaben 2027'!L$6)</f>
        <v>0</v>
      </c>
      <c r="M116" s="21">
        <f>SUMIFS(Einzelbeträge!$D:$D,Einzelbeträge!$C:$C,'Ausgaben 2027'!$C116,Einzelbeträge!$E:$E,'Ausgaben 2027'!M$6)</f>
        <v>0</v>
      </c>
      <c r="N116" s="35">
        <f>SUMIFS(Einzelbeträge!$D:$D,Einzelbeträge!$C:$C,'Ausgaben 2027'!$C116,Einzelbeträge!$E:$E,'Ausgaben 2027'!N$6)</f>
        <v>0</v>
      </c>
      <c r="O116" s="6"/>
    </row>
    <row r="117" spans="2:15" x14ac:dyDescent="0.35">
      <c r="B117" s="5"/>
      <c r="C117" s="30">
        <f t="shared" si="19"/>
        <v>46488</v>
      </c>
      <c r="D117" s="46">
        <f>SUMIFS(Einzelbeträge!$D:$D,Einzelbeträge!$C:$C,'Ausgaben 2027'!$C117)</f>
        <v>0</v>
      </c>
      <c r="E117" s="21">
        <f>SUMIFS(Einzelbeträge!$D:$D,Einzelbeträge!$C:$C,'Ausgaben 2027'!$C117,Einzelbeträge!$E:$E,'Ausgaben 2027'!E$6)</f>
        <v>0</v>
      </c>
      <c r="F117" s="21">
        <f>SUMIFS(Einzelbeträge!$D:$D,Einzelbeträge!$C:$C,'Ausgaben 2027'!$C117,Einzelbeträge!$E:$E,'Ausgaben 2027'!F$6)</f>
        <v>0</v>
      </c>
      <c r="G117" s="21">
        <f>SUMIFS(Einzelbeträge!$D:$D,Einzelbeträge!$C:$C,'Ausgaben 2027'!$C117,Einzelbeträge!$E:$E,'Ausgaben 2027'!G$6)</f>
        <v>0</v>
      </c>
      <c r="H117" s="21">
        <f>SUMIFS(Einzelbeträge!$D:$D,Einzelbeträge!$C:$C,'Ausgaben 2027'!$C117,Einzelbeträge!$E:$E,'Ausgaben 2027'!H$6)</f>
        <v>0</v>
      </c>
      <c r="I117" s="21">
        <f>SUMIFS(Einzelbeträge!$D:$D,Einzelbeträge!$C:$C,'Ausgaben 2027'!$C117,Einzelbeträge!$E:$E,'Ausgaben 2027'!I$6)</f>
        <v>0</v>
      </c>
      <c r="J117" s="21">
        <f>SUMIFS(Einzelbeträge!$D:$D,Einzelbeträge!$C:$C,'Ausgaben 2027'!$C117,Einzelbeträge!$E:$E,'Ausgaben 2027'!J$6)</f>
        <v>0</v>
      </c>
      <c r="K117" s="21">
        <f>SUMIFS(Einzelbeträge!$D:$D,Einzelbeträge!$C:$C,'Ausgaben 2027'!$C117,Einzelbeträge!$E:$E,'Ausgaben 2027'!K$6)</f>
        <v>0</v>
      </c>
      <c r="L117" s="21">
        <f>SUMIFS(Einzelbeträge!$D:$D,Einzelbeträge!$C:$C,'Ausgaben 2027'!$C117,Einzelbeträge!$E:$E,'Ausgaben 2027'!L$6)</f>
        <v>0</v>
      </c>
      <c r="M117" s="21">
        <f>SUMIFS(Einzelbeträge!$D:$D,Einzelbeträge!$C:$C,'Ausgaben 2027'!$C117,Einzelbeträge!$E:$E,'Ausgaben 2027'!M$6)</f>
        <v>0</v>
      </c>
      <c r="N117" s="35">
        <f>SUMIFS(Einzelbeträge!$D:$D,Einzelbeträge!$C:$C,'Ausgaben 2027'!$C117,Einzelbeträge!$E:$E,'Ausgaben 2027'!N$6)</f>
        <v>0</v>
      </c>
      <c r="O117" s="6"/>
    </row>
    <row r="118" spans="2:15" x14ac:dyDescent="0.35">
      <c r="B118" s="5"/>
      <c r="C118" s="30">
        <f t="shared" si="19"/>
        <v>46489</v>
      </c>
      <c r="D118" s="46">
        <f>SUMIFS(Einzelbeträge!$D:$D,Einzelbeträge!$C:$C,'Ausgaben 2027'!$C118)</f>
        <v>0</v>
      </c>
      <c r="E118" s="21">
        <f>SUMIFS(Einzelbeträge!$D:$D,Einzelbeträge!$C:$C,'Ausgaben 2027'!$C118,Einzelbeträge!$E:$E,'Ausgaben 2027'!E$6)</f>
        <v>0</v>
      </c>
      <c r="F118" s="21">
        <f>SUMIFS(Einzelbeträge!$D:$D,Einzelbeträge!$C:$C,'Ausgaben 2027'!$C118,Einzelbeträge!$E:$E,'Ausgaben 2027'!F$6)</f>
        <v>0</v>
      </c>
      <c r="G118" s="21">
        <f>SUMIFS(Einzelbeträge!$D:$D,Einzelbeträge!$C:$C,'Ausgaben 2027'!$C118,Einzelbeträge!$E:$E,'Ausgaben 2027'!G$6)</f>
        <v>0</v>
      </c>
      <c r="H118" s="21">
        <f>SUMIFS(Einzelbeträge!$D:$D,Einzelbeträge!$C:$C,'Ausgaben 2027'!$C118,Einzelbeträge!$E:$E,'Ausgaben 2027'!H$6)</f>
        <v>0</v>
      </c>
      <c r="I118" s="21">
        <f>SUMIFS(Einzelbeträge!$D:$D,Einzelbeträge!$C:$C,'Ausgaben 2027'!$C118,Einzelbeträge!$E:$E,'Ausgaben 2027'!I$6)</f>
        <v>0</v>
      </c>
      <c r="J118" s="21">
        <f>SUMIFS(Einzelbeträge!$D:$D,Einzelbeträge!$C:$C,'Ausgaben 2027'!$C118,Einzelbeträge!$E:$E,'Ausgaben 2027'!J$6)</f>
        <v>0</v>
      </c>
      <c r="K118" s="21">
        <f>SUMIFS(Einzelbeträge!$D:$D,Einzelbeträge!$C:$C,'Ausgaben 2027'!$C118,Einzelbeträge!$E:$E,'Ausgaben 2027'!K$6)</f>
        <v>0</v>
      </c>
      <c r="L118" s="21">
        <f>SUMIFS(Einzelbeträge!$D:$D,Einzelbeträge!$C:$C,'Ausgaben 2027'!$C118,Einzelbeträge!$E:$E,'Ausgaben 2027'!L$6)</f>
        <v>0</v>
      </c>
      <c r="M118" s="21">
        <f>SUMIFS(Einzelbeträge!$D:$D,Einzelbeträge!$C:$C,'Ausgaben 2027'!$C118,Einzelbeträge!$E:$E,'Ausgaben 2027'!M$6)</f>
        <v>0</v>
      </c>
      <c r="N118" s="35">
        <f>SUMIFS(Einzelbeträge!$D:$D,Einzelbeträge!$C:$C,'Ausgaben 2027'!$C118,Einzelbeträge!$E:$E,'Ausgaben 2027'!N$6)</f>
        <v>0</v>
      </c>
      <c r="O118" s="6"/>
    </row>
    <row r="119" spans="2:15" x14ac:dyDescent="0.35">
      <c r="B119" s="5"/>
      <c r="C119" s="30">
        <f t="shared" si="19"/>
        <v>46490</v>
      </c>
      <c r="D119" s="46">
        <f>SUMIFS(Einzelbeträge!$D:$D,Einzelbeträge!$C:$C,'Ausgaben 2027'!$C119)</f>
        <v>0</v>
      </c>
      <c r="E119" s="21">
        <f>SUMIFS(Einzelbeträge!$D:$D,Einzelbeträge!$C:$C,'Ausgaben 2027'!$C119,Einzelbeträge!$E:$E,'Ausgaben 2027'!E$6)</f>
        <v>0</v>
      </c>
      <c r="F119" s="21">
        <f>SUMIFS(Einzelbeträge!$D:$D,Einzelbeträge!$C:$C,'Ausgaben 2027'!$C119,Einzelbeträge!$E:$E,'Ausgaben 2027'!F$6)</f>
        <v>0</v>
      </c>
      <c r="G119" s="21">
        <f>SUMIFS(Einzelbeträge!$D:$D,Einzelbeträge!$C:$C,'Ausgaben 2027'!$C119,Einzelbeträge!$E:$E,'Ausgaben 2027'!G$6)</f>
        <v>0</v>
      </c>
      <c r="H119" s="21">
        <f>SUMIFS(Einzelbeträge!$D:$D,Einzelbeträge!$C:$C,'Ausgaben 2027'!$C119,Einzelbeträge!$E:$E,'Ausgaben 2027'!H$6)</f>
        <v>0</v>
      </c>
      <c r="I119" s="21">
        <f>SUMIFS(Einzelbeträge!$D:$D,Einzelbeträge!$C:$C,'Ausgaben 2027'!$C119,Einzelbeträge!$E:$E,'Ausgaben 2027'!I$6)</f>
        <v>0</v>
      </c>
      <c r="J119" s="21">
        <f>SUMIFS(Einzelbeträge!$D:$D,Einzelbeträge!$C:$C,'Ausgaben 2027'!$C119,Einzelbeträge!$E:$E,'Ausgaben 2027'!J$6)</f>
        <v>0</v>
      </c>
      <c r="K119" s="21">
        <f>SUMIFS(Einzelbeträge!$D:$D,Einzelbeträge!$C:$C,'Ausgaben 2027'!$C119,Einzelbeträge!$E:$E,'Ausgaben 2027'!K$6)</f>
        <v>0</v>
      </c>
      <c r="L119" s="21">
        <f>SUMIFS(Einzelbeträge!$D:$D,Einzelbeträge!$C:$C,'Ausgaben 2027'!$C119,Einzelbeträge!$E:$E,'Ausgaben 2027'!L$6)</f>
        <v>0</v>
      </c>
      <c r="M119" s="21">
        <f>SUMIFS(Einzelbeträge!$D:$D,Einzelbeträge!$C:$C,'Ausgaben 2027'!$C119,Einzelbeträge!$E:$E,'Ausgaben 2027'!M$6)</f>
        <v>0</v>
      </c>
      <c r="N119" s="35">
        <f>SUMIFS(Einzelbeträge!$D:$D,Einzelbeträge!$C:$C,'Ausgaben 2027'!$C119,Einzelbeträge!$E:$E,'Ausgaben 2027'!N$6)</f>
        <v>0</v>
      </c>
      <c r="O119" s="6"/>
    </row>
    <row r="120" spans="2:15" x14ac:dyDescent="0.35">
      <c r="B120" s="5"/>
      <c r="C120" s="30">
        <f t="shared" si="19"/>
        <v>46491</v>
      </c>
      <c r="D120" s="46">
        <f>SUMIFS(Einzelbeträge!$D:$D,Einzelbeträge!$C:$C,'Ausgaben 2027'!$C120)</f>
        <v>0</v>
      </c>
      <c r="E120" s="21">
        <f>SUMIFS(Einzelbeträge!$D:$D,Einzelbeträge!$C:$C,'Ausgaben 2027'!$C120,Einzelbeträge!$E:$E,'Ausgaben 2027'!E$6)</f>
        <v>0</v>
      </c>
      <c r="F120" s="21">
        <f>SUMIFS(Einzelbeträge!$D:$D,Einzelbeträge!$C:$C,'Ausgaben 2027'!$C120,Einzelbeträge!$E:$E,'Ausgaben 2027'!F$6)</f>
        <v>0</v>
      </c>
      <c r="G120" s="21">
        <f>SUMIFS(Einzelbeträge!$D:$D,Einzelbeträge!$C:$C,'Ausgaben 2027'!$C120,Einzelbeträge!$E:$E,'Ausgaben 2027'!G$6)</f>
        <v>0</v>
      </c>
      <c r="H120" s="21">
        <f>SUMIFS(Einzelbeträge!$D:$D,Einzelbeträge!$C:$C,'Ausgaben 2027'!$C120,Einzelbeträge!$E:$E,'Ausgaben 2027'!H$6)</f>
        <v>0</v>
      </c>
      <c r="I120" s="21">
        <f>SUMIFS(Einzelbeträge!$D:$D,Einzelbeträge!$C:$C,'Ausgaben 2027'!$C120,Einzelbeträge!$E:$E,'Ausgaben 2027'!I$6)</f>
        <v>0</v>
      </c>
      <c r="J120" s="21">
        <f>SUMIFS(Einzelbeträge!$D:$D,Einzelbeträge!$C:$C,'Ausgaben 2027'!$C120,Einzelbeträge!$E:$E,'Ausgaben 2027'!J$6)</f>
        <v>0</v>
      </c>
      <c r="K120" s="21">
        <f>SUMIFS(Einzelbeträge!$D:$D,Einzelbeträge!$C:$C,'Ausgaben 2027'!$C120,Einzelbeträge!$E:$E,'Ausgaben 2027'!K$6)</f>
        <v>0</v>
      </c>
      <c r="L120" s="21">
        <f>SUMIFS(Einzelbeträge!$D:$D,Einzelbeträge!$C:$C,'Ausgaben 2027'!$C120,Einzelbeträge!$E:$E,'Ausgaben 2027'!L$6)</f>
        <v>0</v>
      </c>
      <c r="M120" s="21">
        <f>SUMIFS(Einzelbeträge!$D:$D,Einzelbeträge!$C:$C,'Ausgaben 2027'!$C120,Einzelbeträge!$E:$E,'Ausgaben 2027'!M$6)</f>
        <v>0</v>
      </c>
      <c r="N120" s="35">
        <f>SUMIFS(Einzelbeträge!$D:$D,Einzelbeträge!$C:$C,'Ausgaben 2027'!$C120,Einzelbeträge!$E:$E,'Ausgaben 2027'!N$6)</f>
        <v>0</v>
      </c>
      <c r="O120" s="6"/>
    </row>
    <row r="121" spans="2:15" x14ac:dyDescent="0.35">
      <c r="B121" s="5"/>
      <c r="C121" s="30">
        <f t="shared" si="19"/>
        <v>46492</v>
      </c>
      <c r="D121" s="46">
        <f>SUMIFS(Einzelbeträge!$D:$D,Einzelbeträge!$C:$C,'Ausgaben 2027'!$C121)</f>
        <v>0</v>
      </c>
      <c r="E121" s="21">
        <f>SUMIFS(Einzelbeträge!$D:$D,Einzelbeträge!$C:$C,'Ausgaben 2027'!$C121,Einzelbeträge!$E:$E,'Ausgaben 2027'!E$6)</f>
        <v>0</v>
      </c>
      <c r="F121" s="21">
        <f>SUMIFS(Einzelbeträge!$D:$D,Einzelbeträge!$C:$C,'Ausgaben 2027'!$C121,Einzelbeträge!$E:$E,'Ausgaben 2027'!F$6)</f>
        <v>0</v>
      </c>
      <c r="G121" s="21">
        <f>SUMIFS(Einzelbeträge!$D:$D,Einzelbeträge!$C:$C,'Ausgaben 2027'!$C121,Einzelbeträge!$E:$E,'Ausgaben 2027'!G$6)</f>
        <v>0</v>
      </c>
      <c r="H121" s="21">
        <f>SUMIFS(Einzelbeträge!$D:$D,Einzelbeträge!$C:$C,'Ausgaben 2027'!$C121,Einzelbeträge!$E:$E,'Ausgaben 2027'!H$6)</f>
        <v>0</v>
      </c>
      <c r="I121" s="21">
        <f>SUMIFS(Einzelbeträge!$D:$D,Einzelbeträge!$C:$C,'Ausgaben 2027'!$C121,Einzelbeträge!$E:$E,'Ausgaben 2027'!I$6)</f>
        <v>0</v>
      </c>
      <c r="J121" s="21">
        <f>SUMIFS(Einzelbeträge!$D:$D,Einzelbeträge!$C:$C,'Ausgaben 2027'!$C121,Einzelbeträge!$E:$E,'Ausgaben 2027'!J$6)</f>
        <v>0</v>
      </c>
      <c r="K121" s="21">
        <f>SUMIFS(Einzelbeträge!$D:$D,Einzelbeträge!$C:$C,'Ausgaben 2027'!$C121,Einzelbeträge!$E:$E,'Ausgaben 2027'!K$6)</f>
        <v>0</v>
      </c>
      <c r="L121" s="21">
        <f>SUMIFS(Einzelbeträge!$D:$D,Einzelbeträge!$C:$C,'Ausgaben 2027'!$C121,Einzelbeträge!$E:$E,'Ausgaben 2027'!L$6)</f>
        <v>0</v>
      </c>
      <c r="M121" s="21">
        <f>SUMIFS(Einzelbeträge!$D:$D,Einzelbeträge!$C:$C,'Ausgaben 2027'!$C121,Einzelbeträge!$E:$E,'Ausgaben 2027'!M$6)</f>
        <v>0</v>
      </c>
      <c r="N121" s="35">
        <f>SUMIFS(Einzelbeträge!$D:$D,Einzelbeträge!$C:$C,'Ausgaben 2027'!$C121,Einzelbeträge!$E:$E,'Ausgaben 2027'!N$6)</f>
        <v>0</v>
      </c>
      <c r="O121" s="6"/>
    </row>
    <row r="122" spans="2:15" x14ac:dyDescent="0.35">
      <c r="B122" s="5"/>
      <c r="C122" s="30">
        <f t="shared" si="19"/>
        <v>46493</v>
      </c>
      <c r="D122" s="46">
        <f>SUMIFS(Einzelbeträge!$D:$D,Einzelbeträge!$C:$C,'Ausgaben 2027'!$C122)</f>
        <v>0</v>
      </c>
      <c r="E122" s="21">
        <f>SUMIFS(Einzelbeträge!$D:$D,Einzelbeträge!$C:$C,'Ausgaben 2027'!$C122,Einzelbeträge!$E:$E,'Ausgaben 2027'!E$6)</f>
        <v>0</v>
      </c>
      <c r="F122" s="21">
        <f>SUMIFS(Einzelbeträge!$D:$D,Einzelbeträge!$C:$C,'Ausgaben 2027'!$C122,Einzelbeträge!$E:$E,'Ausgaben 2027'!F$6)</f>
        <v>0</v>
      </c>
      <c r="G122" s="21">
        <f>SUMIFS(Einzelbeträge!$D:$D,Einzelbeträge!$C:$C,'Ausgaben 2027'!$C122,Einzelbeträge!$E:$E,'Ausgaben 2027'!G$6)</f>
        <v>0</v>
      </c>
      <c r="H122" s="21">
        <f>SUMIFS(Einzelbeträge!$D:$D,Einzelbeträge!$C:$C,'Ausgaben 2027'!$C122,Einzelbeträge!$E:$E,'Ausgaben 2027'!H$6)</f>
        <v>0</v>
      </c>
      <c r="I122" s="21">
        <f>SUMIFS(Einzelbeträge!$D:$D,Einzelbeträge!$C:$C,'Ausgaben 2027'!$C122,Einzelbeträge!$E:$E,'Ausgaben 2027'!I$6)</f>
        <v>0</v>
      </c>
      <c r="J122" s="21">
        <f>SUMIFS(Einzelbeträge!$D:$D,Einzelbeträge!$C:$C,'Ausgaben 2027'!$C122,Einzelbeträge!$E:$E,'Ausgaben 2027'!J$6)</f>
        <v>0</v>
      </c>
      <c r="K122" s="21">
        <f>SUMIFS(Einzelbeträge!$D:$D,Einzelbeträge!$C:$C,'Ausgaben 2027'!$C122,Einzelbeträge!$E:$E,'Ausgaben 2027'!K$6)</f>
        <v>0</v>
      </c>
      <c r="L122" s="21">
        <f>SUMIFS(Einzelbeträge!$D:$D,Einzelbeträge!$C:$C,'Ausgaben 2027'!$C122,Einzelbeträge!$E:$E,'Ausgaben 2027'!L$6)</f>
        <v>0</v>
      </c>
      <c r="M122" s="21">
        <f>SUMIFS(Einzelbeträge!$D:$D,Einzelbeträge!$C:$C,'Ausgaben 2027'!$C122,Einzelbeträge!$E:$E,'Ausgaben 2027'!M$6)</f>
        <v>0</v>
      </c>
      <c r="N122" s="35">
        <f>SUMIFS(Einzelbeträge!$D:$D,Einzelbeträge!$C:$C,'Ausgaben 2027'!$C122,Einzelbeträge!$E:$E,'Ausgaben 2027'!N$6)</f>
        <v>0</v>
      </c>
      <c r="O122" s="6"/>
    </row>
    <row r="123" spans="2:15" x14ac:dyDescent="0.35">
      <c r="B123" s="5"/>
      <c r="C123" s="30">
        <f t="shared" si="19"/>
        <v>46494</v>
      </c>
      <c r="D123" s="46">
        <f>SUMIFS(Einzelbeträge!$D:$D,Einzelbeträge!$C:$C,'Ausgaben 2027'!$C123)</f>
        <v>0</v>
      </c>
      <c r="E123" s="21">
        <f>SUMIFS(Einzelbeträge!$D:$D,Einzelbeträge!$C:$C,'Ausgaben 2027'!$C123,Einzelbeträge!$E:$E,'Ausgaben 2027'!E$6)</f>
        <v>0</v>
      </c>
      <c r="F123" s="21">
        <f>SUMIFS(Einzelbeträge!$D:$D,Einzelbeträge!$C:$C,'Ausgaben 2027'!$C123,Einzelbeträge!$E:$E,'Ausgaben 2027'!F$6)</f>
        <v>0</v>
      </c>
      <c r="G123" s="21">
        <f>SUMIFS(Einzelbeträge!$D:$D,Einzelbeträge!$C:$C,'Ausgaben 2027'!$C123,Einzelbeträge!$E:$E,'Ausgaben 2027'!G$6)</f>
        <v>0</v>
      </c>
      <c r="H123" s="21">
        <f>SUMIFS(Einzelbeträge!$D:$D,Einzelbeträge!$C:$C,'Ausgaben 2027'!$C123,Einzelbeträge!$E:$E,'Ausgaben 2027'!H$6)</f>
        <v>0</v>
      </c>
      <c r="I123" s="21">
        <f>SUMIFS(Einzelbeträge!$D:$D,Einzelbeträge!$C:$C,'Ausgaben 2027'!$C123,Einzelbeträge!$E:$E,'Ausgaben 2027'!I$6)</f>
        <v>0</v>
      </c>
      <c r="J123" s="21">
        <f>SUMIFS(Einzelbeträge!$D:$D,Einzelbeträge!$C:$C,'Ausgaben 2027'!$C123,Einzelbeträge!$E:$E,'Ausgaben 2027'!J$6)</f>
        <v>0</v>
      </c>
      <c r="K123" s="21">
        <f>SUMIFS(Einzelbeträge!$D:$D,Einzelbeträge!$C:$C,'Ausgaben 2027'!$C123,Einzelbeträge!$E:$E,'Ausgaben 2027'!K$6)</f>
        <v>0</v>
      </c>
      <c r="L123" s="21">
        <f>SUMIFS(Einzelbeträge!$D:$D,Einzelbeträge!$C:$C,'Ausgaben 2027'!$C123,Einzelbeträge!$E:$E,'Ausgaben 2027'!L$6)</f>
        <v>0</v>
      </c>
      <c r="M123" s="21">
        <f>SUMIFS(Einzelbeträge!$D:$D,Einzelbeträge!$C:$C,'Ausgaben 2027'!$C123,Einzelbeträge!$E:$E,'Ausgaben 2027'!M$6)</f>
        <v>0</v>
      </c>
      <c r="N123" s="35">
        <f>SUMIFS(Einzelbeträge!$D:$D,Einzelbeträge!$C:$C,'Ausgaben 2027'!$C123,Einzelbeträge!$E:$E,'Ausgaben 2027'!N$6)</f>
        <v>0</v>
      </c>
      <c r="O123" s="6"/>
    </row>
    <row r="124" spans="2:15" x14ac:dyDescent="0.35">
      <c r="B124" s="5"/>
      <c r="C124" s="30">
        <f t="shared" si="19"/>
        <v>46495</v>
      </c>
      <c r="D124" s="46">
        <f>SUMIFS(Einzelbeträge!$D:$D,Einzelbeträge!$C:$C,'Ausgaben 2027'!$C124)</f>
        <v>0</v>
      </c>
      <c r="E124" s="21">
        <f>SUMIFS(Einzelbeträge!$D:$D,Einzelbeträge!$C:$C,'Ausgaben 2027'!$C124,Einzelbeträge!$E:$E,'Ausgaben 2027'!E$6)</f>
        <v>0</v>
      </c>
      <c r="F124" s="21">
        <f>SUMIFS(Einzelbeträge!$D:$D,Einzelbeträge!$C:$C,'Ausgaben 2027'!$C124,Einzelbeträge!$E:$E,'Ausgaben 2027'!F$6)</f>
        <v>0</v>
      </c>
      <c r="G124" s="21">
        <f>SUMIFS(Einzelbeträge!$D:$D,Einzelbeträge!$C:$C,'Ausgaben 2027'!$C124,Einzelbeträge!$E:$E,'Ausgaben 2027'!G$6)</f>
        <v>0</v>
      </c>
      <c r="H124" s="21">
        <f>SUMIFS(Einzelbeträge!$D:$D,Einzelbeträge!$C:$C,'Ausgaben 2027'!$C124,Einzelbeträge!$E:$E,'Ausgaben 2027'!H$6)</f>
        <v>0</v>
      </c>
      <c r="I124" s="21">
        <f>SUMIFS(Einzelbeträge!$D:$D,Einzelbeträge!$C:$C,'Ausgaben 2027'!$C124,Einzelbeträge!$E:$E,'Ausgaben 2027'!I$6)</f>
        <v>0</v>
      </c>
      <c r="J124" s="21">
        <f>SUMIFS(Einzelbeträge!$D:$D,Einzelbeträge!$C:$C,'Ausgaben 2027'!$C124,Einzelbeträge!$E:$E,'Ausgaben 2027'!J$6)</f>
        <v>0</v>
      </c>
      <c r="K124" s="21">
        <f>SUMIFS(Einzelbeträge!$D:$D,Einzelbeträge!$C:$C,'Ausgaben 2027'!$C124,Einzelbeträge!$E:$E,'Ausgaben 2027'!K$6)</f>
        <v>0</v>
      </c>
      <c r="L124" s="21">
        <f>SUMIFS(Einzelbeträge!$D:$D,Einzelbeträge!$C:$C,'Ausgaben 2027'!$C124,Einzelbeträge!$E:$E,'Ausgaben 2027'!L$6)</f>
        <v>0</v>
      </c>
      <c r="M124" s="21">
        <f>SUMIFS(Einzelbeträge!$D:$D,Einzelbeträge!$C:$C,'Ausgaben 2027'!$C124,Einzelbeträge!$E:$E,'Ausgaben 2027'!M$6)</f>
        <v>0</v>
      </c>
      <c r="N124" s="35">
        <f>SUMIFS(Einzelbeträge!$D:$D,Einzelbeträge!$C:$C,'Ausgaben 2027'!$C124,Einzelbeträge!$E:$E,'Ausgaben 2027'!N$6)</f>
        <v>0</v>
      </c>
      <c r="O124" s="6"/>
    </row>
    <row r="125" spans="2:15" x14ac:dyDescent="0.35">
      <c r="B125" s="5"/>
      <c r="C125" s="30">
        <f t="shared" si="19"/>
        <v>46496</v>
      </c>
      <c r="D125" s="46">
        <f>SUMIFS(Einzelbeträge!$D:$D,Einzelbeträge!$C:$C,'Ausgaben 2027'!$C125)</f>
        <v>0</v>
      </c>
      <c r="E125" s="21">
        <f>SUMIFS(Einzelbeträge!$D:$D,Einzelbeträge!$C:$C,'Ausgaben 2027'!$C125,Einzelbeträge!$E:$E,'Ausgaben 2027'!E$6)</f>
        <v>0</v>
      </c>
      <c r="F125" s="21">
        <f>SUMIFS(Einzelbeträge!$D:$D,Einzelbeträge!$C:$C,'Ausgaben 2027'!$C125,Einzelbeträge!$E:$E,'Ausgaben 2027'!F$6)</f>
        <v>0</v>
      </c>
      <c r="G125" s="21">
        <f>SUMIFS(Einzelbeträge!$D:$D,Einzelbeträge!$C:$C,'Ausgaben 2027'!$C125,Einzelbeträge!$E:$E,'Ausgaben 2027'!G$6)</f>
        <v>0</v>
      </c>
      <c r="H125" s="21">
        <f>SUMIFS(Einzelbeträge!$D:$D,Einzelbeträge!$C:$C,'Ausgaben 2027'!$C125,Einzelbeträge!$E:$E,'Ausgaben 2027'!H$6)</f>
        <v>0</v>
      </c>
      <c r="I125" s="21">
        <f>SUMIFS(Einzelbeträge!$D:$D,Einzelbeträge!$C:$C,'Ausgaben 2027'!$C125,Einzelbeträge!$E:$E,'Ausgaben 2027'!I$6)</f>
        <v>0</v>
      </c>
      <c r="J125" s="21">
        <f>SUMIFS(Einzelbeträge!$D:$D,Einzelbeträge!$C:$C,'Ausgaben 2027'!$C125,Einzelbeträge!$E:$E,'Ausgaben 2027'!J$6)</f>
        <v>0</v>
      </c>
      <c r="K125" s="21">
        <f>SUMIFS(Einzelbeträge!$D:$D,Einzelbeträge!$C:$C,'Ausgaben 2027'!$C125,Einzelbeträge!$E:$E,'Ausgaben 2027'!K$6)</f>
        <v>0</v>
      </c>
      <c r="L125" s="21">
        <f>SUMIFS(Einzelbeträge!$D:$D,Einzelbeträge!$C:$C,'Ausgaben 2027'!$C125,Einzelbeträge!$E:$E,'Ausgaben 2027'!L$6)</f>
        <v>0</v>
      </c>
      <c r="M125" s="21">
        <f>SUMIFS(Einzelbeträge!$D:$D,Einzelbeträge!$C:$C,'Ausgaben 2027'!$C125,Einzelbeträge!$E:$E,'Ausgaben 2027'!M$6)</f>
        <v>0</v>
      </c>
      <c r="N125" s="35">
        <f>SUMIFS(Einzelbeträge!$D:$D,Einzelbeträge!$C:$C,'Ausgaben 2027'!$C125,Einzelbeträge!$E:$E,'Ausgaben 2027'!N$6)</f>
        <v>0</v>
      </c>
      <c r="O125" s="6"/>
    </row>
    <row r="126" spans="2:15" x14ac:dyDescent="0.35">
      <c r="B126" s="5"/>
      <c r="C126" s="30">
        <f t="shared" si="19"/>
        <v>46497</v>
      </c>
      <c r="D126" s="46">
        <f>SUMIFS(Einzelbeträge!$D:$D,Einzelbeträge!$C:$C,'Ausgaben 2027'!$C126)</f>
        <v>0</v>
      </c>
      <c r="E126" s="21">
        <f>SUMIFS(Einzelbeträge!$D:$D,Einzelbeträge!$C:$C,'Ausgaben 2027'!$C126,Einzelbeträge!$E:$E,'Ausgaben 2027'!E$6)</f>
        <v>0</v>
      </c>
      <c r="F126" s="21">
        <f>SUMIFS(Einzelbeträge!$D:$D,Einzelbeträge!$C:$C,'Ausgaben 2027'!$C126,Einzelbeträge!$E:$E,'Ausgaben 2027'!F$6)</f>
        <v>0</v>
      </c>
      <c r="G126" s="21">
        <f>SUMIFS(Einzelbeträge!$D:$D,Einzelbeträge!$C:$C,'Ausgaben 2027'!$C126,Einzelbeträge!$E:$E,'Ausgaben 2027'!G$6)</f>
        <v>0</v>
      </c>
      <c r="H126" s="21">
        <f>SUMIFS(Einzelbeträge!$D:$D,Einzelbeträge!$C:$C,'Ausgaben 2027'!$C126,Einzelbeträge!$E:$E,'Ausgaben 2027'!H$6)</f>
        <v>0</v>
      </c>
      <c r="I126" s="21">
        <f>SUMIFS(Einzelbeträge!$D:$D,Einzelbeträge!$C:$C,'Ausgaben 2027'!$C126,Einzelbeträge!$E:$E,'Ausgaben 2027'!I$6)</f>
        <v>0</v>
      </c>
      <c r="J126" s="21">
        <f>SUMIFS(Einzelbeträge!$D:$D,Einzelbeträge!$C:$C,'Ausgaben 2027'!$C126,Einzelbeträge!$E:$E,'Ausgaben 2027'!J$6)</f>
        <v>0</v>
      </c>
      <c r="K126" s="21">
        <f>SUMIFS(Einzelbeträge!$D:$D,Einzelbeträge!$C:$C,'Ausgaben 2027'!$C126,Einzelbeträge!$E:$E,'Ausgaben 2027'!K$6)</f>
        <v>0</v>
      </c>
      <c r="L126" s="21">
        <f>SUMIFS(Einzelbeträge!$D:$D,Einzelbeträge!$C:$C,'Ausgaben 2027'!$C126,Einzelbeträge!$E:$E,'Ausgaben 2027'!L$6)</f>
        <v>0</v>
      </c>
      <c r="M126" s="21">
        <f>SUMIFS(Einzelbeträge!$D:$D,Einzelbeträge!$C:$C,'Ausgaben 2027'!$C126,Einzelbeträge!$E:$E,'Ausgaben 2027'!M$6)</f>
        <v>0</v>
      </c>
      <c r="N126" s="35">
        <f>SUMIFS(Einzelbeträge!$D:$D,Einzelbeträge!$C:$C,'Ausgaben 2027'!$C126,Einzelbeträge!$E:$E,'Ausgaben 2027'!N$6)</f>
        <v>0</v>
      </c>
      <c r="O126" s="6"/>
    </row>
    <row r="127" spans="2:15" x14ac:dyDescent="0.35">
      <c r="B127" s="5"/>
      <c r="C127" s="30">
        <f t="shared" si="19"/>
        <v>46498</v>
      </c>
      <c r="D127" s="46">
        <f>SUMIFS(Einzelbeträge!$D:$D,Einzelbeträge!$C:$C,'Ausgaben 2027'!$C127)</f>
        <v>0</v>
      </c>
      <c r="E127" s="21">
        <f>SUMIFS(Einzelbeträge!$D:$D,Einzelbeträge!$C:$C,'Ausgaben 2027'!$C127,Einzelbeträge!$E:$E,'Ausgaben 2027'!E$6)</f>
        <v>0</v>
      </c>
      <c r="F127" s="21">
        <f>SUMIFS(Einzelbeträge!$D:$D,Einzelbeträge!$C:$C,'Ausgaben 2027'!$C127,Einzelbeträge!$E:$E,'Ausgaben 2027'!F$6)</f>
        <v>0</v>
      </c>
      <c r="G127" s="21">
        <f>SUMIFS(Einzelbeträge!$D:$D,Einzelbeträge!$C:$C,'Ausgaben 2027'!$C127,Einzelbeträge!$E:$E,'Ausgaben 2027'!G$6)</f>
        <v>0</v>
      </c>
      <c r="H127" s="21">
        <f>SUMIFS(Einzelbeträge!$D:$D,Einzelbeträge!$C:$C,'Ausgaben 2027'!$C127,Einzelbeträge!$E:$E,'Ausgaben 2027'!H$6)</f>
        <v>0</v>
      </c>
      <c r="I127" s="21">
        <f>SUMIFS(Einzelbeträge!$D:$D,Einzelbeträge!$C:$C,'Ausgaben 2027'!$C127,Einzelbeträge!$E:$E,'Ausgaben 2027'!I$6)</f>
        <v>0</v>
      </c>
      <c r="J127" s="21">
        <f>SUMIFS(Einzelbeträge!$D:$D,Einzelbeträge!$C:$C,'Ausgaben 2027'!$C127,Einzelbeträge!$E:$E,'Ausgaben 2027'!J$6)</f>
        <v>0</v>
      </c>
      <c r="K127" s="21">
        <f>SUMIFS(Einzelbeträge!$D:$D,Einzelbeträge!$C:$C,'Ausgaben 2027'!$C127,Einzelbeträge!$E:$E,'Ausgaben 2027'!K$6)</f>
        <v>0</v>
      </c>
      <c r="L127" s="21">
        <f>SUMIFS(Einzelbeträge!$D:$D,Einzelbeträge!$C:$C,'Ausgaben 2027'!$C127,Einzelbeträge!$E:$E,'Ausgaben 2027'!L$6)</f>
        <v>0</v>
      </c>
      <c r="M127" s="21">
        <f>SUMIFS(Einzelbeträge!$D:$D,Einzelbeträge!$C:$C,'Ausgaben 2027'!$C127,Einzelbeträge!$E:$E,'Ausgaben 2027'!M$6)</f>
        <v>0</v>
      </c>
      <c r="N127" s="35">
        <f>SUMIFS(Einzelbeträge!$D:$D,Einzelbeträge!$C:$C,'Ausgaben 2027'!$C127,Einzelbeträge!$E:$E,'Ausgaben 2027'!N$6)</f>
        <v>0</v>
      </c>
      <c r="O127" s="6"/>
    </row>
    <row r="128" spans="2:15" x14ac:dyDescent="0.35">
      <c r="B128" s="5"/>
      <c r="C128" s="30">
        <f t="shared" si="19"/>
        <v>46499</v>
      </c>
      <c r="D128" s="46">
        <f>SUMIFS(Einzelbeträge!$D:$D,Einzelbeträge!$C:$C,'Ausgaben 2027'!$C128)</f>
        <v>0</v>
      </c>
      <c r="E128" s="21">
        <f>SUMIFS(Einzelbeträge!$D:$D,Einzelbeträge!$C:$C,'Ausgaben 2027'!$C128,Einzelbeträge!$E:$E,'Ausgaben 2027'!E$6)</f>
        <v>0</v>
      </c>
      <c r="F128" s="21">
        <f>SUMIFS(Einzelbeträge!$D:$D,Einzelbeträge!$C:$C,'Ausgaben 2027'!$C128,Einzelbeträge!$E:$E,'Ausgaben 2027'!F$6)</f>
        <v>0</v>
      </c>
      <c r="G128" s="21">
        <f>SUMIFS(Einzelbeträge!$D:$D,Einzelbeträge!$C:$C,'Ausgaben 2027'!$C128,Einzelbeträge!$E:$E,'Ausgaben 2027'!G$6)</f>
        <v>0</v>
      </c>
      <c r="H128" s="21">
        <f>SUMIFS(Einzelbeträge!$D:$D,Einzelbeträge!$C:$C,'Ausgaben 2027'!$C128,Einzelbeträge!$E:$E,'Ausgaben 2027'!H$6)</f>
        <v>0</v>
      </c>
      <c r="I128" s="21">
        <f>SUMIFS(Einzelbeträge!$D:$D,Einzelbeträge!$C:$C,'Ausgaben 2027'!$C128,Einzelbeträge!$E:$E,'Ausgaben 2027'!I$6)</f>
        <v>0</v>
      </c>
      <c r="J128" s="21">
        <f>SUMIFS(Einzelbeträge!$D:$D,Einzelbeträge!$C:$C,'Ausgaben 2027'!$C128,Einzelbeträge!$E:$E,'Ausgaben 2027'!J$6)</f>
        <v>0</v>
      </c>
      <c r="K128" s="21">
        <f>SUMIFS(Einzelbeträge!$D:$D,Einzelbeträge!$C:$C,'Ausgaben 2027'!$C128,Einzelbeträge!$E:$E,'Ausgaben 2027'!K$6)</f>
        <v>0</v>
      </c>
      <c r="L128" s="21">
        <f>SUMIFS(Einzelbeträge!$D:$D,Einzelbeträge!$C:$C,'Ausgaben 2027'!$C128,Einzelbeträge!$E:$E,'Ausgaben 2027'!L$6)</f>
        <v>0</v>
      </c>
      <c r="M128" s="21">
        <f>SUMIFS(Einzelbeträge!$D:$D,Einzelbeträge!$C:$C,'Ausgaben 2027'!$C128,Einzelbeträge!$E:$E,'Ausgaben 2027'!M$6)</f>
        <v>0</v>
      </c>
      <c r="N128" s="35">
        <f>SUMIFS(Einzelbeträge!$D:$D,Einzelbeträge!$C:$C,'Ausgaben 2027'!$C128,Einzelbeträge!$E:$E,'Ausgaben 2027'!N$6)</f>
        <v>0</v>
      </c>
      <c r="O128" s="6"/>
    </row>
    <row r="129" spans="2:15" x14ac:dyDescent="0.35">
      <c r="B129" s="5"/>
      <c r="C129" s="30">
        <f t="shared" si="19"/>
        <v>46500</v>
      </c>
      <c r="D129" s="46">
        <f>SUMIFS(Einzelbeträge!$D:$D,Einzelbeträge!$C:$C,'Ausgaben 2027'!$C129)</f>
        <v>0</v>
      </c>
      <c r="E129" s="21">
        <f>SUMIFS(Einzelbeträge!$D:$D,Einzelbeträge!$C:$C,'Ausgaben 2027'!$C129,Einzelbeträge!$E:$E,'Ausgaben 2027'!E$6)</f>
        <v>0</v>
      </c>
      <c r="F129" s="21">
        <f>SUMIFS(Einzelbeträge!$D:$D,Einzelbeträge!$C:$C,'Ausgaben 2027'!$C129,Einzelbeträge!$E:$E,'Ausgaben 2027'!F$6)</f>
        <v>0</v>
      </c>
      <c r="G129" s="21">
        <f>SUMIFS(Einzelbeträge!$D:$D,Einzelbeträge!$C:$C,'Ausgaben 2027'!$C129,Einzelbeträge!$E:$E,'Ausgaben 2027'!G$6)</f>
        <v>0</v>
      </c>
      <c r="H129" s="21">
        <f>SUMIFS(Einzelbeträge!$D:$D,Einzelbeträge!$C:$C,'Ausgaben 2027'!$C129,Einzelbeträge!$E:$E,'Ausgaben 2027'!H$6)</f>
        <v>0</v>
      </c>
      <c r="I129" s="21">
        <f>SUMIFS(Einzelbeträge!$D:$D,Einzelbeträge!$C:$C,'Ausgaben 2027'!$C129,Einzelbeträge!$E:$E,'Ausgaben 2027'!I$6)</f>
        <v>0</v>
      </c>
      <c r="J129" s="21">
        <f>SUMIFS(Einzelbeträge!$D:$D,Einzelbeträge!$C:$C,'Ausgaben 2027'!$C129,Einzelbeträge!$E:$E,'Ausgaben 2027'!J$6)</f>
        <v>0</v>
      </c>
      <c r="K129" s="21">
        <f>SUMIFS(Einzelbeträge!$D:$D,Einzelbeträge!$C:$C,'Ausgaben 2027'!$C129,Einzelbeträge!$E:$E,'Ausgaben 2027'!K$6)</f>
        <v>0</v>
      </c>
      <c r="L129" s="21">
        <f>SUMIFS(Einzelbeträge!$D:$D,Einzelbeträge!$C:$C,'Ausgaben 2027'!$C129,Einzelbeträge!$E:$E,'Ausgaben 2027'!L$6)</f>
        <v>0</v>
      </c>
      <c r="M129" s="21">
        <f>SUMIFS(Einzelbeträge!$D:$D,Einzelbeträge!$C:$C,'Ausgaben 2027'!$C129,Einzelbeträge!$E:$E,'Ausgaben 2027'!M$6)</f>
        <v>0</v>
      </c>
      <c r="N129" s="35">
        <f>SUMIFS(Einzelbeträge!$D:$D,Einzelbeträge!$C:$C,'Ausgaben 2027'!$C129,Einzelbeträge!$E:$E,'Ausgaben 2027'!N$6)</f>
        <v>0</v>
      </c>
      <c r="O129" s="6"/>
    </row>
    <row r="130" spans="2:15" x14ac:dyDescent="0.35">
      <c r="B130" s="5"/>
      <c r="C130" s="30">
        <f t="shared" si="19"/>
        <v>46501</v>
      </c>
      <c r="D130" s="46">
        <f>SUMIFS(Einzelbeträge!$D:$D,Einzelbeträge!$C:$C,'Ausgaben 2027'!$C130)</f>
        <v>0</v>
      </c>
      <c r="E130" s="21">
        <f>SUMIFS(Einzelbeträge!$D:$D,Einzelbeträge!$C:$C,'Ausgaben 2027'!$C130,Einzelbeträge!$E:$E,'Ausgaben 2027'!E$6)</f>
        <v>0</v>
      </c>
      <c r="F130" s="21">
        <f>SUMIFS(Einzelbeträge!$D:$D,Einzelbeträge!$C:$C,'Ausgaben 2027'!$C130,Einzelbeträge!$E:$E,'Ausgaben 2027'!F$6)</f>
        <v>0</v>
      </c>
      <c r="G130" s="21">
        <f>SUMIFS(Einzelbeträge!$D:$D,Einzelbeträge!$C:$C,'Ausgaben 2027'!$C130,Einzelbeträge!$E:$E,'Ausgaben 2027'!G$6)</f>
        <v>0</v>
      </c>
      <c r="H130" s="21">
        <f>SUMIFS(Einzelbeträge!$D:$D,Einzelbeträge!$C:$C,'Ausgaben 2027'!$C130,Einzelbeträge!$E:$E,'Ausgaben 2027'!H$6)</f>
        <v>0</v>
      </c>
      <c r="I130" s="21">
        <f>SUMIFS(Einzelbeträge!$D:$D,Einzelbeträge!$C:$C,'Ausgaben 2027'!$C130,Einzelbeträge!$E:$E,'Ausgaben 2027'!I$6)</f>
        <v>0</v>
      </c>
      <c r="J130" s="21">
        <f>SUMIFS(Einzelbeträge!$D:$D,Einzelbeträge!$C:$C,'Ausgaben 2027'!$C130,Einzelbeträge!$E:$E,'Ausgaben 2027'!J$6)</f>
        <v>0</v>
      </c>
      <c r="K130" s="21">
        <f>SUMIFS(Einzelbeträge!$D:$D,Einzelbeträge!$C:$C,'Ausgaben 2027'!$C130,Einzelbeträge!$E:$E,'Ausgaben 2027'!K$6)</f>
        <v>0</v>
      </c>
      <c r="L130" s="21">
        <f>SUMIFS(Einzelbeträge!$D:$D,Einzelbeträge!$C:$C,'Ausgaben 2027'!$C130,Einzelbeträge!$E:$E,'Ausgaben 2027'!L$6)</f>
        <v>0</v>
      </c>
      <c r="M130" s="21">
        <f>SUMIFS(Einzelbeträge!$D:$D,Einzelbeträge!$C:$C,'Ausgaben 2027'!$C130,Einzelbeträge!$E:$E,'Ausgaben 2027'!M$6)</f>
        <v>0</v>
      </c>
      <c r="N130" s="35">
        <f>SUMIFS(Einzelbeträge!$D:$D,Einzelbeträge!$C:$C,'Ausgaben 2027'!$C130,Einzelbeträge!$E:$E,'Ausgaben 2027'!N$6)</f>
        <v>0</v>
      </c>
      <c r="O130" s="6"/>
    </row>
    <row r="131" spans="2:15" x14ac:dyDescent="0.35">
      <c r="B131" s="5"/>
      <c r="C131" s="30">
        <f t="shared" si="19"/>
        <v>46502</v>
      </c>
      <c r="D131" s="46">
        <f>SUMIFS(Einzelbeträge!$D:$D,Einzelbeträge!$C:$C,'Ausgaben 2027'!$C131)</f>
        <v>0</v>
      </c>
      <c r="E131" s="21">
        <f>SUMIFS(Einzelbeträge!$D:$D,Einzelbeträge!$C:$C,'Ausgaben 2027'!$C131,Einzelbeträge!$E:$E,'Ausgaben 2027'!E$6)</f>
        <v>0</v>
      </c>
      <c r="F131" s="21">
        <f>SUMIFS(Einzelbeträge!$D:$D,Einzelbeträge!$C:$C,'Ausgaben 2027'!$C131,Einzelbeträge!$E:$E,'Ausgaben 2027'!F$6)</f>
        <v>0</v>
      </c>
      <c r="G131" s="21">
        <f>SUMIFS(Einzelbeträge!$D:$D,Einzelbeträge!$C:$C,'Ausgaben 2027'!$C131,Einzelbeträge!$E:$E,'Ausgaben 2027'!G$6)</f>
        <v>0</v>
      </c>
      <c r="H131" s="21">
        <f>SUMIFS(Einzelbeträge!$D:$D,Einzelbeträge!$C:$C,'Ausgaben 2027'!$C131,Einzelbeträge!$E:$E,'Ausgaben 2027'!H$6)</f>
        <v>0</v>
      </c>
      <c r="I131" s="21">
        <f>SUMIFS(Einzelbeträge!$D:$D,Einzelbeträge!$C:$C,'Ausgaben 2027'!$C131,Einzelbeträge!$E:$E,'Ausgaben 2027'!I$6)</f>
        <v>0</v>
      </c>
      <c r="J131" s="21">
        <f>SUMIFS(Einzelbeträge!$D:$D,Einzelbeträge!$C:$C,'Ausgaben 2027'!$C131,Einzelbeträge!$E:$E,'Ausgaben 2027'!J$6)</f>
        <v>0</v>
      </c>
      <c r="K131" s="21">
        <f>SUMIFS(Einzelbeträge!$D:$D,Einzelbeträge!$C:$C,'Ausgaben 2027'!$C131,Einzelbeträge!$E:$E,'Ausgaben 2027'!K$6)</f>
        <v>0</v>
      </c>
      <c r="L131" s="21">
        <f>SUMIFS(Einzelbeträge!$D:$D,Einzelbeträge!$C:$C,'Ausgaben 2027'!$C131,Einzelbeträge!$E:$E,'Ausgaben 2027'!L$6)</f>
        <v>0</v>
      </c>
      <c r="M131" s="21">
        <f>SUMIFS(Einzelbeträge!$D:$D,Einzelbeträge!$C:$C,'Ausgaben 2027'!$C131,Einzelbeträge!$E:$E,'Ausgaben 2027'!M$6)</f>
        <v>0</v>
      </c>
      <c r="N131" s="35">
        <f>SUMIFS(Einzelbeträge!$D:$D,Einzelbeträge!$C:$C,'Ausgaben 2027'!$C131,Einzelbeträge!$E:$E,'Ausgaben 2027'!N$6)</f>
        <v>0</v>
      </c>
      <c r="O131" s="6"/>
    </row>
    <row r="132" spans="2:15" x14ac:dyDescent="0.35">
      <c r="B132" s="5"/>
      <c r="C132" s="30">
        <f t="shared" si="19"/>
        <v>46503</v>
      </c>
      <c r="D132" s="46">
        <f>SUMIFS(Einzelbeträge!$D:$D,Einzelbeträge!$C:$C,'Ausgaben 2027'!$C132)</f>
        <v>0</v>
      </c>
      <c r="E132" s="21">
        <f>SUMIFS(Einzelbeträge!$D:$D,Einzelbeträge!$C:$C,'Ausgaben 2027'!$C132,Einzelbeträge!$E:$E,'Ausgaben 2027'!E$6)</f>
        <v>0</v>
      </c>
      <c r="F132" s="21">
        <f>SUMIFS(Einzelbeträge!$D:$D,Einzelbeträge!$C:$C,'Ausgaben 2027'!$C132,Einzelbeträge!$E:$E,'Ausgaben 2027'!F$6)</f>
        <v>0</v>
      </c>
      <c r="G132" s="21">
        <f>SUMIFS(Einzelbeträge!$D:$D,Einzelbeträge!$C:$C,'Ausgaben 2027'!$C132,Einzelbeträge!$E:$E,'Ausgaben 2027'!G$6)</f>
        <v>0</v>
      </c>
      <c r="H132" s="21">
        <f>SUMIFS(Einzelbeträge!$D:$D,Einzelbeträge!$C:$C,'Ausgaben 2027'!$C132,Einzelbeträge!$E:$E,'Ausgaben 2027'!H$6)</f>
        <v>0</v>
      </c>
      <c r="I132" s="21">
        <f>SUMIFS(Einzelbeträge!$D:$D,Einzelbeträge!$C:$C,'Ausgaben 2027'!$C132,Einzelbeträge!$E:$E,'Ausgaben 2027'!I$6)</f>
        <v>0</v>
      </c>
      <c r="J132" s="21">
        <f>SUMIFS(Einzelbeträge!$D:$D,Einzelbeträge!$C:$C,'Ausgaben 2027'!$C132,Einzelbeträge!$E:$E,'Ausgaben 2027'!J$6)</f>
        <v>0</v>
      </c>
      <c r="K132" s="21">
        <f>SUMIFS(Einzelbeträge!$D:$D,Einzelbeträge!$C:$C,'Ausgaben 2027'!$C132,Einzelbeträge!$E:$E,'Ausgaben 2027'!K$6)</f>
        <v>0</v>
      </c>
      <c r="L132" s="21">
        <f>SUMIFS(Einzelbeträge!$D:$D,Einzelbeträge!$C:$C,'Ausgaben 2027'!$C132,Einzelbeträge!$E:$E,'Ausgaben 2027'!L$6)</f>
        <v>0</v>
      </c>
      <c r="M132" s="21">
        <f>SUMIFS(Einzelbeträge!$D:$D,Einzelbeträge!$C:$C,'Ausgaben 2027'!$C132,Einzelbeträge!$E:$E,'Ausgaben 2027'!M$6)</f>
        <v>0</v>
      </c>
      <c r="N132" s="35">
        <f>SUMIFS(Einzelbeträge!$D:$D,Einzelbeträge!$C:$C,'Ausgaben 2027'!$C132,Einzelbeträge!$E:$E,'Ausgaben 2027'!N$6)</f>
        <v>0</v>
      </c>
      <c r="O132" s="6"/>
    </row>
    <row r="133" spans="2:15" x14ac:dyDescent="0.35">
      <c r="B133" s="5"/>
      <c r="C133" s="30">
        <f t="shared" si="19"/>
        <v>46504</v>
      </c>
      <c r="D133" s="46">
        <f>SUMIFS(Einzelbeträge!$D:$D,Einzelbeträge!$C:$C,'Ausgaben 2027'!$C133)</f>
        <v>0</v>
      </c>
      <c r="E133" s="21">
        <f>SUMIFS(Einzelbeträge!$D:$D,Einzelbeträge!$C:$C,'Ausgaben 2027'!$C133,Einzelbeträge!$E:$E,'Ausgaben 2027'!E$6)</f>
        <v>0</v>
      </c>
      <c r="F133" s="21">
        <f>SUMIFS(Einzelbeträge!$D:$D,Einzelbeträge!$C:$C,'Ausgaben 2027'!$C133,Einzelbeträge!$E:$E,'Ausgaben 2027'!F$6)</f>
        <v>0</v>
      </c>
      <c r="G133" s="21">
        <f>SUMIFS(Einzelbeträge!$D:$D,Einzelbeträge!$C:$C,'Ausgaben 2027'!$C133,Einzelbeträge!$E:$E,'Ausgaben 2027'!G$6)</f>
        <v>0</v>
      </c>
      <c r="H133" s="21">
        <f>SUMIFS(Einzelbeträge!$D:$D,Einzelbeträge!$C:$C,'Ausgaben 2027'!$C133,Einzelbeträge!$E:$E,'Ausgaben 2027'!H$6)</f>
        <v>0</v>
      </c>
      <c r="I133" s="21">
        <f>SUMIFS(Einzelbeträge!$D:$D,Einzelbeträge!$C:$C,'Ausgaben 2027'!$C133,Einzelbeträge!$E:$E,'Ausgaben 2027'!I$6)</f>
        <v>0</v>
      </c>
      <c r="J133" s="21">
        <f>SUMIFS(Einzelbeträge!$D:$D,Einzelbeträge!$C:$C,'Ausgaben 2027'!$C133,Einzelbeträge!$E:$E,'Ausgaben 2027'!J$6)</f>
        <v>0</v>
      </c>
      <c r="K133" s="21">
        <f>SUMIFS(Einzelbeträge!$D:$D,Einzelbeträge!$C:$C,'Ausgaben 2027'!$C133,Einzelbeträge!$E:$E,'Ausgaben 2027'!K$6)</f>
        <v>0</v>
      </c>
      <c r="L133" s="21">
        <f>SUMIFS(Einzelbeträge!$D:$D,Einzelbeträge!$C:$C,'Ausgaben 2027'!$C133,Einzelbeträge!$E:$E,'Ausgaben 2027'!L$6)</f>
        <v>0</v>
      </c>
      <c r="M133" s="21">
        <f>SUMIFS(Einzelbeträge!$D:$D,Einzelbeträge!$C:$C,'Ausgaben 2027'!$C133,Einzelbeträge!$E:$E,'Ausgaben 2027'!M$6)</f>
        <v>0</v>
      </c>
      <c r="N133" s="35">
        <f>SUMIFS(Einzelbeträge!$D:$D,Einzelbeträge!$C:$C,'Ausgaben 2027'!$C133,Einzelbeträge!$E:$E,'Ausgaben 2027'!N$6)</f>
        <v>0</v>
      </c>
      <c r="O133" s="6"/>
    </row>
    <row r="134" spans="2:15" x14ac:dyDescent="0.35">
      <c r="B134" s="5"/>
      <c r="C134" s="30">
        <f t="shared" si="19"/>
        <v>46505</v>
      </c>
      <c r="D134" s="46">
        <f>SUMIFS(Einzelbeträge!$D:$D,Einzelbeträge!$C:$C,'Ausgaben 2027'!$C134)</f>
        <v>0</v>
      </c>
      <c r="E134" s="21">
        <f>SUMIFS(Einzelbeträge!$D:$D,Einzelbeträge!$C:$C,'Ausgaben 2027'!$C134,Einzelbeträge!$E:$E,'Ausgaben 2027'!E$6)</f>
        <v>0</v>
      </c>
      <c r="F134" s="21">
        <f>SUMIFS(Einzelbeträge!$D:$D,Einzelbeträge!$C:$C,'Ausgaben 2027'!$C134,Einzelbeträge!$E:$E,'Ausgaben 2027'!F$6)</f>
        <v>0</v>
      </c>
      <c r="G134" s="21">
        <f>SUMIFS(Einzelbeträge!$D:$D,Einzelbeträge!$C:$C,'Ausgaben 2027'!$C134,Einzelbeträge!$E:$E,'Ausgaben 2027'!G$6)</f>
        <v>0</v>
      </c>
      <c r="H134" s="21">
        <f>SUMIFS(Einzelbeträge!$D:$D,Einzelbeträge!$C:$C,'Ausgaben 2027'!$C134,Einzelbeträge!$E:$E,'Ausgaben 2027'!H$6)</f>
        <v>0</v>
      </c>
      <c r="I134" s="21">
        <f>SUMIFS(Einzelbeträge!$D:$D,Einzelbeträge!$C:$C,'Ausgaben 2027'!$C134,Einzelbeträge!$E:$E,'Ausgaben 2027'!I$6)</f>
        <v>0</v>
      </c>
      <c r="J134" s="21">
        <f>SUMIFS(Einzelbeträge!$D:$D,Einzelbeträge!$C:$C,'Ausgaben 2027'!$C134,Einzelbeträge!$E:$E,'Ausgaben 2027'!J$6)</f>
        <v>0</v>
      </c>
      <c r="K134" s="21">
        <f>SUMIFS(Einzelbeträge!$D:$D,Einzelbeträge!$C:$C,'Ausgaben 2027'!$C134,Einzelbeträge!$E:$E,'Ausgaben 2027'!K$6)</f>
        <v>0</v>
      </c>
      <c r="L134" s="21">
        <f>SUMIFS(Einzelbeträge!$D:$D,Einzelbeträge!$C:$C,'Ausgaben 2027'!$C134,Einzelbeträge!$E:$E,'Ausgaben 2027'!L$6)</f>
        <v>0</v>
      </c>
      <c r="M134" s="21">
        <f>SUMIFS(Einzelbeträge!$D:$D,Einzelbeträge!$C:$C,'Ausgaben 2027'!$C134,Einzelbeträge!$E:$E,'Ausgaben 2027'!M$6)</f>
        <v>0</v>
      </c>
      <c r="N134" s="35">
        <f>SUMIFS(Einzelbeträge!$D:$D,Einzelbeträge!$C:$C,'Ausgaben 2027'!$C134,Einzelbeträge!$E:$E,'Ausgaben 2027'!N$6)</f>
        <v>0</v>
      </c>
      <c r="O134" s="6"/>
    </row>
    <row r="135" spans="2:15" x14ac:dyDescent="0.35">
      <c r="B135" s="5"/>
      <c r="C135" s="30">
        <f t="shared" si="19"/>
        <v>46506</v>
      </c>
      <c r="D135" s="46">
        <f>SUMIFS(Einzelbeträge!$D:$D,Einzelbeträge!$C:$C,'Ausgaben 2027'!$C135)</f>
        <v>0</v>
      </c>
      <c r="E135" s="21">
        <f>SUMIFS(Einzelbeträge!$D:$D,Einzelbeträge!$C:$C,'Ausgaben 2027'!$C135,Einzelbeträge!$E:$E,'Ausgaben 2027'!E$6)</f>
        <v>0</v>
      </c>
      <c r="F135" s="21">
        <f>SUMIFS(Einzelbeträge!$D:$D,Einzelbeträge!$C:$C,'Ausgaben 2027'!$C135,Einzelbeträge!$E:$E,'Ausgaben 2027'!F$6)</f>
        <v>0</v>
      </c>
      <c r="G135" s="21">
        <f>SUMIFS(Einzelbeträge!$D:$D,Einzelbeträge!$C:$C,'Ausgaben 2027'!$C135,Einzelbeträge!$E:$E,'Ausgaben 2027'!G$6)</f>
        <v>0</v>
      </c>
      <c r="H135" s="21">
        <f>SUMIFS(Einzelbeträge!$D:$D,Einzelbeträge!$C:$C,'Ausgaben 2027'!$C135,Einzelbeträge!$E:$E,'Ausgaben 2027'!H$6)</f>
        <v>0</v>
      </c>
      <c r="I135" s="21">
        <f>SUMIFS(Einzelbeträge!$D:$D,Einzelbeträge!$C:$C,'Ausgaben 2027'!$C135,Einzelbeträge!$E:$E,'Ausgaben 2027'!I$6)</f>
        <v>0</v>
      </c>
      <c r="J135" s="21">
        <f>SUMIFS(Einzelbeträge!$D:$D,Einzelbeträge!$C:$C,'Ausgaben 2027'!$C135,Einzelbeträge!$E:$E,'Ausgaben 2027'!J$6)</f>
        <v>0</v>
      </c>
      <c r="K135" s="21">
        <f>SUMIFS(Einzelbeträge!$D:$D,Einzelbeträge!$C:$C,'Ausgaben 2027'!$C135,Einzelbeträge!$E:$E,'Ausgaben 2027'!K$6)</f>
        <v>0</v>
      </c>
      <c r="L135" s="21">
        <f>SUMIFS(Einzelbeträge!$D:$D,Einzelbeträge!$C:$C,'Ausgaben 2027'!$C135,Einzelbeträge!$E:$E,'Ausgaben 2027'!L$6)</f>
        <v>0</v>
      </c>
      <c r="M135" s="21">
        <f>SUMIFS(Einzelbeträge!$D:$D,Einzelbeträge!$C:$C,'Ausgaben 2027'!$C135,Einzelbeträge!$E:$E,'Ausgaben 2027'!M$6)</f>
        <v>0</v>
      </c>
      <c r="N135" s="35">
        <f>SUMIFS(Einzelbeträge!$D:$D,Einzelbeträge!$C:$C,'Ausgaben 2027'!$C135,Einzelbeträge!$E:$E,'Ausgaben 2027'!N$6)</f>
        <v>0</v>
      </c>
      <c r="O135" s="6"/>
    </row>
    <row r="136" spans="2:15" x14ac:dyDescent="0.35">
      <c r="B136" s="5"/>
      <c r="C136" s="31">
        <f t="shared" si="19"/>
        <v>46507</v>
      </c>
      <c r="D136" s="47">
        <f>SUMIFS(Einzelbeträge!$D:$D,Einzelbeträge!$C:$C,'Ausgaben 2027'!$C136)</f>
        <v>0</v>
      </c>
      <c r="E136" s="37">
        <f>SUMIFS(Einzelbeträge!$D:$D,Einzelbeträge!$C:$C,'Ausgaben 2027'!$C136,Einzelbeträge!$E:$E,'Ausgaben 2027'!E$6)</f>
        <v>0</v>
      </c>
      <c r="F136" s="37">
        <f>SUMIFS(Einzelbeträge!$D:$D,Einzelbeträge!$C:$C,'Ausgaben 2027'!$C136,Einzelbeträge!$E:$E,'Ausgaben 2027'!F$6)</f>
        <v>0</v>
      </c>
      <c r="G136" s="37">
        <f>SUMIFS(Einzelbeträge!$D:$D,Einzelbeträge!$C:$C,'Ausgaben 2027'!$C136,Einzelbeträge!$E:$E,'Ausgaben 2027'!G$6)</f>
        <v>0</v>
      </c>
      <c r="H136" s="37">
        <f>SUMIFS(Einzelbeträge!$D:$D,Einzelbeträge!$C:$C,'Ausgaben 2027'!$C136,Einzelbeträge!$E:$E,'Ausgaben 2027'!H$6)</f>
        <v>0</v>
      </c>
      <c r="I136" s="37">
        <f>SUMIFS(Einzelbeträge!$D:$D,Einzelbeträge!$C:$C,'Ausgaben 2027'!$C136,Einzelbeträge!$E:$E,'Ausgaben 2027'!I$6)</f>
        <v>0</v>
      </c>
      <c r="J136" s="37">
        <f>SUMIFS(Einzelbeträge!$D:$D,Einzelbeträge!$C:$C,'Ausgaben 2027'!$C136,Einzelbeträge!$E:$E,'Ausgaben 2027'!J$6)</f>
        <v>0</v>
      </c>
      <c r="K136" s="37">
        <f>SUMIFS(Einzelbeträge!$D:$D,Einzelbeträge!$C:$C,'Ausgaben 2027'!$C136,Einzelbeträge!$E:$E,'Ausgaben 2027'!K$6)</f>
        <v>0</v>
      </c>
      <c r="L136" s="37">
        <f>SUMIFS(Einzelbeträge!$D:$D,Einzelbeträge!$C:$C,'Ausgaben 2027'!$C136,Einzelbeträge!$E:$E,'Ausgaben 2027'!L$6)</f>
        <v>0</v>
      </c>
      <c r="M136" s="37">
        <f>SUMIFS(Einzelbeträge!$D:$D,Einzelbeträge!$C:$C,'Ausgaben 2027'!$C136,Einzelbeträge!$E:$E,'Ausgaben 2027'!M$6)</f>
        <v>0</v>
      </c>
      <c r="N136" s="38">
        <f>SUMIFS(Einzelbeträge!$D:$D,Einzelbeträge!$C:$C,'Ausgaben 2027'!$C136,Einzelbeträge!$E:$E,'Ausgaben 2027'!N$6)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46508</v>
      </c>
      <c r="D140" s="45">
        <f>SUMIFS(Einzelbeträge!$D:$D,Einzelbeträge!$C:$C,'Ausgaben 2027'!$C140)</f>
        <v>0</v>
      </c>
      <c r="E140" s="32">
        <f>SUMIFS(Einzelbeträge!$D:$D,Einzelbeträge!$C:$C,'Ausgaben 2027'!$C140,Einzelbeträge!$E:$E,'Ausgaben 2027'!E$6)</f>
        <v>0</v>
      </c>
      <c r="F140" s="32">
        <f>SUMIFS(Einzelbeträge!$D:$D,Einzelbeträge!$C:$C,'Ausgaben 2027'!$C140,Einzelbeträge!$E:$E,'Ausgaben 2027'!F$6)</f>
        <v>0</v>
      </c>
      <c r="G140" s="32">
        <f>SUMIFS(Einzelbeträge!$D:$D,Einzelbeträge!$C:$C,'Ausgaben 2027'!$C140,Einzelbeträge!$E:$E,'Ausgaben 2027'!G$6)</f>
        <v>0</v>
      </c>
      <c r="H140" s="32">
        <f>SUMIFS(Einzelbeträge!$D:$D,Einzelbeträge!$C:$C,'Ausgaben 2027'!$C140,Einzelbeträge!$E:$E,'Ausgaben 2027'!H$6)</f>
        <v>0</v>
      </c>
      <c r="I140" s="32">
        <f>SUMIFS(Einzelbeträge!$D:$D,Einzelbeträge!$C:$C,'Ausgaben 2027'!$C140,Einzelbeträge!$E:$E,'Ausgaben 2027'!I$6)</f>
        <v>0</v>
      </c>
      <c r="J140" s="32">
        <f>SUMIFS(Einzelbeträge!$D:$D,Einzelbeträge!$C:$C,'Ausgaben 2027'!$C140,Einzelbeträge!$E:$E,'Ausgaben 2027'!J$6)</f>
        <v>0</v>
      </c>
      <c r="K140" s="32">
        <f>SUMIFS(Einzelbeträge!$D:$D,Einzelbeträge!$C:$C,'Ausgaben 2027'!$C140,Einzelbeträge!$E:$E,'Ausgaben 2027'!K$6)</f>
        <v>0</v>
      </c>
      <c r="L140" s="32">
        <f>SUMIFS(Einzelbeträge!$D:$D,Einzelbeträge!$C:$C,'Ausgaben 2027'!$C140,Einzelbeträge!$E:$E,'Ausgaben 2027'!L$6)</f>
        <v>0</v>
      </c>
      <c r="M140" s="32">
        <f>SUMIFS(Einzelbeträge!$D:$D,Einzelbeträge!$C:$C,'Ausgaben 2027'!$C140,Einzelbeträge!$E:$E,'Ausgaben 2027'!M$6)</f>
        <v>0</v>
      </c>
      <c r="N140" s="33">
        <f>SUMIFS(Einzelbeträge!$D:$D,Einzelbeträge!$C:$C,'Ausgaben 2027'!$C140,Einzelbeträge!$E:$E,'Ausgaben 2027'!N$6)</f>
        <v>0</v>
      </c>
      <c r="O140" s="6"/>
    </row>
    <row r="141" spans="2:15" x14ac:dyDescent="0.35">
      <c r="B141" s="5"/>
      <c r="C141" s="40">
        <f>C140+1</f>
        <v>46509</v>
      </c>
      <c r="D141" s="46">
        <f>SUMIFS(Einzelbeträge!$D:$D,Einzelbeträge!$C:$C,'Ausgaben 2027'!$C141)</f>
        <v>0</v>
      </c>
      <c r="E141" s="21">
        <f>SUMIFS(Einzelbeträge!$D:$D,Einzelbeträge!$C:$C,'Ausgaben 2027'!$C141,Einzelbeträge!$E:$E,'Ausgaben 2027'!E$6)</f>
        <v>0</v>
      </c>
      <c r="F141" s="21">
        <f>SUMIFS(Einzelbeträge!$D:$D,Einzelbeträge!$C:$C,'Ausgaben 2027'!$C141,Einzelbeträge!$E:$E,'Ausgaben 2027'!F$6)</f>
        <v>0</v>
      </c>
      <c r="G141" s="21">
        <f>SUMIFS(Einzelbeträge!$D:$D,Einzelbeträge!$C:$C,'Ausgaben 2027'!$C141,Einzelbeträge!$E:$E,'Ausgaben 2027'!G$6)</f>
        <v>0</v>
      </c>
      <c r="H141" s="21">
        <f>SUMIFS(Einzelbeträge!$D:$D,Einzelbeträge!$C:$C,'Ausgaben 2027'!$C141,Einzelbeträge!$E:$E,'Ausgaben 2027'!H$6)</f>
        <v>0</v>
      </c>
      <c r="I141" s="21">
        <f>SUMIFS(Einzelbeträge!$D:$D,Einzelbeträge!$C:$C,'Ausgaben 2027'!$C141,Einzelbeträge!$E:$E,'Ausgaben 2027'!I$6)</f>
        <v>0</v>
      </c>
      <c r="J141" s="21">
        <f>SUMIFS(Einzelbeträge!$D:$D,Einzelbeträge!$C:$C,'Ausgaben 2027'!$C141,Einzelbeträge!$E:$E,'Ausgaben 2027'!J$6)</f>
        <v>0</v>
      </c>
      <c r="K141" s="21">
        <f>SUMIFS(Einzelbeträge!$D:$D,Einzelbeträge!$C:$C,'Ausgaben 2027'!$C141,Einzelbeträge!$E:$E,'Ausgaben 2027'!K$6)</f>
        <v>0</v>
      </c>
      <c r="L141" s="21">
        <f>SUMIFS(Einzelbeträge!$D:$D,Einzelbeträge!$C:$C,'Ausgaben 2027'!$C141,Einzelbeträge!$E:$E,'Ausgaben 2027'!L$6)</f>
        <v>0</v>
      </c>
      <c r="M141" s="21">
        <f>SUMIFS(Einzelbeträge!$D:$D,Einzelbeträge!$C:$C,'Ausgaben 2027'!$C141,Einzelbeträge!$E:$E,'Ausgaben 2027'!M$6)</f>
        <v>0</v>
      </c>
      <c r="N141" s="35">
        <f>SUMIFS(Einzelbeträge!$D:$D,Einzelbeträge!$C:$C,'Ausgaben 2027'!$C141,Einzelbeträge!$E:$E,'Ausgaben 2027'!N$6)</f>
        <v>0</v>
      </c>
      <c r="O141" s="6"/>
    </row>
    <row r="142" spans="2:15" x14ac:dyDescent="0.35">
      <c r="B142" s="5"/>
      <c r="C142" s="40">
        <f t="shared" ref="C142:C170" si="20">C141+1</f>
        <v>46510</v>
      </c>
      <c r="D142" s="46">
        <f>SUMIFS(Einzelbeträge!$D:$D,Einzelbeträge!$C:$C,'Ausgaben 2027'!$C142)</f>
        <v>0</v>
      </c>
      <c r="E142" s="21">
        <f>SUMIFS(Einzelbeträge!$D:$D,Einzelbeträge!$C:$C,'Ausgaben 2027'!$C142,Einzelbeträge!$E:$E,'Ausgaben 2027'!E$6)</f>
        <v>0</v>
      </c>
      <c r="F142" s="21">
        <f>SUMIFS(Einzelbeträge!$D:$D,Einzelbeträge!$C:$C,'Ausgaben 2027'!$C142,Einzelbeträge!$E:$E,'Ausgaben 2027'!F$6)</f>
        <v>0</v>
      </c>
      <c r="G142" s="21">
        <f>SUMIFS(Einzelbeträge!$D:$D,Einzelbeträge!$C:$C,'Ausgaben 2027'!$C142,Einzelbeträge!$E:$E,'Ausgaben 2027'!G$6)</f>
        <v>0</v>
      </c>
      <c r="H142" s="21">
        <f>SUMIFS(Einzelbeträge!$D:$D,Einzelbeträge!$C:$C,'Ausgaben 2027'!$C142,Einzelbeträge!$E:$E,'Ausgaben 2027'!H$6)</f>
        <v>0</v>
      </c>
      <c r="I142" s="21">
        <f>SUMIFS(Einzelbeträge!$D:$D,Einzelbeträge!$C:$C,'Ausgaben 2027'!$C142,Einzelbeträge!$E:$E,'Ausgaben 2027'!I$6)</f>
        <v>0</v>
      </c>
      <c r="J142" s="21">
        <f>SUMIFS(Einzelbeträge!$D:$D,Einzelbeträge!$C:$C,'Ausgaben 2027'!$C142,Einzelbeträge!$E:$E,'Ausgaben 2027'!J$6)</f>
        <v>0</v>
      </c>
      <c r="K142" s="21">
        <f>SUMIFS(Einzelbeträge!$D:$D,Einzelbeträge!$C:$C,'Ausgaben 2027'!$C142,Einzelbeträge!$E:$E,'Ausgaben 2027'!K$6)</f>
        <v>0</v>
      </c>
      <c r="L142" s="21">
        <f>SUMIFS(Einzelbeträge!$D:$D,Einzelbeträge!$C:$C,'Ausgaben 2027'!$C142,Einzelbeträge!$E:$E,'Ausgaben 2027'!L$6)</f>
        <v>0</v>
      </c>
      <c r="M142" s="21">
        <f>SUMIFS(Einzelbeträge!$D:$D,Einzelbeträge!$C:$C,'Ausgaben 2027'!$C142,Einzelbeträge!$E:$E,'Ausgaben 2027'!M$6)</f>
        <v>0</v>
      </c>
      <c r="N142" s="35">
        <f>SUMIFS(Einzelbeträge!$D:$D,Einzelbeträge!$C:$C,'Ausgaben 2027'!$C142,Einzelbeträge!$E:$E,'Ausgaben 2027'!N$6)</f>
        <v>0</v>
      </c>
      <c r="O142" s="6"/>
    </row>
    <row r="143" spans="2:15" x14ac:dyDescent="0.35">
      <c r="B143" s="5"/>
      <c r="C143" s="40">
        <f t="shared" si="20"/>
        <v>46511</v>
      </c>
      <c r="D143" s="46">
        <f>SUMIFS(Einzelbeträge!$D:$D,Einzelbeträge!$C:$C,'Ausgaben 2027'!$C143)</f>
        <v>0</v>
      </c>
      <c r="E143" s="21">
        <f>SUMIFS(Einzelbeträge!$D:$D,Einzelbeträge!$C:$C,'Ausgaben 2027'!$C143,Einzelbeträge!$E:$E,'Ausgaben 2027'!E$6)</f>
        <v>0</v>
      </c>
      <c r="F143" s="21">
        <f>SUMIFS(Einzelbeträge!$D:$D,Einzelbeträge!$C:$C,'Ausgaben 2027'!$C143,Einzelbeträge!$E:$E,'Ausgaben 2027'!F$6)</f>
        <v>0</v>
      </c>
      <c r="G143" s="21">
        <f>SUMIFS(Einzelbeträge!$D:$D,Einzelbeträge!$C:$C,'Ausgaben 2027'!$C143,Einzelbeträge!$E:$E,'Ausgaben 2027'!G$6)</f>
        <v>0</v>
      </c>
      <c r="H143" s="21">
        <f>SUMIFS(Einzelbeträge!$D:$D,Einzelbeträge!$C:$C,'Ausgaben 2027'!$C143,Einzelbeträge!$E:$E,'Ausgaben 2027'!H$6)</f>
        <v>0</v>
      </c>
      <c r="I143" s="21">
        <f>SUMIFS(Einzelbeträge!$D:$D,Einzelbeträge!$C:$C,'Ausgaben 2027'!$C143,Einzelbeträge!$E:$E,'Ausgaben 2027'!I$6)</f>
        <v>0</v>
      </c>
      <c r="J143" s="21">
        <f>SUMIFS(Einzelbeträge!$D:$D,Einzelbeträge!$C:$C,'Ausgaben 2027'!$C143,Einzelbeträge!$E:$E,'Ausgaben 2027'!J$6)</f>
        <v>0</v>
      </c>
      <c r="K143" s="21">
        <f>SUMIFS(Einzelbeträge!$D:$D,Einzelbeträge!$C:$C,'Ausgaben 2027'!$C143,Einzelbeträge!$E:$E,'Ausgaben 2027'!K$6)</f>
        <v>0</v>
      </c>
      <c r="L143" s="21">
        <f>SUMIFS(Einzelbeträge!$D:$D,Einzelbeträge!$C:$C,'Ausgaben 2027'!$C143,Einzelbeträge!$E:$E,'Ausgaben 2027'!L$6)</f>
        <v>0</v>
      </c>
      <c r="M143" s="21">
        <f>SUMIFS(Einzelbeträge!$D:$D,Einzelbeträge!$C:$C,'Ausgaben 2027'!$C143,Einzelbeträge!$E:$E,'Ausgaben 2027'!M$6)</f>
        <v>0</v>
      </c>
      <c r="N143" s="35">
        <f>SUMIFS(Einzelbeträge!$D:$D,Einzelbeträge!$C:$C,'Ausgaben 2027'!$C143,Einzelbeträge!$E:$E,'Ausgaben 2027'!N$6)</f>
        <v>0</v>
      </c>
      <c r="O143" s="6"/>
    </row>
    <row r="144" spans="2:15" x14ac:dyDescent="0.35">
      <c r="B144" s="5"/>
      <c r="C144" s="40">
        <f t="shared" si="20"/>
        <v>46512</v>
      </c>
      <c r="D144" s="46">
        <f>SUMIFS(Einzelbeträge!$D:$D,Einzelbeträge!$C:$C,'Ausgaben 2027'!$C144)</f>
        <v>0</v>
      </c>
      <c r="E144" s="21">
        <f>SUMIFS(Einzelbeträge!$D:$D,Einzelbeträge!$C:$C,'Ausgaben 2027'!$C144,Einzelbeträge!$E:$E,'Ausgaben 2027'!E$6)</f>
        <v>0</v>
      </c>
      <c r="F144" s="21">
        <f>SUMIFS(Einzelbeträge!$D:$D,Einzelbeträge!$C:$C,'Ausgaben 2027'!$C144,Einzelbeträge!$E:$E,'Ausgaben 2027'!F$6)</f>
        <v>0</v>
      </c>
      <c r="G144" s="21">
        <f>SUMIFS(Einzelbeträge!$D:$D,Einzelbeträge!$C:$C,'Ausgaben 2027'!$C144,Einzelbeträge!$E:$E,'Ausgaben 2027'!G$6)</f>
        <v>0</v>
      </c>
      <c r="H144" s="21">
        <f>SUMIFS(Einzelbeträge!$D:$D,Einzelbeträge!$C:$C,'Ausgaben 2027'!$C144,Einzelbeträge!$E:$E,'Ausgaben 2027'!H$6)</f>
        <v>0</v>
      </c>
      <c r="I144" s="21">
        <f>SUMIFS(Einzelbeträge!$D:$D,Einzelbeträge!$C:$C,'Ausgaben 2027'!$C144,Einzelbeträge!$E:$E,'Ausgaben 2027'!I$6)</f>
        <v>0</v>
      </c>
      <c r="J144" s="21">
        <f>SUMIFS(Einzelbeträge!$D:$D,Einzelbeträge!$C:$C,'Ausgaben 2027'!$C144,Einzelbeträge!$E:$E,'Ausgaben 2027'!J$6)</f>
        <v>0</v>
      </c>
      <c r="K144" s="21">
        <f>SUMIFS(Einzelbeträge!$D:$D,Einzelbeträge!$C:$C,'Ausgaben 2027'!$C144,Einzelbeträge!$E:$E,'Ausgaben 2027'!K$6)</f>
        <v>0</v>
      </c>
      <c r="L144" s="21">
        <f>SUMIFS(Einzelbeträge!$D:$D,Einzelbeträge!$C:$C,'Ausgaben 2027'!$C144,Einzelbeträge!$E:$E,'Ausgaben 2027'!L$6)</f>
        <v>0</v>
      </c>
      <c r="M144" s="21">
        <f>SUMIFS(Einzelbeträge!$D:$D,Einzelbeträge!$C:$C,'Ausgaben 2027'!$C144,Einzelbeträge!$E:$E,'Ausgaben 2027'!M$6)</f>
        <v>0</v>
      </c>
      <c r="N144" s="35">
        <f>SUMIFS(Einzelbeträge!$D:$D,Einzelbeträge!$C:$C,'Ausgaben 2027'!$C144,Einzelbeträge!$E:$E,'Ausgaben 2027'!N$6)</f>
        <v>0</v>
      </c>
      <c r="O144" s="6"/>
    </row>
    <row r="145" spans="2:15" x14ac:dyDescent="0.35">
      <c r="B145" s="5"/>
      <c r="C145" s="40">
        <f t="shared" si="20"/>
        <v>46513</v>
      </c>
      <c r="D145" s="46">
        <f>SUMIFS(Einzelbeträge!$D:$D,Einzelbeträge!$C:$C,'Ausgaben 2027'!$C145)</f>
        <v>0</v>
      </c>
      <c r="E145" s="21">
        <f>SUMIFS(Einzelbeträge!$D:$D,Einzelbeträge!$C:$C,'Ausgaben 2027'!$C145,Einzelbeträge!$E:$E,'Ausgaben 2027'!E$6)</f>
        <v>0</v>
      </c>
      <c r="F145" s="21">
        <f>SUMIFS(Einzelbeträge!$D:$D,Einzelbeträge!$C:$C,'Ausgaben 2027'!$C145,Einzelbeträge!$E:$E,'Ausgaben 2027'!F$6)</f>
        <v>0</v>
      </c>
      <c r="G145" s="21">
        <f>SUMIFS(Einzelbeträge!$D:$D,Einzelbeträge!$C:$C,'Ausgaben 2027'!$C145,Einzelbeträge!$E:$E,'Ausgaben 2027'!G$6)</f>
        <v>0</v>
      </c>
      <c r="H145" s="21">
        <f>SUMIFS(Einzelbeträge!$D:$D,Einzelbeträge!$C:$C,'Ausgaben 2027'!$C145,Einzelbeträge!$E:$E,'Ausgaben 2027'!H$6)</f>
        <v>0</v>
      </c>
      <c r="I145" s="21">
        <f>SUMIFS(Einzelbeträge!$D:$D,Einzelbeträge!$C:$C,'Ausgaben 2027'!$C145,Einzelbeträge!$E:$E,'Ausgaben 2027'!I$6)</f>
        <v>0</v>
      </c>
      <c r="J145" s="21">
        <f>SUMIFS(Einzelbeträge!$D:$D,Einzelbeträge!$C:$C,'Ausgaben 2027'!$C145,Einzelbeträge!$E:$E,'Ausgaben 2027'!J$6)</f>
        <v>0</v>
      </c>
      <c r="K145" s="21">
        <f>SUMIFS(Einzelbeträge!$D:$D,Einzelbeträge!$C:$C,'Ausgaben 2027'!$C145,Einzelbeträge!$E:$E,'Ausgaben 2027'!K$6)</f>
        <v>0</v>
      </c>
      <c r="L145" s="21">
        <f>SUMIFS(Einzelbeträge!$D:$D,Einzelbeträge!$C:$C,'Ausgaben 2027'!$C145,Einzelbeträge!$E:$E,'Ausgaben 2027'!L$6)</f>
        <v>0</v>
      </c>
      <c r="M145" s="21">
        <f>SUMIFS(Einzelbeträge!$D:$D,Einzelbeträge!$C:$C,'Ausgaben 2027'!$C145,Einzelbeträge!$E:$E,'Ausgaben 2027'!M$6)</f>
        <v>0</v>
      </c>
      <c r="N145" s="35">
        <f>SUMIFS(Einzelbeträge!$D:$D,Einzelbeträge!$C:$C,'Ausgaben 2027'!$C145,Einzelbeträge!$E:$E,'Ausgaben 2027'!N$6)</f>
        <v>0</v>
      </c>
      <c r="O145" s="6"/>
    </row>
    <row r="146" spans="2:15" x14ac:dyDescent="0.35">
      <c r="B146" s="5"/>
      <c r="C146" s="40">
        <f t="shared" si="20"/>
        <v>46514</v>
      </c>
      <c r="D146" s="46">
        <f>SUMIFS(Einzelbeträge!$D:$D,Einzelbeträge!$C:$C,'Ausgaben 2027'!$C146)</f>
        <v>0</v>
      </c>
      <c r="E146" s="21">
        <f>SUMIFS(Einzelbeträge!$D:$D,Einzelbeträge!$C:$C,'Ausgaben 2027'!$C146,Einzelbeträge!$E:$E,'Ausgaben 2027'!E$6)</f>
        <v>0</v>
      </c>
      <c r="F146" s="21">
        <f>SUMIFS(Einzelbeträge!$D:$D,Einzelbeträge!$C:$C,'Ausgaben 2027'!$C146,Einzelbeträge!$E:$E,'Ausgaben 2027'!F$6)</f>
        <v>0</v>
      </c>
      <c r="G146" s="21">
        <f>SUMIFS(Einzelbeträge!$D:$D,Einzelbeträge!$C:$C,'Ausgaben 2027'!$C146,Einzelbeträge!$E:$E,'Ausgaben 2027'!G$6)</f>
        <v>0</v>
      </c>
      <c r="H146" s="21">
        <f>SUMIFS(Einzelbeträge!$D:$D,Einzelbeträge!$C:$C,'Ausgaben 2027'!$C146,Einzelbeträge!$E:$E,'Ausgaben 2027'!H$6)</f>
        <v>0</v>
      </c>
      <c r="I146" s="21">
        <f>SUMIFS(Einzelbeträge!$D:$D,Einzelbeträge!$C:$C,'Ausgaben 2027'!$C146,Einzelbeträge!$E:$E,'Ausgaben 2027'!I$6)</f>
        <v>0</v>
      </c>
      <c r="J146" s="21">
        <f>SUMIFS(Einzelbeträge!$D:$D,Einzelbeträge!$C:$C,'Ausgaben 2027'!$C146,Einzelbeträge!$E:$E,'Ausgaben 2027'!J$6)</f>
        <v>0</v>
      </c>
      <c r="K146" s="21">
        <f>SUMIFS(Einzelbeträge!$D:$D,Einzelbeträge!$C:$C,'Ausgaben 2027'!$C146,Einzelbeträge!$E:$E,'Ausgaben 2027'!K$6)</f>
        <v>0</v>
      </c>
      <c r="L146" s="21">
        <f>SUMIFS(Einzelbeträge!$D:$D,Einzelbeträge!$C:$C,'Ausgaben 2027'!$C146,Einzelbeträge!$E:$E,'Ausgaben 2027'!L$6)</f>
        <v>0</v>
      </c>
      <c r="M146" s="21">
        <f>SUMIFS(Einzelbeträge!$D:$D,Einzelbeträge!$C:$C,'Ausgaben 2027'!$C146,Einzelbeträge!$E:$E,'Ausgaben 2027'!M$6)</f>
        <v>0</v>
      </c>
      <c r="N146" s="35">
        <f>SUMIFS(Einzelbeträge!$D:$D,Einzelbeträge!$C:$C,'Ausgaben 2027'!$C146,Einzelbeträge!$E:$E,'Ausgaben 2027'!N$6)</f>
        <v>0</v>
      </c>
      <c r="O146" s="6"/>
    </row>
    <row r="147" spans="2:15" x14ac:dyDescent="0.35">
      <c r="B147" s="5"/>
      <c r="C147" s="40">
        <f t="shared" si="20"/>
        <v>46515</v>
      </c>
      <c r="D147" s="46">
        <f>SUMIFS(Einzelbeträge!$D:$D,Einzelbeträge!$C:$C,'Ausgaben 2027'!$C147)</f>
        <v>0</v>
      </c>
      <c r="E147" s="21">
        <f>SUMIFS(Einzelbeträge!$D:$D,Einzelbeträge!$C:$C,'Ausgaben 2027'!$C147,Einzelbeträge!$E:$E,'Ausgaben 2027'!E$6)</f>
        <v>0</v>
      </c>
      <c r="F147" s="21">
        <f>SUMIFS(Einzelbeträge!$D:$D,Einzelbeträge!$C:$C,'Ausgaben 2027'!$C147,Einzelbeträge!$E:$E,'Ausgaben 2027'!F$6)</f>
        <v>0</v>
      </c>
      <c r="G147" s="21">
        <f>SUMIFS(Einzelbeträge!$D:$D,Einzelbeträge!$C:$C,'Ausgaben 2027'!$C147,Einzelbeträge!$E:$E,'Ausgaben 2027'!G$6)</f>
        <v>0</v>
      </c>
      <c r="H147" s="21">
        <f>SUMIFS(Einzelbeträge!$D:$D,Einzelbeträge!$C:$C,'Ausgaben 2027'!$C147,Einzelbeträge!$E:$E,'Ausgaben 2027'!H$6)</f>
        <v>0</v>
      </c>
      <c r="I147" s="21">
        <f>SUMIFS(Einzelbeträge!$D:$D,Einzelbeträge!$C:$C,'Ausgaben 2027'!$C147,Einzelbeträge!$E:$E,'Ausgaben 2027'!I$6)</f>
        <v>0</v>
      </c>
      <c r="J147" s="21">
        <f>SUMIFS(Einzelbeträge!$D:$D,Einzelbeträge!$C:$C,'Ausgaben 2027'!$C147,Einzelbeträge!$E:$E,'Ausgaben 2027'!J$6)</f>
        <v>0</v>
      </c>
      <c r="K147" s="21">
        <f>SUMIFS(Einzelbeträge!$D:$D,Einzelbeträge!$C:$C,'Ausgaben 2027'!$C147,Einzelbeträge!$E:$E,'Ausgaben 2027'!K$6)</f>
        <v>0</v>
      </c>
      <c r="L147" s="21">
        <f>SUMIFS(Einzelbeträge!$D:$D,Einzelbeträge!$C:$C,'Ausgaben 2027'!$C147,Einzelbeträge!$E:$E,'Ausgaben 2027'!L$6)</f>
        <v>0</v>
      </c>
      <c r="M147" s="21">
        <f>SUMIFS(Einzelbeträge!$D:$D,Einzelbeträge!$C:$C,'Ausgaben 2027'!$C147,Einzelbeträge!$E:$E,'Ausgaben 2027'!M$6)</f>
        <v>0</v>
      </c>
      <c r="N147" s="35">
        <f>SUMIFS(Einzelbeträge!$D:$D,Einzelbeträge!$C:$C,'Ausgaben 2027'!$C147,Einzelbeträge!$E:$E,'Ausgaben 2027'!N$6)</f>
        <v>0</v>
      </c>
      <c r="O147" s="6"/>
    </row>
    <row r="148" spans="2:15" x14ac:dyDescent="0.35">
      <c r="B148" s="5"/>
      <c r="C148" s="40">
        <f t="shared" si="20"/>
        <v>46516</v>
      </c>
      <c r="D148" s="46">
        <f>SUMIFS(Einzelbeträge!$D:$D,Einzelbeträge!$C:$C,'Ausgaben 2027'!$C148)</f>
        <v>0</v>
      </c>
      <c r="E148" s="21">
        <f>SUMIFS(Einzelbeträge!$D:$D,Einzelbeträge!$C:$C,'Ausgaben 2027'!$C148,Einzelbeträge!$E:$E,'Ausgaben 2027'!E$6)</f>
        <v>0</v>
      </c>
      <c r="F148" s="21">
        <f>SUMIFS(Einzelbeträge!$D:$D,Einzelbeträge!$C:$C,'Ausgaben 2027'!$C148,Einzelbeträge!$E:$E,'Ausgaben 2027'!F$6)</f>
        <v>0</v>
      </c>
      <c r="G148" s="21">
        <f>SUMIFS(Einzelbeträge!$D:$D,Einzelbeträge!$C:$C,'Ausgaben 2027'!$C148,Einzelbeträge!$E:$E,'Ausgaben 2027'!G$6)</f>
        <v>0</v>
      </c>
      <c r="H148" s="21">
        <f>SUMIFS(Einzelbeträge!$D:$D,Einzelbeträge!$C:$C,'Ausgaben 2027'!$C148,Einzelbeträge!$E:$E,'Ausgaben 2027'!H$6)</f>
        <v>0</v>
      </c>
      <c r="I148" s="21">
        <f>SUMIFS(Einzelbeträge!$D:$D,Einzelbeträge!$C:$C,'Ausgaben 2027'!$C148,Einzelbeträge!$E:$E,'Ausgaben 2027'!I$6)</f>
        <v>0</v>
      </c>
      <c r="J148" s="21">
        <f>SUMIFS(Einzelbeträge!$D:$D,Einzelbeträge!$C:$C,'Ausgaben 2027'!$C148,Einzelbeträge!$E:$E,'Ausgaben 2027'!J$6)</f>
        <v>0</v>
      </c>
      <c r="K148" s="21">
        <f>SUMIFS(Einzelbeträge!$D:$D,Einzelbeträge!$C:$C,'Ausgaben 2027'!$C148,Einzelbeträge!$E:$E,'Ausgaben 2027'!K$6)</f>
        <v>0</v>
      </c>
      <c r="L148" s="21">
        <f>SUMIFS(Einzelbeträge!$D:$D,Einzelbeträge!$C:$C,'Ausgaben 2027'!$C148,Einzelbeträge!$E:$E,'Ausgaben 2027'!L$6)</f>
        <v>0</v>
      </c>
      <c r="M148" s="21">
        <f>SUMIFS(Einzelbeträge!$D:$D,Einzelbeträge!$C:$C,'Ausgaben 2027'!$C148,Einzelbeträge!$E:$E,'Ausgaben 2027'!M$6)</f>
        <v>0</v>
      </c>
      <c r="N148" s="35">
        <f>SUMIFS(Einzelbeträge!$D:$D,Einzelbeträge!$C:$C,'Ausgaben 2027'!$C148,Einzelbeträge!$E:$E,'Ausgaben 2027'!N$6)</f>
        <v>0</v>
      </c>
      <c r="O148" s="6"/>
    </row>
    <row r="149" spans="2:15" x14ac:dyDescent="0.35">
      <c r="B149" s="5"/>
      <c r="C149" s="40">
        <f t="shared" si="20"/>
        <v>46517</v>
      </c>
      <c r="D149" s="46">
        <f>SUMIFS(Einzelbeträge!$D:$D,Einzelbeträge!$C:$C,'Ausgaben 2027'!$C149)</f>
        <v>0</v>
      </c>
      <c r="E149" s="21">
        <f>SUMIFS(Einzelbeträge!$D:$D,Einzelbeträge!$C:$C,'Ausgaben 2027'!$C149,Einzelbeträge!$E:$E,'Ausgaben 2027'!E$6)</f>
        <v>0</v>
      </c>
      <c r="F149" s="21">
        <f>SUMIFS(Einzelbeträge!$D:$D,Einzelbeträge!$C:$C,'Ausgaben 2027'!$C149,Einzelbeträge!$E:$E,'Ausgaben 2027'!F$6)</f>
        <v>0</v>
      </c>
      <c r="G149" s="21">
        <f>SUMIFS(Einzelbeträge!$D:$D,Einzelbeträge!$C:$C,'Ausgaben 2027'!$C149,Einzelbeträge!$E:$E,'Ausgaben 2027'!G$6)</f>
        <v>0</v>
      </c>
      <c r="H149" s="21">
        <f>SUMIFS(Einzelbeträge!$D:$D,Einzelbeträge!$C:$C,'Ausgaben 2027'!$C149,Einzelbeträge!$E:$E,'Ausgaben 2027'!H$6)</f>
        <v>0</v>
      </c>
      <c r="I149" s="21">
        <f>SUMIFS(Einzelbeträge!$D:$D,Einzelbeträge!$C:$C,'Ausgaben 2027'!$C149,Einzelbeträge!$E:$E,'Ausgaben 2027'!I$6)</f>
        <v>0</v>
      </c>
      <c r="J149" s="21">
        <f>SUMIFS(Einzelbeträge!$D:$D,Einzelbeträge!$C:$C,'Ausgaben 2027'!$C149,Einzelbeträge!$E:$E,'Ausgaben 2027'!J$6)</f>
        <v>0</v>
      </c>
      <c r="K149" s="21">
        <f>SUMIFS(Einzelbeträge!$D:$D,Einzelbeträge!$C:$C,'Ausgaben 2027'!$C149,Einzelbeträge!$E:$E,'Ausgaben 2027'!K$6)</f>
        <v>0</v>
      </c>
      <c r="L149" s="21">
        <f>SUMIFS(Einzelbeträge!$D:$D,Einzelbeträge!$C:$C,'Ausgaben 2027'!$C149,Einzelbeträge!$E:$E,'Ausgaben 2027'!L$6)</f>
        <v>0</v>
      </c>
      <c r="M149" s="21">
        <f>SUMIFS(Einzelbeträge!$D:$D,Einzelbeträge!$C:$C,'Ausgaben 2027'!$C149,Einzelbeträge!$E:$E,'Ausgaben 2027'!M$6)</f>
        <v>0</v>
      </c>
      <c r="N149" s="35">
        <f>SUMIFS(Einzelbeträge!$D:$D,Einzelbeträge!$C:$C,'Ausgaben 2027'!$C149,Einzelbeträge!$E:$E,'Ausgaben 2027'!N$6)</f>
        <v>0</v>
      </c>
      <c r="O149" s="6"/>
    </row>
    <row r="150" spans="2:15" x14ac:dyDescent="0.35">
      <c r="B150" s="5"/>
      <c r="C150" s="40">
        <f t="shared" si="20"/>
        <v>46518</v>
      </c>
      <c r="D150" s="46">
        <f>SUMIFS(Einzelbeträge!$D:$D,Einzelbeträge!$C:$C,'Ausgaben 2027'!$C150)</f>
        <v>0</v>
      </c>
      <c r="E150" s="21">
        <f>SUMIFS(Einzelbeträge!$D:$D,Einzelbeträge!$C:$C,'Ausgaben 2027'!$C150,Einzelbeträge!$E:$E,'Ausgaben 2027'!E$6)</f>
        <v>0</v>
      </c>
      <c r="F150" s="21">
        <f>SUMIFS(Einzelbeträge!$D:$D,Einzelbeträge!$C:$C,'Ausgaben 2027'!$C150,Einzelbeträge!$E:$E,'Ausgaben 2027'!F$6)</f>
        <v>0</v>
      </c>
      <c r="G150" s="21">
        <f>SUMIFS(Einzelbeträge!$D:$D,Einzelbeträge!$C:$C,'Ausgaben 2027'!$C150,Einzelbeträge!$E:$E,'Ausgaben 2027'!G$6)</f>
        <v>0</v>
      </c>
      <c r="H150" s="21">
        <f>SUMIFS(Einzelbeträge!$D:$D,Einzelbeträge!$C:$C,'Ausgaben 2027'!$C150,Einzelbeträge!$E:$E,'Ausgaben 2027'!H$6)</f>
        <v>0</v>
      </c>
      <c r="I150" s="21">
        <f>SUMIFS(Einzelbeträge!$D:$D,Einzelbeträge!$C:$C,'Ausgaben 2027'!$C150,Einzelbeträge!$E:$E,'Ausgaben 2027'!I$6)</f>
        <v>0</v>
      </c>
      <c r="J150" s="21">
        <f>SUMIFS(Einzelbeträge!$D:$D,Einzelbeträge!$C:$C,'Ausgaben 2027'!$C150,Einzelbeträge!$E:$E,'Ausgaben 2027'!J$6)</f>
        <v>0</v>
      </c>
      <c r="K150" s="21">
        <f>SUMIFS(Einzelbeträge!$D:$D,Einzelbeträge!$C:$C,'Ausgaben 2027'!$C150,Einzelbeträge!$E:$E,'Ausgaben 2027'!K$6)</f>
        <v>0</v>
      </c>
      <c r="L150" s="21">
        <f>SUMIFS(Einzelbeträge!$D:$D,Einzelbeträge!$C:$C,'Ausgaben 2027'!$C150,Einzelbeträge!$E:$E,'Ausgaben 2027'!L$6)</f>
        <v>0</v>
      </c>
      <c r="M150" s="21">
        <f>SUMIFS(Einzelbeträge!$D:$D,Einzelbeträge!$C:$C,'Ausgaben 2027'!$C150,Einzelbeträge!$E:$E,'Ausgaben 2027'!M$6)</f>
        <v>0</v>
      </c>
      <c r="N150" s="35">
        <f>SUMIFS(Einzelbeträge!$D:$D,Einzelbeträge!$C:$C,'Ausgaben 2027'!$C150,Einzelbeträge!$E:$E,'Ausgaben 2027'!N$6)</f>
        <v>0</v>
      </c>
      <c r="O150" s="6"/>
    </row>
    <row r="151" spans="2:15" x14ac:dyDescent="0.35">
      <c r="B151" s="5"/>
      <c r="C151" s="40">
        <f t="shared" si="20"/>
        <v>46519</v>
      </c>
      <c r="D151" s="46">
        <f>SUMIFS(Einzelbeträge!$D:$D,Einzelbeträge!$C:$C,'Ausgaben 2027'!$C151)</f>
        <v>0</v>
      </c>
      <c r="E151" s="21">
        <f>SUMIFS(Einzelbeträge!$D:$D,Einzelbeträge!$C:$C,'Ausgaben 2027'!$C151,Einzelbeträge!$E:$E,'Ausgaben 2027'!E$6)</f>
        <v>0</v>
      </c>
      <c r="F151" s="21">
        <f>SUMIFS(Einzelbeträge!$D:$D,Einzelbeträge!$C:$C,'Ausgaben 2027'!$C151,Einzelbeträge!$E:$E,'Ausgaben 2027'!F$6)</f>
        <v>0</v>
      </c>
      <c r="G151" s="21">
        <f>SUMIFS(Einzelbeträge!$D:$D,Einzelbeträge!$C:$C,'Ausgaben 2027'!$C151,Einzelbeträge!$E:$E,'Ausgaben 2027'!G$6)</f>
        <v>0</v>
      </c>
      <c r="H151" s="21">
        <f>SUMIFS(Einzelbeträge!$D:$D,Einzelbeträge!$C:$C,'Ausgaben 2027'!$C151,Einzelbeträge!$E:$E,'Ausgaben 2027'!H$6)</f>
        <v>0</v>
      </c>
      <c r="I151" s="21">
        <f>SUMIFS(Einzelbeträge!$D:$D,Einzelbeträge!$C:$C,'Ausgaben 2027'!$C151,Einzelbeträge!$E:$E,'Ausgaben 2027'!I$6)</f>
        <v>0</v>
      </c>
      <c r="J151" s="21">
        <f>SUMIFS(Einzelbeträge!$D:$D,Einzelbeträge!$C:$C,'Ausgaben 2027'!$C151,Einzelbeträge!$E:$E,'Ausgaben 2027'!J$6)</f>
        <v>0</v>
      </c>
      <c r="K151" s="21">
        <f>SUMIFS(Einzelbeträge!$D:$D,Einzelbeträge!$C:$C,'Ausgaben 2027'!$C151,Einzelbeträge!$E:$E,'Ausgaben 2027'!K$6)</f>
        <v>0</v>
      </c>
      <c r="L151" s="21">
        <f>SUMIFS(Einzelbeträge!$D:$D,Einzelbeträge!$C:$C,'Ausgaben 2027'!$C151,Einzelbeträge!$E:$E,'Ausgaben 2027'!L$6)</f>
        <v>0</v>
      </c>
      <c r="M151" s="21">
        <f>SUMIFS(Einzelbeträge!$D:$D,Einzelbeträge!$C:$C,'Ausgaben 2027'!$C151,Einzelbeträge!$E:$E,'Ausgaben 2027'!M$6)</f>
        <v>0</v>
      </c>
      <c r="N151" s="35">
        <f>SUMIFS(Einzelbeträge!$D:$D,Einzelbeträge!$C:$C,'Ausgaben 2027'!$C151,Einzelbeträge!$E:$E,'Ausgaben 2027'!N$6)</f>
        <v>0</v>
      </c>
      <c r="O151" s="6"/>
    </row>
    <row r="152" spans="2:15" x14ac:dyDescent="0.35">
      <c r="B152" s="5"/>
      <c r="C152" s="40">
        <f t="shared" si="20"/>
        <v>46520</v>
      </c>
      <c r="D152" s="46">
        <f>SUMIFS(Einzelbeträge!$D:$D,Einzelbeträge!$C:$C,'Ausgaben 2027'!$C152)</f>
        <v>0</v>
      </c>
      <c r="E152" s="21">
        <f>SUMIFS(Einzelbeträge!$D:$D,Einzelbeträge!$C:$C,'Ausgaben 2027'!$C152,Einzelbeträge!$E:$E,'Ausgaben 2027'!E$6)</f>
        <v>0</v>
      </c>
      <c r="F152" s="21">
        <f>SUMIFS(Einzelbeträge!$D:$D,Einzelbeträge!$C:$C,'Ausgaben 2027'!$C152,Einzelbeträge!$E:$E,'Ausgaben 2027'!F$6)</f>
        <v>0</v>
      </c>
      <c r="G152" s="21">
        <f>SUMIFS(Einzelbeträge!$D:$D,Einzelbeträge!$C:$C,'Ausgaben 2027'!$C152,Einzelbeträge!$E:$E,'Ausgaben 2027'!G$6)</f>
        <v>0</v>
      </c>
      <c r="H152" s="21">
        <f>SUMIFS(Einzelbeträge!$D:$D,Einzelbeträge!$C:$C,'Ausgaben 2027'!$C152,Einzelbeträge!$E:$E,'Ausgaben 2027'!H$6)</f>
        <v>0</v>
      </c>
      <c r="I152" s="21">
        <f>SUMIFS(Einzelbeträge!$D:$D,Einzelbeträge!$C:$C,'Ausgaben 2027'!$C152,Einzelbeträge!$E:$E,'Ausgaben 2027'!I$6)</f>
        <v>0</v>
      </c>
      <c r="J152" s="21">
        <f>SUMIFS(Einzelbeträge!$D:$D,Einzelbeträge!$C:$C,'Ausgaben 2027'!$C152,Einzelbeträge!$E:$E,'Ausgaben 2027'!J$6)</f>
        <v>0</v>
      </c>
      <c r="K152" s="21">
        <f>SUMIFS(Einzelbeträge!$D:$D,Einzelbeträge!$C:$C,'Ausgaben 2027'!$C152,Einzelbeträge!$E:$E,'Ausgaben 2027'!K$6)</f>
        <v>0</v>
      </c>
      <c r="L152" s="21">
        <f>SUMIFS(Einzelbeträge!$D:$D,Einzelbeträge!$C:$C,'Ausgaben 2027'!$C152,Einzelbeträge!$E:$E,'Ausgaben 2027'!L$6)</f>
        <v>0</v>
      </c>
      <c r="M152" s="21">
        <f>SUMIFS(Einzelbeträge!$D:$D,Einzelbeträge!$C:$C,'Ausgaben 2027'!$C152,Einzelbeträge!$E:$E,'Ausgaben 2027'!M$6)</f>
        <v>0</v>
      </c>
      <c r="N152" s="35">
        <f>SUMIFS(Einzelbeträge!$D:$D,Einzelbeträge!$C:$C,'Ausgaben 2027'!$C152,Einzelbeträge!$E:$E,'Ausgaben 2027'!N$6)</f>
        <v>0</v>
      </c>
      <c r="O152" s="6"/>
    </row>
    <row r="153" spans="2:15" x14ac:dyDescent="0.35">
      <c r="B153" s="5"/>
      <c r="C153" s="40">
        <f t="shared" si="20"/>
        <v>46521</v>
      </c>
      <c r="D153" s="46">
        <f>SUMIFS(Einzelbeträge!$D:$D,Einzelbeträge!$C:$C,'Ausgaben 2027'!$C153)</f>
        <v>0</v>
      </c>
      <c r="E153" s="21">
        <f>SUMIFS(Einzelbeträge!$D:$D,Einzelbeträge!$C:$C,'Ausgaben 2027'!$C153,Einzelbeträge!$E:$E,'Ausgaben 2027'!E$6)</f>
        <v>0</v>
      </c>
      <c r="F153" s="21">
        <f>SUMIFS(Einzelbeträge!$D:$D,Einzelbeträge!$C:$C,'Ausgaben 2027'!$C153,Einzelbeträge!$E:$E,'Ausgaben 2027'!F$6)</f>
        <v>0</v>
      </c>
      <c r="G153" s="21">
        <f>SUMIFS(Einzelbeträge!$D:$D,Einzelbeträge!$C:$C,'Ausgaben 2027'!$C153,Einzelbeträge!$E:$E,'Ausgaben 2027'!G$6)</f>
        <v>0</v>
      </c>
      <c r="H153" s="21">
        <f>SUMIFS(Einzelbeträge!$D:$D,Einzelbeträge!$C:$C,'Ausgaben 2027'!$C153,Einzelbeträge!$E:$E,'Ausgaben 2027'!H$6)</f>
        <v>0</v>
      </c>
      <c r="I153" s="21">
        <f>SUMIFS(Einzelbeträge!$D:$D,Einzelbeträge!$C:$C,'Ausgaben 2027'!$C153,Einzelbeträge!$E:$E,'Ausgaben 2027'!I$6)</f>
        <v>0</v>
      </c>
      <c r="J153" s="21">
        <f>SUMIFS(Einzelbeträge!$D:$D,Einzelbeträge!$C:$C,'Ausgaben 2027'!$C153,Einzelbeträge!$E:$E,'Ausgaben 2027'!J$6)</f>
        <v>0</v>
      </c>
      <c r="K153" s="21">
        <f>SUMIFS(Einzelbeträge!$D:$D,Einzelbeträge!$C:$C,'Ausgaben 2027'!$C153,Einzelbeträge!$E:$E,'Ausgaben 2027'!K$6)</f>
        <v>0</v>
      </c>
      <c r="L153" s="21">
        <f>SUMIFS(Einzelbeträge!$D:$D,Einzelbeträge!$C:$C,'Ausgaben 2027'!$C153,Einzelbeträge!$E:$E,'Ausgaben 2027'!L$6)</f>
        <v>0</v>
      </c>
      <c r="M153" s="21">
        <f>SUMIFS(Einzelbeträge!$D:$D,Einzelbeträge!$C:$C,'Ausgaben 2027'!$C153,Einzelbeträge!$E:$E,'Ausgaben 2027'!M$6)</f>
        <v>0</v>
      </c>
      <c r="N153" s="35">
        <f>SUMIFS(Einzelbeträge!$D:$D,Einzelbeträge!$C:$C,'Ausgaben 2027'!$C153,Einzelbeträge!$E:$E,'Ausgaben 2027'!N$6)</f>
        <v>0</v>
      </c>
      <c r="O153" s="6"/>
    </row>
    <row r="154" spans="2:15" x14ac:dyDescent="0.35">
      <c r="B154" s="5"/>
      <c r="C154" s="40">
        <f t="shared" si="20"/>
        <v>46522</v>
      </c>
      <c r="D154" s="46">
        <f>SUMIFS(Einzelbeträge!$D:$D,Einzelbeträge!$C:$C,'Ausgaben 2027'!$C154)</f>
        <v>0</v>
      </c>
      <c r="E154" s="21">
        <f>SUMIFS(Einzelbeträge!$D:$D,Einzelbeträge!$C:$C,'Ausgaben 2027'!$C154,Einzelbeträge!$E:$E,'Ausgaben 2027'!E$6)</f>
        <v>0</v>
      </c>
      <c r="F154" s="21">
        <f>SUMIFS(Einzelbeträge!$D:$D,Einzelbeträge!$C:$C,'Ausgaben 2027'!$C154,Einzelbeträge!$E:$E,'Ausgaben 2027'!F$6)</f>
        <v>0</v>
      </c>
      <c r="G154" s="21">
        <f>SUMIFS(Einzelbeträge!$D:$D,Einzelbeträge!$C:$C,'Ausgaben 2027'!$C154,Einzelbeträge!$E:$E,'Ausgaben 2027'!G$6)</f>
        <v>0</v>
      </c>
      <c r="H154" s="21">
        <f>SUMIFS(Einzelbeträge!$D:$D,Einzelbeträge!$C:$C,'Ausgaben 2027'!$C154,Einzelbeträge!$E:$E,'Ausgaben 2027'!H$6)</f>
        <v>0</v>
      </c>
      <c r="I154" s="21">
        <f>SUMIFS(Einzelbeträge!$D:$D,Einzelbeträge!$C:$C,'Ausgaben 2027'!$C154,Einzelbeträge!$E:$E,'Ausgaben 2027'!I$6)</f>
        <v>0</v>
      </c>
      <c r="J154" s="21">
        <f>SUMIFS(Einzelbeträge!$D:$D,Einzelbeträge!$C:$C,'Ausgaben 2027'!$C154,Einzelbeträge!$E:$E,'Ausgaben 2027'!J$6)</f>
        <v>0</v>
      </c>
      <c r="K154" s="21">
        <f>SUMIFS(Einzelbeträge!$D:$D,Einzelbeträge!$C:$C,'Ausgaben 2027'!$C154,Einzelbeträge!$E:$E,'Ausgaben 2027'!K$6)</f>
        <v>0</v>
      </c>
      <c r="L154" s="21">
        <f>SUMIFS(Einzelbeträge!$D:$D,Einzelbeträge!$C:$C,'Ausgaben 2027'!$C154,Einzelbeträge!$E:$E,'Ausgaben 2027'!L$6)</f>
        <v>0</v>
      </c>
      <c r="M154" s="21">
        <f>SUMIFS(Einzelbeträge!$D:$D,Einzelbeträge!$C:$C,'Ausgaben 2027'!$C154,Einzelbeträge!$E:$E,'Ausgaben 2027'!M$6)</f>
        <v>0</v>
      </c>
      <c r="N154" s="35">
        <f>SUMIFS(Einzelbeträge!$D:$D,Einzelbeträge!$C:$C,'Ausgaben 2027'!$C154,Einzelbeträge!$E:$E,'Ausgaben 2027'!N$6)</f>
        <v>0</v>
      </c>
      <c r="O154" s="6"/>
    </row>
    <row r="155" spans="2:15" x14ac:dyDescent="0.35">
      <c r="B155" s="5"/>
      <c r="C155" s="40">
        <f t="shared" si="20"/>
        <v>46523</v>
      </c>
      <c r="D155" s="46">
        <f>SUMIFS(Einzelbeträge!$D:$D,Einzelbeträge!$C:$C,'Ausgaben 2027'!$C155)</f>
        <v>0</v>
      </c>
      <c r="E155" s="21">
        <f>SUMIFS(Einzelbeträge!$D:$D,Einzelbeträge!$C:$C,'Ausgaben 2027'!$C155,Einzelbeträge!$E:$E,'Ausgaben 2027'!E$6)</f>
        <v>0</v>
      </c>
      <c r="F155" s="21">
        <f>SUMIFS(Einzelbeträge!$D:$D,Einzelbeträge!$C:$C,'Ausgaben 2027'!$C155,Einzelbeträge!$E:$E,'Ausgaben 2027'!F$6)</f>
        <v>0</v>
      </c>
      <c r="G155" s="21">
        <f>SUMIFS(Einzelbeträge!$D:$D,Einzelbeträge!$C:$C,'Ausgaben 2027'!$C155,Einzelbeträge!$E:$E,'Ausgaben 2027'!G$6)</f>
        <v>0</v>
      </c>
      <c r="H155" s="21">
        <f>SUMIFS(Einzelbeträge!$D:$D,Einzelbeträge!$C:$C,'Ausgaben 2027'!$C155,Einzelbeträge!$E:$E,'Ausgaben 2027'!H$6)</f>
        <v>0</v>
      </c>
      <c r="I155" s="21">
        <f>SUMIFS(Einzelbeträge!$D:$D,Einzelbeträge!$C:$C,'Ausgaben 2027'!$C155,Einzelbeträge!$E:$E,'Ausgaben 2027'!I$6)</f>
        <v>0</v>
      </c>
      <c r="J155" s="21">
        <f>SUMIFS(Einzelbeträge!$D:$D,Einzelbeträge!$C:$C,'Ausgaben 2027'!$C155,Einzelbeträge!$E:$E,'Ausgaben 2027'!J$6)</f>
        <v>0</v>
      </c>
      <c r="K155" s="21">
        <f>SUMIFS(Einzelbeträge!$D:$D,Einzelbeträge!$C:$C,'Ausgaben 2027'!$C155,Einzelbeträge!$E:$E,'Ausgaben 2027'!K$6)</f>
        <v>0</v>
      </c>
      <c r="L155" s="21">
        <f>SUMIFS(Einzelbeträge!$D:$D,Einzelbeträge!$C:$C,'Ausgaben 2027'!$C155,Einzelbeträge!$E:$E,'Ausgaben 2027'!L$6)</f>
        <v>0</v>
      </c>
      <c r="M155" s="21">
        <f>SUMIFS(Einzelbeträge!$D:$D,Einzelbeträge!$C:$C,'Ausgaben 2027'!$C155,Einzelbeträge!$E:$E,'Ausgaben 2027'!M$6)</f>
        <v>0</v>
      </c>
      <c r="N155" s="35">
        <f>SUMIFS(Einzelbeträge!$D:$D,Einzelbeträge!$C:$C,'Ausgaben 2027'!$C155,Einzelbeträge!$E:$E,'Ausgaben 2027'!N$6)</f>
        <v>0</v>
      </c>
      <c r="O155" s="6"/>
    </row>
    <row r="156" spans="2:15" x14ac:dyDescent="0.35">
      <c r="B156" s="5"/>
      <c r="C156" s="40">
        <f t="shared" si="20"/>
        <v>46524</v>
      </c>
      <c r="D156" s="46">
        <f>SUMIFS(Einzelbeträge!$D:$D,Einzelbeträge!$C:$C,'Ausgaben 2027'!$C156)</f>
        <v>0</v>
      </c>
      <c r="E156" s="21">
        <f>SUMIFS(Einzelbeträge!$D:$D,Einzelbeträge!$C:$C,'Ausgaben 2027'!$C156,Einzelbeträge!$E:$E,'Ausgaben 2027'!E$6)</f>
        <v>0</v>
      </c>
      <c r="F156" s="21">
        <f>SUMIFS(Einzelbeträge!$D:$D,Einzelbeträge!$C:$C,'Ausgaben 2027'!$C156,Einzelbeträge!$E:$E,'Ausgaben 2027'!F$6)</f>
        <v>0</v>
      </c>
      <c r="G156" s="21">
        <f>SUMIFS(Einzelbeträge!$D:$D,Einzelbeträge!$C:$C,'Ausgaben 2027'!$C156,Einzelbeträge!$E:$E,'Ausgaben 2027'!G$6)</f>
        <v>0</v>
      </c>
      <c r="H156" s="21">
        <f>SUMIFS(Einzelbeträge!$D:$D,Einzelbeträge!$C:$C,'Ausgaben 2027'!$C156,Einzelbeträge!$E:$E,'Ausgaben 2027'!H$6)</f>
        <v>0</v>
      </c>
      <c r="I156" s="21">
        <f>SUMIFS(Einzelbeträge!$D:$D,Einzelbeträge!$C:$C,'Ausgaben 2027'!$C156,Einzelbeträge!$E:$E,'Ausgaben 2027'!I$6)</f>
        <v>0</v>
      </c>
      <c r="J156" s="21">
        <f>SUMIFS(Einzelbeträge!$D:$D,Einzelbeträge!$C:$C,'Ausgaben 2027'!$C156,Einzelbeträge!$E:$E,'Ausgaben 2027'!J$6)</f>
        <v>0</v>
      </c>
      <c r="K156" s="21">
        <f>SUMIFS(Einzelbeträge!$D:$D,Einzelbeträge!$C:$C,'Ausgaben 2027'!$C156,Einzelbeträge!$E:$E,'Ausgaben 2027'!K$6)</f>
        <v>0</v>
      </c>
      <c r="L156" s="21">
        <f>SUMIFS(Einzelbeträge!$D:$D,Einzelbeträge!$C:$C,'Ausgaben 2027'!$C156,Einzelbeträge!$E:$E,'Ausgaben 2027'!L$6)</f>
        <v>0</v>
      </c>
      <c r="M156" s="21">
        <f>SUMIFS(Einzelbeträge!$D:$D,Einzelbeträge!$C:$C,'Ausgaben 2027'!$C156,Einzelbeträge!$E:$E,'Ausgaben 2027'!M$6)</f>
        <v>0</v>
      </c>
      <c r="N156" s="35">
        <f>SUMIFS(Einzelbeträge!$D:$D,Einzelbeträge!$C:$C,'Ausgaben 2027'!$C156,Einzelbeträge!$E:$E,'Ausgaben 2027'!N$6)</f>
        <v>0</v>
      </c>
      <c r="O156" s="6"/>
    </row>
    <row r="157" spans="2:15" x14ac:dyDescent="0.35">
      <c r="B157" s="5"/>
      <c r="C157" s="40">
        <f t="shared" si="20"/>
        <v>46525</v>
      </c>
      <c r="D157" s="46">
        <f>SUMIFS(Einzelbeträge!$D:$D,Einzelbeträge!$C:$C,'Ausgaben 2027'!$C157)</f>
        <v>0</v>
      </c>
      <c r="E157" s="21">
        <f>SUMIFS(Einzelbeträge!$D:$D,Einzelbeträge!$C:$C,'Ausgaben 2027'!$C157,Einzelbeträge!$E:$E,'Ausgaben 2027'!E$6)</f>
        <v>0</v>
      </c>
      <c r="F157" s="21">
        <f>SUMIFS(Einzelbeträge!$D:$D,Einzelbeträge!$C:$C,'Ausgaben 2027'!$C157,Einzelbeträge!$E:$E,'Ausgaben 2027'!F$6)</f>
        <v>0</v>
      </c>
      <c r="G157" s="21">
        <f>SUMIFS(Einzelbeträge!$D:$D,Einzelbeträge!$C:$C,'Ausgaben 2027'!$C157,Einzelbeträge!$E:$E,'Ausgaben 2027'!G$6)</f>
        <v>0</v>
      </c>
      <c r="H157" s="21">
        <f>SUMIFS(Einzelbeträge!$D:$D,Einzelbeträge!$C:$C,'Ausgaben 2027'!$C157,Einzelbeträge!$E:$E,'Ausgaben 2027'!H$6)</f>
        <v>0</v>
      </c>
      <c r="I157" s="21">
        <f>SUMIFS(Einzelbeträge!$D:$D,Einzelbeträge!$C:$C,'Ausgaben 2027'!$C157,Einzelbeträge!$E:$E,'Ausgaben 2027'!I$6)</f>
        <v>0</v>
      </c>
      <c r="J157" s="21">
        <f>SUMIFS(Einzelbeträge!$D:$D,Einzelbeträge!$C:$C,'Ausgaben 2027'!$C157,Einzelbeträge!$E:$E,'Ausgaben 2027'!J$6)</f>
        <v>0</v>
      </c>
      <c r="K157" s="21">
        <f>SUMIFS(Einzelbeträge!$D:$D,Einzelbeträge!$C:$C,'Ausgaben 2027'!$C157,Einzelbeträge!$E:$E,'Ausgaben 2027'!K$6)</f>
        <v>0</v>
      </c>
      <c r="L157" s="21">
        <f>SUMIFS(Einzelbeträge!$D:$D,Einzelbeträge!$C:$C,'Ausgaben 2027'!$C157,Einzelbeträge!$E:$E,'Ausgaben 2027'!L$6)</f>
        <v>0</v>
      </c>
      <c r="M157" s="21">
        <f>SUMIFS(Einzelbeträge!$D:$D,Einzelbeträge!$C:$C,'Ausgaben 2027'!$C157,Einzelbeträge!$E:$E,'Ausgaben 2027'!M$6)</f>
        <v>0</v>
      </c>
      <c r="N157" s="35">
        <f>SUMIFS(Einzelbeträge!$D:$D,Einzelbeträge!$C:$C,'Ausgaben 2027'!$C157,Einzelbeträge!$E:$E,'Ausgaben 2027'!N$6)</f>
        <v>0</v>
      </c>
      <c r="O157" s="6"/>
    </row>
    <row r="158" spans="2:15" x14ac:dyDescent="0.35">
      <c r="B158" s="5"/>
      <c r="C158" s="40">
        <f t="shared" si="20"/>
        <v>46526</v>
      </c>
      <c r="D158" s="46">
        <f>SUMIFS(Einzelbeträge!$D:$D,Einzelbeträge!$C:$C,'Ausgaben 2027'!$C158)</f>
        <v>0</v>
      </c>
      <c r="E158" s="21">
        <f>SUMIFS(Einzelbeträge!$D:$D,Einzelbeträge!$C:$C,'Ausgaben 2027'!$C158,Einzelbeträge!$E:$E,'Ausgaben 2027'!E$6)</f>
        <v>0</v>
      </c>
      <c r="F158" s="21">
        <f>SUMIFS(Einzelbeträge!$D:$D,Einzelbeträge!$C:$C,'Ausgaben 2027'!$C158,Einzelbeträge!$E:$E,'Ausgaben 2027'!F$6)</f>
        <v>0</v>
      </c>
      <c r="G158" s="21">
        <f>SUMIFS(Einzelbeträge!$D:$D,Einzelbeträge!$C:$C,'Ausgaben 2027'!$C158,Einzelbeträge!$E:$E,'Ausgaben 2027'!G$6)</f>
        <v>0</v>
      </c>
      <c r="H158" s="21">
        <f>SUMIFS(Einzelbeträge!$D:$D,Einzelbeträge!$C:$C,'Ausgaben 2027'!$C158,Einzelbeträge!$E:$E,'Ausgaben 2027'!H$6)</f>
        <v>0</v>
      </c>
      <c r="I158" s="21">
        <f>SUMIFS(Einzelbeträge!$D:$D,Einzelbeträge!$C:$C,'Ausgaben 2027'!$C158,Einzelbeträge!$E:$E,'Ausgaben 2027'!I$6)</f>
        <v>0</v>
      </c>
      <c r="J158" s="21">
        <f>SUMIFS(Einzelbeträge!$D:$D,Einzelbeträge!$C:$C,'Ausgaben 2027'!$C158,Einzelbeträge!$E:$E,'Ausgaben 2027'!J$6)</f>
        <v>0</v>
      </c>
      <c r="K158" s="21">
        <f>SUMIFS(Einzelbeträge!$D:$D,Einzelbeträge!$C:$C,'Ausgaben 2027'!$C158,Einzelbeträge!$E:$E,'Ausgaben 2027'!K$6)</f>
        <v>0</v>
      </c>
      <c r="L158" s="21">
        <f>SUMIFS(Einzelbeträge!$D:$D,Einzelbeträge!$C:$C,'Ausgaben 2027'!$C158,Einzelbeträge!$E:$E,'Ausgaben 2027'!L$6)</f>
        <v>0</v>
      </c>
      <c r="M158" s="21">
        <f>SUMIFS(Einzelbeträge!$D:$D,Einzelbeträge!$C:$C,'Ausgaben 2027'!$C158,Einzelbeträge!$E:$E,'Ausgaben 2027'!M$6)</f>
        <v>0</v>
      </c>
      <c r="N158" s="35">
        <f>SUMIFS(Einzelbeträge!$D:$D,Einzelbeträge!$C:$C,'Ausgaben 2027'!$C158,Einzelbeträge!$E:$E,'Ausgaben 2027'!N$6)</f>
        <v>0</v>
      </c>
      <c r="O158" s="6"/>
    </row>
    <row r="159" spans="2:15" x14ac:dyDescent="0.35">
      <c r="B159" s="5"/>
      <c r="C159" s="40">
        <f t="shared" si="20"/>
        <v>46527</v>
      </c>
      <c r="D159" s="46">
        <f>SUMIFS(Einzelbeträge!$D:$D,Einzelbeträge!$C:$C,'Ausgaben 2027'!$C159)</f>
        <v>0</v>
      </c>
      <c r="E159" s="21">
        <f>SUMIFS(Einzelbeträge!$D:$D,Einzelbeträge!$C:$C,'Ausgaben 2027'!$C159,Einzelbeträge!$E:$E,'Ausgaben 2027'!E$6)</f>
        <v>0</v>
      </c>
      <c r="F159" s="21">
        <f>SUMIFS(Einzelbeträge!$D:$D,Einzelbeträge!$C:$C,'Ausgaben 2027'!$C159,Einzelbeträge!$E:$E,'Ausgaben 2027'!F$6)</f>
        <v>0</v>
      </c>
      <c r="G159" s="21">
        <f>SUMIFS(Einzelbeträge!$D:$D,Einzelbeträge!$C:$C,'Ausgaben 2027'!$C159,Einzelbeträge!$E:$E,'Ausgaben 2027'!G$6)</f>
        <v>0</v>
      </c>
      <c r="H159" s="21">
        <f>SUMIFS(Einzelbeträge!$D:$D,Einzelbeträge!$C:$C,'Ausgaben 2027'!$C159,Einzelbeträge!$E:$E,'Ausgaben 2027'!H$6)</f>
        <v>0</v>
      </c>
      <c r="I159" s="21">
        <f>SUMIFS(Einzelbeträge!$D:$D,Einzelbeträge!$C:$C,'Ausgaben 2027'!$C159,Einzelbeträge!$E:$E,'Ausgaben 2027'!I$6)</f>
        <v>0</v>
      </c>
      <c r="J159" s="21">
        <f>SUMIFS(Einzelbeträge!$D:$D,Einzelbeträge!$C:$C,'Ausgaben 2027'!$C159,Einzelbeträge!$E:$E,'Ausgaben 2027'!J$6)</f>
        <v>0</v>
      </c>
      <c r="K159" s="21">
        <f>SUMIFS(Einzelbeträge!$D:$D,Einzelbeträge!$C:$C,'Ausgaben 2027'!$C159,Einzelbeträge!$E:$E,'Ausgaben 2027'!K$6)</f>
        <v>0</v>
      </c>
      <c r="L159" s="21">
        <f>SUMIFS(Einzelbeträge!$D:$D,Einzelbeträge!$C:$C,'Ausgaben 2027'!$C159,Einzelbeträge!$E:$E,'Ausgaben 2027'!L$6)</f>
        <v>0</v>
      </c>
      <c r="M159" s="21">
        <f>SUMIFS(Einzelbeträge!$D:$D,Einzelbeträge!$C:$C,'Ausgaben 2027'!$C159,Einzelbeträge!$E:$E,'Ausgaben 2027'!M$6)</f>
        <v>0</v>
      </c>
      <c r="N159" s="35">
        <f>SUMIFS(Einzelbeträge!$D:$D,Einzelbeträge!$C:$C,'Ausgaben 2027'!$C159,Einzelbeträge!$E:$E,'Ausgaben 2027'!N$6)</f>
        <v>0</v>
      </c>
      <c r="O159" s="6"/>
    </row>
    <row r="160" spans="2:15" x14ac:dyDescent="0.35">
      <c r="B160" s="5"/>
      <c r="C160" s="40">
        <f t="shared" si="20"/>
        <v>46528</v>
      </c>
      <c r="D160" s="46">
        <f>SUMIFS(Einzelbeträge!$D:$D,Einzelbeträge!$C:$C,'Ausgaben 2027'!$C160)</f>
        <v>0</v>
      </c>
      <c r="E160" s="21">
        <f>SUMIFS(Einzelbeträge!$D:$D,Einzelbeträge!$C:$C,'Ausgaben 2027'!$C160,Einzelbeträge!$E:$E,'Ausgaben 2027'!E$6)</f>
        <v>0</v>
      </c>
      <c r="F160" s="21">
        <f>SUMIFS(Einzelbeträge!$D:$D,Einzelbeträge!$C:$C,'Ausgaben 2027'!$C160,Einzelbeträge!$E:$E,'Ausgaben 2027'!F$6)</f>
        <v>0</v>
      </c>
      <c r="G160" s="21">
        <f>SUMIFS(Einzelbeträge!$D:$D,Einzelbeträge!$C:$C,'Ausgaben 2027'!$C160,Einzelbeträge!$E:$E,'Ausgaben 2027'!G$6)</f>
        <v>0</v>
      </c>
      <c r="H160" s="21">
        <f>SUMIFS(Einzelbeträge!$D:$D,Einzelbeträge!$C:$C,'Ausgaben 2027'!$C160,Einzelbeträge!$E:$E,'Ausgaben 2027'!H$6)</f>
        <v>0</v>
      </c>
      <c r="I160" s="21">
        <f>SUMIFS(Einzelbeträge!$D:$D,Einzelbeträge!$C:$C,'Ausgaben 2027'!$C160,Einzelbeträge!$E:$E,'Ausgaben 2027'!I$6)</f>
        <v>0</v>
      </c>
      <c r="J160" s="21">
        <f>SUMIFS(Einzelbeträge!$D:$D,Einzelbeträge!$C:$C,'Ausgaben 2027'!$C160,Einzelbeträge!$E:$E,'Ausgaben 2027'!J$6)</f>
        <v>0</v>
      </c>
      <c r="K160" s="21">
        <f>SUMIFS(Einzelbeträge!$D:$D,Einzelbeträge!$C:$C,'Ausgaben 2027'!$C160,Einzelbeträge!$E:$E,'Ausgaben 2027'!K$6)</f>
        <v>0</v>
      </c>
      <c r="L160" s="21">
        <f>SUMIFS(Einzelbeträge!$D:$D,Einzelbeträge!$C:$C,'Ausgaben 2027'!$C160,Einzelbeträge!$E:$E,'Ausgaben 2027'!L$6)</f>
        <v>0</v>
      </c>
      <c r="M160" s="21">
        <f>SUMIFS(Einzelbeträge!$D:$D,Einzelbeträge!$C:$C,'Ausgaben 2027'!$C160,Einzelbeträge!$E:$E,'Ausgaben 2027'!M$6)</f>
        <v>0</v>
      </c>
      <c r="N160" s="35">
        <f>SUMIFS(Einzelbeträge!$D:$D,Einzelbeträge!$C:$C,'Ausgaben 2027'!$C160,Einzelbeträge!$E:$E,'Ausgaben 2027'!N$6)</f>
        <v>0</v>
      </c>
      <c r="O160" s="6"/>
    </row>
    <row r="161" spans="2:15" x14ac:dyDescent="0.35">
      <c r="B161" s="5"/>
      <c r="C161" s="40">
        <f t="shared" si="20"/>
        <v>46529</v>
      </c>
      <c r="D161" s="46">
        <f>SUMIFS(Einzelbeträge!$D:$D,Einzelbeträge!$C:$C,'Ausgaben 2027'!$C161)</f>
        <v>0</v>
      </c>
      <c r="E161" s="21">
        <f>SUMIFS(Einzelbeträge!$D:$D,Einzelbeträge!$C:$C,'Ausgaben 2027'!$C161,Einzelbeträge!$E:$E,'Ausgaben 2027'!E$6)</f>
        <v>0</v>
      </c>
      <c r="F161" s="21">
        <f>SUMIFS(Einzelbeträge!$D:$D,Einzelbeträge!$C:$C,'Ausgaben 2027'!$C161,Einzelbeträge!$E:$E,'Ausgaben 2027'!F$6)</f>
        <v>0</v>
      </c>
      <c r="G161" s="21">
        <f>SUMIFS(Einzelbeträge!$D:$D,Einzelbeträge!$C:$C,'Ausgaben 2027'!$C161,Einzelbeträge!$E:$E,'Ausgaben 2027'!G$6)</f>
        <v>0</v>
      </c>
      <c r="H161" s="21">
        <f>SUMIFS(Einzelbeträge!$D:$D,Einzelbeträge!$C:$C,'Ausgaben 2027'!$C161,Einzelbeträge!$E:$E,'Ausgaben 2027'!H$6)</f>
        <v>0</v>
      </c>
      <c r="I161" s="21">
        <f>SUMIFS(Einzelbeträge!$D:$D,Einzelbeträge!$C:$C,'Ausgaben 2027'!$C161,Einzelbeträge!$E:$E,'Ausgaben 2027'!I$6)</f>
        <v>0</v>
      </c>
      <c r="J161" s="21">
        <f>SUMIFS(Einzelbeträge!$D:$D,Einzelbeträge!$C:$C,'Ausgaben 2027'!$C161,Einzelbeträge!$E:$E,'Ausgaben 2027'!J$6)</f>
        <v>0</v>
      </c>
      <c r="K161" s="21">
        <f>SUMIFS(Einzelbeträge!$D:$D,Einzelbeträge!$C:$C,'Ausgaben 2027'!$C161,Einzelbeträge!$E:$E,'Ausgaben 2027'!K$6)</f>
        <v>0</v>
      </c>
      <c r="L161" s="21">
        <f>SUMIFS(Einzelbeträge!$D:$D,Einzelbeträge!$C:$C,'Ausgaben 2027'!$C161,Einzelbeträge!$E:$E,'Ausgaben 2027'!L$6)</f>
        <v>0</v>
      </c>
      <c r="M161" s="21">
        <f>SUMIFS(Einzelbeträge!$D:$D,Einzelbeträge!$C:$C,'Ausgaben 2027'!$C161,Einzelbeträge!$E:$E,'Ausgaben 2027'!M$6)</f>
        <v>0</v>
      </c>
      <c r="N161" s="35">
        <f>SUMIFS(Einzelbeträge!$D:$D,Einzelbeträge!$C:$C,'Ausgaben 2027'!$C161,Einzelbeträge!$E:$E,'Ausgaben 2027'!N$6)</f>
        <v>0</v>
      </c>
      <c r="O161" s="6"/>
    </row>
    <row r="162" spans="2:15" x14ac:dyDescent="0.35">
      <c r="B162" s="5"/>
      <c r="C162" s="40">
        <f t="shared" si="20"/>
        <v>46530</v>
      </c>
      <c r="D162" s="46">
        <f>SUMIFS(Einzelbeträge!$D:$D,Einzelbeträge!$C:$C,'Ausgaben 2027'!$C162)</f>
        <v>0</v>
      </c>
      <c r="E162" s="21">
        <f>SUMIFS(Einzelbeträge!$D:$D,Einzelbeträge!$C:$C,'Ausgaben 2027'!$C162,Einzelbeträge!$E:$E,'Ausgaben 2027'!E$6)</f>
        <v>0</v>
      </c>
      <c r="F162" s="21">
        <f>SUMIFS(Einzelbeträge!$D:$D,Einzelbeträge!$C:$C,'Ausgaben 2027'!$C162,Einzelbeträge!$E:$E,'Ausgaben 2027'!F$6)</f>
        <v>0</v>
      </c>
      <c r="G162" s="21">
        <f>SUMIFS(Einzelbeträge!$D:$D,Einzelbeträge!$C:$C,'Ausgaben 2027'!$C162,Einzelbeträge!$E:$E,'Ausgaben 2027'!G$6)</f>
        <v>0</v>
      </c>
      <c r="H162" s="21">
        <f>SUMIFS(Einzelbeträge!$D:$D,Einzelbeträge!$C:$C,'Ausgaben 2027'!$C162,Einzelbeträge!$E:$E,'Ausgaben 2027'!H$6)</f>
        <v>0</v>
      </c>
      <c r="I162" s="21">
        <f>SUMIFS(Einzelbeträge!$D:$D,Einzelbeträge!$C:$C,'Ausgaben 2027'!$C162,Einzelbeträge!$E:$E,'Ausgaben 2027'!I$6)</f>
        <v>0</v>
      </c>
      <c r="J162" s="21">
        <f>SUMIFS(Einzelbeträge!$D:$D,Einzelbeträge!$C:$C,'Ausgaben 2027'!$C162,Einzelbeträge!$E:$E,'Ausgaben 2027'!J$6)</f>
        <v>0</v>
      </c>
      <c r="K162" s="21">
        <f>SUMIFS(Einzelbeträge!$D:$D,Einzelbeträge!$C:$C,'Ausgaben 2027'!$C162,Einzelbeträge!$E:$E,'Ausgaben 2027'!K$6)</f>
        <v>0</v>
      </c>
      <c r="L162" s="21">
        <f>SUMIFS(Einzelbeträge!$D:$D,Einzelbeträge!$C:$C,'Ausgaben 2027'!$C162,Einzelbeträge!$E:$E,'Ausgaben 2027'!L$6)</f>
        <v>0</v>
      </c>
      <c r="M162" s="21">
        <f>SUMIFS(Einzelbeträge!$D:$D,Einzelbeträge!$C:$C,'Ausgaben 2027'!$C162,Einzelbeträge!$E:$E,'Ausgaben 2027'!M$6)</f>
        <v>0</v>
      </c>
      <c r="N162" s="35">
        <f>SUMIFS(Einzelbeträge!$D:$D,Einzelbeträge!$C:$C,'Ausgaben 2027'!$C162,Einzelbeträge!$E:$E,'Ausgaben 2027'!N$6)</f>
        <v>0</v>
      </c>
      <c r="O162" s="6"/>
    </row>
    <row r="163" spans="2:15" x14ac:dyDescent="0.35">
      <c r="B163" s="5"/>
      <c r="C163" s="40">
        <f t="shared" si="20"/>
        <v>46531</v>
      </c>
      <c r="D163" s="46">
        <f>SUMIFS(Einzelbeträge!$D:$D,Einzelbeträge!$C:$C,'Ausgaben 2027'!$C163)</f>
        <v>0</v>
      </c>
      <c r="E163" s="21">
        <f>SUMIFS(Einzelbeträge!$D:$D,Einzelbeträge!$C:$C,'Ausgaben 2027'!$C163,Einzelbeträge!$E:$E,'Ausgaben 2027'!E$6)</f>
        <v>0</v>
      </c>
      <c r="F163" s="21">
        <f>SUMIFS(Einzelbeträge!$D:$D,Einzelbeträge!$C:$C,'Ausgaben 2027'!$C163,Einzelbeträge!$E:$E,'Ausgaben 2027'!F$6)</f>
        <v>0</v>
      </c>
      <c r="G163" s="21">
        <f>SUMIFS(Einzelbeträge!$D:$D,Einzelbeträge!$C:$C,'Ausgaben 2027'!$C163,Einzelbeträge!$E:$E,'Ausgaben 2027'!G$6)</f>
        <v>0</v>
      </c>
      <c r="H163" s="21">
        <f>SUMIFS(Einzelbeträge!$D:$D,Einzelbeträge!$C:$C,'Ausgaben 2027'!$C163,Einzelbeträge!$E:$E,'Ausgaben 2027'!H$6)</f>
        <v>0</v>
      </c>
      <c r="I163" s="21">
        <f>SUMIFS(Einzelbeträge!$D:$D,Einzelbeträge!$C:$C,'Ausgaben 2027'!$C163,Einzelbeträge!$E:$E,'Ausgaben 2027'!I$6)</f>
        <v>0</v>
      </c>
      <c r="J163" s="21">
        <f>SUMIFS(Einzelbeträge!$D:$D,Einzelbeträge!$C:$C,'Ausgaben 2027'!$C163,Einzelbeträge!$E:$E,'Ausgaben 2027'!J$6)</f>
        <v>0</v>
      </c>
      <c r="K163" s="21">
        <f>SUMIFS(Einzelbeträge!$D:$D,Einzelbeträge!$C:$C,'Ausgaben 2027'!$C163,Einzelbeträge!$E:$E,'Ausgaben 2027'!K$6)</f>
        <v>0</v>
      </c>
      <c r="L163" s="21">
        <f>SUMIFS(Einzelbeträge!$D:$D,Einzelbeträge!$C:$C,'Ausgaben 2027'!$C163,Einzelbeträge!$E:$E,'Ausgaben 2027'!L$6)</f>
        <v>0</v>
      </c>
      <c r="M163" s="21">
        <f>SUMIFS(Einzelbeträge!$D:$D,Einzelbeträge!$C:$C,'Ausgaben 2027'!$C163,Einzelbeträge!$E:$E,'Ausgaben 2027'!M$6)</f>
        <v>0</v>
      </c>
      <c r="N163" s="35">
        <f>SUMIFS(Einzelbeträge!$D:$D,Einzelbeträge!$C:$C,'Ausgaben 2027'!$C163,Einzelbeträge!$E:$E,'Ausgaben 2027'!N$6)</f>
        <v>0</v>
      </c>
      <c r="O163" s="6"/>
    </row>
    <row r="164" spans="2:15" x14ac:dyDescent="0.35">
      <c r="B164" s="5"/>
      <c r="C164" s="40">
        <f t="shared" si="20"/>
        <v>46532</v>
      </c>
      <c r="D164" s="46">
        <f>SUMIFS(Einzelbeträge!$D:$D,Einzelbeträge!$C:$C,'Ausgaben 2027'!$C164)</f>
        <v>0</v>
      </c>
      <c r="E164" s="21">
        <f>SUMIFS(Einzelbeträge!$D:$D,Einzelbeträge!$C:$C,'Ausgaben 2027'!$C164,Einzelbeträge!$E:$E,'Ausgaben 2027'!E$6)</f>
        <v>0</v>
      </c>
      <c r="F164" s="21">
        <f>SUMIFS(Einzelbeträge!$D:$D,Einzelbeträge!$C:$C,'Ausgaben 2027'!$C164,Einzelbeträge!$E:$E,'Ausgaben 2027'!F$6)</f>
        <v>0</v>
      </c>
      <c r="G164" s="21">
        <f>SUMIFS(Einzelbeträge!$D:$D,Einzelbeträge!$C:$C,'Ausgaben 2027'!$C164,Einzelbeträge!$E:$E,'Ausgaben 2027'!G$6)</f>
        <v>0</v>
      </c>
      <c r="H164" s="21">
        <f>SUMIFS(Einzelbeträge!$D:$D,Einzelbeträge!$C:$C,'Ausgaben 2027'!$C164,Einzelbeträge!$E:$E,'Ausgaben 2027'!H$6)</f>
        <v>0</v>
      </c>
      <c r="I164" s="21">
        <f>SUMIFS(Einzelbeträge!$D:$D,Einzelbeträge!$C:$C,'Ausgaben 2027'!$C164,Einzelbeträge!$E:$E,'Ausgaben 2027'!I$6)</f>
        <v>0</v>
      </c>
      <c r="J164" s="21">
        <f>SUMIFS(Einzelbeträge!$D:$D,Einzelbeträge!$C:$C,'Ausgaben 2027'!$C164,Einzelbeträge!$E:$E,'Ausgaben 2027'!J$6)</f>
        <v>0</v>
      </c>
      <c r="K164" s="21">
        <f>SUMIFS(Einzelbeträge!$D:$D,Einzelbeträge!$C:$C,'Ausgaben 2027'!$C164,Einzelbeträge!$E:$E,'Ausgaben 2027'!K$6)</f>
        <v>0</v>
      </c>
      <c r="L164" s="21">
        <f>SUMIFS(Einzelbeträge!$D:$D,Einzelbeträge!$C:$C,'Ausgaben 2027'!$C164,Einzelbeträge!$E:$E,'Ausgaben 2027'!L$6)</f>
        <v>0</v>
      </c>
      <c r="M164" s="21">
        <f>SUMIFS(Einzelbeträge!$D:$D,Einzelbeträge!$C:$C,'Ausgaben 2027'!$C164,Einzelbeträge!$E:$E,'Ausgaben 2027'!M$6)</f>
        <v>0</v>
      </c>
      <c r="N164" s="35">
        <f>SUMIFS(Einzelbeträge!$D:$D,Einzelbeträge!$C:$C,'Ausgaben 2027'!$C164,Einzelbeträge!$E:$E,'Ausgaben 2027'!N$6)</f>
        <v>0</v>
      </c>
      <c r="O164" s="6"/>
    </row>
    <row r="165" spans="2:15" x14ac:dyDescent="0.35">
      <c r="B165" s="5"/>
      <c r="C165" s="40">
        <f t="shared" si="20"/>
        <v>46533</v>
      </c>
      <c r="D165" s="46">
        <f>SUMIFS(Einzelbeträge!$D:$D,Einzelbeträge!$C:$C,'Ausgaben 2027'!$C165)</f>
        <v>0</v>
      </c>
      <c r="E165" s="21">
        <f>SUMIFS(Einzelbeträge!$D:$D,Einzelbeträge!$C:$C,'Ausgaben 2027'!$C165,Einzelbeträge!$E:$E,'Ausgaben 2027'!E$6)</f>
        <v>0</v>
      </c>
      <c r="F165" s="21">
        <f>SUMIFS(Einzelbeträge!$D:$D,Einzelbeträge!$C:$C,'Ausgaben 2027'!$C165,Einzelbeträge!$E:$E,'Ausgaben 2027'!F$6)</f>
        <v>0</v>
      </c>
      <c r="G165" s="21">
        <f>SUMIFS(Einzelbeträge!$D:$D,Einzelbeträge!$C:$C,'Ausgaben 2027'!$C165,Einzelbeträge!$E:$E,'Ausgaben 2027'!G$6)</f>
        <v>0</v>
      </c>
      <c r="H165" s="21">
        <f>SUMIFS(Einzelbeträge!$D:$D,Einzelbeträge!$C:$C,'Ausgaben 2027'!$C165,Einzelbeträge!$E:$E,'Ausgaben 2027'!H$6)</f>
        <v>0</v>
      </c>
      <c r="I165" s="21">
        <f>SUMIFS(Einzelbeträge!$D:$D,Einzelbeträge!$C:$C,'Ausgaben 2027'!$C165,Einzelbeträge!$E:$E,'Ausgaben 2027'!I$6)</f>
        <v>0</v>
      </c>
      <c r="J165" s="21">
        <f>SUMIFS(Einzelbeträge!$D:$D,Einzelbeträge!$C:$C,'Ausgaben 2027'!$C165,Einzelbeträge!$E:$E,'Ausgaben 2027'!J$6)</f>
        <v>0</v>
      </c>
      <c r="K165" s="21">
        <f>SUMIFS(Einzelbeträge!$D:$D,Einzelbeträge!$C:$C,'Ausgaben 2027'!$C165,Einzelbeträge!$E:$E,'Ausgaben 2027'!K$6)</f>
        <v>0</v>
      </c>
      <c r="L165" s="21">
        <f>SUMIFS(Einzelbeträge!$D:$D,Einzelbeträge!$C:$C,'Ausgaben 2027'!$C165,Einzelbeträge!$E:$E,'Ausgaben 2027'!L$6)</f>
        <v>0</v>
      </c>
      <c r="M165" s="21">
        <f>SUMIFS(Einzelbeträge!$D:$D,Einzelbeträge!$C:$C,'Ausgaben 2027'!$C165,Einzelbeträge!$E:$E,'Ausgaben 2027'!M$6)</f>
        <v>0</v>
      </c>
      <c r="N165" s="35">
        <f>SUMIFS(Einzelbeträge!$D:$D,Einzelbeträge!$C:$C,'Ausgaben 2027'!$C165,Einzelbeträge!$E:$E,'Ausgaben 2027'!N$6)</f>
        <v>0</v>
      </c>
      <c r="O165" s="6"/>
    </row>
    <row r="166" spans="2:15" x14ac:dyDescent="0.35">
      <c r="B166" s="5"/>
      <c r="C166" s="40">
        <f t="shared" si="20"/>
        <v>46534</v>
      </c>
      <c r="D166" s="46">
        <f>SUMIFS(Einzelbeträge!$D:$D,Einzelbeträge!$C:$C,'Ausgaben 2027'!$C166)</f>
        <v>0</v>
      </c>
      <c r="E166" s="21">
        <f>SUMIFS(Einzelbeträge!$D:$D,Einzelbeträge!$C:$C,'Ausgaben 2027'!$C166,Einzelbeträge!$E:$E,'Ausgaben 2027'!E$6)</f>
        <v>0</v>
      </c>
      <c r="F166" s="21">
        <f>SUMIFS(Einzelbeträge!$D:$D,Einzelbeträge!$C:$C,'Ausgaben 2027'!$C166,Einzelbeträge!$E:$E,'Ausgaben 2027'!F$6)</f>
        <v>0</v>
      </c>
      <c r="G166" s="21">
        <f>SUMIFS(Einzelbeträge!$D:$D,Einzelbeträge!$C:$C,'Ausgaben 2027'!$C166,Einzelbeträge!$E:$E,'Ausgaben 2027'!G$6)</f>
        <v>0</v>
      </c>
      <c r="H166" s="21">
        <f>SUMIFS(Einzelbeträge!$D:$D,Einzelbeträge!$C:$C,'Ausgaben 2027'!$C166,Einzelbeträge!$E:$E,'Ausgaben 2027'!H$6)</f>
        <v>0</v>
      </c>
      <c r="I166" s="21">
        <f>SUMIFS(Einzelbeträge!$D:$D,Einzelbeträge!$C:$C,'Ausgaben 2027'!$C166,Einzelbeträge!$E:$E,'Ausgaben 2027'!I$6)</f>
        <v>0</v>
      </c>
      <c r="J166" s="21">
        <f>SUMIFS(Einzelbeträge!$D:$D,Einzelbeträge!$C:$C,'Ausgaben 2027'!$C166,Einzelbeträge!$E:$E,'Ausgaben 2027'!J$6)</f>
        <v>0</v>
      </c>
      <c r="K166" s="21">
        <f>SUMIFS(Einzelbeträge!$D:$D,Einzelbeträge!$C:$C,'Ausgaben 2027'!$C166,Einzelbeträge!$E:$E,'Ausgaben 2027'!K$6)</f>
        <v>0</v>
      </c>
      <c r="L166" s="21">
        <f>SUMIFS(Einzelbeträge!$D:$D,Einzelbeträge!$C:$C,'Ausgaben 2027'!$C166,Einzelbeträge!$E:$E,'Ausgaben 2027'!L$6)</f>
        <v>0</v>
      </c>
      <c r="M166" s="21">
        <f>SUMIFS(Einzelbeträge!$D:$D,Einzelbeträge!$C:$C,'Ausgaben 2027'!$C166,Einzelbeträge!$E:$E,'Ausgaben 2027'!M$6)</f>
        <v>0</v>
      </c>
      <c r="N166" s="35">
        <f>SUMIFS(Einzelbeträge!$D:$D,Einzelbeträge!$C:$C,'Ausgaben 2027'!$C166,Einzelbeträge!$E:$E,'Ausgaben 2027'!N$6)</f>
        <v>0</v>
      </c>
      <c r="O166" s="6"/>
    </row>
    <row r="167" spans="2:15" x14ac:dyDescent="0.35">
      <c r="B167" s="5"/>
      <c r="C167" s="40">
        <f t="shared" si="20"/>
        <v>46535</v>
      </c>
      <c r="D167" s="46">
        <f>SUMIFS(Einzelbeträge!$D:$D,Einzelbeträge!$C:$C,'Ausgaben 2027'!$C167)</f>
        <v>0</v>
      </c>
      <c r="E167" s="21">
        <f>SUMIFS(Einzelbeträge!$D:$D,Einzelbeträge!$C:$C,'Ausgaben 2027'!$C167,Einzelbeträge!$E:$E,'Ausgaben 2027'!E$6)</f>
        <v>0</v>
      </c>
      <c r="F167" s="21">
        <f>SUMIFS(Einzelbeträge!$D:$D,Einzelbeträge!$C:$C,'Ausgaben 2027'!$C167,Einzelbeträge!$E:$E,'Ausgaben 2027'!F$6)</f>
        <v>0</v>
      </c>
      <c r="G167" s="21">
        <f>SUMIFS(Einzelbeträge!$D:$D,Einzelbeträge!$C:$C,'Ausgaben 2027'!$C167,Einzelbeträge!$E:$E,'Ausgaben 2027'!G$6)</f>
        <v>0</v>
      </c>
      <c r="H167" s="21">
        <f>SUMIFS(Einzelbeträge!$D:$D,Einzelbeträge!$C:$C,'Ausgaben 2027'!$C167,Einzelbeträge!$E:$E,'Ausgaben 2027'!H$6)</f>
        <v>0</v>
      </c>
      <c r="I167" s="21">
        <f>SUMIFS(Einzelbeträge!$D:$D,Einzelbeträge!$C:$C,'Ausgaben 2027'!$C167,Einzelbeträge!$E:$E,'Ausgaben 2027'!I$6)</f>
        <v>0</v>
      </c>
      <c r="J167" s="21">
        <f>SUMIFS(Einzelbeträge!$D:$D,Einzelbeträge!$C:$C,'Ausgaben 2027'!$C167,Einzelbeträge!$E:$E,'Ausgaben 2027'!J$6)</f>
        <v>0</v>
      </c>
      <c r="K167" s="21">
        <f>SUMIFS(Einzelbeträge!$D:$D,Einzelbeträge!$C:$C,'Ausgaben 2027'!$C167,Einzelbeträge!$E:$E,'Ausgaben 2027'!K$6)</f>
        <v>0</v>
      </c>
      <c r="L167" s="21">
        <f>SUMIFS(Einzelbeträge!$D:$D,Einzelbeträge!$C:$C,'Ausgaben 2027'!$C167,Einzelbeträge!$E:$E,'Ausgaben 2027'!L$6)</f>
        <v>0</v>
      </c>
      <c r="M167" s="21">
        <f>SUMIFS(Einzelbeträge!$D:$D,Einzelbeträge!$C:$C,'Ausgaben 2027'!$C167,Einzelbeträge!$E:$E,'Ausgaben 2027'!M$6)</f>
        <v>0</v>
      </c>
      <c r="N167" s="35">
        <f>SUMIFS(Einzelbeträge!$D:$D,Einzelbeträge!$C:$C,'Ausgaben 2027'!$C167,Einzelbeträge!$E:$E,'Ausgaben 2027'!N$6)</f>
        <v>0</v>
      </c>
      <c r="O167" s="6"/>
    </row>
    <row r="168" spans="2:15" x14ac:dyDescent="0.35">
      <c r="B168" s="5"/>
      <c r="C168" s="40">
        <f t="shared" si="20"/>
        <v>46536</v>
      </c>
      <c r="D168" s="46">
        <f>SUMIFS(Einzelbeträge!$D:$D,Einzelbeträge!$C:$C,'Ausgaben 2027'!$C168)</f>
        <v>0</v>
      </c>
      <c r="E168" s="21">
        <f>SUMIFS(Einzelbeträge!$D:$D,Einzelbeträge!$C:$C,'Ausgaben 2027'!$C168,Einzelbeträge!$E:$E,'Ausgaben 2027'!E$6)</f>
        <v>0</v>
      </c>
      <c r="F168" s="21">
        <f>SUMIFS(Einzelbeträge!$D:$D,Einzelbeträge!$C:$C,'Ausgaben 2027'!$C168,Einzelbeträge!$E:$E,'Ausgaben 2027'!F$6)</f>
        <v>0</v>
      </c>
      <c r="G168" s="21">
        <f>SUMIFS(Einzelbeträge!$D:$D,Einzelbeträge!$C:$C,'Ausgaben 2027'!$C168,Einzelbeträge!$E:$E,'Ausgaben 2027'!G$6)</f>
        <v>0</v>
      </c>
      <c r="H168" s="21">
        <f>SUMIFS(Einzelbeträge!$D:$D,Einzelbeträge!$C:$C,'Ausgaben 2027'!$C168,Einzelbeträge!$E:$E,'Ausgaben 2027'!H$6)</f>
        <v>0</v>
      </c>
      <c r="I168" s="21">
        <f>SUMIFS(Einzelbeträge!$D:$D,Einzelbeträge!$C:$C,'Ausgaben 2027'!$C168,Einzelbeträge!$E:$E,'Ausgaben 2027'!I$6)</f>
        <v>0</v>
      </c>
      <c r="J168" s="21">
        <f>SUMIFS(Einzelbeträge!$D:$D,Einzelbeträge!$C:$C,'Ausgaben 2027'!$C168,Einzelbeträge!$E:$E,'Ausgaben 2027'!J$6)</f>
        <v>0</v>
      </c>
      <c r="K168" s="21">
        <f>SUMIFS(Einzelbeträge!$D:$D,Einzelbeträge!$C:$C,'Ausgaben 2027'!$C168,Einzelbeträge!$E:$E,'Ausgaben 2027'!K$6)</f>
        <v>0</v>
      </c>
      <c r="L168" s="21">
        <f>SUMIFS(Einzelbeträge!$D:$D,Einzelbeträge!$C:$C,'Ausgaben 2027'!$C168,Einzelbeträge!$E:$E,'Ausgaben 2027'!L$6)</f>
        <v>0</v>
      </c>
      <c r="M168" s="21">
        <f>SUMIFS(Einzelbeträge!$D:$D,Einzelbeträge!$C:$C,'Ausgaben 2027'!$C168,Einzelbeträge!$E:$E,'Ausgaben 2027'!M$6)</f>
        <v>0</v>
      </c>
      <c r="N168" s="35">
        <f>SUMIFS(Einzelbeträge!$D:$D,Einzelbeträge!$C:$C,'Ausgaben 2027'!$C168,Einzelbeträge!$E:$E,'Ausgaben 2027'!N$6)</f>
        <v>0</v>
      </c>
      <c r="O168" s="6"/>
    </row>
    <row r="169" spans="2:15" x14ac:dyDescent="0.35">
      <c r="B169" s="5"/>
      <c r="C169" s="40">
        <f t="shared" si="20"/>
        <v>46537</v>
      </c>
      <c r="D169" s="46">
        <f>SUMIFS(Einzelbeträge!$D:$D,Einzelbeträge!$C:$C,'Ausgaben 2027'!$C169)</f>
        <v>0</v>
      </c>
      <c r="E169" s="21">
        <f>SUMIFS(Einzelbeträge!$D:$D,Einzelbeträge!$C:$C,'Ausgaben 2027'!$C169,Einzelbeträge!$E:$E,'Ausgaben 2027'!E$6)</f>
        <v>0</v>
      </c>
      <c r="F169" s="21">
        <f>SUMIFS(Einzelbeträge!$D:$D,Einzelbeträge!$C:$C,'Ausgaben 2027'!$C169,Einzelbeträge!$E:$E,'Ausgaben 2027'!F$6)</f>
        <v>0</v>
      </c>
      <c r="G169" s="21">
        <f>SUMIFS(Einzelbeträge!$D:$D,Einzelbeträge!$C:$C,'Ausgaben 2027'!$C169,Einzelbeträge!$E:$E,'Ausgaben 2027'!G$6)</f>
        <v>0</v>
      </c>
      <c r="H169" s="21">
        <f>SUMIFS(Einzelbeträge!$D:$D,Einzelbeträge!$C:$C,'Ausgaben 2027'!$C169,Einzelbeträge!$E:$E,'Ausgaben 2027'!H$6)</f>
        <v>0</v>
      </c>
      <c r="I169" s="21">
        <f>SUMIFS(Einzelbeträge!$D:$D,Einzelbeträge!$C:$C,'Ausgaben 2027'!$C169,Einzelbeträge!$E:$E,'Ausgaben 2027'!I$6)</f>
        <v>0</v>
      </c>
      <c r="J169" s="21">
        <f>SUMIFS(Einzelbeträge!$D:$D,Einzelbeträge!$C:$C,'Ausgaben 2027'!$C169,Einzelbeträge!$E:$E,'Ausgaben 2027'!J$6)</f>
        <v>0</v>
      </c>
      <c r="K169" s="21">
        <f>SUMIFS(Einzelbeträge!$D:$D,Einzelbeträge!$C:$C,'Ausgaben 2027'!$C169,Einzelbeträge!$E:$E,'Ausgaben 2027'!K$6)</f>
        <v>0</v>
      </c>
      <c r="L169" s="21">
        <f>SUMIFS(Einzelbeträge!$D:$D,Einzelbeträge!$C:$C,'Ausgaben 2027'!$C169,Einzelbeträge!$E:$E,'Ausgaben 2027'!L$6)</f>
        <v>0</v>
      </c>
      <c r="M169" s="21">
        <f>SUMIFS(Einzelbeträge!$D:$D,Einzelbeträge!$C:$C,'Ausgaben 2027'!$C169,Einzelbeträge!$E:$E,'Ausgaben 2027'!M$6)</f>
        <v>0</v>
      </c>
      <c r="N169" s="35">
        <f>SUMIFS(Einzelbeträge!$D:$D,Einzelbeträge!$C:$C,'Ausgaben 2027'!$C169,Einzelbeträge!$E:$E,'Ausgaben 2027'!N$6)</f>
        <v>0</v>
      </c>
      <c r="O169" s="6"/>
    </row>
    <row r="170" spans="2:15" x14ac:dyDescent="0.35">
      <c r="B170" s="5"/>
      <c r="C170" s="31">
        <f t="shared" si="20"/>
        <v>46538</v>
      </c>
      <c r="D170" s="47">
        <f>SUMIFS(Einzelbeträge!$D:$D,Einzelbeträge!$C:$C,'Ausgaben 2027'!$C170)</f>
        <v>0</v>
      </c>
      <c r="E170" s="37">
        <f>SUMIFS(Einzelbeträge!$D:$D,Einzelbeträge!$C:$C,'Ausgaben 2027'!$C170,Einzelbeträge!$E:$E,'Ausgaben 2027'!E$6)</f>
        <v>0</v>
      </c>
      <c r="F170" s="37">
        <f>SUMIFS(Einzelbeträge!$D:$D,Einzelbeträge!$C:$C,'Ausgaben 2027'!$C170,Einzelbeträge!$E:$E,'Ausgaben 2027'!F$6)</f>
        <v>0</v>
      </c>
      <c r="G170" s="37">
        <f>SUMIFS(Einzelbeträge!$D:$D,Einzelbeträge!$C:$C,'Ausgaben 2027'!$C170,Einzelbeträge!$E:$E,'Ausgaben 2027'!G$6)</f>
        <v>0</v>
      </c>
      <c r="H170" s="37">
        <f>SUMIFS(Einzelbeträge!$D:$D,Einzelbeträge!$C:$C,'Ausgaben 2027'!$C170,Einzelbeträge!$E:$E,'Ausgaben 2027'!H$6)</f>
        <v>0</v>
      </c>
      <c r="I170" s="37">
        <f>SUMIFS(Einzelbeträge!$D:$D,Einzelbeträge!$C:$C,'Ausgaben 2027'!$C170,Einzelbeträge!$E:$E,'Ausgaben 2027'!I$6)</f>
        <v>0</v>
      </c>
      <c r="J170" s="37">
        <f>SUMIFS(Einzelbeträge!$D:$D,Einzelbeträge!$C:$C,'Ausgaben 2027'!$C170,Einzelbeträge!$E:$E,'Ausgaben 2027'!J$6)</f>
        <v>0</v>
      </c>
      <c r="K170" s="37">
        <f>SUMIFS(Einzelbeträge!$D:$D,Einzelbeträge!$C:$C,'Ausgaben 2027'!$C170,Einzelbeträge!$E:$E,'Ausgaben 2027'!K$6)</f>
        <v>0</v>
      </c>
      <c r="L170" s="37">
        <f>SUMIFS(Einzelbeträge!$D:$D,Einzelbeträge!$C:$C,'Ausgaben 2027'!$C170,Einzelbeträge!$E:$E,'Ausgaben 2027'!L$6)</f>
        <v>0</v>
      </c>
      <c r="M170" s="37">
        <f>SUMIFS(Einzelbeträge!$D:$D,Einzelbeträge!$C:$C,'Ausgaben 2027'!$C170,Einzelbeträge!$E:$E,'Ausgaben 2027'!M$6)</f>
        <v>0</v>
      </c>
      <c r="N170" s="38">
        <f>SUMIFS(Einzelbeträge!$D:$D,Einzelbeträge!$C:$C,'Ausgaben 2027'!$C170,Einzelbeträge!$E:$E,'Ausgaben 2027'!N$6)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46539</v>
      </c>
      <c r="D174" s="45">
        <f>SUMIFS(Einzelbeträge!$D:$D,Einzelbeträge!$C:$C,'Ausgaben 2027'!$C174)</f>
        <v>0</v>
      </c>
      <c r="E174" s="32">
        <f>SUMIFS(Einzelbeträge!$D:$D,Einzelbeträge!$C:$C,'Ausgaben 2027'!$C174,Einzelbeträge!$E:$E,'Ausgaben 2027'!E$6)</f>
        <v>0</v>
      </c>
      <c r="F174" s="32">
        <f>SUMIFS(Einzelbeträge!$D:$D,Einzelbeträge!$C:$C,'Ausgaben 2027'!$C174,Einzelbeträge!$E:$E,'Ausgaben 2027'!F$6)</f>
        <v>0</v>
      </c>
      <c r="G174" s="32">
        <f>SUMIFS(Einzelbeträge!$D:$D,Einzelbeträge!$C:$C,'Ausgaben 2027'!$C174,Einzelbeträge!$E:$E,'Ausgaben 2027'!G$6)</f>
        <v>0</v>
      </c>
      <c r="H174" s="32">
        <f>SUMIFS(Einzelbeträge!$D:$D,Einzelbeträge!$C:$C,'Ausgaben 2027'!$C174,Einzelbeträge!$E:$E,'Ausgaben 2027'!H$6)</f>
        <v>0</v>
      </c>
      <c r="I174" s="32">
        <f>SUMIFS(Einzelbeträge!$D:$D,Einzelbeträge!$C:$C,'Ausgaben 2027'!$C174,Einzelbeträge!$E:$E,'Ausgaben 2027'!I$6)</f>
        <v>0</v>
      </c>
      <c r="J174" s="32">
        <f>SUMIFS(Einzelbeträge!$D:$D,Einzelbeträge!$C:$C,'Ausgaben 2027'!$C174,Einzelbeträge!$E:$E,'Ausgaben 2027'!J$6)</f>
        <v>0</v>
      </c>
      <c r="K174" s="32">
        <f>SUMIFS(Einzelbeträge!$D:$D,Einzelbeträge!$C:$C,'Ausgaben 2027'!$C174,Einzelbeträge!$E:$E,'Ausgaben 2027'!K$6)</f>
        <v>0</v>
      </c>
      <c r="L174" s="32">
        <f>SUMIFS(Einzelbeträge!$D:$D,Einzelbeträge!$C:$C,'Ausgaben 2027'!$C174,Einzelbeträge!$E:$E,'Ausgaben 2027'!L$6)</f>
        <v>0</v>
      </c>
      <c r="M174" s="32">
        <f>SUMIFS(Einzelbeträge!$D:$D,Einzelbeträge!$C:$C,'Ausgaben 2027'!$C174,Einzelbeträge!$E:$E,'Ausgaben 2027'!M$6)</f>
        <v>0</v>
      </c>
      <c r="N174" s="33">
        <f>SUMIFS(Einzelbeträge!$D:$D,Einzelbeträge!$C:$C,'Ausgaben 2027'!$C174,Einzelbeträge!$E:$E,'Ausgaben 2027'!N$6)</f>
        <v>0</v>
      </c>
      <c r="O174" s="6"/>
    </row>
    <row r="175" spans="2:15" x14ac:dyDescent="0.35">
      <c r="B175" s="5"/>
      <c r="C175" s="30">
        <f>C174+1</f>
        <v>46540</v>
      </c>
      <c r="D175" s="46">
        <f>SUMIFS(Einzelbeträge!$D:$D,Einzelbeträge!$C:$C,'Ausgaben 2027'!$C175)</f>
        <v>0</v>
      </c>
      <c r="E175" s="21">
        <f>SUMIFS(Einzelbeträge!$D:$D,Einzelbeträge!$C:$C,'Ausgaben 2027'!$C175,Einzelbeträge!$E:$E,'Ausgaben 2027'!E$6)</f>
        <v>0</v>
      </c>
      <c r="F175" s="21">
        <f>SUMIFS(Einzelbeträge!$D:$D,Einzelbeträge!$C:$C,'Ausgaben 2027'!$C175,Einzelbeträge!$E:$E,'Ausgaben 2027'!F$6)</f>
        <v>0</v>
      </c>
      <c r="G175" s="21">
        <f>SUMIFS(Einzelbeträge!$D:$D,Einzelbeträge!$C:$C,'Ausgaben 2027'!$C175,Einzelbeträge!$E:$E,'Ausgaben 2027'!G$6)</f>
        <v>0</v>
      </c>
      <c r="H175" s="21">
        <f>SUMIFS(Einzelbeträge!$D:$D,Einzelbeträge!$C:$C,'Ausgaben 2027'!$C175,Einzelbeträge!$E:$E,'Ausgaben 2027'!H$6)</f>
        <v>0</v>
      </c>
      <c r="I175" s="21">
        <f>SUMIFS(Einzelbeträge!$D:$D,Einzelbeträge!$C:$C,'Ausgaben 2027'!$C175,Einzelbeträge!$E:$E,'Ausgaben 2027'!I$6)</f>
        <v>0</v>
      </c>
      <c r="J175" s="21">
        <f>SUMIFS(Einzelbeträge!$D:$D,Einzelbeträge!$C:$C,'Ausgaben 2027'!$C175,Einzelbeträge!$E:$E,'Ausgaben 2027'!J$6)</f>
        <v>0</v>
      </c>
      <c r="K175" s="21">
        <f>SUMIFS(Einzelbeträge!$D:$D,Einzelbeträge!$C:$C,'Ausgaben 2027'!$C175,Einzelbeträge!$E:$E,'Ausgaben 2027'!K$6)</f>
        <v>0</v>
      </c>
      <c r="L175" s="21">
        <f>SUMIFS(Einzelbeträge!$D:$D,Einzelbeträge!$C:$C,'Ausgaben 2027'!$C175,Einzelbeträge!$E:$E,'Ausgaben 2027'!L$6)</f>
        <v>0</v>
      </c>
      <c r="M175" s="21">
        <f>SUMIFS(Einzelbeträge!$D:$D,Einzelbeträge!$C:$C,'Ausgaben 2027'!$C175,Einzelbeträge!$E:$E,'Ausgaben 2027'!M$6)</f>
        <v>0</v>
      </c>
      <c r="N175" s="35">
        <f>SUMIFS(Einzelbeträge!$D:$D,Einzelbeträge!$C:$C,'Ausgaben 2027'!$C175,Einzelbeträge!$E:$E,'Ausgaben 2027'!N$6)</f>
        <v>0</v>
      </c>
      <c r="O175" s="6"/>
    </row>
    <row r="176" spans="2:15" x14ac:dyDescent="0.35">
      <c r="B176" s="5"/>
      <c r="C176" s="30">
        <f t="shared" ref="C176:C203" si="21">C175+1</f>
        <v>46541</v>
      </c>
      <c r="D176" s="46">
        <f>SUMIFS(Einzelbeträge!$D:$D,Einzelbeträge!$C:$C,'Ausgaben 2027'!$C176)</f>
        <v>0</v>
      </c>
      <c r="E176" s="21">
        <f>SUMIFS(Einzelbeträge!$D:$D,Einzelbeträge!$C:$C,'Ausgaben 2027'!$C176,Einzelbeträge!$E:$E,'Ausgaben 2027'!E$6)</f>
        <v>0</v>
      </c>
      <c r="F176" s="21">
        <f>SUMIFS(Einzelbeträge!$D:$D,Einzelbeträge!$C:$C,'Ausgaben 2027'!$C176,Einzelbeträge!$E:$E,'Ausgaben 2027'!F$6)</f>
        <v>0</v>
      </c>
      <c r="G176" s="21">
        <f>SUMIFS(Einzelbeträge!$D:$D,Einzelbeträge!$C:$C,'Ausgaben 2027'!$C176,Einzelbeträge!$E:$E,'Ausgaben 2027'!G$6)</f>
        <v>0</v>
      </c>
      <c r="H176" s="21">
        <f>SUMIFS(Einzelbeträge!$D:$D,Einzelbeträge!$C:$C,'Ausgaben 2027'!$C176,Einzelbeträge!$E:$E,'Ausgaben 2027'!H$6)</f>
        <v>0</v>
      </c>
      <c r="I176" s="21">
        <f>SUMIFS(Einzelbeträge!$D:$D,Einzelbeträge!$C:$C,'Ausgaben 2027'!$C176,Einzelbeträge!$E:$E,'Ausgaben 2027'!I$6)</f>
        <v>0</v>
      </c>
      <c r="J176" s="21">
        <f>SUMIFS(Einzelbeträge!$D:$D,Einzelbeträge!$C:$C,'Ausgaben 2027'!$C176,Einzelbeträge!$E:$E,'Ausgaben 2027'!J$6)</f>
        <v>0</v>
      </c>
      <c r="K176" s="21">
        <f>SUMIFS(Einzelbeträge!$D:$D,Einzelbeträge!$C:$C,'Ausgaben 2027'!$C176,Einzelbeträge!$E:$E,'Ausgaben 2027'!K$6)</f>
        <v>0</v>
      </c>
      <c r="L176" s="21">
        <f>SUMIFS(Einzelbeträge!$D:$D,Einzelbeträge!$C:$C,'Ausgaben 2027'!$C176,Einzelbeträge!$E:$E,'Ausgaben 2027'!L$6)</f>
        <v>0</v>
      </c>
      <c r="M176" s="21">
        <f>SUMIFS(Einzelbeträge!$D:$D,Einzelbeträge!$C:$C,'Ausgaben 2027'!$C176,Einzelbeträge!$E:$E,'Ausgaben 2027'!M$6)</f>
        <v>0</v>
      </c>
      <c r="N176" s="35">
        <f>SUMIFS(Einzelbeträge!$D:$D,Einzelbeträge!$C:$C,'Ausgaben 2027'!$C176,Einzelbeträge!$E:$E,'Ausgaben 2027'!N$6)</f>
        <v>0</v>
      </c>
      <c r="O176" s="6"/>
    </row>
    <row r="177" spans="2:15" x14ac:dyDescent="0.35">
      <c r="B177" s="5"/>
      <c r="C177" s="30">
        <f t="shared" si="21"/>
        <v>46542</v>
      </c>
      <c r="D177" s="46">
        <f>SUMIFS(Einzelbeträge!$D:$D,Einzelbeträge!$C:$C,'Ausgaben 2027'!$C177)</f>
        <v>0</v>
      </c>
      <c r="E177" s="21">
        <f>SUMIFS(Einzelbeträge!$D:$D,Einzelbeträge!$C:$C,'Ausgaben 2027'!$C177,Einzelbeträge!$E:$E,'Ausgaben 2027'!E$6)</f>
        <v>0</v>
      </c>
      <c r="F177" s="21">
        <f>SUMIFS(Einzelbeträge!$D:$D,Einzelbeträge!$C:$C,'Ausgaben 2027'!$C177,Einzelbeträge!$E:$E,'Ausgaben 2027'!F$6)</f>
        <v>0</v>
      </c>
      <c r="G177" s="21">
        <f>SUMIFS(Einzelbeträge!$D:$D,Einzelbeträge!$C:$C,'Ausgaben 2027'!$C177,Einzelbeträge!$E:$E,'Ausgaben 2027'!G$6)</f>
        <v>0</v>
      </c>
      <c r="H177" s="21">
        <f>SUMIFS(Einzelbeträge!$D:$D,Einzelbeträge!$C:$C,'Ausgaben 2027'!$C177,Einzelbeträge!$E:$E,'Ausgaben 2027'!H$6)</f>
        <v>0</v>
      </c>
      <c r="I177" s="21">
        <f>SUMIFS(Einzelbeträge!$D:$D,Einzelbeträge!$C:$C,'Ausgaben 2027'!$C177,Einzelbeträge!$E:$E,'Ausgaben 2027'!I$6)</f>
        <v>0</v>
      </c>
      <c r="J177" s="21">
        <f>SUMIFS(Einzelbeträge!$D:$D,Einzelbeträge!$C:$C,'Ausgaben 2027'!$C177,Einzelbeträge!$E:$E,'Ausgaben 2027'!J$6)</f>
        <v>0</v>
      </c>
      <c r="K177" s="21">
        <f>SUMIFS(Einzelbeträge!$D:$D,Einzelbeträge!$C:$C,'Ausgaben 2027'!$C177,Einzelbeträge!$E:$E,'Ausgaben 2027'!K$6)</f>
        <v>0</v>
      </c>
      <c r="L177" s="21">
        <f>SUMIFS(Einzelbeträge!$D:$D,Einzelbeträge!$C:$C,'Ausgaben 2027'!$C177,Einzelbeträge!$E:$E,'Ausgaben 2027'!L$6)</f>
        <v>0</v>
      </c>
      <c r="M177" s="21">
        <f>SUMIFS(Einzelbeträge!$D:$D,Einzelbeträge!$C:$C,'Ausgaben 2027'!$C177,Einzelbeträge!$E:$E,'Ausgaben 2027'!M$6)</f>
        <v>0</v>
      </c>
      <c r="N177" s="35">
        <f>SUMIFS(Einzelbeträge!$D:$D,Einzelbeträge!$C:$C,'Ausgaben 2027'!$C177,Einzelbeträge!$E:$E,'Ausgaben 2027'!N$6)</f>
        <v>0</v>
      </c>
      <c r="O177" s="6"/>
    </row>
    <row r="178" spans="2:15" x14ac:dyDescent="0.35">
      <c r="B178" s="5"/>
      <c r="C178" s="30">
        <f t="shared" si="21"/>
        <v>46543</v>
      </c>
      <c r="D178" s="46">
        <f>SUMIFS(Einzelbeträge!$D:$D,Einzelbeträge!$C:$C,'Ausgaben 2027'!$C178)</f>
        <v>0</v>
      </c>
      <c r="E178" s="21">
        <f>SUMIFS(Einzelbeträge!$D:$D,Einzelbeträge!$C:$C,'Ausgaben 2027'!$C178,Einzelbeträge!$E:$E,'Ausgaben 2027'!E$6)</f>
        <v>0</v>
      </c>
      <c r="F178" s="21">
        <f>SUMIFS(Einzelbeträge!$D:$D,Einzelbeträge!$C:$C,'Ausgaben 2027'!$C178,Einzelbeträge!$E:$E,'Ausgaben 2027'!F$6)</f>
        <v>0</v>
      </c>
      <c r="G178" s="21">
        <f>SUMIFS(Einzelbeträge!$D:$D,Einzelbeträge!$C:$C,'Ausgaben 2027'!$C178,Einzelbeträge!$E:$E,'Ausgaben 2027'!G$6)</f>
        <v>0</v>
      </c>
      <c r="H178" s="21">
        <f>SUMIFS(Einzelbeträge!$D:$D,Einzelbeträge!$C:$C,'Ausgaben 2027'!$C178,Einzelbeträge!$E:$E,'Ausgaben 2027'!H$6)</f>
        <v>0</v>
      </c>
      <c r="I178" s="21">
        <f>SUMIFS(Einzelbeträge!$D:$D,Einzelbeträge!$C:$C,'Ausgaben 2027'!$C178,Einzelbeträge!$E:$E,'Ausgaben 2027'!I$6)</f>
        <v>0</v>
      </c>
      <c r="J178" s="21">
        <f>SUMIFS(Einzelbeträge!$D:$D,Einzelbeträge!$C:$C,'Ausgaben 2027'!$C178,Einzelbeträge!$E:$E,'Ausgaben 2027'!J$6)</f>
        <v>0</v>
      </c>
      <c r="K178" s="21">
        <f>SUMIFS(Einzelbeträge!$D:$D,Einzelbeträge!$C:$C,'Ausgaben 2027'!$C178,Einzelbeträge!$E:$E,'Ausgaben 2027'!K$6)</f>
        <v>0</v>
      </c>
      <c r="L178" s="21">
        <f>SUMIFS(Einzelbeträge!$D:$D,Einzelbeträge!$C:$C,'Ausgaben 2027'!$C178,Einzelbeträge!$E:$E,'Ausgaben 2027'!L$6)</f>
        <v>0</v>
      </c>
      <c r="M178" s="21">
        <f>SUMIFS(Einzelbeträge!$D:$D,Einzelbeträge!$C:$C,'Ausgaben 2027'!$C178,Einzelbeträge!$E:$E,'Ausgaben 2027'!M$6)</f>
        <v>0</v>
      </c>
      <c r="N178" s="35">
        <f>SUMIFS(Einzelbeträge!$D:$D,Einzelbeträge!$C:$C,'Ausgaben 2027'!$C178,Einzelbeträge!$E:$E,'Ausgaben 2027'!N$6)</f>
        <v>0</v>
      </c>
      <c r="O178" s="6"/>
    </row>
    <row r="179" spans="2:15" x14ac:dyDescent="0.35">
      <c r="B179" s="5"/>
      <c r="C179" s="30">
        <f t="shared" si="21"/>
        <v>46544</v>
      </c>
      <c r="D179" s="46">
        <f>SUMIFS(Einzelbeträge!$D:$D,Einzelbeträge!$C:$C,'Ausgaben 2027'!$C179)</f>
        <v>0</v>
      </c>
      <c r="E179" s="21">
        <f>SUMIFS(Einzelbeträge!$D:$D,Einzelbeträge!$C:$C,'Ausgaben 2027'!$C179,Einzelbeträge!$E:$E,'Ausgaben 2027'!E$6)</f>
        <v>0</v>
      </c>
      <c r="F179" s="21">
        <f>SUMIFS(Einzelbeträge!$D:$D,Einzelbeträge!$C:$C,'Ausgaben 2027'!$C179,Einzelbeträge!$E:$E,'Ausgaben 2027'!F$6)</f>
        <v>0</v>
      </c>
      <c r="G179" s="21">
        <f>SUMIFS(Einzelbeträge!$D:$D,Einzelbeträge!$C:$C,'Ausgaben 2027'!$C179,Einzelbeträge!$E:$E,'Ausgaben 2027'!G$6)</f>
        <v>0</v>
      </c>
      <c r="H179" s="21">
        <f>SUMIFS(Einzelbeträge!$D:$D,Einzelbeträge!$C:$C,'Ausgaben 2027'!$C179,Einzelbeträge!$E:$E,'Ausgaben 2027'!H$6)</f>
        <v>0</v>
      </c>
      <c r="I179" s="21">
        <f>SUMIFS(Einzelbeträge!$D:$D,Einzelbeträge!$C:$C,'Ausgaben 2027'!$C179,Einzelbeträge!$E:$E,'Ausgaben 2027'!I$6)</f>
        <v>0</v>
      </c>
      <c r="J179" s="21">
        <f>SUMIFS(Einzelbeträge!$D:$D,Einzelbeträge!$C:$C,'Ausgaben 2027'!$C179,Einzelbeträge!$E:$E,'Ausgaben 2027'!J$6)</f>
        <v>0</v>
      </c>
      <c r="K179" s="21">
        <f>SUMIFS(Einzelbeträge!$D:$D,Einzelbeträge!$C:$C,'Ausgaben 2027'!$C179,Einzelbeträge!$E:$E,'Ausgaben 2027'!K$6)</f>
        <v>0</v>
      </c>
      <c r="L179" s="21">
        <f>SUMIFS(Einzelbeträge!$D:$D,Einzelbeträge!$C:$C,'Ausgaben 2027'!$C179,Einzelbeträge!$E:$E,'Ausgaben 2027'!L$6)</f>
        <v>0</v>
      </c>
      <c r="M179" s="21">
        <f>SUMIFS(Einzelbeträge!$D:$D,Einzelbeträge!$C:$C,'Ausgaben 2027'!$C179,Einzelbeträge!$E:$E,'Ausgaben 2027'!M$6)</f>
        <v>0</v>
      </c>
      <c r="N179" s="35">
        <f>SUMIFS(Einzelbeträge!$D:$D,Einzelbeträge!$C:$C,'Ausgaben 2027'!$C179,Einzelbeträge!$E:$E,'Ausgaben 2027'!N$6)</f>
        <v>0</v>
      </c>
      <c r="O179" s="6"/>
    </row>
    <row r="180" spans="2:15" x14ac:dyDescent="0.35">
      <c r="B180" s="5"/>
      <c r="C180" s="30">
        <f t="shared" si="21"/>
        <v>46545</v>
      </c>
      <c r="D180" s="46">
        <f>SUMIFS(Einzelbeträge!$D:$D,Einzelbeträge!$C:$C,'Ausgaben 2027'!$C180)</f>
        <v>0</v>
      </c>
      <c r="E180" s="21">
        <f>SUMIFS(Einzelbeträge!$D:$D,Einzelbeträge!$C:$C,'Ausgaben 2027'!$C180,Einzelbeträge!$E:$E,'Ausgaben 2027'!E$6)</f>
        <v>0</v>
      </c>
      <c r="F180" s="21">
        <f>SUMIFS(Einzelbeträge!$D:$D,Einzelbeträge!$C:$C,'Ausgaben 2027'!$C180,Einzelbeträge!$E:$E,'Ausgaben 2027'!F$6)</f>
        <v>0</v>
      </c>
      <c r="G180" s="21">
        <f>SUMIFS(Einzelbeträge!$D:$D,Einzelbeträge!$C:$C,'Ausgaben 2027'!$C180,Einzelbeträge!$E:$E,'Ausgaben 2027'!G$6)</f>
        <v>0</v>
      </c>
      <c r="H180" s="21">
        <f>SUMIFS(Einzelbeträge!$D:$D,Einzelbeträge!$C:$C,'Ausgaben 2027'!$C180,Einzelbeträge!$E:$E,'Ausgaben 2027'!H$6)</f>
        <v>0</v>
      </c>
      <c r="I180" s="21">
        <f>SUMIFS(Einzelbeträge!$D:$D,Einzelbeträge!$C:$C,'Ausgaben 2027'!$C180,Einzelbeträge!$E:$E,'Ausgaben 2027'!I$6)</f>
        <v>0</v>
      </c>
      <c r="J180" s="21">
        <f>SUMIFS(Einzelbeträge!$D:$D,Einzelbeträge!$C:$C,'Ausgaben 2027'!$C180,Einzelbeträge!$E:$E,'Ausgaben 2027'!J$6)</f>
        <v>0</v>
      </c>
      <c r="K180" s="21">
        <f>SUMIFS(Einzelbeträge!$D:$D,Einzelbeträge!$C:$C,'Ausgaben 2027'!$C180,Einzelbeträge!$E:$E,'Ausgaben 2027'!K$6)</f>
        <v>0</v>
      </c>
      <c r="L180" s="21">
        <f>SUMIFS(Einzelbeträge!$D:$D,Einzelbeträge!$C:$C,'Ausgaben 2027'!$C180,Einzelbeträge!$E:$E,'Ausgaben 2027'!L$6)</f>
        <v>0</v>
      </c>
      <c r="M180" s="21">
        <f>SUMIFS(Einzelbeträge!$D:$D,Einzelbeträge!$C:$C,'Ausgaben 2027'!$C180,Einzelbeträge!$E:$E,'Ausgaben 2027'!M$6)</f>
        <v>0</v>
      </c>
      <c r="N180" s="35">
        <f>SUMIFS(Einzelbeträge!$D:$D,Einzelbeträge!$C:$C,'Ausgaben 2027'!$C180,Einzelbeträge!$E:$E,'Ausgaben 2027'!N$6)</f>
        <v>0</v>
      </c>
      <c r="O180" s="6"/>
    </row>
    <row r="181" spans="2:15" x14ac:dyDescent="0.35">
      <c r="B181" s="5"/>
      <c r="C181" s="30">
        <f t="shared" si="21"/>
        <v>46546</v>
      </c>
      <c r="D181" s="46">
        <f>SUMIFS(Einzelbeträge!$D:$D,Einzelbeträge!$C:$C,'Ausgaben 2027'!$C181)</f>
        <v>0</v>
      </c>
      <c r="E181" s="21">
        <f>SUMIFS(Einzelbeträge!$D:$D,Einzelbeträge!$C:$C,'Ausgaben 2027'!$C181,Einzelbeträge!$E:$E,'Ausgaben 2027'!E$6)</f>
        <v>0</v>
      </c>
      <c r="F181" s="21">
        <f>SUMIFS(Einzelbeträge!$D:$D,Einzelbeträge!$C:$C,'Ausgaben 2027'!$C181,Einzelbeträge!$E:$E,'Ausgaben 2027'!F$6)</f>
        <v>0</v>
      </c>
      <c r="G181" s="21">
        <f>SUMIFS(Einzelbeträge!$D:$D,Einzelbeträge!$C:$C,'Ausgaben 2027'!$C181,Einzelbeträge!$E:$E,'Ausgaben 2027'!G$6)</f>
        <v>0</v>
      </c>
      <c r="H181" s="21">
        <f>SUMIFS(Einzelbeträge!$D:$D,Einzelbeträge!$C:$C,'Ausgaben 2027'!$C181,Einzelbeträge!$E:$E,'Ausgaben 2027'!H$6)</f>
        <v>0</v>
      </c>
      <c r="I181" s="21">
        <f>SUMIFS(Einzelbeträge!$D:$D,Einzelbeträge!$C:$C,'Ausgaben 2027'!$C181,Einzelbeträge!$E:$E,'Ausgaben 2027'!I$6)</f>
        <v>0</v>
      </c>
      <c r="J181" s="21">
        <f>SUMIFS(Einzelbeträge!$D:$D,Einzelbeträge!$C:$C,'Ausgaben 2027'!$C181,Einzelbeträge!$E:$E,'Ausgaben 2027'!J$6)</f>
        <v>0</v>
      </c>
      <c r="K181" s="21">
        <f>SUMIFS(Einzelbeträge!$D:$D,Einzelbeträge!$C:$C,'Ausgaben 2027'!$C181,Einzelbeträge!$E:$E,'Ausgaben 2027'!K$6)</f>
        <v>0</v>
      </c>
      <c r="L181" s="21">
        <f>SUMIFS(Einzelbeträge!$D:$D,Einzelbeträge!$C:$C,'Ausgaben 2027'!$C181,Einzelbeträge!$E:$E,'Ausgaben 2027'!L$6)</f>
        <v>0</v>
      </c>
      <c r="M181" s="21">
        <f>SUMIFS(Einzelbeträge!$D:$D,Einzelbeträge!$C:$C,'Ausgaben 2027'!$C181,Einzelbeträge!$E:$E,'Ausgaben 2027'!M$6)</f>
        <v>0</v>
      </c>
      <c r="N181" s="35">
        <f>SUMIFS(Einzelbeträge!$D:$D,Einzelbeträge!$C:$C,'Ausgaben 2027'!$C181,Einzelbeträge!$E:$E,'Ausgaben 2027'!N$6)</f>
        <v>0</v>
      </c>
      <c r="O181" s="6"/>
    </row>
    <row r="182" spans="2:15" x14ac:dyDescent="0.35">
      <c r="B182" s="5"/>
      <c r="C182" s="30">
        <f t="shared" si="21"/>
        <v>46547</v>
      </c>
      <c r="D182" s="46">
        <f>SUMIFS(Einzelbeträge!$D:$D,Einzelbeträge!$C:$C,'Ausgaben 2027'!$C182)</f>
        <v>0</v>
      </c>
      <c r="E182" s="21">
        <f>SUMIFS(Einzelbeträge!$D:$D,Einzelbeträge!$C:$C,'Ausgaben 2027'!$C182,Einzelbeträge!$E:$E,'Ausgaben 2027'!E$6)</f>
        <v>0</v>
      </c>
      <c r="F182" s="21">
        <f>SUMIFS(Einzelbeträge!$D:$D,Einzelbeträge!$C:$C,'Ausgaben 2027'!$C182,Einzelbeträge!$E:$E,'Ausgaben 2027'!F$6)</f>
        <v>0</v>
      </c>
      <c r="G182" s="21">
        <f>SUMIFS(Einzelbeträge!$D:$D,Einzelbeträge!$C:$C,'Ausgaben 2027'!$C182,Einzelbeträge!$E:$E,'Ausgaben 2027'!G$6)</f>
        <v>0</v>
      </c>
      <c r="H182" s="21">
        <f>SUMIFS(Einzelbeträge!$D:$D,Einzelbeträge!$C:$C,'Ausgaben 2027'!$C182,Einzelbeträge!$E:$E,'Ausgaben 2027'!H$6)</f>
        <v>0</v>
      </c>
      <c r="I182" s="21">
        <f>SUMIFS(Einzelbeträge!$D:$D,Einzelbeträge!$C:$C,'Ausgaben 2027'!$C182,Einzelbeträge!$E:$E,'Ausgaben 2027'!I$6)</f>
        <v>0</v>
      </c>
      <c r="J182" s="21">
        <f>SUMIFS(Einzelbeträge!$D:$D,Einzelbeträge!$C:$C,'Ausgaben 2027'!$C182,Einzelbeträge!$E:$E,'Ausgaben 2027'!J$6)</f>
        <v>0</v>
      </c>
      <c r="K182" s="21">
        <f>SUMIFS(Einzelbeträge!$D:$D,Einzelbeträge!$C:$C,'Ausgaben 2027'!$C182,Einzelbeträge!$E:$E,'Ausgaben 2027'!K$6)</f>
        <v>0</v>
      </c>
      <c r="L182" s="21">
        <f>SUMIFS(Einzelbeträge!$D:$D,Einzelbeträge!$C:$C,'Ausgaben 2027'!$C182,Einzelbeträge!$E:$E,'Ausgaben 2027'!L$6)</f>
        <v>0</v>
      </c>
      <c r="M182" s="21">
        <f>SUMIFS(Einzelbeträge!$D:$D,Einzelbeträge!$C:$C,'Ausgaben 2027'!$C182,Einzelbeträge!$E:$E,'Ausgaben 2027'!M$6)</f>
        <v>0</v>
      </c>
      <c r="N182" s="35">
        <f>SUMIFS(Einzelbeträge!$D:$D,Einzelbeträge!$C:$C,'Ausgaben 2027'!$C182,Einzelbeträge!$E:$E,'Ausgaben 2027'!N$6)</f>
        <v>0</v>
      </c>
      <c r="O182" s="6"/>
    </row>
    <row r="183" spans="2:15" x14ac:dyDescent="0.35">
      <c r="B183" s="5"/>
      <c r="C183" s="30">
        <f t="shared" si="21"/>
        <v>46548</v>
      </c>
      <c r="D183" s="46">
        <f>SUMIFS(Einzelbeträge!$D:$D,Einzelbeträge!$C:$C,'Ausgaben 2027'!$C183)</f>
        <v>0</v>
      </c>
      <c r="E183" s="21">
        <f>SUMIFS(Einzelbeträge!$D:$D,Einzelbeträge!$C:$C,'Ausgaben 2027'!$C183,Einzelbeträge!$E:$E,'Ausgaben 2027'!E$6)</f>
        <v>0</v>
      </c>
      <c r="F183" s="21">
        <f>SUMIFS(Einzelbeträge!$D:$D,Einzelbeträge!$C:$C,'Ausgaben 2027'!$C183,Einzelbeträge!$E:$E,'Ausgaben 2027'!F$6)</f>
        <v>0</v>
      </c>
      <c r="G183" s="21">
        <f>SUMIFS(Einzelbeträge!$D:$D,Einzelbeträge!$C:$C,'Ausgaben 2027'!$C183,Einzelbeträge!$E:$E,'Ausgaben 2027'!G$6)</f>
        <v>0</v>
      </c>
      <c r="H183" s="21">
        <f>SUMIFS(Einzelbeträge!$D:$D,Einzelbeträge!$C:$C,'Ausgaben 2027'!$C183,Einzelbeträge!$E:$E,'Ausgaben 2027'!H$6)</f>
        <v>0</v>
      </c>
      <c r="I183" s="21">
        <f>SUMIFS(Einzelbeträge!$D:$D,Einzelbeträge!$C:$C,'Ausgaben 2027'!$C183,Einzelbeträge!$E:$E,'Ausgaben 2027'!I$6)</f>
        <v>0</v>
      </c>
      <c r="J183" s="21">
        <f>SUMIFS(Einzelbeträge!$D:$D,Einzelbeträge!$C:$C,'Ausgaben 2027'!$C183,Einzelbeträge!$E:$E,'Ausgaben 2027'!J$6)</f>
        <v>0</v>
      </c>
      <c r="K183" s="21">
        <f>SUMIFS(Einzelbeträge!$D:$D,Einzelbeträge!$C:$C,'Ausgaben 2027'!$C183,Einzelbeträge!$E:$E,'Ausgaben 2027'!K$6)</f>
        <v>0</v>
      </c>
      <c r="L183" s="21">
        <f>SUMIFS(Einzelbeträge!$D:$D,Einzelbeträge!$C:$C,'Ausgaben 2027'!$C183,Einzelbeträge!$E:$E,'Ausgaben 2027'!L$6)</f>
        <v>0</v>
      </c>
      <c r="M183" s="21">
        <f>SUMIFS(Einzelbeträge!$D:$D,Einzelbeträge!$C:$C,'Ausgaben 2027'!$C183,Einzelbeträge!$E:$E,'Ausgaben 2027'!M$6)</f>
        <v>0</v>
      </c>
      <c r="N183" s="35">
        <f>SUMIFS(Einzelbeträge!$D:$D,Einzelbeträge!$C:$C,'Ausgaben 2027'!$C183,Einzelbeträge!$E:$E,'Ausgaben 2027'!N$6)</f>
        <v>0</v>
      </c>
      <c r="O183" s="6"/>
    </row>
    <row r="184" spans="2:15" x14ac:dyDescent="0.35">
      <c r="B184" s="5"/>
      <c r="C184" s="30">
        <f t="shared" si="21"/>
        <v>46549</v>
      </c>
      <c r="D184" s="46">
        <f>SUMIFS(Einzelbeträge!$D:$D,Einzelbeträge!$C:$C,'Ausgaben 2027'!$C184)</f>
        <v>0</v>
      </c>
      <c r="E184" s="21">
        <f>SUMIFS(Einzelbeträge!$D:$D,Einzelbeträge!$C:$C,'Ausgaben 2027'!$C184,Einzelbeträge!$E:$E,'Ausgaben 2027'!E$6)</f>
        <v>0</v>
      </c>
      <c r="F184" s="21">
        <f>SUMIFS(Einzelbeträge!$D:$D,Einzelbeträge!$C:$C,'Ausgaben 2027'!$C184,Einzelbeträge!$E:$E,'Ausgaben 2027'!F$6)</f>
        <v>0</v>
      </c>
      <c r="G184" s="21">
        <f>SUMIFS(Einzelbeträge!$D:$D,Einzelbeträge!$C:$C,'Ausgaben 2027'!$C184,Einzelbeträge!$E:$E,'Ausgaben 2027'!G$6)</f>
        <v>0</v>
      </c>
      <c r="H184" s="21">
        <f>SUMIFS(Einzelbeträge!$D:$D,Einzelbeträge!$C:$C,'Ausgaben 2027'!$C184,Einzelbeträge!$E:$E,'Ausgaben 2027'!H$6)</f>
        <v>0</v>
      </c>
      <c r="I184" s="21">
        <f>SUMIFS(Einzelbeträge!$D:$D,Einzelbeträge!$C:$C,'Ausgaben 2027'!$C184,Einzelbeträge!$E:$E,'Ausgaben 2027'!I$6)</f>
        <v>0</v>
      </c>
      <c r="J184" s="21">
        <f>SUMIFS(Einzelbeträge!$D:$D,Einzelbeträge!$C:$C,'Ausgaben 2027'!$C184,Einzelbeträge!$E:$E,'Ausgaben 2027'!J$6)</f>
        <v>0</v>
      </c>
      <c r="K184" s="21">
        <f>SUMIFS(Einzelbeträge!$D:$D,Einzelbeträge!$C:$C,'Ausgaben 2027'!$C184,Einzelbeträge!$E:$E,'Ausgaben 2027'!K$6)</f>
        <v>0</v>
      </c>
      <c r="L184" s="21">
        <f>SUMIFS(Einzelbeträge!$D:$D,Einzelbeträge!$C:$C,'Ausgaben 2027'!$C184,Einzelbeträge!$E:$E,'Ausgaben 2027'!L$6)</f>
        <v>0</v>
      </c>
      <c r="M184" s="21">
        <f>SUMIFS(Einzelbeträge!$D:$D,Einzelbeträge!$C:$C,'Ausgaben 2027'!$C184,Einzelbeträge!$E:$E,'Ausgaben 2027'!M$6)</f>
        <v>0</v>
      </c>
      <c r="N184" s="35">
        <f>SUMIFS(Einzelbeträge!$D:$D,Einzelbeträge!$C:$C,'Ausgaben 2027'!$C184,Einzelbeträge!$E:$E,'Ausgaben 2027'!N$6)</f>
        <v>0</v>
      </c>
      <c r="O184" s="6"/>
    </row>
    <row r="185" spans="2:15" x14ac:dyDescent="0.35">
      <c r="B185" s="5"/>
      <c r="C185" s="30">
        <f t="shared" si="21"/>
        <v>46550</v>
      </c>
      <c r="D185" s="46">
        <f>SUMIFS(Einzelbeträge!$D:$D,Einzelbeträge!$C:$C,'Ausgaben 2027'!$C185)</f>
        <v>0</v>
      </c>
      <c r="E185" s="21">
        <f>SUMIFS(Einzelbeträge!$D:$D,Einzelbeträge!$C:$C,'Ausgaben 2027'!$C185,Einzelbeträge!$E:$E,'Ausgaben 2027'!E$6)</f>
        <v>0</v>
      </c>
      <c r="F185" s="21">
        <f>SUMIFS(Einzelbeträge!$D:$D,Einzelbeträge!$C:$C,'Ausgaben 2027'!$C185,Einzelbeträge!$E:$E,'Ausgaben 2027'!F$6)</f>
        <v>0</v>
      </c>
      <c r="G185" s="21">
        <f>SUMIFS(Einzelbeträge!$D:$D,Einzelbeträge!$C:$C,'Ausgaben 2027'!$C185,Einzelbeträge!$E:$E,'Ausgaben 2027'!G$6)</f>
        <v>0</v>
      </c>
      <c r="H185" s="21">
        <f>SUMIFS(Einzelbeträge!$D:$D,Einzelbeträge!$C:$C,'Ausgaben 2027'!$C185,Einzelbeträge!$E:$E,'Ausgaben 2027'!H$6)</f>
        <v>0</v>
      </c>
      <c r="I185" s="21">
        <f>SUMIFS(Einzelbeträge!$D:$D,Einzelbeträge!$C:$C,'Ausgaben 2027'!$C185,Einzelbeträge!$E:$E,'Ausgaben 2027'!I$6)</f>
        <v>0</v>
      </c>
      <c r="J185" s="21">
        <f>SUMIFS(Einzelbeträge!$D:$D,Einzelbeträge!$C:$C,'Ausgaben 2027'!$C185,Einzelbeträge!$E:$E,'Ausgaben 2027'!J$6)</f>
        <v>0</v>
      </c>
      <c r="K185" s="21">
        <f>SUMIFS(Einzelbeträge!$D:$D,Einzelbeträge!$C:$C,'Ausgaben 2027'!$C185,Einzelbeträge!$E:$E,'Ausgaben 2027'!K$6)</f>
        <v>0</v>
      </c>
      <c r="L185" s="21">
        <f>SUMIFS(Einzelbeträge!$D:$D,Einzelbeträge!$C:$C,'Ausgaben 2027'!$C185,Einzelbeträge!$E:$E,'Ausgaben 2027'!L$6)</f>
        <v>0</v>
      </c>
      <c r="M185" s="21">
        <f>SUMIFS(Einzelbeträge!$D:$D,Einzelbeträge!$C:$C,'Ausgaben 2027'!$C185,Einzelbeträge!$E:$E,'Ausgaben 2027'!M$6)</f>
        <v>0</v>
      </c>
      <c r="N185" s="35">
        <f>SUMIFS(Einzelbeträge!$D:$D,Einzelbeträge!$C:$C,'Ausgaben 2027'!$C185,Einzelbeträge!$E:$E,'Ausgaben 2027'!N$6)</f>
        <v>0</v>
      </c>
      <c r="O185" s="6"/>
    </row>
    <row r="186" spans="2:15" x14ac:dyDescent="0.35">
      <c r="B186" s="5"/>
      <c r="C186" s="30">
        <f t="shared" si="21"/>
        <v>46551</v>
      </c>
      <c r="D186" s="46">
        <f>SUMIFS(Einzelbeträge!$D:$D,Einzelbeträge!$C:$C,'Ausgaben 2027'!$C186)</f>
        <v>0</v>
      </c>
      <c r="E186" s="21">
        <f>SUMIFS(Einzelbeträge!$D:$D,Einzelbeträge!$C:$C,'Ausgaben 2027'!$C186,Einzelbeträge!$E:$E,'Ausgaben 2027'!E$6)</f>
        <v>0</v>
      </c>
      <c r="F186" s="21">
        <f>SUMIFS(Einzelbeträge!$D:$D,Einzelbeträge!$C:$C,'Ausgaben 2027'!$C186,Einzelbeträge!$E:$E,'Ausgaben 2027'!F$6)</f>
        <v>0</v>
      </c>
      <c r="G186" s="21">
        <f>SUMIFS(Einzelbeträge!$D:$D,Einzelbeträge!$C:$C,'Ausgaben 2027'!$C186,Einzelbeträge!$E:$E,'Ausgaben 2027'!G$6)</f>
        <v>0</v>
      </c>
      <c r="H186" s="21">
        <f>SUMIFS(Einzelbeträge!$D:$D,Einzelbeträge!$C:$C,'Ausgaben 2027'!$C186,Einzelbeträge!$E:$E,'Ausgaben 2027'!H$6)</f>
        <v>0</v>
      </c>
      <c r="I186" s="21">
        <f>SUMIFS(Einzelbeträge!$D:$D,Einzelbeträge!$C:$C,'Ausgaben 2027'!$C186,Einzelbeträge!$E:$E,'Ausgaben 2027'!I$6)</f>
        <v>0</v>
      </c>
      <c r="J186" s="21">
        <f>SUMIFS(Einzelbeträge!$D:$D,Einzelbeträge!$C:$C,'Ausgaben 2027'!$C186,Einzelbeträge!$E:$E,'Ausgaben 2027'!J$6)</f>
        <v>0</v>
      </c>
      <c r="K186" s="21">
        <f>SUMIFS(Einzelbeträge!$D:$D,Einzelbeträge!$C:$C,'Ausgaben 2027'!$C186,Einzelbeträge!$E:$E,'Ausgaben 2027'!K$6)</f>
        <v>0</v>
      </c>
      <c r="L186" s="21">
        <f>SUMIFS(Einzelbeträge!$D:$D,Einzelbeträge!$C:$C,'Ausgaben 2027'!$C186,Einzelbeträge!$E:$E,'Ausgaben 2027'!L$6)</f>
        <v>0</v>
      </c>
      <c r="M186" s="21">
        <f>SUMIFS(Einzelbeträge!$D:$D,Einzelbeträge!$C:$C,'Ausgaben 2027'!$C186,Einzelbeträge!$E:$E,'Ausgaben 2027'!M$6)</f>
        <v>0</v>
      </c>
      <c r="N186" s="35">
        <f>SUMIFS(Einzelbeträge!$D:$D,Einzelbeträge!$C:$C,'Ausgaben 2027'!$C186,Einzelbeträge!$E:$E,'Ausgaben 2027'!N$6)</f>
        <v>0</v>
      </c>
      <c r="O186" s="6"/>
    </row>
    <row r="187" spans="2:15" x14ac:dyDescent="0.35">
      <c r="B187" s="5"/>
      <c r="C187" s="30">
        <f t="shared" si="21"/>
        <v>46552</v>
      </c>
      <c r="D187" s="46">
        <f>SUMIFS(Einzelbeträge!$D:$D,Einzelbeträge!$C:$C,'Ausgaben 2027'!$C187)</f>
        <v>0</v>
      </c>
      <c r="E187" s="21">
        <f>SUMIFS(Einzelbeträge!$D:$D,Einzelbeträge!$C:$C,'Ausgaben 2027'!$C187,Einzelbeträge!$E:$E,'Ausgaben 2027'!E$6)</f>
        <v>0</v>
      </c>
      <c r="F187" s="21">
        <f>SUMIFS(Einzelbeträge!$D:$D,Einzelbeträge!$C:$C,'Ausgaben 2027'!$C187,Einzelbeträge!$E:$E,'Ausgaben 2027'!F$6)</f>
        <v>0</v>
      </c>
      <c r="G187" s="21">
        <f>SUMIFS(Einzelbeträge!$D:$D,Einzelbeträge!$C:$C,'Ausgaben 2027'!$C187,Einzelbeträge!$E:$E,'Ausgaben 2027'!G$6)</f>
        <v>0</v>
      </c>
      <c r="H187" s="21">
        <f>SUMIFS(Einzelbeträge!$D:$D,Einzelbeträge!$C:$C,'Ausgaben 2027'!$C187,Einzelbeträge!$E:$E,'Ausgaben 2027'!H$6)</f>
        <v>0</v>
      </c>
      <c r="I187" s="21">
        <f>SUMIFS(Einzelbeträge!$D:$D,Einzelbeträge!$C:$C,'Ausgaben 2027'!$C187,Einzelbeträge!$E:$E,'Ausgaben 2027'!I$6)</f>
        <v>0</v>
      </c>
      <c r="J187" s="21">
        <f>SUMIFS(Einzelbeträge!$D:$D,Einzelbeträge!$C:$C,'Ausgaben 2027'!$C187,Einzelbeträge!$E:$E,'Ausgaben 2027'!J$6)</f>
        <v>0</v>
      </c>
      <c r="K187" s="21">
        <f>SUMIFS(Einzelbeträge!$D:$D,Einzelbeträge!$C:$C,'Ausgaben 2027'!$C187,Einzelbeträge!$E:$E,'Ausgaben 2027'!K$6)</f>
        <v>0</v>
      </c>
      <c r="L187" s="21">
        <f>SUMIFS(Einzelbeträge!$D:$D,Einzelbeträge!$C:$C,'Ausgaben 2027'!$C187,Einzelbeträge!$E:$E,'Ausgaben 2027'!L$6)</f>
        <v>0</v>
      </c>
      <c r="M187" s="21">
        <f>SUMIFS(Einzelbeträge!$D:$D,Einzelbeträge!$C:$C,'Ausgaben 2027'!$C187,Einzelbeträge!$E:$E,'Ausgaben 2027'!M$6)</f>
        <v>0</v>
      </c>
      <c r="N187" s="35">
        <f>SUMIFS(Einzelbeträge!$D:$D,Einzelbeträge!$C:$C,'Ausgaben 2027'!$C187,Einzelbeträge!$E:$E,'Ausgaben 2027'!N$6)</f>
        <v>0</v>
      </c>
      <c r="O187" s="6"/>
    </row>
    <row r="188" spans="2:15" x14ac:dyDescent="0.35">
      <c r="B188" s="5"/>
      <c r="C188" s="30">
        <f t="shared" si="21"/>
        <v>46553</v>
      </c>
      <c r="D188" s="46">
        <f>SUMIFS(Einzelbeträge!$D:$D,Einzelbeträge!$C:$C,'Ausgaben 2027'!$C188)</f>
        <v>0</v>
      </c>
      <c r="E188" s="21">
        <f>SUMIFS(Einzelbeträge!$D:$D,Einzelbeträge!$C:$C,'Ausgaben 2027'!$C188,Einzelbeträge!$E:$E,'Ausgaben 2027'!E$6)</f>
        <v>0</v>
      </c>
      <c r="F188" s="21">
        <f>SUMIFS(Einzelbeträge!$D:$D,Einzelbeträge!$C:$C,'Ausgaben 2027'!$C188,Einzelbeträge!$E:$E,'Ausgaben 2027'!F$6)</f>
        <v>0</v>
      </c>
      <c r="G188" s="21">
        <f>SUMIFS(Einzelbeträge!$D:$D,Einzelbeträge!$C:$C,'Ausgaben 2027'!$C188,Einzelbeträge!$E:$E,'Ausgaben 2027'!G$6)</f>
        <v>0</v>
      </c>
      <c r="H188" s="21">
        <f>SUMIFS(Einzelbeträge!$D:$D,Einzelbeträge!$C:$C,'Ausgaben 2027'!$C188,Einzelbeträge!$E:$E,'Ausgaben 2027'!H$6)</f>
        <v>0</v>
      </c>
      <c r="I188" s="21">
        <f>SUMIFS(Einzelbeträge!$D:$D,Einzelbeträge!$C:$C,'Ausgaben 2027'!$C188,Einzelbeträge!$E:$E,'Ausgaben 2027'!I$6)</f>
        <v>0</v>
      </c>
      <c r="J188" s="21">
        <f>SUMIFS(Einzelbeträge!$D:$D,Einzelbeträge!$C:$C,'Ausgaben 2027'!$C188,Einzelbeträge!$E:$E,'Ausgaben 2027'!J$6)</f>
        <v>0</v>
      </c>
      <c r="K188" s="21">
        <f>SUMIFS(Einzelbeträge!$D:$D,Einzelbeträge!$C:$C,'Ausgaben 2027'!$C188,Einzelbeträge!$E:$E,'Ausgaben 2027'!K$6)</f>
        <v>0</v>
      </c>
      <c r="L188" s="21">
        <f>SUMIFS(Einzelbeträge!$D:$D,Einzelbeträge!$C:$C,'Ausgaben 2027'!$C188,Einzelbeträge!$E:$E,'Ausgaben 2027'!L$6)</f>
        <v>0</v>
      </c>
      <c r="M188" s="21">
        <f>SUMIFS(Einzelbeträge!$D:$D,Einzelbeträge!$C:$C,'Ausgaben 2027'!$C188,Einzelbeträge!$E:$E,'Ausgaben 2027'!M$6)</f>
        <v>0</v>
      </c>
      <c r="N188" s="35">
        <f>SUMIFS(Einzelbeträge!$D:$D,Einzelbeträge!$C:$C,'Ausgaben 2027'!$C188,Einzelbeträge!$E:$E,'Ausgaben 2027'!N$6)</f>
        <v>0</v>
      </c>
      <c r="O188" s="6"/>
    </row>
    <row r="189" spans="2:15" x14ac:dyDescent="0.35">
      <c r="B189" s="5"/>
      <c r="C189" s="30">
        <f t="shared" si="21"/>
        <v>46554</v>
      </c>
      <c r="D189" s="46">
        <f>SUMIFS(Einzelbeträge!$D:$D,Einzelbeträge!$C:$C,'Ausgaben 2027'!$C189)</f>
        <v>0</v>
      </c>
      <c r="E189" s="21">
        <f>SUMIFS(Einzelbeträge!$D:$D,Einzelbeträge!$C:$C,'Ausgaben 2027'!$C189,Einzelbeträge!$E:$E,'Ausgaben 2027'!E$6)</f>
        <v>0</v>
      </c>
      <c r="F189" s="21">
        <f>SUMIFS(Einzelbeträge!$D:$D,Einzelbeträge!$C:$C,'Ausgaben 2027'!$C189,Einzelbeträge!$E:$E,'Ausgaben 2027'!F$6)</f>
        <v>0</v>
      </c>
      <c r="G189" s="21">
        <f>SUMIFS(Einzelbeträge!$D:$D,Einzelbeträge!$C:$C,'Ausgaben 2027'!$C189,Einzelbeträge!$E:$E,'Ausgaben 2027'!G$6)</f>
        <v>0</v>
      </c>
      <c r="H189" s="21">
        <f>SUMIFS(Einzelbeträge!$D:$D,Einzelbeträge!$C:$C,'Ausgaben 2027'!$C189,Einzelbeträge!$E:$E,'Ausgaben 2027'!H$6)</f>
        <v>0</v>
      </c>
      <c r="I189" s="21">
        <f>SUMIFS(Einzelbeträge!$D:$D,Einzelbeträge!$C:$C,'Ausgaben 2027'!$C189,Einzelbeträge!$E:$E,'Ausgaben 2027'!I$6)</f>
        <v>0</v>
      </c>
      <c r="J189" s="21">
        <f>SUMIFS(Einzelbeträge!$D:$D,Einzelbeträge!$C:$C,'Ausgaben 2027'!$C189,Einzelbeträge!$E:$E,'Ausgaben 2027'!J$6)</f>
        <v>0</v>
      </c>
      <c r="K189" s="21">
        <f>SUMIFS(Einzelbeträge!$D:$D,Einzelbeträge!$C:$C,'Ausgaben 2027'!$C189,Einzelbeträge!$E:$E,'Ausgaben 2027'!K$6)</f>
        <v>0</v>
      </c>
      <c r="L189" s="21">
        <f>SUMIFS(Einzelbeträge!$D:$D,Einzelbeträge!$C:$C,'Ausgaben 2027'!$C189,Einzelbeträge!$E:$E,'Ausgaben 2027'!L$6)</f>
        <v>0</v>
      </c>
      <c r="M189" s="21">
        <f>SUMIFS(Einzelbeträge!$D:$D,Einzelbeträge!$C:$C,'Ausgaben 2027'!$C189,Einzelbeträge!$E:$E,'Ausgaben 2027'!M$6)</f>
        <v>0</v>
      </c>
      <c r="N189" s="35">
        <f>SUMIFS(Einzelbeträge!$D:$D,Einzelbeträge!$C:$C,'Ausgaben 2027'!$C189,Einzelbeträge!$E:$E,'Ausgaben 2027'!N$6)</f>
        <v>0</v>
      </c>
      <c r="O189" s="6"/>
    </row>
    <row r="190" spans="2:15" x14ac:dyDescent="0.35">
      <c r="B190" s="5"/>
      <c r="C190" s="30">
        <f t="shared" si="21"/>
        <v>46555</v>
      </c>
      <c r="D190" s="46">
        <f>SUMIFS(Einzelbeträge!$D:$D,Einzelbeträge!$C:$C,'Ausgaben 2027'!$C190)</f>
        <v>0</v>
      </c>
      <c r="E190" s="21">
        <f>SUMIFS(Einzelbeträge!$D:$D,Einzelbeträge!$C:$C,'Ausgaben 2027'!$C190,Einzelbeträge!$E:$E,'Ausgaben 2027'!E$6)</f>
        <v>0</v>
      </c>
      <c r="F190" s="21">
        <f>SUMIFS(Einzelbeträge!$D:$D,Einzelbeträge!$C:$C,'Ausgaben 2027'!$C190,Einzelbeträge!$E:$E,'Ausgaben 2027'!F$6)</f>
        <v>0</v>
      </c>
      <c r="G190" s="21">
        <f>SUMIFS(Einzelbeträge!$D:$D,Einzelbeträge!$C:$C,'Ausgaben 2027'!$C190,Einzelbeträge!$E:$E,'Ausgaben 2027'!G$6)</f>
        <v>0</v>
      </c>
      <c r="H190" s="21">
        <f>SUMIFS(Einzelbeträge!$D:$D,Einzelbeträge!$C:$C,'Ausgaben 2027'!$C190,Einzelbeträge!$E:$E,'Ausgaben 2027'!H$6)</f>
        <v>0</v>
      </c>
      <c r="I190" s="21">
        <f>SUMIFS(Einzelbeträge!$D:$D,Einzelbeträge!$C:$C,'Ausgaben 2027'!$C190,Einzelbeträge!$E:$E,'Ausgaben 2027'!I$6)</f>
        <v>0</v>
      </c>
      <c r="J190" s="21">
        <f>SUMIFS(Einzelbeträge!$D:$D,Einzelbeträge!$C:$C,'Ausgaben 2027'!$C190,Einzelbeträge!$E:$E,'Ausgaben 2027'!J$6)</f>
        <v>0</v>
      </c>
      <c r="K190" s="21">
        <f>SUMIFS(Einzelbeträge!$D:$D,Einzelbeträge!$C:$C,'Ausgaben 2027'!$C190,Einzelbeträge!$E:$E,'Ausgaben 2027'!K$6)</f>
        <v>0</v>
      </c>
      <c r="L190" s="21">
        <f>SUMIFS(Einzelbeträge!$D:$D,Einzelbeträge!$C:$C,'Ausgaben 2027'!$C190,Einzelbeträge!$E:$E,'Ausgaben 2027'!L$6)</f>
        <v>0</v>
      </c>
      <c r="M190" s="21">
        <f>SUMIFS(Einzelbeträge!$D:$D,Einzelbeträge!$C:$C,'Ausgaben 2027'!$C190,Einzelbeträge!$E:$E,'Ausgaben 2027'!M$6)</f>
        <v>0</v>
      </c>
      <c r="N190" s="35">
        <f>SUMIFS(Einzelbeträge!$D:$D,Einzelbeträge!$C:$C,'Ausgaben 2027'!$C190,Einzelbeträge!$E:$E,'Ausgaben 2027'!N$6)</f>
        <v>0</v>
      </c>
      <c r="O190" s="6"/>
    </row>
    <row r="191" spans="2:15" x14ac:dyDescent="0.35">
      <c r="B191" s="5"/>
      <c r="C191" s="30">
        <f t="shared" si="21"/>
        <v>46556</v>
      </c>
      <c r="D191" s="46">
        <f>SUMIFS(Einzelbeträge!$D:$D,Einzelbeträge!$C:$C,'Ausgaben 2027'!$C191)</f>
        <v>0</v>
      </c>
      <c r="E191" s="21">
        <f>SUMIFS(Einzelbeträge!$D:$D,Einzelbeträge!$C:$C,'Ausgaben 2027'!$C191,Einzelbeträge!$E:$E,'Ausgaben 2027'!E$6)</f>
        <v>0</v>
      </c>
      <c r="F191" s="21">
        <f>SUMIFS(Einzelbeträge!$D:$D,Einzelbeträge!$C:$C,'Ausgaben 2027'!$C191,Einzelbeträge!$E:$E,'Ausgaben 2027'!F$6)</f>
        <v>0</v>
      </c>
      <c r="G191" s="21">
        <f>SUMIFS(Einzelbeträge!$D:$D,Einzelbeträge!$C:$C,'Ausgaben 2027'!$C191,Einzelbeträge!$E:$E,'Ausgaben 2027'!G$6)</f>
        <v>0</v>
      </c>
      <c r="H191" s="21">
        <f>SUMIFS(Einzelbeträge!$D:$D,Einzelbeträge!$C:$C,'Ausgaben 2027'!$C191,Einzelbeträge!$E:$E,'Ausgaben 2027'!H$6)</f>
        <v>0</v>
      </c>
      <c r="I191" s="21">
        <f>SUMIFS(Einzelbeträge!$D:$D,Einzelbeträge!$C:$C,'Ausgaben 2027'!$C191,Einzelbeträge!$E:$E,'Ausgaben 2027'!I$6)</f>
        <v>0</v>
      </c>
      <c r="J191" s="21">
        <f>SUMIFS(Einzelbeträge!$D:$D,Einzelbeträge!$C:$C,'Ausgaben 2027'!$C191,Einzelbeträge!$E:$E,'Ausgaben 2027'!J$6)</f>
        <v>0</v>
      </c>
      <c r="K191" s="21">
        <f>SUMIFS(Einzelbeträge!$D:$D,Einzelbeträge!$C:$C,'Ausgaben 2027'!$C191,Einzelbeträge!$E:$E,'Ausgaben 2027'!K$6)</f>
        <v>0</v>
      </c>
      <c r="L191" s="21">
        <f>SUMIFS(Einzelbeträge!$D:$D,Einzelbeträge!$C:$C,'Ausgaben 2027'!$C191,Einzelbeträge!$E:$E,'Ausgaben 2027'!L$6)</f>
        <v>0</v>
      </c>
      <c r="M191" s="21">
        <f>SUMIFS(Einzelbeträge!$D:$D,Einzelbeträge!$C:$C,'Ausgaben 2027'!$C191,Einzelbeträge!$E:$E,'Ausgaben 2027'!M$6)</f>
        <v>0</v>
      </c>
      <c r="N191" s="35">
        <f>SUMIFS(Einzelbeträge!$D:$D,Einzelbeträge!$C:$C,'Ausgaben 2027'!$C191,Einzelbeträge!$E:$E,'Ausgaben 2027'!N$6)</f>
        <v>0</v>
      </c>
      <c r="O191" s="6"/>
    </row>
    <row r="192" spans="2:15" x14ac:dyDescent="0.35">
      <c r="B192" s="5"/>
      <c r="C192" s="30">
        <f t="shared" si="21"/>
        <v>46557</v>
      </c>
      <c r="D192" s="46">
        <f>SUMIFS(Einzelbeträge!$D:$D,Einzelbeträge!$C:$C,'Ausgaben 2027'!$C192)</f>
        <v>0</v>
      </c>
      <c r="E192" s="21">
        <f>SUMIFS(Einzelbeträge!$D:$D,Einzelbeträge!$C:$C,'Ausgaben 2027'!$C192,Einzelbeträge!$E:$E,'Ausgaben 2027'!E$6)</f>
        <v>0</v>
      </c>
      <c r="F192" s="21">
        <f>SUMIFS(Einzelbeträge!$D:$D,Einzelbeträge!$C:$C,'Ausgaben 2027'!$C192,Einzelbeträge!$E:$E,'Ausgaben 2027'!F$6)</f>
        <v>0</v>
      </c>
      <c r="G192" s="21">
        <f>SUMIFS(Einzelbeträge!$D:$D,Einzelbeträge!$C:$C,'Ausgaben 2027'!$C192,Einzelbeträge!$E:$E,'Ausgaben 2027'!G$6)</f>
        <v>0</v>
      </c>
      <c r="H192" s="21">
        <f>SUMIFS(Einzelbeträge!$D:$D,Einzelbeträge!$C:$C,'Ausgaben 2027'!$C192,Einzelbeträge!$E:$E,'Ausgaben 2027'!H$6)</f>
        <v>0</v>
      </c>
      <c r="I192" s="21">
        <f>SUMIFS(Einzelbeträge!$D:$D,Einzelbeträge!$C:$C,'Ausgaben 2027'!$C192,Einzelbeträge!$E:$E,'Ausgaben 2027'!I$6)</f>
        <v>0</v>
      </c>
      <c r="J192" s="21">
        <f>SUMIFS(Einzelbeträge!$D:$D,Einzelbeträge!$C:$C,'Ausgaben 2027'!$C192,Einzelbeträge!$E:$E,'Ausgaben 2027'!J$6)</f>
        <v>0</v>
      </c>
      <c r="K192" s="21">
        <f>SUMIFS(Einzelbeträge!$D:$D,Einzelbeträge!$C:$C,'Ausgaben 2027'!$C192,Einzelbeträge!$E:$E,'Ausgaben 2027'!K$6)</f>
        <v>0</v>
      </c>
      <c r="L192" s="21">
        <f>SUMIFS(Einzelbeträge!$D:$D,Einzelbeträge!$C:$C,'Ausgaben 2027'!$C192,Einzelbeträge!$E:$E,'Ausgaben 2027'!L$6)</f>
        <v>0</v>
      </c>
      <c r="M192" s="21">
        <f>SUMIFS(Einzelbeträge!$D:$D,Einzelbeträge!$C:$C,'Ausgaben 2027'!$C192,Einzelbeträge!$E:$E,'Ausgaben 2027'!M$6)</f>
        <v>0</v>
      </c>
      <c r="N192" s="35">
        <f>SUMIFS(Einzelbeträge!$D:$D,Einzelbeträge!$C:$C,'Ausgaben 2027'!$C192,Einzelbeträge!$E:$E,'Ausgaben 2027'!N$6)</f>
        <v>0</v>
      </c>
      <c r="O192" s="6"/>
    </row>
    <row r="193" spans="2:15" x14ac:dyDescent="0.35">
      <c r="B193" s="5"/>
      <c r="C193" s="30">
        <f t="shared" si="21"/>
        <v>46558</v>
      </c>
      <c r="D193" s="46">
        <f>SUMIFS(Einzelbeträge!$D:$D,Einzelbeträge!$C:$C,'Ausgaben 2027'!$C193)</f>
        <v>0</v>
      </c>
      <c r="E193" s="21">
        <f>SUMIFS(Einzelbeträge!$D:$D,Einzelbeträge!$C:$C,'Ausgaben 2027'!$C193,Einzelbeträge!$E:$E,'Ausgaben 2027'!E$6)</f>
        <v>0</v>
      </c>
      <c r="F193" s="21">
        <f>SUMIFS(Einzelbeträge!$D:$D,Einzelbeträge!$C:$C,'Ausgaben 2027'!$C193,Einzelbeträge!$E:$E,'Ausgaben 2027'!F$6)</f>
        <v>0</v>
      </c>
      <c r="G193" s="21">
        <f>SUMIFS(Einzelbeträge!$D:$D,Einzelbeträge!$C:$C,'Ausgaben 2027'!$C193,Einzelbeträge!$E:$E,'Ausgaben 2027'!G$6)</f>
        <v>0</v>
      </c>
      <c r="H193" s="21">
        <f>SUMIFS(Einzelbeträge!$D:$D,Einzelbeträge!$C:$C,'Ausgaben 2027'!$C193,Einzelbeträge!$E:$E,'Ausgaben 2027'!H$6)</f>
        <v>0</v>
      </c>
      <c r="I193" s="21">
        <f>SUMIFS(Einzelbeträge!$D:$D,Einzelbeträge!$C:$C,'Ausgaben 2027'!$C193,Einzelbeträge!$E:$E,'Ausgaben 2027'!I$6)</f>
        <v>0</v>
      </c>
      <c r="J193" s="21">
        <f>SUMIFS(Einzelbeträge!$D:$D,Einzelbeträge!$C:$C,'Ausgaben 2027'!$C193,Einzelbeträge!$E:$E,'Ausgaben 2027'!J$6)</f>
        <v>0</v>
      </c>
      <c r="K193" s="21">
        <f>SUMIFS(Einzelbeträge!$D:$D,Einzelbeträge!$C:$C,'Ausgaben 2027'!$C193,Einzelbeträge!$E:$E,'Ausgaben 2027'!K$6)</f>
        <v>0</v>
      </c>
      <c r="L193" s="21">
        <f>SUMIFS(Einzelbeträge!$D:$D,Einzelbeträge!$C:$C,'Ausgaben 2027'!$C193,Einzelbeträge!$E:$E,'Ausgaben 2027'!L$6)</f>
        <v>0</v>
      </c>
      <c r="M193" s="21">
        <f>SUMIFS(Einzelbeträge!$D:$D,Einzelbeträge!$C:$C,'Ausgaben 2027'!$C193,Einzelbeträge!$E:$E,'Ausgaben 2027'!M$6)</f>
        <v>0</v>
      </c>
      <c r="N193" s="35">
        <f>SUMIFS(Einzelbeträge!$D:$D,Einzelbeträge!$C:$C,'Ausgaben 2027'!$C193,Einzelbeträge!$E:$E,'Ausgaben 2027'!N$6)</f>
        <v>0</v>
      </c>
      <c r="O193" s="6"/>
    </row>
    <row r="194" spans="2:15" x14ac:dyDescent="0.35">
      <c r="B194" s="5"/>
      <c r="C194" s="30">
        <f t="shared" si="21"/>
        <v>46559</v>
      </c>
      <c r="D194" s="46">
        <f>SUMIFS(Einzelbeträge!$D:$D,Einzelbeträge!$C:$C,'Ausgaben 2027'!$C194)</f>
        <v>0</v>
      </c>
      <c r="E194" s="21">
        <f>SUMIFS(Einzelbeträge!$D:$D,Einzelbeträge!$C:$C,'Ausgaben 2027'!$C194,Einzelbeträge!$E:$E,'Ausgaben 2027'!E$6)</f>
        <v>0</v>
      </c>
      <c r="F194" s="21">
        <f>SUMIFS(Einzelbeträge!$D:$D,Einzelbeträge!$C:$C,'Ausgaben 2027'!$C194,Einzelbeträge!$E:$E,'Ausgaben 2027'!F$6)</f>
        <v>0</v>
      </c>
      <c r="G194" s="21">
        <f>SUMIFS(Einzelbeträge!$D:$D,Einzelbeträge!$C:$C,'Ausgaben 2027'!$C194,Einzelbeträge!$E:$E,'Ausgaben 2027'!G$6)</f>
        <v>0</v>
      </c>
      <c r="H194" s="21">
        <f>SUMIFS(Einzelbeträge!$D:$D,Einzelbeträge!$C:$C,'Ausgaben 2027'!$C194,Einzelbeträge!$E:$E,'Ausgaben 2027'!H$6)</f>
        <v>0</v>
      </c>
      <c r="I194" s="21">
        <f>SUMIFS(Einzelbeträge!$D:$D,Einzelbeträge!$C:$C,'Ausgaben 2027'!$C194,Einzelbeträge!$E:$E,'Ausgaben 2027'!I$6)</f>
        <v>0</v>
      </c>
      <c r="J194" s="21">
        <f>SUMIFS(Einzelbeträge!$D:$D,Einzelbeträge!$C:$C,'Ausgaben 2027'!$C194,Einzelbeträge!$E:$E,'Ausgaben 2027'!J$6)</f>
        <v>0</v>
      </c>
      <c r="K194" s="21">
        <f>SUMIFS(Einzelbeträge!$D:$D,Einzelbeträge!$C:$C,'Ausgaben 2027'!$C194,Einzelbeträge!$E:$E,'Ausgaben 2027'!K$6)</f>
        <v>0</v>
      </c>
      <c r="L194" s="21">
        <f>SUMIFS(Einzelbeträge!$D:$D,Einzelbeträge!$C:$C,'Ausgaben 2027'!$C194,Einzelbeträge!$E:$E,'Ausgaben 2027'!L$6)</f>
        <v>0</v>
      </c>
      <c r="M194" s="21">
        <f>SUMIFS(Einzelbeträge!$D:$D,Einzelbeträge!$C:$C,'Ausgaben 2027'!$C194,Einzelbeträge!$E:$E,'Ausgaben 2027'!M$6)</f>
        <v>0</v>
      </c>
      <c r="N194" s="35">
        <f>SUMIFS(Einzelbeträge!$D:$D,Einzelbeträge!$C:$C,'Ausgaben 2027'!$C194,Einzelbeträge!$E:$E,'Ausgaben 2027'!N$6)</f>
        <v>0</v>
      </c>
      <c r="O194" s="6"/>
    </row>
    <row r="195" spans="2:15" x14ac:dyDescent="0.35">
      <c r="B195" s="5"/>
      <c r="C195" s="30">
        <f t="shared" si="21"/>
        <v>46560</v>
      </c>
      <c r="D195" s="46">
        <f>SUMIFS(Einzelbeträge!$D:$D,Einzelbeträge!$C:$C,'Ausgaben 2027'!$C195)</f>
        <v>0</v>
      </c>
      <c r="E195" s="21">
        <f>SUMIFS(Einzelbeträge!$D:$D,Einzelbeträge!$C:$C,'Ausgaben 2027'!$C195,Einzelbeträge!$E:$E,'Ausgaben 2027'!E$6)</f>
        <v>0</v>
      </c>
      <c r="F195" s="21">
        <f>SUMIFS(Einzelbeträge!$D:$D,Einzelbeträge!$C:$C,'Ausgaben 2027'!$C195,Einzelbeträge!$E:$E,'Ausgaben 2027'!F$6)</f>
        <v>0</v>
      </c>
      <c r="G195" s="21">
        <f>SUMIFS(Einzelbeträge!$D:$D,Einzelbeträge!$C:$C,'Ausgaben 2027'!$C195,Einzelbeträge!$E:$E,'Ausgaben 2027'!G$6)</f>
        <v>0</v>
      </c>
      <c r="H195" s="21">
        <f>SUMIFS(Einzelbeträge!$D:$D,Einzelbeträge!$C:$C,'Ausgaben 2027'!$C195,Einzelbeträge!$E:$E,'Ausgaben 2027'!H$6)</f>
        <v>0</v>
      </c>
      <c r="I195" s="21">
        <f>SUMIFS(Einzelbeträge!$D:$D,Einzelbeträge!$C:$C,'Ausgaben 2027'!$C195,Einzelbeträge!$E:$E,'Ausgaben 2027'!I$6)</f>
        <v>0</v>
      </c>
      <c r="J195" s="21">
        <f>SUMIFS(Einzelbeträge!$D:$D,Einzelbeträge!$C:$C,'Ausgaben 2027'!$C195,Einzelbeträge!$E:$E,'Ausgaben 2027'!J$6)</f>
        <v>0</v>
      </c>
      <c r="K195" s="21">
        <f>SUMIFS(Einzelbeträge!$D:$D,Einzelbeträge!$C:$C,'Ausgaben 2027'!$C195,Einzelbeträge!$E:$E,'Ausgaben 2027'!K$6)</f>
        <v>0</v>
      </c>
      <c r="L195" s="21">
        <f>SUMIFS(Einzelbeträge!$D:$D,Einzelbeträge!$C:$C,'Ausgaben 2027'!$C195,Einzelbeträge!$E:$E,'Ausgaben 2027'!L$6)</f>
        <v>0</v>
      </c>
      <c r="M195" s="21">
        <f>SUMIFS(Einzelbeträge!$D:$D,Einzelbeträge!$C:$C,'Ausgaben 2027'!$C195,Einzelbeträge!$E:$E,'Ausgaben 2027'!M$6)</f>
        <v>0</v>
      </c>
      <c r="N195" s="35">
        <f>SUMIFS(Einzelbeträge!$D:$D,Einzelbeträge!$C:$C,'Ausgaben 2027'!$C195,Einzelbeträge!$E:$E,'Ausgaben 2027'!N$6)</f>
        <v>0</v>
      </c>
      <c r="O195" s="6"/>
    </row>
    <row r="196" spans="2:15" x14ac:dyDescent="0.35">
      <c r="B196" s="5"/>
      <c r="C196" s="30">
        <f t="shared" si="21"/>
        <v>46561</v>
      </c>
      <c r="D196" s="46">
        <f>SUMIFS(Einzelbeträge!$D:$D,Einzelbeträge!$C:$C,'Ausgaben 2027'!$C196)</f>
        <v>0</v>
      </c>
      <c r="E196" s="21">
        <f>SUMIFS(Einzelbeträge!$D:$D,Einzelbeträge!$C:$C,'Ausgaben 2027'!$C196,Einzelbeträge!$E:$E,'Ausgaben 2027'!E$6)</f>
        <v>0</v>
      </c>
      <c r="F196" s="21">
        <f>SUMIFS(Einzelbeträge!$D:$D,Einzelbeträge!$C:$C,'Ausgaben 2027'!$C196,Einzelbeträge!$E:$E,'Ausgaben 2027'!F$6)</f>
        <v>0</v>
      </c>
      <c r="G196" s="21">
        <f>SUMIFS(Einzelbeträge!$D:$D,Einzelbeträge!$C:$C,'Ausgaben 2027'!$C196,Einzelbeträge!$E:$E,'Ausgaben 2027'!G$6)</f>
        <v>0</v>
      </c>
      <c r="H196" s="21">
        <f>SUMIFS(Einzelbeträge!$D:$D,Einzelbeträge!$C:$C,'Ausgaben 2027'!$C196,Einzelbeträge!$E:$E,'Ausgaben 2027'!H$6)</f>
        <v>0</v>
      </c>
      <c r="I196" s="21">
        <f>SUMIFS(Einzelbeträge!$D:$D,Einzelbeträge!$C:$C,'Ausgaben 2027'!$C196,Einzelbeträge!$E:$E,'Ausgaben 2027'!I$6)</f>
        <v>0</v>
      </c>
      <c r="J196" s="21">
        <f>SUMIFS(Einzelbeträge!$D:$D,Einzelbeträge!$C:$C,'Ausgaben 2027'!$C196,Einzelbeträge!$E:$E,'Ausgaben 2027'!J$6)</f>
        <v>0</v>
      </c>
      <c r="K196" s="21">
        <f>SUMIFS(Einzelbeträge!$D:$D,Einzelbeträge!$C:$C,'Ausgaben 2027'!$C196,Einzelbeträge!$E:$E,'Ausgaben 2027'!K$6)</f>
        <v>0</v>
      </c>
      <c r="L196" s="21">
        <f>SUMIFS(Einzelbeträge!$D:$D,Einzelbeträge!$C:$C,'Ausgaben 2027'!$C196,Einzelbeträge!$E:$E,'Ausgaben 2027'!L$6)</f>
        <v>0</v>
      </c>
      <c r="M196" s="21">
        <f>SUMIFS(Einzelbeträge!$D:$D,Einzelbeträge!$C:$C,'Ausgaben 2027'!$C196,Einzelbeträge!$E:$E,'Ausgaben 2027'!M$6)</f>
        <v>0</v>
      </c>
      <c r="N196" s="35">
        <f>SUMIFS(Einzelbeträge!$D:$D,Einzelbeträge!$C:$C,'Ausgaben 2027'!$C196,Einzelbeträge!$E:$E,'Ausgaben 2027'!N$6)</f>
        <v>0</v>
      </c>
      <c r="O196" s="6"/>
    </row>
    <row r="197" spans="2:15" x14ac:dyDescent="0.35">
      <c r="B197" s="5"/>
      <c r="C197" s="30">
        <f t="shared" si="21"/>
        <v>46562</v>
      </c>
      <c r="D197" s="46">
        <f>SUMIFS(Einzelbeträge!$D:$D,Einzelbeträge!$C:$C,'Ausgaben 2027'!$C197)</f>
        <v>0</v>
      </c>
      <c r="E197" s="21">
        <f>SUMIFS(Einzelbeträge!$D:$D,Einzelbeträge!$C:$C,'Ausgaben 2027'!$C197,Einzelbeträge!$E:$E,'Ausgaben 2027'!E$6)</f>
        <v>0</v>
      </c>
      <c r="F197" s="21">
        <f>SUMIFS(Einzelbeträge!$D:$D,Einzelbeträge!$C:$C,'Ausgaben 2027'!$C197,Einzelbeträge!$E:$E,'Ausgaben 2027'!F$6)</f>
        <v>0</v>
      </c>
      <c r="G197" s="21">
        <f>SUMIFS(Einzelbeträge!$D:$D,Einzelbeträge!$C:$C,'Ausgaben 2027'!$C197,Einzelbeträge!$E:$E,'Ausgaben 2027'!G$6)</f>
        <v>0</v>
      </c>
      <c r="H197" s="21">
        <f>SUMIFS(Einzelbeträge!$D:$D,Einzelbeträge!$C:$C,'Ausgaben 2027'!$C197,Einzelbeträge!$E:$E,'Ausgaben 2027'!H$6)</f>
        <v>0</v>
      </c>
      <c r="I197" s="21">
        <f>SUMIFS(Einzelbeträge!$D:$D,Einzelbeträge!$C:$C,'Ausgaben 2027'!$C197,Einzelbeträge!$E:$E,'Ausgaben 2027'!I$6)</f>
        <v>0</v>
      </c>
      <c r="J197" s="21">
        <f>SUMIFS(Einzelbeträge!$D:$D,Einzelbeträge!$C:$C,'Ausgaben 2027'!$C197,Einzelbeträge!$E:$E,'Ausgaben 2027'!J$6)</f>
        <v>0</v>
      </c>
      <c r="K197" s="21">
        <f>SUMIFS(Einzelbeträge!$D:$D,Einzelbeträge!$C:$C,'Ausgaben 2027'!$C197,Einzelbeträge!$E:$E,'Ausgaben 2027'!K$6)</f>
        <v>0</v>
      </c>
      <c r="L197" s="21">
        <f>SUMIFS(Einzelbeträge!$D:$D,Einzelbeträge!$C:$C,'Ausgaben 2027'!$C197,Einzelbeträge!$E:$E,'Ausgaben 2027'!L$6)</f>
        <v>0</v>
      </c>
      <c r="M197" s="21">
        <f>SUMIFS(Einzelbeträge!$D:$D,Einzelbeträge!$C:$C,'Ausgaben 2027'!$C197,Einzelbeträge!$E:$E,'Ausgaben 2027'!M$6)</f>
        <v>0</v>
      </c>
      <c r="N197" s="35">
        <f>SUMIFS(Einzelbeträge!$D:$D,Einzelbeträge!$C:$C,'Ausgaben 2027'!$C197,Einzelbeträge!$E:$E,'Ausgaben 2027'!N$6)</f>
        <v>0</v>
      </c>
      <c r="O197" s="6"/>
    </row>
    <row r="198" spans="2:15" x14ac:dyDescent="0.35">
      <c r="B198" s="5"/>
      <c r="C198" s="30">
        <f t="shared" si="21"/>
        <v>46563</v>
      </c>
      <c r="D198" s="46">
        <f>SUMIFS(Einzelbeträge!$D:$D,Einzelbeträge!$C:$C,'Ausgaben 2027'!$C198)</f>
        <v>0</v>
      </c>
      <c r="E198" s="21">
        <f>SUMIFS(Einzelbeträge!$D:$D,Einzelbeträge!$C:$C,'Ausgaben 2027'!$C198,Einzelbeträge!$E:$E,'Ausgaben 2027'!E$6)</f>
        <v>0</v>
      </c>
      <c r="F198" s="21">
        <f>SUMIFS(Einzelbeträge!$D:$D,Einzelbeträge!$C:$C,'Ausgaben 2027'!$C198,Einzelbeträge!$E:$E,'Ausgaben 2027'!F$6)</f>
        <v>0</v>
      </c>
      <c r="G198" s="21">
        <f>SUMIFS(Einzelbeträge!$D:$D,Einzelbeträge!$C:$C,'Ausgaben 2027'!$C198,Einzelbeträge!$E:$E,'Ausgaben 2027'!G$6)</f>
        <v>0</v>
      </c>
      <c r="H198" s="21">
        <f>SUMIFS(Einzelbeträge!$D:$D,Einzelbeträge!$C:$C,'Ausgaben 2027'!$C198,Einzelbeträge!$E:$E,'Ausgaben 2027'!H$6)</f>
        <v>0</v>
      </c>
      <c r="I198" s="21">
        <f>SUMIFS(Einzelbeträge!$D:$D,Einzelbeträge!$C:$C,'Ausgaben 2027'!$C198,Einzelbeträge!$E:$E,'Ausgaben 2027'!I$6)</f>
        <v>0</v>
      </c>
      <c r="J198" s="21">
        <f>SUMIFS(Einzelbeträge!$D:$D,Einzelbeträge!$C:$C,'Ausgaben 2027'!$C198,Einzelbeträge!$E:$E,'Ausgaben 2027'!J$6)</f>
        <v>0</v>
      </c>
      <c r="K198" s="21">
        <f>SUMIFS(Einzelbeträge!$D:$D,Einzelbeträge!$C:$C,'Ausgaben 2027'!$C198,Einzelbeträge!$E:$E,'Ausgaben 2027'!K$6)</f>
        <v>0</v>
      </c>
      <c r="L198" s="21">
        <f>SUMIFS(Einzelbeträge!$D:$D,Einzelbeträge!$C:$C,'Ausgaben 2027'!$C198,Einzelbeträge!$E:$E,'Ausgaben 2027'!L$6)</f>
        <v>0</v>
      </c>
      <c r="M198" s="21">
        <f>SUMIFS(Einzelbeträge!$D:$D,Einzelbeträge!$C:$C,'Ausgaben 2027'!$C198,Einzelbeträge!$E:$E,'Ausgaben 2027'!M$6)</f>
        <v>0</v>
      </c>
      <c r="N198" s="35">
        <f>SUMIFS(Einzelbeträge!$D:$D,Einzelbeträge!$C:$C,'Ausgaben 2027'!$C198,Einzelbeträge!$E:$E,'Ausgaben 2027'!N$6)</f>
        <v>0</v>
      </c>
      <c r="O198" s="6"/>
    </row>
    <row r="199" spans="2:15" x14ac:dyDescent="0.35">
      <c r="B199" s="5"/>
      <c r="C199" s="30">
        <f t="shared" si="21"/>
        <v>46564</v>
      </c>
      <c r="D199" s="46">
        <f>SUMIFS(Einzelbeträge!$D:$D,Einzelbeträge!$C:$C,'Ausgaben 2027'!$C199)</f>
        <v>0</v>
      </c>
      <c r="E199" s="21">
        <f>SUMIFS(Einzelbeträge!$D:$D,Einzelbeträge!$C:$C,'Ausgaben 2027'!$C199,Einzelbeträge!$E:$E,'Ausgaben 2027'!E$6)</f>
        <v>0</v>
      </c>
      <c r="F199" s="21">
        <f>SUMIFS(Einzelbeträge!$D:$D,Einzelbeträge!$C:$C,'Ausgaben 2027'!$C199,Einzelbeträge!$E:$E,'Ausgaben 2027'!F$6)</f>
        <v>0</v>
      </c>
      <c r="G199" s="21">
        <f>SUMIFS(Einzelbeträge!$D:$D,Einzelbeträge!$C:$C,'Ausgaben 2027'!$C199,Einzelbeträge!$E:$E,'Ausgaben 2027'!G$6)</f>
        <v>0</v>
      </c>
      <c r="H199" s="21">
        <f>SUMIFS(Einzelbeträge!$D:$D,Einzelbeträge!$C:$C,'Ausgaben 2027'!$C199,Einzelbeträge!$E:$E,'Ausgaben 2027'!H$6)</f>
        <v>0</v>
      </c>
      <c r="I199" s="21">
        <f>SUMIFS(Einzelbeträge!$D:$D,Einzelbeträge!$C:$C,'Ausgaben 2027'!$C199,Einzelbeträge!$E:$E,'Ausgaben 2027'!I$6)</f>
        <v>0</v>
      </c>
      <c r="J199" s="21">
        <f>SUMIFS(Einzelbeträge!$D:$D,Einzelbeträge!$C:$C,'Ausgaben 2027'!$C199,Einzelbeträge!$E:$E,'Ausgaben 2027'!J$6)</f>
        <v>0</v>
      </c>
      <c r="K199" s="21">
        <f>SUMIFS(Einzelbeträge!$D:$D,Einzelbeträge!$C:$C,'Ausgaben 2027'!$C199,Einzelbeträge!$E:$E,'Ausgaben 2027'!K$6)</f>
        <v>0</v>
      </c>
      <c r="L199" s="21">
        <f>SUMIFS(Einzelbeträge!$D:$D,Einzelbeträge!$C:$C,'Ausgaben 2027'!$C199,Einzelbeträge!$E:$E,'Ausgaben 2027'!L$6)</f>
        <v>0</v>
      </c>
      <c r="M199" s="21">
        <f>SUMIFS(Einzelbeträge!$D:$D,Einzelbeträge!$C:$C,'Ausgaben 2027'!$C199,Einzelbeträge!$E:$E,'Ausgaben 2027'!M$6)</f>
        <v>0</v>
      </c>
      <c r="N199" s="35">
        <f>SUMIFS(Einzelbeträge!$D:$D,Einzelbeträge!$C:$C,'Ausgaben 2027'!$C199,Einzelbeträge!$E:$E,'Ausgaben 2027'!N$6)</f>
        <v>0</v>
      </c>
      <c r="O199" s="6"/>
    </row>
    <row r="200" spans="2:15" x14ac:dyDescent="0.35">
      <c r="B200" s="5"/>
      <c r="C200" s="30">
        <f t="shared" si="21"/>
        <v>46565</v>
      </c>
      <c r="D200" s="46">
        <f>SUMIFS(Einzelbeträge!$D:$D,Einzelbeträge!$C:$C,'Ausgaben 2027'!$C200)</f>
        <v>0</v>
      </c>
      <c r="E200" s="21">
        <f>SUMIFS(Einzelbeträge!$D:$D,Einzelbeträge!$C:$C,'Ausgaben 2027'!$C200,Einzelbeträge!$E:$E,'Ausgaben 2027'!E$6)</f>
        <v>0</v>
      </c>
      <c r="F200" s="21">
        <f>SUMIFS(Einzelbeträge!$D:$D,Einzelbeträge!$C:$C,'Ausgaben 2027'!$C200,Einzelbeträge!$E:$E,'Ausgaben 2027'!F$6)</f>
        <v>0</v>
      </c>
      <c r="G200" s="21">
        <f>SUMIFS(Einzelbeträge!$D:$D,Einzelbeträge!$C:$C,'Ausgaben 2027'!$C200,Einzelbeträge!$E:$E,'Ausgaben 2027'!G$6)</f>
        <v>0</v>
      </c>
      <c r="H200" s="21">
        <f>SUMIFS(Einzelbeträge!$D:$D,Einzelbeträge!$C:$C,'Ausgaben 2027'!$C200,Einzelbeträge!$E:$E,'Ausgaben 2027'!H$6)</f>
        <v>0</v>
      </c>
      <c r="I200" s="21">
        <f>SUMIFS(Einzelbeträge!$D:$D,Einzelbeträge!$C:$C,'Ausgaben 2027'!$C200,Einzelbeträge!$E:$E,'Ausgaben 2027'!I$6)</f>
        <v>0</v>
      </c>
      <c r="J200" s="21">
        <f>SUMIFS(Einzelbeträge!$D:$D,Einzelbeträge!$C:$C,'Ausgaben 2027'!$C200,Einzelbeträge!$E:$E,'Ausgaben 2027'!J$6)</f>
        <v>0</v>
      </c>
      <c r="K200" s="21">
        <f>SUMIFS(Einzelbeträge!$D:$D,Einzelbeträge!$C:$C,'Ausgaben 2027'!$C200,Einzelbeträge!$E:$E,'Ausgaben 2027'!K$6)</f>
        <v>0</v>
      </c>
      <c r="L200" s="21">
        <f>SUMIFS(Einzelbeträge!$D:$D,Einzelbeträge!$C:$C,'Ausgaben 2027'!$C200,Einzelbeträge!$E:$E,'Ausgaben 2027'!L$6)</f>
        <v>0</v>
      </c>
      <c r="M200" s="21">
        <f>SUMIFS(Einzelbeträge!$D:$D,Einzelbeträge!$C:$C,'Ausgaben 2027'!$C200,Einzelbeträge!$E:$E,'Ausgaben 2027'!M$6)</f>
        <v>0</v>
      </c>
      <c r="N200" s="35">
        <f>SUMIFS(Einzelbeträge!$D:$D,Einzelbeträge!$C:$C,'Ausgaben 2027'!$C200,Einzelbeträge!$E:$E,'Ausgaben 2027'!N$6)</f>
        <v>0</v>
      </c>
      <c r="O200" s="6"/>
    </row>
    <row r="201" spans="2:15" x14ac:dyDescent="0.35">
      <c r="B201" s="5"/>
      <c r="C201" s="30">
        <f t="shared" si="21"/>
        <v>46566</v>
      </c>
      <c r="D201" s="46">
        <f>SUMIFS(Einzelbeträge!$D:$D,Einzelbeträge!$C:$C,'Ausgaben 2027'!$C201)</f>
        <v>0</v>
      </c>
      <c r="E201" s="21">
        <f>SUMIFS(Einzelbeträge!$D:$D,Einzelbeträge!$C:$C,'Ausgaben 2027'!$C201,Einzelbeträge!$E:$E,'Ausgaben 2027'!E$6)</f>
        <v>0</v>
      </c>
      <c r="F201" s="21">
        <f>SUMIFS(Einzelbeträge!$D:$D,Einzelbeträge!$C:$C,'Ausgaben 2027'!$C201,Einzelbeträge!$E:$E,'Ausgaben 2027'!F$6)</f>
        <v>0</v>
      </c>
      <c r="G201" s="21">
        <f>SUMIFS(Einzelbeträge!$D:$D,Einzelbeträge!$C:$C,'Ausgaben 2027'!$C201,Einzelbeträge!$E:$E,'Ausgaben 2027'!G$6)</f>
        <v>0</v>
      </c>
      <c r="H201" s="21">
        <f>SUMIFS(Einzelbeträge!$D:$D,Einzelbeträge!$C:$C,'Ausgaben 2027'!$C201,Einzelbeträge!$E:$E,'Ausgaben 2027'!H$6)</f>
        <v>0</v>
      </c>
      <c r="I201" s="21">
        <f>SUMIFS(Einzelbeträge!$D:$D,Einzelbeträge!$C:$C,'Ausgaben 2027'!$C201,Einzelbeträge!$E:$E,'Ausgaben 2027'!I$6)</f>
        <v>0</v>
      </c>
      <c r="J201" s="21">
        <f>SUMIFS(Einzelbeträge!$D:$D,Einzelbeträge!$C:$C,'Ausgaben 2027'!$C201,Einzelbeträge!$E:$E,'Ausgaben 2027'!J$6)</f>
        <v>0</v>
      </c>
      <c r="K201" s="21">
        <f>SUMIFS(Einzelbeträge!$D:$D,Einzelbeträge!$C:$C,'Ausgaben 2027'!$C201,Einzelbeträge!$E:$E,'Ausgaben 2027'!K$6)</f>
        <v>0</v>
      </c>
      <c r="L201" s="21">
        <f>SUMIFS(Einzelbeträge!$D:$D,Einzelbeträge!$C:$C,'Ausgaben 2027'!$C201,Einzelbeträge!$E:$E,'Ausgaben 2027'!L$6)</f>
        <v>0</v>
      </c>
      <c r="M201" s="21">
        <f>SUMIFS(Einzelbeträge!$D:$D,Einzelbeträge!$C:$C,'Ausgaben 2027'!$C201,Einzelbeträge!$E:$E,'Ausgaben 2027'!M$6)</f>
        <v>0</v>
      </c>
      <c r="N201" s="35">
        <f>SUMIFS(Einzelbeträge!$D:$D,Einzelbeträge!$C:$C,'Ausgaben 2027'!$C201,Einzelbeträge!$E:$E,'Ausgaben 2027'!N$6)</f>
        <v>0</v>
      </c>
      <c r="O201" s="6"/>
    </row>
    <row r="202" spans="2:15" x14ac:dyDescent="0.35">
      <c r="B202" s="5"/>
      <c r="C202" s="30">
        <f t="shared" si="21"/>
        <v>46567</v>
      </c>
      <c r="D202" s="46">
        <f>SUMIFS(Einzelbeträge!$D:$D,Einzelbeträge!$C:$C,'Ausgaben 2027'!$C202)</f>
        <v>0</v>
      </c>
      <c r="E202" s="21">
        <f>SUMIFS(Einzelbeträge!$D:$D,Einzelbeträge!$C:$C,'Ausgaben 2027'!$C202,Einzelbeträge!$E:$E,'Ausgaben 2027'!E$6)</f>
        <v>0</v>
      </c>
      <c r="F202" s="21">
        <f>SUMIFS(Einzelbeträge!$D:$D,Einzelbeträge!$C:$C,'Ausgaben 2027'!$C202,Einzelbeträge!$E:$E,'Ausgaben 2027'!F$6)</f>
        <v>0</v>
      </c>
      <c r="G202" s="21">
        <f>SUMIFS(Einzelbeträge!$D:$D,Einzelbeträge!$C:$C,'Ausgaben 2027'!$C202,Einzelbeträge!$E:$E,'Ausgaben 2027'!G$6)</f>
        <v>0</v>
      </c>
      <c r="H202" s="21">
        <f>SUMIFS(Einzelbeträge!$D:$D,Einzelbeträge!$C:$C,'Ausgaben 2027'!$C202,Einzelbeträge!$E:$E,'Ausgaben 2027'!H$6)</f>
        <v>0</v>
      </c>
      <c r="I202" s="21">
        <f>SUMIFS(Einzelbeträge!$D:$D,Einzelbeträge!$C:$C,'Ausgaben 2027'!$C202,Einzelbeträge!$E:$E,'Ausgaben 2027'!I$6)</f>
        <v>0</v>
      </c>
      <c r="J202" s="21">
        <f>SUMIFS(Einzelbeträge!$D:$D,Einzelbeträge!$C:$C,'Ausgaben 2027'!$C202,Einzelbeträge!$E:$E,'Ausgaben 2027'!J$6)</f>
        <v>0</v>
      </c>
      <c r="K202" s="21">
        <f>SUMIFS(Einzelbeträge!$D:$D,Einzelbeträge!$C:$C,'Ausgaben 2027'!$C202,Einzelbeträge!$E:$E,'Ausgaben 2027'!K$6)</f>
        <v>0</v>
      </c>
      <c r="L202" s="21">
        <f>SUMIFS(Einzelbeträge!$D:$D,Einzelbeträge!$C:$C,'Ausgaben 2027'!$C202,Einzelbeträge!$E:$E,'Ausgaben 2027'!L$6)</f>
        <v>0</v>
      </c>
      <c r="M202" s="21">
        <f>SUMIFS(Einzelbeträge!$D:$D,Einzelbeträge!$C:$C,'Ausgaben 2027'!$C202,Einzelbeträge!$E:$E,'Ausgaben 2027'!M$6)</f>
        <v>0</v>
      </c>
      <c r="N202" s="35">
        <f>SUMIFS(Einzelbeträge!$D:$D,Einzelbeträge!$C:$C,'Ausgaben 2027'!$C202,Einzelbeträge!$E:$E,'Ausgaben 2027'!N$6)</f>
        <v>0</v>
      </c>
      <c r="O202" s="6"/>
    </row>
    <row r="203" spans="2:15" x14ac:dyDescent="0.35">
      <c r="B203" s="5"/>
      <c r="C203" s="31">
        <f t="shared" si="21"/>
        <v>46568</v>
      </c>
      <c r="D203" s="47">
        <f>SUMIFS(Einzelbeträge!$D:$D,Einzelbeträge!$C:$C,'Ausgaben 2027'!$C203)</f>
        <v>0</v>
      </c>
      <c r="E203" s="37">
        <f>SUMIFS(Einzelbeträge!$D:$D,Einzelbeträge!$C:$C,'Ausgaben 2027'!$C203,Einzelbeträge!$E:$E,'Ausgaben 2027'!E$6)</f>
        <v>0</v>
      </c>
      <c r="F203" s="37">
        <f>SUMIFS(Einzelbeträge!$D:$D,Einzelbeträge!$C:$C,'Ausgaben 2027'!$C203,Einzelbeträge!$E:$E,'Ausgaben 2027'!F$6)</f>
        <v>0</v>
      </c>
      <c r="G203" s="37">
        <f>SUMIFS(Einzelbeträge!$D:$D,Einzelbeträge!$C:$C,'Ausgaben 2027'!$C203,Einzelbeträge!$E:$E,'Ausgaben 2027'!G$6)</f>
        <v>0</v>
      </c>
      <c r="H203" s="37">
        <f>SUMIFS(Einzelbeträge!$D:$D,Einzelbeträge!$C:$C,'Ausgaben 2027'!$C203,Einzelbeträge!$E:$E,'Ausgaben 2027'!H$6)</f>
        <v>0</v>
      </c>
      <c r="I203" s="37">
        <f>SUMIFS(Einzelbeträge!$D:$D,Einzelbeträge!$C:$C,'Ausgaben 2027'!$C203,Einzelbeträge!$E:$E,'Ausgaben 2027'!I$6)</f>
        <v>0</v>
      </c>
      <c r="J203" s="37">
        <f>SUMIFS(Einzelbeträge!$D:$D,Einzelbeträge!$C:$C,'Ausgaben 2027'!$C203,Einzelbeträge!$E:$E,'Ausgaben 2027'!J$6)</f>
        <v>0</v>
      </c>
      <c r="K203" s="37">
        <f>SUMIFS(Einzelbeträge!$D:$D,Einzelbeträge!$C:$C,'Ausgaben 2027'!$C203,Einzelbeträge!$E:$E,'Ausgaben 2027'!K$6)</f>
        <v>0</v>
      </c>
      <c r="L203" s="37">
        <f>SUMIFS(Einzelbeträge!$D:$D,Einzelbeträge!$C:$C,'Ausgaben 2027'!$C203,Einzelbeträge!$E:$E,'Ausgaben 2027'!L$6)</f>
        <v>0</v>
      </c>
      <c r="M203" s="37">
        <f>SUMIFS(Einzelbeträge!$D:$D,Einzelbeträge!$C:$C,'Ausgaben 2027'!$C203,Einzelbeträge!$E:$E,'Ausgaben 2027'!M$6)</f>
        <v>0</v>
      </c>
      <c r="N203" s="38">
        <f>SUMIFS(Einzelbeträge!$D:$D,Einzelbeträge!$C:$C,'Ausgaben 2027'!$C203,Einzelbeträge!$E:$E,'Ausgaben 2027'!N$6)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46569</v>
      </c>
      <c r="D207" s="45">
        <f>SUMIFS(Einzelbeträge!$D:$D,Einzelbeträge!$C:$C,'Ausgaben 2027'!$C207)</f>
        <v>0</v>
      </c>
      <c r="E207" s="32">
        <f>SUMIFS(Einzelbeträge!$D:$D,Einzelbeträge!$C:$C,'Ausgaben 2027'!$C207,Einzelbeträge!$E:$E,'Ausgaben 2027'!E$6)</f>
        <v>0</v>
      </c>
      <c r="F207" s="32">
        <f>SUMIFS(Einzelbeträge!$D:$D,Einzelbeträge!$C:$C,'Ausgaben 2027'!$C207,Einzelbeträge!$E:$E,'Ausgaben 2027'!F$6)</f>
        <v>0</v>
      </c>
      <c r="G207" s="32">
        <f>SUMIFS(Einzelbeträge!$D:$D,Einzelbeträge!$C:$C,'Ausgaben 2027'!$C207,Einzelbeträge!$E:$E,'Ausgaben 2027'!G$6)</f>
        <v>0</v>
      </c>
      <c r="H207" s="32">
        <f>SUMIFS(Einzelbeträge!$D:$D,Einzelbeträge!$C:$C,'Ausgaben 2027'!$C207,Einzelbeträge!$E:$E,'Ausgaben 2027'!H$6)</f>
        <v>0</v>
      </c>
      <c r="I207" s="32">
        <f>SUMIFS(Einzelbeträge!$D:$D,Einzelbeträge!$C:$C,'Ausgaben 2027'!$C207,Einzelbeträge!$E:$E,'Ausgaben 2027'!I$6)</f>
        <v>0</v>
      </c>
      <c r="J207" s="32">
        <f>SUMIFS(Einzelbeträge!$D:$D,Einzelbeträge!$C:$C,'Ausgaben 2027'!$C207,Einzelbeträge!$E:$E,'Ausgaben 2027'!J$6)</f>
        <v>0</v>
      </c>
      <c r="K207" s="32">
        <f>SUMIFS(Einzelbeträge!$D:$D,Einzelbeträge!$C:$C,'Ausgaben 2027'!$C207,Einzelbeträge!$E:$E,'Ausgaben 2027'!K$6)</f>
        <v>0</v>
      </c>
      <c r="L207" s="32">
        <f>SUMIFS(Einzelbeträge!$D:$D,Einzelbeträge!$C:$C,'Ausgaben 2027'!$C207,Einzelbeträge!$E:$E,'Ausgaben 2027'!L$6)</f>
        <v>0</v>
      </c>
      <c r="M207" s="32">
        <f>SUMIFS(Einzelbeträge!$D:$D,Einzelbeträge!$C:$C,'Ausgaben 2027'!$C207,Einzelbeträge!$E:$E,'Ausgaben 2027'!M$6)</f>
        <v>0</v>
      </c>
      <c r="N207" s="33">
        <f>SUMIFS(Einzelbeträge!$D:$D,Einzelbeträge!$C:$C,'Ausgaben 2027'!$C207,Einzelbeträge!$E:$E,'Ausgaben 2027'!N$6)</f>
        <v>0</v>
      </c>
      <c r="O207" s="6"/>
    </row>
    <row r="208" spans="2:15" x14ac:dyDescent="0.35">
      <c r="B208" s="5"/>
      <c r="C208" s="40">
        <f>C207+1</f>
        <v>46570</v>
      </c>
      <c r="D208" s="46">
        <f>SUMIFS(Einzelbeträge!$D:$D,Einzelbeträge!$C:$C,'Ausgaben 2027'!$C208)</f>
        <v>0</v>
      </c>
      <c r="E208" s="21">
        <f>SUMIFS(Einzelbeträge!$D:$D,Einzelbeträge!$C:$C,'Ausgaben 2027'!$C208,Einzelbeträge!$E:$E,'Ausgaben 2027'!E$6)</f>
        <v>0</v>
      </c>
      <c r="F208" s="21">
        <f>SUMIFS(Einzelbeträge!$D:$D,Einzelbeträge!$C:$C,'Ausgaben 2027'!$C208,Einzelbeträge!$E:$E,'Ausgaben 2027'!F$6)</f>
        <v>0</v>
      </c>
      <c r="G208" s="21">
        <f>SUMIFS(Einzelbeträge!$D:$D,Einzelbeträge!$C:$C,'Ausgaben 2027'!$C208,Einzelbeträge!$E:$E,'Ausgaben 2027'!G$6)</f>
        <v>0</v>
      </c>
      <c r="H208" s="21">
        <f>SUMIFS(Einzelbeträge!$D:$D,Einzelbeträge!$C:$C,'Ausgaben 2027'!$C208,Einzelbeträge!$E:$E,'Ausgaben 2027'!H$6)</f>
        <v>0</v>
      </c>
      <c r="I208" s="21">
        <f>SUMIFS(Einzelbeträge!$D:$D,Einzelbeträge!$C:$C,'Ausgaben 2027'!$C208,Einzelbeträge!$E:$E,'Ausgaben 2027'!I$6)</f>
        <v>0</v>
      </c>
      <c r="J208" s="21">
        <f>SUMIFS(Einzelbeträge!$D:$D,Einzelbeträge!$C:$C,'Ausgaben 2027'!$C208,Einzelbeträge!$E:$E,'Ausgaben 2027'!J$6)</f>
        <v>0</v>
      </c>
      <c r="K208" s="21">
        <f>SUMIFS(Einzelbeträge!$D:$D,Einzelbeträge!$C:$C,'Ausgaben 2027'!$C208,Einzelbeträge!$E:$E,'Ausgaben 2027'!K$6)</f>
        <v>0</v>
      </c>
      <c r="L208" s="21">
        <f>SUMIFS(Einzelbeträge!$D:$D,Einzelbeträge!$C:$C,'Ausgaben 2027'!$C208,Einzelbeträge!$E:$E,'Ausgaben 2027'!L$6)</f>
        <v>0</v>
      </c>
      <c r="M208" s="21">
        <f>SUMIFS(Einzelbeträge!$D:$D,Einzelbeträge!$C:$C,'Ausgaben 2027'!$C208,Einzelbeträge!$E:$E,'Ausgaben 2027'!M$6)</f>
        <v>0</v>
      </c>
      <c r="N208" s="35">
        <f>SUMIFS(Einzelbeträge!$D:$D,Einzelbeträge!$C:$C,'Ausgaben 2027'!$C208,Einzelbeträge!$E:$E,'Ausgaben 2027'!N$6)</f>
        <v>0</v>
      </c>
      <c r="O208" s="6"/>
    </row>
    <row r="209" spans="2:15" x14ac:dyDescent="0.35">
      <c r="B209" s="5"/>
      <c r="C209" s="40">
        <f t="shared" ref="C209:C237" si="22">C208+1</f>
        <v>46571</v>
      </c>
      <c r="D209" s="46">
        <f>SUMIFS(Einzelbeträge!$D:$D,Einzelbeträge!$C:$C,'Ausgaben 2027'!$C209)</f>
        <v>0</v>
      </c>
      <c r="E209" s="21">
        <f>SUMIFS(Einzelbeträge!$D:$D,Einzelbeträge!$C:$C,'Ausgaben 2027'!$C209,Einzelbeträge!$E:$E,'Ausgaben 2027'!E$6)</f>
        <v>0</v>
      </c>
      <c r="F209" s="21">
        <f>SUMIFS(Einzelbeträge!$D:$D,Einzelbeträge!$C:$C,'Ausgaben 2027'!$C209,Einzelbeträge!$E:$E,'Ausgaben 2027'!F$6)</f>
        <v>0</v>
      </c>
      <c r="G209" s="21">
        <f>SUMIFS(Einzelbeträge!$D:$D,Einzelbeträge!$C:$C,'Ausgaben 2027'!$C209,Einzelbeträge!$E:$E,'Ausgaben 2027'!G$6)</f>
        <v>0</v>
      </c>
      <c r="H209" s="21">
        <f>SUMIFS(Einzelbeträge!$D:$D,Einzelbeträge!$C:$C,'Ausgaben 2027'!$C209,Einzelbeträge!$E:$E,'Ausgaben 2027'!H$6)</f>
        <v>0</v>
      </c>
      <c r="I209" s="21">
        <f>SUMIFS(Einzelbeträge!$D:$D,Einzelbeträge!$C:$C,'Ausgaben 2027'!$C209,Einzelbeträge!$E:$E,'Ausgaben 2027'!I$6)</f>
        <v>0</v>
      </c>
      <c r="J209" s="21">
        <f>SUMIFS(Einzelbeträge!$D:$D,Einzelbeträge!$C:$C,'Ausgaben 2027'!$C209,Einzelbeträge!$E:$E,'Ausgaben 2027'!J$6)</f>
        <v>0</v>
      </c>
      <c r="K209" s="21">
        <f>SUMIFS(Einzelbeträge!$D:$D,Einzelbeträge!$C:$C,'Ausgaben 2027'!$C209,Einzelbeträge!$E:$E,'Ausgaben 2027'!K$6)</f>
        <v>0</v>
      </c>
      <c r="L209" s="21">
        <f>SUMIFS(Einzelbeträge!$D:$D,Einzelbeträge!$C:$C,'Ausgaben 2027'!$C209,Einzelbeträge!$E:$E,'Ausgaben 2027'!L$6)</f>
        <v>0</v>
      </c>
      <c r="M209" s="21">
        <f>SUMIFS(Einzelbeträge!$D:$D,Einzelbeträge!$C:$C,'Ausgaben 2027'!$C209,Einzelbeträge!$E:$E,'Ausgaben 2027'!M$6)</f>
        <v>0</v>
      </c>
      <c r="N209" s="35">
        <f>SUMIFS(Einzelbeträge!$D:$D,Einzelbeträge!$C:$C,'Ausgaben 2027'!$C209,Einzelbeträge!$E:$E,'Ausgaben 2027'!N$6)</f>
        <v>0</v>
      </c>
      <c r="O209" s="6"/>
    </row>
    <row r="210" spans="2:15" x14ac:dyDescent="0.35">
      <c r="B210" s="5"/>
      <c r="C210" s="40">
        <f t="shared" si="22"/>
        <v>46572</v>
      </c>
      <c r="D210" s="46">
        <f>SUMIFS(Einzelbeträge!$D:$D,Einzelbeträge!$C:$C,'Ausgaben 2027'!$C210)</f>
        <v>0</v>
      </c>
      <c r="E210" s="21">
        <f>SUMIFS(Einzelbeträge!$D:$D,Einzelbeträge!$C:$C,'Ausgaben 2027'!$C210,Einzelbeträge!$E:$E,'Ausgaben 2027'!E$6)</f>
        <v>0</v>
      </c>
      <c r="F210" s="21">
        <f>SUMIFS(Einzelbeträge!$D:$D,Einzelbeträge!$C:$C,'Ausgaben 2027'!$C210,Einzelbeträge!$E:$E,'Ausgaben 2027'!F$6)</f>
        <v>0</v>
      </c>
      <c r="G210" s="21">
        <f>SUMIFS(Einzelbeträge!$D:$D,Einzelbeträge!$C:$C,'Ausgaben 2027'!$C210,Einzelbeträge!$E:$E,'Ausgaben 2027'!G$6)</f>
        <v>0</v>
      </c>
      <c r="H210" s="21">
        <f>SUMIFS(Einzelbeträge!$D:$D,Einzelbeträge!$C:$C,'Ausgaben 2027'!$C210,Einzelbeträge!$E:$E,'Ausgaben 2027'!H$6)</f>
        <v>0</v>
      </c>
      <c r="I210" s="21">
        <f>SUMIFS(Einzelbeträge!$D:$D,Einzelbeträge!$C:$C,'Ausgaben 2027'!$C210,Einzelbeträge!$E:$E,'Ausgaben 2027'!I$6)</f>
        <v>0</v>
      </c>
      <c r="J210" s="21">
        <f>SUMIFS(Einzelbeträge!$D:$D,Einzelbeträge!$C:$C,'Ausgaben 2027'!$C210,Einzelbeträge!$E:$E,'Ausgaben 2027'!J$6)</f>
        <v>0</v>
      </c>
      <c r="K210" s="21">
        <f>SUMIFS(Einzelbeträge!$D:$D,Einzelbeträge!$C:$C,'Ausgaben 2027'!$C210,Einzelbeträge!$E:$E,'Ausgaben 2027'!K$6)</f>
        <v>0</v>
      </c>
      <c r="L210" s="21">
        <f>SUMIFS(Einzelbeträge!$D:$D,Einzelbeträge!$C:$C,'Ausgaben 2027'!$C210,Einzelbeträge!$E:$E,'Ausgaben 2027'!L$6)</f>
        <v>0</v>
      </c>
      <c r="M210" s="21">
        <f>SUMIFS(Einzelbeträge!$D:$D,Einzelbeträge!$C:$C,'Ausgaben 2027'!$C210,Einzelbeträge!$E:$E,'Ausgaben 2027'!M$6)</f>
        <v>0</v>
      </c>
      <c r="N210" s="35">
        <f>SUMIFS(Einzelbeträge!$D:$D,Einzelbeträge!$C:$C,'Ausgaben 2027'!$C210,Einzelbeträge!$E:$E,'Ausgaben 2027'!N$6)</f>
        <v>0</v>
      </c>
      <c r="O210" s="6"/>
    </row>
    <row r="211" spans="2:15" x14ac:dyDescent="0.35">
      <c r="B211" s="5"/>
      <c r="C211" s="40">
        <f t="shared" si="22"/>
        <v>46573</v>
      </c>
      <c r="D211" s="46">
        <f>SUMIFS(Einzelbeträge!$D:$D,Einzelbeträge!$C:$C,'Ausgaben 2027'!$C211)</f>
        <v>0</v>
      </c>
      <c r="E211" s="21">
        <f>SUMIFS(Einzelbeträge!$D:$D,Einzelbeträge!$C:$C,'Ausgaben 2027'!$C211,Einzelbeträge!$E:$E,'Ausgaben 2027'!E$6)</f>
        <v>0</v>
      </c>
      <c r="F211" s="21">
        <f>SUMIFS(Einzelbeträge!$D:$D,Einzelbeträge!$C:$C,'Ausgaben 2027'!$C211,Einzelbeträge!$E:$E,'Ausgaben 2027'!F$6)</f>
        <v>0</v>
      </c>
      <c r="G211" s="21">
        <f>SUMIFS(Einzelbeträge!$D:$D,Einzelbeträge!$C:$C,'Ausgaben 2027'!$C211,Einzelbeträge!$E:$E,'Ausgaben 2027'!G$6)</f>
        <v>0</v>
      </c>
      <c r="H211" s="21">
        <f>SUMIFS(Einzelbeträge!$D:$D,Einzelbeträge!$C:$C,'Ausgaben 2027'!$C211,Einzelbeträge!$E:$E,'Ausgaben 2027'!H$6)</f>
        <v>0</v>
      </c>
      <c r="I211" s="21">
        <f>SUMIFS(Einzelbeträge!$D:$D,Einzelbeträge!$C:$C,'Ausgaben 2027'!$C211,Einzelbeträge!$E:$E,'Ausgaben 2027'!I$6)</f>
        <v>0</v>
      </c>
      <c r="J211" s="21">
        <f>SUMIFS(Einzelbeträge!$D:$D,Einzelbeträge!$C:$C,'Ausgaben 2027'!$C211,Einzelbeträge!$E:$E,'Ausgaben 2027'!J$6)</f>
        <v>0</v>
      </c>
      <c r="K211" s="21">
        <f>SUMIFS(Einzelbeträge!$D:$D,Einzelbeträge!$C:$C,'Ausgaben 2027'!$C211,Einzelbeträge!$E:$E,'Ausgaben 2027'!K$6)</f>
        <v>0</v>
      </c>
      <c r="L211" s="21">
        <f>SUMIFS(Einzelbeträge!$D:$D,Einzelbeträge!$C:$C,'Ausgaben 2027'!$C211,Einzelbeträge!$E:$E,'Ausgaben 2027'!L$6)</f>
        <v>0</v>
      </c>
      <c r="M211" s="21">
        <f>SUMIFS(Einzelbeträge!$D:$D,Einzelbeträge!$C:$C,'Ausgaben 2027'!$C211,Einzelbeträge!$E:$E,'Ausgaben 2027'!M$6)</f>
        <v>0</v>
      </c>
      <c r="N211" s="35">
        <f>SUMIFS(Einzelbeträge!$D:$D,Einzelbeträge!$C:$C,'Ausgaben 2027'!$C211,Einzelbeträge!$E:$E,'Ausgaben 2027'!N$6)</f>
        <v>0</v>
      </c>
      <c r="O211" s="6"/>
    </row>
    <row r="212" spans="2:15" x14ac:dyDescent="0.35">
      <c r="B212" s="5"/>
      <c r="C212" s="40">
        <f t="shared" si="22"/>
        <v>46574</v>
      </c>
      <c r="D212" s="46">
        <f>SUMIFS(Einzelbeträge!$D:$D,Einzelbeträge!$C:$C,'Ausgaben 2027'!$C212)</f>
        <v>0</v>
      </c>
      <c r="E212" s="21">
        <f>SUMIFS(Einzelbeträge!$D:$D,Einzelbeträge!$C:$C,'Ausgaben 2027'!$C212,Einzelbeträge!$E:$E,'Ausgaben 2027'!E$6)</f>
        <v>0</v>
      </c>
      <c r="F212" s="21">
        <f>SUMIFS(Einzelbeträge!$D:$D,Einzelbeträge!$C:$C,'Ausgaben 2027'!$C212,Einzelbeträge!$E:$E,'Ausgaben 2027'!F$6)</f>
        <v>0</v>
      </c>
      <c r="G212" s="21">
        <f>SUMIFS(Einzelbeträge!$D:$D,Einzelbeträge!$C:$C,'Ausgaben 2027'!$C212,Einzelbeträge!$E:$E,'Ausgaben 2027'!G$6)</f>
        <v>0</v>
      </c>
      <c r="H212" s="21">
        <f>SUMIFS(Einzelbeträge!$D:$D,Einzelbeträge!$C:$C,'Ausgaben 2027'!$C212,Einzelbeträge!$E:$E,'Ausgaben 2027'!H$6)</f>
        <v>0</v>
      </c>
      <c r="I212" s="21">
        <f>SUMIFS(Einzelbeträge!$D:$D,Einzelbeträge!$C:$C,'Ausgaben 2027'!$C212,Einzelbeträge!$E:$E,'Ausgaben 2027'!I$6)</f>
        <v>0</v>
      </c>
      <c r="J212" s="21">
        <f>SUMIFS(Einzelbeträge!$D:$D,Einzelbeträge!$C:$C,'Ausgaben 2027'!$C212,Einzelbeträge!$E:$E,'Ausgaben 2027'!J$6)</f>
        <v>0</v>
      </c>
      <c r="K212" s="21">
        <f>SUMIFS(Einzelbeträge!$D:$D,Einzelbeträge!$C:$C,'Ausgaben 2027'!$C212,Einzelbeträge!$E:$E,'Ausgaben 2027'!K$6)</f>
        <v>0</v>
      </c>
      <c r="L212" s="21">
        <f>SUMIFS(Einzelbeträge!$D:$D,Einzelbeträge!$C:$C,'Ausgaben 2027'!$C212,Einzelbeträge!$E:$E,'Ausgaben 2027'!L$6)</f>
        <v>0</v>
      </c>
      <c r="M212" s="21">
        <f>SUMIFS(Einzelbeträge!$D:$D,Einzelbeträge!$C:$C,'Ausgaben 2027'!$C212,Einzelbeträge!$E:$E,'Ausgaben 2027'!M$6)</f>
        <v>0</v>
      </c>
      <c r="N212" s="35">
        <f>SUMIFS(Einzelbeträge!$D:$D,Einzelbeträge!$C:$C,'Ausgaben 2027'!$C212,Einzelbeträge!$E:$E,'Ausgaben 2027'!N$6)</f>
        <v>0</v>
      </c>
      <c r="O212" s="6"/>
    </row>
    <row r="213" spans="2:15" x14ac:dyDescent="0.35">
      <c r="B213" s="5"/>
      <c r="C213" s="40">
        <f t="shared" si="22"/>
        <v>46575</v>
      </c>
      <c r="D213" s="46">
        <f>SUMIFS(Einzelbeträge!$D:$D,Einzelbeträge!$C:$C,'Ausgaben 2027'!$C213)</f>
        <v>0</v>
      </c>
      <c r="E213" s="21">
        <f>SUMIFS(Einzelbeträge!$D:$D,Einzelbeträge!$C:$C,'Ausgaben 2027'!$C213,Einzelbeträge!$E:$E,'Ausgaben 2027'!E$6)</f>
        <v>0</v>
      </c>
      <c r="F213" s="21">
        <f>SUMIFS(Einzelbeträge!$D:$D,Einzelbeträge!$C:$C,'Ausgaben 2027'!$C213,Einzelbeträge!$E:$E,'Ausgaben 2027'!F$6)</f>
        <v>0</v>
      </c>
      <c r="G213" s="21">
        <f>SUMIFS(Einzelbeträge!$D:$D,Einzelbeträge!$C:$C,'Ausgaben 2027'!$C213,Einzelbeträge!$E:$E,'Ausgaben 2027'!G$6)</f>
        <v>0</v>
      </c>
      <c r="H213" s="21">
        <f>SUMIFS(Einzelbeträge!$D:$D,Einzelbeträge!$C:$C,'Ausgaben 2027'!$C213,Einzelbeträge!$E:$E,'Ausgaben 2027'!H$6)</f>
        <v>0</v>
      </c>
      <c r="I213" s="21">
        <f>SUMIFS(Einzelbeträge!$D:$D,Einzelbeträge!$C:$C,'Ausgaben 2027'!$C213,Einzelbeträge!$E:$E,'Ausgaben 2027'!I$6)</f>
        <v>0</v>
      </c>
      <c r="J213" s="21">
        <f>SUMIFS(Einzelbeträge!$D:$D,Einzelbeträge!$C:$C,'Ausgaben 2027'!$C213,Einzelbeträge!$E:$E,'Ausgaben 2027'!J$6)</f>
        <v>0</v>
      </c>
      <c r="K213" s="21">
        <f>SUMIFS(Einzelbeträge!$D:$D,Einzelbeträge!$C:$C,'Ausgaben 2027'!$C213,Einzelbeträge!$E:$E,'Ausgaben 2027'!K$6)</f>
        <v>0</v>
      </c>
      <c r="L213" s="21">
        <f>SUMIFS(Einzelbeträge!$D:$D,Einzelbeträge!$C:$C,'Ausgaben 2027'!$C213,Einzelbeträge!$E:$E,'Ausgaben 2027'!L$6)</f>
        <v>0</v>
      </c>
      <c r="M213" s="21">
        <f>SUMIFS(Einzelbeträge!$D:$D,Einzelbeträge!$C:$C,'Ausgaben 2027'!$C213,Einzelbeträge!$E:$E,'Ausgaben 2027'!M$6)</f>
        <v>0</v>
      </c>
      <c r="N213" s="35">
        <f>SUMIFS(Einzelbeträge!$D:$D,Einzelbeträge!$C:$C,'Ausgaben 2027'!$C213,Einzelbeträge!$E:$E,'Ausgaben 2027'!N$6)</f>
        <v>0</v>
      </c>
      <c r="O213" s="6"/>
    </row>
    <row r="214" spans="2:15" x14ac:dyDescent="0.35">
      <c r="B214" s="5"/>
      <c r="C214" s="40">
        <f t="shared" si="22"/>
        <v>46576</v>
      </c>
      <c r="D214" s="46">
        <f>SUMIFS(Einzelbeträge!$D:$D,Einzelbeträge!$C:$C,'Ausgaben 2027'!$C214)</f>
        <v>0</v>
      </c>
      <c r="E214" s="21">
        <f>SUMIFS(Einzelbeträge!$D:$D,Einzelbeträge!$C:$C,'Ausgaben 2027'!$C214,Einzelbeträge!$E:$E,'Ausgaben 2027'!E$6)</f>
        <v>0</v>
      </c>
      <c r="F214" s="21">
        <f>SUMIFS(Einzelbeträge!$D:$D,Einzelbeträge!$C:$C,'Ausgaben 2027'!$C214,Einzelbeträge!$E:$E,'Ausgaben 2027'!F$6)</f>
        <v>0</v>
      </c>
      <c r="G214" s="21">
        <f>SUMIFS(Einzelbeträge!$D:$D,Einzelbeträge!$C:$C,'Ausgaben 2027'!$C214,Einzelbeträge!$E:$E,'Ausgaben 2027'!G$6)</f>
        <v>0</v>
      </c>
      <c r="H214" s="21">
        <f>SUMIFS(Einzelbeträge!$D:$D,Einzelbeträge!$C:$C,'Ausgaben 2027'!$C214,Einzelbeträge!$E:$E,'Ausgaben 2027'!H$6)</f>
        <v>0</v>
      </c>
      <c r="I214" s="21">
        <f>SUMIFS(Einzelbeträge!$D:$D,Einzelbeträge!$C:$C,'Ausgaben 2027'!$C214,Einzelbeträge!$E:$E,'Ausgaben 2027'!I$6)</f>
        <v>0</v>
      </c>
      <c r="J214" s="21">
        <f>SUMIFS(Einzelbeträge!$D:$D,Einzelbeträge!$C:$C,'Ausgaben 2027'!$C214,Einzelbeträge!$E:$E,'Ausgaben 2027'!J$6)</f>
        <v>0</v>
      </c>
      <c r="K214" s="21">
        <f>SUMIFS(Einzelbeträge!$D:$D,Einzelbeträge!$C:$C,'Ausgaben 2027'!$C214,Einzelbeträge!$E:$E,'Ausgaben 2027'!K$6)</f>
        <v>0</v>
      </c>
      <c r="L214" s="21">
        <f>SUMIFS(Einzelbeträge!$D:$D,Einzelbeträge!$C:$C,'Ausgaben 2027'!$C214,Einzelbeträge!$E:$E,'Ausgaben 2027'!L$6)</f>
        <v>0</v>
      </c>
      <c r="M214" s="21">
        <f>SUMIFS(Einzelbeträge!$D:$D,Einzelbeträge!$C:$C,'Ausgaben 2027'!$C214,Einzelbeträge!$E:$E,'Ausgaben 2027'!M$6)</f>
        <v>0</v>
      </c>
      <c r="N214" s="35">
        <f>SUMIFS(Einzelbeträge!$D:$D,Einzelbeträge!$C:$C,'Ausgaben 2027'!$C214,Einzelbeträge!$E:$E,'Ausgaben 2027'!N$6)</f>
        <v>0</v>
      </c>
      <c r="O214" s="6"/>
    </row>
    <row r="215" spans="2:15" x14ac:dyDescent="0.35">
      <c r="B215" s="5"/>
      <c r="C215" s="40">
        <f t="shared" si="22"/>
        <v>46577</v>
      </c>
      <c r="D215" s="46">
        <f>SUMIFS(Einzelbeträge!$D:$D,Einzelbeträge!$C:$C,'Ausgaben 2027'!$C215)</f>
        <v>0</v>
      </c>
      <c r="E215" s="21">
        <f>SUMIFS(Einzelbeträge!$D:$D,Einzelbeträge!$C:$C,'Ausgaben 2027'!$C215,Einzelbeträge!$E:$E,'Ausgaben 2027'!E$6)</f>
        <v>0</v>
      </c>
      <c r="F215" s="21">
        <f>SUMIFS(Einzelbeträge!$D:$D,Einzelbeträge!$C:$C,'Ausgaben 2027'!$C215,Einzelbeträge!$E:$E,'Ausgaben 2027'!F$6)</f>
        <v>0</v>
      </c>
      <c r="G215" s="21">
        <f>SUMIFS(Einzelbeträge!$D:$D,Einzelbeträge!$C:$C,'Ausgaben 2027'!$C215,Einzelbeträge!$E:$E,'Ausgaben 2027'!G$6)</f>
        <v>0</v>
      </c>
      <c r="H215" s="21">
        <f>SUMIFS(Einzelbeträge!$D:$D,Einzelbeträge!$C:$C,'Ausgaben 2027'!$C215,Einzelbeträge!$E:$E,'Ausgaben 2027'!H$6)</f>
        <v>0</v>
      </c>
      <c r="I215" s="21">
        <f>SUMIFS(Einzelbeträge!$D:$D,Einzelbeträge!$C:$C,'Ausgaben 2027'!$C215,Einzelbeträge!$E:$E,'Ausgaben 2027'!I$6)</f>
        <v>0</v>
      </c>
      <c r="J215" s="21">
        <f>SUMIFS(Einzelbeträge!$D:$D,Einzelbeträge!$C:$C,'Ausgaben 2027'!$C215,Einzelbeträge!$E:$E,'Ausgaben 2027'!J$6)</f>
        <v>0</v>
      </c>
      <c r="K215" s="21">
        <f>SUMIFS(Einzelbeträge!$D:$D,Einzelbeträge!$C:$C,'Ausgaben 2027'!$C215,Einzelbeträge!$E:$E,'Ausgaben 2027'!K$6)</f>
        <v>0</v>
      </c>
      <c r="L215" s="21">
        <f>SUMIFS(Einzelbeträge!$D:$D,Einzelbeträge!$C:$C,'Ausgaben 2027'!$C215,Einzelbeträge!$E:$E,'Ausgaben 2027'!L$6)</f>
        <v>0</v>
      </c>
      <c r="M215" s="21">
        <f>SUMIFS(Einzelbeträge!$D:$D,Einzelbeträge!$C:$C,'Ausgaben 2027'!$C215,Einzelbeträge!$E:$E,'Ausgaben 2027'!M$6)</f>
        <v>0</v>
      </c>
      <c r="N215" s="35">
        <f>SUMIFS(Einzelbeträge!$D:$D,Einzelbeträge!$C:$C,'Ausgaben 2027'!$C215,Einzelbeträge!$E:$E,'Ausgaben 2027'!N$6)</f>
        <v>0</v>
      </c>
      <c r="O215" s="6"/>
    </row>
    <row r="216" spans="2:15" x14ac:dyDescent="0.35">
      <c r="B216" s="5"/>
      <c r="C216" s="40">
        <f t="shared" si="22"/>
        <v>46578</v>
      </c>
      <c r="D216" s="46">
        <f>SUMIFS(Einzelbeträge!$D:$D,Einzelbeträge!$C:$C,'Ausgaben 2027'!$C216)</f>
        <v>0</v>
      </c>
      <c r="E216" s="21">
        <f>SUMIFS(Einzelbeträge!$D:$D,Einzelbeträge!$C:$C,'Ausgaben 2027'!$C216,Einzelbeträge!$E:$E,'Ausgaben 2027'!E$6)</f>
        <v>0</v>
      </c>
      <c r="F216" s="21">
        <f>SUMIFS(Einzelbeträge!$D:$D,Einzelbeträge!$C:$C,'Ausgaben 2027'!$C216,Einzelbeträge!$E:$E,'Ausgaben 2027'!F$6)</f>
        <v>0</v>
      </c>
      <c r="G216" s="21">
        <f>SUMIFS(Einzelbeträge!$D:$D,Einzelbeträge!$C:$C,'Ausgaben 2027'!$C216,Einzelbeträge!$E:$E,'Ausgaben 2027'!G$6)</f>
        <v>0</v>
      </c>
      <c r="H216" s="21">
        <f>SUMIFS(Einzelbeträge!$D:$D,Einzelbeträge!$C:$C,'Ausgaben 2027'!$C216,Einzelbeträge!$E:$E,'Ausgaben 2027'!H$6)</f>
        <v>0</v>
      </c>
      <c r="I216" s="21">
        <f>SUMIFS(Einzelbeträge!$D:$D,Einzelbeträge!$C:$C,'Ausgaben 2027'!$C216,Einzelbeträge!$E:$E,'Ausgaben 2027'!I$6)</f>
        <v>0</v>
      </c>
      <c r="J216" s="21">
        <f>SUMIFS(Einzelbeträge!$D:$D,Einzelbeträge!$C:$C,'Ausgaben 2027'!$C216,Einzelbeträge!$E:$E,'Ausgaben 2027'!J$6)</f>
        <v>0</v>
      </c>
      <c r="K216" s="21">
        <f>SUMIFS(Einzelbeträge!$D:$D,Einzelbeträge!$C:$C,'Ausgaben 2027'!$C216,Einzelbeträge!$E:$E,'Ausgaben 2027'!K$6)</f>
        <v>0</v>
      </c>
      <c r="L216" s="21">
        <f>SUMIFS(Einzelbeträge!$D:$D,Einzelbeträge!$C:$C,'Ausgaben 2027'!$C216,Einzelbeträge!$E:$E,'Ausgaben 2027'!L$6)</f>
        <v>0</v>
      </c>
      <c r="M216" s="21">
        <f>SUMIFS(Einzelbeträge!$D:$D,Einzelbeträge!$C:$C,'Ausgaben 2027'!$C216,Einzelbeträge!$E:$E,'Ausgaben 2027'!M$6)</f>
        <v>0</v>
      </c>
      <c r="N216" s="35">
        <f>SUMIFS(Einzelbeträge!$D:$D,Einzelbeträge!$C:$C,'Ausgaben 2027'!$C216,Einzelbeträge!$E:$E,'Ausgaben 2027'!N$6)</f>
        <v>0</v>
      </c>
      <c r="O216" s="6"/>
    </row>
    <row r="217" spans="2:15" x14ac:dyDescent="0.35">
      <c r="B217" s="5"/>
      <c r="C217" s="40">
        <f t="shared" si="22"/>
        <v>46579</v>
      </c>
      <c r="D217" s="46">
        <f>SUMIFS(Einzelbeträge!$D:$D,Einzelbeträge!$C:$C,'Ausgaben 2027'!$C217)</f>
        <v>0</v>
      </c>
      <c r="E217" s="21">
        <f>SUMIFS(Einzelbeträge!$D:$D,Einzelbeträge!$C:$C,'Ausgaben 2027'!$C217,Einzelbeträge!$E:$E,'Ausgaben 2027'!E$6)</f>
        <v>0</v>
      </c>
      <c r="F217" s="21">
        <f>SUMIFS(Einzelbeträge!$D:$D,Einzelbeträge!$C:$C,'Ausgaben 2027'!$C217,Einzelbeträge!$E:$E,'Ausgaben 2027'!F$6)</f>
        <v>0</v>
      </c>
      <c r="G217" s="21">
        <f>SUMIFS(Einzelbeträge!$D:$D,Einzelbeträge!$C:$C,'Ausgaben 2027'!$C217,Einzelbeträge!$E:$E,'Ausgaben 2027'!G$6)</f>
        <v>0</v>
      </c>
      <c r="H217" s="21">
        <f>SUMIFS(Einzelbeträge!$D:$D,Einzelbeträge!$C:$C,'Ausgaben 2027'!$C217,Einzelbeträge!$E:$E,'Ausgaben 2027'!H$6)</f>
        <v>0</v>
      </c>
      <c r="I217" s="21">
        <f>SUMIFS(Einzelbeträge!$D:$D,Einzelbeträge!$C:$C,'Ausgaben 2027'!$C217,Einzelbeträge!$E:$E,'Ausgaben 2027'!I$6)</f>
        <v>0</v>
      </c>
      <c r="J217" s="21">
        <f>SUMIFS(Einzelbeträge!$D:$D,Einzelbeträge!$C:$C,'Ausgaben 2027'!$C217,Einzelbeträge!$E:$E,'Ausgaben 2027'!J$6)</f>
        <v>0</v>
      </c>
      <c r="K217" s="21">
        <f>SUMIFS(Einzelbeträge!$D:$D,Einzelbeträge!$C:$C,'Ausgaben 2027'!$C217,Einzelbeträge!$E:$E,'Ausgaben 2027'!K$6)</f>
        <v>0</v>
      </c>
      <c r="L217" s="21">
        <f>SUMIFS(Einzelbeträge!$D:$D,Einzelbeträge!$C:$C,'Ausgaben 2027'!$C217,Einzelbeträge!$E:$E,'Ausgaben 2027'!L$6)</f>
        <v>0</v>
      </c>
      <c r="M217" s="21">
        <f>SUMIFS(Einzelbeträge!$D:$D,Einzelbeträge!$C:$C,'Ausgaben 2027'!$C217,Einzelbeträge!$E:$E,'Ausgaben 2027'!M$6)</f>
        <v>0</v>
      </c>
      <c r="N217" s="35">
        <f>SUMIFS(Einzelbeträge!$D:$D,Einzelbeträge!$C:$C,'Ausgaben 2027'!$C217,Einzelbeträge!$E:$E,'Ausgaben 2027'!N$6)</f>
        <v>0</v>
      </c>
      <c r="O217" s="6"/>
    </row>
    <row r="218" spans="2:15" x14ac:dyDescent="0.35">
      <c r="B218" s="5"/>
      <c r="C218" s="40">
        <f t="shared" si="22"/>
        <v>46580</v>
      </c>
      <c r="D218" s="46">
        <f>SUMIFS(Einzelbeträge!$D:$D,Einzelbeträge!$C:$C,'Ausgaben 2027'!$C218)</f>
        <v>0</v>
      </c>
      <c r="E218" s="21">
        <f>SUMIFS(Einzelbeträge!$D:$D,Einzelbeträge!$C:$C,'Ausgaben 2027'!$C218,Einzelbeträge!$E:$E,'Ausgaben 2027'!E$6)</f>
        <v>0</v>
      </c>
      <c r="F218" s="21">
        <f>SUMIFS(Einzelbeträge!$D:$D,Einzelbeträge!$C:$C,'Ausgaben 2027'!$C218,Einzelbeträge!$E:$E,'Ausgaben 2027'!F$6)</f>
        <v>0</v>
      </c>
      <c r="G218" s="21">
        <f>SUMIFS(Einzelbeträge!$D:$D,Einzelbeträge!$C:$C,'Ausgaben 2027'!$C218,Einzelbeträge!$E:$E,'Ausgaben 2027'!G$6)</f>
        <v>0</v>
      </c>
      <c r="H218" s="21">
        <f>SUMIFS(Einzelbeträge!$D:$D,Einzelbeträge!$C:$C,'Ausgaben 2027'!$C218,Einzelbeträge!$E:$E,'Ausgaben 2027'!H$6)</f>
        <v>0</v>
      </c>
      <c r="I218" s="21">
        <f>SUMIFS(Einzelbeträge!$D:$D,Einzelbeträge!$C:$C,'Ausgaben 2027'!$C218,Einzelbeträge!$E:$E,'Ausgaben 2027'!I$6)</f>
        <v>0</v>
      </c>
      <c r="J218" s="21">
        <f>SUMIFS(Einzelbeträge!$D:$D,Einzelbeträge!$C:$C,'Ausgaben 2027'!$C218,Einzelbeträge!$E:$E,'Ausgaben 2027'!J$6)</f>
        <v>0</v>
      </c>
      <c r="K218" s="21">
        <f>SUMIFS(Einzelbeträge!$D:$D,Einzelbeträge!$C:$C,'Ausgaben 2027'!$C218,Einzelbeträge!$E:$E,'Ausgaben 2027'!K$6)</f>
        <v>0</v>
      </c>
      <c r="L218" s="21">
        <f>SUMIFS(Einzelbeträge!$D:$D,Einzelbeträge!$C:$C,'Ausgaben 2027'!$C218,Einzelbeträge!$E:$E,'Ausgaben 2027'!L$6)</f>
        <v>0</v>
      </c>
      <c r="M218" s="21">
        <f>SUMIFS(Einzelbeträge!$D:$D,Einzelbeträge!$C:$C,'Ausgaben 2027'!$C218,Einzelbeträge!$E:$E,'Ausgaben 2027'!M$6)</f>
        <v>0</v>
      </c>
      <c r="N218" s="35">
        <f>SUMIFS(Einzelbeträge!$D:$D,Einzelbeträge!$C:$C,'Ausgaben 2027'!$C218,Einzelbeträge!$E:$E,'Ausgaben 2027'!N$6)</f>
        <v>0</v>
      </c>
      <c r="O218" s="6"/>
    </row>
    <row r="219" spans="2:15" x14ac:dyDescent="0.35">
      <c r="B219" s="5"/>
      <c r="C219" s="40">
        <f t="shared" si="22"/>
        <v>46581</v>
      </c>
      <c r="D219" s="46">
        <f>SUMIFS(Einzelbeträge!$D:$D,Einzelbeträge!$C:$C,'Ausgaben 2027'!$C219)</f>
        <v>0</v>
      </c>
      <c r="E219" s="21">
        <f>SUMIFS(Einzelbeträge!$D:$D,Einzelbeträge!$C:$C,'Ausgaben 2027'!$C219,Einzelbeträge!$E:$E,'Ausgaben 2027'!E$6)</f>
        <v>0</v>
      </c>
      <c r="F219" s="21">
        <f>SUMIFS(Einzelbeträge!$D:$D,Einzelbeträge!$C:$C,'Ausgaben 2027'!$C219,Einzelbeträge!$E:$E,'Ausgaben 2027'!F$6)</f>
        <v>0</v>
      </c>
      <c r="G219" s="21">
        <f>SUMIFS(Einzelbeträge!$D:$D,Einzelbeträge!$C:$C,'Ausgaben 2027'!$C219,Einzelbeträge!$E:$E,'Ausgaben 2027'!G$6)</f>
        <v>0</v>
      </c>
      <c r="H219" s="21">
        <f>SUMIFS(Einzelbeträge!$D:$D,Einzelbeträge!$C:$C,'Ausgaben 2027'!$C219,Einzelbeträge!$E:$E,'Ausgaben 2027'!H$6)</f>
        <v>0</v>
      </c>
      <c r="I219" s="21">
        <f>SUMIFS(Einzelbeträge!$D:$D,Einzelbeträge!$C:$C,'Ausgaben 2027'!$C219,Einzelbeträge!$E:$E,'Ausgaben 2027'!I$6)</f>
        <v>0</v>
      </c>
      <c r="J219" s="21">
        <f>SUMIFS(Einzelbeträge!$D:$D,Einzelbeträge!$C:$C,'Ausgaben 2027'!$C219,Einzelbeträge!$E:$E,'Ausgaben 2027'!J$6)</f>
        <v>0</v>
      </c>
      <c r="K219" s="21">
        <f>SUMIFS(Einzelbeträge!$D:$D,Einzelbeträge!$C:$C,'Ausgaben 2027'!$C219,Einzelbeträge!$E:$E,'Ausgaben 2027'!K$6)</f>
        <v>0</v>
      </c>
      <c r="L219" s="21">
        <f>SUMIFS(Einzelbeträge!$D:$D,Einzelbeträge!$C:$C,'Ausgaben 2027'!$C219,Einzelbeträge!$E:$E,'Ausgaben 2027'!L$6)</f>
        <v>0</v>
      </c>
      <c r="M219" s="21">
        <f>SUMIFS(Einzelbeträge!$D:$D,Einzelbeträge!$C:$C,'Ausgaben 2027'!$C219,Einzelbeträge!$E:$E,'Ausgaben 2027'!M$6)</f>
        <v>0</v>
      </c>
      <c r="N219" s="35">
        <f>SUMIFS(Einzelbeträge!$D:$D,Einzelbeträge!$C:$C,'Ausgaben 2027'!$C219,Einzelbeträge!$E:$E,'Ausgaben 2027'!N$6)</f>
        <v>0</v>
      </c>
      <c r="O219" s="6"/>
    </row>
    <row r="220" spans="2:15" x14ac:dyDescent="0.35">
      <c r="B220" s="5"/>
      <c r="C220" s="40">
        <f t="shared" si="22"/>
        <v>46582</v>
      </c>
      <c r="D220" s="46">
        <f>SUMIFS(Einzelbeträge!$D:$D,Einzelbeträge!$C:$C,'Ausgaben 2027'!$C220)</f>
        <v>0</v>
      </c>
      <c r="E220" s="21">
        <f>SUMIFS(Einzelbeträge!$D:$D,Einzelbeträge!$C:$C,'Ausgaben 2027'!$C220,Einzelbeträge!$E:$E,'Ausgaben 2027'!E$6)</f>
        <v>0</v>
      </c>
      <c r="F220" s="21">
        <f>SUMIFS(Einzelbeträge!$D:$D,Einzelbeträge!$C:$C,'Ausgaben 2027'!$C220,Einzelbeträge!$E:$E,'Ausgaben 2027'!F$6)</f>
        <v>0</v>
      </c>
      <c r="G220" s="21">
        <f>SUMIFS(Einzelbeträge!$D:$D,Einzelbeträge!$C:$C,'Ausgaben 2027'!$C220,Einzelbeträge!$E:$E,'Ausgaben 2027'!G$6)</f>
        <v>0</v>
      </c>
      <c r="H220" s="21">
        <f>SUMIFS(Einzelbeträge!$D:$D,Einzelbeträge!$C:$C,'Ausgaben 2027'!$C220,Einzelbeträge!$E:$E,'Ausgaben 2027'!H$6)</f>
        <v>0</v>
      </c>
      <c r="I220" s="21">
        <f>SUMIFS(Einzelbeträge!$D:$D,Einzelbeträge!$C:$C,'Ausgaben 2027'!$C220,Einzelbeträge!$E:$E,'Ausgaben 2027'!I$6)</f>
        <v>0</v>
      </c>
      <c r="J220" s="21">
        <f>SUMIFS(Einzelbeträge!$D:$D,Einzelbeträge!$C:$C,'Ausgaben 2027'!$C220,Einzelbeträge!$E:$E,'Ausgaben 2027'!J$6)</f>
        <v>0</v>
      </c>
      <c r="K220" s="21">
        <f>SUMIFS(Einzelbeträge!$D:$D,Einzelbeträge!$C:$C,'Ausgaben 2027'!$C220,Einzelbeträge!$E:$E,'Ausgaben 2027'!K$6)</f>
        <v>0</v>
      </c>
      <c r="L220" s="21">
        <f>SUMIFS(Einzelbeträge!$D:$D,Einzelbeträge!$C:$C,'Ausgaben 2027'!$C220,Einzelbeträge!$E:$E,'Ausgaben 2027'!L$6)</f>
        <v>0</v>
      </c>
      <c r="M220" s="21">
        <f>SUMIFS(Einzelbeträge!$D:$D,Einzelbeträge!$C:$C,'Ausgaben 2027'!$C220,Einzelbeträge!$E:$E,'Ausgaben 2027'!M$6)</f>
        <v>0</v>
      </c>
      <c r="N220" s="35">
        <f>SUMIFS(Einzelbeträge!$D:$D,Einzelbeträge!$C:$C,'Ausgaben 2027'!$C220,Einzelbeträge!$E:$E,'Ausgaben 2027'!N$6)</f>
        <v>0</v>
      </c>
      <c r="O220" s="6"/>
    </row>
    <row r="221" spans="2:15" x14ac:dyDescent="0.35">
      <c r="B221" s="5"/>
      <c r="C221" s="40">
        <f t="shared" si="22"/>
        <v>46583</v>
      </c>
      <c r="D221" s="46">
        <f>SUMIFS(Einzelbeträge!$D:$D,Einzelbeträge!$C:$C,'Ausgaben 2027'!$C221)</f>
        <v>0</v>
      </c>
      <c r="E221" s="21">
        <f>SUMIFS(Einzelbeträge!$D:$D,Einzelbeträge!$C:$C,'Ausgaben 2027'!$C221,Einzelbeträge!$E:$E,'Ausgaben 2027'!E$6)</f>
        <v>0</v>
      </c>
      <c r="F221" s="21">
        <f>SUMIFS(Einzelbeträge!$D:$D,Einzelbeträge!$C:$C,'Ausgaben 2027'!$C221,Einzelbeträge!$E:$E,'Ausgaben 2027'!F$6)</f>
        <v>0</v>
      </c>
      <c r="G221" s="21">
        <f>SUMIFS(Einzelbeträge!$D:$D,Einzelbeträge!$C:$C,'Ausgaben 2027'!$C221,Einzelbeträge!$E:$E,'Ausgaben 2027'!G$6)</f>
        <v>0</v>
      </c>
      <c r="H221" s="21">
        <f>SUMIFS(Einzelbeträge!$D:$D,Einzelbeträge!$C:$C,'Ausgaben 2027'!$C221,Einzelbeträge!$E:$E,'Ausgaben 2027'!H$6)</f>
        <v>0</v>
      </c>
      <c r="I221" s="21">
        <f>SUMIFS(Einzelbeträge!$D:$D,Einzelbeträge!$C:$C,'Ausgaben 2027'!$C221,Einzelbeträge!$E:$E,'Ausgaben 2027'!I$6)</f>
        <v>0</v>
      </c>
      <c r="J221" s="21">
        <f>SUMIFS(Einzelbeträge!$D:$D,Einzelbeträge!$C:$C,'Ausgaben 2027'!$C221,Einzelbeträge!$E:$E,'Ausgaben 2027'!J$6)</f>
        <v>0</v>
      </c>
      <c r="K221" s="21">
        <f>SUMIFS(Einzelbeträge!$D:$D,Einzelbeträge!$C:$C,'Ausgaben 2027'!$C221,Einzelbeträge!$E:$E,'Ausgaben 2027'!K$6)</f>
        <v>0</v>
      </c>
      <c r="L221" s="21">
        <f>SUMIFS(Einzelbeträge!$D:$D,Einzelbeträge!$C:$C,'Ausgaben 2027'!$C221,Einzelbeträge!$E:$E,'Ausgaben 2027'!L$6)</f>
        <v>0</v>
      </c>
      <c r="M221" s="21">
        <f>SUMIFS(Einzelbeträge!$D:$D,Einzelbeträge!$C:$C,'Ausgaben 2027'!$C221,Einzelbeträge!$E:$E,'Ausgaben 2027'!M$6)</f>
        <v>0</v>
      </c>
      <c r="N221" s="35">
        <f>SUMIFS(Einzelbeträge!$D:$D,Einzelbeträge!$C:$C,'Ausgaben 2027'!$C221,Einzelbeträge!$E:$E,'Ausgaben 2027'!N$6)</f>
        <v>0</v>
      </c>
      <c r="O221" s="6"/>
    </row>
    <row r="222" spans="2:15" x14ac:dyDescent="0.35">
      <c r="B222" s="5"/>
      <c r="C222" s="40">
        <f t="shared" si="22"/>
        <v>46584</v>
      </c>
      <c r="D222" s="46">
        <f>SUMIFS(Einzelbeträge!$D:$D,Einzelbeträge!$C:$C,'Ausgaben 2027'!$C222)</f>
        <v>0</v>
      </c>
      <c r="E222" s="21">
        <f>SUMIFS(Einzelbeträge!$D:$D,Einzelbeträge!$C:$C,'Ausgaben 2027'!$C222,Einzelbeträge!$E:$E,'Ausgaben 2027'!E$6)</f>
        <v>0</v>
      </c>
      <c r="F222" s="21">
        <f>SUMIFS(Einzelbeträge!$D:$D,Einzelbeträge!$C:$C,'Ausgaben 2027'!$C222,Einzelbeträge!$E:$E,'Ausgaben 2027'!F$6)</f>
        <v>0</v>
      </c>
      <c r="G222" s="21">
        <f>SUMIFS(Einzelbeträge!$D:$D,Einzelbeträge!$C:$C,'Ausgaben 2027'!$C222,Einzelbeträge!$E:$E,'Ausgaben 2027'!G$6)</f>
        <v>0</v>
      </c>
      <c r="H222" s="21">
        <f>SUMIFS(Einzelbeträge!$D:$D,Einzelbeträge!$C:$C,'Ausgaben 2027'!$C222,Einzelbeträge!$E:$E,'Ausgaben 2027'!H$6)</f>
        <v>0</v>
      </c>
      <c r="I222" s="21">
        <f>SUMIFS(Einzelbeträge!$D:$D,Einzelbeträge!$C:$C,'Ausgaben 2027'!$C222,Einzelbeträge!$E:$E,'Ausgaben 2027'!I$6)</f>
        <v>0</v>
      </c>
      <c r="J222" s="21">
        <f>SUMIFS(Einzelbeträge!$D:$D,Einzelbeträge!$C:$C,'Ausgaben 2027'!$C222,Einzelbeträge!$E:$E,'Ausgaben 2027'!J$6)</f>
        <v>0</v>
      </c>
      <c r="K222" s="21">
        <f>SUMIFS(Einzelbeträge!$D:$D,Einzelbeträge!$C:$C,'Ausgaben 2027'!$C222,Einzelbeträge!$E:$E,'Ausgaben 2027'!K$6)</f>
        <v>0</v>
      </c>
      <c r="L222" s="21">
        <f>SUMIFS(Einzelbeträge!$D:$D,Einzelbeträge!$C:$C,'Ausgaben 2027'!$C222,Einzelbeträge!$E:$E,'Ausgaben 2027'!L$6)</f>
        <v>0</v>
      </c>
      <c r="M222" s="21">
        <f>SUMIFS(Einzelbeträge!$D:$D,Einzelbeträge!$C:$C,'Ausgaben 2027'!$C222,Einzelbeträge!$E:$E,'Ausgaben 2027'!M$6)</f>
        <v>0</v>
      </c>
      <c r="N222" s="35">
        <f>SUMIFS(Einzelbeträge!$D:$D,Einzelbeträge!$C:$C,'Ausgaben 2027'!$C222,Einzelbeträge!$E:$E,'Ausgaben 2027'!N$6)</f>
        <v>0</v>
      </c>
      <c r="O222" s="6"/>
    </row>
    <row r="223" spans="2:15" x14ac:dyDescent="0.35">
      <c r="B223" s="5"/>
      <c r="C223" s="40">
        <f t="shared" si="22"/>
        <v>46585</v>
      </c>
      <c r="D223" s="46">
        <f>SUMIFS(Einzelbeträge!$D:$D,Einzelbeträge!$C:$C,'Ausgaben 2027'!$C223)</f>
        <v>0</v>
      </c>
      <c r="E223" s="21">
        <f>SUMIFS(Einzelbeträge!$D:$D,Einzelbeträge!$C:$C,'Ausgaben 2027'!$C223,Einzelbeträge!$E:$E,'Ausgaben 2027'!E$6)</f>
        <v>0</v>
      </c>
      <c r="F223" s="21">
        <f>SUMIFS(Einzelbeträge!$D:$D,Einzelbeträge!$C:$C,'Ausgaben 2027'!$C223,Einzelbeträge!$E:$E,'Ausgaben 2027'!F$6)</f>
        <v>0</v>
      </c>
      <c r="G223" s="21">
        <f>SUMIFS(Einzelbeträge!$D:$D,Einzelbeträge!$C:$C,'Ausgaben 2027'!$C223,Einzelbeträge!$E:$E,'Ausgaben 2027'!G$6)</f>
        <v>0</v>
      </c>
      <c r="H223" s="21">
        <f>SUMIFS(Einzelbeträge!$D:$D,Einzelbeträge!$C:$C,'Ausgaben 2027'!$C223,Einzelbeträge!$E:$E,'Ausgaben 2027'!H$6)</f>
        <v>0</v>
      </c>
      <c r="I223" s="21">
        <f>SUMIFS(Einzelbeträge!$D:$D,Einzelbeträge!$C:$C,'Ausgaben 2027'!$C223,Einzelbeträge!$E:$E,'Ausgaben 2027'!I$6)</f>
        <v>0</v>
      </c>
      <c r="J223" s="21">
        <f>SUMIFS(Einzelbeträge!$D:$D,Einzelbeträge!$C:$C,'Ausgaben 2027'!$C223,Einzelbeträge!$E:$E,'Ausgaben 2027'!J$6)</f>
        <v>0</v>
      </c>
      <c r="K223" s="21">
        <f>SUMIFS(Einzelbeträge!$D:$D,Einzelbeträge!$C:$C,'Ausgaben 2027'!$C223,Einzelbeträge!$E:$E,'Ausgaben 2027'!K$6)</f>
        <v>0</v>
      </c>
      <c r="L223" s="21">
        <f>SUMIFS(Einzelbeträge!$D:$D,Einzelbeträge!$C:$C,'Ausgaben 2027'!$C223,Einzelbeträge!$E:$E,'Ausgaben 2027'!L$6)</f>
        <v>0</v>
      </c>
      <c r="M223" s="21">
        <f>SUMIFS(Einzelbeträge!$D:$D,Einzelbeträge!$C:$C,'Ausgaben 2027'!$C223,Einzelbeträge!$E:$E,'Ausgaben 2027'!M$6)</f>
        <v>0</v>
      </c>
      <c r="N223" s="35">
        <f>SUMIFS(Einzelbeträge!$D:$D,Einzelbeträge!$C:$C,'Ausgaben 2027'!$C223,Einzelbeträge!$E:$E,'Ausgaben 2027'!N$6)</f>
        <v>0</v>
      </c>
      <c r="O223" s="6"/>
    </row>
    <row r="224" spans="2:15" x14ac:dyDescent="0.35">
      <c r="B224" s="5"/>
      <c r="C224" s="40">
        <f t="shared" si="22"/>
        <v>46586</v>
      </c>
      <c r="D224" s="46">
        <f>SUMIFS(Einzelbeträge!$D:$D,Einzelbeträge!$C:$C,'Ausgaben 2027'!$C224)</f>
        <v>0</v>
      </c>
      <c r="E224" s="21">
        <f>SUMIFS(Einzelbeträge!$D:$D,Einzelbeträge!$C:$C,'Ausgaben 2027'!$C224,Einzelbeträge!$E:$E,'Ausgaben 2027'!E$6)</f>
        <v>0</v>
      </c>
      <c r="F224" s="21">
        <f>SUMIFS(Einzelbeträge!$D:$D,Einzelbeträge!$C:$C,'Ausgaben 2027'!$C224,Einzelbeträge!$E:$E,'Ausgaben 2027'!F$6)</f>
        <v>0</v>
      </c>
      <c r="G224" s="21">
        <f>SUMIFS(Einzelbeträge!$D:$D,Einzelbeträge!$C:$C,'Ausgaben 2027'!$C224,Einzelbeträge!$E:$E,'Ausgaben 2027'!G$6)</f>
        <v>0</v>
      </c>
      <c r="H224" s="21">
        <f>SUMIFS(Einzelbeträge!$D:$D,Einzelbeträge!$C:$C,'Ausgaben 2027'!$C224,Einzelbeträge!$E:$E,'Ausgaben 2027'!H$6)</f>
        <v>0</v>
      </c>
      <c r="I224" s="21">
        <f>SUMIFS(Einzelbeträge!$D:$D,Einzelbeträge!$C:$C,'Ausgaben 2027'!$C224,Einzelbeträge!$E:$E,'Ausgaben 2027'!I$6)</f>
        <v>0</v>
      </c>
      <c r="J224" s="21">
        <f>SUMIFS(Einzelbeträge!$D:$D,Einzelbeträge!$C:$C,'Ausgaben 2027'!$C224,Einzelbeträge!$E:$E,'Ausgaben 2027'!J$6)</f>
        <v>0</v>
      </c>
      <c r="K224" s="21">
        <f>SUMIFS(Einzelbeträge!$D:$D,Einzelbeträge!$C:$C,'Ausgaben 2027'!$C224,Einzelbeträge!$E:$E,'Ausgaben 2027'!K$6)</f>
        <v>0</v>
      </c>
      <c r="L224" s="21">
        <f>SUMIFS(Einzelbeträge!$D:$D,Einzelbeträge!$C:$C,'Ausgaben 2027'!$C224,Einzelbeträge!$E:$E,'Ausgaben 2027'!L$6)</f>
        <v>0</v>
      </c>
      <c r="M224" s="21">
        <f>SUMIFS(Einzelbeträge!$D:$D,Einzelbeträge!$C:$C,'Ausgaben 2027'!$C224,Einzelbeträge!$E:$E,'Ausgaben 2027'!M$6)</f>
        <v>0</v>
      </c>
      <c r="N224" s="35">
        <f>SUMIFS(Einzelbeträge!$D:$D,Einzelbeträge!$C:$C,'Ausgaben 2027'!$C224,Einzelbeträge!$E:$E,'Ausgaben 2027'!N$6)</f>
        <v>0</v>
      </c>
      <c r="O224" s="6"/>
    </row>
    <row r="225" spans="2:15" x14ac:dyDescent="0.35">
      <c r="B225" s="5"/>
      <c r="C225" s="40">
        <f t="shared" si="22"/>
        <v>46587</v>
      </c>
      <c r="D225" s="46">
        <f>SUMIFS(Einzelbeträge!$D:$D,Einzelbeträge!$C:$C,'Ausgaben 2027'!$C225)</f>
        <v>0</v>
      </c>
      <c r="E225" s="21">
        <f>SUMIFS(Einzelbeträge!$D:$D,Einzelbeträge!$C:$C,'Ausgaben 2027'!$C225,Einzelbeträge!$E:$E,'Ausgaben 2027'!E$6)</f>
        <v>0</v>
      </c>
      <c r="F225" s="21">
        <f>SUMIFS(Einzelbeträge!$D:$D,Einzelbeträge!$C:$C,'Ausgaben 2027'!$C225,Einzelbeträge!$E:$E,'Ausgaben 2027'!F$6)</f>
        <v>0</v>
      </c>
      <c r="G225" s="21">
        <f>SUMIFS(Einzelbeträge!$D:$D,Einzelbeträge!$C:$C,'Ausgaben 2027'!$C225,Einzelbeträge!$E:$E,'Ausgaben 2027'!G$6)</f>
        <v>0</v>
      </c>
      <c r="H225" s="21">
        <f>SUMIFS(Einzelbeträge!$D:$D,Einzelbeträge!$C:$C,'Ausgaben 2027'!$C225,Einzelbeträge!$E:$E,'Ausgaben 2027'!H$6)</f>
        <v>0</v>
      </c>
      <c r="I225" s="21">
        <f>SUMIFS(Einzelbeträge!$D:$D,Einzelbeträge!$C:$C,'Ausgaben 2027'!$C225,Einzelbeträge!$E:$E,'Ausgaben 2027'!I$6)</f>
        <v>0</v>
      </c>
      <c r="J225" s="21">
        <f>SUMIFS(Einzelbeträge!$D:$D,Einzelbeträge!$C:$C,'Ausgaben 2027'!$C225,Einzelbeträge!$E:$E,'Ausgaben 2027'!J$6)</f>
        <v>0</v>
      </c>
      <c r="K225" s="21">
        <f>SUMIFS(Einzelbeträge!$D:$D,Einzelbeträge!$C:$C,'Ausgaben 2027'!$C225,Einzelbeträge!$E:$E,'Ausgaben 2027'!K$6)</f>
        <v>0</v>
      </c>
      <c r="L225" s="21">
        <f>SUMIFS(Einzelbeträge!$D:$D,Einzelbeträge!$C:$C,'Ausgaben 2027'!$C225,Einzelbeträge!$E:$E,'Ausgaben 2027'!L$6)</f>
        <v>0</v>
      </c>
      <c r="M225" s="21">
        <f>SUMIFS(Einzelbeträge!$D:$D,Einzelbeträge!$C:$C,'Ausgaben 2027'!$C225,Einzelbeträge!$E:$E,'Ausgaben 2027'!M$6)</f>
        <v>0</v>
      </c>
      <c r="N225" s="35">
        <f>SUMIFS(Einzelbeträge!$D:$D,Einzelbeträge!$C:$C,'Ausgaben 2027'!$C225,Einzelbeträge!$E:$E,'Ausgaben 2027'!N$6)</f>
        <v>0</v>
      </c>
      <c r="O225" s="6"/>
    </row>
    <row r="226" spans="2:15" x14ac:dyDescent="0.35">
      <c r="B226" s="5"/>
      <c r="C226" s="40">
        <f t="shared" si="22"/>
        <v>46588</v>
      </c>
      <c r="D226" s="46">
        <f>SUMIFS(Einzelbeträge!$D:$D,Einzelbeträge!$C:$C,'Ausgaben 2027'!$C226)</f>
        <v>0</v>
      </c>
      <c r="E226" s="21">
        <f>SUMIFS(Einzelbeträge!$D:$D,Einzelbeträge!$C:$C,'Ausgaben 2027'!$C226,Einzelbeträge!$E:$E,'Ausgaben 2027'!E$6)</f>
        <v>0</v>
      </c>
      <c r="F226" s="21">
        <f>SUMIFS(Einzelbeträge!$D:$D,Einzelbeträge!$C:$C,'Ausgaben 2027'!$C226,Einzelbeträge!$E:$E,'Ausgaben 2027'!F$6)</f>
        <v>0</v>
      </c>
      <c r="G226" s="21">
        <f>SUMIFS(Einzelbeträge!$D:$D,Einzelbeträge!$C:$C,'Ausgaben 2027'!$C226,Einzelbeträge!$E:$E,'Ausgaben 2027'!G$6)</f>
        <v>0</v>
      </c>
      <c r="H226" s="21">
        <f>SUMIFS(Einzelbeträge!$D:$D,Einzelbeträge!$C:$C,'Ausgaben 2027'!$C226,Einzelbeträge!$E:$E,'Ausgaben 2027'!H$6)</f>
        <v>0</v>
      </c>
      <c r="I226" s="21">
        <f>SUMIFS(Einzelbeträge!$D:$D,Einzelbeträge!$C:$C,'Ausgaben 2027'!$C226,Einzelbeträge!$E:$E,'Ausgaben 2027'!I$6)</f>
        <v>0</v>
      </c>
      <c r="J226" s="21">
        <f>SUMIFS(Einzelbeträge!$D:$D,Einzelbeträge!$C:$C,'Ausgaben 2027'!$C226,Einzelbeträge!$E:$E,'Ausgaben 2027'!J$6)</f>
        <v>0</v>
      </c>
      <c r="K226" s="21">
        <f>SUMIFS(Einzelbeträge!$D:$D,Einzelbeträge!$C:$C,'Ausgaben 2027'!$C226,Einzelbeträge!$E:$E,'Ausgaben 2027'!K$6)</f>
        <v>0</v>
      </c>
      <c r="L226" s="21">
        <f>SUMIFS(Einzelbeträge!$D:$D,Einzelbeträge!$C:$C,'Ausgaben 2027'!$C226,Einzelbeträge!$E:$E,'Ausgaben 2027'!L$6)</f>
        <v>0</v>
      </c>
      <c r="M226" s="21">
        <f>SUMIFS(Einzelbeträge!$D:$D,Einzelbeträge!$C:$C,'Ausgaben 2027'!$C226,Einzelbeträge!$E:$E,'Ausgaben 2027'!M$6)</f>
        <v>0</v>
      </c>
      <c r="N226" s="35">
        <f>SUMIFS(Einzelbeträge!$D:$D,Einzelbeträge!$C:$C,'Ausgaben 2027'!$C226,Einzelbeträge!$E:$E,'Ausgaben 2027'!N$6)</f>
        <v>0</v>
      </c>
      <c r="O226" s="6"/>
    </row>
    <row r="227" spans="2:15" x14ac:dyDescent="0.35">
      <c r="B227" s="5"/>
      <c r="C227" s="40">
        <f t="shared" si="22"/>
        <v>46589</v>
      </c>
      <c r="D227" s="46">
        <f>SUMIFS(Einzelbeträge!$D:$D,Einzelbeträge!$C:$C,'Ausgaben 2027'!$C227)</f>
        <v>0</v>
      </c>
      <c r="E227" s="21">
        <f>SUMIFS(Einzelbeträge!$D:$D,Einzelbeträge!$C:$C,'Ausgaben 2027'!$C227,Einzelbeträge!$E:$E,'Ausgaben 2027'!E$6)</f>
        <v>0</v>
      </c>
      <c r="F227" s="21">
        <f>SUMIFS(Einzelbeträge!$D:$D,Einzelbeträge!$C:$C,'Ausgaben 2027'!$C227,Einzelbeträge!$E:$E,'Ausgaben 2027'!F$6)</f>
        <v>0</v>
      </c>
      <c r="G227" s="21">
        <f>SUMIFS(Einzelbeträge!$D:$D,Einzelbeträge!$C:$C,'Ausgaben 2027'!$C227,Einzelbeträge!$E:$E,'Ausgaben 2027'!G$6)</f>
        <v>0</v>
      </c>
      <c r="H227" s="21">
        <f>SUMIFS(Einzelbeträge!$D:$D,Einzelbeträge!$C:$C,'Ausgaben 2027'!$C227,Einzelbeträge!$E:$E,'Ausgaben 2027'!H$6)</f>
        <v>0</v>
      </c>
      <c r="I227" s="21">
        <f>SUMIFS(Einzelbeträge!$D:$D,Einzelbeträge!$C:$C,'Ausgaben 2027'!$C227,Einzelbeträge!$E:$E,'Ausgaben 2027'!I$6)</f>
        <v>0</v>
      </c>
      <c r="J227" s="21">
        <f>SUMIFS(Einzelbeträge!$D:$D,Einzelbeträge!$C:$C,'Ausgaben 2027'!$C227,Einzelbeträge!$E:$E,'Ausgaben 2027'!J$6)</f>
        <v>0</v>
      </c>
      <c r="K227" s="21">
        <f>SUMIFS(Einzelbeträge!$D:$D,Einzelbeträge!$C:$C,'Ausgaben 2027'!$C227,Einzelbeträge!$E:$E,'Ausgaben 2027'!K$6)</f>
        <v>0</v>
      </c>
      <c r="L227" s="21">
        <f>SUMIFS(Einzelbeträge!$D:$D,Einzelbeträge!$C:$C,'Ausgaben 2027'!$C227,Einzelbeträge!$E:$E,'Ausgaben 2027'!L$6)</f>
        <v>0</v>
      </c>
      <c r="M227" s="21">
        <f>SUMIFS(Einzelbeträge!$D:$D,Einzelbeträge!$C:$C,'Ausgaben 2027'!$C227,Einzelbeträge!$E:$E,'Ausgaben 2027'!M$6)</f>
        <v>0</v>
      </c>
      <c r="N227" s="35">
        <f>SUMIFS(Einzelbeträge!$D:$D,Einzelbeträge!$C:$C,'Ausgaben 2027'!$C227,Einzelbeträge!$E:$E,'Ausgaben 2027'!N$6)</f>
        <v>0</v>
      </c>
      <c r="O227" s="6"/>
    </row>
    <row r="228" spans="2:15" x14ac:dyDescent="0.35">
      <c r="B228" s="5"/>
      <c r="C228" s="40">
        <f t="shared" si="22"/>
        <v>46590</v>
      </c>
      <c r="D228" s="46">
        <f>SUMIFS(Einzelbeträge!$D:$D,Einzelbeträge!$C:$C,'Ausgaben 2027'!$C228)</f>
        <v>0</v>
      </c>
      <c r="E228" s="21">
        <f>SUMIFS(Einzelbeträge!$D:$D,Einzelbeträge!$C:$C,'Ausgaben 2027'!$C228,Einzelbeträge!$E:$E,'Ausgaben 2027'!E$6)</f>
        <v>0</v>
      </c>
      <c r="F228" s="21">
        <f>SUMIFS(Einzelbeträge!$D:$D,Einzelbeträge!$C:$C,'Ausgaben 2027'!$C228,Einzelbeträge!$E:$E,'Ausgaben 2027'!F$6)</f>
        <v>0</v>
      </c>
      <c r="G228" s="21">
        <f>SUMIFS(Einzelbeträge!$D:$D,Einzelbeträge!$C:$C,'Ausgaben 2027'!$C228,Einzelbeträge!$E:$E,'Ausgaben 2027'!G$6)</f>
        <v>0</v>
      </c>
      <c r="H228" s="21">
        <f>SUMIFS(Einzelbeträge!$D:$D,Einzelbeträge!$C:$C,'Ausgaben 2027'!$C228,Einzelbeträge!$E:$E,'Ausgaben 2027'!H$6)</f>
        <v>0</v>
      </c>
      <c r="I228" s="21">
        <f>SUMIFS(Einzelbeträge!$D:$D,Einzelbeträge!$C:$C,'Ausgaben 2027'!$C228,Einzelbeträge!$E:$E,'Ausgaben 2027'!I$6)</f>
        <v>0</v>
      </c>
      <c r="J228" s="21">
        <f>SUMIFS(Einzelbeträge!$D:$D,Einzelbeträge!$C:$C,'Ausgaben 2027'!$C228,Einzelbeträge!$E:$E,'Ausgaben 2027'!J$6)</f>
        <v>0</v>
      </c>
      <c r="K228" s="21">
        <f>SUMIFS(Einzelbeträge!$D:$D,Einzelbeträge!$C:$C,'Ausgaben 2027'!$C228,Einzelbeträge!$E:$E,'Ausgaben 2027'!K$6)</f>
        <v>0</v>
      </c>
      <c r="L228" s="21">
        <f>SUMIFS(Einzelbeträge!$D:$D,Einzelbeträge!$C:$C,'Ausgaben 2027'!$C228,Einzelbeträge!$E:$E,'Ausgaben 2027'!L$6)</f>
        <v>0</v>
      </c>
      <c r="M228" s="21">
        <f>SUMIFS(Einzelbeträge!$D:$D,Einzelbeträge!$C:$C,'Ausgaben 2027'!$C228,Einzelbeträge!$E:$E,'Ausgaben 2027'!M$6)</f>
        <v>0</v>
      </c>
      <c r="N228" s="35">
        <f>SUMIFS(Einzelbeträge!$D:$D,Einzelbeträge!$C:$C,'Ausgaben 2027'!$C228,Einzelbeträge!$E:$E,'Ausgaben 2027'!N$6)</f>
        <v>0</v>
      </c>
      <c r="O228" s="6"/>
    </row>
    <row r="229" spans="2:15" x14ac:dyDescent="0.35">
      <c r="B229" s="5"/>
      <c r="C229" s="40">
        <f t="shared" si="22"/>
        <v>46591</v>
      </c>
      <c r="D229" s="46">
        <f>SUMIFS(Einzelbeträge!$D:$D,Einzelbeträge!$C:$C,'Ausgaben 2027'!$C229)</f>
        <v>0</v>
      </c>
      <c r="E229" s="21">
        <f>SUMIFS(Einzelbeträge!$D:$D,Einzelbeträge!$C:$C,'Ausgaben 2027'!$C229,Einzelbeträge!$E:$E,'Ausgaben 2027'!E$6)</f>
        <v>0</v>
      </c>
      <c r="F229" s="21">
        <f>SUMIFS(Einzelbeträge!$D:$D,Einzelbeträge!$C:$C,'Ausgaben 2027'!$C229,Einzelbeträge!$E:$E,'Ausgaben 2027'!F$6)</f>
        <v>0</v>
      </c>
      <c r="G229" s="21">
        <f>SUMIFS(Einzelbeträge!$D:$D,Einzelbeträge!$C:$C,'Ausgaben 2027'!$C229,Einzelbeträge!$E:$E,'Ausgaben 2027'!G$6)</f>
        <v>0</v>
      </c>
      <c r="H229" s="21">
        <f>SUMIFS(Einzelbeträge!$D:$D,Einzelbeträge!$C:$C,'Ausgaben 2027'!$C229,Einzelbeträge!$E:$E,'Ausgaben 2027'!H$6)</f>
        <v>0</v>
      </c>
      <c r="I229" s="21">
        <f>SUMIFS(Einzelbeträge!$D:$D,Einzelbeträge!$C:$C,'Ausgaben 2027'!$C229,Einzelbeträge!$E:$E,'Ausgaben 2027'!I$6)</f>
        <v>0</v>
      </c>
      <c r="J229" s="21">
        <f>SUMIFS(Einzelbeträge!$D:$D,Einzelbeträge!$C:$C,'Ausgaben 2027'!$C229,Einzelbeträge!$E:$E,'Ausgaben 2027'!J$6)</f>
        <v>0</v>
      </c>
      <c r="K229" s="21">
        <f>SUMIFS(Einzelbeträge!$D:$D,Einzelbeträge!$C:$C,'Ausgaben 2027'!$C229,Einzelbeträge!$E:$E,'Ausgaben 2027'!K$6)</f>
        <v>0</v>
      </c>
      <c r="L229" s="21">
        <f>SUMIFS(Einzelbeträge!$D:$D,Einzelbeträge!$C:$C,'Ausgaben 2027'!$C229,Einzelbeträge!$E:$E,'Ausgaben 2027'!L$6)</f>
        <v>0</v>
      </c>
      <c r="M229" s="21">
        <f>SUMIFS(Einzelbeträge!$D:$D,Einzelbeträge!$C:$C,'Ausgaben 2027'!$C229,Einzelbeträge!$E:$E,'Ausgaben 2027'!M$6)</f>
        <v>0</v>
      </c>
      <c r="N229" s="35">
        <f>SUMIFS(Einzelbeträge!$D:$D,Einzelbeträge!$C:$C,'Ausgaben 2027'!$C229,Einzelbeträge!$E:$E,'Ausgaben 2027'!N$6)</f>
        <v>0</v>
      </c>
      <c r="O229" s="6"/>
    </row>
    <row r="230" spans="2:15" x14ac:dyDescent="0.35">
      <c r="B230" s="5"/>
      <c r="C230" s="40">
        <f t="shared" si="22"/>
        <v>46592</v>
      </c>
      <c r="D230" s="46">
        <f>SUMIFS(Einzelbeträge!$D:$D,Einzelbeträge!$C:$C,'Ausgaben 2027'!$C230)</f>
        <v>0</v>
      </c>
      <c r="E230" s="21">
        <f>SUMIFS(Einzelbeträge!$D:$D,Einzelbeträge!$C:$C,'Ausgaben 2027'!$C230,Einzelbeträge!$E:$E,'Ausgaben 2027'!E$6)</f>
        <v>0</v>
      </c>
      <c r="F230" s="21">
        <f>SUMIFS(Einzelbeträge!$D:$D,Einzelbeträge!$C:$C,'Ausgaben 2027'!$C230,Einzelbeträge!$E:$E,'Ausgaben 2027'!F$6)</f>
        <v>0</v>
      </c>
      <c r="G230" s="21">
        <f>SUMIFS(Einzelbeträge!$D:$D,Einzelbeträge!$C:$C,'Ausgaben 2027'!$C230,Einzelbeträge!$E:$E,'Ausgaben 2027'!G$6)</f>
        <v>0</v>
      </c>
      <c r="H230" s="21">
        <f>SUMIFS(Einzelbeträge!$D:$D,Einzelbeträge!$C:$C,'Ausgaben 2027'!$C230,Einzelbeträge!$E:$E,'Ausgaben 2027'!H$6)</f>
        <v>0</v>
      </c>
      <c r="I230" s="21">
        <f>SUMIFS(Einzelbeträge!$D:$D,Einzelbeträge!$C:$C,'Ausgaben 2027'!$C230,Einzelbeträge!$E:$E,'Ausgaben 2027'!I$6)</f>
        <v>0</v>
      </c>
      <c r="J230" s="21">
        <f>SUMIFS(Einzelbeträge!$D:$D,Einzelbeträge!$C:$C,'Ausgaben 2027'!$C230,Einzelbeträge!$E:$E,'Ausgaben 2027'!J$6)</f>
        <v>0</v>
      </c>
      <c r="K230" s="21">
        <f>SUMIFS(Einzelbeträge!$D:$D,Einzelbeträge!$C:$C,'Ausgaben 2027'!$C230,Einzelbeträge!$E:$E,'Ausgaben 2027'!K$6)</f>
        <v>0</v>
      </c>
      <c r="L230" s="21">
        <f>SUMIFS(Einzelbeträge!$D:$D,Einzelbeträge!$C:$C,'Ausgaben 2027'!$C230,Einzelbeträge!$E:$E,'Ausgaben 2027'!L$6)</f>
        <v>0</v>
      </c>
      <c r="M230" s="21">
        <f>SUMIFS(Einzelbeträge!$D:$D,Einzelbeträge!$C:$C,'Ausgaben 2027'!$C230,Einzelbeträge!$E:$E,'Ausgaben 2027'!M$6)</f>
        <v>0</v>
      </c>
      <c r="N230" s="35">
        <f>SUMIFS(Einzelbeträge!$D:$D,Einzelbeträge!$C:$C,'Ausgaben 2027'!$C230,Einzelbeträge!$E:$E,'Ausgaben 2027'!N$6)</f>
        <v>0</v>
      </c>
      <c r="O230" s="6"/>
    </row>
    <row r="231" spans="2:15" x14ac:dyDescent="0.35">
      <c r="B231" s="5"/>
      <c r="C231" s="40">
        <f t="shared" si="22"/>
        <v>46593</v>
      </c>
      <c r="D231" s="46">
        <f>SUMIFS(Einzelbeträge!$D:$D,Einzelbeträge!$C:$C,'Ausgaben 2027'!$C231)</f>
        <v>0</v>
      </c>
      <c r="E231" s="21">
        <f>SUMIFS(Einzelbeträge!$D:$D,Einzelbeträge!$C:$C,'Ausgaben 2027'!$C231,Einzelbeträge!$E:$E,'Ausgaben 2027'!E$6)</f>
        <v>0</v>
      </c>
      <c r="F231" s="21">
        <f>SUMIFS(Einzelbeträge!$D:$D,Einzelbeträge!$C:$C,'Ausgaben 2027'!$C231,Einzelbeträge!$E:$E,'Ausgaben 2027'!F$6)</f>
        <v>0</v>
      </c>
      <c r="G231" s="21">
        <f>SUMIFS(Einzelbeträge!$D:$D,Einzelbeträge!$C:$C,'Ausgaben 2027'!$C231,Einzelbeträge!$E:$E,'Ausgaben 2027'!G$6)</f>
        <v>0</v>
      </c>
      <c r="H231" s="21">
        <f>SUMIFS(Einzelbeträge!$D:$D,Einzelbeträge!$C:$C,'Ausgaben 2027'!$C231,Einzelbeträge!$E:$E,'Ausgaben 2027'!H$6)</f>
        <v>0</v>
      </c>
      <c r="I231" s="21">
        <f>SUMIFS(Einzelbeträge!$D:$D,Einzelbeträge!$C:$C,'Ausgaben 2027'!$C231,Einzelbeträge!$E:$E,'Ausgaben 2027'!I$6)</f>
        <v>0</v>
      </c>
      <c r="J231" s="21">
        <f>SUMIFS(Einzelbeträge!$D:$D,Einzelbeträge!$C:$C,'Ausgaben 2027'!$C231,Einzelbeträge!$E:$E,'Ausgaben 2027'!J$6)</f>
        <v>0</v>
      </c>
      <c r="K231" s="21">
        <f>SUMIFS(Einzelbeträge!$D:$D,Einzelbeträge!$C:$C,'Ausgaben 2027'!$C231,Einzelbeträge!$E:$E,'Ausgaben 2027'!K$6)</f>
        <v>0</v>
      </c>
      <c r="L231" s="21">
        <f>SUMIFS(Einzelbeträge!$D:$D,Einzelbeträge!$C:$C,'Ausgaben 2027'!$C231,Einzelbeträge!$E:$E,'Ausgaben 2027'!L$6)</f>
        <v>0</v>
      </c>
      <c r="M231" s="21">
        <f>SUMIFS(Einzelbeträge!$D:$D,Einzelbeträge!$C:$C,'Ausgaben 2027'!$C231,Einzelbeträge!$E:$E,'Ausgaben 2027'!M$6)</f>
        <v>0</v>
      </c>
      <c r="N231" s="35">
        <f>SUMIFS(Einzelbeträge!$D:$D,Einzelbeträge!$C:$C,'Ausgaben 2027'!$C231,Einzelbeträge!$E:$E,'Ausgaben 2027'!N$6)</f>
        <v>0</v>
      </c>
      <c r="O231" s="6"/>
    </row>
    <row r="232" spans="2:15" x14ac:dyDescent="0.35">
      <c r="B232" s="5"/>
      <c r="C232" s="40">
        <f t="shared" si="22"/>
        <v>46594</v>
      </c>
      <c r="D232" s="46">
        <f>SUMIFS(Einzelbeträge!$D:$D,Einzelbeträge!$C:$C,'Ausgaben 2027'!$C232)</f>
        <v>0</v>
      </c>
      <c r="E232" s="21">
        <f>SUMIFS(Einzelbeträge!$D:$D,Einzelbeträge!$C:$C,'Ausgaben 2027'!$C232,Einzelbeträge!$E:$E,'Ausgaben 2027'!E$6)</f>
        <v>0</v>
      </c>
      <c r="F232" s="21">
        <f>SUMIFS(Einzelbeträge!$D:$D,Einzelbeträge!$C:$C,'Ausgaben 2027'!$C232,Einzelbeträge!$E:$E,'Ausgaben 2027'!F$6)</f>
        <v>0</v>
      </c>
      <c r="G232" s="21">
        <f>SUMIFS(Einzelbeträge!$D:$D,Einzelbeträge!$C:$C,'Ausgaben 2027'!$C232,Einzelbeträge!$E:$E,'Ausgaben 2027'!G$6)</f>
        <v>0</v>
      </c>
      <c r="H232" s="21">
        <f>SUMIFS(Einzelbeträge!$D:$D,Einzelbeträge!$C:$C,'Ausgaben 2027'!$C232,Einzelbeträge!$E:$E,'Ausgaben 2027'!H$6)</f>
        <v>0</v>
      </c>
      <c r="I232" s="21">
        <f>SUMIFS(Einzelbeträge!$D:$D,Einzelbeträge!$C:$C,'Ausgaben 2027'!$C232,Einzelbeträge!$E:$E,'Ausgaben 2027'!I$6)</f>
        <v>0</v>
      </c>
      <c r="J232" s="21">
        <f>SUMIFS(Einzelbeträge!$D:$D,Einzelbeträge!$C:$C,'Ausgaben 2027'!$C232,Einzelbeträge!$E:$E,'Ausgaben 2027'!J$6)</f>
        <v>0</v>
      </c>
      <c r="K232" s="21">
        <f>SUMIFS(Einzelbeträge!$D:$D,Einzelbeträge!$C:$C,'Ausgaben 2027'!$C232,Einzelbeträge!$E:$E,'Ausgaben 2027'!K$6)</f>
        <v>0</v>
      </c>
      <c r="L232" s="21">
        <f>SUMIFS(Einzelbeträge!$D:$D,Einzelbeträge!$C:$C,'Ausgaben 2027'!$C232,Einzelbeträge!$E:$E,'Ausgaben 2027'!L$6)</f>
        <v>0</v>
      </c>
      <c r="M232" s="21">
        <f>SUMIFS(Einzelbeträge!$D:$D,Einzelbeträge!$C:$C,'Ausgaben 2027'!$C232,Einzelbeträge!$E:$E,'Ausgaben 2027'!M$6)</f>
        <v>0</v>
      </c>
      <c r="N232" s="35">
        <f>SUMIFS(Einzelbeträge!$D:$D,Einzelbeträge!$C:$C,'Ausgaben 2027'!$C232,Einzelbeträge!$E:$E,'Ausgaben 2027'!N$6)</f>
        <v>0</v>
      </c>
      <c r="O232" s="6"/>
    </row>
    <row r="233" spans="2:15" x14ac:dyDescent="0.35">
      <c r="B233" s="5"/>
      <c r="C233" s="40">
        <f t="shared" si="22"/>
        <v>46595</v>
      </c>
      <c r="D233" s="46">
        <f>SUMIFS(Einzelbeträge!$D:$D,Einzelbeträge!$C:$C,'Ausgaben 2027'!$C233)</f>
        <v>0</v>
      </c>
      <c r="E233" s="21">
        <f>SUMIFS(Einzelbeträge!$D:$D,Einzelbeträge!$C:$C,'Ausgaben 2027'!$C233,Einzelbeträge!$E:$E,'Ausgaben 2027'!E$6)</f>
        <v>0</v>
      </c>
      <c r="F233" s="21">
        <f>SUMIFS(Einzelbeträge!$D:$D,Einzelbeträge!$C:$C,'Ausgaben 2027'!$C233,Einzelbeträge!$E:$E,'Ausgaben 2027'!F$6)</f>
        <v>0</v>
      </c>
      <c r="G233" s="21">
        <f>SUMIFS(Einzelbeträge!$D:$D,Einzelbeträge!$C:$C,'Ausgaben 2027'!$C233,Einzelbeträge!$E:$E,'Ausgaben 2027'!G$6)</f>
        <v>0</v>
      </c>
      <c r="H233" s="21">
        <f>SUMIFS(Einzelbeträge!$D:$D,Einzelbeträge!$C:$C,'Ausgaben 2027'!$C233,Einzelbeträge!$E:$E,'Ausgaben 2027'!H$6)</f>
        <v>0</v>
      </c>
      <c r="I233" s="21">
        <f>SUMIFS(Einzelbeträge!$D:$D,Einzelbeträge!$C:$C,'Ausgaben 2027'!$C233,Einzelbeträge!$E:$E,'Ausgaben 2027'!I$6)</f>
        <v>0</v>
      </c>
      <c r="J233" s="21">
        <f>SUMIFS(Einzelbeträge!$D:$D,Einzelbeträge!$C:$C,'Ausgaben 2027'!$C233,Einzelbeträge!$E:$E,'Ausgaben 2027'!J$6)</f>
        <v>0</v>
      </c>
      <c r="K233" s="21">
        <f>SUMIFS(Einzelbeträge!$D:$D,Einzelbeträge!$C:$C,'Ausgaben 2027'!$C233,Einzelbeträge!$E:$E,'Ausgaben 2027'!K$6)</f>
        <v>0</v>
      </c>
      <c r="L233" s="21">
        <f>SUMIFS(Einzelbeträge!$D:$D,Einzelbeträge!$C:$C,'Ausgaben 2027'!$C233,Einzelbeträge!$E:$E,'Ausgaben 2027'!L$6)</f>
        <v>0</v>
      </c>
      <c r="M233" s="21">
        <f>SUMIFS(Einzelbeträge!$D:$D,Einzelbeträge!$C:$C,'Ausgaben 2027'!$C233,Einzelbeträge!$E:$E,'Ausgaben 2027'!M$6)</f>
        <v>0</v>
      </c>
      <c r="N233" s="35">
        <f>SUMIFS(Einzelbeträge!$D:$D,Einzelbeträge!$C:$C,'Ausgaben 2027'!$C233,Einzelbeträge!$E:$E,'Ausgaben 2027'!N$6)</f>
        <v>0</v>
      </c>
      <c r="O233" s="6"/>
    </row>
    <row r="234" spans="2:15" x14ac:dyDescent="0.35">
      <c r="B234" s="5"/>
      <c r="C234" s="40">
        <f t="shared" si="22"/>
        <v>46596</v>
      </c>
      <c r="D234" s="46">
        <f>SUMIFS(Einzelbeträge!$D:$D,Einzelbeträge!$C:$C,'Ausgaben 2027'!$C234)</f>
        <v>0</v>
      </c>
      <c r="E234" s="21">
        <f>SUMIFS(Einzelbeträge!$D:$D,Einzelbeträge!$C:$C,'Ausgaben 2027'!$C234,Einzelbeträge!$E:$E,'Ausgaben 2027'!E$6)</f>
        <v>0</v>
      </c>
      <c r="F234" s="21">
        <f>SUMIFS(Einzelbeträge!$D:$D,Einzelbeträge!$C:$C,'Ausgaben 2027'!$C234,Einzelbeträge!$E:$E,'Ausgaben 2027'!F$6)</f>
        <v>0</v>
      </c>
      <c r="G234" s="21">
        <f>SUMIFS(Einzelbeträge!$D:$D,Einzelbeträge!$C:$C,'Ausgaben 2027'!$C234,Einzelbeträge!$E:$E,'Ausgaben 2027'!G$6)</f>
        <v>0</v>
      </c>
      <c r="H234" s="21">
        <f>SUMIFS(Einzelbeträge!$D:$D,Einzelbeträge!$C:$C,'Ausgaben 2027'!$C234,Einzelbeträge!$E:$E,'Ausgaben 2027'!H$6)</f>
        <v>0</v>
      </c>
      <c r="I234" s="21">
        <f>SUMIFS(Einzelbeträge!$D:$D,Einzelbeträge!$C:$C,'Ausgaben 2027'!$C234,Einzelbeträge!$E:$E,'Ausgaben 2027'!I$6)</f>
        <v>0</v>
      </c>
      <c r="J234" s="21">
        <f>SUMIFS(Einzelbeträge!$D:$D,Einzelbeträge!$C:$C,'Ausgaben 2027'!$C234,Einzelbeträge!$E:$E,'Ausgaben 2027'!J$6)</f>
        <v>0</v>
      </c>
      <c r="K234" s="21">
        <f>SUMIFS(Einzelbeträge!$D:$D,Einzelbeträge!$C:$C,'Ausgaben 2027'!$C234,Einzelbeträge!$E:$E,'Ausgaben 2027'!K$6)</f>
        <v>0</v>
      </c>
      <c r="L234" s="21">
        <f>SUMIFS(Einzelbeträge!$D:$D,Einzelbeträge!$C:$C,'Ausgaben 2027'!$C234,Einzelbeträge!$E:$E,'Ausgaben 2027'!L$6)</f>
        <v>0</v>
      </c>
      <c r="M234" s="21">
        <f>SUMIFS(Einzelbeträge!$D:$D,Einzelbeträge!$C:$C,'Ausgaben 2027'!$C234,Einzelbeträge!$E:$E,'Ausgaben 2027'!M$6)</f>
        <v>0</v>
      </c>
      <c r="N234" s="35">
        <f>SUMIFS(Einzelbeträge!$D:$D,Einzelbeträge!$C:$C,'Ausgaben 2027'!$C234,Einzelbeträge!$E:$E,'Ausgaben 2027'!N$6)</f>
        <v>0</v>
      </c>
      <c r="O234" s="6"/>
    </row>
    <row r="235" spans="2:15" x14ac:dyDescent="0.35">
      <c r="B235" s="5"/>
      <c r="C235" s="40">
        <f t="shared" si="22"/>
        <v>46597</v>
      </c>
      <c r="D235" s="46">
        <f>SUMIFS(Einzelbeträge!$D:$D,Einzelbeträge!$C:$C,'Ausgaben 2027'!$C235)</f>
        <v>0</v>
      </c>
      <c r="E235" s="21">
        <f>SUMIFS(Einzelbeträge!$D:$D,Einzelbeträge!$C:$C,'Ausgaben 2027'!$C235,Einzelbeträge!$E:$E,'Ausgaben 2027'!E$6)</f>
        <v>0</v>
      </c>
      <c r="F235" s="21">
        <f>SUMIFS(Einzelbeträge!$D:$D,Einzelbeträge!$C:$C,'Ausgaben 2027'!$C235,Einzelbeträge!$E:$E,'Ausgaben 2027'!F$6)</f>
        <v>0</v>
      </c>
      <c r="G235" s="21">
        <f>SUMIFS(Einzelbeträge!$D:$D,Einzelbeträge!$C:$C,'Ausgaben 2027'!$C235,Einzelbeträge!$E:$E,'Ausgaben 2027'!G$6)</f>
        <v>0</v>
      </c>
      <c r="H235" s="21">
        <f>SUMIFS(Einzelbeträge!$D:$D,Einzelbeträge!$C:$C,'Ausgaben 2027'!$C235,Einzelbeträge!$E:$E,'Ausgaben 2027'!H$6)</f>
        <v>0</v>
      </c>
      <c r="I235" s="21">
        <f>SUMIFS(Einzelbeträge!$D:$D,Einzelbeträge!$C:$C,'Ausgaben 2027'!$C235,Einzelbeträge!$E:$E,'Ausgaben 2027'!I$6)</f>
        <v>0</v>
      </c>
      <c r="J235" s="21">
        <f>SUMIFS(Einzelbeträge!$D:$D,Einzelbeträge!$C:$C,'Ausgaben 2027'!$C235,Einzelbeträge!$E:$E,'Ausgaben 2027'!J$6)</f>
        <v>0</v>
      </c>
      <c r="K235" s="21">
        <f>SUMIFS(Einzelbeträge!$D:$D,Einzelbeträge!$C:$C,'Ausgaben 2027'!$C235,Einzelbeträge!$E:$E,'Ausgaben 2027'!K$6)</f>
        <v>0</v>
      </c>
      <c r="L235" s="21">
        <f>SUMIFS(Einzelbeträge!$D:$D,Einzelbeträge!$C:$C,'Ausgaben 2027'!$C235,Einzelbeträge!$E:$E,'Ausgaben 2027'!L$6)</f>
        <v>0</v>
      </c>
      <c r="M235" s="21">
        <f>SUMIFS(Einzelbeträge!$D:$D,Einzelbeträge!$C:$C,'Ausgaben 2027'!$C235,Einzelbeträge!$E:$E,'Ausgaben 2027'!M$6)</f>
        <v>0</v>
      </c>
      <c r="N235" s="35">
        <f>SUMIFS(Einzelbeträge!$D:$D,Einzelbeträge!$C:$C,'Ausgaben 2027'!$C235,Einzelbeträge!$E:$E,'Ausgaben 2027'!N$6)</f>
        <v>0</v>
      </c>
      <c r="O235" s="6"/>
    </row>
    <row r="236" spans="2:15" x14ac:dyDescent="0.35">
      <c r="B236" s="5"/>
      <c r="C236" s="40">
        <f t="shared" si="22"/>
        <v>46598</v>
      </c>
      <c r="D236" s="46">
        <f>SUMIFS(Einzelbeträge!$D:$D,Einzelbeträge!$C:$C,'Ausgaben 2027'!$C236)</f>
        <v>0</v>
      </c>
      <c r="E236" s="21">
        <f>SUMIFS(Einzelbeträge!$D:$D,Einzelbeträge!$C:$C,'Ausgaben 2027'!$C236,Einzelbeträge!$E:$E,'Ausgaben 2027'!E$6)</f>
        <v>0</v>
      </c>
      <c r="F236" s="21">
        <f>SUMIFS(Einzelbeträge!$D:$D,Einzelbeträge!$C:$C,'Ausgaben 2027'!$C236,Einzelbeträge!$E:$E,'Ausgaben 2027'!F$6)</f>
        <v>0</v>
      </c>
      <c r="G236" s="21">
        <f>SUMIFS(Einzelbeträge!$D:$D,Einzelbeträge!$C:$C,'Ausgaben 2027'!$C236,Einzelbeträge!$E:$E,'Ausgaben 2027'!G$6)</f>
        <v>0</v>
      </c>
      <c r="H236" s="21">
        <f>SUMIFS(Einzelbeträge!$D:$D,Einzelbeträge!$C:$C,'Ausgaben 2027'!$C236,Einzelbeträge!$E:$E,'Ausgaben 2027'!H$6)</f>
        <v>0</v>
      </c>
      <c r="I236" s="21">
        <f>SUMIFS(Einzelbeträge!$D:$D,Einzelbeträge!$C:$C,'Ausgaben 2027'!$C236,Einzelbeträge!$E:$E,'Ausgaben 2027'!I$6)</f>
        <v>0</v>
      </c>
      <c r="J236" s="21">
        <f>SUMIFS(Einzelbeträge!$D:$D,Einzelbeträge!$C:$C,'Ausgaben 2027'!$C236,Einzelbeträge!$E:$E,'Ausgaben 2027'!J$6)</f>
        <v>0</v>
      </c>
      <c r="K236" s="21">
        <f>SUMIFS(Einzelbeträge!$D:$D,Einzelbeträge!$C:$C,'Ausgaben 2027'!$C236,Einzelbeträge!$E:$E,'Ausgaben 2027'!K$6)</f>
        <v>0</v>
      </c>
      <c r="L236" s="21">
        <f>SUMIFS(Einzelbeträge!$D:$D,Einzelbeträge!$C:$C,'Ausgaben 2027'!$C236,Einzelbeträge!$E:$E,'Ausgaben 2027'!L$6)</f>
        <v>0</v>
      </c>
      <c r="M236" s="21">
        <f>SUMIFS(Einzelbeträge!$D:$D,Einzelbeträge!$C:$C,'Ausgaben 2027'!$C236,Einzelbeträge!$E:$E,'Ausgaben 2027'!M$6)</f>
        <v>0</v>
      </c>
      <c r="N236" s="35">
        <f>SUMIFS(Einzelbeträge!$D:$D,Einzelbeträge!$C:$C,'Ausgaben 2027'!$C236,Einzelbeträge!$E:$E,'Ausgaben 2027'!N$6)</f>
        <v>0</v>
      </c>
      <c r="O236" s="6"/>
    </row>
    <row r="237" spans="2:15" x14ac:dyDescent="0.35">
      <c r="B237" s="5"/>
      <c r="C237" s="31">
        <f t="shared" si="22"/>
        <v>46599</v>
      </c>
      <c r="D237" s="47">
        <f>SUMIFS(Einzelbeträge!$D:$D,Einzelbeträge!$C:$C,'Ausgaben 2027'!$C237)</f>
        <v>0</v>
      </c>
      <c r="E237" s="37">
        <f>SUMIFS(Einzelbeträge!$D:$D,Einzelbeträge!$C:$C,'Ausgaben 2027'!$C237,Einzelbeträge!$E:$E,'Ausgaben 2027'!E$6)</f>
        <v>0</v>
      </c>
      <c r="F237" s="37">
        <f>SUMIFS(Einzelbeträge!$D:$D,Einzelbeträge!$C:$C,'Ausgaben 2027'!$C237,Einzelbeträge!$E:$E,'Ausgaben 2027'!F$6)</f>
        <v>0</v>
      </c>
      <c r="G237" s="37">
        <f>SUMIFS(Einzelbeträge!$D:$D,Einzelbeträge!$C:$C,'Ausgaben 2027'!$C237,Einzelbeträge!$E:$E,'Ausgaben 2027'!G$6)</f>
        <v>0</v>
      </c>
      <c r="H237" s="37">
        <f>SUMIFS(Einzelbeträge!$D:$D,Einzelbeträge!$C:$C,'Ausgaben 2027'!$C237,Einzelbeträge!$E:$E,'Ausgaben 2027'!H$6)</f>
        <v>0</v>
      </c>
      <c r="I237" s="37">
        <f>SUMIFS(Einzelbeträge!$D:$D,Einzelbeträge!$C:$C,'Ausgaben 2027'!$C237,Einzelbeträge!$E:$E,'Ausgaben 2027'!I$6)</f>
        <v>0</v>
      </c>
      <c r="J237" s="37">
        <f>SUMIFS(Einzelbeträge!$D:$D,Einzelbeträge!$C:$C,'Ausgaben 2027'!$C237,Einzelbeträge!$E:$E,'Ausgaben 2027'!J$6)</f>
        <v>0</v>
      </c>
      <c r="K237" s="37">
        <f>SUMIFS(Einzelbeträge!$D:$D,Einzelbeträge!$C:$C,'Ausgaben 2027'!$C237,Einzelbeträge!$E:$E,'Ausgaben 2027'!K$6)</f>
        <v>0</v>
      </c>
      <c r="L237" s="37">
        <f>SUMIFS(Einzelbeträge!$D:$D,Einzelbeträge!$C:$C,'Ausgaben 2027'!$C237,Einzelbeträge!$E:$E,'Ausgaben 2027'!L$6)</f>
        <v>0</v>
      </c>
      <c r="M237" s="37">
        <f>SUMIFS(Einzelbeträge!$D:$D,Einzelbeträge!$C:$C,'Ausgaben 2027'!$C237,Einzelbeträge!$E:$E,'Ausgaben 2027'!M$6)</f>
        <v>0</v>
      </c>
      <c r="N237" s="38">
        <f>SUMIFS(Einzelbeträge!$D:$D,Einzelbeträge!$C:$C,'Ausgaben 2027'!$C237,Einzelbeträge!$E:$E,'Ausgaben 2027'!N$6)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46600</v>
      </c>
      <c r="D241" s="45">
        <f>SUMIFS(Einzelbeträge!$D:$D,Einzelbeträge!$C:$C,'Ausgaben 2027'!$C241)</f>
        <v>0</v>
      </c>
      <c r="E241" s="32">
        <f>SUMIFS(Einzelbeträge!$D:$D,Einzelbeträge!$C:$C,'Ausgaben 2027'!$C241,Einzelbeträge!$E:$E,'Ausgaben 2027'!E$6)</f>
        <v>0</v>
      </c>
      <c r="F241" s="32">
        <f>SUMIFS(Einzelbeträge!$D:$D,Einzelbeträge!$C:$C,'Ausgaben 2027'!$C241,Einzelbeträge!$E:$E,'Ausgaben 2027'!F$6)</f>
        <v>0</v>
      </c>
      <c r="G241" s="32">
        <f>SUMIFS(Einzelbeträge!$D:$D,Einzelbeträge!$C:$C,'Ausgaben 2027'!$C241,Einzelbeträge!$E:$E,'Ausgaben 2027'!G$6)</f>
        <v>0</v>
      </c>
      <c r="H241" s="32">
        <f>SUMIFS(Einzelbeträge!$D:$D,Einzelbeträge!$C:$C,'Ausgaben 2027'!$C241,Einzelbeträge!$E:$E,'Ausgaben 2027'!H$6)</f>
        <v>0</v>
      </c>
      <c r="I241" s="32">
        <f>SUMIFS(Einzelbeträge!$D:$D,Einzelbeträge!$C:$C,'Ausgaben 2027'!$C241,Einzelbeträge!$E:$E,'Ausgaben 2027'!I$6)</f>
        <v>0</v>
      </c>
      <c r="J241" s="32">
        <f>SUMIFS(Einzelbeträge!$D:$D,Einzelbeträge!$C:$C,'Ausgaben 2027'!$C241,Einzelbeträge!$E:$E,'Ausgaben 2027'!J$6)</f>
        <v>0</v>
      </c>
      <c r="K241" s="32">
        <f>SUMIFS(Einzelbeträge!$D:$D,Einzelbeträge!$C:$C,'Ausgaben 2027'!$C241,Einzelbeträge!$E:$E,'Ausgaben 2027'!K$6)</f>
        <v>0</v>
      </c>
      <c r="L241" s="32">
        <f>SUMIFS(Einzelbeträge!$D:$D,Einzelbeträge!$C:$C,'Ausgaben 2027'!$C241,Einzelbeträge!$E:$E,'Ausgaben 2027'!L$6)</f>
        <v>0</v>
      </c>
      <c r="M241" s="32">
        <f>SUMIFS(Einzelbeträge!$D:$D,Einzelbeträge!$C:$C,'Ausgaben 2027'!$C241,Einzelbeträge!$E:$E,'Ausgaben 2027'!M$6)</f>
        <v>0</v>
      </c>
      <c r="N241" s="33">
        <f>SUMIFS(Einzelbeträge!$D:$D,Einzelbeträge!$C:$C,'Ausgaben 2027'!$C241,Einzelbeträge!$E:$E,'Ausgaben 2027'!N$6)</f>
        <v>0</v>
      </c>
      <c r="O241" s="6"/>
    </row>
    <row r="242" spans="2:15" x14ac:dyDescent="0.35">
      <c r="B242" s="5"/>
      <c r="C242" s="40">
        <f>C241+1</f>
        <v>46601</v>
      </c>
      <c r="D242" s="46">
        <f>SUMIFS(Einzelbeträge!$D:$D,Einzelbeträge!$C:$C,'Ausgaben 2027'!$C242)</f>
        <v>0</v>
      </c>
      <c r="E242" s="21">
        <f>SUMIFS(Einzelbeträge!$D:$D,Einzelbeträge!$C:$C,'Ausgaben 2027'!$C242,Einzelbeträge!$E:$E,'Ausgaben 2027'!E$6)</f>
        <v>0</v>
      </c>
      <c r="F242" s="21">
        <f>SUMIFS(Einzelbeträge!$D:$D,Einzelbeträge!$C:$C,'Ausgaben 2027'!$C242,Einzelbeträge!$E:$E,'Ausgaben 2027'!F$6)</f>
        <v>0</v>
      </c>
      <c r="G242" s="21">
        <f>SUMIFS(Einzelbeträge!$D:$D,Einzelbeträge!$C:$C,'Ausgaben 2027'!$C242,Einzelbeträge!$E:$E,'Ausgaben 2027'!G$6)</f>
        <v>0</v>
      </c>
      <c r="H242" s="21">
        <f>SUMIFS(Einzelbeträge!$D:$D,Einzelbeträge!$C:$C,'Ausgaben 2027'!$C242,Einzelbeträge!$E:$E,'Ausgaben 2027'!H$6)</f>
        <v>0</v>
      </c>
      <c r="I242" s="21">
        <f>SUMIFS(Einzelbeträge!$D:$D,Einzelbeträge!$C:$C,'Ausgaben 2027'!$C242,Einzelbeträge!$E:$E,'Ausgaben 2027'!I$6)</f>
        <v>0</v>
      </c>
      <c r="J242" s="21">
        <f>SUMIFS(Einzelbeträge!$D:$D,Einzelbeträge!$C:$C,'Ausgaben 2027'!$C242,Einzelbeträge!$E:$E,'Ausgaben 2027'!J$6)</f>
        <v>0</v>
      </c>
      <c r="K242" s="21">
        <f>SUMIFS(Einzelbeträge!$D:$D,Einzelbeträge!$C:$C,'Ausgaben 2027'!$C242,Einzelbeträge!$E:$E,'Ausgaben 2027'!K$6)</f>
        <v>0</v>
      </c>
      <c r="L242" s="21">
        <f>SUMIFS(Einzelbeträge!$D:$D,Einzelbeträge!$C:$C,'Ausgaben 2027'!$C242,Einzelbeträge!$E:$E,'Ausgaben 2027'!L$6)</f>
        <v>0</v>
      </c>
      <c r="M242" s="21">
        <f>SUMIFS(Einzelbeträge!$D:$D,Einzelbeträge!$C:$C,'Ausgaben 2027'!$C242,Einzelbeträge!$E:$E,'Ausgaben 2027'!M$6)</f>
        <v>0</v>
      </c>
      <c r="N242" s="35">
        <f>SUMIFS(Einzelbeträge!$D:$D,Einzelbeträge!$C:$C,'Ausgaben 2027'!$C242,Einzelbeträge!$E:$E,'Ausgaben 2027'!N$6)</f>
        <v>0</v>
      </c>
      <c r="O242" s="6"/>
    </row>
    <row r="243" spans="2:15" x14ac:dyDescent="0.35">
      <c r="B243" s="5"/>
      <c r="C243" s="40">
        <f t="shared" ref="C243:C271" si="23">C242+1</f>
        <v>46602</v>
      </c>
      <c r="D243" s="46">
        <f>SUMIFS(Einzelbeträge!$D:$D,Einzelbeträge!$C:$C,'Ausgaben 2027'!$C243)</f>
        <v>0</v>
      </c>
      <c r="E243" s="21">
        <f>SUMIFS(Einzelbeträge!$D:$D,Einzelbeträge!$C:$C,'Ausgaben 2027'!$C243,Einzelbeträge!$E:$E,'Ausgaben 2027'!E$6)</f>
        <v>0</v>
      </c>
      <c r="F243" s="21">
        <f>SUMIFS(Einzelbeträge!$D:$D,Einzelbeträge!$C:$C,'Ausgaben 2027'!$C243,Einzelbeträge!$E:$E,'Ausgaben 2027'!F$6)</f>
        <v>0</v>
      </c>
      <c r="G243" s="21">
        <f>SUMIFS(Einzelbeträge!$D:$D,Einzelbeträge!$C:$C,'Ausgaben 2027'!$C243,Einzelbeträge!$E:$E,'Ausgaben 2027'!G$6)</f>
        <v>0</v>
      </c>
      <c r="H243" s="21">
        <f>SUMIFS(Einzelbeträge!$D:$D,Einzelbeträge!$C:$C,'Ausgaben 2027'!$C243,Einzelbeträge!$E:$E,'Ausgaben 2027'!H$6)</f>
        <v>0</v>
      </c>
      <c r="I243" s="21">
        <f>SUMIFS(Einzelbeträge!$D:$D,Einzelbeträge!$C:$C,'Ausgaben 2027'!$C243,Einzelbeträge!$E:$E,'Ausgaben 2027'!I$6)</f>
        <v>0</v>
      </c>
      <c r="J243" s="21">
        <f>SUMIFS(Einzelbeträge!$D:$D,Einzelbeträge!$C:$C,'Ausgaben 2027'!$C243,Einzelbeträge!$E:$E,'Ausgaben 2027'!J$6)</f>
        <v>0</v>
      </c>
      <c r="K243" s="21">
        <f>SUMIFS(Einzelbeträge!$D:$D,Einzelbeträge!$C:$C,'Ausgaben 2027'!$C243,Einzelbeträge!$E:$E,'Ausgaben 2027'!K$6)</f>
        <v>0</v>
      </c>
      <c r="L243" s="21">
        <f>SUMIFS(Einzelbeträge!$D:$D,Einzelbeträge!$C:$C,'Ausgaben 2027'!$C243,Einzelbeträge!$E:$E,'Ausgaben 2027'!L$6)</f>
        <v>0</v>
      </c>
      <c r="M243" s="21">
        <f>SUMIFS(Einzelbeträge!$D:$D,Einzelbeträge!$C:$C,'Ausgaben 2027'!$C243,Einzelbeträge!$E:$E,'Ausgaben 2027'!M$6)</f>
        <v>0</v>
      </c>
      <c r="N243" s="35">
        <f>SUMIFS(Einzelbeträge!$D:$D,Einzelbeträge!$C:$C,'Ausgaben 2027'!$C243,Einzelbeträge!$E:$E,'Ausgaben 2027'!N$6)</f>
        <v>0</v>
      </c>
      <c r="O243" s="6"/>
    </row>
    <row r="244" spans="2:15" x14ac:dyDescent="0.35">
      <c r="B244" s="5"/>
      <c r="C244" s="40">
        <f t="shared" si="23"/>
        <v>46603</v>
      </c>
      <c r="D244" s="46">
        <f>SUMIFS(Einzelbeträge!$D:$D,Einzelbeträge!$C:$C,'Ausgaben 2027'!$C244)</f>
        <v>0</v>
      </c>
      <c r="E244" s="21">
        <f>SUMIFS(Einzelbeträge!$D:$D,Einzelbeträge!$C:$C,'Ausgaben 2027'!$C244,Einzelbeträge!$E:$E,'Ausgaben 2027'!E$6)</f>
        <v>0</v>
      </c>
      <c r="F244" s="21">
        <f>SUMIFS(Einzelbeträge!$D:$D,Einzelbeträge!$C:$C,'Ausgaben 2027'!$C244,Einzelbeträge!$E:$E,'Ausgaben 2027'!F$6)</f>
        <v>0</v>
      </c>
      <c r="G244" s="21">
        <f>SUMIFS(Einzelbeträge!$D:$D,Einzelbeträge!$C:$C,'Ausgaben 2027'!$C244,Einzelbeträge!$E:$E,'Ausgaben 2027'!G$6)</f>
        <v>0</v>
      </c>
      <c r="H244" s="21">
        <f>SUMIFS(Einzelbeträge!$D:$D,Einzelbeträge!$C:$C,'Ausgaben 2027'!$C244,Einzelbeträge!$E:$E,'Ausgaben 2027'!H$6)</f>
        <v>0</v>
      </c>
      <c r="I244" s="21">
        <f>SUMIFS(Einzelbeträge!$D:$D,Einzelbeträge!$C:$C,'Ausgaben 2027'!$C244,Einzelbeträge!$E:$E,'Ausgaben 2027'!I$6)</f>
        <v>0</v>
      </c>
      <c r="J244" s="21">
        <f>SUMIFS(Einzelbeträge!$D:$D,Einzelbeträge!$C:$C,'Ausgaben 2027'!$C244,Einzelbeträge!$E:$E,'Ausgaben 2027'!J$6)</f>
        <v>0</v>
      </c>
      <c r="K244" s="21">
        <f>SUMIFS(Einzelbeträge!$D:$D,Einzelbeträge!$C:$C,'Ausgaben 2027'!$C244,Einzelbeträge!$E:$E,'Ausgaben 2027'!K$6)</f>
        <v>0</v>
      </c>
      <c r="L244" s="21">
        <f>SUMIFS(Einzelbeträge!$D:$D,Einzelbeträge!$C:$C,'Ausgaben 2027'!$C244,Einzelbeträge!$E:$E,'Ausgaben 2027'!L$6)</f>
        <v>0</v>
      </c>
      <c r="M244" s="21">
        <f>SUMIFS(Einzelbeträge!$D:$D,Einzelbeträge!$C:$C,'Ausgaben 2027'!$C244,Einzelbeträge!$E:$E,'Ausgaben 2027'!M$6)</f>
        <v>0</v>
      </c>
      <c r="N244" s="35">
        <f>SUMIFS(Einzelbeträge!$D:$D,Einzelbeträge!$C:$C,'Ausgaben 2027'!$C244,Einzelbeträge!$E:$E,'Ausgaben 2027'!N$6)</f>
        <v>0</v>
      </c>
      <c r="O244" s="6"/>
    </row>
    <row r="245" spans="2:15" x14ac:dyDescent="0.35">
      <c r="B245" s="5"/>
      <c r="C245" s="40">
        <f t="shared" si="23"/>
        <v>46604</v>
      </c>
      <c r="D245" s="46">
        <f>SUMIFS(Einzelbeträge!$D:$D,Einzelbeträge!$C:$C,'Ausgaben 2027'!$C245)</f>
        <v>0</v>
      </c>
      <c r="E245" s="21">
        <f>SUMIFS(Einzelbeträge!$D:$D,Einzelbeträge!$C:$C,'Ausgaben 2027'!$C245,Einzelbeträge!$E:$E,'Ausgaben 2027'!E$6)</f>
        <v>0</v>
      </c>
      <c r="F245" s="21">
        <f>SUMIFS(Einzelbeträge!$D:$D,Einzelbeträge!$C:$C,'Ausgaben 2027'!$C245,Einzelbeträge!$E:$E,'Ausgaben 2027'!F$6)</f>
        <v>0</v>
      </c>
      <c r="G245" s="21">
        <f>SUMIFS(Einzelbeträge!$D:$D,Einzelbeträge!$C:$C,'Ausgaben 2027'!$C245,Einzelbeträge!$E:$E,'Ausgaben 2027'!G$6)</f>
        <v>0</v>
      </c>
      <c r="H245" s="21">
        <f>SUMIFS(Einzelbeträge!$D:$D,Einzelbeträge!$C:$C,'Ausgaben 2027'!$C245,Einzelbeträge!$E:$E,'Ausgaben 2027'!H$6)</f>
        <v>0</v>
      </c>
      <c r="I245" s="21">
        <f>SUMIFS(Einzelbeträge!$D:$D,Einzelbeträge!$C:$C,'Ausgaben 2027'!$C245,Einzelbeträge!$E:$E,'Ausgaben 2027'!I$6)</f>
        <v>0</v>
      </c>
      <c r="J245" s="21">
        <f>SUMIFS(Einzelbeträge!$D:$D,Einzelbeträge!$C:$C,'Ausgaben 2027'!$C245,Einzelbeträge!$E:$E,'Ausgaben 2027'!J$6)</f>
        <v>0</v>
      </c>
      <c r="K245" s="21">
        <f>SUMIFS(Einzelbeträge!$D:$D,Einzelbeträge!$C:$C,'Ausgaben 2027'!$C245,Einzelbeträge!$E:$E,'Ausgaben 2027'!K$6)</f>
        <v>0</v>
      </c>
      <c r="L245" s="21">
        <f>SUMIFS(Einzelbeträge!$D:$D,Einzelbeträge!$C:$C,'Ausgaben 2027'!$C245,Einzelbeträge!$E:$E,'Ausgaben 2027'!L$6)</f>
        <v>0</v>
      </c>
      <c r="M245" s="21">
        <f>SUMIFS(Einzelbeträge!$D:$D,Einzelbeträge!$C:$C,'Ausgaben 2027'!$C245,Einzelbeträge!$E:$E,'Ausgaben 2027'!M$6)</f>
        <v>0</v>
      </c>
      <c r="N245" s="35">
        <f>SUMIFS(Einzelbeträge!$D:$D,Einzelbeträge!$C:$C,'Ausgaben 2027'!$C245,Einzelbeträge!$E:$E,'Ausgaben 2027'!N$6)</f>
        <v>0</v>
      </c>
      <c r="O245" s="6"/>
    </row>
    <row r="246" spans="2:15" x14ac:dyDescent="0.35">
      <c r="B246" s="5"/>
      <c r="C246" s="40">
        <f t="shared" si="23"/>
        <v>46605</v>
      </c>
      <c r="D246" s="46">
        <f>SUMIFS(Einzelbeträge!$D:$D,Einzelbeträge!$C:$C,'Ausgaben 2027'!$C246)</f>
        <v>0</v>
      </c>
      <c r="E246" s="21">
        <f>SUMIFS(Einzelbeträge!$D:$D,Einzelbeträge!$C:$C,'Ausgaben 2027'!$C246,Einzelbeträge!$E:$E,'Ausgaben 2027'!E$6)</f>
        <v>0</v>
      </c>
      <c r="F246" s="21">
        <f>SUMIFS(Einzelbeträge!$D:$D,Einzelbeträge!$C:$C,'Ausgaben 2027'!$C246,Einzelbeträge!$E:$E,'Ausgaben 2027'!F$6)</f>
        <v>0</v>
      </c>
      <c r="G246" s="21">
        <f>SUMIFS(Einzelbeträge!$D:$D,Einzelbeträge!$C:$C,'Ausgaben 2027'!$C246,Einzelbeträge!$E:$E,'Ausgaben 2027'!G$6)</f>
        <v>0</v>
      </c>
      <c r="H246" s="21">
        <f>SUMIFS(Einzelbeträge!$D:$D,Einzelbeträge!$C:$C,'Ausgaben 2027'!$C246,Einzelbeträge!$E:$E,'Ausgaben 2027'!H$6)</f>
        <v>0</v>
      </c>
      <c r="I246" s="21">
        <f>SUMIFS(Einzelbeträge!$D:$D,Einzelbeträge!$C:$C,'Ausgaben 2027'!$C246,Einzelbeträge!$E:$E,'Ausgaben 2027'!I$6)</f>
        <v>0</v>
      </c>
      <c r="J246" s="21">
        <f>SUMIFS(Einzelbeträge!$D:$D,Einzelbeträge!$C:$C,'Ausgaben 2027'!$C246,Einzelbeträge!$E:$E,'Ausgaben 2027'!J$6)</f>
        <v>0</v>
      </c>
      <c r="K246" s="21">
        <f>SUMIFS(Einzelbeträge!$D:$D,Einzelbeträge!$C:$C,'Ausgaben 2027'!$C246,Einzelbeträge!$E:$E,'Ausgaben 2027'!K$6)</f>
        <v>0</v>
      </c>
      <c r="L246" s="21">
        <f>SUMIFS(Einzelbeträge!$D:$D,Einzelbeträge!$C:$C,'Ausgaben 2027'!$C246,Einzelbeträge!$E:$E,'Ausgaben 2027'!L$6)</f>
        <v>0</v>
      </c>
      <c r="M246" s="21">
        <f>SUMIFS(Einzelbeträge!$D:$D,Einzelbeträge!$C:$C,'Ausgaben 2027'!$C246,Einzelbeträge!$E:$E,'Ausgaben 2027'!M$6)</f>
        <v>0</v>
      </c>
      <c r="N246" s="35">
        <f>SUMIFS(Einzelbeträge!$D:$D,Einzelbeträge!$C:$C,'Ausgaben 2027'!$C246,Einzelbeträge!$E:$E,'Ausgaben 2027'!N$6)</f>
        <v>0</v>
      </c>
      <c r="O246" s="6"/>
    </row>
    <row r="247" spans="2:15" x14ac:dyDescent="0.35">
      <c r="B247" s="5"/>
      <c r="C247" s="40">
        <f t="shared" si="23"/>
        <v>46606</v>
      </c>
      <c r="D247" s="46">
        <f>SUMIFS(Einzelbeträge!$D:$D,Einzelbeträge!$C:$C,'Ausgaben 2027'!$C247)</f>
        <v>0</v>
      </c>
      <c r="E247" s="21">
        <f>SUMIFS(Einzelbeträge!$D:$D,Einzelbeträge!$C:$C,'Ausgaben 2027'!$C247,Einzelbeträge!$E:$E,'Ausgaben 2027'!E$6)</f>
        <v>0</v>
      </c>
      <c r="F247" s="21">
        <f>SUMIFS(Einzelbeträge!$D:$D,Einzelbeträge!$C:$C,'Ausgaben 2027'!$C247,Einzelbeträge!$E:$E,'Ausgaben 2027'!F$6)</f>
        <v>0</v>
      </c>
      <c r="G247" s="21">
        <f>SUMIFS(Einzelbeträge!$D:$D,Einzelbeträge!$C:$C,'Ausgaben 2027'!$C247,Einzelbeträge!$E:$E,'Ausgaben 2027'!G$6)</f>
        <v>0</v>
      </c>
      <c r="H247" s="21">
        <f>SUMIFS(Einzelbeträge!$D:$D,Einzelbeträge!$C:$C,'Ausgaben 2027'!$C247,Einzelbeträge!$E:$E,'Ausgaben 2027'!H$6)</f>
        <v>0</v>
      </c>
      <c r="I247" s="21">
        <f>SUMIFS(Einzelbeträge!$D:$D,Einzelbeträge!$C:$C,'Ausgaben 2027'!$C247,Einzelbeträge!$E:$E,'Ausgaben 2027'!I$6)</f>
        <v>0</v>
      </c>
      <c r="J247" s="21">
        <f>SUMIFS(Einzelbeträge!$D:$D,Einzelbeträge!$C:$C,'Ausgaben 2027'!$C247,Einzelbeträge!$E:$E,'Ausgaben 2027'!J$6)</f>
        <v>0</v>
      </c>
      <c r="K247" s="21">
        <f>SUMIFS(Einzelbeträge!$D:$D,Einzelbeträge!$C:$C,'Ausgaben 2027'!$C247,Einzelbeträge!$E:$E,'Ausgaben 2027'!K$6)</f>
        <v>0</v>
      </c>
      <c r="L247" s="21">
        <f>SUMIFS(Einzelbeträge!$D:$D,Einzelbeträge!$C:$C,'Ausgaben 2027'!$C247,Einzelbeträge!$E:$E,'Ausgaben 2027'!L$6)</f>
        <v>0</v>
      </c>
      <c r="M247" s="21">
        <f>SUMIFS(Einzelbeträge!$D:$D,Einzelbeträge!$C:$C,'Ausgaben 2027'!$C247,Einzelbeträge!$E:$E,'Ausgaben 2027'!M$6)</f>
        <v>0</v>
      </c>
      <c r="N247" s="35">
        <f>SUMIFS(Einzelbeträge!$D:$D,Einzelbeträge!$C:$C,'Ausgaben 2027'!$C247,Einzelbeträge!$E:$E,'Ausgaben 2027'!N$6)</f>
        <v>0</v>
      </c>
      <c r="O247" s="6"/>
    </row>
    <row r="248" spans="2:15" x14ac:dyDescent="0.35">
      <c r="B248" s="5"/>
      <c r="C248" s="40">
        <f t="shared" si="23"/>
        <v>46607</v>
      </c>
      <c r="D248" s="46">
        <f>SUMIFS(Einzelbeträge!$D:$D,Einzelbeträge!$C:$C,'Ausgaben 2027'!$C248)</f>
        <v>0</v>
      </c>
      <c r="E248" s="21">
        <f>SUMIFS(Einzelbeträge!$D:$D,Einzelbeträge!$C:$C,'Ausgaben 2027'!$C248,Einzelbeträge!$E:$E,'Ausgaben 2027'!E$6)</f>
        <v>0</v>
      </c>
      <c r="F248" s="21">
        <f>SUMIFS(Einzelbeträge!$D:$D,Einzelbeträge!$C:$C,'Ausgaben 2027'!$C248,Einzelbeträge!$E:$E,'Ausgaben 2027'!F$6)</f>
        <v>0</v>
      </c>
      <c r="G248" s="21">
        <f>SUMIFS(Einzelbeträge!$D:$D,Einzelbeträge!$C:$C,'Ausgaben 2027'!$C248,Einzelbeträge!$E:$E,'Ausgaben 2027'!G$6)</f>
        <v>0</v>
      </c>
      <c r="H248" s="21">
        <f>SUMIFS(Einzelbeträge!$D:$D,Einzelbeträge!$C:$C,'Ausgaben 2027'!$C248,Einzelbeträge!$E:$E,'Ausgaben 2027'!H$6)</f>
        <v>0</v>
      </c>
      <c r="I248" s="21">
        <f>SUMIFS(Einzelbeträge!$D:$D,Einzelbeträge!$C:$C,'Ausgaben 2027'!$C248,Einzelbeträge!$E:$E,'Ausgaben 2027'!I$6)</f>
        <v>0</v>
      </c>
      <c r="J248" s="21">
        <f>SUMIFS(Einzelbeträge!$D:$D,Einzelbeträge!$C:$C,'Ausgaben 2027'!$C248,Einzelbeträge!$E:$E,'Ausgaben 2027'!J$6)</f>
        <v>0</v>
      </c>
      <c r="K248" s="21">
        <f>SUMIFS(Einzelbeträge!$D:$D,Einzelbeträge!$C:$C,'Ausgaben 2027'!$C248,Einzelbeträge!$E:$E,'Ausgaben 2027'!K$6)</f>
        <v>0</v>
      </c>
      <c r="L248" s="21">
        <f>SUMIFS(Einzelbeträge!$D:$D,Einzelbeträge!$C:$C,'Ausgaben 2027'!$C248,Einzelbeträge!$E:$E,'Ausgaben 2027'!L$6)</f>
        <v>0</v>
      </c>
      <c r="M248" s="21">
        <f>SUMIFS(Einzelbeträge!$D:$D,Einzelbeträge!$C:$C,'Ausgaben 2027'!$C248,Einzelbeträge!$E:$E,'Ausgaben 2027'!M$6)</f>
        <v>0</v>
      </c>
      <c r="N248" s="35">
        <f>SUMIFS(Einzelbeträge!$D:$D,Einzelbeträge!$C:$C,'Ausgaben 2027'!$C248,Einzelbeträge!$E:$E,'Ausgaben 2027'!N$6)</f>
        <v>0</v>
      </c>
      <c r="O248" s="6"/>
    </row>
    <row r="249" spans="2:15" x14ac:dyDescent="0.35">
      <c r="B249" s="5"/>
      <c r="C249" s="40">
        <f t="shared" si="23"/>
        <v>46608</v>
      </c>
      <c r="D249" s="46">
        <f>SUMIFS(Einzelbeträge!$D:$D,Einzelbeträge!$C:$C,'Ausgaben 2027'!$C249)</f>
        <v>0</v>
      </c>
      <c r="E249" s="21">
        <f>SUMIFS(Einzelbeträge!$D:$D,Einzelbeträge!$C:$C,'Ausgaben 2027'!$C249,Einzelbeträge!$E:$E,'Ausgaben 2027'!E$6)</f>
        <v>0</v>
      </c>
      <c r="F249" s="21">
        <f>SUMIFS(Einzelbeträge!$D:$D,Einzelbeträge!$C:$C,'Ausgaben 2027'!$C249,Einzelbeträge!$E:$E,'Ausgaben 2027'!F$6)</f>
        <v>0</v>
      </c>
      <c r="G249" s="21">
        <f>SUMIFS(Einzelbeträge!$D:$D,Einzelbeträge!$C:$C,'Ausgaben 2027'!$C249,Einzelbeträge!$E:$E,'Ausgaben 2027'!G$6)</f>
        <v>0</v>
      </c>
      <c r="H249" s="21">
        <f>SUMIFS(Einzelbeträge!$D:$D,Einzelbeträge!$C:$C,'Ausgaben 2027'!$C249,Einzelbeträge!$E:$E,'Ausgaben 2027'!H$6)</f>
        <v>0</v>
      </c>
      <c r="I249" s="21">
        <f>SUMIFS(Einzelbeträge!$D:$D,Einzelbeträge!$C:$C,'Ausgaben 2027'!$C249,Einzelbeträge!$E:$E,'Ausgaben 2027'!I$6)</f>
        <v>0</v>
      </c>
      <c r="J249" s="21">
        <f>SUMIFS(Einzelbeträge!$D:$D,Einzelbeträge!$C:$C,'Ausgaben 2027'!$C249,Einzelbeträge!$E:$E,'Ausgaben 2027'!J$6)</f>
        <v>0</v>
      </c>
      <c r="K249" s="21">
        <f>SUMIFS(Einzelbeträge!$D:$D,Einzelbeträge!$C:$C,'Ausgaben 2027'!$C249,Einzelbeträge!$E:$E,'Ausgaben 2027'!K$6)</f>
        <v>0</v>
      </c>
      <c r="L249" s="21">
        <f>SUMIFS(Einzelbeträge!$D:$D,Einzelbeträge!$C:$C,'Ausgaben 2027'!$C249,Einzelbeträge!$E:$E,'Ausgaben 2027'!L$6)</f>
        <v>0</v>
      </c>
      <c r="M249" s="21">
        <f>SUMIFS(Einzelbeträge!$D:$D,Einzelbeträge!$C:$C,'Ausgaben 2027'!$C249,Einzelbeträge!$E:$E,'Ausgaben 2027'!M$6)</f>
        <v>0</v>
      </c>
      <c r="N249" s="35">
        <f>SUMIFS(Einzelbeträge!$D:$D,Einzelbeträge!$C:$C,'Ausgaben 2027'!$C249,Einzelbeträge!$E:$E,'Ausgaben 2027'!N$6)</f>
        <v>0</v>
      </c>
      <c r="O249" s="6"/>
    </row>
    <row r="250" spans="2:15" x14ac:dyDescent="0.35">
      <c r="B250" s="5"/>
      <c r="C250" s="40">
        <f t="shared" si="23"/>
        <v>46609</v>
      </c>
      <c r="D250" s="46">
        <f>SUMIFS(Einzelbeträge!$D:$D,Einzelbeträge!$C:$C,'Ausgaben 2027'!$C250)</f>
        <v>0</v>
      </c>
      <c r="E250" s="21">
        <f>SUMIFS(Einzelbeträge!$D:$D,Einzelbeträge!$C:$C,'Ausgaben 2027'!$C250,Einzelbeträge!$E:$E,'Ausgaben 2027'!E$6)</f>
        <v>0</v>
      </c>
      <c r="F250" s="21">
        <f>SUMIFS(Einzelbeträge!$D:$D,Einzelbeträge!$C:$C,'Ausgaben 2027'!$C250,Einzelbeträge!$E:$E,'Ausgaben 2027'!F$6)</f>
        <v>0</v>
      </c>
      <c r="G250" s="21">
        <f>SUMIFS(Einzelbeträge!$D:$D,Einzelbeträge!$C:$C,'Ausgaben 2027'!$C250,Einzelbeträge!$E:$E,'Ausgaben 2027'!G$6)</f>
        <v>0</v>
      </c>
      <c r="H250" s="21">
        <f>SUMIFS(Einzelbeträge!$D:$D,Einzelbeträge!$C:$C,'Ausgaben 2027'!$C250,Einzelbeträge!$E:$E,'Ausgaben 2027'!H$6)</f>
        <v>0</v>
      </c>
      <c r="I250" s="21">
        <f>SUMIFS(Einzelbeträge!$D:$D,Einzelbeträge!$C:$C,'Ausgaben 2027'!$C250,Einzelbeträge!$E:$E,'Ausgaben 2027'!I$6)</f>
        <v>0</v>
      </c>
      <c r="J250" s="21">
        <f>SUMIFS(Einzelbeträge!$D:$D,Einzelbeträge!$C:$C,'Ausgaben 2027'!$C250,Einzelbeträge!$E:$E,'Ausgaben 2027'!J$6)</f>
        <v>0</v>
      </c>
      <c r="K250" s="21">
        <f>SUMIFS(Einzelbeträge!$D:$D,Einzelbeträge!$C:$C,'Ausgaben 2027'!$C250,Einzelbeträge!$E:$E,'Ausgaben 2027'!K$6)</f>
        <v>0</v>
      </c>
      <c r="L250" s="21">
        <f>SUMIFS(Einzelbeträge!$D:$D,Einzelbeträge!$C:$C,'Ausgaben 2027'!$C250,Einzelbeträge!$E:$E,'Ausgaben 2027'!L$6)</f>
        <v>0</v>
      </c>
      <c r="M250" s="21">
        <f>SUMIFS(Einzelbeträge!$D:$D,Einzelbeträge!$C:$C,'Ausgaben 2027'!$C250,Einzelbeträge!$E:$E,'Ausgaben 2027'!M$6)</f>
        <v>0</v>
      </c>
      <c r="N250" s="35">
        <f>SUMIFS(Einzelbeträge!$D:$D,Einzelbeträge!$C:$C,'Ausgaben 2027'!$C250,Einzelbeträge!$E:$E,'Ausgaben 2027'!N$6)</f>
        <v>0</v>
      </c>
      <c r="O250" s="6"/>
    </row>
    <row r="251" spans="2:15" x14ac:dyDescent="0.35">
      <c r="B251" s="5"/>
      <c r="C251" s="40">
        <f t="shared" si="23"/>
        <v>46610</v>
      </c>
      <c r="D251" s="46">
        <f>SUMIFS(Einzelbeträge!$D:$D,Einzelbeträge!$C:$C,'Ausgaben 2027'!$C251)</f>
        <v>0</v>
      </c>
      <c r="E251" s="21">
        <f>SUMIFS(Einzelbeträge!$D:$D,Einzelbeträge!$C:$C,'Ausgaben 2027'!$C251,Einzelbeträge!$E:$E,'Ausgaben 2027'!E$6)</f>
        <v>0</v>
      </c>
      <c r="F251" s="21">
        <f>SUMIFS(Einzelbeträge!$D:$D,Einzelbeträge!$C:$C,'Ausgaben 2027'!$C251,Einzelbeträge!$E:$E,'Ausgaben 2027'!F$6)</f>
        <v>0</v>
      </c>
      <c r="G251" s="21">
        <f>SUMIFS(Einzelbeträge!$D:$D,Einzelbeträge!$C:$C,'Ausgaben 2027'!$C251,Einzelbeträge!$E:$E,'Ausgaben 2027'!G$6)</f>
        <v>0</v>
      </c>
      <c r="H251" s="21">
        <f>SUMIFS(Einzelbeträge!$D:$D,Einzelbeträge!$C:$C,'Ausgaben 2027'!$C251,Einzelbeträge!$E:$E,'Ausgaben 2027'!H$6)</f>
        <v>0</v>
      </c>
      <c r="I251" s="21">
        <f>SUMIFS(Einzelbeträge!$D:$D,Einzelbeträge!$C:$C,'Ausgaben 2027'!$C251,Einzelbeträge!$E:$E,'Ausgaben 2027'!I$6)</f>
        <v>0</v>
      </c>
      <c r="J251" s="21">
        <f>SUMIFS(Einzelbeträge!$D:$D,Einzelbeträge!$C:$C,'Ausgaben 2027'!$C251,Einzelbeträge!$E:$E,'Ausgaben 2027'!J$6)</f>
        <v>0</v>
      </c>
      <c r="K251" s="21">
        <f>SUMIFS(Einzelbeträge!$D:$D,Einzelbeträge!$C:$C,'Ausgaben 2027'!$C251,Einzelbeträge!$E:$E,'Ausgaben 2027'!K$6)</f>
        <v>0</v>
      </c>
      <c r="L251" s="21">
        <f>SUMIFS(Einzelbeträge!$D:$D,Einzelbeträge!$C:$C,'Ausgaben 2027'!$C251,Einzelbeträge!$E:$E,'Ausgaben 2027'!L$6)</f>
        <v>0</v>
      </c>
      <c r="M251" s="21">
        <f>SUMIFS(Einzelbeträge!$D:$D,Einzelbeträge!$C:$C,'Ausgaben 2027'!$C251,Einzelbeträge!$E:$E,'Ausgaben 2027'!M$6)</f>
        <v>0</v>
      </c>
      <c r="N251" s="35">
        <f>SUMIFS(Einzelbeträge!$D:$D,Einzelbeträge!$C:$C,'Ausgaben 2027'!$C251,Einzelbeträge!$E:$E,'Ausgaben 2027'!N$6)</f>
        <v>0</v>
      </c>
      <c r="O251" s="6"/>
    </row>
    <row r="252" spans="2:15" x14ac:dyDescent="0.35">
      <c r="B252" s="5"/>
      <c r="C252" s="40">
        <f t="shared" si="23"/>
        <v>46611</v>
      </c>
      <c r="D252" s="46">
        <f>SUMIFS(Einzelbeträge!$D:$D,Einzelbeträge!$C:$C,'Ausgaben 2027'!$C252)</f>
        <v>0</v>
      </c>
      <c r="E252" s="21">
        <f>SUMIFS(Einzelbeträge!$D:$D,Einzelbeträge!$C:$C,'Ausgaben 2027'!$C252,Einzelbeträge!$E:$E,'Ausgaben 2027'!E$6)</f>
        <v>0</v>
      </c>
      <c r="F252" s="21">
        <f>SUMIFS(Einzelbeträge!$D:$D,Einzelbeträge!$C:$C,'Ausgaben 2027'!$C252,Einzelbeträge!$E:$E,'Ausgaben 2027'!F$6)</f>
        <v>0</v>
      </c>
      <c r="G252" s="21">
        <f>SUMIFS(Einzelbeträge!$D:$D,Einzelbeträge!$C:$C,'Ausgaben 2027'!$C252,Einzelbeträge!$E:$E,'Ausgaben 2027'!G$6)</f>
        <v>0</v>
      </c>
      <c r="H252" s="21">
        <f>SUMIFS(Einzelbeträge!$D:$D,Einzelbeträge!$C:$C,'Ausgaben 2027'!$C252,Einzelbeträge!$E:$E,'Ausgaben 2027'!H$6)</f>
        <v>0</v>
      </c>
      <c r="I252" s="21">
        <f>SUMIFS(Einzelbeträge!$D:$D,Einzelbeträge!$C:$C,'Ausgaben 2027'!$C252,Einzelbeträge!$E:$E,'Ausgaben 2027'!I$6)</f>
        <v>0</v>
      </c>
      <c r="J252" s="21">
        <f>SUMIFS(Einzelbeträge!$D:$D,Einzelbeträge!$C:$C,'Ausgaben 2027'!$C252,Einzelbeträge!$E:$E,'Ausgaben 2027'!J$6)</f>
        <v>0</v>
      </c>
      <c r="K252" s="21">
        <f>SUMIFS(Einzelbeträge!$D:$D,Einzelbeträge!$C:$C,'Ausgaben 2027'!$C252,Einzelbeträge!$E:$E,'Ausgaben 2027'!K$6)</f>
        <v>0</v>
      </c>
      <c r="L252" s="21">
        <f>SUMIFS(Einzelbeträge!$D:$D,Einzelbeträge!$C:$C,'Ausgaben 2027'!$C252,Einzelbeträge!$E:$E,'Ausgaben 2027'!L$6)</f>
        <v>0</v>
      </c>
      <c r="M252" s="21">
        <f>SUMIFS(Einzelbeträge!$D:$D,Einzelbeträge!$C:$C,'Ausgaben 2027'!$C252,Einzelbeträge!$E:$E,'Ausgaben 2027'!M$6)</f>
        <v>0</v>
      </c>
      <c r="N252" s="35">
        <f>SUMIFS(Einzelbeträge!$D:$D,Einzelbeträge!$C:$C,'Ausgaben 2027'!$C252,Einzelbeträge!$E:$E,'Ausgaben 2027'!N$6)</f>
        <v>0</v>
      </c>
      <c r="O252" s="6"/>
    </row>
    <row r="253" spans="2:15" x14ac:dyDescent="0.35">
      <c r="B253" s="5"/>
      <c r="C253" s="40">
        <f t="shared" si="23"/>
        <v>46612</v>
      </c>
      <c r="D253" s="46">
        <f>SUMIFS(Einzelbeträge!$D:$D,Einzelbeträge!$C:$C,'Ausgaben 2027'!$C253)</f>
        <v>0</v>
      </c>
      <c r="E253" s="21">
        <f>SUMIFS(Einzelbeträge!$D:$D,Einzelbeträge!$C:$C,'Ausgaben 2027'!$C253,Einzelbeträge!$E:$E,'Ausgaben 2027'!E$6)</f>
        <v>0</v>
      </c>
      <c r="F253" s="21">
        <f>SUMIFS(Einzelbeträge!$D:$D,Einzelbeträge!$C:$C,'Ausgaben 2027'!$C253,Einzelbeträge!$E:$E,'Ausgaben 2027'!F$6)</f>
        <v>0</v>
      </c>
      <c r="G253" s="21">
        <f>SUMIFS(Einzelbeträge!$D:$D,Einzelbeträge!$C:$C,'Ausgaben 2027'!$C253,Einzelbeträge!$E:$E,'Ausgaben 2027'!G$6)</f>
        <v>0</v>
      </c>
      <c r="H253" s="21">
        <f>SUMIFS(Einzelbeträge!$D:$D,Einzelbeträge!$C:$C,'Ausgaben 2027'!$C253,Einzelbeträge!$E:$E,'Ausgaben 2027'!H$6)</f>
        <v>0</v>
      </c>
      <c r="I253" s="21">
        <f>SUMIFS(Einzelbeträge!$D:$D,Einzelbeträge!$C:$C,'Ausgaben 2027'!$C253,Einzelbeträge!$E:$E,'Ausgaben 2027'!I$6)</f>
        <v>0</v>
      </c>
      <c r="J253" s="21">
        <f>SUMIFS(Einzelbeträge!$D:$D,Einzelbeträge!$C:$C,'Ausgaben 2027'!$C253,Einzelbeträge!$E:$E,'Ausgaben 2027'!J$6)</f>
        <v>0</v>
      </c>
      <c r="K253" s="21">
        <f>SUMIFS(Einzelbeträge!$D:$D,Einzelbeträge!$C:$C,'Ausgaben 2027'!$C253,Einzelbeträge!$E:$E,'Ausgaben 2027'!K$6)</f>
        <v>0</v>
      </c>
      <c r="L253" s="21">
        <f>SUMIFS(Einzelbeträge!$D:$D,Einzelbeträge!$C:$C,'Ausgaben 2027'!$C253,Einzelbeträge!$E:$E,'Ausgaben 2027'!L$6)</f>
        <v>0</v>
      </c>
      <c r="M253" s="21">
        <f>SUMIFS(Einzelbeträge!$D:$D,Einzelbeträge!$C:$C,'Ausgaben 2027'!$C253,Einzelbeträge!$E:$E,'Ausgaben 2027'!M$6)</f>
        <v>0</v>
      </c>
      <c r="N253" s="35">
        <f>SUMIFS(Einzelbeträge!$D:$D,Einzelbeträge!$C:$C,'Ausgaben 2027'!$C253,Einzelbeträge!$E:$E,'Ausgaben 2027'!N$6)</f>
        <v>0</v>
      </c>
      <c r="O253" s="6"/>
    </row>
    <row r="254" spans="2:15" x14ac:dyDescent="0.35">
      <c r="B254" s="5"/>
      <c r="C254" s="40">
        <f t="shared" si="23"/>
        <v>46613</v>
      </c>
      <c r="D254" s="46">
        <f>SUMIFS(Einzelbeträge!$D:$D,Einzelbeträge!$C:$C,'Ausgaben 2027'!$C254)</f>
        <v>0</v>
      </c>
      <c r="E254" s="21">
        <f>SUMIFS(Einzelbeträge!$D:$D,Einzelbeträge!$C:$C,'Ausgaben 2027'!$C254,Einzelbeträge!$E:$E,'Ausgaben 2027'!E$6)</f>
        <v>0</v>
      </c>
      <c r="F254" s="21">
        <f>SUMIFS(Einzelbeträge!$D:$D,Einzelbeträge!$C:$C,'Ausgaben 2027'!$C254,Einzelbeträge!$E:$E,'Ausgaben 2027'!F$6)</f>
        <v>0</v>
      </c>
      <c r="G254" s="21">
        <f>SUMIFS(Einzelbeträge!$D:$D,Einzelbeträge!$C:$C,'Ausgaben 2027'!$C254,Einzelbeträge!$E:$E,'Ausgaben 2027'!G$6)</f>
        <v>0</v>
      </c>
      <c r="H254" s="21">
        <f>SUMIFS(Einzelbeträge!$D:$D,Einzelbeträge!$C:$C,'Ausgaben 2027'!$C254,Einzelbeträge!$E:$E,'Ausgaben 2027'!H$6)</f>
        <v>0</v>
      </c>
      <c r="I254" s="21">
        <f>SUMIFS(Einzelbeträge!$D:$D,Einzelbeträge!$C:$C,'Ausgaben 2027'!$C254,Einzelbeträge!$E:$E,'Ausgaben 2027'!I$6)</f>
        <v>0</v>
      </c>
      <c r="J254" s="21">
        <f>SUMIFS(Einzelbeträge!$D:$D,Einzelbeträge!$C:$C,'Ausgaben 2027'!$C254,Einzelbeträge!$E:$E,'Ausgaben 2027'!J$6)</f>
        <v>0</v>
      </c>
      <c r="K254" s="21">
        <f>SUMIFS(Einzelbeträge!$D:$D,Einzelbeträge!$C:$C,'Ausgaben 2027'!$C254,Einzelbeträge!$E:$E,'Ausgaben 2027'!K$6)</f>
        <v>0</v>
      </c>
      <c r="L254" s="21">
        <f>SUMIFS(Einzelbeträge!$D:$D,Einzelbeträge!$C:$C,'Ausgaben 2027'!$C254,Einzelbeträge!$E:$E,'Ausgaben 2027'!L$6)</f>
        <v>0</v>
      </c>
      <c r="M254" s="21">
        <f>SUMIFS(Einzelbeträge!$D:$D,Einzelbeträge!$C:$C,'Ausgaben 2027'!$C254,Einzelbeträge!$E:$E,'Ausgaben 2027'!M$6)</f>
        <v>0</v>
      </c>
      <c r="N254" s="35">
        <f>SUMIFS(Einzelbeträge!$D:$D,Einzelbeträge!$C:$C,'Ausgaben 2027'!$C254,Einzelbeträge!$E:$E,'Ausgaben 2027'!N$6)</f>
        <v>0</v>
      </c>
      <c r="O254" s="6"/>
    </row>
    <row r="255" spans="2:15" x14ac:dyDescent="0.35">
      <c r="B255" s="5"/>
      <c r="C255" s="40">
        <f t="shared" si="23"/>
        <v>46614</v>
      </c>
      <c r="D255" s="46">
        <f>SUMIFS(Einzelbeträge!$D:$D,Einzelbeträge!$C:$C,'Ausgaben 2027'!$C255)</f>
        <v>0</v>
      </c>
      <c r="E255" s="21">
        <f>SUMIFS(Einzelbeträge!$D:$D,Einzelbeträge!$C:$C,'Ausgaben 2027'!$C255,Einzelbeträge!$E:$E,'Ausgaben 2027'!E$6)</f>
        <v>0</v>
      </c>
      <c r="F255" s="21">
        <f>SUMIFS(Einzelbeträge!$D:$D,Einzelbeträge!$C:$C,'Ausgaben 2027'!$C255,Einzelbeträge!$E:$E,'Ausgaben 2027'!F$6)</f>
        <v>0</v>
      </c>
      <c r="G255" s="21">
        <f>SUMIFS(Einzelbeträge!$D:$D,Einzelbeträge!$C:$C,'Ausgaben 2027'!$C255,Einzelbeträge!$E:$E,'Ausgaben 2027'!G$6)</f>
        <v>0</v>
      </c>
      <c r="H255" s="21">
        <f>SUMIFS(Einzelbeträge!$D:$D,Einzelbeträge!$C:$C,'Ausgaben 2027'!$C255,Einzelbeträge!$E:$E,'Ausgaben 2027'!H$6)</f>
        <v>0</v>
      </c>
      <c r="I255" s="21">
        <f>SUMIFS(Einzelbeträge!$D:$D,Einzelbeträge!$C:$C,'Ausgaben 2027'!$C255,Einzelbeträge!$E:$E,'Ausgaben 2027'!I$6)</f>
        <v>0</v>
      </c>
      <c r="J255" s="21">
        <f>SUMIFS(Einzelbeträge!$D:$D,Einzelbeträge!$C:$C,'Ausgaben 2027'!$C255,Einzelbeträge!$E:$E,'Ausgaben 2027'!J$6)</f>
        <v>0</v>
      </c>
      <c r="K255" s="21">
        <f>SUMIFS(Einzelbeträge!$D:$D,Einzelbeträge!$C:$C,'Ausgaben 2027'!$C255,Einzelbeträge!$E:$E,'Ausgaben 2027'!K$6)</f>
        <v>0</v>
      </c>
      <c r="L255" s="21">
        <f>SUMIFS(Einzelbeträge!$D:$D,Einzelbeträge!$C:$C,'Ausgaben 2027'!$C255,Einzelbeträge!$E:$E,'Ausgaben 2027'!L$6)</f>
        <v>0</v>
      </c>
      <c r="M255" s="21">
        <f>SUMIFS(Einzelbeträge!$D:$D,Einzelbeträge!$C:$C,'Ausgaben 2027'!$C255,Einzelbeträge!$E:$E,'Ausgaben 2027'!M$6)</f>
        <v>0</v>
      </c>
      <c r="N255" s="35">
        <f>SUMIFS(Einzelbeträge!$D:$D,Einzelbeträge!$C:$C,'Ausgaben 2027'!$C255,Einzelbeträge!$E:$E,'Ausgaben 2027'!N$6)</f>
        <v>0</v>
      </c>
      <c r="O255" s="6"/>
    </row>
    <row r="256" spans="2:15" x14ac:dyDescent="0.35">
      <c r="B256" s="5"/>
      <c r="C256" s="40">
        <f t="shared" si="23"/>
        <v>46615</v>
      </c>
      <c r="D256" s="46">
        <f>SUMIFS(Einzelbeträge!$D:$D,Einzelbeträge!$C:$C,'Ausgaben 2027'!$C256)</f>
        <v>0</v>
      </c>
      <c r="E256" s="21">
        <f>SUMIFS(Einzelbeträge!$D:$D,Einzelbeträge!$C:$C,'Ausgaben 2027'!$C256,Einzelbeträge!$E:$E,'Ausgaben 2027'!E$6)</f>
        <v>0</v>
      </c>
      <c r="F256" s="21">
        <f>SUMIFS(Einzelbeträge!$D:$D,Einzelbeträge!$C:$C,'Ausgaben 2027'!$C256,Einzelbeträge!$E:$E,'Ausgaben 2027'!F$6)</f>
        <v>0</v>
      </c>
      <c r="G256" s="21">
        <f>SUMIFS(Einzelbeträge!$D:$D,Einzelbeträge!$C:$C,'Ausgaben 2027'!$C256,Einzelbeträge!$E:$E,'Ausgaben 2027'!G$6)</f>
        <v>0</v>
      </c>
      <c r="H256" s="21">
        <f>SUMIFS(Einzelbeträge!$D:$D,Einzelbeträge!$C:$C,'Ausgaben 2027'!$C256,Einzelbeträge!$E:$E,'Ausgaben 2027'!H$6)</f>
        <v>0</v>
      </c>
      <c r="I256" s="21">
        <f>SUMIFS(Einzelbeträge!$D:$D,Einzelbeträge!$C:$C,'Ausgaben 2027'!$C256,Einzelbeträge!$E:$E,'Ausgaben 2027'!I$6)</f>
        <v>0</v>
      </c>
      <c r="J256" s="21">
        <f>SUMIFS(Einzelbeträge!$D:$D,Einzelbeträge!$C:$C,'Ausgaben 2027'!$C256,Einzelbeträge!$E:$E,'Ausgaben 2027'!J$6)</f>
        <v>0</v>
      </c>
      <c r="K256" s="21">
        <f>SUMIFS(Einzelbeträge!$D:$D,Einzelbeträge!$C:$C,'Ausgaben 2027'!$C256,Einzelbeträge!$E:$E,'Ausgaben 2027'!K$6)</f>
        <v>0</v>
      </c>
      <c r="L256" s="21">
        <f>SUMIFS(Einzelbeträge!$D:$D,Einzelbeträge!$C:$C,'Ausgaben 2027'!$C256,Einzelbeträge!$E:$E,'Ausgaben 2027'!L$6)</f>
        <v>0</v>
      </c>
      <c r="M256" s="21">
        <f>SUMIFS(Einzelbeträge!$D:$D,Einzelbeträge!$C:$C,'Ausgaben 2027'!$C256,Einzelbeträge!$E:$E,'Ausgaben 2027'!M$6)</f>
        <v>0</v>
      </c>
      <c r="N256" s="35">
        <f>SUMIFS(Einzelbeträge!$D:$D,Einzelbeträge!$C:$C,'Ausgaben 2027'!$C256,Einzelbeträge!$E:$E,'Ausgaben 2027'!N$6)</f>
        <v>0</v>
      </c>
      <c r="O256" s="6"/>
    </row>
    <row r="257" spans="2:15" x14ac:dyDescent="0.35">
      <c r="B257" s="5"/>
      <c r="C257" s="40">
        <f t="shared" si="23"/>
        <v>46616</v>
      </c>
      <c r="D257" s="46">
        <f>SUMIFS(Einzelbeträge!$D:$D,Einzelbeträge!$C:$C,'Ausgaben 2027'!$C257)</f>
        <v>0</v>
      </c>
      <c r="E257" s="21">
        <f>SUMIFS(Einzelbeträge!$D:$D,Einzelbeträge!$C:$C,'Ausgaben 2027'!$C257,Einzelbeträge!$E:$E,'Ausgaben 2027'!E$6)</f>
        <v>0</v>
      </c>
      <c r="F257" s="21">
        <f>SUMIFS(Einzelbeträge!$D:$D,Einzelbeträge!$C:$C,'Ausgaben 2027'!$C257,Einzelbeträge!$E:$E,'Ausgaben 2027'!F$6)</f>
        <v>0</v>
      </c>
      <c r="G257" s="21">
        <f>SUMIFS(Einzelbeträge!$D:$D,Einzelbeträge!$C:$C,'Ausgaben 2027'!$C257,Einzelbeträge!$E:$E,'Ausgaben 2027'!G$6)</f>
        <v>0</v>
      </c>
      <c r="H257" s="21">
        <f>SUMIFS(Einzelbeträge!$D:$D,Einzelbeträge!$C:$C,'Ausgaben 2027'!$C257,Einzelbeträge!$E:$E,'Ausgaben 2027'!H$6)</f>
        <v>0</v>
      </c>
      <c r="I257" s="21">
        <f>SUMIFS(Einzelbeträge!$D:$D,Einzelbeträge!$C:$C,'Ausgaben 2027'!$C257,Einzelbeträge!$E:$E,'Ausgaben 2027'!I$6)</f>
        <v>0</v>
      </c>
      <c r="J257" s="21">
        <f>SUMIFS(Einzelbeträge!$D:$D,Einzelbeträge!$C:$C,'Ausgaben 2027'!$C257,Einzelbeträge!$E:$E,'Ausgaben 2027'!J$6)</f>
        <v>0</v>
      </c>
      <c r="K257" s="21">
        <f>SUMIFS(Einzelbeträge!$D:$D,Einzelbeträge!$C:$C,'Ausgaben 2027'!$C257,Einzelbeträge!$E:$E,'Ausgaben 2027'!K$6)</f>
        <v>0</v>
      </c>
      <c r="L257" s="21">
        <f>SUMIFS(Einzelbeträge!$D:$D,Einzelbeträge!$C:$C,'Ausgaben 2027'!$C257,Einzelbeträge!$E:$E,'Ausgaben 2027'!L$6)</f>
        <v>0</v>
      </c>
      <c r="M257" s="21">
        <f>SUMIFS(Einzelbeträge!$D:$D,Einzelbeträge!$C:$C,'Ausgaben 2027'!$C257,Einzelbeträge!$E:$E,'Ausgaben 2027'!M$6)</f>
        <v>0</v>
      </c>
      <c r="N257" s="35">
        <f>SUMIFS(Einzelbeträge!$D:$D,Einzelbeträge!$C:$C,'Ausgaben 2027'!$C257,Einzelbeträge!$E:$E,'Ausgaben 2027'!N$6)</f>
        <v>0</v>
      </c>
      <c r="O257" s="6"/>
    </row>
    <row r="258" spans="2:15" x14ac:dyDescent="0.35">
      <c r="B258" s="5"/>
      <c r="C258" s="40">
        <f t="shared" si="23"/>
        <v>46617</v>
      </c>
      <c r="D258" s="46">
        <f>SUMIFS(Einzelbeträge!$D:$D,Einzelbeträge!$C:$C,'Ausgaben 2027'!$C258)</f>
        <v>0</v>
      </c>
      <c r="E258" s="21">
        <f>SUMIFS(Einzelbeträge!$D:$D,Einzelbeträge!$C:$C,'Ausgaben 2027'!$C258,Einzelbeträge!$E:$E,'Ausgaben 2027'!E$6)</f>
        <v>0</v>
      </c>
      <c r="F258" s="21">
        <f>SUMIFS(Einzelbeträge!$D:$D,Einzelbeträge!$C:$C,'Ausgaben 2027'!$C258,Einzelbeträge!$E:$E,'Ausgaben 2027'!F$6)</f>
        <v>0</v>
      </c>
      <c r="G258" s="21">
        <f>SUMIFS(Einzelbeträge!$D:$D,Einzelbeträge!$C:$C,'Ausgaben 2027'!$C258,Einzelbeträge!$E:$E,'Ausgaben 2027'!G$6)</f>
        <v>0</v>
      </c>
      <c r="H258" s="21">
        <f>SUMIFS(Einzelbeträge!$D:$D,Einzelbeträge!$C:$C,'Ausgaben 2027'!$C258,Einzelbeträge!$E:$E,'Ausgaben 2027'!H$6)</f>
        <v>0</v>
      </c>
      <c r="I258" s="21">
        <f>SUMIFS(Einzelbeträge!$D:$D,Einzelbeträge!$C:$C,'Ausgaben 2027'!$C258,Einzelbeträge!$E:$E,'Ausgaben 2027'!I$6)</f>
        <v>0</v>
      </c>
      <c r="J258" s="21">
        <f>SUMIFS(Einzelbeträge!$D:$D,Einzelbeträge!$C:$C,'Ausgaben 2027'!$C258,Einzelbeträge!$E:$E,'Ausgaben 2027'!J$6)</f>
        <v>0</v>
      </c>
      <c r="K258" s="21">
        <f>SUMIFS(Einzelbeträge!$D:$D,Einzelbeträge!$C:$C,'Ausgaben 2027'!$C258,Einzelbeträge!$E:$E,'Ausgaben 2027'!K$6)</f>
        <v>0</v>
      </c>
      <c r="L258" s="21">
        <f>SUMIFS(Einzelbeträge!$D:$D,Einzelbeträge!$C:$C,'Ausgaben 2027'!$C258,Einzelbeträge!$E:$E,'Ausgaben 2027'!L$6)</f>
        <v>0</v>
      </c>
      <c r="M258" s="21">
        <f>SUMIFS(Einzelbeträge!$D:$D,Einzelbeträge!$C:$C,'Ausgaben 2027'!$C258,Einzelbeträge!$E:$E,'Ausgaben 2027'!M$6)</f>
        <v>0</v>
      </c>
      <c r="N258" s="35">
        <f>SUMIFS(Einzelbeträge!$D:$D,Einzelbeträge!$C:$C,'Ausgaben 2027'!$C258,Einzelbeträge!$E:$E,'Ausgaben 2027'!N$6)</f>
        <v>0</v>
      </c>
      <c r="O258" s="6"/>
    </row>
    <row r="259" spans="2:15" x14ac:dyDescent="0.35">
      <c r="B259" s="5"/>
      <c r="C259" s="40">
        <f t="shared" si="23"/>
        <v>46618</v>
      </c>
      <c r="D259" s="46">
        <f>SUMIFS(Einzelbeträge!$D:$D,Einzelbeträge!$C:$C,'Ausgaben 2027'!$C259)</f>
        <v>0</v>
      </c>
      <c r="E259" s="21">
        <f>SUMIFS(Einzelbeträge!$D:$D,Einzelbeträge!$C:$C,'Ausgaben 2027'!$C259,Einzelbeträge!$E:$E,'Ausgaben 2027'!E$6)</f>
        <v>0</v>
      </c>
      <c r="F259" s="21">
        <f>SUMIFS(Einzelbeträge!$D:$D,Einzelbeträge!$C:$C,'Ausgaben 2027'!$C259,Einzelbeträge!$E:$E,'Ausgaben 2027'!F$6)</f>
        <v>0</v>
      </c>
      <c r="G259" s="21">
        <f>SUMIFS(Einzelbeträge!$D:$D,Einzelbeträge!$C:$C,'Ausgaben 2027'!$C259,Einzelbeträge!$E:$E,'Ausgaben 2027'!G$6)</f>
        <v>0</v>
      </c>
      <c r="H259" s="21">
        <f>SUMIFS(Einzelbeträge!$D:$D,Einzelbeträge!$C:$C,'Ausgaben 2027'!$C259,Einzelbeträge!$E:$E,'Ausgaben 2027'!H$6)</f>
        <v>0</v>
      </c>
      <c r="I259" s="21">
        <f>SUMIFS(Einzelbeträge!$D:$D,Einzelbeträge!$C:$C,'Ausgaben 2027'!$C259,Einzelbeträge!$E:$E,'Ausgaben 2027'!I$6)</f>
        <v>0</v>
      </c>
      <c r="J259" s="21">
        <f>SUMIFS(Einzelbeträge!$D:$D,Einzelbeträge!$C:$C,'Ausgaben 2027'!$C259,Einzelbeträge!$E:$E,'Ausgaben 2027'!J$6)</f>
        <v>0</v>
      </c>
      <c r="K259" s="21">
        <f>SUMIFS(Einzelbeträge!$D:$D,Einzelbeträge!$C:$C,'Ausgaben 2027'!$C259,Einzelbeträge!$E:$E,'Ausgaben 2027'!K$6)</f>
        <v>0</v>
      </c>
      <c r="L259" s="21">
        <f>SUMIFS(Einzelbeträge!$D:$D,Einzelbeträge!$C:$C,'Ausgaben 2027'!$C259,Einzelbeträge!$E:$E,'Ausgaben 2027'!L$6)</f>
        <v>0</v>
      </c>
      <c r="M259" s="21">
        <f>SUMIFS(Einzelbeträge!$D:$D,Einzelbeträge!$C:$C,'Ausgaben 2027'!$C259,Einzelbeträge!$E:$E,'Ausgaben 2027'!M$6)</f>
        <v>0</v>
      </c>
      <c r="N259" s="35">
        <f>SUMIFS(Einzelbeträge!$D:$D,Einzelbeträge!$C:$C,'Ausgaben 2027'!$C259,Einzelbeträge!$E:$E,'Ausgaben 2027'!N$6)</f>
        <v>0</v>
      </c>
      <c r="O259" s="6"/>
    </row>
    <row r="260" spans="2:15" x14ac:dyDescent="0.35">
      <c r="B260" s="5"/>
      <c r="C260" s="40">
        <f t="shared" si="23"/>
        <v>46619</v>
      </c>
      <c r="D260" s="46">
        <f>SUMIFS(Einzelbeträge!$D:$D,Einzelbeträge!$C:$C,'Ausgaben 2027'!$C260)</f>
        <v>0</v>
      </c>
      <c r="E260" s="21">
        <f>SUMIFS(Einzelbeträge!$D:$D,Einzelbeträge!$C:$C,'Ausgaben 2027'!$C260,Einzelbeträge!$E:$E,'Ausgaben 2027'!E$6)</f>
        <v>0</v>
      </c>
      <c r="F260" s="21">
        <f>SUMIFS(Einzelbeträge!$D:$D,Einzelbeträge!$C:$C,'Ausgaben 2027'!$C260,Einzelbeträge!$E:$E,'Ausgaben 2027'!F$6)</f>
        <v>0</v>
      </c>
      <c r="G260" s="21">
        <f>SUMIFS(Einzelbeträge!$D:$D,Einzelbeträge!$C:$C,'Ausgaben 2027'!$C260,Einzelbeträge!$E:$E,'Ausgaben 2027'!G$6)</f>
        <v>0</v>
      </c>
      <c r="H260" s="21">
        <f>SUMIFS(Einzelbeträge!$D:$D,Einzelbeträge!$C:$C,'Ausgaben 2027'!$C260,Einzelbeträge!$E:$E,'Ausgaben 2027'!H$6)</f>
        <v>0</v>
      </c>
      <c r="I260" s="21">
        <f>SUMIFS(Einzelbeträge!$D:$D,Einzelbeträge!$C:$C,'Ausgaben 2027'!$C260,Einzelbeträge!$E:$E,'Ausgaben 2027'!I$6)</f>
        <v>0</v>
      </c>
      <c r="J260" s="21">
        <f>SUMIFS(Einzelbeträge!$D:$D,Einzelbeträge!$C:$C,'Ausgaben 2027'!$C260,Einzelbeträge!$E:$E,'Ausgaben 2027'!J$6)</f>
        <v>0</v>
      </c>
      <c r="K260" s="21">
        <f>SUMIFS(Einzelbeträge!$D:$D,Einzelbeträge!$C:$C,'Ausgaben 2027'!$C260,Einzelbeträge!$E:$E,'Ausgaben 2027'!K$6)</f>
        <v>0</v>
      </c>
      <c r="L260" s="21">
        <f>SUMIFS(Einzelbeträge!$D:$D,Einzelbeträge!$C:$C,'Ausgaben 2027'!$C260,Einzelbeträge!$E:$E,'Ausgaben 2027'!L$6)</f>
        <v>0</v>
      </c>
      <c r="M260" s="21">
        <f>SUMIFS(Einzelbeträge!$D:$D,Einzelbeträge!$C:$C,'Ausgaben 2027'!$C260,Einzelbeträge!$E:$E,'Ausgaben 2027'!M$6)</f>
        <v>0</v>
      </c>
      <c r="N260" s="35">
        <f>SUMIFS(Einzelbeträge!$D:$D,Einzelbeträge!$C:$C,'Ausgaben 2027'!$C260,Einzelbeträge!$E:$E,'Ausgaben 2027'!N$6)</f>
        <v>0</v>
      </c>
      <c r="O260" s="6"/>
    </row>
    <row r="261" spans="2:15" x14ac:dyDescent="0.35">
      <c r="B261" s="5"/>
      <c r="C261" s="40">
        <f t="shared" si="23"/>
        <v>46620</v>
      </c>
      <c r="D261" s="46">
        <f>SUMIFS(Einzelbeträge!$D:$D,Einzelbeträge!$C:$C,'Ausgaben 2027'!$C261)</f>
        <v>0</v>
      </c>
      <c r="E261" s="21">
        <f>SUMIFS(Einzelbeträge!$D:$D,Einzelbeträge!$C:$C,'Ausgaben 2027'!$C261,Einzelbeträge!$E:$E,'Ausgaben 2027'!E$6)</f>
        <v>0</v>
      </c>
      <c r="F261" s="21">
        <f>SUMIFS(Einzelbeträge!$D:$D,Einzelbeträge!$C:$C,'Ausgaben 2027'!$C261,Einzelbeträge!$E:$E,'Ausgaben 2027'!F$6)</f>
        <v>0</v>
      </c>
      <c r="G261" s="21">
        <f>SUMIFS(Einzelbeträge!$D:$D,Einzelbeträge!$C:$C,'Ausgaben 2027'!$C261,Einzelbeträge!$E:$E,'Ausgaben 2027'!G$6)</f>
        <v>0</v>
      </c>
      <c r="H261" s="21">
        <f>SUMIFS(Einzelbeträge!$D:$D,Einzelbeträge!$C:$C,'Ausgaben 2027'!$C261,Einzelbeträge!$E:$E,'Ausgaben 2027'!H$6)</f>
        <v>0</v>
      </c>
      <c r="I261" s="21">
        <f>SUMIFS(Einzelbeträge!$D:$D,Einzelbeträge!$C:$C,'Ausgaben 2027'!$C261,Einzelbeträge!$E:$E,'Ausgaben 2027'!I$6)</f>
        <v>0</v>
      </c>
      <c r="J261" s="21">
        <f>SUMIFS(Einzelbeträge!$D:$D,Einzelbeträge!$C:$C,'Ausgaben 2027'!$C261,Einzelbeträge!$E:$E,'Ausgaben 2027'!J$6)</f>
        <v>0</v>
      </c>
      <c r="K261" s="21">
        <f>SUMIFS(Einzelbeträge!$D:$D,Einzelbeträge!$C:$C,'Ausgaben 2027'!$C261,Einzelbeträge!$E:$E,'Ausgaben 2027'!K$6)</f>
        <v>0</v>
      </c>
      <c r="L261" s="21">
        <f>SUMIFS(Einzelbeträge!$D:$D,Einzelbeträge!$C:$C,'Ausgaben 2027'!$C261,Einzelbeträge!$E:$E,'Ausgaben 2027'!L$6)</f>
        <v>0</v>
      </c>
      <c r="M261" s="21">
        <f>SUMIFS(Einzelbeträge!$D:$D,Einzelbeträge!$C:$C,'Ausgaben 2027'!$C261,Einzelbeträge!$E:$E,'Ausgaben 2027'!M$6)</f>
        <v>0</v>
      </c>
      <c r="N261" s="35">
        <f>SUMIFS(Einzelbeträge!$D:$D,Einzelbeträge!$C:$C,'Ausgaben 2027'!$C261,Einzelbeträge!$E:$E,'Ausgaben 2027'!N$6)</f>
        <v>0</v>
      </c>
      <c r="O261" s="6"/>
    </row>
    <row r="262" spans="2:15" x14ac:dyDescent="0.35">
      <c r="B262" s="5"/>
      <c r="C262" s="40">
        <f t="shared" si="23"/>
        <v>46621</v>
      </c>
      <c r="D262" s="46">
        <f>SUMIFS(Einzelbeträge!$D:$D,Einzelbeträge!$C:$C,'Ausgaben 2027'!$C262)</f>
        <v>0</v>
      </c>
      <c r="E262" s="21">
        <f>SUMIFS(Einzelbeträge!$D:$D,Einzelbeträge!$C:$C,'Ausgaben 2027'!$C262,Einzelbeträge!$E:$E,'Ausgaben 2027'!E$6)</f>
        <v>0</v>
      </c>
      <c r="F262" s="21">
        <f>SUMIFS(Einzelbeträge!$D:$D,Einzelbeträge!$C:$C,'Ausgaben 2027'!$C262,Einzelbeträge!$E:$E,'Ausgaben 2027'!F$6)</f>
        <v>0</v>
      </c>
      <c r="G262" s="21">
        <f>SUMIFS(Einzelbeträge!$D:$D,Einzelbeträge!$C:$C,'Ausgaben 2027'!$C262,Einzelbeträge!$E:$E,'Ausgaben 2027'!G$6)</f>
        <v>0</v>
      </c>
      <c r="H262" s="21">
        <f>SUMIFS(Einzelbeträge!$D:$D,Einzelbeträge!$C:$C,'Ausgaben 2027'!$C262,Einzelbeträge!$E:$E,'Ausgaben 2027'!H$6)</f>
        <v>0</v>
      </c>
      <c r="I262" s="21">
        <f>SUMIFS(Einzelbeträge!$D:$D,Einzelbeträge!$C:$C,'Ausgaben 2027'!$C262,Einzelbeträge!$E:$E,'Ausgaben 2027'!I$6)</f>
        <v>0</v>
      </c>
      <c r="J262" s="21">
        <f>SUMIFS(Einzelbeträge!$D:$D,Einzelbeträge!$C:$C,'Ausgaben 2027'!$C262,Einzelbeträge!$E:$E,'Ausgaben 2027'!J$6)</f>
        <v>0</v>
      </c>
      <c r="K262" s="21">
        <f>SUMIFS(Einzelbeträge!$D:$D,Einzelbeträge!$C:$C,'Ausgaben 2027'!$C262,Einzelbeträge!$E:$E,'Ausgaben 2027'!K$6)</f>
        <v>0</v>
      </c>
      <c r="L262" s="21">
        <f>SUMIFS(Einzelbeträge!$D:$D,Einzelbeträge!$C:$C,'Ausgaben 2027'!$C262,Einzelbeträge!$E:$E,'Ausgaben 2027'!L$6)</f>
        <v>0</v>
      </c>
      <c r="M262" s="21">
        <f>SUMIFS(Einzelbeträge!$D:$D,Einzelbeträge!$C:$C,'Ausgaben 2027'!$C262,Einzelbeträge!$E:$E,'Ausgaben 2027'!M$6)</f>
        <v>0</v>
      </c>
      <c r="N262" s="35">
        <f>SUMIFS(Einzelbeträge!$D:$D,Einzelbeträge!$C:$C,'Ausgaben 2027'!$C262,Einzelbeträge!$E:$E,'Ausgaben 2027'!N$6)</f>
        <v>0</v>
      </c>
      <c r="O262" s="6"/>
    </row>
    <row r="263" spans="2:15" x14ac:dyDescent="0.35">
      <c r="B263" s="5"/>
      <c r="C263" s="40">
        <f t="shared" si="23"/>
        <v>46622</v>
      </c>
      <c r="D263" s="46">
        <f>SUMIFS(Einzelbeträge!$D:$D,Einzelbeträge!$C:$C,'Ausgaben 2027'!$C263)</f>
        <v>0</v>
      </c>
      <c r="E263" s="21">
        <f>SUMIFS(Einzelbeträge!$D:$D,Einzelbeträge!$C:$C,'Ausgaben 2027'!$C263,Einzelbeträge!$E:$E,'Ausgaben 2027'!E$6)</f>
        <v>0</v>
      </c>
      <c r="F263" s="21">
        <f>SUMIFS(Einzelbeträge!$D:$D,Einzelbeträge!$C:$C,'Ausgaben 2027'!$C263,Einzelbeträge!$E:$E,'Ausgaben 2027'!F$6)</f>
        <v>0</v>
      </c>
      <c r="G263" s="21">
        <f>SUMIFS(Einzelbeträge!$D:$D,Einzelbeträge!$C:$C,'Ausgaben 2027'!$C263,Einzelbeträge!$E:$E,'Ausgaben 2027'!G$6)</f>
        <v>0</v>
      </c>
      <c r="H263" s="21">
        <f>SUMIFS(Einzelbeträge!$D:$D,Einzelbeträge!$C:$C,'Ausgaben 2027'!$C263,Einzelbeträge!$E:$E,'Ausgaben 2027'!H$6)</f>
        <v>0</v>
      </c>
      <c r="I263" s="21">
        <f>SUMIFS(Einzelbeträge!$D:$D,Einzelbeträge!$C:$C,'Ausgaben 2027'!$C263,Einzelbeträge!$E:$E,'Ausgaben 2027'!I$6)</f>
        <v>0</v>
      </c>
      <c r="J263" s="21">
        <f>SUMIFS(Einzelbeträge!$D:$D,Einzelbeträge!$C:$C,'Ausgaben 2027'!$C263,Einzelbeträge!$E:$E,'Ausgaben 2027'!J$6)</f>
        <v>0</v>
      </c>
      <c r="K263" s="21">
        <f>SUMIFS(Einzelbeträge!$D:$D,Einzelbeträge!$C:$C,'Ausgaben 2027'!$C263,Einzelbeträge!$E:$E,'Ausgaben 2027'!K$6)</f>
        <v>0</v>
      </c>
      <c r="L263" s="21">
        <f>SUMIFS(Einzelbeträge!$D:$D,Einzelbeträge!$C:$C,'Ausgaben 2027'!$C263,Einzelbeträge!$E:$E,'Ausgaben 2027'!L$6)</f>
        <v>0</v>
      </c>
      <c r="M263" s="21">
        <f>SUMIFS(Einzelbeträge!$D:$D,Einzelbeträge!$C:$C,'Ausgaben 2027'!$C263,Einzelbeträge!$E:$E,'Ausgaben 2027'!M$6)</f>
        <v>0</v>
      </c>
      <c r="N263" s="35">
        <f>SUMIFS(Einzelbeträge!$D:$D,Einzelbeträge!$C:$C,'Ausgaben 2027'!$C263,Einzelbeträge!$E:$E,'Ausgaben 2027'!N$6)</f>
        <v>0</v>
      </c>
      <c r="O263" s="6"/>
    </row>
    <row r="264" spans="2:15" x14ac:dyDescent="0.35">
      <c r="B264" s="5"/>
      <c r="C264" s="40">
        <f t="shared" si="23"/>
        <v>46623</v>
      </c>
      <c r="D264" s="46">
        <f>SUMIFS(Einzelbeträge!$D:$D,Einzelbeträge!$C:$C,'Ausgaben 2027'!$C264)</f>
        <v>0</v>
      </c>
      <c r="E264" s="21">
        <f>SUMIFS(Einzelbeträge!$D:$D,Einzelbeträge!$C:$C,'Ausgaben 2027'!$C264,Einzelbeträge!$E:$E,'Ausgaben 2027'!E$6)</f>
        <v>0</v>
      </c>
      <c r="F264" s="21">
        <f>SUMIFS(Einzelbeträge!$D:$D,Einzelbeträge!$C:$C,'Ausgaben 2027'!$C264,Einzelbeträge!$E:$E,'Ausgaben 2027'!F$6)</f>
        <v>0</v>
      </c>
      <c r="G264" s="21">
        <f>SUMIFS(Einzelbeträge!$D:$D,Einzelbeträge!$C:$C,'Ausgaben 2027'!$C264,Einzelbeträge!$E:$E,'Ausgaben 2027'!G$6)</f>
        <v>0</v>
      </c>
      <c r="H264" s="21">
        <f>SUMIFS(Einzelbeträge!$D:$D,Einzelbeträge!$C:$C,'Ausgaben 2027'!$C264,Einzelbeträge!$E:$E,'Ausgaben 2027'!H$6)</f>
        <v>0</v>
      </c>
      <c r="I264" s="21">
        <f>SUMIFS(Einzelbeträge!$D:$D,Einzelbeträge!$C:$C,'Ausgaben 2027'!$C264,Einzelbeträge!$E:$E,'Ausgaben 2027'!I$6)</f>
        <v>0</v>
      </c>
      <c r="J264" s="21">
        <f>SUMIFS(Einzelbeträge!$D:$D,Einzelbeträge!$C:$C,'Ausgaben 2027'!$C264,Einzelbeträge!$E:$E,'Ausgaben 2027'!J$6)</f>
        <v>0</v>
      </c>
      <c r="K264" s="21">
        <f>SUMIFS(Einzelbeträge!$D:$D,Einzelbeträge!$C:$C,'Ausgaben 2027'!$C264,Einzelbeträge!$E:$E,'Ausgaben 2027'!K$6)</f>
        <v>0</v>
      </c>
      <c r="L264" s="21">
        <f>SUMIFS(Einzelbeträge!$D:$D,Einzelbeträge!$C:$C,'Ausgaben 2027'!$C264,Einzelbeträge!$E:$E,'Ausgaben 2027'!L$6)</f>
        <v>0</v>
      </c>
      <c r="M264" s="21">
        <f>SUMIFS(Einzelbeträge!$D:$D,Einzelbeträge!$C:$C,'Ausgaben 2027'!$C264,Einzelbeträge!$E:$E,'Ausgaben 2027'!M$6)</f>
        <v>0</v>
      </c>
      <c r="N264" s="35">
        <f>SUMIFS(Einzelbeträge!$D:$D,Einzelbeträge!$C:$C,'Ausgaben 2027'!$C264,Einzelbeträge!$E:$E,'Ausgaben 2027'!N$6)</f>
        <v>0</v>
      </c>
      <c r="O264" s="6"/>
    </row>
    <row r="265" spans="2:15" x14ac:dyDescent="0.35">
      <c r="B265" s="5"/>
      <c r="C265" s="40">
        <f t="shared" si="23"/>
        <v>46624</v>
      </c>
      <c r="D265" s="46">
        <f>SUMIFS(Einzelbeträge!$D:$D,Einzelbeträge!$C:$C,'Ausgaben 2027'!$C265)</f>
        <v>0</v>
      </c>
      <c r="E265" s="21">
        <f>SUMIFS(Einzelbeträge!$D:$D,Einzelbeträge!$C:$C,'Ausgaben 2027'!$C265,Einzelbeträge!$E:$E,'Ausgaben 2027'!E$6)</f>
        <v>0</v>
      </c>
      <c r="F265" s="21">
        <f>SUMIFS(Einzelbeträge!$D:$D,Einzelbeträge!$C:$C,'Ausgaben 2027'!$C265,Einzelbeträge!$E:$E,'Ausgaben 2027'!F$6)</f>
        <v>0</v>
      </c>
      <c r="G265" s="21">
        <f>SUMIFS(Einzelbeträge!$D:$D,Einzelbeträge!$C:$C,'Ausgaben 2027'!$C265,Einzelbeträge!$E:$E,'Ausgaben 2027'!G$6)</f>
        <v>0</v>
      </c>
      <c r="H265" s="21">
        <f>SUMIFS(Einzelbeträge!$D:$D,Einzelbeträge!$C:$C,'Ausgaben 2027'!$C265,Einzelbeträge!$E:$E,'Ausgaben 2027'!H$6)</f>
        <v>0</v>
      </c>
      <c r="I265" s="21">
        <f>SUMIFS(Einzelbeträge!$D:$D,Einzelbeträge!$C:$C,'Ausgaben 2027'!$C265,Einzelbeträge!$E:$E,'Ausgaben 2027'!I$6)</f>
        <v>0</v>
      </c>
      <c r="J265" s="21">
        <f>SUMIFS(Einzelbeträge!$D:$D,Einzelbeträge!$C:$C,'Ausgaben 2027'!$C265,Einzelbeträge!$E:$E,'Ausgaben 2027'!J$6)</f>
        <v>0</v>
      </c>
      <c r="K265" s="21">
        <f>SUMIFS(Einzelbeträge!$D:$D,Einzelbeträge!$C:$C,'Ausgaben 2027'!$C265,Einzelbeträge!$E:$E,'Ausgaben 2027'!K$6)</f>
        <v>0</v>
      </c>
      <c r="L265" s="21">
        <f>SUMIFS(Einzelbeträge!$D:$D,Einzelbeträge!$C:$C,'Ausgaben 2027'!$C265,Einzelbeträge!$E:$E,'Ausgaben 2027'!L$6)</f>
        <v>0</v>
      </c>
      <c r="M265" s="21">
        <f>SUMIFS(Einzelbeträge!$D:$D,Einzelbeträge!$C:$C,'Ausgaben 2027'!$C265,Einzelbeträge!$E:$E,'Ausgaben 2027'!M$6)</f>
        <v>0</v>
      </c>
      <c r="N265" s="35">
        <f>SUMIFS(Einzelbeträge!$D:$D,Einzelbeträge!$C:$C,'Ausgaben 2027'!$C265,Einzelbeträge!$E:$E,'Ausgaben 2027'!N$6)</f>
        <v>0</v>
      </c>
      <c r="O265" s="6"/>
    </row>
    <row r="266" spans="2:15" x14ac:dyDescent="0.35">
      <c r="B266" s="5"/>
      <c r="C266" s="40">
        <f t="shared" si="23"/>
        <v>46625</v>
      </c>
      <c r="D266" s="46">
        <f>SUMIFS(Einzelbeträge!$D:$D,Einzelbeträge!$C:$C,'Ausgaben 2027'!$C266)</f>
        <v>0</v>
      </c>
      <c r="E266" s="21">
        <f>SUMIFS(Einzelbeträge!$D:$D,Einzelbeträge!$C:$C,'Ausgaben 2027'!$C266,Einzelbeträge!$E:$E,'Ausgaben 2027'!E$6)</f>
        <v>0</v>
      </c>
      <c r="F266" s="21">
        <f>SUMIFS(Einzelbeträge!$D:$D,Einzelbeträge!$C:$C,'Ausgaben 2027'!$C266,Einzelbeträge!$E:$E,'Ausgaben 2027'!F$6)</f>
        <v>0</v>
      </c>
      <c r="G266" s="21">
        <f>SUMIFS(Einzelbeträge!$D:$D,Einzelbeträge!$C:$C,'Ausgaben 2027'!$C266,Einzelbeträge!$E:$E,'Ausgaben 2027'!G$6)</f>
        <v>0</v>
      </c>
      <c r="H266" s="21">
        <f>SUMIFS(Einzelbeträge!$D:$D,Einzelbeträge!$C:$C,'Ausgaben 2027'!$C266,Einzelbeträge!$E:$E,'Ausgaben 2027'!H$6)</f>
        <v>0</v>
      </c>
      <c r="I266" s="21">
        <f>SUMIFS(Einzelbeträge!$D:$D,Einzelbeträge!$C:$C,'Ausgaben 2027'!$C266,Einzelbeträge!$E:$E,'Ausgaben 2027'!I$6)</f>
        <v>0</v>
      </c>
      <c r="J266" s="21">
        <f>SUMIFS(Einzelbeträge!$D:$D,Einzelbeträge!$C:$C,'Ausgaben 2027'!$C266,Einzelbeträge!$E:$E,'Ausgaben 2027'!J$6)</f>
        <v>0</v>
      </c>
      <c r="K266" s="21">
        <f>SUMIFS(Einzelbeträge!$D:$D,Einzelbeträge!$C:$C,'Ausgaben 2027'!$C266,Einzelbeträge!$E:$E,'Ausgaben 2027'!K$6)</f>
        <v>0</v>
      </c>
      <c r="L266" s="21">
        <f>SUMIFS(Einzelbeträge!$D:$D,Einzelbeträge!$C:$C,'Ausgaben 2027'!$C266,Einzelbeträge!$E:$E,'Ausgaben 2027'!L$6)</f>
        <v>0</v>
      </c>
      <c r="M266" s="21">
        <f>SUMIFS(Einzelbeträge!$D:$D,Einzelbeträge!$C:$C,'Ausgaben 2027'!$C266,Einzelbeträge!$E:$E,'Ausgaben 2027'!M$6)</f>
        <v>0</v>
      </c>
      <c r="N266" s="35">
        <f>SUMIFS(Einzelbeträge!$D:$D,Einzelbeträge!$C:$C,'Ausgaben 2027'!$C266,Einzelbeträge!$E:$E,'Ausgaben 2027'!N$6)</f>
        <v>0</v>
      </c>
      <c r="O266" s="6"/>
    </row>
    <row r="267" spans="2:15" x14ac:dyDescent="0.35">
      <c r="B267" s="5"/>
      <c r="C267" s="40">
        <f t="shared" si="23"/>
        <v>46626</v>
      </c>
      <c r="D267" s="46">
        <f>SUMIFS(Einzelbeträge!$D:$D,Einzelbeträge!$C:$C,'Ausgaben 2027'!$C267)</f>
        <v>0</v>
      </c>
      <c r="E267" s="21">
        <f>SUMIFS(Einzelbeträge!$D:$D,Einzelbeträge!$C:$C,'Ausgaben 2027'!$C267,Einzelbeträge!$E:$E,'Ausgaben 2027'!E$6)</f>
        <v>0</v>
      </c>
      <c r="F267" s="21">
        <f>SUMIFS(Einzelbeträge!$D:$D,Einzelbeträge!$C:$C,'Ausgaben 2027'!$C267,Einzelbeträge!$E:$E,'Ausgaben 2027'!F$6)</f>
        <v>0</v>
      </c>
      <c r="G267" s="21">
        <f>SUMIFS(Einzelbeträge!$D:$D,Einzelbeträge!$C:$C,'Ausgaben 2027'!$C267,Einzelbeträge!$E:$E,'Ausgaben 2027'!G$6)</f>
        <v>0</v>
      </c>
      <c r="H267" s="21">
        <f>SUMIFS(Einzelbeträge!$D:$D,Einzelbeträge!$C:$C,'Ausgaben 2027'!$C267,Einzelbeträge!$E:$E,'Ausgaben 2027'!H$6)</f>
        <v>0</v>
      </c>
      <c r="I267" s="21">
        <f>SUMIFS(Einzelbeträge!$D:$D,Einzelbeträge!$C:$C,'Ausgaben 2027'!$C267,Einzelbeträge!$E:$E,'Ausgaben 2027'!I$6)</f>
        <v>0</v>
      </c>
      <c r="J267" s="21">
        <f>SUMIFS(Einzelbeträge!$D:$D,Einzelbeträge!$C:$C,'Ausgaben 2027'!$C267,Einzelbeträge!$E:$E,'Ausgaben 2027'!J$6)</f>
        <v>0</v>
      </c>
      <c r="K267" s="21">
        <f>SUMIFS(Einzelbeträge!$D:$D,Einzelbeträge!$C:$C,'Ausgaben 2027'!$C267,Einzelbeträge!$E:$E,'Ausgaben 2027'!K$6)</f>
        <v>0</v>
      </c>
      <c r="L267" s="21">
        <f>SUMIFS(Einzelbeträge!$D:$D,Einzelbeträge!$C:$C,'Ausgaben 2027'!$C267,Einzelbeträge!$E:$E,'Ausgaben 2027'!L$6)</f>
        <v>0</v>
      </c>
      <c r="M267" s="21">
        <f>SUMIFS(Einzelbeträge!$D:$D,Einzelbeträge!$C:$C,'Ausgaben 2027'!$C267,Einzelbeträge!$E:$E,'Ausgaben 2027'!M$6)</f>
        <v>0</v>
      </c>
      <c r="N267" s="35">
        <f>SUMIFS(Einzelbeträge!$D:$D,Einzelbeträge!$C:$C,'Ausgaben 2027'!$C267,Einzelbeträge!$E:$E,'Ausgaben 2027'!N$6)</f>
        <v>0</v>
      </c>
      <c r="O267" s="6"/>
    </row>
    <row r="268" spans="2:15" x14ac:dyDescent="0.35">
      <c r="B268" s="5"/>
      <c r="C268" s="40">
        <f t="shared" si="23"/>
        <v>46627</v>
      </c>
      <c r="D268" s="46">
        <f>SUMIFS(Einzelbeträge!$D:$D,Einzelbeträge!$C:$C,'Ausgaben 2027'!$C268)</f>
        <v>0</v>
      </c>
      <c r="E268" s="21">
        <f>SUMIFS(Einzelbeträge!$D:$D,Einzelbeträge!$C:$C,'Ausgaben 2027'!$C268,Einzelbeträge!$E:$E,'Ausgaben 2027'!E$6)</f>
        <v>0</v>
      </c>
      <c r="F268" s="21">
        <f>SUMIFS(Einzelbeträge!$D:$D,Einzelbeträge!$C:$C,'Ausgaben 2027'!$C268,Einzelbeträge!$E:$E,'Ausgaben 2027'!F$6)</f>
        <v>0</v>
      </c>
      <c r="G268" s="21">
        <f>SUMIFS(Einzelbeträge!$D:$D,Einzelbeträge!$C:$C,'Ausgaben 2027'!$C268,Einzelbeträge!$E:$E,'Ausgaben 2027'!G$6)</f>
        <v>0</v>
      </c>
      <c r="H268" s="21">
        <f>SUMIFS(Einzelbeträge!$D:$D,Einzelbeträge!$C:$C,'Ausgaben 2027'!$C268,Einzelbeträge!$E:$E,'Ausgaben 2027'!H$6)</f>
        <v>0</v>
      </c>
      <c r="I268" s="21">
        <f>SUMIFS(Einzelbeträge!$D:$D,Einzelbeträge!$C:$C,'Ausgaben 2027'!$C268,Einzelbeträge!$E:$E,'Ausgaben 2027'!I$6)</f>
        <v>0</v>
      </c>
      <c r="J268" s="21">
        <f>SUMIFS(Einzelbeträge!$D:$D,Einzelbeträge!$C:$C,'Ausgaben 2027'!$C268,Einzelbeträge!$E:$E,'Ausgaben 2027'!J$6)</f>
        <v>0</v>
      </c>
      <c r="K268" s="21">
        <f>SUMIFS(Einzelbeträge!$D:$D,Einzelbeträge!$C:$C,'Ausgaben 2027'!$C268,Einzelbeträge!$E:$E,'Ausgaben 2027'!K$6)</f>
        <v>0</v>
      </c>
      <c r="L268" s="21">
        <f>SUMIFS(Einzelbeträge!$D:$D,Einzelbeträge!$C:$C,'Ausgaben 2027'!$C268,Einzelbeträge!$E:$E,'Ausgaben 2027'!L$6)</f>
        <v>0</v>
      </c>
      <c r="M268" s="21">
        <f>SUMIFS(Einzelbeträge!$D:$D,Einzelbeträge!$C:$C,'Ausgaben 2027'!$C268,Einzelbeträge!$E:$E,'Ausgaben 2027'!M$6)</f>
        <v>0</v>
      </c>
      <c r="N268" s="35">
        <f>SUMIFS(Einzelbeträge!$D:$D,Einzelbeträge!$C:$C,'Ausgaben 2027'!$C268,Einzelbeträge!$E:$E,'Ausgaben 2027'!N$6)</f>
        <v>0</v>
      </c>
      <c r="O268" s="6"/>
    </row>
    <row r="269" spans="2:15" x14ac:dyDescent="0.35">
      <c r="B269" s="5"/>
      <c r="C269" s="40">
        <f t="shared" si="23"/>
        <v>46628</v>
      </c>
      <c r="D269" s="46">
        <f>SUMIFS(Einzelbeträge!$D:$D,Einzelbeträge!$C:$C,'Ausgaben 2027'!$C269)</f>
        <v>0</v>
      </c>
      <c r="E269" s="21">
        <f>SUMIFS(Einzelbeträge!$D:$D,Einzelbeträge!$C:$C,'Ausgaben 2027'!$C269,Einzelbeträge!$E:$E,'Ausgaben 2027'!E$6)</f>
        <v>0</v>
      </c>
      <c r="F269" s="21">
        <f>SUMIFS(Einzelbeträge!$D:$D,Einzelbeträge!$C:$C,'Ausgaben 2027'!$C269,Einzelbeträge!$E:$E,'Ausgaben 2027'!F$6)</f>
        <v>0</v>
      </c>
      <c r="G269" s="21">
        <f>SUMIFS(Einzelbeträge!$D:$D,Einzelbeträge!$C:$C,'Ausgaben 2027'!$C269,Einzelbeträge!$E:$E,'Ausgaben 2027'!G$6)</f>
        <v>0</v>
      </c>
      <c r="H269" s="21">
        <f>SUMIFS(Einzelbeträge!$D:$D,Einzelbeträge!$C:$C,'Ausgaben 2027'!$C269,Einzelbeträge!$E:$E,'Ausgaben 2027'!H$6)</f>
        <v>0</v>
      </c>
      <c r="I269" s="21">
        <f>SUMIFS(Einzelbeträge!$D:$D,Einzelbeträge!$C:$C,'Ausgaben 2027'!$C269,Einzelbeträge!$E:$E,'Ausgaben 2027'!I$6)</f>
        <v>0</v>
      </c>
      <c r="J269" s="21">
        <f>SUMIFS(Einzelbeträge!$D:$D,Einzelbeträge!$C:$C,'Ausgaben 2027'!$C269,Einzelbeträge!$E:$E,'Ausgaben 2027'!J$6)</f>
        <v>0</v>
      </c>
      <c r="K269" s="21">
        <f>SUMIFS(Einzelbeträge!$D:$D,Einzelbeträge!$C:$C,'Ausgaben 2027'!$C269,Einzelbeträge!$E:$E,'Ausgaben 2027'!K$6)</f>
        <v>0</v>
      </c>
      <c r="L269" s="21">
        <f>SUMIFS(Einzelbeträge!$D:$D,Einzelbeträge!$C:$C,'Ausgaben 2027'!$C269,Einzelbeträge!$E:$E,'Ausgaben 2027'!L$6)</f>
        <v>0</v>
      </c>
      <c r="M269" s="21">
        <f>SUMIFS(Einzelbeträge!$D:$D,Einzelbeträge!$C:$C,'Ausgaben 2027'!$C269,Einzelbeträge!$E:$E,'Ausgaben 2027'!M$6)</f>
        <v>0</v>
      </c>
      <c r="N269" s="35">
        <f>SUMIFS(Einzelbeträge!$D:$D,Einzelbeträge!$C:$C,'Ausgaben 2027'!$C269,Einzelbeträge!$E:$E,'Ausgaben 2027'!N$6)</f>
        <v>0</v>
      </c>
      <c r="O269" s="6"/>
    </row>
    <row r="270" spans="2:15" x14ac:dyDescent="0.35">
      <c r="B270" s="5"/>
      <c r="C270" s="40">
        <f t="shared" si="23"/>
        <v>46629</v>
      </c>
      <c r="D270" s="46">
        <f>SUMIFS(Einzelbeträge!$D:$D,Einzelbeträge!$C:$C,'Ausgaben 2027'!$C270)</f>
        <v>0</v>
      </c>
      <c r="E270" s="21">
        <f>SUMIFS(Einzelbeträge!$D:$D,Einzelbeträge!$C:$C,'Ausgaben 2027'!$C270,Einzelbeträge!$E:$E,'Ausgaben 2027'!E$6)</f>
        <v>0</v>
      </c>
      <c r="F270" s="21">
        <f>SUMIFS(Einzelbeträge!$D:$D,Einzelbeträge!$C:$C,'Ausgaben 2027'!$C270,Einzelbeträge!$E:$E,'Ausgaben 2027'!F$6)</f>
        <v>0</v>
      </c>
      <c r="G270" s="21">
        <f>SUMIFS(Einzelbeträge!$D:$D,Einzelbeträge!$C:$C,'Ausgaben 2027'!$C270,Einzelbeträge!$E:$E,'Ausgaben 2027'!G$6)</f>
        <v>0</v>
      </c>
      <c r="H270" s="21">
        <f>SUMIFS(Einzelbeträge!$D:$D,Einzelbeträge!$C:$C,'Ausgaben 2027'!$C270,Einzelbeträge!$E:$E,'Ausgaben 2027'!H$6)</f>
        <v>0</v>
      </c>
      <c r="I270" s="21">
        <f>SUMIFS(Einzelbeträge!$D:$D,Einzelbeträge!$C:$C,'Ausgaben 2027'!$C270,Einzelbeträge!$E:$E,'Ausgaben 2027'!I$6)</f>
        <v>0</v>
      </c>
      <c r="J270" s="21">
        <f>SUMIFS(Einzelbeträge!$D:$D,Einzelbeträge!$C:$C,'Ausgaben 2027'!$C270,Einzelbeträge!$E:$E,'Ausgaben 2027'!J$6)</f>
        <v>0</v>
      </c>
      <c r="K270" s="21">
        <f>SUMIFS(Einzelbeträge!$D:$D,Einzelbeträge!$C:$C,'Ausgaben 2027'!$C270,Einzelbeträge!$E:$E,'Ausgaben 2027'!K$6)</f>
        <v>0</v>
      </c>
      <c r="L270" s="21">
        <f>SUMIFS(Einzelbeträge!$D:$D,Einzelbeträge!$C:$C,'Ausgaben 2027'!$C270,Einzelbeträge!$E:$E,'Ausgaben 2027'!L$6)</f>
        <v>0</v>
      </c>
      <c r="M270" s="21">
        <f>SUMIFS(Einzelbeträge!$D:$D,Einzelbeträge!$C:$C,'Ausgaben 2027'!$C270,Einzelbeträge!$E:$E,'Ausgaben 2027'!M$6)</f>
        <v>0</v>
      </c>
      <c r="N270" s="35">
        <f>SUMIFS(Einzelbeträge!$D:$D,Einzelbeträge!$C:$C,'Ausgaben 2027'!$C270,Einzelbeträge!$E:$E,'Ausgaben 2027'!N$6)</f>
        <v>0</v>
      </c>
      <c r="O270" s="6"/>
    </row>
    <row r="271" spans="2:15" x14ac:dyDescent="0.35">
      <c r="B271" s="5"/>
      <c r="C271" s="31">
        <f t="shared" si="23"/>
        <v>46630</v>
      </c>
      <c r="D271" s="47">
        <f>SUMIFS(Einzelbeträge!$D:$D,Einzelbeträge!$C:$C,'Ausgaben 2027'!$C271)</f>
        <v>0</v>
      </c>
      <c r="E271" s="37">
        <f>SUMIFS(Einzelbeträge!$D:$D,Einzelbeträge!$C:$C,'Ausgaben 2027'!$C271,Einzelbeträge!$E:$E,'Ausgaben 2027'!E$6)</f>
        <v>0</v>
      </c>
      <c r="F271" s="37">
        <f>SUMIFS(Einzelbeträge!$D:$D,Einzelbeträge!$C:$C,'Ausgaben 2027'!$C271,Einzelbeträge!$E:$E,'Ausgaben 2027'!F$6)</f>
        <v>0</v>
      </c>
      <c r="G271" s="37">
        <f>SUMIFS(Einzelbeträge!$D:$D,Einzelbeträge!$C:$C,'Ausgaben 2027'!$C271,Einzelbeträge!$E:$E,'Ausgaben 2027'!G$6)</f>
        <v>0</v>
      </c>
      <c r="H271" s="37">
        <f>SUMIFS(Einzelbeträge!$D:$D,Einzelbeträge!$C:$C,'Ausgaben 2027'!$C271,Einzelbeträge!$E:$E,'Ausgaben 2027'!H$6)</f>
        <v>0</v>
      </c>
      <c r="I271" s="37">
        <f>SUMIFS(Einzelbeträge!$D:$D,Einzelbeträge!$C:$C,'Ausgaben 2027'!$C271,Einzelbeträge!$E:$E,'Ausgaben 2027'!I$6)</f>
        <v>0</v>
      </c>
      <c r="J271" s="37">
        <f>SUMIFS(Einzelbeträge!$D:$D,Einzelbeträge!$C:$C,'Ausgaben 2027'!$C271,Einzelbeträge!$E:$E,'Ausgaben 2027'!J$6)</f>
        <v>0</v>
      </c>
      <c r="K271" s="37">
        <f>SUMIFS(Einzelbeträge!$D:$D,Einzelbeträge!$C:$C,'Ausgaben 2027'!$C271,Einzelbeträge!$E:$E,'Ausgaben 2027'!K$6)</f>
        <v>0</v>
      </c>
      <c r="L271" s="37">
        <f>SUMIFS(Einzelbeträge!$D:$D,Einzelbeträge!$C:$C,'Ausgaben 2027'!$C271,Einzelbeträge!$E:$E,'Ausgaben 2027'!L$6)</f>
        <v>0</v>
      </c>
      <c r="M271" s="37">
        <f>SUMIFS(Einzelbeträge!$D:$D,Einzelbeträge!$C:$C,'Ausgaben 2027'!$C271,Einzelbeträge!$E:$E,'Ausgaben 2027'!M$6)</f>
        <v>0</v>
      </c>
      <c r="N271" s="38">
        <f>SUMIFS(Einzelbeträge!$D:$D,Einzelbeträge!$C:$C,'Ausgaben 2027'!$C271,Einzelbeträge!$E:$E,'Ausgaben 2027'!N$6)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46631</v>
      </c>
      <c r="D275" s="45">
        <f>SUMIFS(Einzelbeträge!$D:$D,Einzelbeträge!$C:$C,'Ausgaben 2027'!$C275)</f>
        <v>0</v>
      </c>
      <c r="E275" s="32">
        <f>SUMIFS(Einzelbeträge!$D:$D,Einzelbeträge!$C:$C,'Ausgaben 2027'!$C275,Einzelbeträge!$E:$E,'Ausgaben 2027'!E$6)</f>
        <v>0</v>
      </c>
      <c r="F275" s="32">
        <f>SUMIFS(Einzelbeträge!$D:$D,Einzelbeträge!$C:$C,'Ausgaben 2027'!$C275,Einzelbeträge!$E:$E,'Ausgaben 2027'!F$6)</f>
        <v>0</v>
      </c>
      <c r="G275" s="32">
        <f>SUMIFS(Einzelbeträge!$D:$D,Einzelbeträge!$C:$C,'Ausgaben 2027'!$C275,Einzelbeträge!$E:$E,'Ausgaben 2027'!G$6)</f>
        <v>0</v>
      </c>
      <c r="H275" s="32">
        <f>SUMIFS(Einzelbeträge!$D:$D,Einzelbeträge!$C:$C,'Ausgaben 2027'!$C275,Einzelbeträge!$E:$E,'Ausgaben 2027'!H$6)</f>
        <v>0</v>
      </c>
      <c r="I275" s="32">
        <f>SUMIFS(Einzelbeträge!$D:$D,Einzelbeträge!$C:$C,'Ausgaben 2027'!$C275,Einzelbeträge!$E:$E,'Ausgaben 2027'!I$6)</f>
        <v>0</v>
      </c>
      <c r="J275" s="32">
        <f>SUMIFS(Einzelbeträge!$D:$D,Einzelbeträge!$C:$C,'Ausgaben 2027'!$C275,Einzelbeträge!$E:$E,'Ausgaben 2027'!J$6)</f>
        <v>0</v>
      </c>
      <c r="K275" s="32">
        <f>SUMIFS(Einzelbeträge!$D:$D,Einzelbeträge!$C:$C,'Ausgaben 2027'!$C275,Einzelbeträge!$E:$E,'Ausgaben 2027'!K$6)</f>
        <v>0</v>
      </c>
      <c r="L275" s="32">
        <f>SUMIFS(Einzelbeträge!$D:$D,Einzelbeträge!$C:$C,'Ausgaben 2027'!$C275,Einzelbeträge!$E:$E,'Ausgaben 2027'!L$6)</f>
        <v>0</v>
      </c>
      <c r="M275" s="32">
        <f>SUMIFS(Einzelbeträge!$D:$D,Einzelbeträge!$C:$C,'Ausgaben 2027'!$C275,Einzelbeträge!$E:$E,'Ausgaben 2027'!M$6)</f>
        <v>0</v>
      </c>
      <c r="N275" s="33">
        <f>SUMIFS(Einzelbeträge!$D:$D,Einzelbeträge!$C:$C,'Ausgaben 2027'!$C275,Einzelbeträge!$E:$E,'Ausgaben 2027'!N$6)</f>
        <v>0</v>
      </c>
      <c r="O275" s="6"/>
    </row>
    <row r="276" spans="2:15" x14ac:dyDescent="0.35">
      <c r="B276" s="5"/>
      <c r="C276" s="30">
        <f>C275+1</f>
        <v>46632</v>
      </c>
      <c r="D276" s="46">
        <f>SUMIFS(Einzelbeträge!$D:$D,Einzelbeträge!$C:$C,'Ausgaben 2027'!$C276)</f>
        <v>0</v>
      </c>
      <c r="E276" s="21">
        <f>SUMIFS(Einzelbeträge!$D:$D,Einzelbeträge!$C:$C,'Ausgaben 2027'!$C276,Einzelbeträge!$E:$E,'Ausgaben 2027'!E$6)</f>
        <v>0</v>
      </c>
      <c r="F276" s="21">
        <f>SUMIFS(Einzelbeträge!$D:$D,Einzelbeträge!$C:$C,'Ausgaben 2027'!$C276,Einzelbeträge!$E:$E,'Ausgaben 2027'!F$6)</f>
        <v>0</v>
      </c>
      <c r="G276" s="21">
        <f>SUMIFS(Einzelbeträge!$D:$D,Einzelbeträge!$C:$C,'Ausgaben 2027'!$C276,Einzelbeträge!$E:$E,'Ausgaben 2027'!G$6)</f>
        <v>0</v>
      </c>
      <c r="H276" s="21">
        <f>SUMIFS(Einzelbeträge!$D:$D,Einzelbeträge!$C:$C,'Ausgaben 2027'!$C276,Einzelbeträge!$E:$E,'Ausgaben 2027'!H$6)</f>
        <v>0</v>
      </c>
      <c r="I276" s="21">
        <f>SUMIFS(Einzelbeträge!$D:$D,Einzelbeträge!$C:$C,'Ausgaben 2027'!$C276,Einzelbeträge!$E:$E,'Ausgaben 2027'!I$6)</f>
        <v>0</v>
      </c>
      <c r="J276" s="21">
        <f>SUMIFS(Einzelbeträge!$D:$D,Einzelbeträge!$C:$C,'Ausgaben 2027'!$C276,Einzelbeträge!$E:$E,'Ausgaben 2027'!J$6)</f>
        <v>0</v>
      </c>
      <c r="K276" s="21">
        <f>SUMIFS(Einzelbeträge!$D:$D,Einzelbeträge!$C:$C,'Ausgaben 2027'!$C276,Einzelbeträge!$E:$E,'Ausgaben 2027'!K$6)</f>
        <v>0</v>
      </c>
      <c r="L276" s="21">
        <f>SUMIFS(Einzelbeträge!$D:$D,Einzelbeträge!$C:$C,'Ausgaben 2027'!$C276,Einzelbeträge!$E:$E,'Ausgaben 2027'!L$6)</f>
        <v>0</v>
      </c>
      <c r="M276" s="21">
        <f>SUMIFS(Einzelbeträge!$D:$D,Einzelbeträge!$C:$C,'Ausgaben 2027'!$C276,Einzelbeträge!$E:$E,'Ausgaben 2027'!M$6)</f>
        <v>0</v>
      </c>
      <c r="N276" s="35">
        <f>SUMIFS(Einzelbeträge!$D:$D,Einzelbeträge!$C:$C,'Ausgaben 2027'!$C276,Einzelbeträge!$E:$E,'Ausgaben 2027'!N$6)</f>
        <v>0</v>
      </c>
      <c r="O276" s="6"/>
    </row>
    <row r="277" spans="2:15" x14ac:dyDescent="0.35">
      <c r="B277" s="5"/>
      <c r="C277" s="30">
        <f t="shared" ref="C277:C304" si="24">C276+1</f>
        <v>46633</v>
      </c>
      <c r="D277" s="46">
        <f>SUMIFS(Einzelbeträge!$D:$D,Einzelbeträge!$C:$C,'Ausgaben 2027'!$C277)</f>
        <v>0</v>
      </c>
      <c r="E277" s="21">
        <f>SUMIFS(Einzelbeträge!$D:$D,Einzelbeträge!$C:$C,'Ausgaben 2027'!$C277,Einzelbeträge!$E:$E,'Ausgaben 2027'!E$6)</f>
        <v>0</v>
      </c>
      <c r="F277" s="21">
        <f>SUMIFS(Einzelbeträge!$D:$D,Einzelbeträge!$C:$C,'Ausgaben 2027'!$C277,Einzelbeträge!$E:$E,'Ausgaben 2027'!F$6)</f>
        <v>0</v>
      </c>
      <c r="G277" s="21">
        <f>SUMIFS(Einzelbeträge!$D:$D,Einzelbeträge!$C:$C,'Ausgaben 2027'!$C277,Einzelbeträge!$E:$E,'Ausgaben 2027'!G$6)</f>
        <v>0</v>
      </c>
      <c r="H277" s="21">
        <f>SUMIFS(Einzelbeträge!$D:$D,Einzelbeträge!$C:$C,'Ausgaben 2027'!$C277,Einzelbeträge!$E:$E,'Ausgaben 2027'!H$6)</f>
        <v>0</v>
      </c>
      <c r="I277" s="21">
        <f>SUMIFS(Einzelbeträge!$D:$D,Einzelbeträge!$C:$C,'Ausgaben 2027'!$C277,Einzelbeträge!$E:$E,'Ausgaben 2027'!I$6)</f>
        <v>0</v>
      </c>
      <c r="J277" s="21">
        <f>SUMIFS(Einzelbeträge!$D:$D,Einzelbeträge!$C:$C,'Ausgaben 2027'!$C277,Einzelbeträge!$E:$E,'Ausgaben 2027'!J$6)</f>
        <v>0</v>
      </c>
      <c r="K277" s="21">
        <f>SUMIFS(Einzelbeträge!$D:$D,Einzelbeträge!$C:$C,'Ausgaben 2027'!$C277,Einzelbeträge!$E:$E,'Ausgaben 2027'!K$6)</f>
        <v>0</v>
      </c>
      <c r="L277" s="21">
        <f>SUMIFS(Einzelbeträge!$D:$D,Einzelbeträge!$C:$C,'Ausgaben 2027'!$C277,Einzelbeträge!$E:$E,'Ausgaben 2027'!L$6)</f>
        <v>0</v>
      </c>
      <c r="M277" s="21">
        <f>SUMIFS(Einzelbeträge!$D:$D,Einzelbeträge!$C:$C,'Ausgaben 2027'!$C277,Einzelbeträge!$E:$E,'Ausgaben 2027'!M$6)</f>
        <v>0</v>
      </c>
      <c r="N277" s="35">
        <f>SUMIFS(Einzelbeträge!$D:$D,Einzelbeträge!$C:$C,'Ausgaben 2027'!$C277,Einzelbeträge!$E:$E,'Ausgaben 2027'!N$6)</f>
        <v>0</v>
      </c>
      <c r="O277" s="6"/>
    </row>
    <row r="278" spans="2:15" x14ac:dyDescent="0.35">
      <c r="B278" s="5"/>
      <c r="C278" s="30">
        <f t="shared" si="24"/>
        <v>46634</v>
      </c>
      <c r="D278" s="46">
        <f>SUMIFS(Einzelbeträge!$D:$D,Einzelbeträge!$C:$C,'Ausgaben 2027'!$C278)</f>
        <v>0</v>
      </c>
      <c r="E278" s="21">
        <f>SUMIFS(Einzelbeträge!$D:$D,Einzelbeträge!$C:$C,'Ausgaben 2027'!$C278,Einzelbeträge!$E:$E,'Ausgaben 2027'!E$6)</f>
        <v>0</v>
      </c>
      <c r="F278" s="21">
        <f>SUMIFS(Einzelbeträge!$D:$D,Einzelbeträge!$C:$C,'Ausgaben 2027'!$C278,Einzelbeträge!$E:$E,'Ausgaben 2027'!F$6)</f>
        <v>0</v>
      </c>
      <c r="G278" s="21">
        <f>SUMIFS(Einzelbeträge!$D:$D,Einzelbeträge!$C:$C,'Ausgaben 2027'!$C278,Einzelbeträge!$E:$E,'Ausgaben 2027'!G$6)</f>
        <v>0</v>
      </c>
      <c r="H278" s="21">
        <f>SUMIFS(Einzelbeträge!$D:$D,Einzelbeträge!$C:$C,'Ausgaben 2027'!$C278,Einzelbeträge!$E:$E,'Ausgaben 2027'!H$6)</f>
        <v>0</v>
      </c>
      <c r="I278" s="21">
        <f>SUMIFS(Einzelbeträge!$D:$D,Einzelbeträge!$C:$C,'Ausgaben 2027'!$C278,Einzelbeträge!$E:$E,'Ausgaben 2027'!I$6)</f>
        <v>0</v>
      </c>
      <c r="J278" s="21">
        <f>SUMIFS(Einzelbeträge!$D:$D,Einzelbeträge!$C:$C,'Ausgaben 2027'!$C278,Einzelbeträge!$E:$E,'Ausgaben 2027'!J$6)</f>
        <v>0</v>
      </c>
      <c r="K278" s="21">
        <f>SUMIFS(Einzelbeträge!$D:$D,Einzelbeträge!$C:$C,'Ausgaben 2027'!$C278,Einzelbeträge!$E:$E,'Ausgaben 2027'!K$6)</f>
        <v>0</v>
      </c>
      <c r="L278" s="21">
        <f>SUMIFS(Einzelbeträge!$D:$D,Einzelbeträge!$C:$C,'Ausgaben 2027'!$C278,Einzelbeträge!$E:$E,'Ausgaben 2027'!L$6)</f>
        <v>0</v>
      </c>
      <c r="M278" s="21">
        <f>SUMIFS(Einzelbeträge!$D:$D,Einzelbeträge!$C:$C,'Ausgaben 2027'!$C278,Einzelbeträge!$E:$E,'Ausgaben 2027'!M$6)</f>
        <v>0</v>
      </c>
      <c r="N278" s="35">
        <f>SUMIFS(Einzelbeträge!$D:$D,Einzelbeträge!$C:$C,'Ausgaben 2027'!$C278,Einzelbeträge!$E:$E,'Ausgaben 2027'!N$6)</f>
        <v>0</v>
      </c>
      <c r="O278" s="6"/>
    </row>
    <row r="279" spans="2:15" x14ac:dyDescent="0.35">
      <c r="B279" s="5"/>
      <c r="C279" s="30">
        <f t="shared" si="24"/>
        <v>46635</v>
      </c>
      <c r="D279" s="46">
        <f>SUMIFS(Einzelbeträge!$D:$D,Einzelbeträge!$C:$C,'Ausgaben 2027'!$C279)</f>
        <v>0</v>
      </c>
      <c r="E279" s="21">
        <f>SUMIFS(Einzelbeträge!$D:$D,Einzelbeträge!$C:$C,'Ausgaben 2027'!$C279,Einzelbeträge!$E:$E,'Ausgaben 2027'!E$6)</f>
        <v>0</v>
      </c>
      <c r="F279" s="21">
        <f>SUMIFS(Einzelbeträge!$D:$D,Einzelbeträge!$C:$C,'Ausgaben 2027'!$C279,Einzelbeträge!$E:$E,'Ausgaben 2027'!F$6)</f>
        <v>0</v>
      </c>
      <c r="G279" s="21">
        <f>SUMIFS(Einzelbeträge!$D:$D,Einzelbeträge!$C:$C,'Ausgaben 2027'!$C279,Einzelbeträge!$E:$E,'Ausgaben 2027'!G$6)</f>
        <v>0</v>
      </c>
      <c r="H279" s="21">
        <f>SUMIFS(Einzelbeträge!$D:$D,Einzelbeträge!$C:$C,'Ausgaben 2027'!$C279,Einzelbeträge!$E:$E,'Ausgaben 2027'!H$6)</f>
        <v>0</v>
      </c>
      <c r="I279" s="21">
        <f>SUMIFS(Einzelbeträge!$D:$D,Einzelbeträge!$C:$C,'Ausgaben 2027'!$C279,Einzelbeträge!$E:$E,'Ausgaben 2027'!I$6)</f>
        <v>0</v>
      </c>
      <c r="J279" s="21">
        <f>SUMIFS(Einzelbeträge!$D:$D,Einzelbeträge!$C:$C,'Ausgaben 2027'!$C279,Einzelbeträge!$E:$E,'Ausgaben 2027'!J$6)</f>
        <v>0</v>
      </c>
      <c r="K279" s="21">
        <f>SUMIFS(Einzelbeträge!$D:$D,Einzelbeträge!$C:$C,'Ausgaben 2027'!$C279,Einzelbeträge!$E:$E,'Ausgaben 2027'!K$6)</f>
        <v>0</v>
      </c>
      <c r="L279" s="21">
        <f>SUMIFS(Einzelbeträge!$D:$D,Einzelbeträge!$C:$C,'Ausgaben 2027'!$C279,Einzelbeträge!$E:$E,'Ausgaben 2027'!L$6)</f>
        <v>0</v>
      </c>
      <c r="M279" s="21">
        <f>SUMIFS(Einzelbeträge!$D:$D,Einzelbeträge!$C:$C,'Ausgaben 2027'!$C279,Einzelbeträge!$E:$E,'Ausgaben 2027'!M$6)</f>
        <v>0</v>
      </c>
      <c r="N279" s="35">
        <f>SUMIFS(Einzelbeträge!$D:$D,Einzelbeträge!$C:$C,'Ausgaben 2027'!$C279,Einzelbeträge!$E:$E,'Ausgaben 2027'!N$6)</f>
        <v>0</v>
      </c>
      <c r="O279" s="6"/>
    </row>
    <row r="280" spans="2:15" x14ac:dyDescent="0.35">
      <c r="B280" s="5"/>
      <c r="C280" s="30">
        <f t="shared" si="24"/>
        <v>46636</v>
      </c>
      <c r="D280" s="46">
        <f>SUMIFS(Einzelbeträge!$D:$D,Einzelbeträge!$C:$C,'Ausgaben 2027'!$C280)</f>
        <v>0</v>
      </c>
      <c r="E280" s="21">
        <f>SUMIFS(Einzelbeträge!$D:$D,Einzelbeträge!$C:$C,'Ausgaben 2027'!$C280,Einzelbeträge!$E:$E,'Ausgaben 2027'!E$6)</f>
        <v>0</v>
      </c>
      <c r="F280" s="21">
        <f>SUMIFS(Einzelbeträge!$D:$D,Einzelbeträge!$C:$C,'Ausgaben 2027'!$C280,Einzelbeträge!$E:$E,'Ausgaben 2027'!F$6)</f>
        <v>0</v>
      </c>
      <c r="G280" s="21">
        <f>SUMIFS(Einzelbeträge!$D:$D,Einzelbeträge!$C:$C,'Ausgaben 2027'!$C280,Einzelbeträge!$E:$E,'Ausgaben 2027'!G$6)</f>
        <v>0</v>
      </c>
      <c r="H280" s="21">
        <f>SUMIFS(Einzelbeträge!$D:$D,Einzelbeträge!$C:$C,'Ausgaben 2027'!$C280,Einzelbeträge!$E:$E,'Ausgaben 2027'!H$6)</f>
        <v>0</v>
      </c>
      <c r="I280" s="21">
        <f>SUMIFS(Einzelbeträge!$D:$D,Einzelbeträge!$C:$C,'Ausgaben 2027'!$C280,Einzelbeträge!$E:$E,'Ausgaben 2027'!I$6)</f>
        <v>0</v>
      </c>
      <c r="J280" s="21">
        <f>SUMIFS(Einzelbeträge!$D:$D,Einzelbeträge!$C:$C,'Ausgaben 2027'!$C280,Einzelbeträge!$E:$E,'Ausgaben 2027'!J$6)</f>
        <v>0</v>
      </c>
      <c r="K280" s="21">
        <f>SUMIFS(Einzelbeträge!$D:$D,Einzelbeträge!$C:$C,'Ausgaben 2027'!$C280,Einzelbeträge!$E:$E,'Ausgaben 2027'!K$6)</f>
        <v>0</v>
      </c>
      <c r="L280" s="21">
        <f>SUMIFS(Einzelbeträge!$D:$D,Einzelbeträge!$C:$C,'Ausgaben 2027'!$C280,Einzelbeträge!$E:$E,'Ausgaben 2027'!L$6)</f>
        <v>0</v>
      </c>
      <c r="M280" s="21">
        <f>SUMIFS(Einzelbeträge!$D:$D,Einzelbeträge!$C:$C,'Ausgaben 2027'!$C280,Einzelbeträge!$E:$E,'Ausgaben 2027'!M$6)</f>
        <v>0</v>
      </c>
      <c r="N280" s="35">
        <f>SUMIFS(Einzelbeträge!$D:$D,Einzelbeträge!$C:$C,'Ausgaben 2027'!$C280,Einzelbeträge!$E:$E,'Ausgaben 2027'!N$6)</f>
        <v>0</v>
      </c>
      <c r="O280" s="6"/>
    </row>
    <row r="281" spans="2:15" x14ac:dyDescent="0.35">
      <c r="B281" s="5"/>
      <c r="C281" s="30">
        <f t="shared" si="24"/>
        <v>46637</v>
      </c>
      <c r="D281" s="46">
        <f>SUMIFS(Einzelbeträge!$D:$D,Einzelbeträge!$C:$C,'Ausgaben 2027'!$C281)</f>
        <v>0</v>
      </c>
      <c r="E281" s="21">
        <f>SUMIFS(Einzelbeträge!$D:$D,Einzelbeträge!$C:$C,'Ausgaben 2027'!$C281,Einzelbeträge!$E:$E,'Ausgaben 2027'!E$6)</f>
        <v>0</v>
      </c>
      <c r="F281" s="21">
        <f>SUMIFS(Einzelbeträge!$D:$D,Einzelbeträge!$C:$C,'Ausgaben 2027'!$C281,Einzelbeträge!$E:$E,'Ausgaben 2027'!F$6)</f>
        <v>0</v>
      </c>
      <c r="G281" s="21">
        <f>SUMIFS(Einzelbeträge!$D:$D,Einzelbeträge!$C:$C,'Ausgaben 2027'!$C281,Einzelbeträge!$E:$E,'Ausgaben 2027'!G$6)</f>
        <v>0</v>
      </c>
      <c r="H281" s="21">
        <f>SUMIFS(Einzelbeträge!$D:$D,Einzelbeträge!$C:$C,'Ausgaben 2027'!$C281,Einzelbeträge!$E:$E,'Ausgaben 2027'!H$6)</f>
        <v>0</v>
      </c>
      <c r="I281" s="21">
        <f>SUMIFS(Einzelbeträge!$D:$D,Einzelbeträge!$C:$C,'Ausgaben 2027'!$C281,Einzelbeträge!$E:$E,'Ausgaben 2027'!I$6)</f>
        <v>0</v>
      </c>
      <c r="J281" s="21">
        <f>SUMIFS(Einzelbeträge!$D:$D,Einzelbeträge!$C:$C,'Ausgaben 2027'!$C281,Einzelbeträge!$E:$E,'Ausgaben 2027'!J$6)</f>
        <v>0</v>
      </c>
      <c r="K281" s="21">
        <f>SUMIFS(Einzelbeträge!$D:$D,Einzelbeträge!$C:$C,'Ausgaben 2027'!$C281,Einzelbeträge!$E:$E,'Ausgaben 2027'!K$6)</f>
        <v>0</v>
      </c>
      <c r="L281" s="21">
        <f>SUMIFS(Einzelbeträge!$D:$D,Einzelbeträge!$C:$C,'Ausgaben 2027'!$C281,Einzelbeträge!$E:$E,'Ausgaben 2027'!L$6)</f>
        <v>0</v>
      </c>
      <c r="M281" s="21">
        <f>SUMIFS(Einzelbeträge!$D:$D,Einzelbeträge!$C:$C,'Ausgaben 2027'!$C281,Einzelbeträge!$E:$E,'Ausgaben 2027'!M$6)</f>
        <v>0</v>
      </c>
      <c r="N281" s="35">
        <f>SUMIFS(Einzelbeträge!$D:$D,Einzelbeträge!$C:$C,'Ausgaben 2027'!$C281,Einzelbeträge!$E:$E,'Ausgaben 2027'!N$6)</f>
        <v>0</v>
      </c>
      <c r="O281" s="6"/>
    </row>
    <row r="282" spans="2:15" x14ac:dyDescent="0.35">
      <c r="B282" s="5"/>
      <c r="C282" s="30">
        <f t="shared" si="24"/>
        <v>46638</v>
      </c>
      <c r="D282" s="46">
        <f>SUMIFS(Einzelbeträge!$D:$D,Einzelbeträge!$C:$C,'Ausgaben 2027'!$C282)</f>
        <v>0</v>
      </c>
      <c r="E282" s="21">
        <f>SUMIFS(Einzelbeträge!$D:$D,Einzelbeträge!$C:$C,'Ausgaben 2027'!$C282,Einzelbeträge!$E:$E,'Ausgaben 2027'!E$6)</f>
        <v>0</v>
      </c>
      <c r="F282" s="21">
        <f>SUMIFS(Einzelbeträge!$D:$D,Einzelbeträge!$C:$C,'Ausgaben 2027'!$C282,Einzelbeträge!$E:$E,'Ausgaben 2027'!F$6)</f>
        <v>0</v>
      </c>
      <c r="G282" s="21">
        <f>SUMIFS(Einzelbeträge!$D:$D,Einzelbeträge!$C:$C,'Ausgaben 2027'!$C282,Einzelbeträge!$E:$E,'Ausgaben 2027'!G$6)</f>
        <v>0</v>
      </c>
      <c r="H282" s="21">
        <f>SUMIFS(Einzelbeträge!$D:$D,Einzelbeträge!$C:$C,'Ausgaben 2027'!$C282,Einzelbeträge!$E:$E,'Ausgaben 2027'!H$6)</f>
        <v>0</v>
      </c>
      <c r="I282" s="21">
        <f>SUMIFS(Einzelbeträge!$D:$D,Einzelbeträge!$C:$C,'Ausgaben 2027'!$C282,Einzelbeträge!$E:$E,'Ausgaben 2027'!I$6)</f>
        <v>0</v>
      </c>
      <c r="J282" s="21">
        <f>SUMIFS(Einzelbeträge!$D:$D,Einzelbeträge!$C:$C,'Ausgaben 2027'!$C282,Einzelbeträge!$E:$E,'Ausgaben 2027'!J$6)</f>
        <v>0</v>
      </c>
      <c r="K282" s="21">
        <f>SUMIFS(Einzelbeträge!$D:$D,Einzelbeträge!$C:$C,'Ausgaben 2027'!$C282,Einzelbeträge!$E:$E,'Ausgaben 2027'!K$6)</f>
        <v>0</v>
      </c>
      <c r="L282" s="21">
        <f>SUMIFS(Einzelbeträge!$D:$D,Einzelbeträge!$C:$C,'Ausgaben 2027'!$C282,Einzelbeträge!$E:$E,'Ausgaben 2027'!L$6)</f>
        <v>0</v>
      </c>
      <c r="M282" s="21">
        <f>SUMIFS(Einzelbeträge!$D:$D,Einzelbeträge!$C:$C,'Ausgaben 2027'!$C282,Einzelbeträge!$E:$E,'Ausgaben 2027'!M$6)</f>
        <v>0</v>
      </c>
      <c r="N282" s="35">
        <f>SUMIFS(Einzelbeträge!$D:$D,Einzelbeträge!$C:$C,'Ausgaben 2027'!$C282,Einzelbeträge!$E:$E,'Ausgaben 2027'!N$6)</f>
        <v>0</v>
      </c>
      <c r="O282" s="6"/>
    </row>
    <row r="283" spans="2:15" x14ac:dyDescent="0.35">
      <c r="B283" s="5"/>
      <c r="C283" s="30">
        <f t="shared" si="24"/>
        <v>46639</v>
      </c>
      <c r="D283" s="46">
        <f>SUMIFS(Einzelbeträge!$D:$D,Einzelbeträge!$C:$C,'Ausgaben 2027'!$C283)</f>
        <v>0</v>
      </c>
      <c r="E283" s="21">
        <f>SUMIFS(Einzelbeträge!$D:$D,Einzelbeträge!$C:$C,'Ausgaben 2027'!$C283,Einzelbeträge!$E:$E,'Ausgaben 2027'!E$6)</f>
        <v>0</v>
      </c>
      <c r="F283" s="21">
        <f>SUMIFS(Einzelbeträge!$D:$D,Einzelbeträge!$C:$C,'Ausgaben 2027'!$C283,Einzelbeträge!$E:$E,'Ausgaben 2027'!F$6)</f>
        <v>0</v>
      </c>
      <c r="G283" s="21">
        <f>SUMIFS(Einzelbeträge!$D:$D,Einzelbeträge!$C:$C,'Ausgaben 2027'!$C283,Einzelbeträge!$E:$E,'Ausgaben 2027'!G$6)</f>
        <v>0</v>
      </c>
      <c r="H283" s="21">
        <f>SUMIFS(Einzelbeträge!$D:$D,Einzelbeträge!$C:$C,'Ausgaben 2027'!$C283,Einzelbeträge!$E:$E,'Ausgaben 2027'!H$6)</f>
        <v>0</v>
      </c>
      <c r="I283" s="21">
        <f>SUMIFS(Einzelbeträge!$D:$D,Einzelbeträge!$C:$C,'Ausgaben 2027'!$C283,Einzelbeträge!$E:$E,'Ausgaben 2027'!I$6)</f>
        <v>0</v>
      </c>
      <c r="J283" s="21">
        <f>SUMIFS(Einzelbeträge!$D:$D,Einzelbeträge!$C:$C,'Ausgaben 2027'!$C283,Einzelbeträge!$E:$E,'Ausgaben 2027'!J$6)</f>
        <v>0</v>
      </c>
      <c r="K283" s="21">
        <f>SUMIFS(Einzelbeträge!$D:$D,Einzelbeträge!$C:$C,'Ausgaben 2027'!$C283,Einzelbeträge!$E:$E,'Ausgaben 2027'!K$6)</f>
        <v>0</v>
      </c>
      <c r="L283" s="21">
        <f>SUMIFS(Einzelbeträge!$D:$D,Einzelbeträge!$C:$C,'Ausgaben 2027'!$C283,Einzelbeträge!$E:$E,'Ausgaben 2027'!L$6)</f>
        <v>0</v>
      </c>
      <c r="M283" s="21">
        <f>SUMIFS(Einzelbeträge!$D:$D,Einzelbeträge!$C:$C,'Ausgaben 2027'!$C283,Einzelbeträge!$E:$E,'Ausgaben 2027'!M$6)</f>
        <v>0</v>
      </c>
      <c r="N283" s="35">
        <f>SUMIFS(Einzelbeträge!$D:$D,Einzelbeträge!$C:$C,'Ausgaben 2027'!$C283,Einzelbeträge!$E:$E,'Ausgaben 2027'!N$6)</f>
        <v>0</v>
      </c>
      <c r="O283" s="6"/>
    </row>
    <row r="284" spans="2:15" x14ac:dyDescent="0.35">
      <c r="B284" s="5"/>
      <c r="C284" s="30">
        <f t="shared" si="24"/>
        <v>46640</v>
      </c>
      <c r="D284" s="46">
        <f>SUMIFS(Einzelbeträge!$D:$D,Einzelbeträge!$C:$C,'Ausgaben 2027'!$C284)</f>
        <v>0</v>
      </c>
      <c r="E284" s="21">
        <f>SUMIFS(Einzelbeträge!$D:$D,Einzelbeträge!$C:$C,'Ausgaben 2027'!$C284,Einzelbeträge!$E:$E,'Ausgaben 2027'!E$6)</f>
        <v>0</v>
      </c>
      <c r="F284" s="21">
        <f>SUMIFS(Einzelbeträge!$D:$D,Einzelbeträge!$C:$C,'Ausgaben 2027'!$C284,Einzelbeträge!$E:$E,'Ausgaben 2027'!F$6)</f>
        <v>0</v>
      </c>
      <c r="G284" s="21">
        <f>SUMIFS(Einzelbeträge!$D:$D,Einzelbeträge!$C:$C,'Ausgaben 2027'!$C284,Einzelbeträge!$E:$E,'Ausgaben 2027'!G$6)</f>
        <v>0</v>
      </c>
      <c r="H284" s="21">
        <f>SUMIFS(Einzelbeträge!$D:$D,Einzelbeträge!$C:$C,'Ausgaben 2027'!$C284,Einzelbeträge!$E:$E,'Ausgaben 2027'!H$6)</f>
        <v>0</v>
      </c>
      <c r="I284" s="21">
        <f>SUMIFS(Einzelbeträge!$D:$D,Einzelbeträge!$C:$C,'Ausgaben 2027'!$C284,Einzelbeträge!$E:$E,'Ausgaben 2027'!I$6)</f>
        <v>0</v>
      </c>
      <c r="J284" s="21">
        <f>SUMIFS(Einzelbeträge!$D:$D,Einzelbeträge!$C:$C,'Ausgaben 2027'!$C284,Einzelbeträge!$E:$E,'Ausgaben 2027'!J$6)</f>
        <v>0</v>
      </c>
      <c r="K284" s="21">
        <f>SUMIFS(Einzelbeträge!$D:$D,Einzelbeträge!$C:$C,'Ausgaben 2027'!$C284,Einzelbeträge!$E:$E,'Ausgaben 2027'!K$6)</f>
        <v>0</v>
      </c>
      <c r="L284" s="21">
        <f>SUMIFS(Einzelbeträge!$D:$D,Einzelbeträge!$C:$C,'Ausgaben 2027'!$C284,Einzelbeträge!$E:$E,'Ausgaben 2027'!L$6)</f>
        <v>0</v>
      </c>
      <c r="M284" s="21">
        <f>SUMIFS(Einzelbeträge!$D:$D,Einzelbeträge!$C:$C,'Ausgaben 2027'!$C284,Einzelbeträge!$E:$E,'Ausgaben 2027'!M$6)</f>
        <v>0</v>
      </c>
      <c r="N284" s="35">
        <f>SUMIFS(Einzelbeträge!$D:$D,Einzelbeträge!$C:$C,'Ausgaben 2027'!$C284,Einzelbeträge!$E:$E,'Ausgaben 2027'!N$6)</f>
        <v>0</v>
      </c>
      <c r="O284" s="6"/>
    </row>
    <row r="285" spans="2:15" x14ac:dyDescent="0.35">
      <c r="B285" s="5"/>
      <c r="C285" s="30">
        <f t="shared" si="24"/>
        <v>46641</v>
      </c>
      <c r="D285" s="46">
        <f>SUMIFS(Einzelbeträge!$D:$D,Einzelbeträge!$C:$C,'Ausgaben 2027'!$C285)</f>
        <v>0</v>
      </c>
      <c r="E285" s="21">
        <f>SUMIFS(Einzelbeträge!$D:$D,Einzelbeträge!$C:$C,'Ausgaben 2027'!$C285,Einzelbeträge!$E:$E,'Ausgaben 2027'!E$6)</f>
        <v>0</v>
      </c>
      <c r="F285" s="21">
        <f>SUMIFS(Einzelbeträge!$D:$D,Einzelbeträge!$C:$C,'Ausgaben 2027'!$C285,Einzelbeträge!$E:$E,'Ausgaben 2027'!F$6)</f>
        <v>0</v>
      </c>
      <c r="G285" s="21">
        <f>SUMIFS(Einzelbeträge!$D:$D,Einzelbeträge!$C:$C,'Ausgaben 2027'!$C285,Einzelbeträge!$E:$E,'Ausgaben 2027'!G$6)</f>
        <v>0</v>
      </c>
      <c r="H285" s="21">
        <f>SUMIFS(Einzelbeträge!$D:$D,Einzelbeträge!$C:$C,'Ausgaben 2027'!$C285,Einzelbeträge!$E:$E,'Ausgaben 2027'!H$6)</f>
        <v>0</v>
      </c>
      <c r="I285" s="21">
        <f>SUMIFS(Einzelbeträge!$D:$D,Einzelbeträge!$C:$C,'Ausgaben 2027'!$C285,Einzelbeträge!$E:$E,'Ausgaben 2027'!I$6)</f>
        <v>0</v>
      </c>
      <c r="J285" s="21">
        <f>SUMIFS(Einzelbeträge!$D:$D,Einzelbeträge!$C:$C,'Ausgaben 2027'!$C285,Einzelbeträge!$E:$E,'Ausgaben 2027'!J$6)</f>
        <v>0</v>
      </c>
      <c r="K285" s="21">
        <f>SUMIFS(Einzelbeträge!$D:$D,Einzelbeträge!$C:$C,'Ausgaben 2027'!$C285,Einzelbeträge!$E:$E,'Ausgaben 2027'!K$6)</f>
        <v>0</v>
      </c>
      <c r="L285" s="21">
        <f>SUMIFS(Einzelbeträge!$D:$D,Einzelbeträge!$C:$C,'Ausgaben 2027'!$C285,Einzelbeträge!$E:$E,'Ausgaben 2027'!L$6)</f>
        <v>0</v>
      </c>
      <c r="M285" s="21">
        <f>SUMIFS(Einzelbeträge!$D:$D,Einzelbeträge!$C:$C,'Ausgaben 2027'!$C285,Einzelbeträge!$E:$E,'Ausgaben 2027'!M$6)</f>
        <v>0</v>
      </c>
      <c r="N285" s="35">
        <f>SUMIFS(Einzelbeträge!$D:$D,Einzelbeträge!$C:$C,'Ausgaben 2027'!$C285,Einzelbeträge!$E:$E,'Ausgaben 2027'!N$6)</f>
        <v>0</v>
      </c>
      <c r="O285" s="6"/>
    </row>
    <row r="286" spans="2:15" x14ac:dyDescent="0.35">
      <c r="B286" s="5"/>
      <c r="C286" s="30">
        <f t="shared" si="24"/>
        <v>46642</v>
      </c>
      <c r="D286" s="46">
        <f>SUMIFS(Einzelbeträge!$D:$D,Einzelbeträge!$C:$C,'Ausgaben 2027'!$C286)</f>
        <v>0</v>
      </c>
      <c r="E286" s="21">
        <f>SUMIFS(Einzelbeträge!$D:$D,Einzelbeträge!$C:$C,'Ausgaben 2027'!$C286,Einzelbeträge!$E:$E,'Ausgaben 2027'!E$6)</f>
        <v>0</v>
      </c>
      <c r="F286" s="21">
        <f>SUMIFS(Einzelbeträge!$D:$D,Einzelbeträge!$C:$C,'Ausgaben 2027'!$C286,Einzelbeträge!$E:$E,'Ausgaben 2027'!F$6)</f>
        <v>0</v>
      </c>
      <c r="G286" s="21">
        <f>SUMIFS(Einzelbeträge!$D:$D,Einzelbeträge!$C:$C,'Ausgaben 2027'!$C286,Einzelbeträge!$E:$E,'Ausgaben 2027'!G$6)</f>
        <v>0</v>
      </c>
      <c r="H286" s="21">
        <f>SUMIFS(Einzelbeträge!$D:$D,Einzelbeträge!$C:$C,'Ausgaben 2027'!$C286,Einzelbeträge!$E:$E,'Ausgaben 2027'!H$6)</f>
        <v>0</v>
      </c>
      <c r="I286" s="21">
        <f>SUMIFS(Einzelbeträge!$D:$D,Einzelbeträge!$C:$C,'Ausgaben 2027'!$C286,Einzelbeträge!$E:$E,'Ausgaben 2027'!I$6)</f>
        <v>0</v>
      </c>
      <c r="J286" s="21">
        <f>SUMIFS(Einzelbeträge!$D:$D,Einzelbeträge!$C:$C,'Ausgaben 2027'!$C286,Einzelbeträge!$E:$E,'Ausgaben 2027'!J$6)</f>
        <v>0</v>
      </c>
      <c r="K286" s="21">
        <f>SUMIFS(Einzelbeträge!$D:$D,Einzelbeträge!$C:$C,'Ausgaben 2027'!$C286,Einzelbeträge!$E:$E,'Ausgaben 2027'!K$6)</f>
        <v>0</v>
      </c>
      <c r="L286" s="21">
        <f>SUMIFS(Einzelbeträge!$D:$D,Einzelbeträge!$C:$C,'Ausgaben 2027'!$C286,Einzelbeträge!$E:$E,'Ausgaben 2027'!L$6)</f>
        <v>0</v>
      </c>
      <c r="M286" s="21">
        <f>SUMIFS(Einzelbeträge!$D:$D,Einzelbeträge!$C:$C,'Ausgaben 2027'!$C286,Einzelbeträge!$E:$E,'Ausgaben 2027'!M$6)</f>
        <v>0</v>
      </c>
      <c r="N286" s="35">
        <f>SUMIFS(Einzelbeträge!$D:$D,Einzelbeträge!$C:$C,'Ausgaben 2027'!$C286,Einzelbeträge!$E:$E,'Ausgaben 2027'!N$6)</f>
        <v>0</v>
      </c>
      <c r="O286" s="6"/>
    </row>
    <row r="287" spans="2:15" x14ac:dyDescent="0.35">
      <c r="B287" s="5"/>
      <c r="C287" s="30">
        <f t="shared" si="24"/>
        <v>46643</v>
      </c>
      <c r="D287" s="46">
        <f>SUMIFS(Einzelbeträge!$D:$D,Einzelbeträge!$C:$C,'Ausgaben 2027'!$C287)</f>
        <v>0</v>
      </c>
      <c r="E287" s="21">
        <f>SUMIFS(Einzelbeträge!$D:$D,Einzelbeträge!$C:$C,'Ausgaben 2027'!$C287,Einzelbeträge!$E:$E,'Ausgaben 2027'!E$6)</f>
        <v>0</v>
      </c>
      <c r="F287" s="21">
        <f>SUMIFS(Einzelbeträge!$D:$D,Einzelbeträge!$C:$C,'Ausgaben 2027'!$C287,Einzelbeträge!$E:$E,'Ausgaben 2027'!F$6)</f>
        <v>0</v>
      </c>
      <c r="G287" s="21">
        <f>SUMIFS(Einzelbeträge!$D:$D,Einzelbeträge!$C:$C,'Ausgaben 2027'!$C287,Einzelbeträge!$E:$E,'Ausgaben 2027'!G$6)</f>
        <v>0</v>
      </c>
      <c r="H287" s="21">
        <f>SUMIFS(Einzelbeträge!$D:$D,Einzelbeträge!$C:$C,'Ausgaben 2027'!$C287,Einzelbeträge!$E:$E,'Ausgaben 2027'!H$6)</f>
        <v>0</v>
      </c>
      <c r="I287" s="21">
        <f>SUMIFS(Einzelbeträge!$D:$D,Einzelbeträge!$C:$C,'Ausgaben 2027'!$C287,Einzelbeträge!$E:$E,'Ausgaben 2027'!I$6)</f>
        <v>0</v>
      </c>
      <c r="J287" s="21">
        <f>SUMIFS(Einzelbeträge!$D:$D,Einzelbeträge!$C:$C,'Ausgaben 2027'!$C287,Einzelbeträge!$E:$E,'Ausgaben 2027'!J$6)</f>
        <v>0</v>
      </c>
      <c r="K287" s="21">
        <f>SUMIFS(Einzelbeträge!$D:$D,Einzelbeträge!$C:$C,'Ausgaben 2027'!$C287,Einzelbeträge!$E:$E,'Ausgaben 2027'!K$6)</f>
        <v>0</v>
      </c>
      <c r="L287" s="21">
        <f>SUMIFS(Einzelbeträge!$D:$D,Einzelbeträge!$C:$C,'Ausgaben 2027'!$C287,Einzelbeträge!$E:$E,'Ausgaben 2027'!L$6)</f>
        <v>0</v>
      </c>
      <c r="M287" s="21">
        <f>SUMIFS(Einzelbeträge!$D:$D,Einzelbeträge!$C:$C,'Ausgaben 2027'!$C287,Einzelbeträge!$E:$E,'Ausgaben 2027'!M$6)</f>
        <v>0</v>
      </c>
      <c r="N287" s="35">
        <f>SUMIFS(Einzelbeträge!$D:$D,Einzelbeträge!$C:$C,'Ausgaben 2027'!$C287,Einzelbeträge!$E:$E,'Ausgaben 2027'!N$6)</f>
        <v>0</v>
      </c>
      <c r="O287" s="6"/>
    </row>
    <row r="288" spans="2:15" x14ac:dyDescent="0.35">
      <c r="B288" s="5"/>
      <c r="C288" s="30">
        <f t="shared" si="24"/>
        <v>46644</v>
      </c>
      <c r="D288" s="46">
        <f>SUMIFS(Einzelbeträge!$D:$D,Einzelbeträge!$C:$C,'Ausgaben 2027'!$C288)</f>
        <v>0</v>
      </c>
      <c r="E288" s="21">
        <f>SUMIFS(Einzelbeträge!$D:$D,Einzelbeträge!$C:$C,'Ausgaben 2027'!$C288,Einzelbeträge!$E:$E,'Ausgaben 2027'!E$6)</f>
        <v>0</v>
      </c>
      <c r="F288" s="21">
        <f>SUMIFS(Einzelbeträge!$D:$D,Einzelbeträge!$C:$C,'Ausgaben 2027'!$C288,Einzelbeträge!$E:$E,'Ausgaben 2027'!F$6)</f>
        <v>0</v>
      </c>
      <c r="G288" s="21">
        <f>SUMIFS(Einzelbeträge!$D:$D,Einzelbeträge!$C:$C,'Ausgaben 2027'!$C288,Einzelbeträge!$E:$E,'Ausgaben 2027'!G$6)</f>
        <v>0</v>
      </c>
      <c r="H288" s="21">
        <f>SUMIFS(Einzelbeträge!$D:$D,Einzelbeträge!$C:$C,'Ausgaben 2027'!$C288,Einzelbeträge!$E:$E,'Ausgaben 2027'!H$6)</f>
        <v>0</v>
      </c>
      <c r="I288" s="21">
        <f>SUMIFS(Einzelbeträge!$D:$D,Einzelbeträge!$C:$C,'Ausgaben 2027'!$C288,Einzelbeträge!$E:$E,'Ausgaben 2027'!I$6)</f>
        <v>0</v>
      </c>
      <c r="J288" s="21">
        <f>SUMIFS(Einzelbeträge!$D:$D,Einzelbeträge!$C:$C,'Ausgaben 2027'!$C288,Einzelbeträge!$E:$E,'Ausgaben 2027'!J$6)</f>
        <v>0</v>
      </c>
      <c r="K288" s="21">
        <f>SUMIFS(Einzelbeträge!$D:$D,Einzelbeträge!$C:$C,'Ausgaben 2027'!$C288,Einzelbeträge!$E:$E,'Ausgaben 2027'!K$6)</f>
        <v>0</v>
      </c>
      <c r="L288" s="21">
        <f>SUMIFS(Einzelbeträge!$D:$D,Einzelbeträge!$C:$C,'Ausgaben 2027'!$C288,Einzelbeträge!$E:$E,'Ausgaben 2027'!L$6)</f>
        <v>0</v>
      </c>
      <c r="M288" s="21">
        <f>SUMIFS(Einzelbeträge!$D:$D,Einzelbeträge!$C:$C,'Ausgaben 2027'!$C288,Einzelbeträge!$E:$E,'Ausgaben 2027'!M$6)</f>
        <v>0</v>
      </c>
      <c r="N288" s="35">
        <f>SUMIFS(Einzelbeträge!$D:$D,Einzelbeträge!$C:$C,'Ausgaben 2027'!$C288,Einzelbeträge!$E:$E,'Ausgaben 2027'!N$6)</f>
        <v>0</v>
      </c>
      <c r="O288" s="6"/>
    </row>
    <row r="289" spans="2:15" x14ac:dyDescent="0.35">
      <c r="B289" s="5"/>
      <c r="C289" s="30">
        <f t="shared" si="24"/>
        <v>46645</v>
      </c>
      <c r="D289" s="46">
        <f>SUMIFS(Einzelbeträge!$D:$D,Einzelbeträge!$C:$C,'Ausgaben 2027'!$C289)</f>
        <v>0</v>
      </c>
      <c r="E289" s="21">
        <f>SUMIFS(Einzelbeträge!$D:$D,Einzelbeträge!$C:$C,'Ausgaben 2027'!$C289,Einzelbeträge!$E:$E,'Ausgaben 2027'!E$6)</f>
        <v>0</v>
      </c>
      <c r="F289" s="21">
        <f>SUMIFS(Einzelbeträge!$D:$D,Einzelbeträge!$C:$C,'Ausgaben 2027'!$C289,Einzelbeträge!$E:$E,'Ausgaben 2027'!F$6)</f>
        <v>0</v>
      </c>
      <c r="G289" s="21">
        <f>SUMIFS(Einzelbeträge!$D:$D,Einzelbeträge!$C:$C,'Ausgaben 2027'!$C289,Einzelbeträge!$E:$E,'Ausgaben 2027'!G$6)</f>
        <v>0</v>
      </c>
      <c r="H289" s="21">
        <f>SUMIFS(Einzelbeträge!$D:$D,Einzelbeträge!$C:$C,'Ausgaben 2027'!$C289,Einzelbeträge!$E:$E,'Ausgaben 2027'!H$6)</f>
        <v>0</v>
      </c>
      <c r="I289" s="21">
        <f>SUMIFS(Einzelbeträge!$D:$D,Einzelbeträge!$C:$C,'Ausgaben 2027'!$C289,Einzelbeträge!$E:$E,'Ausgaben 2027'!I$6)</f>
        <v>0</v>
      </c>
      <c r="J289" s="21">
        <f>SUMIFS(Einzelbeträge!$D:$D,Einzelbeträge!$C:$C,'Ausgaben 2027'!$C289,Einzelbeträge!$E:$E,'Ausgaben 2027'!J$6)</f>
        <v>0</v>
      </c>
      <c r="K289" s="21">
        <f>SUMIFS(Einzelbeträge!$D:$D,Einzelbeträge!$C:$C,'Ausgaben 2027'!$C289,Einzelbeträge!$E:$E,'Ausgaben 2027'!K$6)</f>
        <v>0</v>
      </c>
      <c r="L289" s="21">
        <f>SUMIFS(Einzelbeträge!$D:$D,Einzelbeträge!$C:$C,'Ausgaben 2027'!$C289,Einzelbeträge!$E:$E,'Ausgaben 2027'!L$6)</f>
        <v>0</v>
      </c>
      <c r="M289" s="21">
        <f>SUMIFS(Einzelbeträge!$D:$D,Einzelbeträge!$C:$C,'Ausgaben 2027'!$C289,Einzelbeträge!$E:$E,'Ausgaben 2027'!M$6)</f>
        <v>0</v>
      </c>
      <c r="N289" s="35">
        <f>SUMIFS(Einzelbeträge!$D:$D,Einzelbeträge!$C:$C,'Ausgaben 2027'!$C289,Einzelbeträge!$E:$E,'Ausgaben 2027'!N$6)</f>
        <v>0</v>
      </c>
      <c r="O289" s="6"/>
    </row>
    <row r="290" spans="2:15" x14ac:dyDescent="0.35">
      <c r="B290" s="5"/>
      <c r="C290" s="30">
        <f t="shared" si="24"/>
        <v>46646</v>
      </c>
      <c r="D290" s="46">
        <f>SUMIFS(Einzelbeträge!$D:$D,Einzelbeträge!$C:$C,'Ausgaben 2027'!$C290)</f>
        <v>0</v>
      </c>
      <c r="E290" s="21">
        <f>SUMIFS(Einzelbeträge!$D:$D,Einzelbeträge!$C:$C,'Ausgaben 2027'!$C290,Einzelbeträge!$E:$E,'Ausgaben 2027'!E$6)</f>
        <v>0</v>
      </c>
      <c r="F290" s="21">
        <f>SUMIFS(Einzelbeträge!$D:$D,Einzelbeträge!$C:$C,'Ausgaben 2027'!$C290,Einzelbeträge!$E:$E,'Ausgaben 2027'!F$6)</f>
        <v>0</v>
      </c>
      <c r="G290" s="21">
        <f>SUMIFS(Einzelbeträge!$D:$D,Einzelbeträge!$C:$C,'Ausgaben 2027'!$C290,Einzelbeträge!$E:$E,'Ausgaben 2027'!G$6)</f>
        <v>0</v>
      </c>
      <c r="H290" s="21">
        <f>SUMIFS(Einzelbeträge!$D:$D,Einzelbeträge!$C:$C,'Ausgaben 2027'!$C290,Einzelbeträge!$E:$E,'Ausgaben 2027'!H$6)</f>
        <v>0</v>
      </c>
      <c r="I290" s="21">
        <f>SUMIFS(Einzelbeträge!$D:$D,Einzelbeträge!$C:$C,'Ausgaben 2027'!$C290,Einzelbeträge!$E:$E,'Ausgaben 2027'!I$6)</f>
        <v>0</v>
      </c>
      <c r="J290" s="21">
        <f>SUMIFS(Einzelbeträge!$D:$D,Einzelbeträge!$C:$C,'Ausgaben 2027'!$C290,Einzelbeträge!$E:$E,'Ausgaben 2027'!J$6)</f>
        <v>0</v>
      </c>
      <c r="K290" s="21">
        <f>SUMIFS(Einzelbeträge!$D:$D,Einzelbeträge!$C:$C,'Ausgaben 2027'!$C290,Einzelbeträge!$E:$E,'Ausgaben 2027'!K$6)</f>
        <v>0</v>
      </c>
      <c r="L290" s="21">
        <f>SUMIFS(Einzelbeträge!$D:$D,Einzelbeträge!$C:$C,'Ausgaben 2027'!$C290,Einzelbeträge!$E:$E,'Ausgaben 2027'!L$6)</f>
        <v>0</v>
      </c>
      <c r="M290" s="21">
        <f>SUMIFS(Einzelbeträge!$D:$D,Einzelbeträge!$C:$C,'Ausgaben 2027'!$C290,Einzelbeträge!$E:$E,'Ausgaben 2027'!M$6)</f>
        <v>0</v>
      </c>
      <c r="N290" s="35">
        <f>SUMIFS(Einzelbeträge!$D:$D,Einzelbeträge!$C:$C,'Ausgaben 2027'!$C290,Einzelbeträge!$E:$E,'Ausgaben 2027'!N$6)</f>
        <v>0</v>
      </c>
      <c r="O290" s="6"/>
    </row>
    <row r="291" spans="2:15" x14ac:dyDescent="0.35">
      <c r="B291" s="5"/>
      <c r="C291" s="30">
        <f t="shared" si="24"/>
        <v>46647</v>
      </c>
      <c r="D291" s="46">
        <f>SUMIFS(Einzelbeträge!$D:$D,Einzelbeträge!$C:$C,'Ausgaben 2027'!$C291)</f>
        <v>0</v>
      </c>
      <c r="E291" s="21">
        <f>SUMIFS(Einzelbeträge!$D:$D,Einzelbeträge!$C:$C,'Ausgaben 2027'!$C291,Einzelbeträge!$E:$E,'Ausgaben 2027'!E$6)</f>
        <v>0</v>
      </c>
      <c r="F291" s="21">
        <f>SUMIFS(Einzelbeträge!$D:$D,Einzelbeträge!$C:$C,'Ausgaben 2027'!$C291,Einzelbeträge!$E:$E,'Ausgaben 2027'!F$6)</f>
        <v>0</v>
      </c>
      <c r="G291" s="21">
        <f>SUMIFS(Einzelbeträge!$D:$D,Einzelbeträge!$C:$C,'Ausgaben 2027'!$C291,Einzelbeträge!$E:$E,'Ausgaben 2027'!G$6)</f>
        <v>0</v>
      </c>
      <c r="H291" s="21">
        <f>SUMIFS(Einzelbeträge!$D:$D,Einzelbeträge!$C:$C,'Ausgaben 2027'!$C291,Einzelbeträge!$E:$E,'Ausgaben 2027'!H$6)</f>
        <v>0</v>
      </c>
      <c r="I291" s="21">
        <f>SUMIFS(Einzelbeträge!$D:$D,Einzelbeträge!$C:$C,'Ausgaben 2027'!$C291,Einzelbeträge!$E:$E,'Ausgaben 2027'!I$6)</f>
        <v>0</v>
      </c>
      <c r="J291" s="21">
        <f>SUMIFS(Einzelbeträge!$D:$D,Einzelbeträge!$C:$C,'Ausgaben 2027'!$C291,Einzelbeträge!$E:$E,'Ausgaben 2027'!J$6)</f>
        <v>0</v>
      </c>
      <c r="K291" s="21">
        <f>SUMIFS(Einzelbeträge!$D:$D,Einzelbeträge!$C:$C,'Ausgaben 2027'!$C291,Einzelbeträge!$E:$E,'Ausgaben 2027'!K$6)</f>
        <v>0</v>
      </c>
      <c r="L291" s="21">
        <f>SUMIFS(Einzelbeträge!$D:$D,Einzelbeträge!$C:$C,'Ausgaben 2027'!$C291,Einzelbeträge!$E:$E,'Ausgaben 2027'!L$6)</f>
        <v>0</v>
      </c>
      <c r="M291" s="21">
        <f>SUMIFS(Einzelbeträge!$D:$D,Einzelbeträge!$C:$C,'Ausgaben 2027'!$C291,Einzelbeträge!$E:$E,'Ausgaben 2027'!M$6)</f>
        <v>0</v>
      </c>
      <c r="N291" s="35">
        <f>SUMIFS(Einzelbeträge!$D:$D,Einzelbeträge!$C:$C,'Ausgaben 2027'!$C291,Einzelbeträge!$E:$E,'Ausgaben 2027'!N$6)</f>
        <v>0</v>
      </c>
      <c r="O291" s="6"/>
    </row>
    <row r="292" spans="2:15" x14ac:dyDescent="0.35">
      <c r="B292" s="5"/>
      <c r="C292" s="30">
        <f t="shared" si="24"/>
        <v>46648</v>
      </c>
      <c r="D292" s="46">
        <f>SUMIFS(Einzelbeträge!$D:$D,Einzelbeträge!$C:$C,'Ausgaben 2027'!$C292)</f>
        <v>0</v>
      </c>
      <c r="E292" s="21">
        <f>SUMIFS(Einzelbeträge!$D:$D,Einzelbeträge!$C:$C,'Ausgaben 2027'!$C292,Einzelbeträge!$E:$E,'Ausgaben 2027'!E$6)</f>
        <v>0</v>
      </c>
      <c r="F292" s="21">
        <f>SUMIFS(Einzelbeträge!$D:$D,Einzelbeträge!$C:$C,'Ausgaben 2027'!$C292,Einzelbeträge!$E:$E,'Ausgaben 2027'!F$6)</f>
        <v>0</v>
      </c>
      <c r="G292" s="21">
        <f>SUMIFS(Einzelbeträge!$D:$D,Einzelbeträge!$C:$C,'Ausgaben 2027'!$C292,Einzelbeträge!$E:$E,'Ausgaben 2027'!G$6)</f>
        <v>0</v>
      </c>
      <c r="H292" s="21">
        <f>SUMIFS(Einzelbeträge!$D:$D,Einzelbeträge!$C:$C,'Ausgaben 2027'!$C292,Einzelbeträge!$E:$E,'Ausgaben 2027'!H$6)</f>
        <v>0</v>
      </c>
      <c r="I292" s="21">
        <f>SUMIFS(Einzelbeträge!$D:$D,Einzelbeträge!$C:$C,'Ausgaben 2027'!$C292,Einzelbeträge!$E:$E,'Ausgaben 2027'!I$6)</f>
        <v>0</v>
      </c>
      <c r="J292" s="21">
        <f>SUMIFS(Einzelbeträge!$D:$D,Einzelbeträge!$C:$C,'Ausgaben 2027'!$C292,Einzelbeträge!$E:$E,'Ausgaben 2027'!J$6)</f>
        <v>0</v>
      </c>
      <c r="K292" s="21">
        <f>SUMIFS(Einzelbeträge!$D:$D,Einzelbeträge!$C:$C,'Ausgaben 2027'!$C292,Einzelbeträge!$E:$E,'Ausgaben 2027'!K$6)</f>
        <v>0</v>
      </c>
      <c r="L292" s="21">
        <f>SUMIFS(Einzelbeträge!$D:$D,Einzelbeträge!$C:$C,'Ausgaben 2027'!$C292,Einzelbeträge!$E:$E,'Ausgaben 2027'!L$6)</f>
        <v>0</v>
      </c>
      <c r="M292" s="21">
        <f>SUMIFS(Einzelbeträge!$D:$D,Einzelbeträge!$C:$C,'Ausgaben 2027'!$C292,Einzelbeträge!$E:$E,'Ausgaben 2027'!M$6)</f>
        <v>0</v>
      </c>
      <c r="N292" s="35">
        <f>SUMIFS(Einzelbeträge!$D:$D,Einzelbeträge!$C:$C,'Ausgaben 2027'!$C292,Einzelbeträge!$E:$E,'Ausgaben 2027'!N$6)</f>
        <v>0</v>
      </c>
      <c r="O292" s="6"/>
    </row>
    <row r="293" spans="2:15" x14ac:dyDescent="0.35">
      <c r="B293" s="5"/>
      <c r="C293" s="30">
        <f t="shared" si="24"/>
        <v>46649</v>
      </c>
      <c r="D293" s="46">
        <f>SUMIFS(Einzelbeträge!$D:$D,Einzelbeträge!$C:$C,'Ausgaben 2027'!$C293)</f>
        <v>0</v>
      </c>
      <c r="E293" s="21">
        <f>SUMIFS(Einzelbeträge!$D:$D,Einzelbeträge!$C:$C,'Ausgaben 2027'!$C293,Einzelbeträge!$E:$E,'Ausgaben 2027'!E$6)</f>
        <v>0</v>
      </c>
      <c r="F293" s="21">
        <f>SUMIFS(Einzelbeträge!$D:$D,Einzelbeträge!$C:$C,'Ausgaben 2027'!$C293,Einzelbeträge!$E:$E,'Ausgaben 2027'!F$6)</f>
        <v>0</v>
      </c>
      <c r="G293" s="21">
        <f>SUMIFS(Einzelbeträge!$D:$D,Einzelbeträge!$C:$C,'Ausgaben 2027'!$C293,Einzelbeträge!$E:$E,'Ausgaben 2027'!G$6)</f>
        <v>0</v>
      </c>
      <c r="H293" s="21">
        <f>SUMIFS(Einzelbeträge!$D:$D,Einzelbeträge!$C:$C,'Ausgaben 2027'!$C293,Einzelbeträge!$E:$E,'Ausgaben 2027'!H$6)</f>
        <v>0</v>
      </c>
      <c r="I293" s="21">
        <f>SUMIFS(Einzelbeträge!$D:$D,Einzelbeträge!$C:$C,'Ausgaben 2027'!$C293,Einzelbeträge!$E:$E,'Ausgaben 2027'!I$6)</f>
        <v>0</v>
      </c>
      <c r="J293" s="21">
        <f>SUMIFS(Einzelbeträge!$D:$D,Einzelbeträge!$C:$C,'Ausgaben 2027'!$C293,Einzelbeträge!$E:$E,'Ausgaben 2027'!J$6)</f>
        <v>0</v>
      </c>
      <c r="K293" s="21">
        <f>SUMIFS(Einzelbeträge!$D:$D,Einzelbeträge!$C:$C,'Ausgaben 2027'!$C293,Einzelbeträge!$E:$E,'Ausgaben 2027'!K$6)</f>
        <v>0</v>
      </c>
      <c r="L293" s="21">
        <f>SUMIFS(Einzelbeträge!$D:$D,Einzelbeträge!$C:$C,'Ausgaben 2027'!$C293,Einzelbeträge!$E:$E,'Ausgaben 2027'!L$6)</f>
        <v>0</v>
      </c>
      <c r="M293" s="21">
        <f>SUMIFS(Einzelbeträge!$D:$D,Einzelbeträge!$C:$C,'Ausgaben 2027'!$C293,Einzelbeträge!$E:$E,'Ausgaben 2027'!M$6)</f>
        <v>0</v>
      </c>
      <c r="N293" s="35">
        <f>SUMIFS(Einzelbeträge!$D:$D,Einzelbeträge!$C:$C,'Ausgaben 2027'!$C293,Einzelbeträge!$E:$E,'Ausgaben 2027'!N$6)</f>
        <v>0</v>
      </c>
      <c r="O293" s="6"/>
    </row>
    <row r="294" spans="2:15" x14ac:dyDescent="0.35">
      <c r="B294" s="5"/>
      <c r="C294" s="30">
        <f t="shared" si="24"/>
        <v>46650</v>
      </c>
      <c r="D294" s="46">
        <f>SUMIFS(Einzelbeträge!$D:$D,Einzelbeträge!$C:$C,'Ausgaben 2027'!$C294)</f>
        <v>0</v>
      </c>
      <c r="E294" s="21">
        <f>SUMIFS(Einzelbeträge!$D:$D,Einzelbeträge!$C:$C,'Ausgaben 2027'!$C294,Einzelbeträge!$E:$E,'Ausgaben 2027'!E$6)</f>
        <v>0</v>
      </c>
      <c r="F294" s="21">
        <f>SUMIFS(Einzelbeträge!$D:$D,Einzelbeträge!$C:$C,'Ausgaben 2027'!$C294,Einzelbeträge!$E:$E,'Ausgaben 2027'!F$6)</f>
        <v>0</v>
      </c>
      <c r="G294" s="21">
        <f>SUMIFS(Einzelbeträge!$D:$D,Einzelbeträge!$C:$C,'Ausgaben 2027'!$C294,Einzelbeträge!$E:$E,'Ausgaben 2027'!G$6)</f>
        <v>0</v>
      </c>
      <c r="H294" s="21">
        <f>SUMIFS(Einzelbeträge!$D:$D,Einzelbeträge!$C:$C,'Ausgaben 2027'!$C294,Einzelbeträge!$E:$E,'Ausgaben 2027'!H$6)</f>
        <v>0</v>
      </c>
      <c r="I294" s="21">
        <f>SUMIFS(Einzelbeträge!$D:$D,Einzelbeträge!$C:$C,'Ausgaben 2027'!$C294,Einzelbeträge!$E:$E,'Ausgaben 2027'!I$6)</f>
        <v>0</v>
      </c>
      <c r="J294" s="21">
        <f>SUMIFS(Einzelbeträge!$D:$D,Einzelbeträge!$C:$C,'Ausgaben 2027'!$C294,Einzelbeträge!$E:$E,'Ausgaben 2027'!J$6)</f>
        <v>0</v>
      </c>
      <c r="K294" s="21">
        <f>SUMIFS(Einzelbeträge!$D:$D,Einzelbeträge!$C:$C,'Ausgaben 2027'!$C294,Einzelbeträge!$E:$E,'Ausgaben 2027'!K$6)</f>
        <v>0</v>
      </c>
      <c r="L294" s="21">
        <f>SUMIFS(Einzelbeträge!$D:$D,Einzelbeträge!$C:$C,'Ausgaben 2027'!$C294,Einzelbeträge!$E:$E,'Ausgaben 2027'!L$6)</f>
        <v>0</v>
      </c>
      <c r="M294" s="21">
        <f>SUMIFS(Einzelbeträge!$D:$D,Einzelbeträge!$C:$C,'Ausgaben 2027'!$C294,Einzelbeträge!$E:$E,'Ausgaben 2027'!M$6)</f>
        <v>0</v>
      </c>
      <c r="N294" s="35">
        <f>SUMIFS(Einzelbeträge!$D:$D,Einzelbeträge!$C:$C,'Ausgaben 2027'!$C294,Einzelbeträge!$E:$E,'Ausgaben 2027'!N$6)</f>
        <v>0</v>
      </c>
      <c r="O294" s="6"/>
    </row>
    <row r="295" spans="2:15" x14ac:dyDescent="0.35">
      <c r="B295" s="5"/>
      <c r="C295" s="30">
        <f t="shared" si="24"/>
        <v>46651</v>
      </c>
      <c r="D295" s="46">
        <f>SUMIFS(Einzelbeträge!$D:$D,Einzelbeträge!$C:$C,'Ausgaben 2027'!$C295)</f>
        <v>0</v>
      </c>
      <c r="E295" s="21">
        <f>SUMIFS(Einzelbeträge!$D:$D,Einzelbeträge!$C:$C,'Ausgaben 2027'!$C295,Einzelbeträge!$E:$E,'Ausgaben 2027'!E$6)</f>
        <v>0</v>
      </c>
      <c r="F295" s="21">
        <f>SUMIFS(Einzelbeträge!$D:$D,Einzelbeträge!$C:$C,'Ausgaben 2027'!$C295,Einzelbeträge!$E:$E,'Ausgaben 2027'!F$6)</f>
        <v>0</v>
      </c>
      <c r="G295" s="21">
        <f>SUMIFS(Einzelbeträge!$D:$D,Einzelbeträge!$C:$C,'Ausgaben 2027'!$C295,Einzelbeträge!$E:$E,'Ausgaben 2027'!G$6)</f>
        <v>0</v>
      </c>
      <c r="H295" s="21">
        <f>SUMIFS(Einzelbeträge!$D:$D,Einzelbeträge!$C:$C,'Ausgaben 2027'!$C295,Einzelbeträge!$E:$E,'Ausgaben 2027'!H$6)</f>
        <v>0</v>
      </c>
      <c r="I295" s="21">
        <f>SUMIFS(Einzelbeträge!$D:$D,Einzelbeträge!$C:$C,'Ausgaben 2027'!$C295,Einzelbeträge!$E:$E,'Ausgaben 2027'!I$6)</f>
        <v>0</v>
      </c>
      <c r="J295" s="21">
        <f>SUMIFS(Einzelbeträge!$D:$D,Einzelbeträge!$C:$C,'Ausgaben 2027'!$C295,Einzelbeträge!$E:$E,'Ausgaben 2027'!J$6)</f>
        <v>0</v>
      </c>
      <c r="K295" s="21">
        <f>SUMIFS(Einzelbeträge!$D:$D,Einzelbeträge!$C:$C,'Ausgaben 2027'!$C295,Einzelbeträge!$E:$E,'Ausgaben 2027'!K$6)</f>
        <v>0</v>
      </c>
      <c r="L295" s="21">
        <f>SUMIFS(Einzelbeträge!$D:$D,Einzelbeträge!$C:$C,'Ausgaben 2027'!$C295,Einzelbeträge!$E:$E,'Ausgaben 2027'!L$6)</f>
        <v>0</v>
      </c>
      <c r="M295" s="21">
        <f>SUMIFS(Einzelbeträge!$D:$D,Einzelbeträge!$C:$C,'Ausgaben 2027'!$C295,Einzelbeträge!$E:$E,'Ausgaben 2027'!M$6)</f>
        <v>0</v>
      </c>
      <c r="N295" s="35">
        <f>SUMIFS(Einzelbeträge!$D:$D,Einzelbeträge!$C:$C,'Ausgaben 2027'!$C295,Einzelbeträge!$E:$E,'Ausgaben 2027'!N$6)</f>
        <v>0</v>
      </c>
      <c r="O295" s="6"/>
    </row>
    <row r="296" spans="2:15" x14ac:dyDescent="0.35">
      <c r="B296" s="5"/>
      <c r="C296" s="30">
        <f t="shared" si="24"/>
        <v>46652</v>
      </c>
      <c r="D296" s="46">
        <f>SUMIFS(Einzelbeträge!$D:$D,Einzelbeträge!$C:$C,'Ausgaben 2027'!$C296)</f>
        <v>0</v>
      </c>
      <c r="E296" s="21">
        <f>SUMIFS(Einzelbeträge!$D:$D,Einzelbeträge!$C:$C,'Ausgaben 2027'!$C296,Einzelbeträge!$E:$E,'Ausgaben 2027'!E$6)</f>
        <v>0</v>
      </c>
      <c r="F296" s="21">
        <f>SUMIFS(Einzelbeträge!$D:$D,Einzelbeträge!$C:$C,'Ausgaben 2027'!$C296,Einzelbeträge!$E:$E,'Ausgaben 2027'!F$6)</f>
        <v>0</v>
      </c>
      <c r="G296" s="21">
        <f>SUMIFS(Einzelbeträge!$D:$D,Einzelbeträge!$C:$C,'Ausgaben 2027'!$C296,Einzelbeträge!$E:$E,'Ausgaben 2027'!G$6)</f>
        <v>0</v>
      </c>
      <c r="H296" s="21">
        <f>SUMIFS(Einzelbeträge!$D:$D,Einzelbeträge!$C:$C,'Ausgaben 2027'!$C296,Einzelbeträge!$E:$E,'Ausgaben 2027'!H$6)</f>
        <v>0</v>
      </c>
      <c r="I296" s="21">
        <f>SUMIFS(Einzelbeträge!$D:$D,Einzelbeträge!$C:$C,'Ausgaben 2027'!$C296,Einzelbeträge!$E:$E,'Ausgaben 2027'!I$6)</f>
        <v>0</v>
      </c>
      <c r="J296" s="21">
        <f>SUMIFS(Einzelbeträge!$D:$D,Einzelbeträge!$C:$C,'Ausgaben 2027'!$C296,Einzelbeträge!$E:$E,'Ausgaben 2027'!J$6)</f>
        <v>0</v>
      </c>
      <c r="K296" s="21">
        <f>SUMIFS(Einzelbeträge!$D:$D,Einzelbeträge!$C:$C,'Ausgaben 2027'!$C296,Einzelbeträge!$E:$E,'Ausgaben 2027'!K$6)</f>
        <v>0</v>
      </c>
      <c r="L296" s="21">
        <f>SUMIFS(Einzelbeträge!$D:$D,Einzelbeträge!$C:$C,'Ausgaben 2027'!$C296,Einzelbeträge!$E:$E,'Ausgaben 2027'!L$6)</f>
        <v>0</v>
      </c>
      <c r="M296" s="21">
        <f>SUMIFS(Einzelbeträge!$D:$D,Einzelbeträge!$C:$C,'Ausgaben 2027'!$C296,Einzelbeträge!$E:$E,'Ausgaben 2027'!M$6)</f>
        <v>0</v>
      </c>
      <c r="N296" s="35">
        <f>SUMIFS(Einzelbeträge!$D:$D,Einzelbeträge!$C:$C,'Ausgaben 2027'!$C296,Einzelbeträge!$E:$E,'Ausgaben 2027'!N$6)</f>
        <v>0</v>
      </c>
      <c r="O296" s="6"/>
    </row>
    <row r="297" spans="2:15" x14ac:dyDescent="0.35">
      <c r="B297" s="5"/>
      <c r="C297" s="30">
        <f t="shared" si="24"/>
        <v>46653</v>
      </c>
      <c r="D297" s="46">
        <f>SUMIFS(Einzelbeträge!$D:$D,Einzelbeträge!$C:$C,'Ausgaben 2027'!$C297)</f>
        <v>0</v>
      </c>
      <c r="E297" s="21">
        <f>SUMIFS(Einzelbeträge!$D:$D,Einzelbeträge!$C:$C,'Ausgaben 2027'!$C297,Einzelbeträge!$E:$E,'Ausgaben 2027'!E$6)</f>
        <v>0</v>
      </c>
      <c r="F297" s="21">
        <f>SUMIFS(Einzelbeträge!$D:$D,Einzelbeträge!$C:$C,'Ausgaben 2027'!$C297,Einzelbeträge!$E:$E,'Ausgaben 2027'!F$6)</f>
        <v>0</v>
      </c>
      <c r="G297" s="21">
        <f>SUMIFS(Einzelbeträge!$D:$D,Einzelbeträge!$C:$C,'Ausgaben 2027'!$C297,Einzelbeträge!$E:$E,'Ausgaben 2027'!G$6)</f>
        <v>0</v>
      </c>
      <c r="H297" s="21">
        <f>SUMIFS(Einzelbeträge!$D:$D,Einzelbeträge!$C:$C,'Ausgaben 2027'!$C297,Einzelbeträge!$E:$E,'Ausgaben 2027'!H$6)</f>
        <v>0</v>
      </c>
      <c r="I297" s="21">
        <f>SUMIFS(Einzelbeträge!$D:$D,Einzelbeträge!$C:$C,'Ausgaben 2027'!$C297,Einzelbeträge!$E:$E,'Ausgaben 2027'!I$6)</f>
        <v>0</v>
      </c>
      <c r="J297" s="21">
        <f>SUMIFS(Einzelbeträge!$D:$D,Einzelbeträge!$C:$C,'Ausgaben 2027'!$C297,Einzelbeträge!$E:$E,'Ausgaben 2027'!J$6)</f>
        <v>0</v>
      </c>
      <c r="K297" s="21">
        <f>SUMIFS(Einzelbeträge!$D:$D,Einzelbeträge!$C:$C,'Ausgaben 2027'!$C297,Einzelbeträge!$E:$E,'Ausgaben 2027'!K$6)</f>
        <v>0</v>
      </c>
      <c r="L297" s="21">
        <f>SUMIFS(Einzelbeträge!$D:$D,Einzelbeträge!$C:$C,'Ausgaben 2027'!$C297,Einzelbeträge!$E:$E,'Ausgaben 2027'!L$6)</f>
        <v>0</v>
      </c>
      <c r="M297" s="21">
        <f>SUMIFS(Einzelbeträge!$D:$D,Einzelbeträge!$C:$C,'Ausgaben 2027'!$C297,Einzelbeträge!$E:$E,'Ausgaben 2027'!M$6)</f>
        <v>0</v>
      </c>
      <c r="N297" s="35">
        <f>SUMIFS(Einzelbeträge!$D:$D,Einzelbeträge!$C:$C,'Ausgaben 2027'!$C297,Einzelbeträge!$E:$E,'Ausgaben 2027'!N$6)</f>
        <v>0</v>
      </c>
      <c r="O297" s="6"/>
    </row>
    <row r="298" spans="2:15" x14ac:dyDescent="0.35">
      <c r="B298" s="5"/>
      <c r="C298" s="30">
        <f t="shared" si="24"/>
        <v>46654</v>
      </c>
      <c r="D298" s="46">
        <f>SUMIFS(Einzelbeträge!$D:$D,Einzelbeträge!$C:$C,'Ausgaben 2027'!$C298)</f>
        <v>0</v>
      </c>
      <c r="E298" s="21">
        <f>SUMIFS(Einzelbeträge!$D:$D,Einzelbeträge!$C:$C,'Ausgaben 2027'!$C298,Einzelbeträge!$E:$E,'Ausgaben 2027'!E$6)</f>
        <v>0</v>
      </c>
      <c r="F298" s="21">
        <f>SUMIFS(Einzelbeträge!$D:$D,Einzelbeträge!$C:$C,'Ausgaben 2027'!$C298,Einzelbeträge!$E:$E,'Ausgaben 2027'!F$6)</f>
        <v>0</v>
      </c>
      <c r="G298" s="21">
        <f>SUMIFS(Einzelbeträge!$D:$D,Einzelbeträge!$C:$C,'Ausgaben 2027'!$C298,Einzelbeträge!$E:$E,'Ausgaben 2027'!G$6)</f>
        <v>0</v>
      </c>
      <c r="H298" s="21">
        <f>SUMIFS(Einzelbeträge!$D:$D,Einzelbeträge!$C:$C,'Ausgaben 2027'!$C298,Einzelbeträge!$E:$E,'Ausgaben 2027'!H$6)</f>
        <v>0</v>
      </c>
      <c r="I298" s="21">
        <f>SUMIFS(Einzelbeträge!$D:$D,Einzelbeträge!$C:$C,'Ausgaben 2027'!$C298,Einzelbeträge!$E:$E,'Ausgaben 2027'!I$6)</f>
        <v>0</v>
      </c>
      <c r="J298" s="21">
        <f>SUMIFS(Einzelbeträge!$D:$D,Einzelbeträge!$C:$C,'Ausgaben 2027'!$C298,Einzelbeträge!$E:$E,'Ausgaben 2027'!J$6)</f>
        <v>0</v>
      </c>
      <c r="K298" s="21">
        <f>SUMIFS(Einzelbeträge!$D:$D,Einzelbeträge!$C:$C,'Ausgaben 2027'!$C298,Einzelbeträge!$E:$E,'Ausgaben 2027'!K$6)</f>
        <v>0</v>
      </c>
      <c r="L298" s="21">
        <f>SUMIFS(Einzelbeträge!$D:$D,Einzelbeträge!$C:$C,'Ausgaben 2027'!$C298,Einzelbeträge!$E:$E,'Ausgaben 2027'!L$6)</f>
        <v>0</v>
      </c>
      <c r="M298" s="21">
        <f>SUMIFS(Einzelbeträge!$D:$D,Einzelbeträge!$C:$C,'Ausgaben 2027'!$C298,Einzelbeträge!$E:$E,'Ausgaben 2027'!M$6)</f>
        <v>0</v>
      </c>
      <c r="N298" s="35">
        <f>SUMIFS(Einzelbeträge!$D:$D,Einzelbeträge!$C:$C,'Ausgaben 2027'!$C298,Einzelbeträge!$E:$E,'Ausgaben 2027'!N$6)</f>
        <v>0</v>
      </c>
      <c r="O298" s="6"/>
    </row>
    <row r="299" spans="2:15" x14ac:dyDescent="0.35">
      <c r="B299" s="5"/>
      <c r="C299" s="30">
        <f t="shared" si="24"/>
        <v>46655</v>
      </c>
      <c r="D299" s="46">
        <f>SUMIFS(Einzelbeträge!$D:$D,Einzelbeträge!$C:$C,'Ausgaben 2027'!$C299)</f>
        <v>0</v>
      </c>
      <c r="E299" s="21">
        <f>SUMIFS(Einzelbeträge!$D:$D,Einzelbeträge!$C:$C,'Ausgaben 2027'!$C299,Einzelbeträge!$E:$E,'Ausgaben 2027'!E$6)</f>
        <v>0</v>
      </c>
      <c r="F299" s="21">
        <f>SUMIFS(Einzelbeträge!$D:$D,Einzelbeträge!$C:$C,'Ausgaben 2027'!$C299,Einzelbeträge!$E:$E,'Ausgaben 2027'!F$6)</f>
        <v>0</v>
      </c>
      <c r="G299" s="21">
        <f>SUMIFS(Einzelbeträge!$D:$D,Einzelbeträge!$C:$C,'Ausgaben 2027'!$C299,Einzelbeträge!$E:$E,'Ausgaben 2027'!G$6)</f>
        <v>0</v>
      </c>
      <c r="H299" s="21">
        <f>SUMIFS(Einzelbeträge!$D:$D,Einzelbeträge!$C:$C,'Ausgaben 2027'!$C299,Einzelbeträge!$E:$E,'Ausgaben 2027'!H$6)</f>
        <v>0</v>
      </c>
      <c r="I299" s="21">
        <f>SUMIFS(Einzelbeträge!$D:$D,Einzelbeträge!$C:$C,'Ausgaben 2027'!$C299,Einzelbeträge!$E:$E,'Ausgaben 2027'!I$6)</f>
        <v>0</v>
      </c>
      <c r="J299" s="21">
        <f>SUMIFS(Einzelbeträge!$D:$D,Einzelbeträge!$C:$C,'Ausgaben 2027'!$C299,Einzelbeträge!$E:$E,'Ausgaben 2027'!J$6)</f>
        <v>0</v>
      </c>
      <c r="K299" s="21">
        <f>SUMIFS(Einzelbeträge!$D:$D,Einzelbeträge!$C:$C,'Ausgaben 2027'!$C299,Einzelbeträge!$E:$E,'Ausgaben 2027'!K$6)</f>
        <v>0</v>
      </c>
      <c r="L299" s="21">
        <f>SUMIFS(Einzelbeträge!$D:$D,Einzelbeträge!$C:$C,'Ausgaben 2027'!$C299,Einzelbeträge!$E:$E,'Ausgaben 2027'!L$6)</f>
        <v>0</v>
      </c>
      <c r="M299" s="21">
        <f>SUMIFS(Einzelbeträge!$D:$D,Einzelbeträge!$C:$C,'Ausgaben 2027'!$C299,Einzelbeträge!$E:$E,'Ausgaben 2027'!M$6)</f>
        <v>0</v>
      </c>
      <c r="N299" s="35">
        <f>SUMIFS(Einzelbeträge!$D:$D,Einzelbeträge!$C:$C,'Ausgaben 2027'!$C299,Einzelbeträge!$E:$E,'Ausgaben 2027'!N$6)</f>
        <v>0</v>
      </c>
      <c r="O299" s="6"/>
    </row>
    <row r="300" spans="2:15" x14ac:dyDescent="0.35">
      <c r="B300" s="5"/>
      <c r="C300" s="30">
        <f t="shared" si="24"/>
        <v>46656</v>
      </c>
      <c r="D300" s="46">
        <f>SUMIFS(Einzelbeträge!$D:$D,Einzelbeträge!$C:$C,'Ausgaben 2027'!$C300)</f>
        <v>0</v>
      </c>
      <c r="E300" s="21">
        <f>SUMIFS(Einzelbeträge!$D:$D,Einzelbeträge!$C:$C,'Ausgaben 2027'!$C300,Einzelbeträge!$E:$E,'Ausgaben 2027'!E$6)</f>
        <v>0</v>
      </c>
      <c r="F300" s="21">
        <f>SUMIFS(Einzelbeträge!$D:$D,Einzelbeträge!$C:$C,'Ausgaben 2027'!$C300,Einzelbeträge!$E:$E,'Ausgaben 2027'!F$6)</f>
        <v>0</v>
      </c>
      <c r="G300" s="21">
        <f>SUMIFS(Einzelbeträge!$D:$D,Einzelbeträge!$C:$C,'Ausgaben 2027'!$C300,Einzelbeträge!$E:$E,'Ausgaben 2027'!G$6)</f>
        <v>0</v>
      </c>
      <c r="H300" s="21">
        <f>SUMIFS(Einzelbeträge!$D:$D,Einzelbeträge!$C:$C,'Ausgaben 2027'!$C300,Einzelbeträge!$E:$E,'Ausgaben 2027'!H$6)</f>
        <v>0</v>
      </c>
      <c r="I300" s="21">
        <f>SUMIFS(Einzelbeträge!$D:$D,Einzelbeträge!$C:$C,'Ausgaben 2027'!$C300,Einzelbeträge!$E:$E,'Ausgaben 2027'!I$6)</f>
        <v>0</v>
      </c>
      <c r="J300" s="21">
        <f>SUMIFS(Einzelbeträge!$D:$D,Einzelbeträge!$C:$C,'Ausgaben 2027'!$C300,Einzelbeträge!$E:$E,'Ausgaben 2027'!J$6)</f>
        <v>0</v>
      </c>
      <c r="K300" s="21">
        <f>SUMIFS(Einzelbeträge!$D:$D,Einzelbeträge!$C:$C,'Ausgaben 2027'!$C300,Einzelbeträge!$E:$E,'Ausgaben 2027'!K$6)</f>
        <v>0</v>
      </c>
      <c r="L300" s="21">
        <f>SUMIFS(Einzelbeträge!$D:$D,Einzelbeträge!$C:$C,'Ausgaben 2027'!$C300,Einzelbeträge!$E:$E,'Ausgaben 2027'!L$6)</f>
        <v>0</v>
      </c>
      <c r="M300" s="21">
        <f>SUMIFS(Einzelbeträge!$D:$D,Einzelbeträge!$C:$C,'Ausgaben 2027'!$C300,Einzelbeträge!$E:$E,'Ausgaben 2027'!M$6)</f>
        <v>0</v>
      </c>
      <c r="N300" s="35">
        <f>SUMIFS(Einzelbeträge!$D:$D,Einzelbeträge!$C:$C,'Ausgaben 2027'!$C300,Einzelbeträge!$E:$E,'Ausgaben 2027'!N$6)</f>
        <v>0</v>
      </c>
      <c r="O300" s="6"/>
    </row>
    <row r="301" spans="2:15" x14ac:dyDescent="0.35">
      <c r="B301" s="5"/>
      <c r="C301" s="30">
        <f t="shared" si="24"/>
        <v>46657</v>
      </c>
      <c r="D301" s="46">
        <f>SUMIFS(Einzelbeträge!$D:$D,Einzelbeträge!$C:$C,'Ausgaben 2027'!$C301)</f>
        <v>0</v>
      </c>
      <c r="E301" s="21">
        <f>SUMIFS(Einzelbeträge!$D:$D,Einzelbeträge!$C:$C,'Ausgaben 2027'!$C301,Einzelbeträge!$E:$E,'Ausgaben 2027'!E$6)</f>
        <v>0</v>
      </c>
      <c r="F301" s="21">
        <f>SUMIFS(Einzelbeträge!$D:$D,Einzelbeträge!$C:$C,'Ausgaben 2027'!$C301,Einzelbeträge!$E:$E,'Ausgaben 2027'!F$6)</f>
        <v>0</v>
      </c>
      <c r="G301" s="21">
        <f>SUMIFS(Einzelbeträge!$D:$D,Einzelbeträge!$C:$C,'Ausgaben 2027'!$C301,Einzelbeträge!$E:$E,'Ausgaben 2027'!G$6)</f>
        <v>0</v>
      </c>
      <c r="H301" s="21">
        <f>SUMIFS(Einzelbeträge!$D:$D,Einzelbeträge!$C:$C,'Ausgaben 2027'!$C301,Einzelbeträge!$E:$E,'Ausgaben 2027'!H$6)</f>
        <v>0</v>
      </c>
      <c r="I301" s="21">
        <f>SUMIFS(Einzelbeträge!$D:$D,Einzelbeträge!$C:$C,'Ausgaben 2027'!$C301,Einzelbeträge!$E:$E,'Ausgaben 2027'!I$6)</f>
        <v>0</v>
      </c>
      <c r="J301" s="21">
        <f>SUMIFS(Einzelbeträge!$D:$D,Einzelbeträge!$C:$C,'Ausgaben 2027'!$C301,Einzelbeträge!$E:$E,'Ausgaben 2027'!J$6)</f>
        <v>0</v>
      </c>
      <c r="K301" s="21">
        <f>SUMIFS(Einzelbeträge!$D:$D,Einzelbeträge!$C:$C,'Ausgaben 2027'!$C301,Einzelbeträge!$E:$E,'Ausgaben 2027'!K$6)</f>
        <v>0</v>
      </c>
      <c r="L301" s="21">
        <f>SUMIFS(Einzelbeträge!$D:$D,Einzelbeträge!$C:$C,'Ausgaben 2027'!$C301,Einzelbeträge!$E:$E,'Ausgaben 2027'!L$6)</f>
        <v>0</v>
      </c>
      <c r="M301" s="21">
        <f>SUMIFS(Einzelbeträge!$D:$D,Einzelbeträge!$C:$C,'Ausgaben 2027'!$C301,Einzelbeträge!$E:$E,'Ausgaben 2027'!M$6)</f>
        <v>0</v>
      </c>
      <c r="N301" s="35">
        <f>SUMIFS(Einzelbeträge!$D:$D,Einzelbeträge!$C:$C,'Ausgaben 2027'!$C301,Einzelbeträge!$E:$E,'Ausgaben 2027'!N$6)</f>
        <v>0</v>
      </c>
      <c r="O301" s="6"/>
    </row>
    <row r="302" spans="2:15" x14ac:dyDescent="0.35">
      <c r="B302" s="5"/>
      <c r="C302" s="30">
        <f t="shared" si="24"/>
        <v>46658</v>
      </c>
      <c r="D302" s="46">
        <f>SUMIFS(Einzelbeträge!$D:$D,Einzelbeträge!$C:$C,'Ausgaben 2027'!$C302)</f>
        <v>0</v>
      </c>
      <c r="E302" s="21">
        <f>SUMIFS(Einzelbeträge!$D:$D,Einzelbeträge!$C:$C,'Ausgaben 2027'!$C302,Einzelbeträge!$E:$E,'Ausgaben 2027'!E$6)</f>
        <v>0</v>
      </c>
      <c r="F302" s="21">
        <f>SUMIFS(Einzelbeträge!$D:$D,Einzelbeträge!$C:$C,'Ausgaben 2027'!$C302,Einzelbeträge!$E:$E,'Ausgaben 2027'!F$6)</f>
        <v>0</v>
      </c>
      <c r="G302" s="21">
        <f>SUMIFS(Einzelbeträge!$D:$D,Einzelbeträge!$C:$C,'Ausgaben 2027'!$C302,Einzelbeträge!$E:$E,'Ausgaben 2027'!G$6)</f>
        <v>0</v>
      </c>
      <c r="H302" s="21">
        <f>SUMIFS(Einzelbeträge!$D:$D,Einzelbeträge!$C:$C,'Ausgaben 2027'!$C302,Einzelbeträge!$E:$E,'Ausgaben 2027'!H$6)</f>
        <v>0</v>
      </c>
      <c r="I302" s="21">
        <f>SUMIFS(Einzelbeträge!$D:$D,Einzelbeträge!$C:$C,'Ausgaben 2027'!$C302,Einzelbeträge!$E:$E,'Ausgaben 2027'!I$6)</f>
        <v>0</v>
      </c>
      <c r="J302" s="21">
        <f>SUMIFS(Einzelbeträge!$D:$D,Einzelbeträge!$C:$C,'Ausgaben 2027'!$C302,Einzelbeträge!$E:$E,'Ausgaben 2027'!J$6)</f>
        <v>0</v>
      </c>
      <c r="K302" s="21">
        <f>SUMIFS(Einzelbeträge!$D:$D,Einzelbeträge!$C:$C,'Ausgaben 2027'!$C302,Einzelbeträge!$E:$E,'Ausgaben 2027'!K$6)</f>
        <v>0</v>
      </c>
      <c r="L302" s="21">
        <f>SUMIFS(Einzelbeträge!$D:$D,Einzelbeträge!$C:$C,'Ausgaben 2027'!$C302,Einzelbeträge!$E:$E,'Ausgaben 2027'!L$6)</f>
        <v>0</v>
      </c>
      <c r="M302" s="21">
        <f>SUMIFS(Einzelbeträge!$D:$D,Einzelbeträge!$C:$C,'Ausgaben 2027'!$C302,Einzelbeträge!$E:$E,'Ausgaben 2027'!M$6)</f>
        <v>0</v>
      </c>
      <c r="N302" s="35">
        <f>SUMIFS(Einzelbeträge!$D:$D,Einzelbeträge!$C:$C,'Ausgaben 2027'!$C302,Einzelbeträge!$E:$E,'Ausgaben 2027'!N$6)</f>
        <v>0</v>
      </c>
      <c r="O302" s="6"/>
    </row>
    <row r="303" spans="2:15" x14ac:dyDescent="0.35">
      <c r="B303" s="5"/>
      <c r="C303" s="30">
        <f t="shared" si="24"/>
        <v>46659</v>
      </c>
      <c r="D303" s="46">
        <f>SUMIFS(Einzelbeträge!$D:$D,Einzelbeträge!$C:$C,'Ausgaben 2027'!$C303)</f>
        <v>0</v>
      </c>
      <c r="E303" s="21">
        <f>SUMIFS(Einzelbeträge!$D:$D,Einzelbeträge!$C:$C,'Ausgaben 2027'!$C303,Einzelbeträge!$E:$E,'Ausgaben 2027'!E$6)</f>
        <v>0</v>
      </c>
      <c r="F303" s="21">
        <f>SUMIFS(Einzelbeträge!$D:$D,Einzelbeträge!$C:$C,'Ausgaben 2027'!$C303,Einzelbeträge!$E:$E,'Ausgaben 2027'!F$6)</f>
        <v>0</v>
      </c>
      <c r="G303" s="21">
        <f>SUMIFS(Einzelbeträge!$D:$D,Einzelbeträge!$C:$C,'Ausgaben 2027'!$C303,Einzelbeträge!$E:$E,'Ausgaben 2027'!G$6)</f>
        <v>0</v>
      </c>
      <c r="H303" s="21">
        <f>SUMIFS(Einzelbeträge!$D:$D,Einzelbeträge!$C:$C,'Ausgaben 2027'!$C303,Einzelbeträge!$E:$E,'Ausgaben 2027'!H$6)</f>
        <v>0</v>
      </c>
      <c r="I303" s="21">
        <f>SUMIFS(Einzelbeträge!$D:$D,Einzelbeträge!$C:$C,'Ausgaben 2027'!$C303,Einzelbeträge!$E:$E,'Ausgaben 2027'!I$6)</f>
        <v>0</v>
      </c>
      <c r="J303" s="21">
        <f>SUMIFS(Einzelbeträge!$D:$D,Einzelbeträge!$C:$C,'Ausgaben 2027'!$C303,Einzelbeträge!$E:$E,'Ausgaben 2027'!J$6)</f>
        <v>0</v>
      </c>
      <c r="K303" s="21">
        <f>SUMIFS(Einzelbeträge!$D:$D,Einzelbeträge!$C:$C,'Ausgaben 2027'!$C303,Einzelbeträge!$E:$E,'Ausgaben 2027'!K$6)</f>
        <v>0</v>
      </c>
      <c r="L303" s="21">
        <f>SUMIFS(Einzelbeträge!$D:$D,Einzelbeträge!$C:$C,'Ausgaben 2027'!$C303,Einzelbeträge!$E:$E,'Ausgaben 2027'!L$6)</f>
        <v>0</v>
      </c>
      <c r="M303" s="21">
        <f>SUMIFS(Einzelbeträge!$D:$D,Einzelbeträge!$C:$C,'Ausgaben 2027'!$C303,Einzelbeträge!$E:$E,'Ausgaben 2027'!M$6)</f>
        <v>0</v>
      </c>
      <c r="N303" s="35">
        <f>SUMIFS(Einzelbeträge!$D:$D,Einzelbeträge!$C:$C,'Ausgaben 2027'!$C303,Einzelbeträge!$E:$E,'Ausgaben 2027'!N$6)</f>
        <v>0</v>
      </c>
      <c r="O303" s="6"/>
    </row>
    <row r="304" spans="2:15" x14ac:dyDescent="0.35">
      <c r="B304" s="5"/>
      <c r="C304" s="31">
        <f t="shared" si="24"/>
        <v>46660</v>
      </c>
      <c r="D304" s="47">
        <f>SUMIFS(Einzelbeträge!$D:$D,Einzelbeträge!$C:$C,'Ausgaben 2027'!$C304)</f>
        <v>0</v>
      </c>
      <c r="E304" s="37">
        <f>SUMIFS(Einzelbeträge!$D:$D,Einzelbeträge!$C:$C,'Ausgaben 2027'!$C304,Einzelbeträge!$E:$E,'Ausgaben 2027'!E$6)</f>
        <v>0</v>
      </c>
      <c r="F304" s="37">
        <f>SUMIFS(Einzelbeträge!$D:$D,Einzelbeträge!$C:$C,'Ausgaben 2027'!$C304,Einzelbeträge!$E:$E,'Ausgaben 2027'!F$6)</f>
        <v>0</v>
      </c>
      <c r="G304" s="37">
        <f>SUMIFS(Einzelbeträge!$D:$D,Einzelbeträge!$C:$C,'Ausgaben 2027'!$C304,Einzelbeträge!$E:$E,'Ausgaben 2027'!G$6)</f>
        <v>0</v>
      </c>
      <c r="H304" s="37">
        <f>SUMIFS(Einzelbeträge!$D:$D,Einzelbeträge!$C:$C,'Ausgaben 2027'!$C304,Einzelbeträge!$E:$E,'Ausgaben 2027'!H$6)</f>
        <v>0</v>
      </c>
      <c r="I304" s="37">
        <f>SUMIFS(Einzelbeträge!$D:$D,Einzelbeträge!$C:$C,'Ausgaben 2027'!$C304,Einzelbeträge!$E:$E,'Ausgaben 2027'!I$6)</f>
        <v>0</v>
      </c>
      <c r="J304" s="37">
        <f>SUMIFS(Einzelbeträge!$D:$D,Einzelbeträge!$C:$C,'Ausgaben 2027'!$C304,Einzelbeträge!$E:$E,'Ausgaben 2027'!J$6)</f>
        <v>0</v>
      </c>
      <c r="K304" s="37">
        <f>SUMIFS(Einzelbeträge!$D:$D,Einzelbeträge!$C:$C,'Ausgaben 2027'!$C304,Einzelbeträge!$E:$E,'Ausgaben 2027'!K$6)</f>
        <v>0</v>
      </c>
      <c r="L304" s="37">
        <f>SUMIFS(Einzelbeträge!$D:$D,Einzelbeträge!$C:$C,'Ausgaben 2027'!$C304,Einzelbeträge!$E:$E,'Ausgaben 2027'!L$6)</f>
        <v>0</v>
      </c>
      <c r="M304" s="37">
        <f>SUMIFS(Einzelbeträge!$D:$D,Einzelbeträge!$C:$C,'Ausgaben 2027'!$C304,Einzelbeträge!$E:$E,'Ausgaben 2027'!M$6)</f>
        <v>0</v>
      </c>
      <c r="N304" s="38">
        <f>SUMIFS(Einzelbeträge!$D:$D,Einzelbeträge!$C:$C,'Ausgaben 2027'!$C304,Einzelbeträge!$E:$E,'Ausgaben 2027'!N$6)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46661</v>
      </c>
      <c r="D308" s="45">
        <f>SUMIFS(Einzelbeträge!$D:$D,Einzelbeträge!$C:$C,'Ausgaben 2027'!$C308)</f>
        <v>0</v>
      </c>
      <c r="E308" s="32">
        <f>SUMIFS(Einzelbeträge!$D:$D,Einzelbeträge!$C:$C,'Ausgaben 2027'!$C308,Einzelbeträge!$E:$E,'Ausgaben 2027'!E$6)</f>
        <v>0</v>
      </c>
      <c r="F308" s="32">
        <f>SUMIFS(Einzelbeträge!$D:$D,Einzelbeträge!$C:$C,'Ausgaben 2027'!$C308,Einzelbeträge!$E:$E,'Ausgaben 2027'!F$6)</f>
        <v>0</v>
      </c>
      <c r="G308" s="32">
        <f>SUMIFS(Einzelbeträge!$D:$D,Einzelbeträge!$C:$C,'Ausgaben 2027'!$C308,Einzelbeträge!$E:$E,'Ausgaben 2027'!G$6)</f>
        <v>0</v>
      </c>
      <c r="H308" s="32">
        <f>SUMIFS(Einzelbeträge!$D:$D,Einzelbeträge!$C:$C,'Ausgaben 2027'!$C308,Einzelbeträge!$E:$E,'Ausgaben 2027'!H$6)</f>
        <v>0</v>
      </c>
      <c r="I308" s="32">
        <f>SUMIFS(Einzelbeträge!$D:$D,Einzelbeträge!$C:$C,'Ausgaben 2027'!$C308,Einzelbeträge!$E:$E,'Ausgaben 2027'!I$6)</f>
        <v>0</v>
      </c>
      <c r="J308" s="32">
        <f>SUMIFS(Einzelbeträge!$D:$D,Einzelbeträge!$C:$C,'Ausgaben 2027'!$C308,Einzelbeträge!$E:$E,'Ausgaben 2027'!J$6)</f>
        <v>0</v>
      </c>
      <c r="K308" s="32">
        <f>SUMIFS(Einzelbeträge!$D:$D,Einzelbeträge!$C:$C,'Ausgaben 2027'!$C308,Einzelbeträge!$E:$E,'Ausgaben 2027'!K$6)</f>
        <v>0</v>
      </c>
      <c r="L308" s="32">
        <f>SUMIFS(Einzelbeträge!$D:$D,Einzelbeträge!$C:$C,'Ausgaben 2027'!$C308,Einzelbeträge!$E:$E,'Ausgaben 2027'!L$6)</f>
        <v>0</v>
      </c>
      <c r="M308" s="32">
        <f>SUMIFS(Einzelbeträge!$D:$D,Einzelbeträge!$C:$C,'Ausgaben 2027'!$C308,Einzelbeträge!$E:$E,'Ausgaben 2027'!M$6)</f>
        <v>0</v>
      </c>
      <c r="N308" s="33">
        <f>SUMIFS(Einzelbeträge!$D:$D,Einzelbeträge!$C:$C,'Ausgaben 2027'!$C308,Einzelbeträge!$E:$E,'Ausgaben 2027'!N$6)</f>
        <v>0</v>
      </c>
      <c r="O308" s="6"/>
    </row>
    <row r="309" spans="2:15" x14ac:dyDescent="0.35">
      <c r="B309" s="5"/>
      <c r="C309" s="40">
        <f>C308+1</f>
        <v>46662</v>
      </c>
      <c r="D309" s="46">
        <f>SUMIFS(Einzelbeträge!$D:$D,Einzelbeträge!$C:$C,'Ausgaben 2027'!$C309)</f>
        <v>0</v>
      </c>
      <c r="E309" s="21">
        <f>SUMIFS(Einzelbeträge!$D:$D,Einzelbeträge!$C:$C,'Ausgaben 2027'!$C309,Einzelbeträge!$E:$E,'Ausgaben 2027'!E$6)</f>
        <v>0</v>
      </c>
      <c r="F309" s="21">
        <f>SUMIFS(Einzelbeträge!$D:$D,Einzelbeträge!$C:$C,'Ausgaben 2027'!$C309,Einzelbeträge!$E:$E,'Ausgaben 2027'!F$6)</f>
        <v>0</v>
      </c>
      <c r="G309" s="21">
        <f>SUMIFS(Einzelbeträge!$D:$D,Einzelbeträge!$C:$C,'Ausgaben 2027'!$C309,Einzelbeträge!$E:$E,'Ausgaben 2027'!G$6)</f>
        <v>0</v>
      </c>
      <c r="H309" s="21">
        <f>SUMIFS(Einzelbeträge!$D:$D,Einzelbeträge!$C:$C,'Ausgaben 2027'!$C309,Einzelbeträge!$E:$E,'Ausgaben 2027'!H$6)</f>
        <v>0</v>
      </c>
      <c r="I309" s="21">
        <f>SUMIFS(Einzelbeträge!$D:$D,Einzelbeträge!$C:$C,'Ausgaben 2027'!$C309,Einzelbeträge!$E:$E,'Ausgaben 2027'!I$6)</f>
        <v>0</v>
      </c>
      <c r="J309" s="21">
        <f>SUMIFS(Einzelbeträge!$D:$D,Einzelbeträge!$C:$C,'Ausgaben 2027'!$C309,Einzelbeträge!$E:$E,'Ausgaben 2027'!J$6)</f>
        <v>0</v>
      </c>
      <c r="K309" s="21">
        <f>SUMIFS(Einzelbeträge!$D:$D,Einzelbeträge!$C:$C,'Ausgaben 2027'!$C309,Einzelbeträge!$E:$E,'Ausgaben 2027'!K$6)</f>
        <v>0</v>
      </c>
      <c r="L309" s="21">
        <f>SUMIFS(Einzelbeträge!$D:$D,Einzelbeträge!$C:$C,'Ausgaben 2027'!$C309,Einzelbeträge!$E:$E,'Ausgaben 2027'!L$6)</f>
        <v>0</v>
      </c>
      <c r="M309" s="21">
        <f>SUMIFS(Einzelbeträge!$D:$D,Einzelbeträge!$C:$C,'Ausgaben 2027'!$C309,Einzelbeträge!$E:$E,'Ausgaben 2027'!M$6)</f>
        <v>0</v>
      </c>
      <c r="N309" s="35">
        <f>SUMIFS(Einzelbeträge!$D:$D,Einzelbeträge!$C:$C,'Ausgaben 2027'!$C309,Einzelbeträge!$E:$E,'Ausgaben 2027'!N$6)</f>
        <v>0</v>
      </c>
      <c r="O309" s="6"/>
    </row>
    <row r="310" spans="2:15" x14ac:dyDescent="0.35">
      <c r="B310" s="5"/>
      <c r="C310" s="40">
        <f t="shared" ref="C310:C338" si="25">C309+1</f>
        <v>46663</v>
      </c>
      <c r="D310" s="46">
        <f>SUMIFS(Einzelbeträge!$D:$D,Einzelbeträge!$C:$C,'Ausgaben 2027'!$C310)</f>
        <v>0</v>
      </c>
      <c r="E310" s="21">
        <f>SUMIFS(Einzelbeträge!$D:$D,Einzelbeträge!$C:$C,'Ausgaben 2027'!$C310,Einzelbeträge!$E:$E,'Ausgaben 2027'!E$6)</f>
        <v>0</v>
      </c>
      <c r="F310" s="21">
        <f>SUMIFS(Einzelbeträge!$D:$D,Einzelbeträge!$C:$C,'Ausgaben 2027'!$C310,Einzelbeträge!$E:$E,'Ausgaben 2027'!F$6)</f>
        <v>0</v>
      </c>
      <c r="G310" s="21">
        <f>SUMIFS(Einzelbeträge!$D:$D,Einzelbeträge!$C:$C,'Ausgaben 2027'!$C310,Einzelbeträge!$E:$E,'Ausgaben 2027'!G$6)</f>
        <v>0</v>
      </c>
      <c r="H310" s="21">
        <f>SUMIFS(Einzelbeträge!$D:$D,Einzelbeträge!$C:$C,'Ausgaben 2027'!$C310,Einzelbeträge!$E:$E,'Ausgaben 2027'!H$6)</f>
        <v>0</v>
      </c>
      <c r="I310" s="21">
        <f>SUMIFS(Einzelbeträge!$D:$D,Einzelbeträge!$C:$C,'Ausgaben 2027'!$C310,Einzelbeträge!$E:$E,'Ausgaben 2027'!I$6)</f>
        <v>0</v>
      </c>
      <c r="J310" s="21">
        <f>SUMIFS(Einzelbeträge!$D:$D,Einzelbeträge!$C:$C,'Ausgaben 2027'!$C310,Einzelbeträge!$E:$E,'Ausgaben 2027'!J$6)</f>
        <v>0</v>
      </c>
      <c r="K310" s="21">
        <f>SUMIFS(Einzelbeträge!$D:$D,Einzelbeträge!$C:$C,'Ausgaben 2027'!$C310,Einzelbeträge!$E:$E,'Ausgaben 2027'!K$6)</f>
        <v>0</v>
      </c>
      <c r="L310" s="21">
        <f>SUMIFS(Einzelbeträge!$D:$D,Einzelbeträge!$C:$C,'Ausgaben 2027'!$C310,Einzelbeträge!$E:$E,'Ausgaben 2027'!L$6)</f>
        <v>0</v>
      </c>
      <c r="M310" s="21">
        <f>SUMIFS(Einzelbeträge!$D:$D,Einzelbeträge!$C:$C,'Ausgaben 2027'!$C310,Einzelbeträge!$E:$E,'Ausgaben 2027'!M$6)</f>
        <v>0</v>
      </c>
      <c r="N310" s="35">
        <f>SUMIFS(Einzelbeträge!$D:$D,Einzelbeträge!$C:$C,'Ausgaben 2027'!$C310,Einzelbeträge!$E:$E,'Ausgaben 2027'!N$6)</f>
        <v>0</v>
      </c>
      <c r="O310" s="6"/>
    </row>
    <row r="311" spans="2:15" x14ac:dyDescent="0.35">
      <c r="B311" s="5"/>
      <c r="C311" s="40">
        <f t="shared" si="25"/>
        <v>46664</v>
      </c>
      <c r="D311" s="46">
        <f>SUMIFS(Einzelbeträge!$D:$D,Einzelbeträge!$C:$C,'Ausgaben 2027'!$C311)</f>
        <v>0</v>
      </c>
      <c r="E311" s="21">
        <f>SUMIFS(Einzelbeträge!$D:$D,Einzelbeträge!$C:$C,'Ausgaben 2027'!$C311,Einzelbeträge!$E:$E,'Ausgaben 2027'!E$6)</f>
        <v>0</v>
      </c>
      <c r="F311" s="21">
        <f>SUMIFS(Einzelbeträge!$D:$D,Einzelbeträge!$C:$C,'Ausgaben 2027'!$C311,Einzelbeträge!$E:$E,'Ausgaben 2027'!F$6)</f>
        <v>0</v>
      </c>
      <c r="G311" s="21">
        <f>SUMIFS(Einzelbeträge!$D:$D,Einzelbeträge!$C:$C,'Ausgaben 2027'!$C311,Einzelbeträge!$E:$E,'Ausgaben 2027'!G$6)</f>
        <v>0</v>
      </c>
      <c r="H311" s="21">
        <f>SUMIFS(Einzelbeträge!$D:$D,Einzelbeträge!$C:$C,'Ausgaben 2027'!$C311,Einzelbeträge!$E:$E,'Ausgaben 2027'!H$6)</f>
        <v>0</v>
      </c>
      <c r="I311" s="21">
        <f>SUMIFS(Einzelbeträge!$D:$D,Einzelbeträge!$C:$C,'Ausgaben 2027'!$C311,Einzelbeträge!$E:$E,'Ausgaben 2027'!I$6)</f>
        <v>0</v>
      </c>
      <c r="J311" s="21">
        <f>SUMIFS(Einzelbeträge!$D:$D,Einzelbeträge!$C:$C,'Ausgaben 2027'!$C311,Einzelbeträge!$E:$E,'Ausgaben 2027'!J$6)</f>
        <v>0</v>
      </c>
      <c r="K311" s="21">
        <f>SUMIFS(Einzelbeträge!$D:$D,Einzelbeträge!$C:$C,'Ausgaben 2027'!$C311,Einzelbeträge!$E:$E,'Ausgaben 2027'!K$6)</f>
        <v>0</v>
      </c>
      <c r="L311" s="21">
        <f>SUMIFS(Einzelbeträge!$D:$D,Einzelbeträge!$C:$C,'Ausgaben 2027'!$C311,Einzelbeträge!$E:$E,'Ausgaben 2027'!L$6)</f>
        <v>0</v>
      </c>
      <c r="M311" s="21">
        <f>SUMIFS(Einzelbeträge!$D:$D,Einzelbeträge!$C:$C,'Ausgaben 2027'!$C311,Einzelbeträge!$E:$E,'Ausgaben 2027'!M$6)</f>
        <v>0</v>
      </c>
      <c r="N311" s="35">
        <f>SUMIFS(Einzelbeträge!$D:$D,Einzelbeträge!$C:$C,'Ausgaben 2027'!$C311,Einzelbeträge!$E:$E,'Ausgaben 2027'!N$6)</f>
        <v>0</v>
      </c>
      <c r="O311" s="6"/>
    </row>
    <row r="312" spans="2:15" x14ac:dyDescent="0.35">
      <c r="B312" s="5"/>
      <c r="C312" s="40">
        <f t="shared" si="25"/>
        <v>46665</v>
      </c>
      <c r="D312" s="46">
        <f>SUMIFS(Einzelbeträge!$D:$D,Einzelbeträge!$C:$C,'Ausgaben 2027'!$C312)</f>
        <v>0</v>
      </c>
      <c r="E312" s="21">
        <f>SUMIFS(Einzelbeträge!$D:$D,Einzelbeträge!$C:$C,'Ausgaben 2027'!$C312,Einzelbeträge!$E:$E,'Ausgaben 2027'!E$6)</f>
        <v>0</v>
      </c>
      <c r="F312" s="21">
        <f>SUMIFS(Einzelbeträge!$D:$D,Einzelbeträge!$C:$C,'Ausgaben 2027'!$C312,Einzelbeträge!$E:$E,'Ausgaben 2027'!F$6)</f>
        <v>0</v>
      </c>
      <c r="G312" s="21">
        <f>SUMIFS(Einzelbeträge!$D:$D,Einzelbeträge!$C:$C,'Ausgaben 2027'!$C312,Einzelbeträge!$E:$E,'Ausgaben 2027'!G$6)</f>
        <v>0</v>
      </c>
      <c r="H312" s="21">
        <f>SUMIFS(Einzelbeträge!$D:$D,Einzelbeträge!$C:$C,'Ausgaben 2027'!$C312,Einzelbeträge!$E:$E,'Ausgaben 2027'!H$6)</f>
        <v>0</v>
      </c>
      <c r="I312" s="21">
        <f>SUMIFS(Einzelbeträge!$D:$D,Einzelbeträge!$C:$C,'Ausgaben 2027'!$C312,Einzelbeträge!$E:$E,'Ausgaben 2027'!I$6)</f>
        <v>0</v>
      </c>
      <c r="J312" s="21">
        <f>SUMIFS(Einzelbeträge!$D:$D,Einzelbeträge!$C:$C,'Ausgaben 2027'!$C312,Einzelbeträge!$E:$E,'Ausgaben 2027'!J$6)</f>
        <v>0</v>
      </c>
      <c r="K312" s="21">
        <f>SUMIFS(Einzelbeträge!$D:$D,Einzelbeträge!$C:$C,'Ausgaben 2027'!$C312,Einzelbeträge!$E:$E,'Ausgaben 2027'!K$6)</f>
        <v>0</v>
      </c>
      <c r="L312" s="21">
        <f>SUMIFS(Einzelbeträge!$D:$D,Einzelbeträge!$C:$C,'Ausgaben 2027'!$C312,Einzelbeträge!$E:$E,'Ausgaben 2027'!L$6)</f>
        <v>0</v>
      </c>
      <c r="M312" s="21">
        <f>SUMIFS(Einzelbeträge!$D:$D,Einzelbeträge!$C:$C,'Ausgaben 2027'!$C312,Einzelbeträge!$E:$E,'Ausgaben 2027'!M$6)</f>
        <v>0</v>
      </c>
      <c r="N312" s="35">
        <f>SUMIFS(Einzelbeträge!$D:$D,Einzelbeträge!$C:$C,'Ausgaben 2027'!$C312,Einzelbeträge!$E:$E,'Ausgaben 2027'!N$6)</f>
        <v>0</v>
      </c>
      <c r="O312" s="6"/>
    </row>
    <row r="313" spans="2:15" x14ac:dyDescent="0.35">
      <c r="B313" s="5"/>
      <c r="C313" s="40">
        <f t="shared" si="25"/>
        <v>46666</v>
      </c>
      <c r="D313" s="46">
        <f>SUMIFS(Einzelbeträge!$D:$D,Einzelbeträge!$C:$C,'Ausgaben 2027'!$C313)</f>
        <v>0</v>
      </c>
      <c r="E313" s="21">
        <f>SUMIFS(Einzelbeträge!$D:$D,Einzelbeträge!$C:$C,'Ausgaben 2027'!$C313,Einzelbeträge!$E:$E,'Ausgaben 2027'!E$6)</f>
        <v>0</v>
      </c>
      <c r="F313" s="21">
        <f>SUMIFS(Einzelbeträge!$D:$D,Einzelbeträge!$C:$C,'Ausgaben 2027'!$C313,Einzelbeträge!$E:$E,'Ausgaben 2027'!F$6)</f>
        <v>0</v>
      </c>
      <c r="G313" s="21">
        <f>SUMIFS(Einzelbeträge!$D:$D,Einzelbeträge!$C:$C,'Ausgaben 2027'!$C313,Einzelbeträge!$E:$E,'Ausgaben 2027'!G$6)</f>
        <v>0</v>
      </c>
      <c r="H313" s="21">
        <f>SUMIFS(Einzelbeträge!$D:$D,Einzelbeträge!$C:$C,'Ausgaben 2027'!$C313,Einzelbeträge!$E:$E,'Ausgaben 2027'!H$6)</f>
        <v>0</v>
      </c>
      <c r="I313" s="21">
        <f>SUMIFS(Einzelbeträge!$D:$D,Einzelbeträge!$C:$C,'Ausgaben 2027'!$C313,Einzelbeträge!$E:$E,'Ausgaben 2027'!I$6)</f>
        <v>0</v>
      </c>
      <c r="J313" s="21">
        <f>SUMIFS(Einzelbeträge!$D:$D,Einzelbeträge!$C:$C,'Ausgaben 2027'!$C313,Einzelbeträge!$E:$E,'Ausgaben 2027'!J$6)</f>
        <v>0</v>
      </c>
      <c r="K313" s="21">
        <f>SUMIFS(Einzelbeträge!$D:$D,Einzelbeträge!$C:$C,'Ausgaben 2027'!$C313,Einzelbeträge!$E:$E,'Ausgaben 2027'!K$6)</f>
        <v>0</v>
      </c>
      <c r="L313" s="21">
        <f>SUMIFS(Einzelbeträge!$D:$D,Einzelbeträge!$C:$C,'Ausgaben 2027'!$C313,Einzelbeträge!$E:$E,'Ausgaben 2027'!L$6)</f>
        <v>0</v>
      </c>
      <c r="M313" s="21">
        <f>SUMIFS(Einzelbeträge!$D:$D,Einzelbeträge!$C:$C,'Ausgaben 2027'!$C313,Einzelbeträge!$E:$E,'Ausgaben 2027'!M$6)</f>
        <v>0</v>
      </c>
      <c r="N313" s="35">
        <f>SUMIFS(Einzelbeträge!$D:$D,Einzelbeträge!$C:$C,'Ausgaben 2027'!$C313,Einzelbeträge!$E:$E,'Ausgaben 2027'!N$6)</f>
        <v>0</v>
      </c>
      <c r="O313" s="6"/>
    </row>
    <row r="314" spans="2:15" x14ac:dyDescent="0.35">
      <c r="B314" s="5"/>
      <c r="C314" s="40">
        <f t="shared" si="25"/>
        <v>46667</v>
      </c>
      <c r="D314" s="46">
        <f>SUMIFS(Einzelbeträge!$D:$D,Einzelbeträge!$C:$C,'Ausgaben 2027'!$C314)</f>
        <v>0</v>
      </c>
      <c r="E314" s="21">
        <f>SUMIFS(Einzelbeträge!$D:$D,Einzelbeträge!$C:$C,'Ausgaben 2027'!$C314,Einzelbeträge!$E:$E,'Ausgaben 2027'!E$6)</f>
        <v>0</v>
      </c>
      <c r="F314" s="21">
        <f>SUMIFS(Einzelbeträge!$D:$D,Einzelbeträge!$C:$C,'Ausgaben 2027'!$C314,Einzelbeträge!$E:$E,'Ausgaben 2027'!F$6)</f>
        <v>0</v>
      </c>
      <c r="G314" s="21">
        <f>SUMIFS(Einzelbeträge!$D:$D,Einzelbeträge!$C:$C,'Ausgaben 2027'!$C314,Einzelbeträge!$E:$E,'Ausgaben 2027'!G$6)</f>
        <v>0</v>
      </c>
      <c r="H314" s="21">
        <f>SUMIFS(Einzelbeträge!$D:$D,Einzelbeträge!$C:$C,'Ausgaben 2027'!$C314,Einzelbeträge!$E:$E,'Ausgaben 2027'!H$6)</f>
        <v>0</v>
      </c>
      <c r="I314" s="21">
        <f>SUMIFS(Einzelbeträge!$D:$D,Einzelbeträge!$C:$C,'Ausgaben 2027'!$C314,Einzelbeträge!$E:$E,'Ausgaben 2027'!I$6)</f>
        <v>0</v>
      </c>
      <c r="J314" s="21">
        <f>SUMIFS(Einzelbeträge!$D:$D,Einzelbeträge!$C:$C,'Ausgaben 2027'!$C314,Einzelbeträge!$E:$E,'Ausgaben 2027'!J$6)</f>
        <v>0</v>
      </c>
      <c r="K314" s="21">
        <f>SUMIFS(Einzelbeträge!$D:$D,Einzelbeträge!$C:$C,'Ausgaben 2027'!$C314,Einzelbeträge!$E:$E,'Ausgaben 2027'!K$6)</f>
        <v>0</v>
      </c>
      <c r="L314" s="21">
        <f>SUMIFS(Einzelbeträge!$D:$D,Einzelbeträge!$C:$C,'Ausgaben 2027'!$C314,Einzelbeträge!$E:$E,'Ausgaben 2027'!L$6)</f>
        <v>0</v>
      </c>
      <c r="M314" s="21">
        <f>SUMIFS(Einzelbeträge!$D:$D,Einzelbeträge!$C:$C,'Ausgaben 2027'!$C314,Einzelbeträge!$E:$E,'Ausgaben 2027'!M$6)</f>
        <v>0</v>
      </c>
      <c r="N314" s="35">
        <f>SUMIFS(Einzelbeträge!$D:$D,Einzelbeträge!$C:$C,'Ausgaben 2027'!$C314,Einzelbeträge!$E:$E,'Ausgaben 2027'!N$6)</f>
        <v>0</v>
      </c>
      <c r="O314" s="6"/>
    </row>
    <row r="315" spans="2:15" x14ac:dyDescent="0.35">
      <c r="B315" s="5"/>
      <c r="C315" s="40">
        <f t="shared" si="25"/>
        <v>46668</v>
      </c>
      <c r="D315" s="46">
        <f>SUMIFS(Einzelbeträge!$D:$D,Einzelbeträge!$C:$C,'Ausgaben 2027'!$C315)</f>
        <v>0</v>
      </c>
      <c r="E315" s="21">
        <f>SUMIFS(Einzelbeträge!$D:$D,Einzelbeträge!$C:$C,'Ausgaben 2027'!$C315,Einzelbeträge!$E:$E,'Ausgaben 2027'!E$6)</f>
        <v>0</v>
      </c>
      <c r="F315" s="21">
        <f>SUMIFS(Einzelbeträge!$D:$D,Einzelbeträge!$C:$C,'Ausgaben 2027'!$C315,Einzelbeträge!$E:$E,'Ausgaben 2027'!F$6)</f>
        <v>0</v>
      </c>
      <c r="G315" s="21">
        <f>SUMIFS(Einzelbeträge!$D:$D,Einzelbeträge!$C:$C,'Ausgaben 2027'!$C315,Einzelbeträge!$E:$E,'Ausgaben 2027'!G$6)</f>
        <v>0</v>
      </c>
      <c r="H315" s="21">
        <f>SUMIFS(Einzelbeträge!$D:$D,Einzelbeträge!$C:$C,'Ausgaben 2027'!$C315,Einzelbeträge!$E:$E,'Ausgaben 2027'!H$6)</f>
        <v>0</v>
      </c>
      <c r="I315" s="21">
        <f>SUMIFS(Einzelbeträge!$D:$D,Einzelbeträge!$C:$C,'Ausgaben 2027'!$C315,Einzelbeträge!$E:$E,'Ausgaben 2027'!I$6)</f>
        <v>0</v>
      </c>
      <c r="J315" s="21">
        <f>SUMIFS(Einzelbeträge!$D:$D,Einzelbeträge!$C:$C,'Ausgaben 2027'!$C315,Einzelbeträge!$E:$E,'Ausgaben 2027'!J$6)</f>
        <v>0</v>
      </c>
      <c r="K315" s="21">
        <f>SUMIFS(Einzelbeträge!$D:$D,Einzelbeträge!$C:$C,'Ausgaben 2027'!$C315,Einzelbeträge!$E:$E,'Ausgaben 2027'!K$6)</f>
        <v>0</v>
      </c>
      <c r="L315" s="21">
        <f>SUMIFS(Einzelbeträge!$D:$D,Einzelbeträge!$C:$C,'Ausgaben 2027'!$C315,Einzelbeträge!$E:$E,'Ausgaben 2027'!L$6)</f>
        <v>0</v>
      </c>
      <c r="M315" s="21">
        <f>SUMIFS(Einzelbeträge!$D:$D,Einzelbeträge!$C:$C,'Ausgaben 2027'!$C315,Einzelbeträge!$E:$E,'Ausgaben 2027'!M$6)</f>
        <v>0</v>
      </c>
      <c r="N315" s="35">
        <f>SUMIFS(Einzelbeträge!$D:$D,Einzelbeträge!$C:$C,'Ausgaben 2027'!$C315,Einzelbeträge!$E:$E,'Ausgaben 2027'!N$6)</f>
        <v>0</v>
      </c>
      <c r="O315" s="6"/>
    </row>
    <row r="316" spans="2:15" x14ac:dyDescent="0.35">
      <c r="B316" s="5"/>
      <c r="C316" s="40">
        <f t="shared" si="25"/>
        <v>46669</v>
      </c>
      <c r="D316" s="46">
        <f>SUMIFS(Einzelbeträge!$D:$D,Einzelbeträge!$C:$C,'Ausgaben 2027'!$C316)</f>
        <v>0</v>
      </c>
      <c r="E316" s="21">
        <f>SUMIFS(Einzelbeträge!$D:$D,Einzelbeträge!$C:$C,'Ausgaben 2027'!$C316,Einzelbeträge!$E:$E,'Ausgaben 2027'!E$6)</f>
        <v>0</v>
      </c>
      <c r="F316" s="21">
        <f>SUMIFS(Einzelbeträge!$D:$D,Einzelbeträge!$C:$C,'Ausgaben 2027'!$C316,Einzelbeträge!$E:$E,'Ausgaben 2027'!F$6)</f>
        <v>0</v>
      </c>
      <c r="G316" s="21">
        <f>SUMIFS(Einzelbeträge!$D:$D,Einzelbeträge!$C:$C,'Ausgaben 2027'!$C316,Einzelbeträge!$E:$E,'Ausgaben 2027'!G$6)</f>
        <v>0</v>
      </c>
      <c r="H316" s="21">
        <f>SUMIFS(Einzelbeträge!$D:$D,Einzelbeträge!$C:$C,'Ausgaben 2027'!$C316,Einzelbeträge!$E:$E,'Ausgaben 2027'!H$6)</f>
        <v>0</v>
      </c>
      <c r="I316" s="21">
        <f>SUMIFS(Einzelbeträge!$D:$D,Einzelbeträge!$C:$C,'Ausgaben 2027'!$C316,Einzelbeträge!$E:$E,'Ausgaben 2027'!I$6)</f>
        <v>0</v>
      </c>
      <c r="J316" s="21">
        <f>SUMIFS(Einzelbeträge!$D:$D,Einzelbeträge!$C:$C,'Ausgaben 2027'!$C316,Einzelbeträge!$E:$E,'Ausgaben 2027'!J$6)</f>
        <v>0</v>
      </c>
      <c r="K316" s="21">
        <f>SUMIFS(Einzelbeträge!$D:$D,Einzelbeträge!$C:$C,'Ausgaben 2027'!$C316,Einzelbeträge!$E:$E,'Ausgaben 2027'!K$6)</f>
        <v>0</v>
      </c>
      <c r="L316" s="21">
        <f>SUMIFS(Einzelbeträge!$D:$D,Einzelbeträge!$C:$C,'Ausgaben 2027'!$C316,Einzelbeträge!$E:$E,'Ausgaben 2027'!L$6)</f>
        <v>0</v>
      </c>
      <c r="M316" s="21">
        <f>SUMIFS(Einzelbeträge!$D:$D,Einzelbeträge!$C:$C,'Ausgaben 2027'!$C316,Einzelbeträge!$E:$E,'Ausgaben 2027'!M$6)</f>
        <v>0</v>
      </c>
      <c r="N316" s="35">
        <f>SUMIFS(Einzelbeträge!$D:$D,Einzelbeträge!$C:$C,'Ausgaben 2027'!$C316,Einzelbeträge!$E:$E,'Ausgaben 2027'!N$6)</f>
        <v>0</v>
      </c>
      <c r="O316" s="6"/>
    </row>
    <row r="317" spans="2:15" x14ac:dyDescent="0.35">
      <c r="B317" s="5"/>
      <c r="C317" s="40">
        <f t="shared" si="25"/>
        <v>46670</v>
      </c>
      <c r="D317" s="46">
        <f>SUMIFS(Einzelbeträge!$D:$D,Einzelbeträge!$C:$C,'Ausgaben 2027'!$C317)</f>
        <v>0</v>
      </c>
      <c r="E317" s="21">
        <f>SUMIFS(Einzelbeträge!$D:$D,Einzelbeträge!$C:$C,'Ausgaben 2027'!$C317,Einzelbeträge!$E:$E,'Ausgaben 2027'!E$6)</f>
        <v>0</v>
      </c>
      <c r="F317" s="21">
        <f>SUMIFS(Einzelbeträge!$D:$D,Einzelbeträge!$C:$C,'Ausgaben 2027'!$C317,Einzelbeträge!$E:$E,'Ausgaben 2027'!F$6)</f>
        <v>0</v>
      </c>
      <c r="G317" s="21">
        <f>SUMIFS(Einzelbeträge!$D:$D,Einzelbeträge!$C:$C,'Ausgaben 2027'!$C317,Einzelbeträge!$E:$E,'Ausgaben 2027'!G$6)</f>
        <v>0</v>
      </c>
      <c r="H317" s="21">
        <f>SUMIFS(Einzelbeträge!$D:$D,Einzelbeträge!$C:$C,'Ausgaben 2027'!$C317,Einzelbeträge!$E:$E,'Ausgaben 2027'!H$6)</f>
        <v>0</v>
      </c>
      <c r="I317" s="21">
        <f>SUMIFS(Einzelbeträge!$D:$D,Einzelbeträge!$C:$C,'Ausgaben 2027'!$C317,Einzelbeträge!$E:$E,'Ausgaben 2027'!I$6)</f>
        <v>0</v>
      </c>
      <c r="J317" s="21">
        <f>SUMIFS(Einzelbeträge!$D:$D,Einzelbeträge!$C:$C,'Ausgaben 2027'!$C317,Einzelbeträge!$E:$E,'Ausgaben 2027'!J$6)</f>
        <v>0</v>
      </c>
      <c r="K317" s="21">
        <f>SUMIFS(Einzelbeträge!$D:$D,Einzelbeträge!$C:$C,'Ausgaben 2027'!$C317,Einzelbeträge!$E:$E,'Ausgaben 2027'!K$6)</f>
        <v>0</v>
      </c>
      <c r="L317" s="21">
        <f>SUMIFS(Einzelbeträge!$D:$D,Einzelbeträge!$C:$C,'Ausgaben 2027'!$C317,Einzelbeträge!$E:$E,'Ausgaben 2027'!L$6)</f>
        <v>0</v>
      </c>
      <c r="M317" s="21">
        <f>SUMIFS(Einzelbeträge!$D:$D,Einzelbeträge!$C:$C,'Ausgaben 2027'!$C317,Einzelbeträge!$E:$E,'Ausgaben 2027'!M$6)</f>
        <v>0</v>
      </c>
      <c r="N317" s="35">
        <f>SUMIFS(Einzelbeträge!$D:$D,Einzelbeträge!$C:$C,'Ausgaben 2027'!$C317,Einzelbeträge!$E:$E,'Ausgaben 2027'!N$6)</f>
        <v>0</v>
      </c>
      <c r="O317" s="6"/>
    </row>
    <row r="318" spans="2:15" x14ac:dyDescent="0.35">
      <c r="B318" s="5"/>
      <c r="C318" s="40">
        <f t="shared" si="25"/>
        <v>46671</v>
      </c>
      <c r="D318" s="46">
        <f>SUMIFS(Einzelbeträge!$D:$D,Einzelbeträge!$C:$C,'Ausgaben 2027'!$C318)</f>
        <v>0</v>
      </c>
      <c r="E318" s="21">
        <f>SUMIFS(Einzelbeträge!$D:$D,Einzelbeträge!$C:$C,'Ausgaben 2027'!$C318,Einzelbeträge!$E:$E,'Ausgaben 2027'!E$6)</f>
        <v>0</v>
      </c>
      <c r="F318" s="21">
        <f>SUMIFS(Einzelbeträge!$D:$D,Einzelbeträge!$C:$C,'Ausgaben 2027'!$C318,Einzelbeträge!$E:$E,'Ausgaben 2027'!F$6)</f>
        <v>0</v>
      </c>
      <c r="G318" s="21">
        <f>SUMIFS(Einzelbeträge!$D:$D,Einzelbeträge!$C:$C,'Ausgaben 2027'!$C318,Einzelbeträge!$E:$E,'Ausgaben 2027'!G$6)</f>
        <v>0</v>
      </c>
      <c r="H318" s="21">
        <f>SUMIFS(Einzelbeträge!$D:$D,Einzelbeträge!$C:$C,'Ausgaben 2027'!$C318,Einzelbeträge!$E:$E,'Ausgaben 2027'!H$6)</f>
        <v>0</v>
      </c>
      <c r="I318" s="21">
        <f>SUMIFS(Einzelbeträge!$D:$D,Einzelbeträge!$C:$C,'Ausgaben 2027'!$C318,Einzelbeträge!$E:$E,'Ausgaben 2027'!I$6)</f>
        <v>0</v>
      </c>
      <c r="J318" s="21">
        <f>SUMIFS(Einzelbeträge!$D:$D,Einzelbeträge!$C:$C,'Ausgaben 2027'!$C318,Einzelbeträge!$E:$E,'Ausgaben 2027'!J$6)</f>
        <v>0</v>
      </c>
      <c r="K318" s="21">
        <f>SUMIFS(Einzelbeträge!$D:$D,Einzelbeträge!$C:$C,'Ausgaben 2027'!$C318,Einzelbeträge!$E:$E,'Ausgaben 2027'!K$6)</f>
        <v>0</v>
      </c>
      <c r="L318" s="21">
        <f>SUMIFS(Einzelbeträge!$D:$D,Einzelbeträge!$C:$C,'Ausgaben 2027'!$C318,Einzelbeträge!$E:$E,'Ausgaben 2027'!L$6)</f>
        <v>0</v>
      </c>
      <c r="M318" s="21">
        <f>SUMIFS(Einzelbeträge!$D:$D,Einzelbeträge!$C:$C,'Ausgaben 2027'!$C318,Einzelbeträge!$E:$E,'Ausgaben 2027'!M$6)</f>
        <v>0</v>
      </c>
      <c r="N318" s="35">
        <f>SUMIFS(Einzelbeträge!$D:$D,Einzelbeträge!$C:$C,'Ausgaben 2027'!$C318,Einzelbeträge!$E:$E,'Ausgaben 2027'!N$6)</f>
        <v>0</v>
      </c>
      <c r="O318" s="6"/>
    </row>
    <row r="319" spans="2:15" x14ac:dyDescent="0.35">
      <c r="B319" s="5"/>
      <c r="C319" s="40">
        <f t="shared" si="25"/>
        <v>46672</v>
      </c>
      <c r="D319" s="46">
        <f>SUMIFS(Einzelbeträge!$D:$D,Einzelbeträge!$C:$C,'Ausgaben 2027'!$C319)</f>
        <v>0</v>
      </c>
      <c r="E319" s="21">
        <f>SUMIFS(Einzelbeträge!$D:$D,Einzelbeträge!$C:$C,'Ausgaben 2027'!$C319,Einzelbeträge!$E:$E,'Ausgaben 2027'!E$6)</f>
        <v>0</v>
      </c>
      <c r="F319" s="21">
        <f>SUMIFS(Einzelbeträge!$D:$D,Einzelbeträge!$C:$C,'Ausgaben 2027'!$C319,Einzelbeträge!$E:$E,'Ausgaben 2027'!F$6)</f>
        <v>0</v>
      </c>
      <c r="G319" s="21">
        <f>SUMIFS(Einzelbeträge!$D:$D,Einzelbeträge!$C:$C,'Ausgaben 2027'!$C319,Einzelbeträge!$E:$E,'Ausgaben 2027'!G$6)</f>
        <v>0</v>
      </c>
      <c r="H319" s="21">
        <f>SUMIFS(Einzelbeträge!$D:$D,Einzelbeträge!$C:$C,'Ausgaben 2027'!$C319,Einzelbeträge!$E:$E,'Ausgaben 2027'!H$6)</f>
        <v>0</v>
      </c>
      <c r="I319" s="21">
        <f>SUMIFS(Einzelbeträge!$D:$D,Einzelbeträge!$C:$C,'Ausgaben 2027'!$C319,Einzelbeträge!$E:$E,'Ausgaben 2027'!I$6)</f>
        <v>0</v>
      </c>
      <c r="J319" s="21">
        <f>SUMIFS(Einzelbeträge!$D:$D,Einzelbeträge!$C:$C,'Ausgaben 2027'!$C319,Einzelbeträge!$E:$E,'Ausgaben 2027'!J$6)</f>
        <v>0</v>
      </c>
      <c r="K319" s="21">
        <f>SUMIFS(Einzelbeträge!$D:$D,Einzelbeträge!$C:$C,'Ausgaben 2027'!$C319,Einzelbeträge!$E:$E,'Ausgaben 2027'!K$6)</f>
        <v>0</v>
      </c>
      <c r="L319" s="21">
        <f>SUMIFS(Einzelbeträge!$D:$D,Einzelbeträge!$C:$C,'Ausgaben 2027'!$C319,Einzelbeträge!$E:$E,'Ausgaben 2027'!L$6)</f>
        <v>0</v>
      </c>
      <c r="M319" s="21">
        <f>SUMIFS(Einzelbeträge!$D:$D,Einzelbeträge!$C:$C,'Ausgaben 2027'!$C319,Einzelbeträge!$E:$E,'Ausgaben 2027'!M$6)</f>
        <v>0</v>
      </c>
      <c r="N319" s="35">
        <f>SUMIFS(Einzelbeträge!$D:$D,Einzelbeträge!$C:$C,'Ausgaben 2027'!$C319,Einzelbeträge!$E:$E,'Ausgaben 2027'!N$6)</f>
        <v>0</v>
      </c>
      <c r="O319" s="6"/>
    </row>
    <row r="320" spans="2:15" x14ac:dyDescent="0.35">
      <c r="B320" s="5"/>
      <c r="C320" s="40">
        <f t="shared" si="25"/>
        <v>46673</v>
      </c>
      <c r="D320" s="46">
        <f>SUMIFS(Einzelbeträge!$D:$D,Einzelbeträge!$C:$C,'Ausgaben 2027'!$C320)</f>
        <v>0</v>
      </c>
      <c r="E320" s="21">
        <f>SUMIFS(Einzelbeträge!$D:$D,Einzelbeträge!$C:$C,'Ausgaben 2027'!$C320,Einzelbeträge!$E:$E,'Ausgaben 2027'!E$6)</f>
        <v>0</v>
      </c>
      <c r="F320" s="21">
        <f>SUMIFS(Einzelbeträge!$D:$D,Einzelbeträge!$C:$C,'Ausgaben 2027'!$C320,Einzelbeträge!$E:$E,'Ausgaben 2027'!F$6)</f>
        <v>0</v>
      </c>
      <c r="G320" s="21">
        <f>SUMIFS(Einzelbeträge!$D:$D,Einzelbeträge!$C:$C,'Ausgaben 2027'!$C320,Einzelbeträge!$E:$E,'Ausgaben 2027'!G$6)</f>
        <v>0</v>
      </c>
      <c r="H320" s="21">
        <f>SUMIFS(Einzelbeträge!$D:$D,Einzelbeträge!$C:$C,'Ausgaben 2027'!$C320,Einzelbeträge!$E:$E,'Ausgaben 2027'!H$6)</f>
        <v>0</v>
      </c>
      <c r="I320" s="21">
        <f>SUMIFS(Einzelbeträge!$D:$D,Einzelbeträge!$C:$C,'Ausgaben 2027'!$C320,Einzelbeträge!$E:$E,'Ausgaben 2027'!I$6)</f>
        <v>0</v>
      </c>
      <c r="J320" s="21">
        <f>SUMIFS(Einzelbeträge!$D:$D,Einzelbeträge!$C:$C,'Ausgaben 2027'!$C320,Einzelbeträge!$E:$E,'Ausgaben 2027'!J$6)</f>
        <v>0</v>
      </c>
      <c r="K320" s="21">
        <f>SUMIFS(Einzelbeträge!$D:$D,Einzelbeträge!$C:$C,'Ausgaben 2027'!$C320,Einzelbeträge!$E:$E,'Ausgaben 2027'!K$6)</f>
        <v>0</v>
      </c>
      <c r="L320" s="21">
        <f>SUMIFS(Einzelbeträge!$D:$D,Einzelbeträge!$C:$C,'Ausgaben 2027'!$C320,Einzelbeträge!$E:$E,'Ausgaben 2027'!L$6)</f>
        <v>0</v>
      </c>
      <c r="M320" s="21">
        <f>SUMIFS(Einzelbeträge!$D:$D,Einzelbeträge!$C:$C,'Ausgaben 2027'!$C320,Einzelbeträge!$E:$E,'Ausgaben 2027'!M$6)</f>
        <v>0</v>
      </c>
      <c r="N320" s="35">
        <f>SUMIFS(Einzelbeträge!$D:$D,Einzelbeträge!$C:$C,'Ausgaben 2027'!$C320,Einzelbeträge!$E:$E,'Ausgaben 2027'!N$6)</f>
        <v>0</v>
      </c>
      <c r="O320" s="6"/>
    </row>
    <row r="321" spans="2:15" x14ac:dyDescent="0.35">
      <c r="B321" s="5"/>
      <c r="C321" s="40">
        <f t="shared" si="25"/>
        <v>46674</v>
      </c>
      <c r="D321" s="46">
        <f>SUMIFS(Einzelbeträge!$D:$D,Einzelbeträge!$C:$C,'Ausgaben 2027'!$C321)</f>
        <v>0</v>
      </c>
      <c r="E321" s="21">
        <f>SUMIFS(Einzelbeträge!$D:$D,Einzelbeträge!$C:$C,'Ausgaben 2027'!$C321,Einzelbeträge!$E:$E,'Ausgaben 2027'!E$6)</f>
        <v>0</v>
      </c>
      <c r="F321" s="21">
        <f>SUMIFS(Einzelbeträge!$D:$D,Einzelbeträge!$C:$C,'Ausgaben 2027'!$C321,Einzelbeträge!$E:$E,'Ausgaben 2027'!F$6)</f>
        <v>0</v>
      </c>
      <c r="G321" s="21">
        <f>SUMIFS(Einzelbeträge!$D:$D,Einzelbeträge!$C:$C,'Ausgaben 2027'!$C321,Einzelbeträge!$E:$E,'Ausgaben 2027'!G$6)</f>
        <v>0</v>
      </c>
      <c r="H321" s="21">
        <f>SUMIFS(Einzelbeträge!$D:$D,Einzelbeträge!$C:$C,'Ausgaben 2027'!$C321,Einzelbeträge!$E:$E,'Ausgaben 2027'!H$6)</f>
        <v>0</v>
      </c>
      <c r="I321" s="21">
        <f>SUMIFS(Einzelbeträge!$D:$D,Einzelbeträge!$C:$C,'Ausgaben 2027'!$C321,Einzelbeträge!$E:$E,'Ausgaben 2027'!I$6)</f>
        <v>0</v>
      </c>
      <c r="J321" s="21">
        <f>SUMIFS(Einzelbeträge!$D:$D,Einzelbeträge!$C:$C,'Ausgaben 2027'!$C321,Einzelbeträge!$E:$E,'Ausgaben 2027'!J$6)</f>
        <v>0</v>
      </c>
      <c r="K321" s="21">
        <f>SUMIFS(Einzelbeträge!$D:$D,Einzelbeträge!$C:$C,'Ausgaben 2027'!$C321,Einzelbeträge!$E:$E,'Ausgaben 2027'!K$6)</f>
        <v>0</v>
      </c>
      <c r="L321" s="21">
        <f>SUMIFS(Einzelbeträge!$D:$D,Einzelbeträge!$C:$C,'Ausgaben 2027'!$C321,Einzelbeträge!$E:$E,'Ausgaben 2027'!L$6)</f>
        <v>0</v>
      </c>
      <c r="M321" s="21">
        <f>SUMIFS(Einzelbeträge!$D:$D,Einzelbeträge!$C:$C,'Ausgaben 2027'!$C321,Einzelbeträge!$E:$E,'Ausgaben 2027'!M$6)</f>
        <v>0</v>
      </c>
      <c r="N321" s="35">
        <f>SUMIFS(Einzelbeträge!$D:$D,Einzelbeträge!$C:$C,'Ausgaben 2027'!$C321,Einzelbeträge!$E:$E,'Ausgaben 2027'!N$6)</f>
        <v>0</v>
      </c>
      <c r="O321" s="6"/>
    </row>
    <row r="322" spans="2:15" x14ac:dyDescent="0.35">
      <c r="B322" s="5"/>
      <c r="C322" s="40">
        <f t="shared" si="25"/>
        <v>46675</v>
      </c>
      <c r="D322" s="46">
        <f>SUMIFS(Einzelbeträge!$D:$D,Einzelbeträge!$C:$C,'Ausgaben 2027'!$C322)</f>
        <v>0</v>
      </c>
      <c r="E322" s="21">
        <f>SUMIFS(Einzelbeträge!$D:$D,Einzelbeträge!$C:$C,'Ausgaben 2027'!$C322,Einzelbeträge!$E:$E,'Ausgaben 2027'!E$6)</f>
        <v>0</v>
      </c>
      <c r="F322" s="21">
        <f>SUMIFS(Einzelbeträge!$D:$D,Einzelbeträge!$C:$C,'Ausgaben 2027'!$C322,Einzelbeträge!$E:$E,'Ausgaben 2027'!F$6)</f>
        <v>0</v>
      </c>
      <c r="G322" s="21">
        <f>SUMIFS(Einzelbeträge!$D:$D,Einzelbeträge!$C:$C,'Ausgaben 2027'!$C322,Einzelbeträge!$E:$E,'Ausgaben 2027'!G$6)</f>
        <v>0</v>
      </c>
      <c r="H322" s="21">
        <f>SUMIFS(Einzelbeträge!$D:$D,Einzelbeträge!$C:$C,'Ausgaben 2027'!$C322,Einzelbeträge!$E:$E,'Ausgaben 2027'!H$6)</f>
        <v>0</v>
      </c>
      <c r="I322" s="21">
        <f>SUMIFS(Einzelbeträge!$D:$D,Einzelbeträge!$C:$C,'Ausgaben 2027'!$C322,Einzelbeträge!$E:$E,'Ausgaben 2027'!I$6)</f>
        <v>0</v>
      </c>
      <c r="J322" s="21">
        <f>SUMIFS(Einzelbeträge!$D:$D,Einzelbeträge!$C:$C,'Ausgaben 2027'!$C322,Einzelbeträge!$E:$E,'Ausgaben 2027'!J$6)</f>
        <v>0</v>
      </c>
      <c r="K322" s="21">
        <f>SUMIFS(Einzelbeträge!$D:$D,Einzelbeträge!$C:$C,'Ausgaben 2027'!$C322,Einzelbeträge!$E:$E,'Ausgaben 2027'!K$6)</f>
        <v>0</v>
      </c>
      <c r="L322" s="21">
        <f>SUMIFS(Einzelbeträge!$D:$D,Einzelbeträge!$C:$C,'Ausgaben 2027'!$C322,Einzelbeträge!$E:$E,'Ausgaben 2027'!L$6)</f>
        <v>0</v>
      </c>
      <c r="M322" s="21">
        <f>SUMIFS(Einzelbeträge!$D:$D,Einzelbeträge!$C:$C,'Ausgaben 2027'!$C322,Einzelbeträge!$E:$E,'Ausgaben 2027'!M$6)</f>
        <v>0</v>
      </c>
      <c r="N322" s="35">
        <f>SUMIFS(Einzelbeträge!$D:$D,Einzelbeträge!$C:$C,'Ausgaben 2027'!$C322,Einzelbeträge!$E:$E,'Ausgaben 2027'!N$6)</f>
        <v>0</v>
      </c>
      <c r="O322" s="6"/>
    </row>
    <row r="323" spans="2:15" x14ac:dyDescent="0.35">
      <c r="B323" s="5"/>
      <c r="C323" s="40">
        <f t="shared" si="25"/>
        <v>46676</v>
      </c>
      <c r="D323" s="46">
        <f>SUMIFS(Einzelbeträge!$D:$D,Einzelbeträge!$C:$C,'Ausgaben 2027'!$C323)</f>
        <v>0</v>
      </c>
      <c r="E323" s="21">
        <f>SUMIFS(Einzelbeträge!$D:$D,Einzelbeträge!$C:$C,'Ausgaben 2027'!$C323,Einzelbeträge!$E:$E,'Ausgaben 2027'!E$6)</f>
        <v>0</v>
      </c>
      <c r="F323" s="21">
        <f>SUMIFS(Einzelbeträge!$D:$D,Einzelbeträge!$C:$C,'Ausgaben 2027'!$C323,Einzelbeträge!$E:$E,'Ausgaben 2027'!F$6)</f>
        <v>0</v>
      </c>
      <c r="G323" s="21">
        <f>SUMIFS(Einzelbeträge!$D:$D,Einzelbeträge!$C:$C,'Ausgaben 2027'!$C323,Einzelbeträge!$E:$E,'Ausgaben 2027'!G$6)</f>
        <v>0</v>
      </c>
      <c r="H323" s="21">
        <f>SUMIFS(Einzelbeträge!$D:$D,Einzelbeträge!$C:$C,'Ausgaben 2027'!$C323,Einzelbeträge!$E:$E,'Ausgaben 2027'!H$6)</f>
        <v>0</v>
      </c>
      <c r="I323" s="21">
        <f>SUMIFS(Einzelbeträge!$D:$D,Einzelbeträge!$C:$C,'Ausgaben 2027'!$C323,Einzelbeträge!$E:$E,'Ausgaben 2027'!I$6)</f>
        <v>0</v>
      </c>
      <c r="J323" s="21">
        <f>SUMIFS(Einzelbeträge!$D:$D,Einzelbeträge!$C:$C,'Ausgaben 2027'!$C323,Einzelbeträge!$E:$E,'Ausgaben 2027'!J$6)</f>
        <v>0</v>
      </c>
      <c r="K323" s="21">
        <f>SUMIFS(Einzelbeträge!$D:$D,Einzelbeträge!$C:$C,'Ausgaben 2027'!$C323,Einzelbeträge!$E:$E,'Ausgaben 2027'!K$6)</f>
        <v>0</v>
      </c>
      <c r="L323" s="21">
        <f>SUMIFS(Einzelbeträge!$D:$D,Einzelbeträge!$C:$C,'Ausgaben 2027'!$C323,Einzelbeträge!$E:$E,'Ausgaben 2027'!L$6)</f>
        <v>0</v>
      </c>
      <c r="M323" s="21">
        <f>SUMIFS(Einzelbeträge!$D:$D,Einzelbeträge!$C:$C,'Ausgaben 2027'!$C323,Einzelbeträge!$E:$E,'Ausgaben 2027'!M$6)</f>
        <v>0</v>
      </c>
      <c r="N323" s="35">
        <f>SUMIFS(Einzelbeträge!$D:$D,Einzelbeträge!$C:$C,'Ausgaben 2027'!$C323,Einzelbeträge!$E:$E,'Ausgaben 2027'!N$6)</f>
        <v>0</v>
      </c>
      <c r="O323" s="6"/>
    </row>
    <row r="324" spans="2:15" x14ac:dyDescent="0.35">
      <c r="B324" s="5"/>
      <c r="C324" s="40">
        <f t="shared" si="25"/>
        <v>46677</v>
      </c>
      <c r="D324" s="46">
        <f>SUMIFS(Einzelbeträge!$D:$D,Einzelbeträge!$C:$C,'Ausgaben 2027'!$C324)</f>
        <v>0</v>
      </c>
      <c r="E324" s="21">
        <f>SUMIFS(Einzelbeträge!$D:$D,Einzelbeträge!$C:$C,'Ausgaben 2027'!$C324,Einzelbeträge!$E:$E,'Ausgaben 2027'!E$6)</f>
        <v>0</v>
      </c>
      <c r="F324" s="21">
        <f>SUMIFS(Einzelbeträge!$D:$D,Einzelbeträge!$C:$C,'Ausgaben 2027'!$C324,Einzelbeträge!$E:$E,'Ausgaben 2027'!F$6)</f>
        <v>0</v>
      </c>
      <c r="G324" s="21">
        <f>SUMIFS(Einzelbeträge!$D:$D,Einzelbeträge!$C:$C,'Ausgaben 2027'!$C324,Einzelbeträge!$E:$E,'Ausgaben 2027'!G$6)</f>
        <v>0</v>
      </c>
      <c r="H324" s="21">
        <f>SUMIFS(Einzelbeträge!$D:$D,Einzelbeträge!$C:$C,'Ausgaben 2027'!$C324,Einzelbeträge!$E:$E,'Ausgaben 2027'!H$6)</f>
        <v>0</v>
      </c>
      <c r="I324" s="21">
        <f>SUMIFS(Einzelbeträge!$D:$D,Einzelbeträge!$C:$C,'Ausgaben 2027'!$C324,Einzelbeträge!$E:$E,'Ausgaben 2027'!I$6)</f>
        <v>0</v>
      </c>
      <c r="J324" s="21">
        <f>SUMIFS(Einzelbeträge!$D:$D,Einzelbeträge!$C:$C,'Ausgaben 2027'!$C324,Einzelbeträge!$E:$E,'Ausgaben 2027'!J$6)</f>
        <v>0</v>
      </c>
      <c r="K324" s="21">
        <f>SUMIFS(Einzelbeträge!$D:$D,Einzelbeträge!$C:$C,'Ausgaben 2027'!$C324,Einzelbeträge!$E:$E,'Ausgaben 2027'!K$6)</f>
        <v>0</v>
      </c>
      <c r="L324" s="21">
        <f>SUMIFS(Einzelbeträge!$D:$D,Einzelbeträge!$C:$C,'Ausgaben 2027'!$C324,Einzelbeträge!$E:$E,'Ausgaben 2027'!L$6)</f>
        <v>0</v>
      </c>
      <c r="M324" s="21">
        <f>SUMIFS(Einzelbeträge!$D:$D,Einzelbeträge!$C:$C,'Ausgaben 2027'!$C324,Einzelbeträge!$E:$E,'Ausgaben 2027'!M$6)</f>
        <v>0</v>
      </c>
      <c r="N324" s="35">
        <f>SUMIFS(Einzelbeträge!$D:$D,Einzelbeträge!$C:$C,'Ausgaben 2027'!$C324,Einzelbeträge!$E:$E,'Ausgaben 2027'!N$6)</f>
        <v>0</v>
      </c>
      <c r="O324" s="6"/>
    </row>
    <row r="325" spans="2:15" x14ac:dyDescent="0.35">
      <c r="B325" s="5"/>
      <c r="C325" s="40">
        <f t="shared" si="25"/>
        <v>46678</v>
      </c>
      <c r="D325" s="46">
        <f>SUMIFS(Einzelbeträge!$D:$D,Einzelbeträge!$C:$C,'Ausgaben 2027'!$C325)</f>
        <v>0</v>
      </c>
      <c r="E325" s="21">
        <f>SUMIFS(Einzelbeträge!$D:$D,Einzelbeträge!$C:$C,'Ausgaben 2027'!$C325,Einzelbeträge!$E:$E,'Ausgaben 2027'!E$6)</f>
        <v>0</v>
      </c>
      <c r="F325" s="21">
        <f>SUMIFS(Einzelbeträge!$D:$D,Einzelbeträge!$C:$C,'Ausgaben 2027'!$C325,Einzelbeträge!$E:$E,'Ausgaben 2027'!F$6)</f>
        <v>0</v>
      </c>
      <c r="G325" s="21">
        <f>SUMIFS(Einzelbeträge!$D:$D,Einzelbeträge!$C:$C,'Ausgaben 2027'!$C325,Einzelbeträge!$E:$E,'Ausgaben 2027'!G$6)</f>
        <v>0</v>
      </c>
      <c r="H325" s="21">
        <f>SUMIFS(Einzelbeträge!$D:$D,Einzelbeträge!$C:$C,'Ausgaben 2027'!$C325,Einzelbeträge!$E:$E,'Ausgaben 2027'!H$6)</f>
        <v>0</v>
      </c>
      <c r="I325" s="21">
        <f>SUMIFS(Einzelbeträge!$D:$D,Einzelbeträge!$C:$C,'Ausgaben 2027'!$C325,Einzelbeträge!$E:$E,'Ausgaben 2027'!I$6)</f>
        <v>0</v>
      </c>
      <c r="J325" s="21">
        <f>SUMIFS(Einzelbeträge!$D:$D,Einzelbeträge!$C:$C,'Ausgaben 2027'!$C325,Einzelbeträge!$E:$E,'Ausgaben 2027'!J$6)</f>
        <v>0</v>
      </c>
      <c r="K325" s="21">
        <f>SUMIFS(Einzelbeträge!$D:$D,Einzelbeträge!$C:$C,'Ausgaben 2027'!$C325,Einzelbeträge!$E:$E,'Ausgaben 2027'!K$6)</f>
        <v>0</v>
      </c>
      <c r="L325" s="21">
        <f>SUMIFS(Einzelbeträge!$D:$D,Einzelbeträge!$C:$C,'Ausgaben 2027'!$C325,Einzelbeträge!$E:$E,'Ausgaben 2027'!L$6)</f>
        <v>0</v>
      </c>
      <c r="M325" s="21">
        <f>SUMIFS(Einzelbeträge!$D:$D,Einzelbeträge!$C:$C,'Ausgaben 2027'!$C325,Einzelbeträge!$E:$E,'Ausgaben 2027'!M$6)</f>
        <v>0</v>
      </c>
      <c r="N325" s="35">
        <f>SUMIFS(Einzelbeträge!$D:$D,Einzelbeträge!$C:$C,'Ausgaben 2027'!$C325,Einzelbeträge!$E:$E,'Ausgaben 2027'!N$6)</f>
        <v>0</v>
      </c>
      <c r="O325" s="6"/>
    </row>
    <row r="326" spans="2:15" x14ac:dyDescent="0.35">
      <c r="B326" s="5"/>
      <c r="C326" s="40">
        <f t="shared" si="25"/>
        <v>46679</v>
      </c>
      <c r="D326" s="46">
        <f>SUMIFS(Einzelbeträge!$D:$D,Einzelbeträge!$C:$C,'Ausgaben 2027'!$C326)</f>
        <v>0</v>
      </c>
      <c r="E326" s="21">
        <f>SUMIFS(Einzelbeträge!$D:$D,Einzelbeträge!$C:$C,'Ausgaben 2027'!$C326,Einzelbeträge!$E:$E,'Ausgaben 2027'!E$6)</f>
        <v>0</v>
      </c>
      <c r="F326" s="21">
        <f>SUMIFS(Einzelbeträge!$D:$D,Einzelbeträge!$C:$C,'Ausgaben 2027'!$C326,Einzelbeträge!$E:$E,'Ausgaben 2027'!F$6)</f>
        <v>0</v>
      </c>
      <c r="G326" s="21">
        <f>SUMIFS(Einzelbeträge!$D:$D,Einzelbeträge!$C:$C,'Ausgaben 2027'!$C326,Einzelbeträge!$E:$E,'Ausgaben 2027'!G$6)</f>
        <v>0</v>
      </c>
      <c r="H326" s="21">
        <f>SUMIFS(Einzelbeträge!$D:$D,Einzelbeträge!$C:$C,'Ausgaben 2027'!$C326,Einzelbeträge!$E:$E,'Ausgaben 2027'!H$6)</f>
        <v>0</v>
      </c>
      <c r="I326" s="21">
        <f>SUMIFS(Einzelbeträge!$D:$D,Einzelbeträge!$C:$C,'Ausgaben 2027'!$C326,Einzelbeträge!$E:$E,'Ausgaben 2027'!I$6)</f>
        <v>0</v>
      </c>
      <c r="J326" s="21">
        <f>SUMIFS(Einzelbeträge!$D:$D,Einzelbeträge!$C:$C,'Ausgaben 2027'!$C326,Einzelbeträge!$E:$E,'Ausgaben 2027'!J$6)</f>
        <v>0</v>
      </c>
      <c r="K326" s="21">
        <f>SUMIFS(Einzelbeträge!$D:$D,Einzelbeträge!$C:$C,'Ausgaben 2027'!$C326,Einzelbeträge!$E:$E,'Ausgaben 2027'!K$6)</f>
        <v>0</v>
      </c>
      <c r="L326" s="21">
        <f>SUMIFS(Einzelbeträge!$D:$D,Einzelbeträge!$C:$C,'Ausgaben 2027'!$C326,Einzelbeträge!$E:$E,'Ausgaben 2027'!L$6)</f>
        <v>0</v>
      </c>
      <c r="M326" s="21">
        <f>SUMIFS(Einzelbeträge!$D:$D,Einzelbeträge!$C:$C,'Ausgaben 2027'!$C326,Einzelbeträge!$E:$E,'Ausgaben 2027'!M$6)</f>
        <v>0</v>
      </c>
      <c r="N326" s="35">
        <f>SUMIFS(Einzelbeträge!$D:$D,Einzelbeträge!$C:$C,'Ausgaben 2027'!$C326,Einzelbeträge!$E:$E,'Ausgaben 2027'!N$6)</f>
        <v>0</v>
      </c>
      <c r="O326" s="6"/>
    </row>
    <row r="327" spans="2:15" x14ac:dyDescent="0.35">
      <c r="B327" s="5"/>
      <c r="C327" s="40">
        <f t="shared" si="25"/>
        <v>46680</v>
      </c>
      <c r="D327" s="46">
        <f>SUMIFS(Einzelbeträge!$D:$D,Einzelbeträge!$C:$C,'Ausgaben 2027'!$C327)</f>
        <v>0</v>
      </c>
      <c r="E327" s="21">
        <f>SUMIFS(Einzelbeträge!$D:$D,Einzelbeträge!$C:$C,'Ausgaben 2027'!$C327,Einzelbeträge!$E:$E,'Ausgaben 2027'!E$6)</f>
        <v>0</v>
      </c>
      <c r="F327" s="21">
        <f>SUMIFS(Einzelbeträge!$D:$D,Einzelbeträge!$C:$C,'Ausgaben 2027'!$C327,Einzelbeträge!$E:$E,'Ausgaben 2027'!F$6)</f>
        <v>0</v>
      </c>
      <c r="G327" s="21">
        <f>SUMIFS(Einzelbeträge!$D:$D,Einzelbeträge!$C:$C,'Ausgaben 2027'!$C327,Einzelbeträge!$E:$E,'Ausgaben 2027'!G$6)</f>
        <v>0</v>
      </c>
      <c r="H327" s="21">
        <f>SUMIFS(Einzelbeträge!$D:$D,Einzelbeträge!$C:$C,'Ausgaben 2027'!$C327,Einzelbeträge!$E:$E,'Ausgaben 2027'!H$6)</f>
        <v>0</v>
      </c>
      <c r="I327" s="21">
        <f>SUMIFS(Einzelbeträge!$D:$D,Einzelbeträge!$C:$C,'Ausgaben 2027'!$C327,Einzelbeträge!$E:$E,'Ausgaben 2027'!I$6)</f>
        <v>0</v>
      </c>
      <c r="J327" s="21">
        <f>SUMIFS(Einzelbeträge!$D:$D,Einzelbeträge!$C:$C,'Ausgaben 2027'!$C327,Einzelbeträge!$E:$E,'Ausgaben 2027'!J$6)</f>
        <v>0</v>
      </c>
      <c r="K327" s="21">
        <f>SUMIFS(Einzelbeträge!$D:$D,Einzelbeträge!$C:$C,'Ausgaben 2027'!$C327,Einzelbeträge!$E:$E,'Ausgaben 2027'!K$6)</f>
        <v>0</v>
      </c>
      <c r="L327" s="21">
        <f>SUMIFS(Einzelbeträge!$D:$D,Einzelbeträge!$C:$C,'Ausgaben 2027'!$C327,Einzelbeträge!$E:$E,'Ausgaben 2027'!L$6)</f>
        <v>0</v>
      </c>
      <c r="M327" s="21">
        <f>SUMIFS(Einzelbeträge!$D:$D,Einzelbeträge!$C:$C,'Ausgaben 2027'!$C327,Einzelbeträge!$E:$E,'Ausgaben 2027'!M$6)</f>
        <v>0</v>
      </c>
      <c r="N327" s="35">
        <f>SUMIFS(Einzelbeträge!$D:$D,Einzelbeträge!$C:$C,'Ausgaben 2027'!$C327,Einzelbeträge!$E:$E,'Ausgaben 2027'!N$6)</f>
        <v>0</v>
      </c>
      <c r="O327" s="6"/>
    </row>
    <row r="328" spans="2:15" x14ac:dyDescent="0.35">
      <c r="B328" s="5"/>
      <c r="C328" s="40">
        <f t="shared" si="25"/>
        <v>46681</v>
      </c>
      <c r="D328" s="46">
        <f>SUMIFS(Einzelbeträge!$D:$D,Einzelbeträge!$C:$C,'Ausgaben 2027'!$C328)</f>
        <v>0</v>
      </c>
      <c r="E328" s="21">
        <f>SUMIFS(Einzelbeträge!$D:$D,Einzelbeträge!$C:$C,'Ausgaben 2027'!$C328,Einzelbeträge!$E:$E,'Ausgaben 2027'!E$6)</f>
        <v>0</v>
      </c>
      <c r="F328" s="21">
        <f>SUMIFS(Einzelbeträge!$D:$D,Einzelbeträge!$C:$C,'Ausgaben 2027'!$C328,Einzelbeträge!$E:$E,'Ausgaben 2027'!F$6)</f>
        <v>0</v>
      </c>
      <c r="G328" s="21">
        <f>SUMIFS(Einzelbeträge!$D:$D,Einzelbeträge!$C:$C,'Ausgaben 2027'!$C328,Einzelbeträge!$E:$E,'Ausgaben 2027'!G$6)</f>
        <v>0</v>
      </c>
      <c r="H328" s="21">
        <f>SUMIFS(Einzelbeträge!$D:$D,Einzelbeträge!$C:$C,'Ausgaben 2027'!$C328,Einzelbeträge!$E:$E,'Ausgaben 2027'!H$6)</f>
        <v>0</v>
      </c>
      <c r="I328" s="21">
        <f>SUMIFS(Einzelbeträge!$D:$D,Einzelbeträge!$C:$C,'Ausgaben 2027'!$C328,Einzelbeträge!$E:$E,'Ausgaben 2027'!I$6)</f>
        <v>0</v>
      </c>
      <c r="J328" s="21">
        <f>SUMIFS(Einzelbeträge!$D:$D,Einzelbeträge!$C:$C,'Ausgaben 2027'!$C328,Einzelbeträge!$E:$E,'Ausgaben 2027'!J$6)</f>
        <v>0</v>
      </c>
      <c r="K328" s="21">
        <f>SUMIFS(Einzelbeträge!$D:$D,Einzelbeträge!$C:$C,'Ausgaben 2027'!$C328,Einzelbeträge!$E:$E,'Ausgaben 2027'!K$6)</f>
        <v>0</v>
      </c>
      <c r="L328" s="21">
        <f>SUMIFS(Einzelbeträge!$D:$D,Einzelbeträge!$C:$C,'Ausgaben 2027'!$C328,Einzelbeträge!$E:$E,'Ausgaben 2027'!L$6)</f>
        <v>0</v>
      </c>
      <c r="M328" s="21">
        <f>SUMIFS(Einzelbeträge!$D:$D,Einzelbeträge!$C:$C,'Ausgaben 2027'!$C328,Einzelbeträge!$E:$E,'Ausgaben 2027'!M$6)</f>
        <v>0</v>
      </c>
      <c r="N328" s="35">
        <f>SUMIFS(Einzelbeträge!$D:$D,Einzelbeträge!$C:$C,'Ausgaben 2027'!$C328,Einzelbeträge!$E:$E,'Ausgaben 2027'!N$6)</f>
        <v>0</v>
      </c>
      <c r="O328" s="6"/>
    </row>
    <row r="329" spans="2:15" x14ac:dyDescent="0.35">
      <c r="B329" s="5"/>
      <c r="C329" s="40">
        <f t="shared" si="25"/>
        <v>46682</v>
      </c>
      <c r="D329" s="46">
        <f>SUMIFS(Einzelbeträge!$D:$D,Einzelbeträge!$C:$C,'Ausgaben 2027'!$C329)</f>
        <v>0</v>
      </c>
      <c r="E329" s="21">
        <f>SUMIFS(Einzelbeträge!$D:$D,Einzelbeträge!$C:$C,'Ausgaben 2027'!$C329,Einzelbeträge!$E:$E,'Ausgaben 2027'!E$6)</f>
        <v>0</v>
      </c>
      <c r="F329" s="21">
        <f>SUMIFS(Einzelbeträge!$D:$D,Einzelbeträge!$C:$C,'Ausgaben 2027'!$C329,Einzelbeträge!$E:$E,'Ausgaben 2027'!F$6)</f>
        <v>0</v>
      </c>
      <c r="G329" s="21">
        <f>SUMIFS(Einzelbeträge!$D:$D,Einzelbeträge!$C:$C,'Ausgaben 2027'!$C329,Einzelbeträge!$E:$E,'Ausgaben 2027'!G$6)</f>
        <v>0</v>
      </c>
      <c r="H329" s="21">
        <f>SUMIFS(Einzelbeträge!$D:$D,Einzelbeträge!$C:$C,'Ausgaben 2027'!$C329,Einzelbeträge!$E:$E,'Ausgaben 2027'!H$6)</f>
        <v>0</v>
      </c>
      <c r="I329" s="21">
        <f>SUMIFS(Einzelbeträge!$D:$D,Einzelbeträge!$C:$C,'Ausgaben 2027'!$C329,Einzelbeträge!$E:$E,'Ausgaben 2027'!I$6)</f>
        <v>0</v>
      </c>
      <c r="J329" s="21">
        <f>SUMIFS(Einzelbeträge!$D:$D,Einzelbeträge!$C:$C,'Ausgaben 2027'!$C329,Einzelbeträge!$E:$E,'Ausgaben 2027'!J$6)</f>
        <v>0</v>
      </c>
      <c r="K329" s="21">
        <f>SUMIFS(Einzelbeträge!$D:$D,Einzelbeträge!$C:$C,'Ausgaben 2027'!$C329,Einzelbeträge!$E:$E,'Ausgaben 2027'!K$6)</f>
        <v>0</v>
      </c>
      <c r="L329" s="21">
        <f>SUMIFS(Einzelbeträge!$D:$D,Einzelbeträge!$C:$C,'Ausgaben 2027'!$C329,Einzelbeträge!$E:$E,'Ausgaben 2027'!L$6)</f>
        <v>0</v>
      </c>
      <c r="M329" s="21">
        <f>SUMIFS(Einzelbeträge!$D:$D,Einzelbeträge!$C:$C,'Ausgaben 2027'!$C329,Einzelbeträge!$E:$E,'Ausgaben 2027'!M$6)</f>
        <v>0</v>
      </c>
      <c r="N329" s="35">
        <f>SUMIFS(Einzelbeträge!$D:$D,Einzelbeträge!$C:$C,'Ausgaben 2027'!$C329,Einzelbeträge!$E:$E,'Ausgaben 2027'!N$6)</f>
        <v>0</v>
      </c>
      <c r="O329" s="6"/>
    </row>
    <row r="330" spans="2:15" x14ac:dyDescent="0.35">
      <c r="B330" s="5"/>
      <c r="C330" s="40">
        <f t="shared" si="25"/>
        <v>46683</v>
      </c>
      <c r="D330" s="46">
        <f>SUMIFS(Einzelbeträge!$D:$D,Einzelbeträge!$C:$C,'Ausgaben 2027'!$C330)</f>
        <v>0</v>
      </c>
      <c r="E330" s="21">
        <f>SUMIFS(Einzelbeträge!$D:$D,Einzelbeträge!$C:$C,'Ausgaben 2027'!$C330,Einzelbeträge!$E:$E,'Ausgaben 2027'!E$6)</f>
        <v>0</v>
      </c>
      <c r="F330" s="21">
        <f>SUMIFS(Einzelbeträge!$D:$D,Einzelbeträge!$C:$C,'Ausgaben 2027'!$C330,Einzelbeträge!$E:$E,'Ausgaben 2027'!F$6)</f>
        <v>0</v>
      </c>
      <c r="G330" s="21">
        <f>SUMIFS(Einzelbeträge!$D:$D,Einzelbeträge!$C:$C,'Ausgaben 2027'!$C330,Einzelbeträge!$E:$E,'Ausgaben 2027'!G$6)</f>
        <v>0</v>
      </c>
      <c r="H330" s="21">
        <f>SUMIFS(Einzelbeträge!$D:$D,Einzelbeträge!$C:$C,'Ausgaben 2027'!$C330,Einzelbeträge!$E:$E,'Ausgaben 2027'!H$6)</f>
        <v>0</v>
      </c>
      <c r="I330" s="21">
        <f>SUMIFS(Einzelbeträge!$D:$D,Einzelbeträge!$C:$C,'Ausgaben 2027'!$C330,Einzelbeträge!$E:$E,'Ausgaben 2027'!I$6)</f>
        <v>0</v>
      </c>
      <c r="J330" s="21">
        <f>SUMIFS(Einzelbeträge!$D:$D,Einzelbeträge!$C:$C,'Ausgaben 2027'!$C330,Einzelbeträge!$E:$E,'Ausgaben 2027'!J$6)</f>
        <v>0</v>
      </c>
      <c r="K330" s="21">
        <f>SUMIFS(Einzelbeträge!$D:$D,Einzelbeträge!$C:$C,'Ausgaben 2027'!$C330,Einzelbeträge!$E:$E,'Ausgaben 2027'!K$6)</f>
        <v>0</v>
      </c>
      <c r="L330" s="21">
        <f>SUMIFS(Einzelbeträge!$D:$D,Einzelbeträge!$C:$C,'Ausgaben 2027'!$C330,Einzelbeträge!$E:$E,'Ausgaben 2027'!L$6)</f>
        <v>0</v>
      </c>
      <c r="M330" s="21">
        <f>SUMIFS(Einzelbeträge!$D:$D,Einzelbeträge!$C:$C,'Ausgaben 2027'!$C330,Einzelbeträge!$E:$E,'Ausgaben 2027'!M$6)</f>
        <v>0</v>
      </c>
      <c r="N330" s="35">
        <f>SUMIFS(Einzelbeträge!$D:$D,Einzelbeträge!$C:$C,'Ausgaben 2027'!$C330,Einzelbeträge!$E:$E,'Ausgaben 2027'!N$6)</f>
        <v>0</v>
      </c>
      <c r="O330" s="6"/>
    </row>
    <row r="331" spans="2:15" x14ac:dyDescent="0.35">
      <c r="B331" s="5"/>
      <c r="C331" s="40">
        <f t="shared" si="25"/>
        <v>46684</v>
      </c>
      <c r="D331" s="46">
        <f>SUMIFS(Einzelbeträge!$D:$D,Einzelbeträge!$C:$C,'Ausgaben 2027'!$C331)</f>
        <v>0</v>
      </c>
      <c r="E331" s="21">
        <f>SUMIFS(Einzelbeträge!$D:$D,Einzelbeträge!$C:$C,'Ausgaben 2027'!$C331,Einzelbeträge!$E:$E,'Ausgaben 2027'!E$6)</f>
        <v>0</v>
      </c>
      <c r="F331" s="21">
        <f>SUMIFS(Einzelbeträge!$D:$D,Einzelbeträge!$C:$C,'Ausgaben 2027'!$C331,Einzelbeträge!$E:$E,'Ausgaben 2027'!F$6)</f>
        <v>0</v>
      </c>
      <c r="G331" s="21">
        <f>SUMIFS(Einzelbeträge!$D:$D,Einzelbeträge!$C:$C,'Ausgaben 2027'!$C331,Einzelbeträge!$E:$E,'Ausgaben 2027'!G$6)</f>
        <v>0</v>
      </c>
      <c r="H331" s="21">
        <f>SUMIFS(Einzelbeträge!$D:$D,Einzelbeträge!$C:$C,'Ausgaben 2027'!$C331,Einzelbeträge!$E:$E,'Ausgaben 2027'!H$6)</f>
        <v>0</v>
      </c>
      <c r="I331" s="21">
        <f>SUMIFS(Einzelbeträge!$D:$D,Einzelbeträge!$C:$C,'Ausgaben 2027'!$C331,Einzelbeträge!$E:$E,'Ausgaben 2027'!I$6)</f>
        <v>0</v>
      </c>
      <c r="J331" s="21">
        <f>SUMIFS(Einzelbeträge!$D:$D,Einzelbeträge!$C:$C,'Ausgaben 2027'!$C331,Einzelbeträge!$E:$E,'Ausgaben 2027'!J$6)</f>
        <v>0</v>
      </c>
      <c r="K331" s="21">
        <f>SUMIFS(Einzelbeträge!$D:$D,Einzelbeträge!$C:$C,'Ausgaben 2027'!$C331,Einzelbeträge!$E:$E,'Ausgaben 2027'!K$6)</f>
        <v>0</v>
      </c>
      <c r="L331" s="21">
        <f>SUMIFS(Einzelbeträge!$D:$D,Einzelbeträge!$C:$C,'Ausgaben 2027'!$C331,Einzelbeträge!$E:$E,'Ausgaben 2027'!L$6)</f>
        <v>0</v>
      </c>
      <c r="M331" s="21">
        <f>SUMIFS(Einzelbeträge!$D:$D,Einzelbeträge!$C:$C,'Ausgaben 2027'!$C331,Einzelbeträge!$E:$E,'Ausgaben 2027'!M$6)</f>
        <v>0</v>
      </c>
      <c r="N331" s="35">
        <f>SUMIFS(Einzelbeträge!$D:$D,Einzelbeträge!$C:$C,'Ausgaben 2027'!$C331,Einzelbeträge!$E:$E,'Ausgaben 2027'!N$6)</f>
        <v>0</v>
      </c>
      <c r="O331" s="6"/>
    </row>
    <row r="332" spans="2:15" x14ac:dyDescent="0.35">
      <c r="B332" s="5"/>
      <c r="C332" s="40">
        <f t="shared" si="25"/>
        <v>46685</v>
      </c>
      <c r="D332" s="46">
        <f>SUMIFS(Einzelbeträge!$D:$D,Einzelbeträge!$C:$C,'Ausgaben 2027'!$C332)</f>
        <v>0</v>
      </c>
      <c r="E332" s="21">
        <f>SUMIFS(Einzelbeträge!$D:$D,Einzelbeträge!$C:$C,'Ausgaben 2027'!$C332,Einzelbeträge!$E:$E,'Ausgaben 2027'!E$6)</f>
        <v>0</v>
      </c>
      <c r="F332" s="21">
        <f>SUMIFS(Einzelbeträge!$D:$D,Einzelbeträge!$C:$C,'Ausgaben 2027'!$C332,Einzelbeträge!$E:$E,'Ausgaben 2027'!F$6)</f>
        <v>0</v>
      </c>
      <c r="G332" s="21">
        <f>SUMIFS(Einzelbeträge!$D:$D,Einzelbeträge!$C:$C,'Ausgaben 2027'!$C332,Einzelbeträge!$E:$E,'Ausgaben 2027'!G$6)</f>
        <v>0</v>
      </c>
      <c r="H332" s="21">
        <f>SUMIFS(Einzelbeträge!$D:$D,Einzelbeträge!$C:$C,'Ausgaben 2027'!$C332,Einzelbeträge!$E:$E,'Ausgaben 2027'!H$6)</f>
        <v>0</v>
      </c>
      <c r="I332" s="21">
        <f>SUMIFS(Einzelbeträge!$D:$D,Einzelbeträge!$C:$C,'Ausgaben 2027'!$C332,Einzelbeträge!$E:$E,'Ausgaben 2027'!I$6)</f>
        <v>0</v>
      </c>
      <c r="J332" s="21">
        <f>SUMIFS(Einzelbeträge!$D:$D,Einzelbeträge!$C:$C,'Ausgaben 2027'!$C332,Einzelbeträge!$E:$E,'Ausgaben 2027'!J$6)</f>
        <v>0</v>
      </c>
      <c r="K332" s="21">
        <f>SUMIFS(Einzelbeträge!$D:$D,Einzelbeträge!$C:$C,'Ausgaben 2027'!$C332,Einzelbeträge!$E:$E,'Ausgaben 2027'!K$6)</f>
        <v>0</v>
      </c>
      <c r="L332" s="21">
        <f>SUMIFS(Einzelbeträge!$D:$D,Einzelbeträge!$C:$C,'Ausgaben 2027'!$C332,Einzelbeträge!$E:$E,'Ausgaben 2027'!L$6)</f>
        <v>0</v>
      </c>
      <c r="M332" s="21">
        <f>SUMIFS(Einzelbeträge!$D:$D,Einzelbeträge!$C:$C,'Ausgaben 2027'!$C332,Einzelbeträge!$E:$E,'Ausgaben 2027'!M$6)</f>
        <v>0</v>
      </c>
      <c r="N332" s="35">
        <f>SUMIFS(Einzelbeträge!$D:$D,Einzelbeträge!$C:$C,'Ausgaben 2027'!$C332,Einzelbeträge!$E:$E,'Ausgaben 2027'!N$6)</f>
        <v>0</v>
      </c>
      <c r="O332" s="6"/>
    </row>
    <row r="333" spans="2:15" x14ac:dyDescent="0.35">
      <c r="B333" s="5"/>
      <c r="C333" s="40">
        <f t="shared" si="25"/>
        <v>46686</v>
      </c>
      <c r="D333" s="46">
        <f>SUMIFS(Einzelbeträge!$D:$D,Einzelbeträge!$C:$C,'Ausgaben 2027'!$C333)</f>
        <v>0</v>
      </c>
      <c r="E333" s="21">
        <f>SUMIFS(Einzelbeträge!$D:$D,Einzelbeträge!$C:$C,'Ausgaben 2027'!$C333,Einzelbeträge!$E:$E,'Ausgaben 2027'!E$6)</f>
        <v>0</v>
      </c>
      <c r="F333" s="21">
        <f>SUMIFS(Einzelbeträge!$D:$D,Einzelbeträge!$C:$C,'Ausgaben 2027'!$C333,Einzelbeträge!$E:$E,'Ausgaben 2027'!F$6)</f>
        <v>0</v>
      </c>
      <c r="G333" s="21">
        <f>SUMIFS(Einzelbeträge!$D:$D,Einzelbeträge!$C:$C,'Ausgaben 2027'!$C333,Einzelbeträge!$E:$E,'Ausgaben 2027'!G$6)</f>
        <v>0</v>
      </c>
      <c r="H333" s="21">
        <f>SUMIFS(Einzelbeträge!$D:$D,Einzelbeträge!$C:$C,'Ausgaben 2027'!$C333,Einzelbeträge!$E:$E,'Ausgaben 2027'!H$6)</f>
        <v>0</v>
      </c>
      <c r="I333" s="21">
        <f>SUMIFS(Einzelbeträge!$D:$D,Einzelbeträge!$C:$C,'Ausgaben 2027'!$C333,Einzelbeträge!$E:$E,'Ausgaben 2027'!I$6)</f>
        <v>0</v>
      </c>
      <c r="J333" s="21">
        <f>SUMIFS(Einzelbeträge!$D:$D,Einzelbeträge!$C:$C,'Ausgaben 2027'!$C333,Einzelbeträge!$E:$E,'Ausgaben 2027'!J$6)</f>
        <v>0</v>
      </c>
      <c r="K333" s="21">
        <f>SUMIFS(Einzelbeträge!$D:$D,Einzelbeträge!$C:$C,'Ausgaben 2027'!$C333,Einzelbeträge!$E:$E,'Ausgaben 2027'!K$6)</f>
        <v>0</v>
      </c>
      <c r="L333" s="21">
        <f>SUMIFS(Einzelbeträge!$D:$D,Einzelbeträge!$C:$C,'Ausgaben 2027'!$C333,Einzelbeträge!$E:$E,'Ausgaben 2027'!L$6)</f>
        <v>0</v>
      </c>
      <c r="M333" s="21">
        <f>SUMIFS(Einzelbeträge!$D:$D,Einzelbeträge!$C:$C,'Ausgaben 2027'!$C333,Einzelbeträge!$E:$E,'Ausgaben 2027'!M$6)</f>
        <v>0</v>
      </c>
      <c r="N333" s="35">
        <f>SUMIFS(Einzelbeträge!$D:$D,Einzelbeträge!$C:$C,'Ausgaben 2027'!$C333,Einzelbeträge!$E:$E,'Ausgaben 2027'!N$6)</f>
        <v>0</v>
      </c>
      <c r="O333" s="6"/>
    </row>
    <row r="334" spans="2:15" x14ac:dyDescent="0.35">
      <c r="B334" s="5"/>
      <c r="C334" s="40">
        <f t="shared" si="25"/>
        <v>46687</v>
      </c>
      <c r="D334" s="46">
        <f>SUMIFS(Einzelbeträge!$D:$D,Einzelbeträge!$C:$C,'Ausgaben 2027'!$C334)</f>
        <v>0</v>
      </c>
      <c r="E334" s="21">
        <f>SUMIFS(Einzelbeträge!$D:$D,Einzelbeträge!$C:$C,'Ausgaben 2027'!$C334,Einzelbeträge!$E:$E,'Ausgaben 2027'!E$6)</f>
        <v>0</v>
      </c>
      <c r="F334" s="21">
        <f>SUMIFS(Einzelbeträge!$D:$D,Einzelbeträge!$C:$C,'Ausgaben 2027'!$C334,Einzelbeträge!$E:$E,'Ausgaben 2027'!F$6)</f>
        <v>0</v>
      </c>
      <c r="G334" s="21">
        <f>SUMIFS(Einzelbeträge!$D:$D,Einzelbeträge!$C:$C,'Ausgaben 2027'!$C334,Einzelbeträge!$E:$E,'Ausgaben 2027'!G$6)</f>
        <v>0</v>
      </c>
      <c r="H334" s="21">
        <f>SUMIFS(Einzelbeträge!$D:$D,Einzelbeträge!$C:$C,'Ausgaben 2027'!$C334,Einzelbeträge!$E:$E,'Ausgaben 2027'!H$6)</f>
        <v>0</v>
      </c>
      <c r="I334" s="21">
        <f>SUMIFS(Einzelbeträge!$D:$D,Einzelbeträge!$C:$C,'Ausgaben 2027'!$C334,Einzelbeträge!$E:$E,'Ausgaben 2027'!I$6)</f>
        <v>0</v>
      </c>
      <c r="J334" s="21">
        <f>SUMIFS(Einzelbeträge!$D:$D,Einzelbeträge!$C:$C,'Ausgaben 2027'!$C334,Einzelbeträge!$E:$E,'Ausgaben 2027'!J$6)</f>
        <v>0</v>
      </c>
      <c r="K334" s="21">
        <f>SUMIFS(Einzelbeträge!$D:$D,Einzelbeträge!$C:$C,'Ausgaben 2027'!$C334,Einzelbeträge!$E:$E,'Ausgaben 2027'!K$6)</f>
        <v>0</v>
      </c>
      <c r="L334" s="21">
        <f>SUMIFS(Einzelbeträge!$D:$D,Einzelbeträge!$C:$C,'Ausgaben 2027'!$C334,Einzelbeträge!$E:$E,'Ausgaben 2027'!L$6)</f>
        <v>0</v>
      </c>
      <c r="M334" s="21">
        <f>SUMIFS(Einzelbeträge!$D:$D,Einzelbeträge!$C:$C,'Ausgaben 2027'!$C334,Einzelbeträge!$E:$E,'Ausgaben 2027'!M$6)</f>
        <v>0</v>
      </c>
      <c r="N334" s="35">
        <f>SUMIFS(Einzelbeträge!$D:$D,Einzelbeträge!$C:$C,'Ausgaben 2027'!$C334,Einzelbeträge!$E:$E,'Ausgaben 2027'!N$6)</f>
        <v>0</v>
      </c>
      <c r="O334" s="6"/>
    </row>
    <row r="335" spans="2:15" x14ac:dyDescent="0.35">
      <c r="B335" s="5"/>
      <c r="C335" s="40">
        <f t="shared" si="25"/>
        <v>46688</v>
      </c>
      <c r="D335" s="46">
        <f>SUMIFS(Einzelbeträge!$D:$D,Einzelbeträge!$C:$C,'Ausgaben 2027'!$C335)</f>
        <v>0</v>
      </c>
      <c r="E335" s="21">
        <f>SUMIFS(Einzelbeträge!$D:$D,Einzelbeträge!$C:$C,'Ausgaben 2027'!$C335,Einzelbeträge!$E:$E,'Ausgaben 2027'!E$6)</f>
        <v>0</v>
      </c>
      <c r="F335" s="21">
        <f>SUMIFS(Einzelbeträge!$D:$D,Einzelbeträge!$C:$C,'Ausgaben 2027'!$C335,Einzelbeträge!$E:$E,'Ausgaben 2027'!F$6)</f>
        <v>0</v>
      </c>
      <c r="G335" s="21">
        <f>SUMIFS(Einzelbeträge!$D:$D,Einzelbeträge!$C:$C,'Ausgaben 2027'!$C335,Einzelbeträge!$E:$E,'Ausgaben 2027'!G$6)</f>
        <v>0</v>
      </c>
      <c r="H335" s="21">
        <f>SUMIFS(Einzelbeträge!$D:$D,Einzelbeträge!$C:$C,'Ausgaben 2027'!$C335,Einzelbeträge!$E:$E,'Ausgaben 2027'!H$6)</f>
        <v>0</v>
      </c>
      <c r="I335" s="21">
        <f>SUMIFS(Einzelbeträge!$D:$D,Einzelbeträge!$C:$C,'Ausgaben 2027'!$C335,Einzelbeträge!$E:$E,'Ausgaben 2027'!I$6)</f>
        <v>0</v>
      </c>
      <c r="J335" s="21">
        <f>SUMIFS(Einzelbeträge!$D:$D,Einzelbeträge!$C:$C,'Ausgaben 2027'!$C335,Einzelbeträge!$E:$E,'Ausgaben 2027'!J$6)</f>
        <v>0</v>
      </c>
      <c r="K335" s="21">
        <f>SUMIFS(Einzelbeträge!$D:$D,Einzelbeträge!$C:$C,'Ausgaben 2027'!$C335,Einzelbeträge!$E:$E,'Ausgaben 2027'!K$6)</f>
        <v>0</v>
      </c>
      <c r="L335" s="21">
        <f>SUMIFS(Einzelbeträge!$D:$D,Einzelbeträge!$C:$C,'Ausgaben 2027'!$C335,Einzelbeträge!$E:$E,'Ausgaben 2027'!L$6)</f>
        <v>0</v>
      </c>
      <c r="M335" s="21">
        <f>SUMIFS(Einzelbeträge!$D:$D,Einzelbeträge!$C:$C,'Ausgaben 2027'!$C335,Einzelbeträge!$E:$E,'Ausgaben 2027'!M$6)</f>
        <v>0</v>
      </c>
      <c r="N335" s="35">
        <f>SUMIFS(Einzelbeträge!$D:$D,Einzelbeträge!$C:$C,'Ausgaben 2027'!$C335,Einzelbeträge!$E:$E,'Ausgaben 2027'!N$6)</f>
        <v>0</v>
      </c>
      <c r="O335" s="6"/>
    </row>
    <row r="336" spans="2:15" x14ac:dyDescent="0.35">
      <c r="B336" s="5"/>
      <c r="C336" s="40">
        <f t="shared" si="25"/>
        <v>46689</v>
      </c>
      <c r="D336" s="46">
        <f>SUMIFS(Einzelbeträge!$D:$D,Einzelbeträge!$C:$C,'Ausgaben 2027'!$C336)</f>
        <v>0</v>
      </c>
      <c r="E336" s="21">
        <f>SUMIFS(Einzelbeträge!$D:$D,Einzelbeträge!$C:$C,'Ausgaben 2027'!$C336,Einzelbeträge!$E:$E,'Ausgaben 2027'!E$6)</f>
        <v>0</v>
      </c>
      <c r="F336" s="21">
        <f>SUMIFS(Einzelbeträge!$D:$D,Einzelbeträge!$C:$C,'Ausgaben 2027'!$C336,Einzelbeträge!$E:$E,'Ausgaben 2027'!F$6)</f>
        <v>0</v>
      </c>
      <c r="G336" s="21">
        <f>SUMIFS(Einzelbeträge!$D:$D,Einzelbeträge!$C:$C,'Ausgaben 2027'!$C336,Einzelbeträge!$E:$E,'Ausgaben 2027'!G$6)</f>
        <v>0</v>
      </c>
      <c r="H336" s="21">
        <f>SUMIFS(Einzelbeträge!$D:$D,Einzelbeträge!$C:$C,'Ausgaben 2027'!$C336,Einzelbeträge!$E:$E,'Ausgaben 2027'!H$6)</f>
        <v>0</v>
      </c>
      <c r="I336" s="21">
        <f>SUMIFS(Einzelbeträge!$D:$D,Einzelbeträge!$C:$C,'Ausgaben 2027'!$C336,Einzelbeträge!$E:$E,'Ausgaben 2027'!I$6)</f>
        <v>0</v>
      </c>
      <c r="J336" s="21">
        <f>SUMIFS(Einzelbeträge!$D:$D,Einzelbeträge!$C:$C,'Ausgaben 2027'!$C336,Einzelbeträge!$E:$E,'Ausgaben 2027'!J$6)</f>
        <v>0</v>
      </c>
      <c r="K336" s="21">
        <f>SUMIFS(Einzelbeträge!$D:$D,Einzelbeträge!$C:$C,'Ausgaben 2027'!$C336,Einzelbeträge!$E:$E,'Ausgaben 2027'!K$6)</f>
        <v>0</v>
      </c>
      <c r="L336" s="21">
        <f>SUMIFS(Einzelbeträge!$D:$D,Einzelbeträge!$C:$C,'Ausgaben 2027'!$C336,Einzelbeträge!$E:$E,'Ausgaben 2027'!L$6)</f>
        <v>0</v>
      </c>
      <c r="M336" s="21">
        <f>SUMIFS(Einzelbeträge!$D:$D,Einzelbeträge!$C:$C,'Ausgaben 2027'!$C336,Einzelbeträge!$E:$E,'Ausgaben 2027'!M$6)</f>
        <v>0</v>
      </c>
      <c r="N336" s="35">
        <f>SUMIFS(Einzelbeträge!$D:$D,Einzelbeträge!$C:$C,'Ausgaben 2027'!$C336,Einzelbeträge!$E:$E,'Ausgaben 2027'!N$6)</f>
        <v>0</v>
      </c>
      <c r="O336" s="6"/>
    </row>
    <row r="337" spans="2:15" x14ac:dyDescent="0.35">
      <c r="B337" s="5"/>
      <c r="C337" s="40">
        <f t="shared" si="25"/>
        <v>46690</v>
      </c>
      <c r="D337" s="46">
        <f>SUMIFS(Einzelbeträge!$D:$D,Einzelbeträge!$C:$C,'Ausgaben 2027'!$C337)</f>
        <v>0</v>
      </c>
      <c r="E337" s="21">
        <f>SUMIFS(Einzelbeträge!$D:$D,Einzelbeträge!$C:$C,'Ausgaben 2027'!$C337,Einzelbeträge!$E:$E,'Ausgaben 2027'!E$6)</f>
        <v>0</v>
      </c>
      <c r="F337" s="21">
        <f>SUMIFS(Einzelbeträge!$D:$D,Einzelbeträge!$C:$C,'Ausgaben 2027'!$C337,Einzelbeträge!$E:$E,'Ausgaben 2027'!F$6)</f>
        <v>0</v>
      </c>
      <c r="G337" s="21">
        <f>SUMIFS(Einzelbeträge!$D:$D,Einzelbeträge!$C:$C,'Ausgaben 2027'!$C337,Einzelbeträge!$E:$E,'Ausgaben 2027'!G$6)</f>
        <v>0</v>
      </c>
      <c r="H337" s="21">
        <f>SUMIFS(Einzelbeträge!$D:$D,Einzelbeträge!$C:$C,'Ausgaben 2027'!$C337,Einzelbeträge!$E:$E,'Ausgaben 2027'!H$6)</f>
        <v>0</v>
      </c>
      <c r="I337" s="21">
        <f>SUMIFS(Einzelbeträge!$D:$D,Einzelbeträge!$C:$C,'Ausgaben 2027'!$C337,Einzelbeträge!$E:$E,'Ausgaben 2027'!I$6)</f>
        <v>0</v>
      </c>
      <c r="J337" s="21">
        <f>SUMIFS(Einzelbeträge!$D:$D,Einzelbeträge!$C:$C,'Ausgaben 2027'!$C337,Einzelbeträge!$E:$E,'Ausgaben 2027'!J$6)</f>
        <v>0</v>
      </c>
      <c r="K337" s="21">
        <f>SUMIFS(Einzelbeträge!$D:$D,Einzelbeträge!$C:$C,'Ausgaben 2027'!$C337,Einzelbeträge!$E:$E,'Ausgaben 2027'!K$6)</f>
        <v>0</v>
      </c>
      <c r="L337" s="21">
        <f>SUMIFS(Einzelbeträge!$D:$D,Einzelbeträge!$C:$C,'Ausgaben 2027'!$C337,Einzelbeträge!$E:$E,'Ausgaben 2027'!L$6)</f>
        <v>0</v>
      </c>
      <c r="M337" s="21">
        <f>SUMIFS(Einzelbeträge!$D:$D,Einzelbeträge!$C:$C,'Ausgaben 2027'!$C337,Einzelbeträge!$E:$E,'Ausgaben 2027'!M$6)</f>
        <v>0</v>
      </c>
      <c r="N337" s="35">
        <f>SUMIFS(Einzelbeträge!$D:$D,Einzelbeträge!$C:$C,'Ausgaben 2027'!$C337,Einzelbeträge!$E:$E,'Ausgaben 2027'!N$6)</f>
        <v>0</v>
      </c>
      <c r="O337" s="6"/>
    </row>
    <row r="338" spans="2:15" x14ac:dyDescent="0.35">
      <c r="B338" s="5"/>
      <c r="C338" s="31">
        <f t="shared" si="25"/>
        <v>46691</v>
      </c>
      <c r="D338" s="47">
        <f>SUMIFS(Einzelbeträge!$D:$D,Einzelbeträge!$C:$C,'Ausgaben 2027'!$C338)</f>
        <v>0</v>
      </c>
      <c r="E338" s="37">
        <f>SUMIFS(Einzelbeträge!$D:$D,Einzelbeträge!$C:$C,'Ausgaben 2027'!$C338,Einzelbeträge!$E:$E,'Ausgaben 2027'!E$6)</f>
        <v>0</v>
      </c>
      <c r="F338" s="37">
        <f>SUMIFS(Einzelbeträge!$D:$D,Einzelbeträge!$C:$C,'Ausgaben 2027'!$C338,Einzelbeträge!$E:$E,'Ausgaben 2027'!F$6)</f>
        <v>0</v>
      </c>
      <c r="G338" s="37">
        <f>SUMIFS(Einzelbeträge!$D:$D,Einzelbeträge!$C:$C,'Ausgaben 2027'!$C338,Einzelbeträge!$E:$E,'Ausgaben 2027'!G$6)</f>
        <v>0</v>
      </c>
      <c r="H338" s="37">
        <f>SUMIFS(Einzelbeträge!$D:$D,Einzelbeträge!$C:$C,'Ausgaben 2027'!$C338,Einzelbeträge!$E:$E,'Ausgaben 2027'!H$6)</f>
        <v>0</v>
      </c>
      <c r="I338" s="37">
        <f>SUMIFS(Einzelbeträge!$D:$D,Einzelbeträge!$C:$C,'Ausgaben 2027'!$C338,Einzelbeträge!$E:$E,'Ausgaben 2027'!I$6)</f>
        <v>0</v>
      </c>
      <c r="J338" s="37">
        <f>SUMIFS(Einzelbeträge!$D:$D,Einzelbeträge!$C:$C,'Ausgaben 2027'!$C338,Einzelbeträge!$E:$E,'Ausgaben 2027'!J$6)</f>
        <v>0</v>
      </c>
      <c r="K338" s="37">
        <f>SUMIFS(Einzelbeträge!$D:$D,Einzelbeträge!$C:$C,'Ausgaben 2027'!$C338,Einzelbeträge!$E:$E,'Ausgaben 2027'!K$6)</f>
        <v>0</v>
      </c>
      <c r="L338" s="37">
        <f>SUMIFS(Einzelbeträge!$D:$D,Einzelbeträge!$C:$C,'Ausgaben 2027'!$C338,Einzelbeträge!$E:$E,'Ausgaben 2027'!L$6)</f>
        <v>0</v>
      </c>
      <c r="M338" s="37">
        <f>SUMIFS(Einzelbeträge!$D:$D,Einzelbeträge!$C:$C,'Ausgaben 2027'!$C338,Einzelbeträge!$E:$E,'Ausgaben 2027'!M$6)</f>
        <v>0</v>
      </c>
      <c r="N338" s="38">
        <f>SUMIFS(Einzelbeträge!$D:$D,Einzelbeträge!$C:$C,'Ausgaben 2027'!$C338,Einzelbeträge!$E:$E,'Ausgaben 2027'!N$6)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46692</v>
      </c>
      <c r="D342" s="45">
        <f>SUMIFS(Einzelbeträge!$D:$D,Einzelbeträge!$C:$C,'Ausgaben 2027'!$C342)</f>
        <v>0</v>
      </c>
      <c r="E342" s="32">
        <f>SUMIFS(Einzelbeträge!$D:$D,Einzelbeträge!$C:$C,'Ausgaben 2027'!$C342,Einzelbeträge!$E:$E,'Ausgaben 2027'!E$6)</f>
        <v>0</v>
      </c>
      <c r="F342" s="32">
        <f>SUMIFS(Einzelbeträge!$D:$D,Einzelbeträge!$C:$C,'Ausgaben 2027'!$C342,Einzelbeträge!$E:$E,'Ausgaben 2027'!F$6)</f>
        <v>0</v>
      </c>
      <c r="G342" s="32">
        <f>SUMIFS(Einzelbeträge!$D:$D,Einzelbeträge!$C:$C,'Ausgaben 2027'!$C342,Einzelbeträge!$E:$E,'Ausgaben 2027'!G$6)</f>
        <v>0</v>
      </c>
      <c r="H342" s="32">
        <f>SUMIFS(Einzelbeträge!$D:$D,Einzelbeträge!$C:$C,'Ausgaben 2027'!$C342,Einzelbeträge!$E:$E,'Ausgaben 2027'!H$6)</f>
        <v>0</v>
      </c>
      <c r="I342" s="32">
        <f>SUMIFS(Einzelbeträge!$D:$D,Einzelbeträge!$C:$C,'Ausgaben 2027'!$C342,Einzelbeträge!$E:$E,'Ausgaben 2027'!I$6)</f>
        <v>0</v>
      </c>
      <c r="J342" s="32">
        <f>SUMIFS(Einzelbeträge!$D:$D,Einzelbeträge!$C:$C,'Ausgaben 2027'!$C342,Einzelbeträge!$E:$E,'Ausgaben 2027'!J$6)</f>
        <v>0</v>
      </c>
      <c r="K342" s="32">
        <f>SUMIFS(Einzelbeträge!$D:$D,Einzelbeträge!$C:$C,'Ausgaben 2027'!$C342,Einzelbeträge!$E:$E,'Ausgaben 2027'!K$6)</f>
        <v>0</v>
      </c>
      <c r="L342" s="32">
        <f>SUMIFS(Einzelbeträge!$D:$D,Einzelbeträge!$C:$C,'Ausgaben 2027'!$C342,Einzelbeträge!$E:$E,'Ausgaben 2027'!L$6)</f>
        <v>0</v>
      </c>
      <c r="M342" s="32">
        <f>SUMIFS(Einzelbeträge!$D:$D,Einzelbeträge!$C:$C,'Ausgaben 2027'!$C342,Einzelbeträge!$E:$E,'Ausgaben 2027'!M$6)</f>
        <v>0</v>
      </c>
      <c r="N342" s="33">
        <f>SUMIFS(Einzelbeträge!$D:$D,Einzelbeträge!$C:$C,'Ausgaben 2027'!$C342,Einzelbeträge!$E:$E,'Ausgaben 2027'!N$6)</f>
        <v>0</v>
      </c>
      <c r="O342" s="6"/>
    </row>
    <row r="343" spans="2:15" x14ac:dyDescent="0.35">
      <c r="B343" s="5"/>
      <c r="C343" s="30">
        <f>C342+1</f>
        <v>46693</v>
      </c>
      <c r="D343" s="46">
        <f>SUMIFS(Einzelbeträge!$D:$D,Einzelbeträge!$C:$C,'Ausgaben 2027'!$C343)</f>
        <v>0</v>
      </c>
      <c r="E343" s="21">
        <f>SUMIFS(Einzelbeträge!$D:$D,Einzelbeträge!$C:$C,'Ausgaben 2027'!$C343,Einzelbeträge!$E:$E,'Ausgaben 2027'!E$6)</f>
        <v>0</v>
      </c>
      <c r="F343" s="21">
        <f>SUMIFS(Einzelbeträge!$D:$D,Einzelbeträge!$C:$C,'Ausgaben 2027'!$C343,Einzelbeträge!$E:$E,'Ausgaben 2027'!F$6)</f>
        <v>0</v>
      </c>
      <c r="G343" s="21">
        <f>SUMIFS(Einzelbeträge!$D:$D,Einzelbeträge!$C:$C,'Ausgaben 2027'!$C343,Einzelbeträge!$E:$E,'Ausgaben 2027'!G$6)</f>
        <v>0</v>
      </c>
      <c r="H343" s="21">
        <f>SUMIFS(Einzelbeträge!$D:$D,Einzelbeträge!$C:$C,'Ausgaben 2027'!$C343,Einzelbeträge!$E:$E,'Ausgaben 2027'!H$6)</f>
        <v>0</v>
      </c>
      <c r="I343" s="21">
        <f>SUMIFS(Einzelbeträge!$D:$D,Einzelbeträge!$C:$C,'Ausgaben 2027'!$C343,Einzelbeträge!$E:$E,'Ausgaben 2027'!I$6)</f>
        <v>0</v>
      </c>
      <c r="J343" s="21">
        <f>SUMIFS(Einzelbeträge!$D:$D,Einzelbeträge!$C:$C,'Ausgaben 2027'!$C343,Einzelbeträge!$E:$E,'Ausgaben 2027'!J$6)</f>
        <v>0</v>
      </c>
      <c r="K343" s="21">
        <f>SUMIFS(Einzelbeträge!$D:$D,Einzelbeträge!$C:$C,'Ausgaben 2027'!$C343,Einzelbeträge!$E:$E,'Ausgaben 2027'!K$6)</f>
        <v>0</v>
      </c>
      <c r="L343" s="21">
        <f>SUMIFS(Einzelbeträge!$D:$D,Einzelbeträge!$C:$C,'Ausgaben 2027'!$C343,Einzelbeträge!$E:$E,'Ausgaben 2027'!L$6)</f>
        <v>0</v>
      </c>
      <c r="M343" s="21">
        <f>SUMIFS(Einzelbeträge!$D:$D,Einzelbeträge!$C:$C,'Ausgaben 2027'!$C343,Einzelbeträge!$E:$E,'Ausgaben 2027'!M$6)</f>
        <v>0</v>
      </c>
      <c r="N343" s="35">
        <f>SUMIFS(Einzelbeträge!$D:$D,Einzelbeträge!$C:$C,'Ausgaben 2027'!$C343,Einzelbeträge!$E:$E,'Ausgaben 2027'!N$6)</f>
        <v>0</v>
      </c>
      <c r="O343" s="6"/>
    </row>
    <row r="344" spans="2:15" x14ac:dyDescent="0.35">
      <c r="B344" s="5"/>
      <c r="C344" s="30">
        <f t="shared" ref="C344:C371" si="26">C343+1</f>
        <v>46694</v>
      </c>
      <c r="D344" s="46">
        <f>SUMIFS(Einzelbeträge!$D:$D,Einzelbeträge!$C:$C,'Ausgaben 2027'!$C344)</f>
        <v>0</v>
      </c>
      <c r="E344" s="21">
        <f>SUMIFS(Einzelbeträge!$D:$D,Einzelbeträge!$C:$C,'Ausgaben 2027'!$C344,Einzelbeträge!$E:$E,'Ausgaben 2027'!E$6)</f>
        <v>0</v>
      </c>
      <c r="F344" s="21">
        <f>SUMIFS(Einzelbeträge!$D:$D,Einzelbeträge!$C:$C,'Ausgaben 2027'!$C344,Einzelbeträge!$E:$E,'Ausgaben 2027'!F$6)</f>
        <v>0</v>
      </c>
      <c r="G344" s="21">
        <f>SUMIFS(Einzelbeträge!$D:$D,Einzelbeträge!$C:$C,'Ausgaben 2027'!$C344,Einzelbeträge!$E:$E,'Ausgaben 2027'!G$6)</f>
        <v>0</v>
      </c>
      <c r="H344" s="21">
        <f>SUMIFS(Einzelbeträge!$D:$D,Einzelbeträge!$C:$C,'Ausgaben 2027'!$C344,Einzelbeträge!$E:$E,'Ausgaben 2027'!H$6)</f>
        <v>0</v>
      </c>
      <c r="I344" s="21">
        <f>SUMIFS(Einzelbeträge!$D:$D,Einzelbeträge!$C:$C,'Ausgaben 2027'!$C344,Einzelbeträge!$E:$E,'Ausgaben 2027'!I$6)</f>
        <v>0</v>
      </c>
      <c r="J344" s="21">
        <f>SUMIFS(Einzelbeträge!$D:$D,Einzelbeträge!$C:$C,'Ausgaben 2027'!$C344,Einzelbeträge!$E:$E,'Ausgaben 2027'!J$6)</f>
        <v>0</v>
      </c>
      <c r="K344" s="21">
        <f>SUMIFS(Einzelbeträge!$D:$D,Einzelbeträge!$C:$C,'Ausgaben 2027'!$C344,Einzelbeträge!$E:$E,'Ausgaben 2027'!K$6)</f>
        <v>0</v>
      </c>
      <c r="L344" s="21">
        <f>SUMIFS(Einzelbeträge!$D:$D,Einzelbeträge!$C:$C,'Ausgaben 2027'!$C344,Einzelbeträge!$E:$E,'Ausgaben 2027'!L$6)</f>
        <v>0</v>
      </c>
      <c r="M344" s="21">
        <f>SUMIFS(Einzelbeträge!$D:$D,Einzelbeträge!$C:$C,'Ausgaben 2027'!$C344,Einzelbeträge!$E:$E,'Ausgaben 2027'!M$6)</f>
        <v>0</v>
      </c>
      <c r="N344" s="35">
        <f>SUMIFS(Einzelbeträge!$D:$D,Einzelbeträge!$C:$C,'Ausgaben 2027'!$C344,Einzelbeträge!$E:$E,'Ausgaben 2027'!N$6)</f>
        <v>0</v>
      </c>
      <c r="O344" s="6"/>
    </row>
    <row r="345" spans="2:15" x14ac:dyDescent="0.35">
      <c r="B345" s="5"/>
      <c r="C345" s="30">
        <f t="shared" si="26"/>
        <v>46695</v>
      </c>
      <c r="D345" s="46">
        <f>SUMIFS(Einzelbeträge!$D:$D,Einzelbeträge!$C:$C,'Ausgaben 2027'!$C345)</f>
        <v>0</v>
      </c>
      <c r="E345" s="21">
        <f>SUMIFS(Einzelbeträge!$D:$D,Einzelbeträge!$C:$C,'Ausgaben 2027'!$C345,Einzelbeträge!$E:$E,'Ausgaben 2027'!E$6)</f>
        <v>0</v>
      </c>
      <c r="F345" s="21">
        <f>SUMIFS(Einzelbeträge!$D:$D,Einzelbeträge!$C:$C,'Ausgaben 2027'!$C345,Einzelbeträge!$E:$E,'Ausgaben 2027'!F$6)</f>
        <v>0</v>
      </c>
      <c r="G345" s="21">
        <f>SUMIFS(Einzelbeträge!$D:$D,Einzelbeträge!$C:$C,'Ausgaben 2027'!$C345,Einzelbeträge!$E:$E,'Ausgaben 2027'!G$6)</f>
        <v>0</v>
      </c>
      <c r="H345" s="21">
        <f>SUMIFS(Einzelbeträge!$D:$D,Einzelbeträge!$C:$C,'Ausgaben 2027'!$C345,Einzelbeträge!$E:$E,'Ausgaben 2027'!H$6)</f>
        <v>0</v>
      </c>
      <c r="I345" s="21">
        <f>SUMIFS(Einzelbeträge!$D:$D,Einzelbeträge!$C:$C,'Ausgaben 2027'!$C345,Einzelbeträge!$E:$E,'Ausgaben 2027'!I$6)</f>
        <v>0</v>
      </c>
      <c r="J345" s="21">
        <f>SUMIFS(Einzelbeträge!$D:$D,Einzelbeträge!$C:$C,'Ausgaben 2027'!$C345,Einzelbeträge!$E:$E,'Ausgaben 2027'!J$6)</f>
        <v>0</v>
      </c>
      <c r="K345" s="21">
        <f>SUMIFS(Einzelbeträge!$D:$D,Einzelbeträge!$C:$C,'Ausgaben 2027'!$C345,Einzelbeträge!$E:$E,'Ausgaben 2027'!K$6)</f>
        <v>0</v>
      </c>
      <c r="L345" s="21">
        <f>SUMIFS(Einzelbeträge!$D:$D,Einzelbeträge!$C:$C,'Ausgaben 2027'!$C345,Einzelbeträge!$E:$E,'Ausgaben 2027'!L$6)</f>
        <v>0</v>
      </c>
      <c r="M345" s="21">
        <f>SUMIFS(Einzelbeträge!$D:$D,Einzelbeträge!$C:$C,'Ausgaben 2027'!$C345,Einzelbeträge!$E:$E,'Ausgaben 2027'!M$6)</f>
        <v>0</v>
      </c>
      <c r="N345" s="35">
        <f>SUMIFS(Einzelbeträge!$D:$D,Einzelbeträge!$C:$C,'Ausgaben 2027'!$C345,Einzelbeträge!$E:$E,'Ausgaben 2027'!N$6)</f>
        <v>0</v>
      </c>
      <c r="O345" s="6"/>
    </row>
    <row r="346" spans="2:15" x14ac:dyDescent="0.35">
      <c r="B346" s="5"/>
      <c r="C346" s="30">
        <f t="shared" si="26"/>
        <v>46696</v>
      </c>
      <c r="D346" s="46">
        <f>SUMIFS(Einzelbeträge!$D:$D,Einzelbeträge!$C:$C,'Ausgaben 2027'!$C346)</f>
        <v>0</v>
      </c>
      <c r="E346" s="21">
        <f>SUMIFS(Einzelbeträge!$D:$D,Einzelbeträge!$C:$C,'Ausgaben 2027'!$C346,Einzelbeträge!$E:$E,'Ausgaben 2027'!E$6)</f>
        <v>0</v>
      </c>
      <c r="F346" s="21">
        <f>SUMIFS(Einzelbeträge!$D:$D,Einzelbeträge!$C:$C,'Ausgaben 2027'!$C346,Einzelbeträge!$E:$E,'Ausgaben 2027'!F$6)</f>
        <v>0</v>
      </c>
      <c r="G346" s="21">
        <f>SUMIFS(Einzelbeträge!$D:$D,Einzelbeträge!$C:$C,'Ausgaben 2027'!$C346,Einzelbeträge!$E:$E,'Ausgaben 2027'!G$6)</f>
        <v>0</v>
      </c>
      <c r="H346" s="21">
        <f>SUMIFS(Einzelbeträge!$D:$D,Einzelbeträge!$C:$C,'Ausgaben 2027'!$C346,Einzelbeträge!$E:$E,'Ausgaben 2027'!H$6)</f>
        <v>0</v>
      </c>
      <c r="I346" s="21">
        <f>SUMIFS(Einzelbeträge!$D:$D,Einzelbeträge!$C:$C,'Ausgaben 2027'!$C346,Einzelbeträge!$E:$E,'Ausgaben 2027'!I$6)</f>
        <v>0</v>
      </c>
      <c r="J346" s="21">
        <f>SUMIFS(Einzelbeträge!$D:$D,Einzelbeträge!$C:$C,'Ausgaben 2027'!$C346,Einzelbeträge!$E:$E,'Ausgaben 2027'!J$6)</f>
        <v>0</v>
      </c>
      <c r="K346" s="21">
        <f>SUMIFS(Einzelbeträge!$D:$D,Einzelbeträge!$C:$C,'Ausgaben 2027'!$C346,Einzelbeträge!$E:$E,'Ausgaben 2027'!K$6)</f>
        <v>0</v>
      </c>
      <c r="L346" s="21">
        <f>SUMIFS(Einzelbeträge!$D:$D,Einzelbeträge!$C:$C,'Ausgaben 2027'!$C346,Einzelbeträge!$E:$E,'Ausgaben 2027'!L$6)</f>
        <v>0</v>
      </c>
      <c r="M346" s="21">
        <f>SUMIFS(Einzelbeträge!$D:$D,Einzelbeträge!$C:$C,'Ausgaben 2027'!$C346,Einzelbeträge!$E:$E,'Ausgaben 2027'!M$6)</f>
        <v>0</v>
      </c>
      <c r="N346" s="35">
        <f>SUMIFS(Einzelbeträge!$D:$D,Einzelbeträge!$C:$C,'Ausgaben 2027'!$C346,Einzelbeträge!$E:$E,'Ausgaben 2027'!N$6)</f>
        <v>0</v>
      </c>
      <c r="O346" s="6"/>
    </row>
    <row r="347" spans="2:15" x14ac:dyDescent="0.35">
      <c r="B347" s="5"/>
      <c r="C347" s="30">
        <f t="shared" si="26"/>
        <v>46697</v>
      </c>
      <c r="D347" s="46">
        <f>SUMIFS(Einzelbeträge!$D:$D,Einzelbeträge!$C:$C,'Ausgaben 2027'!$C347)</f>
        <v>0</v>
      </c>
      <c r="E347" s="21">
        <f>SUMIFS(Einzelbeträge!$D:$D,Einzelbeträge!$C:$C,'Ausgaben 2027'!$C347,Einzelbeträge!$E:$E,'Ausgaben 2027'!E$6)</f>
        <v>0</v>
      </c>
      <c r="F347" s="21">
        <f>SUMIFS(Einzelbeträge!$D:$D,Einzelbeträge!$C:$C,'Ausgaben 2027'!$C347,Einzelbeträge!$E:$E,'Ausgaben 2027'!F$6)</f>
        <v>0</v>
      </c>
      <c r="G347" s="21">
        <f>SUMIFS(Einzelbeträge!$D:$D,Einzelbeträge!$C:$C,'Ausgaben 2027'!$C347,Einzelbeträge!$E:$E,'Ausgaben 2027'!G$6)</f>
        <v>0</v>
      </c>
      <c r="H347" s="21">
        <f>SUMIFS(Einzelbeträge!$D:$D,Einzelbeträge!$C:$C,'Ausgaben 2027'!$C347,Einzelbeträge!$E:$E,'Ausgaben 2027'!H$6)</f>
        <v>0</v>
      </c>
      <c r="I347" s="21">
        <f>SUMIFS(Einzelbeträge!$D:$D,Einzelbeträge!$C:$C,'Ausgaben 2027'!$C347,Einzelbeträge!$E:$E,'Ausgaben 2027'!I$6)</f>
        <v>0</v>
      </c>
      <c r="J347" s="21">
        <f>SUMIFS(Einzelbeträge!$D:$D,Einzelbeträge!$C:$C,'Ausgaben 2027'!$C347,Einzelbeträge!$E:$E,'Ausgaben 2027'!J$6)</f>
        <v>0</v>
      </c>
      <c r="K347" s="21">
        <f>SUMIFS(Einzelbeträge!$D:$D,Einzelbeträge!$C:$C,'Ausgaben 2027'!$C347,Einzelbeträge!$E:$E,'Ausgaben 2027'!K$6)</f>
        <v>0</v>
      </c>
      <c r="L347" s="21">
        <f>SUMIFS(Einzelbeträge!$D:$D,Einzelbeträge!$C:$C,'Ausgaben 2027'!$C347,Einzelbeträge!$E:$E,'Ausgaben 2027'!L$6)</f>
        <v>0</v>
      </c>
      <c r="M347" s="21">
        <f>SUMIFS(Einzelbeträge!$D:$D,Einzelbeträge!$C:$C,'Ausgaben 2027'!$C347,Einzelbeträge!$E:$E,'Ausgaben 2027'!M$6)</f>
        <v>0</v>
      </c>
      <c r="N347" s="35">
        <f>SUMIFS(Einzelbeträge!$D:$D,Einzelbeträge!$C:$C,'Ausgaben 2027'!$C347,Einzelbeträge!$E:$E,'Ausgaben 2027'!N$6)</f>
        <v>0</v>
      </c>
      <c r="O347" s="6"/>
    </row>
    <row r="348" spans="2:15" x14ac:dyDescent="0.35">
      <c r="B348" s="5"/>
      <c r="C348" s="30">
        <f t="shared" si="26"/>
        <v>46698</v>
      </c>
      <c r="D348" s="46">
        <f>SUMIFS(Einzelbeträge!$D:$D,Einzelbeträge!$C:$C,'Ausgaben 2027'!$C348)</f>
        <v>0</v>
      </c>
      <c r="E348" s="21">
        <f>SUMIFS(Einzelbeträge!$D:$D,Einzelbeträge!$C:$C,'Ausgaben 2027'!$C348,Einzelbeträge!$E:$E,'Ausgaben 2027'!E$6)</f>
        <v>0</v>
      </c>
      <c r="F348" s="21">
        <f>SUMIFS(Einzelbeträge!$D:$D,Einzelbeträge!$C:$C,'Ausgaben 2027'!$C348,Einzelbeträge!$E:$E,'Ausgaben 2027'!F$6)</f>
        <v>0</v>
      </c>
      <c r="G348" s="21">
        <f>SUMIFS(Einzelbeträge!$D:$D,Einzelbeträge!$C:$C,'Ausgaben 2027'!$C348,Einzelbeträge!$E:$E,'Ausgaben 2027'!G$6)</f>
        <v>0</v>
      </c>
      <c r="H348" s="21">
        <f>SUMIFS(Einzelbeträge!$D:$D,Einzelbeträge!$C:$C,'Ausgaben 2027'!$C348,Einzelbeträge!$E:$E,'Ausgaben 2027'!H$6)</f>
        <v>0</v>
      </c>
      <c r="I348" s="21">
        <f>SUMIFS(Einzelbeträge!$D:$D,Einzelbeträge!$C:$C,'Ausgaben 2027'!$C348,Einzelbeträge!$E:$E,'Ausgaben 2027'!I$6)</f>
        <v>0</v>
      </c>
      <c r="J348" s="21">
        <f>SUMIFS(Einzelbeträge!$D:$D,Einzelbeträge!$C:$C,'Ausgaben 2027'!$C348,Einzelbeträge!$E:$E,'Ausgaben 2027'!J$6)</f>
        <v>0</v>
      </c>
      <c r="K348" s="21">
        <f>SUMIFS(Einzelbeträge!$D:$D,Einzelbeträge!$C:$C,'Ausgaben 2027'!$C348,Einzelbeträge!$E:$E,'Ausgaben 2027'!K$6)</f>
        <v>0</v>
      </c>
      <c r="L348" s="21">
        <f>SUMIFS(Einzelbeträge!$D:$D,Einzelbeträge!$C:$C,'Ausgaben 2027'!$C348,Einzelbeträge!$E:$E,'Ausgaben 2027'!L$6)</f>
        <v>0</v>
      </c>
      <c r="M348" s="21">
        <f>SUMIFS(Einzelbeträge!$D:$D,Einzelbeträge!$C:$C,'Ausgaben 2027'!$C348,Einzelbeträge!$E:$E,'Ausgaben 2027'!M$6)</f>
        <v>0</v>
      </c>
      <c r="N348" s="35">
        <f>SUMIFS(Einzelbeträge!$D:$D,Einzelbeträge!$C:$C,'Ausgaben 2027'!$C348,Einzelbeträge!$E:$E,'Ausgaben 2027'!N$6)</f>
        <v>0</v>
      </c>
      <c r="O348" s="6"/>
    </row>
    <row r="349" spans="2:15" x14ac:dyDescent="0.35">
      <c r="B349" s="5"/>
      <c r="C349" s="30">
        <f t="shared" si="26"/>
        <v>46699</v>
      </c>
      <c r="D349" s="46">
        <f>SUMIFS(Einzelbeträge!$D:$D,Einzelbeträge!$C:$C,'Ausgaben 2027'!$C349)</f>
        <v>0</v>
      </c>
      <c r="E349" s="21">
        <f>SUMIFS(Einzelbeträge!$D:$D,Einzelbeträge!$C:$C,'Ausgaben 2027'!$C349,Einzelbeträge!$E:$E,'Ausgaben 2027'!E$6)</f>
        <v>0</v>
      </c>
      <c r="F349" s="21">
        <f>SUMIFS(Einzelbeträge!$D:$D,Einzelbeträge!$C:$C,'Ausgaben 2027'!$C349,Einzelbeträge!$E:$E,'Ausgaben 2027'!F$6)</f>
        <v>0</v>
      </c>
      <c r="G349" s="21">
        <f>SUMIFS(Einzelbeträge!$D:$D,Einzelbeträge!$C:$C,'Ausgaben 2027'!$C349,Einzelbeträge!$E:$E,'Ausgaben 2027'!G$6)</f>
        <v>0</v>
      </c>
      <c r="H349" s="21">
        <f>SUMIFS(Einzelbeträge!$D:$D,Einzelbeträge!$C:$C,'Ausgaben 2027'!$C349,Einzelbeträge!$E:$E,'Ausgaben 2027'!H$6)</f>
        <v>0</v>
      </c>
      <c r="I349" s="21">
        <f>SUMIFS(Einzelbeträge!$D:$D,Einzelbeträge!$C:$C,'Ausgaben 2027'!$C349,Einzelbeträge!$E:$E,'Ausgaben 2027'!I$6)</f>
        <v>0</v>
      </c>
      <c r="J349" s="21">
        <f>SUMIFS(Einzelbeträge!$D:$D,Einzelbeträge!$C:$C,'Ausgaben 2027'!$C349,Einzelbeträge!$E:$E,'Ausgaben 2027'!J$6)</f>
        <v>0</v>
      </c>
      <c r="K349" s="21">
        <f>SUMIFS(Einzelbeträge!$D:$D,Einzelbeträge!$C:$C,'Ausgaben 2027'!$C349,Einzelbeträge!$E:$E,'Ausgaben 2027'!K$6)</f>
        <v>0</v>
      </c>
      <c r="L349" s="21">
        <f>SUMIFS(Einzelbeträge!$D:$D,Einzelbeträge!$C:$C,'Ausgaben 2027'!$C349,Einzelbeträge!$E:$E,'Ausgaben 2027'!L$6)</f>
        <v>0</v>
      </c>
      <c r="M349" s="21">
        <f>SUMIFS(Einzelbeträge!$D:$D,Einzelbeträge!$C:$C,'Ausgaben 2027'!$C349,Einzelbeträge!$E:$E,'Ausgaben 2027'!M$6)</f>
        <v>0</v>
      </c>
      <c r="N349" s="35">
        <f>SUMIFS(Einzelbeträge!$D:$D,Einzelbeträge!$C:$C,'Ausgaben 2027'!$C349,Einzelbeträge!$E:$E,'Ausgaben 2027'!N$6)</f>
        <v>0</v>
      </c>
      <c r="O349" s="6"/>
    </row>
    <row r="350" spans="2:15" x14ac:dyDescent="0.35">
      <c r="B350" s="5"/>
      <c r="C350" s="30">
        <f t="shared" si="26"/>
        <v>46700</v>
      </c>
      <c r="D350" s="46">
        <f>SUMIFS(Einzelbeträge!$D:$D,Einzelbeträge!$C:$C,'Ausgaben 2027'!$C350)</f>
        <v>0</v>
      </c>
      <c r="E350" s="21">
        <f>SUMIFS(Einzelbeträge!$D:$D,Einzelbeträge!$C:$C,'Ausgaben 2027'!$C350,Einzelbeträge!$E:$E,'Ausgaben 2027'!E$6)</f>
        <v>0</v>
      </c>
      <c r="F350" s="21">
        <f>SUMIFS(Einzelbeträge!$D:$D,Einzelbeträge!$C:$C,'Ausgaben 2027'!$C350,Einzelbeträge!$E:$E,'Ausgaben 2027'!F$6)</f>
        <v>0</v>
      </c>
      <c r="G350" s="21">
        <f>SUMIFS(Einzelbeträge!$D:$D,Einzelbeträge!$C:$C,'Ausgaben 2027'!$C350,Einzelbeträge!$E:$E,'Ausgaben 2027'!G$6)</f>
        <v>0</v>
      </c>
      <c r="H350" s="21">
        <f>SUMIFS(Einzelbeträge!$D:$D,Einzelbeträge!$C:$C,'Ausgaben 2027'!$C350,Einzelbeträge!$E:$E,'Ausgaben 2027'!H$6)</f>
        <v>0</v>
      </c>
      <c r="I350" s="21">
        <f>SUMIFS(Einzelbeträge!$D:$D,Einzelbeträge!$C:$C,'Ausgaben 2027'!$C350,Einzelbeträge!$E:$E,'Ausgaben 2027'!I$6)</f>
        <v>0</v>
      </c>
      <c r="J350" s="21">
        <f>SUMIFS(Einzelbeträge!$D:$D,Einzelbeträge!$C:$C,'Ausgaben 2027'!$C350,Einzelbeträge!$E:$E,'Ausgaben 2027'!J$6)</f>
        <v>0</v>
      </c>
      <c r="K350" s="21">
        <f>SUMIFS(Einzelbeträge!$D:$D,Einzelbeträge!$C:$C,'Ausgaben 2027'!$C350,Einzelbeträge!$E:$E,'Ausgaben 2027'!K$6)</f>
        <v>0</v>
      </c>
      <c r="L350" s="21">
        <f>SUMIFS(Einzelbeträge!$D:$D,Einzelbeträge!$C:$C,'Ausgaben 2027'!$C350,Einzelbeträge!$E:$E,'Ausgaben 2027'!L$6)</f>
        <v>0</v>
      </c>
      <c r="M350" s="21">
        <f>SUMIFS(Einzelbeträge!$D:$D,Einzelbeträge!$C:$C,'Ausgaben 2027'!$C350,Einzelbeträge!$E:$E,'Ausgaben 2027'!M$6)</f>
        <v>0</v>
      </c>
      <c r="N350" s="35">
        <f>SUMIFS(Einzelbeträge!$D:$D,Einzelbeträge!$C:$C,'Ausgaben 2027'!$C350,Einzelbeträge!$E:$E,'Ausgaben 2027'!N$6)</f>
        <v>0</v>
      </c>
      <c r="O350" s="6"/>
    </row>
    <row r="351" spans="2:15" x14ac:dyDescent="0.35">
      <c r="B351" s="5"/>
      <c r="C351" s="30">
        <f t="shared" si="26"/>
        <v>46701</v>
      </c>
      <c r="D351" s="46">
        <f>SUMIFS(Einzelbeträge!$D:$D,Einzelbeträge!$C:$C,'Ausgaben 2027'!$C351)</f>
        <v>0</v>
      </c>
      <c r="E351" s="21">
        <f>SUMIFS(Einzelbeträge!$D:$D,Einzelbeträge!$C:$C,'Ausgaben 2027'!$C351,Einzelbeträge!$E:$E,'Ausgaben 2027'!E$6)</f>
        <v>0</v>
      </c>
      <c r="F351" s="21">
        <f>SUMIFS(Einzelbeträge!$D:$D,Einzelbeträge!$C:$C,'Ausgaben 2027'!$C351,Einzelbeträge!$E:$E,'Ausgaben 2027'!F$6)</f>
        <v>0</v>
      </c>
      <c r="G351" s="21">
        <f>SUMIFS(Einzelbeträge!$D:$D,Einzelbeträge!$C:$C,'Ausgaben 2027'!$C351,Einzelbeträge!$E:$E,'Ausgaben 2027'!G$6)</f>
        <v>0</v>
      </c>
      <c r="H351" s="21">
        <f>SUMIFS(Einzelbeträge!$D:$D,Einzelbeträge!$C:$C,'Ausgaben 2027'!$C351,Einzelbeträge!$E:$E,'Ausgaben 2027'!H$6)</f>
        <v>0</v>
      </c>
      <c r="I351" s="21">
        <f>SUMIFS(Einzelbeträge!$D:$D,Einzelbeträge!$C:$C,'Ausgaben 2027'!$C351,Einzelbeträge!$E:$E,'Ausgaben 2027'!I$6)</f>
        <v>0</v>
      </c>
      <c r="J351" s="21">
        <f>SUMIFS(Einzelbeträge!$D:$D,Einzelbeträge!$C:$C,'Ausgaben 2027'!$C351,Einzelbeträge!$E:$E,'Ausgaben 2027'!J$6)</f>
        <v>0</v>
      </c>
      <c r="K351" s="21">
        <f>SUMIFS(Einzelbeträge!$D:$D,Einzelbeträge!$C:$C,'Ausgaben 2027'!$C351,Einzelbeträge!$E:$E,'Ausgaben 2027'!K$6)</f>
        <v>0</v>
      </c>
      <c r="L351" s="21">
        <f>SUMIFS(Einzelbeträge!$D:$D,Einzelbeträge!$C:$C,'Ausgaben 2027'!$C351,Einzelbeträge!$E:$E,'Ausgaben 2027'!L$6)</f>
        <v>0</v>
      </c>
      <c r="M351" s="21">
        <f>SUMIFS(Einzelbeträge!$D:$D,Einzelbeträge!$C:$C,'Ausgaben 2027'!$C351,Einzelbeträge!$E:$E,'Ausgaben 2027'!M$6)</f>
        <v>0</v>
      </c>
      <c r="N351" s="35">
        <f>SUMIFS(Einzelbeträge!$D:$D,Einzelbeträge!$C:$C,'Ausgaben 2027'!$C351,Einzelbeträge!$E:$E,'Ausgaben 2027'!N$6)</f>
        <v>0</v>
      </c>
      <c r="O351" s="6"/>
    </row>
    <row r="352" spans="2:15" x14ac:dyDescent="0.35">
      <c r="B352" s="5"/>
      <c r="C352" s="30">
        <f t="shared" si="26"/>
        <v>46702</v>
      </c>
      <c r="D352" s="46">
        <f>SUMIFS(Einzelbeträge!$D:$D,Einzelbeträge!$C:$C,'Ausgaben 2027'!$C352)</f>
        <v>0</v>
      </c>
      <c r="E352" s="21">
        <f>SUMIFS(Einzelbeträge!$D:$D,Einzelbeträge!$C:$C,'Ausgaben 2027'!$C352,Einzelbeträge!$E:$E,'Ausgaben 2027'!E$6)</f>
        <v>0</v>
      </c>
      <c r="F352" s="21">
        <f>SUMIFS(Einzelbeträge!$D:$D,Einzelbeträge!$C:$C,'Ausgaben 2027'!$C352,Einzelbeträge!$E:$E,'Ausgaben 2027'!F$6)</f>
        <v>0</v>
      </c>
      <c r="G352" s="21">
        <f>SUMIFS(Einzelbeträge!$D:$D,Einzelbeträge!$C:$C,'Ausgaben 2027'!$C352,Einzelbeträge!$E:$E,'Ausgaben 2027'!G$6)</f>
        <v>0</v>
      </c>
      <c r="H352" s="21">
        <f>SUMIFS(Einzelbeträge!$D:$D,Einzelbeträge!$C:$C,'Ausgaben 2027'!$C352,Einzelbeträge!$E:$E,'Ausgaben 2027'!H$6)</f>
        <v>0</v>
      </c>
      <c r="I352" s="21">
        <f>SUMIFS(Einzelbeträge!$D:$D,Einzelbeträge!$C:$C,'Ausgaben 2027'!$C352,Einzelbeträge!$E:$E,'Ausgaben 2027'!I$6)</f>
        <v>0</v>
      </c>
      <c r="J352" s="21">
        <f>SUMIFS(Einzelbeträge!$D:$D,Einzelbeträge!$C:$C,'Ausgaben 2027'!$C352,Einzelbeträge!$E:$E,'Ausgaben 2027'!J$6)</f>
        <v>0</v>
      </c>
      <c r="K352" s="21">
        <f>SUMIFS(Einzelbeträge!$D:$D,Einzelbeträge!$C:$C,'Ausgaben 2027'!$C352,Einzelbeträge!$E:$E,'Ausgaben 2027'!K$6)</f>
        <v>0</v>
      </c>
      <c r="L352" s="21">
        <f>SUMIFS(Einzelbeträge!$D:$D,Einzelbeträge!$C:$C,'Ausgaben 2027'!$C352,Einzelbeträge!$E:$E,'Ausgaben 2027'!L$6)</f>
        <v>0</v>
      </c>
      <c r="M352" s="21">
        <f>SUMIFS(Einzelbeträge!$D:$D,Einzelbeträge!$C:$C,'Ausgaben 2027'!$C352,Einzelbeträge!$E:$E,'Ausgaben 2027'!M$6)</f>
        <v>0</v>
      </c>
      <c r="N352" s="35">
        <f>SUMIFS(Einzelbeträge!$D:$D,Einzelbeträge!$C:$C,'Ausgaben 2027'!$C352,Einzelbeträge!$E:$E,'Ausgaben 2027'!N$6)</f>
        <v>0</v>
      </c>
      <c r="O352" s="6"/>
    </row>
    <row r="353" spans="2:15" x14ac:dyDescent="0.35">
      <c r="B353" s="5"/>
      <c r="C353" s="30">
        <f t="shared" si="26"/>
        <v>46703</v>
      </c>
      <c r="D353" s="46">
        <f>SUMIFS(Einzelbeträge!$D:$D,Einzelbeträge!$C:$C,'Ausgaben 2027'!$C353)</f>
        <v>0</v>
      </c>
      <c r="E353" s="21">
        <f>SUMIFS(Einzelbeträge!$D:$D,Einzelbeträge!$C:$C,'Ausgaben 2027'!$C353,Einzelbeträge!$E:$E,'Ausgaben 2027'!E$6)</f>
        <v>0</v>
      </c>
      <c r="F353" s="21">
        <f>SUMIFS(Einzelbeträge!$D:$D,Einzelbeträge!$C:$C,'Ausgaben 2027'!$C353,Einzelbeträge!$E:$E,'Ausgaben 2027'!F$6)</f>
        <v>0</v>
      </c>
      <c r="G353" s="21">
        <f>SUMIFS(Einzelbeträge!$D:$D,Einzelbeträge!$C:$C,'Ausgaben 2027'!$C353,Einzelbeträge!$E:$E,'Ausgaben 2027'!G$6)</f>
        <v>0</v>
      </c>
      <c r="H353" s="21">
        <f>SUMIFS(Einzelbeträge!$D:$D,Einzelbeträge!$C:$C,'Ausgaben 2027'!$C353,Einzelbeträge!$E:$E,'Ausgaben 2027'!H$6)</f>
        <v>0</v>
      </c>
      <c r="I353" s="21">
        <f>SUMIFS(Einzelbeträge!$D:$D,Einzelbeträge!$C:$C,'Ausgaben 2027'!$C353,Einzelbeträge!$E:$E,'Ausgaben 2027'!I$6)</f>
        <v>0</v>
      </c>
      <c r="J353" s="21">
        <f>SUMIFS(Einzelbeträge!$D:$D,Einzelbeträge!$C:$C,'Ausgaben 2027'!$C353,Einzelbeträge!$E:$E,'Ausgaben 2027'!J$6)</f>
        <v>0</v>
      </c>
      <c r="K353" s="21">
        <f>SUMIFS(Einzelbeträge!$D:$D,Einzelbeträge!$C:$C,'Ausgaben 2027'!$C353,Einzelbeträge!$E:$E,'Ausgaben 2027'!K$6)</f>
        <v>0</v>
      </c>
      <c r="L353" s="21">
        <f>SUMIFS(Einzelbeträge!$D:$D,Einzelbeträge!$C:$C,'Ausgaben 2027'!$C353,Einzelbeträge!$E:$E,'Ausgaben 2027'!L$6)</f>
        <v>0</v>
      </c>
      <c r="M353" s="21">
        <f>SUMIFS(Einzelbeträge!$D:$D,Einzelbeträge!$C:$C,'Ausgaben 2027'!$C353,Einzelbeträge!$E:$E,'Ausgaben 2027'!M$6)</f>
        <v>0</v>
      </c>
      <c r="N353" s="35">
        <f>SUMIFS(Einzelbeträge!$D:$D,Einzelbeträge!$C:$C,'Ausgaben 2027'!$C353,Einzelbeträge!$E:$E,'Ausgaben 2027'!N$6)</f>
        <v>0</v>
      </c>
      <c r="O353" s="6"/>
    </row>
    <row r="354" spans="2:15" x14ac:dyDescent="0.35">
      <c r="B354" s="5"/>
      <c r="C354" s="30">
        <f t="shared" si="26"/>
        <v>46704</v>
      </c>
      <c r="D354" s="46">
        <f>SUMIFS(Einzelbeträge!$D:$D,Einzelbeträge!$C:$C,'Ausgaben 2027'!$C354)</f>
        <v>0</v>
      </c>
      <c r="E354" s="21">
        <f>SUMIFS(Einzelbeträge!$D:$D,Einzelbeträge!$C:$C,'Ausgaben 2027'!$C354,Einzelbeträge!$E:$E,'Ausgaben 2027'!E$6)</f>
        <v>0</v>
      </c>
      <c r="F354" s="21">
        <f>SUMIFS(Einzelbeträge!$D:$D,Einzelbeträge!$C:$C,'Ausgaben 2027'!$C354,Einzelbeträge!$E:$E,'Ausgaben 2027'!F$6)</f>
        <v>0</v>
      </c>
      <c r="G354" s="21">
        <f>SUMIFS(Einzelbeträge!$D:$D,Einzelbeträge!$C:$C,'Ausgaben 2027'!$C354,Einzelbeträge!$E:$E,'Ausgaben 2027'!G$6)</f>
        <v>0</v>
      </c>
      <c r="H354" s="21">
        <f>SUMIFS(Einzelbeträge!$D:$D,Einzelbeträge!$C:$C,'Ausgaben 2027'!$C354,Einzelbeträge!$E:$E,'Ausgaben 2027'!H$6)</f>
        <v>0</v>
      </c>
      <c r="I354" s="21">
        <f>SUMIFS(Einzelbeträge!$D:$D,Einzelbeträge!$C:$C,'Ausgaben 2027'!$C354,Einzelbeträge!$E:$E,'Ausgaben 2027'!I$6)</f>
        <v>0</v>
      </c>
      <c r="J354" s="21">
        <f>SUMIFS(Einzelbeträge!$D:$D,Einzelbeträge!$C:$C,'Ausgaben 2027'!$C354,Einzelbeträge!$E:$E,'Ausgaben 2027'!J$6)</f>
        <v>0</v>
      </c>
      <c r="K354" s="21">
        <f>SUMIFS(Einzelbeträge!$D:$D,Einzelbeträge!$C:$C,'Ausgaben 2027'!$C354,Einzelbeträge!$E:$E,'Ausgaben 2027'!K$6)</f>
        <v>0</v>
      </c>
      <c r="L354" s="21">
        <f>SUMIFS(Einzelbeträge!$D:$D,Einzelbeträge!$C:$C,'Ausgaben 2027'!$C354,Einzelbeträge!$E:$E,'Ausgaben 2027'!L$6)</f>
        <v>0</v>
      </c>
      <c r="M354" s="21">
        <f>SUMIFS(Einzelbeträge!$D:$D,Einzelbeträge!$C:$C,'Ausgaben 2027'!$C354,Einzelbeträge!$E:$E,'Ausgaben 2027'!M$6)</f>
        <v>0</v>
      </c>
      <c r="N354" s="35">
        <f>SUMIFS(Einzelbeträge!$D:$D,Einzelbeträge!$C:$C,'Ausgaben 2027'!$C354,Einzelbeträge!$E:$E,'Ausgaben 2027'!N$6)</f>
        <v>0</v>
      </c>
      <c r="O354" s="6"/>
    </row>
    <row r="355" spans="2:15" x14ac:dyDescent="0.35">
      <c r="B355" s="5"/>
      <c r="C355" s="30">
        <f t="shared" si="26"/>
        <v>46705</v>
      </c>
      <c r="D355" s="46">
        <f>SUMIFS(Einzelbeträge!$D:$D,Einzelbeträge!$C:$C,'Ausgaben 2027'!$C355)</f>
        <v>0</v>
      </c>
      <c r="E355" s="21">
        <f>SUMIFS(Einzelbeträge!$D:$D,Einzelbeträge!$C:$C,'Ausgaben 2027'!$C355,Einzelbeträge!$E:$E,'Ausgaben 2027'!E$6)</f>
        <v>0</v>
      </c>
      <c r="F355" s="21">
        <f>SUMIFS(Einzelbeträge!$D:$D,Einzelbeträge!$C:$C,'Ausgaben 2027'!$C355,Einzelbeträge!$E:$E,'Ausgaben 2027'!F$6)</f>
        <v>0</v>
      </c>
      <c r="G355" s="21">
        <f>SUMIFS(Einzelbeträge!$D:$D,Einzelbeträge!$C:$C,'Ausgaben 2027'!$C355,Einzelbeträge!$E:$E,'Ausgaben 2027'!G$6)</f>
        <v>0</v>
      </c>
      <c r="H355" s="21">
        <f>SUMIFS(Einzelbeträge!$D:$D,Einzelbeträge!$C:$C,'Ausgaben 2027'!$C355,Einzelbeträge!$E:$E,'Ausgaben 2027'!H$6)</f>
        <v>0</v>
      </c>
      <c r="I355" s="21">
        <f>SUMIFS(Einzelbeträge!$D:$D,Einzelbeträge!$C:$C,'Ausgaben 2027'!$C355,Einzelbeträge!$E:$E,'Ausgaben 2027'!I$6)</f>
        <v>0</v>
      </c>
      <c r="J355" s="21">
        <f>SUMIFS(Einzelbeträge!$D:$D,Einzelbeträge!$C:$C,'Ausgaben 2027'!$C355,Einzelbeträge!$E:$E,'Ausgaben 2027'!J$6)</f>
        <v>0</v>
      </c>
      <c r="K355" s="21">
        <f>SUMIFS(Einzelbeträge!$D:$D,Einzelbeträge!$C:$C,'Ausgaben 2027'!$C355,Einzelbeträge!$E:$E,'Ausgaben 2027'!K$6)</f>
        <v>0</v>
      </c>
      <c r="L355" s="21">
        <f>SUMIFS(Einzelbeträge!$D:$D,Einzelbeträge!$C:$C,'Ausgaben 2027'!$C355,Einzelbeträge!$E:$E,'Ausgaben 2027'!L$6)</f>
        <v>0</v>
      </c>
      <c r="M355" s="21">
        <f>SUMIFS(Einzelbeträge!$D:$D,Einzelbeträge!$C:$C,'Ausgaben 2027'!$C355,Einzelbeträge!$E:$E,'Ausgaben 2027'!M$6)</f>
        <v>0</v>
      </c>
      <c r="N355" s="35">
        <f>SUMIFS(Einzelbeträge!$D:$D,Einzelbeträge!$C:$C,'Ausgaben 2027'!$C355,Einzelbeträge!$E:$E,'Ausgaben 2027'!N$6)</f>
        <v>0</v>
      </c>
      <c r="O355" s="6"/>
    </row>
    <row r="356" spans="2:15" x14ac:dyDescent="0.35">
      <c r="B356" s="5"/>
      <c r="C356" s="30">
        <f t="shared" si="26"/>
        <v>46706</v>
      </c>
      <c r="D356" s="46">
        <f>SUMIFS(Einzelbeträge!$D:$D,Einzelbeträge!$C:$C,'Ausgaben 2027'!$C356)</f>
        <v>0</v>
      </c>
      <c r="E356" s="21">
        <f>SUMIFS(Einzelbeträge!$D:$D,Einzelbeträge!$C:$C,'Ausgaben 2027'!$C356,Einzelbeträge!$E:$E,'Ausgaben 2027'!E$6)</f>
        <v>0</v>
      </c>
      <c r="F356" s="21">
        <f>SUMIFS(Einzelbeträge!$D:$D,Einzelbeträge!$C:$C,'Ausgaben 2027'!$C356,Einzelbeträge!$E:$E,'Ausgaben 2027'!F$6)</f>
        <v>0</v>
      </c>
      <c r="G356" s="21">
        <f>SUMIFS(Einzelbeträge!$D:$D,Einzelbeträge!$C:$C,'Ausgaben 2027'!$C356,Einzelbeträge!$E:$E,'Ausgaben 2027'!G$6)</f>
        <v>0</v>
      </c>
      <c r="H356" s="21">
        <f>SUMIFS(Einzelbeträge!$D:$D,Einzelbeträge!$C:$C,'Ausgaben 2027'!$C356,Einzelbeträge!$E:$E,'Ausgaben 2027'!H$6)</f>
        <v>0</v>
      </c>
      <c r="I356" s="21">
        <f>SUMIFS(Einzelbeträge!$D:$D,Einzelbeträge!$C:$C,'Ausgaben 2027'!$C356,Einzelbeträge!$E:$E,'Ausgaben 2027'!I$6)</f>
        <v>0</v>
      </c>
      <c r="J356" s="21">
        <f>SUMIFS(Einzelbeträge!$D:$D,Einzelbeträge!$C:$C,'Ausgaben 2027'!$C356,Einzelbeträge!$E:$E,'Ausgaben 2027'!J$6)</f>
        <v>0</v>
      </c>
      <c r="K356" s="21">
        <f>SUMIFS(Einzelbeträge!$D:$D,Einzelbeträge!$C:$C,'Ausgaben 2027'!$C356,Einzelbeträge!$E:$E,'Ausgaben 2027'!K$6)</f>
        <v>0</v>
      </c>
      <c r="L356" s="21">
        <f>SUMIFS(Einzelbeträge!$D:$D,Einzelbeträge!$C:$C,'Ausgaben 2027'!$C356,Einzelbeträge!$E:$E,'Ausgaben 2027'!L$6)</f>
        <v>0</v>
      </c>
      <c r="M356" s="21">
        <f>SUMIFS(Einzelbeträge!$D:$D,Einzelbeträge!$C:$C,'Ausgaben 2027'!$C356,Einzelbeträge!$E:$E,'Ausgaben 2027'!M$6)</f>
        <v>0</v>
      </c>
      <c r="N356" s="35">
        <f>SUMIFS(Einzelbeträge!$D:$D,Einzelbeträge!$C:$C,'Ausgaben 2027'!$C356,Einzelbeträge!$E:$E,'Ausgaben 2027'!N$6)</f>
        <v>0</v>
      </c>
      <c r="O356" s="6"/>
    </row>
    <row r="357" spans="2:15" x14ac:dyDescent="0.35">
      <c r="B357" s="5"/>
      <c r="C357" s="30">
        <f t="shared" si="26"/>
        <v>46707</v>
      </c>
      <c r="D357" s="46">
        <f>SUMIFS(Einzelbeträge!$D:$D,Einzelbeträge!$C:$C,'Ausgaben 2027'!$C357)</f>
        <v>0</v>
      </c>
      <c r="E357" s="21">
        <f>SUMIFS(Einzelbeträge!$D:$D,Einzelbeträge!$C:$C,'Ausgaben 2027'!$C357,Einzelbeträge!$E:$E,'Ausgaben 2027'!E$6)</f>
        <v>0</v>
      </c>
      <c r="F357" s="21">
        <f>SUMIFS(Einzelbeträge!$D:$D,Einzelbeträge!$C:$C,'Ausgaben 2027'!$C357,Einzelbeträge!$E:$E,'Ausgaben 2027'!F$6)</f>
        <v>0</v>
      </c>
      <c r="G357" s="21">
        <f>SUMIFS(Einzelbeträge!$D:$D,Einzelbeträge!$C:$C,'Ausgaben 2027'!$C357,Einzelbeträge!$E:$E,'Ausgaben 2027'!G$6)</f>
        <v>0</v>
      </c>
      <c r="H357" s="21">
        <f>SUMIFS(Einzelbeträge!$D:$D,Einzelbeträge!$C:$C,'Ausgaben 2027'!$C357,Einzelbeträge!$E:$E,'Ausgaben 2027'!H$6)</f>
        <v>0</v>
      </c>
      <c r="I357" s="21">
        <f>SUMIFS(Einzelbeträge!$D:$D,Einzelbeträge!$C:$C,'Ausgaben 2027'!$C357,Einzelbeträge!$E:$E,'Ausgaben 2027'!I$6)</f>
        <v>0</v>
      </c>
      <c r="J357" s="21">
        <f>SUMIFS(Einzelbeträge!$D:$D,Einzelbeträge!$C:$C,'Ausgaben 2027'!$C357,Einzelbeträge!$E:$E,'Ausgaben 2027'!J$6)</f>
        <v>0</v>
      </c>
      <c r="K357" s="21">
        <f>SUMIFS(Einzelbeträge!$D:$D,Einzelbeträge!$C:$C,'Ausgaben 2027'!$C357,Einzelbeträge!$E:$E,'Ausgaben 2027'!K$6)</f>
        <v>0</v>
      </c>
      <c r="L357" s="21">
        <f>SUMIFS(Einzelbeträge!$D:$D,Einzelbeträge!$C:$C,'Ausgaben 2027'!$C357,Einzelbeträge!$E:$E,'Ausgaben 2027'!L$6)</f>
        <v>0</v>
      </c>
      <c r="M357" s="21">
        <f>SUMIFS(Einzelbeträge!$D:$D,Einzelbeträge!$C:$C,'Ausgaben 2027'!$C357,Einzelbeträge!$E:$E,'Ausgaben 2027'!M$6)</f>
        <v>0</v>
      </c>
      <c r="N357" s="35">
        <f>SUMIFS(Einzelbeträge!$D:$D,Einzelbeträge!$C:$C,'Ausgaben 2027'!$C357,Einzelbeträge!$E:$E,'Ausgaben 2027'!N$6)</f>
        <v>0</v>
      </c>
      <c r="O357" s="6"/>
    </row>
    <row r="358" spans="2:15" x14ac:dyDescent="0.35">
      <c r="B358" s="5"/>
      <c r="C358" s="30">
        <f t="shared" si="26"/>
        <v>46708</v>
      </c>
      <c r="D358" s="46">
        <f>SUMIFS(Einzelbeträge!$D:$D,Einzelbeträge!$C:$C,'Ausgaben 2027'!$C358)</f>
        <v>0</v>
      </c>
      <c r="E358" s="21">
        <f>SUMIFS(Einzelbeträge!$D:$D,Einzelbeträge!$C:$C,'Ausgaben 2027'!$C358,Einzelbeträge!$E:$E,'Ausgaben 2027'!E$6)</f>
        <v>0</v>
      </c>
      <c r="F358" s="21">
        <f>SUMIFS(Einzelbeträge!$D:$D,Einzelbeträge!$C:$C,'Ausgaben 2027'!$C358,Einzelbeträge!$E:$E,'Ausgaben 2027'!F$6)</f>
        <v>0</v>
      </c>
      <c r="G358" s="21">
        <f>SUMIFS(Einzelbeträge!$D:$D,Einzelbeträge!$C:$C,'Ausgaben 2027'!$C358,Einzelbeträge!$E:$E,'Ausgaben 2027'!G$6)</f>
        <v>0</v>
      </c>
      <c r="H358" s="21">
        <f>SUMIFS(Einzelbeträge!$D:$D,Einzelbeträge!$C:$C,'Ausgaben 2027'!$C358,Einzelbeträge!$E:$E,'Ausgaben 2027'!H$6)</f>
        <v>0</v>
      </c>
      <c r="I358" s="21">
        <f>SUMIFS(Einzelbeträge!$D:$D,Einzelbeträge!$C:$C,'Ausgaben 2027'!$C358,Einzelbeträge!$E:$E,'Ausgaben 2027'!I$6)</f>
        <v>0</v>
      </c>
      <c r="J358" s="21">
        <f>SUMIFS(Einzelbeträge!$D:$D,Einzelbeträge!$C:$C,'Ausgaben 2027'!$C358,Einzelbeträge!$E:$E,'Ausgaben 2027'!J$6)</f>
        <v>0</v>
      </c>
      <c r="K358" s="21">
        <f>SUMIFS(Einzelbeträge!$D:$D,Einzelbeträge!$C:$C,'Ausgaben 2027'!$C358,Einzelbeträge!$E:$E,'Ausgaben 2027'!K$6)</f>
        <v>0</v>
      </c>
      <c r="L358" s="21">
        <f>SUMIFS(Einzelbeträge!$D:$D,Einzelbeträge!$C:$C,'Ausgaben 2027'!$C358,Einzelbeträge!$E:$E,'Ausgaben 2027'!L$6)</f>
        <v>0</v>
      </c>
      <c r="M358" s="21">
        <f>SUMIFS(Einzelbeträge!$D:$D,Einzelbeträge!$C:$C,'Ausgaben 2027'!$C358,Einzelbeträge!$E:$E,'Ausgaben 2027'!M$6)</f>
        <v>0</v>
      </c>
      <c r="N358" s="35">
        <f>SUMIFS(Einzelbeträge!$D:$D,Einzelbeträge!$C:$C,'Ausgaben 2027'!$C358,Einzelbeträge!$E:$E,'Ausgaben 2027'!N$6)</f>
        <v>0</v>
      </c>
      <c r="O358" s="6"/>
    </row>
    <row r="359" spans="2:15" x14ac:dyDescent="0.35">
      <c r="B359" s="5"/>
      <c r="C359" s="30">
        <f t="shared" si="26"/>
        <v>46709</v>
      </c>
      <c r="D359" s="46">
        <f>SUMIFS(Einzelbeträge!$D:$D,Einzelbeträge!$C:$C,'Ausgaben 2027'!$C359)</f>
        <v>0</v>
      </c>
      <c r="E359" s="21">
        <f>SUMIFS(Einzelbeträge!$D:$D,Einzelbeträge!$C:$C,'Ausgaben 2027'!$C359,Einzelbeträge!$E:$E,'Ausgaben 2027'!E$6)</f>
        <v>0</v>
      </c>
      <c r="F359" s="21">
        <f>SUMIFS(Einzelbeträge!$D:$D,Einzelbeträge!$C:$C,'Ausgaben 2027'!$C359,Einzelbeträge!$E:$E,'Ausgaben 2027'!F$6)</f>
        <v>0</v>
      </c>
      <c r="G359" s="21">
        <f>SUMIFS(Einzelbeträge!$D:$D,Einzelbeträge!$C:$C,'Ausgaben 2027'!$C359,Einzelbeträge!$E:$E,'Ausgaben 2027'!G$6)</f>
        <v>0</v>
      </c>
      <c r="H359" s="21">
        <f>SUMIFS(Einzelbeträge!$D:$D,Einzelbeträge!$C:$C,'Ausgaben 2027'!$C359,Einzelbeträge!$E:$E,'Ausgaben 2027'!H$6)</f>
        <v>0</v>
      </c>
      <c r="I359" s="21">
        <f>SUMIFS(Einzelbeträge!$D:$D,Einzelbeträge!$C:$C,'Ausgaben 2027'!$C359,Einzelbeträge!$E:$E,'Ausgaben 2027'!I$6)</f>
        <v>0</v>
      </c>
      <c r="J359" s="21">
        <f>SUMIFS(Einzelbeträge!$D:$D,Einzelbeträge!$C:$C,'Ausgaben 2027'!$C359,Einzelbeträge!$E:$E,'Ausgaben 2027'!J$6)</f>
        <v>0</v>
      </c>
      <c r="K359" s="21">
        <f>SUMIFS(Einzelbeträge!$D:$D,Einzelbeträge!$C:$C,'Ausgaben 2027'!$C359,Einzelbeträge!$E:$E,'Ausgaben 2027'!K$6)</f>
        <v>0</v>
      </c>
      <c r="L359" s="21">
        <f>SUMIFS(Einzelbeträge!$D:$D,Einzelbeträge!$C:$C,'Ausgaben 2027'!$C359,Einzelbeträge!$E:$E,'Ausgaben 2027'!L$6)</f>
        <v>0</v>
      </c>
      <c r="M359" s="21">
        <f>SUMIFS(Einzelbeträge!$D:$D,Einzelbeträge!$C:$C,'Ausgaben 2027'!$C359,Einzelbeträge!$E:$E,'Ausgaben 2027'!M$6)</f>
        <v>0</v>
      </c>
      <c r="N359" s="35">
        <f>SUMIFS(Einzelbeträge!$D:$D,Einzelbeträge!$C:$C,'Ausgaben 2027'!$C359,Einzelbeträge!$E:$E,'Ausgaben 2027'!N$6)</f>
        <v>0</v>
      </c>
      <c r="O359" s="6"/>
    </row>
    <row r="360" spans="2:15" x14ac:dyDescent="0.35">
      <c r="B360" s="5"/>
      <c r="C360" s="30">
        <f t="shared" si="26"/>
        <v>46710</v>
      </c>
      <c r="D360" s="46">
        <f>SUMIFS(Einzelbeträge!$D:$D,Einzelbeträge!$C:$C,'Ausgaben 2027'!$C360)</f>
        <v>0</v>
      </c>
      <c r="E360" s="21">
        <f>SUMIFS(Einzelbeträge!$D:$D,Einzelbeträge!$C:$C,'Ausgaben 2027'!$C360,Einzelbeträge!$E:$E,'Ausgaben 2027'!E$6)</f>
        <v>0</v>
      </c>
      <c r="F360" s="21">
        <f>SUMIFS(Einzelbeträge!$D:$D,Einzelbeträge!$C:$C,'Ausgaben 2027'!$C360,Einzelbeträge!$E:$E,'Ausgaben 2027'!F$6)</f>
        <v>0</v>
      </c>
      <c r="G360" s="21">
        <f>SUMIFS(Einzelbeträge!$D:$D,Einzelbeträge!$C:$C,'Ausgaben 2027'!$C360,Einzelbeträge!$E:$E,'Ausgaben 2027'!G$6)</f>
        <v>0</v>
      </c>
      <c r="H360" s="21">
        <f>SUMIFS(Einzelbeträge!$D:$D,Einzelbeträge!$C:$C,'Ausgaben 2027'!$C360,Einzelbeträge!$E:$E,'Ausgaben 2027'!H$6)</f>
        <v>0</v>
      </c>
      <c r="I360" s="21">
        <f>SUMIFS(Einzelbeträge!$D:$D,Einzelbeträge!$C:$C,'Ausgaben 2027'!$C360,Einzelbeträge!$E:$E,'Ausgaben 2027'!I$6)</f>
        <v>0</v>
      </c>
      <c r="J360" s="21">
        <f>SUMIFS(Einzelbeträge!$D:$D,Einzelbeträge!$C:$C,'Ausgaben 2027'!$C360,Einzelbeträge!$E:$E,'Ausgaben 2027'!J$6)</f>
        <v>0</v>
      </c>
      <c r="K360" s="21">
        <f>SUMIFS(Einzelbeträge!$D:$D,Einzelbeträge!$C:$C,'Ausgaben 2027'!$C360,Einzelbeträge!$E:$E,'Ausgaben 2027'!K$6)</f>
        <v>0</v>
      </c>
      <c r="L360" s="21">
        <f>SUMIFS(Einzelbeträge!$D:$D,Einzelbeträge!$C:$C,'Ausgaben 2027'!$C360,Einzelbeträge!$E:$E,'Ausgaben 2027'!L$6)</f>
        <v>0</v>
      </c>
      <c r="M360" s="21">
        <f>SUMIFS(Einzelbeträge!$D:$D,Einzelbeträge!$C:$C,'Ausgaben 2027'!$C360,Einzelbeträge!$E:$E,'Ausgaben 2027'!M$6)</f>
        <v>0</v>
      </c>
      <c r="N360" s="35">
        <f>SUMIFS(Einzelbeträge!$D:$D,Einzelbeträge!$C:$C,'Ausgaben 2027'!$C360,Einzelbeträge!$E:$E,'Ausgaben 2027'!N$6)</f>
        <v>0</v>
      </c>
      <c r="O360" s="6"/>
    </row>
    <row r="361" spans="2:15" x14ac:dyDescent="0.35">
      <c r="B361" s="5"/>
      <c r="C361" s="30">
        <f t="shared" si="26"/>
        <v>46711</v>
      </c>
      <c r="D361" s="46">
        <f>SUMIFS(Einzelbeträge!$D:$D,Einzelbeträge!$C:$C,'Ausgaben 2027'!$C361)</f>
        <v>0</v>
      </c>
      <c r="E361" s="21">
        <f>SUMIFS(Einzelbeträge!$D:$D,Einzelbeträge!$C:$C,'Ausgaben 2027'!$C361,Einzelbeträge!$E:$E,'Ausgaben 2027'!E$6)</f>
        <v>0</v>
      </c>
      <c r="F361" s="21">
        <f>SUMIFS(Einzelbeträge!$D:$D,Einzelbeträge!$C:$C,'Ausgaben 2027'!$C361,Einzelbeträge!$E:$E,'Ausgaben 2027'!F$6)</f>
        <v>0</v>
      </c>
      <c r="G361" s="21">
        <f>SUMIFS(Einzelbeträge!$D:$D,Einzelbeträge!$C:$C,'Ausgaben 2027'!$C361,Einzelbeträge!$E:$E,'Ausgaben 2027'!G$6)</f>
        <v>0</v>
      </c>
      <c r="H361" s="21">
        <f>SUMIFS(Einzelbeträge!$D:$D,Einzelbeträge!$C:$C,'Ausgaben 2027'!$C361,Einzelbeträge!$E:$E,'Ausgaben 2027'!H$6)</f>
        <v>0</v>
      </c>
      <c r="I361" s="21">
        <f>SUMIFS(Einzelbeträge!$D:$D,Einzelbeträge!$C:$C,'Ausgaben 2027'!$C361,Einzelbeträge!$E:$E,'Ausgaben 2027'!I$6)</f>
        <v>0</v>
      </c>
      <c r="J361" s="21">
        <f>SUMIFS(Einzelbeträge!$D:$D,Einzelbeträge!$C:$C,'Ausgaben 2027'!$C361,Einzelbeträge!$E:$E,'Ausgaben 2027'!J$6)</f>
        <v>0</v>
      </c>
      <c r="K361" s="21">
        <f>SUMIFS(Einzelbeträge!$D:$D,Einzelbeträge!$C:$C,'Ausgaben 2027'!$C361,Einzelbeträge!$E:$E,'Ausgaben 2027'!K$6)</f>
        <v>0</v>
      </c>
      <c r="L361" s="21">
        <f>SUMIFS(Einzelbeträge!$D:$D,Einzelbeträge!$C:$C,'Ausgaben 2027'!$C361,Einzelbeträge!$E:$E,'Ausgaben 2027'!L$6)</f>
        <v>0</v>
      </c>
      <c r="M361" s="21">
        <f>SUMIFS(Einzelbeträge!$D:$D,Einzelbeträge!$C:$C,'Ausgaben 2027'!$C361,Einzelbeträge!$E:$E,'Ausgaben 2027'!M$6)</f>
        <v>0</v>
      </c>
      <c r="N361" s="35">
        <f>SUMIFS(Einzelbeträge!$D:$D,Einzelbeträge!$C:$C,'Ausgaben 2027'!$C361,Einzelbeträge!$E:$E,'Ausgaben 2027'!N$6)</f>
        <v>0</v>
      </c>
      <c r="O361" s="6"/>
    </row>
    <row r="362" spans="2:15" x14ac:dyDescent="0.35">
      <c r="B362" s="5"/>
      <c r="C362" s="30">
        <f t="shared" si="26"/>
        <v>46712</v>
      </c>
      <c r="D362" s="46">
        <f>SUMIFS(Einzelbeträge!$D:$D,Einzelbeträge!$C:$C,'Ausgaben 2027'!$C362)</f>
        <v>0</v>
      </c>
      <c r="E362" s="21">
        <f>SUMIFS(Einzelbeträge!$D:$D,Einzelbeträge!$C:$C,'Ausgaben 2027'!$C362,Einzelbeträge!$E:$E,'Ausgaben 2027'!E$6)</f>
        <v>0</v>
      </c>
      <c r="F362" s="21">
        <f>SUMIFS(Einzelbeträge!$D:$D,Einzelbeträge!$C:$C,'Ausgaben 2027'!$C362,Einzelbeträge!$E:$E,'Ausgaben 2027'!F$6)</f>
        <v>0</v>
      </c>
      <c r="G362" s="21">
        <f>SUMIFS(Einzelbeträge!$D:$D,Einzelbeträge!$C:$C,'Ausgaben 2027'!$C362,Einzelbeträge!$E:$E,'Ausgaben 2027'!G$6)</f>
        <v>0</v>
      </c>
      <c r="H362" s="21">
        <f>SUMIFS(Einzelbeträge!$D:$D,Einzelbeträge!$C:$C,'Ausgaben 2027'!$C362,Einzelbeträge!$E:$E,'Ausgaben 2027'!H$6)</f>
        <v>0</v>
      </c>
      <c r="I362" s="21">
        <f>SUMIFS(Einzelbeträge!$D:$D,Einzelbeträge!$C:$C,'Ausgaben 2027'!$C362,Einzelbeträge!$E:$E,'Ausgaben 2027'!I$6)</f>
        <v>0</v>
      </c>
      <c r="J362" s="21">
        <f>SUMIFS(Einzelbeträge!$D:$D,Einzelbeträge!$C:$C,'Ausgaben 2027'!$C362,Einzelbeträge!$E:$E,'Ausgaben 2027'!J$6)</f>
        <v>0</v>
      </c>
      <c r="K362" s="21">
        <f>SUMIFS(Einzelbeträge!$D:$D,Einzelbeträge!$C:$C,'Ausgaben 2027'!$C362,Einzelbeträge!$E:$E,'Ausgaben 2027'!K$6)</f>
        <v>0</v>
      </c>
      <c r="L362" s="21">
        <f>SUMIFS(Einzelbeträge!$D:$D,Einzelbeträge!$C:$C,'Ausgaben 2027'!$C362,Einzelbeträge!$E:$E,'Ausgaben 2027'!L$6)</f>
        <v>0</v>
      </c>
      <c r="M362" s="21">
        <f>SUMIFS(Einzelbeträge!$D:$D,Einzelbeträge!$C:$C,'Ausgaben 2027'!$C362,Einzelbeträge!$E:$E,'Ausgaben 2027'!M$6)</f>
        <v>0</v>
      </c>
      <c r="N362" s="35">
        <f>SUMIFS(Einzelbeträge!$D:$D,Einzelbeträge!$C:$C,'Ausgaben 2027'!$C362,Einzelbeträge!$E:$E,'Ausgaben 2027'!N$6)</f>
        <v>0</v>
      </c>
      <c r="O362" s="6"/>
    </row>
    <row r="363" spans="2:15" x14ac:dyDescent="0.35">
      <c r="B363" s="5"/>
      <c r="C363" s="30">
        <f t="shared" si="26"/>
        <v>46713</v>
      </c>
      <c r="D363" s="46">
        <f>SUMIFS(Einzelbeträge!$D:$D,Einzelbeträge!$C:$C,'Ausgaben 2027'!$C363)</f>
        <v>0</v>
      </c>
      <c r="E363" s="21">
        <f>SUMIFS(Einzelbeträge!$D:$D,Einzelbeträge!$C:$C,'Ausgaben 2027'!$C363,Einzelbeträge!$E:$E,'Ausgaben 2027'!E$6)</f>
        <v>0</v>
      </c>
      <c r="F363" s="21">
        <f>SUMIFS(Einzelbeträge!$D:$D,Einzelbeträge!$C:$C,'Ausgaben 2027'!$C363,Einzelbeträge!$E:$E,'Ausgaben 2027'!F$6)</f>
        <v>0</v>
      </c>
      <c r="G363" s="21">
        <f>SUMIFS(Einzelbeträge!$D:$D,Einzelbeträge!$C:$C,'Ausgaben 2027'!$C363,Einzelbeträge!$E:$E,'Ausgaben 2027'!G$6)</f>
        <v>0</v>
      </c>
      <c r="H363" s="21">
        <f>SUMIFS(Einzelbeträge!$D:$D,Einzelbeträge!$C:$C,'Ausgaben 2027'!$C363,Einzelbeträge!$E:$E,'Ausgaben 2027'!H$6)</f>
        <v>0</v>
      </c>
      <c r="I363" s="21">
        <f>SUMIFS(Einzelbeträge!$D:$D,Einzelbeträge!$C:$C,'Ausgaben 2027'!$C363,Einzelbeträge!$E:$E,'Ausgaben 2027'!I$6)</f>
        <v>0</v>
      </c>
      <c r="J363" s="21">
        <f>SUMIFS(Einzelbeträge!$D:$D,Einzelbeträge!$C:$C,'Ausgaben 2027'!$C363,Einzelbeträge!$E:$E,'Ausgaben 2027'!J$6)</f>
        <v>0</v>
      </c>
      <c r="K363" s="21">
        <f>SUMIFS(Einzelbeträge!$D:$D,Einzelbeträge!$C:$C,'Ausgaben 2027'!$C363,Einzelbeträge!$E:$E,'Ausgaben 2027'!K$6)</f>
        <v>0</v>
      </c>
      <c r="L363" s="21">
        <f>SUMIFS(Einzelbeträge!$D:$D,Einzelbeträge!$C:$C,'Ausgaben 2027'!$C363,Einzelbeträge!$E:$E,'Ausgaben 2027'!L$6)</f>
        <v>0</v>
      </c>
      <c r="M363" s="21">
        <f>SUMIFS(Einzelbeträge!$D:$D,Einzelbeträge!$C:$C,'Ausgaben 2027'!$C363,Einzelbeträge!$E:$E,'Ausgaben 2027'!M$6)</f>
        <v>0</v>
      </c>
      <c r="N363" s="35">
        <f>SUMIFS(Einzelbeträge!$D:$D,Einzelbeträge!$C:$C,'Ausgaben 2027'!$C363,Einzelbeträge!$E:$E,'Ausgaben 2027'!N$6)</f>
        <v>0</v>
      </c>
      <c r="O363" s="6"/>
    </row>
    <row r="364" spans="2:15" x14ac:dyDescent="0.35">
      <c r="B364" s="5"/>
      <c r="C364" s="30">
        <f t="shared" si="26"/>
        <v>46714</v>
      </c>
      <c r="D364" s="46">
        <f>SUMIFS(Einzelbeträge!$D:$D,Einzelbeträge!$C:$C,'Ausgaben 2027'!$C364)</f>
        <v>0</v>
      </c>
      <c r="E364" s="21">
        <f>SUMIFS(Einzelbeträge!$D:$D,Einzelbeträge!$C:$C,'Ausgaben 2027'!$C364,Einzelbeträge!$E:$E,'Ausgaben 2027'!E$6)</f>
        <v>0</v>
      </c>
      <c r="F364" s="21">
        <f>SUMIFS(Einzelbeträge!$D:$D,Einzelbeträge!$C:$C,'Ausgaben 2027'!$C364,Einzelbeträge!$E:$E,'Ausgaben 2027'!F$6)</f>
        <v>0</v>
      </c>
      <c r="G364" s="21">
        <f>SUMIFS(Einzelbeträge!$D:$D,Einzelbeträge!$C:$C,'Ausgaben 2027'!$C364,Einzelbeträge!$E:$E,'Ausgaben 2027'!G$6)</f>
        <v>0</v>
      </c>
      <c r="H364" s="21">
        <f>SUMIFS(Einzelbeträge!$D:$D,Einzelbeträge!$C:$C,'Ausgaben 2027'!$C364,Einzelbeträge!$E:$E,'Ausgaben 2027'!H$6)</f>
        <v>0</v>
      </c>
      <c r="I364" s="21">
        <f>SUMIFS(Einzelbeträge!$D:$D,Einzelbeträge!$C:$C,'Ausgaben 2027'!$C364,Einzelbeträge!$E:$E,'Ausgaben 2027'!I$6)</f>
        <v>0</v>
      </c>
      <c r="J364" s="21">
        <f>SUMIFS(Einzelbeträge!$D:$D,Einzelbeträge!$C:$C,'Ausgaben 2027'!$C364,Einzelbeträge!$E:$E,'Ausgaben 2027'!J$6)</f>
        <v>0</v>
      </c>
      <c r="K364" s="21">
        <f>SUMIFS(Einzelbeträge!$D:$D,Einzelbeträge!$C:$C,'Ausgaben 2027'!$C364,Einzelbeträge!$E:$E,'Ausgaben 2027'!K$6)</f>
        <v>0</v>
      </c>
      <c r="L364" s="21">
        <f>SUMIFS(Einzelbeträge!$D:$D,Einzelbeträge!$C:$C,'Ausgaben 2027'!$C364,Einzelbeträge!$E:$E,'Ausgaben 2027'!L$6)</f>
        <v>0</v>
      </c>
      <c r="M364" s="21">
        <f>SUMIFS(Einzelbeträge!$D:$D,Einzelbeträge!$C:$C,'Ausgaben 2027'!$C364,Einzelbeträge!$E:$E,'Ausgaben 2027'!M$6)</f>
        <v>0</v>
      </c>
      <c r="N364" s="35">
        <f>SUMIFS(Einzelbeträge!$D:$D,Einzelbeträge!$C:$C,'Ausgaben 2027'!$C364,Einzelbeträge!$E:$E,'Ausgaben 2027'!N$6)</f>
        <v>0</v>
      </c>
      <c r="O364" s="6"/>
    </row>
    <row r="365" spans="2:15" x14ac:dyDescent="0.35">
      <c r="B365" s="5"/>
      <c r="C365" s="30">
        <f t="shared" si="26"/>
        <v>46715</v>
      </c>
      <c r="D365" s="46">
        <f>SUMIFS(Einzelbeträge!$D:$D,Einzelbeträge!$C:$C,'Ausgaben 2027'!$C365)</f>
        <v>0</v>
      </c>
      <c r="E365" s="21">
        <f>SUMIFS(Einzelbeträge!$D:$D,Einzelbeträge!$C:$C,'Ausgaben 2027'!$C365,Einzelbeträge!$E:$E,'Ausgaben 2027'!E$6)</f>
        <v>0</v>
      </c>
      <c r="F365" s="21">
        <f>SUMIFS(Einzelbeträge!$D:$D,Einzelbeträge!$C:$C,'Ausgaben 2027'!$C365,Einzelbeträge!$E:$E,'Ausgaben 2027'!F$6)</f>
        <v>0</v>
      </c>
      <c r="G365" s="21">
        <f>SUMIFS(Einzelbeträge!$D:$D,Einzelbeträge!$C:$C,'Ausgaben 2027'!$C365,Einzelbeträge!$E:$E,'Ausgaben 2027'!G$6)</f>
        <v>0</v>
      </c>
      <c r="H365" s="21">
        <f>SUMIFS(Einzelbeträge!$D:$D,Einzelbeträge!$C:$C,'Ausgaben 2027'!$C365,Einzelbeträge!$E:$E,'Ausgaben 2027'!H$6)</f>
        <v>0</v>
      </c>
      <c r="I365" s="21">
        <f>SUMIFS(Einzelbeträge!$D:$D,Einzelbeträge!$C:$C,'Ausgaben 2027'!$C365,Einzelbeträge!$E:$E,'Ausgaben 2027'!I$6)</f>
        <v>0</v>
      </c>
      <c r="J365" s="21">
        <f>SUMIFS(Einzelbeträge!$D:$D,Einzelbeträge!$C:$C,'Ausgaben 2027'!$C365,Einzelbeträge!$E:$E,'Ausgaben 2027'!J$6)</f>
        <v>0</v>
      </c>
      <c r="K365" s="21">
        <f>SUMIFS(Einzelbeträge!$D:$D,Einzelbeträge!$C:$C,'Ausgaben 2027'!$C365,Einzelbeträge!$E:$E,'Ausgaben 2027'!K$6)</f>
        <v>0</v>
      </c>
      <c r="L365" s="21">
        <f>SUMIFS(Einzelbeträge!$D:$D,Einzelbeträge!$C:$C,'Ausgaben 2027'!$C365,Einzelbeträge!$E:$E,'Ausgaben 2027'!L$6)</f>
        <v>0</v>
      </c>
      <c r="M365" s="21">
        <f>SUMIFS(Einzelbeträge!$D:$D,Einzelbeträge!$C:$C,'Ausgaben 2027'!$C365,Einzelbeträge!$E:$E,'Ausgaben 2027'!M$6)</f>
        <v>0</v>
      </c>
      <c r="N365" s="35">
        <f>SUMIFS(Einzelbeträge!$D:$D,Einzelbeträge!$C:$C,'Ausgaben 2027'!$C365,Einzelbeträge!$E:$E,'Ausgaben 2027'!N$6)</f>
        <v>0</v>
      </c>
      <c r="O365" s="6"/>
    </row>
    <row r="366" spans="2:15" x14ac:dyDescent="0.35">
      <c r="B366" s="5"/>
      <c r="C366" s="30">
        <f t="shared" si="26"/>
        <v>46716</v>
      </c>
      <c r="D366" s="46">
        <f>SUMIFS(Einzelbeträge!$D:$D,Einzelbeträge!$C:$C,'Ausgaben 2027'!$C366)</f>
        <v>0</v>
      </c>
      <c r="E366" s="21">
        <f>SUMIFS(Einzelbeträge!$D:$D,Einzelbeträge!$C:$C,'Ausgaben 2027'!$C366,Einzelbeträge!$E:$E,'Ausgaben 2027'!E$6)</f>
        <v>0</v>
      </c>
      <c r="F366" s="21">
        <f>SUMIFS(Einzelbeträge!$D:$D,Einzelbeträge!$C:$C,'Ausgaben 2027'!$C366,Einzelbeträge!$E:$E,'Ausgaben 2027'!F$6)</f>
        <v>0</v>
      </c>
      <c r="G366" s="21">
        <f>SUMIFS(Einzelbeträge!$D:$D,Einzelbeträge!$C:$C,'Ausgaben 2027'!$C366,Einzelbeträge!$E:$E,'Ausgaben 2027'!G$6)</f>
        <v>0</v>
      </c>
      <c r="H366" s="21">
        <f>SUMIFS(Einzelbeträge!$D:$D,Einzelbeträge!$C:$C,'Ausgaben 2027'!$C366,Einzelbeträge!$E:$E,'Ausgaben 2027'!H$6)</f>
        <v>0</v>
      </c>
      <c r="I366" s="21">
        <f>SUMIFS(Einzelbeträge!$D:$D,Einzelbeträge!$C:$C,'Ausgaben 2027'!$C366,Einzelbeträge!$E:$E,'Ausgaben 2027'!I$6)</f>
        <v>0</v>
      </c>
      <c r="J366" s="21">
        <f>SUMIFS(Einzelbeträge!$D:$D,Einzelbeträge!$C:$C,'Ausgaben 2027'!$C366,Einzelbeträge!$E:$E,'Ausgaben 2027'!J$6)</f>
        <v>0</v>
      </c>
      <c r="K366" s="21">
        <f>SUMIFS(Einzelbeträge!$D:$D,Einzelbeträge!$C:$C,'Ausgaben 2027'!$C366,Einzelbeträge!$E:$E,'Ausgaben 2027'!K$6)</f>
        <v>0</v>
      </c>
      <c r="L366" s="21">
        <f>SUMIFS(Einzelbeträge!$D:$D,Einzelbeträge!$C:$C,'Ausgaben 2027'!$C366,Einzelbeträge!$E:$E,'Ausgaben 2027'!L$6)</f>
        <v>0</v>
      </c>
      <c r="M366" s="21">
        <f>SUMIFS(Einzelbeträge!$D:$D,Einzelbeträge!$C:$C,'Ausgaben 2027'!$C366,Einzelbeträge!$E:$E,'Ausgaben 2027'!M$6)</f>
        <v>0</v>
      </c>
      <c r="N366" s="35">
        <f>SUMIFS(Einzelbeträge!$D:$D,Einzelbeträge!$C:$C,'Ausgaben 2027'!$C366,Einzelbeträge!$E:$E,'Ausgaben 2027'!N$6)</f>
        <v>0</v>
      </c>
      <c r="O366" s="6"/>
    </row>
    <row r="367" spans="2:15" x14ac:dyDescent="0.35">
      <c r="B367" s="5"/>
      <c r="C367" s="30">
        <f t="shared" si="26"/>
        <v>46717</v>
      </c>
      <c r="D367" s="46">
        <f>SUMIFS(Einzelbeträge!$D:$D,Einzelbeträge!$C:$C,'Ausgaben 2027'!$C367)</f>
        <v>0</v>
      </c>
      <c r="E367" s="21">
        <f>SUMIFS(Einzelbeträge!$D:$D,Einzelbeträge!$C:$C,'Ausgaben 2027'!$C367,Einzelbeträge!$E:$E,'Ausgaben 2027'!E$6)</f>
        <v>0</v>
      </c>
      <c r="F367" s="21">
        <f>SUMIFS(Einzelbeträge!$D:$D,Einzelbeträge!$C:$C,'Ausgaben 2027'!$C367,Einzelbeträge!$E:$E,'Ausgaben 2027'!F$6)</f>
        <v>0</v>
      </c>
      <c r="G367" s="21">
        <f>SUMIFS(Einzelbeträge!$D:$D,Einzelbeträge!$C:$C,'Ausgaben 2027'!$C367,Einzelbeträge!$E:$E,'Ausgaben 2027'!G$6)</f>
        <v>0</v>
      </c>
      <c r="H367" s="21">
        <f>SUMIFS(Einzelbeträge!$D:$D,Einzelbeträge!$C:$C,'Ausgaben 2027'!$C367,Einzelbeträge!$E:$E,'Ausgaben 2027'!H$6)</f>
        <v>0</v>
      </c>
      <c r="I367" s="21">
        <f>SUMIFS(Einzelbeträge!$D:$D,Einzelbeträge!$C:$C,'Ausgaben 2027'!$C367,Einzelbeträge!$E:$E,'Ausgaben 2027'!I$6)</f>
        <v>0</v>
      </c>
      <c r="J367" s="21">
        <f>SUMIFS(Einzelbeträge!$D:$D,Einzelbeträge!$C:$C,'Ausgaben 2027'!$C367,Einzelbeträge!$E:$E,'Ausgaben 2027'!J$6)</f>
        <v>0</v>
      </c>
      <c r="K367" s="21">
        <f>SUMIFS(Einzelbeträge!$D:$D,Einzelbeträge!$C:$C,'Ausgaben 2027'!$C367,Einzelbeträge!$E:$E,'Ausgaben 2027'!K$6)</f>
        <v>0</v>
      </c>
      <c r="L367" s="21">
        <f>SUMIFS(Einzelbeträge!$D:$D,Einzelbeträge!$C:$C,'Ausgaben 2027'!$C367,Einzelbeträge!$E:$E,'Ausgaben 2027'!L$6)</f>
        <v>0</v>
      </c>
      <c r="M367" s="21">
        <f>SUMIFS(Einzelbeträge!$D:$D,Einzelbeträge!$C:$C,'Ausgaben 2027'!$C367,Einzelbeträge!$E:$E,'Ausgaben 2027'!M$6)</f>
        <v>0</v>
      </c>
      <c r="N367" s="35">
        <f>SUMIFS(Einzelbeträge!$D:$D,Einzelbeträge!$C:$C,'Ausgaben 2027'!$C367,Einzelbeträge!$E:$E,'Ausgaben 2027'!N$6)</f>
        <v>0</v>
      </c>
      <c r="O367" s="6"/>
    </row>
    <row r="368" spans="2:15" x14ac:dyDescent="0.35">
      <c r="B368" s="5"/>
      <c r="C368" s="30">
        <f t="shared" si="26"/>
        <v>46718</v>
      </c>
      <c r="D368" s="46">
        <f>SUMIFS(Einzelbeträge!$D:$D,Einzelbeträge!$C:$C,'Ausgaben 2027'!$C368)</f>
        <v>0</v>
      </c>
      <c r="E368" s="21">
        <f>SUMIFS(Einzelbeträge!$D:$D,Einzelbeträge!$C:$C,'Ausgaben 2027'!$C368,Einzelbeträge!$E:$E,'Ausgaben 2027'!E$6)</f>
        <v>0</v>
      </c>
      <c r="F368" s="21">
        <f>SUMIFS(Einzelbeträge!$D:$D,Einzelbeträge!$C:$C,'Ausgaben 2027'!$C368,Einzelbeträge!$E:$E,'Ausgaben 2027'!F$6)</f>
        <v>0</v>
      </c>
      <c r="G368" s="21">
        <f>SUMIFS(Einzelbeträge!$D:$D,Einzelbeträge!$C:$C,'Ausgaben 2027'!$C368,Einzelbeträge!$E:$E,'Ausgaben 2027'!G$6)</f>
        <v>0</v>
      </c>
      <c r="H368" s="21">
        <f>SUMIFS(Einzelbeträge!$D:$D,Einzelbeträge!$C:$C,'Ausgaben 2027'!$C368,Einzelbeträge!$E:$E,'Ausgaben 2027'!H$6)</f>
        <v>0</v>
      </c>
      <c r="I368" s="21">
        <f>SUMIFS(Einzelbeträge!$D:$D,Einzelbeträge!$C:$C,'Ausgaben 2027'!$C368,Einzelbeträge!$E:$E,'Ausgaben 2027'!I$6)</f>
        <v>0</v>
      </c>
      <c r="J368" s="21">
        <f>SUMIFS(Einzelbeträge!$D:$D,Einzelbeträge!$C:$C,'Ausgaben 2027'!$C368,Einzelbeträge!$E:$E,'Ausgaben 2027'!J$6)</f>
        <v>0</v>
      </c>
      <c r="K368" s="21">
        <f>SUMIFS(Einzelbeträge!$D:$D,Einzelbeträge!$C:$C,'Ausgaben 2027'!$C368,Einzelbeträge!$E:$E,'Ausgaben 2027'!K$6)</f>
        <v>0</v>
      </c>
      <c r="L368" s="21">
        <f>SUMIFS(Einzelbeträge!$D:$D,Einzelbeträge!$C:$C,'Ausgaben 2027'!$C368,Einzelbeträge!$E:$E,'Ausgaben 2027'!L$6)</f>
        <v>0</v>
      </c>
      <c r="M368" s="21">
        <f>SUMIFS(Einzelbeträge!$D:$D,Einzelbeträge!$C:$C,'Ausgaben 2027'!$C368,Einzelbeträge!$E:$E,'Ausgaben 2027'!M$6)</f>
        <v>0</v>
      </c>
      <c r="N368" s="35">
        <f>SUMIFS(Einzelbeträge!$D:$D,Einzelbeträge!$C:$C,'Ausgaben 2027'!$C368,Einzelbeträge!$E:$E,'Ausgaben 2027'!N$6)</f>
        <v>0</v>
      </c>
      <c r="O368" s="6"/>
    </row>
    <row r="369" spans="2:15" x14ac:dyDescent="0.35">
      <c r="B369" s="5"/>
      <c r="C369" s="30">
        <f t="shared" si="26"/>
        <v>46719</v>
      </c>
      <c r="D369" s="46">
        <f>SUMIFS(Einzelbeträge!$D:$D,Einzelbeträge!$C:$C,'Ausgaben 2027'!$C369)</f>
        <v>0</v>
      </c>
      <c r="E369" s="21">
        <f>SUMIFS(Einzelbeträge!$D:$D,Einzelbeträge!$C:$C,'Ausgaben 2027'!$C369,Einzelbeträge!$E:$E,'Ausgaben 2027'!E$6)</f>
        <v>0</v>
      </c>
      <c r="F369" s="21">
        <f>SUMIFS(Einzelbeträge!$D:$D,Einzelbeträge!$C:$C,'Ausgaben 2027'!$C369,Einzelbeträge!$E:$E,'Ausgaben 2027'!F$6)</f>
        <v>0</v>
      </c>
      <c r="G369" s="21">
        <f>SUMIFS(Einzelbeträge!$D:$D,Einzelbeträge!$C:$C,'Ausgaben 2027'!$C369,Einzelbeträge!$E:$E,'Ausgaben 2027'!G$6)</f>
        <v>0</v>
      </c>
      <c r="H369" s="21">
        <f>SUMIFS(Einzelbeträge!$D:$D,Einzelbeträge!$C:$C,'Ausgaben 2027'!$C369,Einzelbeträge!$E:$E,'Ausgaben 2027'!H$6)</f>
        <v>0</v>
      </c>
      <c r="I369" s="21">
        <f>SUMIFS(Einzelbeträge!$D:$D,Einzelbeträge!$C:$C,'Ausgaben 2027'!$C369,Einzelbeträge!$E:$E,'Ausgaben 2027'!I$6)</f>
        <v>0</v>
      </c>
      <c r="J369" s="21">
        <f>SUMIFS(Einzelbeträge!$D:$D,Einzelbeträge!$C:$C,'Ausgaben 2027'!$C369,Einzelbeträge!$E:$E,'Ausgaben 2027'!J$6)</f>
        <v>0</v>
      </c>
      <c r="K369" s="21">
        <f>SUMIFS(Einzelbeträge!$D:$D,Einzelbeträge!$C:$C,'Ausgaben 2027'!$C369,Einzelbeträge!$E:$E,'Ausgaben 2027'!K$6)</f>
        <v>0</v>
      </c>
      <c r="L369" s="21">
        <f>SUMIFS(Einzelbeträge!$D:$D,Einzelbeträge!$C:$C,'Ausgaben 2027'!$C369,Einzelbeträge!$E:$E,'Ausgaben 2027'!L$6)</f>
        <v>0</v>
      </c>
      <c r="M369" s="21">
        <f>SUMIFS(Einzelbeträge!$D:$D,Einzelbeträge!$C:$C,'Ausgaben 2027'!$C369,Einzelbeträge!$E:$E,'Ausgaben 2027'!M$6)</f>
        <v>0</v>
      </c>
      <c r="N369" s="35">
        <f>SUMIFS(Einzelbeträge!$D:$D,Einzelbeträge!$C:$C,'Ausgaben 2027'!$C369,Einzelbeträge!$E:$E,'Ausgaben 2027'!N$6)</f>
        <v>0</v>
      </c>
      <c r="O369" s="6"/>
    </row>
    <row r="370" spans="2:15" x14ac:dyDescent="0.35">
      <c r="B370" s="5"/>
      <c r="C370" s="30">
        <f t="shared" si="26"/>
        <v>46720</v>
      </c>
      <c r="D370" s="46">
        <f>SUMIFS(Einzelbeträge!$D:$D,Einzelbeträge!$C:$C,'Ausgaben 2027'!$C370)</f>
        <v>0</v>
      </c>
      <c r="E370" s="21">
        <f>SUMIFS(Einzelbeträge!$D:$D,Einzelbeträge!$C:$C,'Ausgaben 2027'!$C370,Einzelbeträge!$E:$E,'Ausgaben 2027'!E$6)</f>
        <v>0</v>
      </c>
      <c r="F370" s="21">
        <f>SUMIFS(Einzelbeträge!$D:$D,Einzelbeträge!$C:$C,'Ausgaben 2027'!$C370,Einzelbeträge!$E:$E,'Ausgaben 2027'!F$6)</f>
        <v>0</v>
      </c>
      <c r="G370" s="21">
        <f>SUMIFS(Einzelbeträge!$D:$D,Einzelbeträge!$C:$C,'Ausgaben 2027'!$C370,Einzelbeträge!$E:$E,'Ausgaben 2027'!G$6)</f>
        <v>0</v>
      </c>
      <c r="H370" s="21">
        <f>SUMIFS(Einzelbeträge!$D:$D,Einzelbeträge!$C:$C,'Ausgaben 2027'!$C370,Einzelbeträge!$E:$E,'Ausgaben 2027'!H$6)</f>
        <v>0</v>
      </c>
      <c r="I370" s="21">
        <f>SUMIFS(Einzelbeträge!$D:$D,Einzelbeträge!$C:$C,'Ausgaben 2027'!$C370,Einzelbeträge!$E:$E,'Ausgaben 2027'!I$6)</f>
        <v>0</v>
      </c>
      <c r="J370" s="21">
        <f>SUMIFS(Einzelbeträge!$D:$D,Einzelbeträge!$C:$C,'Ausgaben 2027'!$C370,Einzelbeträge!$E:$E,'Ausgaben 2027'!J$6)</f>
        <v>0</v>
      </c>
      <c r="K370" s="21">
        <f>SUMIFS(Einzelbeträge!$D:$D,Einzelbeträge!$C:$C,'Ausgaben 2027'!$C370,Einzelbeträge!$E:$E,'Ausgaben 2027'!K$6)</f>
        <v>0</v>
      </c>
      <c r="L370" s="21">
        <f>SUMIFS(Einzelbeträge!$D:$D,Einzelbeträge!$C:$C,'Ausgaben 2027'!$C370,Einzelbeträge!$E:$E,'Ausgaben 2027'!L$6)</f>
        <v>0</v>
      </c>
      <c r="M370" s="21">
        <f>SUMIFS(Einzelbeträge!$D:$D,Einzelbeträge!$C:$C,'Ausgaben 2027'!$C370,Einzelbeträge!$E:$E,'Ausgaben 2027'!M$6)</f>
        <v>0</v>
      </c>
      <c r="N370" s="35">
        <f>SUMIFS(Einzelbeträge!$D:$D,Einzelbeträge!$C:$C,'Ausgaben 2027'!$C370,Einzelbeträge!$E:$E,'Ausgaben 2027'!N$6)</f>
        <v>0</v>
      </c>
      <c r="O370" s="6"/>
    </row>
    <row r="371" spans="2:15" x14ac:dyDescent="0.35">
      <c r="B371" s="5"/>
      <c r="C371" s="31">
        <f t="shared" si="26"/>
        <v>46721</v>
      </c>
      <c r="D371" s="47">
        <f>SUMIFS(Einzelbeträge!$D:$D,Einzelbeträge!$C:$C,'Ausgaben 2027'!$C371)</f>
        <v>0</v>
      </c>
      <c r="E371" s="37">
        <f>SUMIFS(Einzelbeträge!$D:$D,Einzelbeträge!$C:$C,'Ausgaben 2027'!$C371,Einzelbeträge!$E:$E,'Ausgaben 2027'!E$6)</f>
        <v>0</v>
      </c>
      <c r="F371" s="37">
        <f>SUMIFS(Einzelbeträge!$D:$D,Einzelbeträge!$C:$C,'Ausgaben 2027'!$C371,Einzelbeträge!$E:$E,'Ausgaben 2027'!F$6)</f>
        <v>0</v>
      </c>
      <c r="G371" s="37">
        <f>SUMIFS(Einzelbeträge!$D:$D,Einzelbeträge!$C:$C,'Ausgaben 2027'!$C371,Einzelbeträge!$E:$E,'Ausgaben 2027'!G$6)</f>
        <v>0</v>
      </c>
      <c r="H371" s="37">
        <f>SUMIFS(Einzelbeträge!$D:$D,Einzelbeträge!$C:$C,'Ausgaben 2027'!$C371,Einzelbeträge!$E:$E,'Ausgaben 2027'!H$6)</f>
        <v>0</v>
      </c>
      <c r="I371" s="37">
        <f>SUMIFS(Einzelbeträge!$D:$D,Einzelbeträge!$C:$C,'Ausgaben 2027'!$C371,Einzelbeträge!$E:$E,'Ausgaben 2027'!I$6)</f>
        <v>0</v>
      </c>
      <c r="J371" s="37">
        <f>SUMIFS(Einzelbeträge!$D:$D,Einzelbeträge!$C:$C,'Ausgaben 2027'!$C371,Einzelbeträge!$E:$E,'Ausgaben 2027'!J$6)</f>
        <v>0</v>
      </c>
      <c r="K371" s="37">
        <f>SUMIFS(Einzelbeträge!$D:$D,Einzelbeträge!$C:$C,'Ausgaben 2027'!$C371,Einzelbeträge!$E:$E,'Ausgaben 2027'!K$6)</f>
        <v>0</v>
      </c>
      <c r="L371" s="37">
        <f>SUMIFS(Einzelbeträge!$D:$D,Einzelbeträge!$C:$C,'Ausgaben 2027'!$C371,Einzelbeträge!$E:$E,'Ausgaben 2027'!L$6)</f>
        <v>0</v>
      </c>
      <c r="M371" s="37">
        <f>SUMIFS(Einzelbeträge!$D:$D,Einzelbeträge!$C:$C,'Ausgaben 2027'!$C371,Einzelbeträge!$E:$E,'Ausgaben 2027'!M$6)</f>
        <v>0</v>
      </c>
      <c r="N371" s="38">
        <f>SUMIFS(Einzelbeträge!$D:$D,Einzelbeträge!$C:$C,'Ausgaben 2027'!$C371,Einzelbeträge!$E:$E,'Ausgaben 2027'!N$6)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46722</v>
      </c>
      <c r="D375" s="45">
        <f>SUMIFS(Einzelbeträge!$D:$D,Einzelbeträge!$C:$C,'Ausgaben 2027'!$C375)</f>
        <v>0</v>
      </c>
      <c r="E375" s="32">
        <f>SUMIFS(Einzelbeträge!$D:$D,Einzelbeträge!$C:$C,'Ausgaben 2027'!$C375,Einzelbeträge!$E:$E,'Ausgaben 2027'!E$6)</f>
        <v>0</v>
      </c>
      <c r="F375" s="32">
        <f>SUMIFS(Einzelbeträge!$D:$D,Einzelbeträge!$C:$C,'Ausgaben 2027'!$C375,Einzelbeträge!$E:$E,'Ausgaben 2027'!F$6)</f>
        <v>0</v>
      </c>
      <c r="G375" s="32">
        <f>SUMIFS(Einzelbeträge!$D:$D,Einzelbeträge!$C:$C,'Ausgaben 2027'!$C375,Einzelbeträge!$E:$E,'Ausgaben 2027'!G$6)</f>
        <v>0</v>
      </c>
      <c r="H375" s="32">
        <f>SUMIFS(Einzelbeträge!$D:$D,Einzelbeträge!$C:$C,'Ausgaben 2027'!$C375,Einzelbeträge!$E:$E,'Ausgaben 2027'!H$6)</f>
        <v>0</v>
      </c>
      <c r="I375" s="32">
        <f>SUMIFS(Einzelbeträge!$D:$D,Einzelbeträge!$C:$C,'Ausgaben 2027'!$C375,Einzelbeträge!$E:$E,'Ausgaben 2027'!I$6)</f>
        <v>0</v>
      </c>
      <c r="J375" s="32">
        <f>SUMIFS(Einzelbeträge!$D:$D,Einzelbeträge!$C:$C,'Ausgaben 2027'!$C375,Einzelbeträge!$E:$E,'Ausgaben 2027'!J$6)</f>
        <v>0</v>
      </c>
      <c r="K375" s="32">
        <f>SUMIFS(Einzelbeträge!$D:$D,Einzelbeträge!$C:$C,'Ausgaben 2027'!$C375,Einzelbeträge!$E:$E,'Ausgaben 2027'!K$6)</f>
        <v>0</v>
      </c>
      <c r="L375" s="32">
        <f>SUMIFS(Einzelbeträge!$D:$D,Einzelbeträge!$C:$C,'Ausgaben 2027'!$C375,Einzelbeträge!$E:$E,'Ausgaben 2027'!L$6)</f>
        <v>0</v>
      </c>
      <c r="M375" s="32">
        <f>SUMIFS(Einzelbeträge!$D:$D,Einzelbeträge!$C:$C,'Ausgaben 2027'!$C375,Einzelbeträge!$E:$E,'Ausgaben 2027'!M$6)</f>
        <v>0</v>
      </c>
      <c r="N375" s="33">
        <f>SUMIFS(Einzelbeträge!$D:$D,Einzelbeträge!$C:$C,'Ausgaben 2027'!$C375,Einzelbeträge!$E:$E,'Ausgaben 2027'!N$6)</f>
        <v>0</v>
      </c>
      <c r="O375" s="6"/>
    </row>
    <row r="376" spans="2:15" x14ac:dyDescent="0.35">
      <c r="B376" s="5"/>
      <c r="C376" s="40">
        <f>C375+1</f>
        <v>46723</v>
      </c>
      <c r="D376" s="46">
        <f>SUMIFS(Einzelbeträge!$D:$D,Einzelbeträge!$C:$C,'Ausgaben 2027'!$C376)</f>
        <v>0</v>
      </c>
      <c r="E376" s="21">
        <f>SUMIFS(Einzelbeträge!$D:$D,Einzelbeträge!$C:$C,'Ausgaben 2027'!$C376,Einzelbeträge!$E:$E,'Ausgaben 2027'!E$6)</f>
        <v>0</v>
      </c>
      <c r="F376" s="21">
        <f>SUMIFS(Einzelbeträge!$D:$D,Einzelbeträge!$C:$C,'Ausgaben 2027'!$C376,Einzelbeträge!$E:$E,'Ausgaben 2027'!F$6)</f>
        <v>0</v>
      </c>
      <c r="G376" s="21">
        <f>SUMIFS(Einzelbeträge!$D:$D,Einzelbeträge!$C:$C,'Ausgaben 2027'!$C376,Einzelbeträge!$E:$E,'Ausgaben 2027'!G$6)</f>
        <v>0</v>
      </c>
      <c r="H376" s="21">
        <f>SUMIFS(Einzelbeträge!$D:$D,Einzelbeträge!$C:$C,'Ausgaben 2027'!$C376,Einzelbeträge!$E:$E,'Ausgaben 2027'!H$6)</f>
        <v>0</v>
      </c>
      <c r="I376" s="21">
        <f>SUMIFS(Einzelbeträge!$D:$D,Einzelbeträge!$C:$C,'Ausgaben 2027'!$C376,Einzelbeträge!$E:$E,'Ausgaben 2027'!I$6)</f>
        <v>0</v>
      </c>
      <c r="J376" s="21">
        <f>SUMIFS(Einzelbeträge!$D:$D,Einzelbeträge!$C:$C,'Ausgaben 2027'!$C376,Einzelbeträge!$E:$E,'Ausgaben 2027'!J$6)</f>
        <v>0</v>
      </c>
      <c r="K376" s="21">
        <f>SUMIFS(Einzelbeträge!$D:$D,Einzelbeträge!$C:$C,'Ausgaben 2027'!$C376,Einzelbeträge!$E:$E,'Ausgaben 2027'!K$6)</f>
        <v>0</v>
      </c>
      <c r="L376" s="21">
        <f>SUMIFS(Einzelbeträge!$D:$D,Einzelbeträge!$C:$C,'Ausgaben 2027'!$C376,Einzelbeträge!$E:$E,'Ausgaben 2027'!L$6)</f>
        <v>0</v>
      </c>
      <c r="M376" s="21">
        <f>SUMIFS(Einzelbeträge!$D:$D,Einzelbeträge!$C:$C,'Ausgaben 2027'!$C376,Einzelbeträge!$E:$E,'Ausgaben 2027'!M$6)</f>
        <v>0</v>
      </c>
      <c r="N376" s="35">
        <f>SUMIFS(Einzelbeträge!$D:$D,Einzelbeträge!$C:$C,'Ausgaben 2027'!$C376,Einzelbeträge!$E:$E,'Ausgaben 2027'!N$6)</f>
        <v>0</v>
      </c>
      <c r="O376" s="6"/>
    </row>
    <row r="377" spans="2:15" x14ac:dyDescent="0.35">
      <c r="B377" s="5"/>
      <c r="C377" s="40">
        <f t="shared" ref="C377:C405" si="27">C376+1</f>
        <v>46724</v>
      </c>
      <c r="D377" s="46">
        <f>SUMIFS(Einzelbeträge!$D:$D,Einzelbeträge!$C:$C,'Ausgaben 2027'!$C377)</f>
        <v>0</v>
      </c>
      <c r="E377" s="21">
        <f>SUMIFS(Einzelbeträge!$D:$D,Einzelbeträge!$C:$C,'Ausgaben 2027'!$C377,Einzelbeträge!$E:$E,'Ausgaben 2027'!E$6)</f>
        <v>0</v>
      </c>
      <c r="F377" s="21">
        <f>SUMIFS(Einzelbeträge!$D:$D,Einzelbeträge!$C:$C,'Ausgaben 2027'!$C377,Einzelbeträge!$E:$E,'Ausgaben 2027'!F$6)</f>
        <v>0</v>
      </c>
      <c r="G377" s="21">
        <f>SUMIFS(Einzelbeträge!$D:$D,Einzelbeträge!$C:$C,'Ausgaben 2027'!$C377,Einzelbeträge!$E:$E,'Ausgaben 2027'!G$6)</f>
        <v>0</v>
      </c>
      <c r="H377" s="21">
        <f>SUMIFS(Einzelbeträge!$D:$D,Einzelbeträge!$C:$C,'Ausgaben 2027'!$C377,Einzelbeträge!$E:$E,'Ausgaben 2027'!H$6)</f>
        <v>0</v>
      </c>
      <c r="I377" s="21">
        <f>SUMIFS(Einzelbeträge!$D:$D,Einzelbeträge!$C:$C,'Ausgaben 2027'!$C377,Einzelbeträge!$E:$E,'Ausgaben 2027'!I$6)</f>
        <v>0</v>
      </c>
      <c r="J377" s="21">
        <f>SUMIFS(Einzelbeträge!$D:$D,Einzelbeträge!$C:$C,'Ausgaben 2027'!$C377,Einzelbeträge!$E:$E,'Ausgaben 2027'!J$6)</f>
        <v>0</v>
      </c>
      <c r="K377" s="21">
        <f>SUMIFS(Einzelbeträge!$D:$D,Einzelbeträge!$C:$C,'Ausgaben 2027'!$C377,Einzelbeträge!$E:$E,'Ausgaben 2027'!K$6)</f>
        <v>0</v>
      </c>
      <c r="L377" s="21">
        <f>SUMIFS(Einzelbeträge!$D:$D,Einzelbeträge!$C:$C,'Ausgaben 2027'!$C377,Einzelbeträge!$E:$E,'Ausgaben 2027'!L$6)</f>
        <v>0</v>
      </c>
      <c r="M377" s="21">
        <f>SUMIFS(Einzelbeträge!$D:$D,Einzelbeträge!$C:$C,'Ausgaben 2027'!$C377,Einzelbeträge!$E:$E,'Ausgaben 2027'!M$6)</f>
        <v>0</v>
      </c>
      <c r="N377" s="35">
        <f>SUMIFS(Einzelbeträge!$D:$D,Einzelbeträge!$C:$C,'Ausgaben 2027'!$C377,Einzelbeträge!$E:$E,'Ausgaben 2027'!N$6)</f>
        <v>0</v>
      </c>
      <c r="O377" s="6"/>
    </row>
    <row r="378" spans="2:15" x14ac:dyDescent="0.35">
      <c r="B378" s="5"/>
      <c r="C378" s="40">
        <f t="shared" si="27"/>
        <v>46725</v>
      </c>
      <c r="D378" s="46">
        <f>SUMIFS(Einzelbeträge!$D:$D,Einzelbeträge!$C:$C,'Ausgaben 2027'!$C378)</f>
        <v>0</v>
      </c>
      <c r="E378" s="21">
        <f>SUMIFS(Einzelbeträge!$D:$D,Einzelbeträge!$C:$C,'Ausgaben 2027'!$C378,Einzelbeträge!$E:$E,'Ausgaben 2027'!E$6)</f>
        <v>0</v>
      </c>
      <c r="F378" s="21">
        <f>SUMIFS(Einzelbeträge!$D:$D,Einzelbeträge!$C:$C,'Ausgaben 2027'!$C378,Einzelbeträge!$E:$E,'Ausgaben 2027'!F$6)</f>
        <v>0</v>
      </c>
      <c r="G378" s="21">
        <f>SUMIFS(Einzelbeträge!$D:$D,Einzelbeträge!$C:$C,'Ausgaben 2027'!$C378,Einzelbeträge!$E:$E,'Ausgaben 2027'!G$6)</f>
        <v>0</v>
      </c>
      <c r="H378" s="21">
        <f>SUMIFS(Einzelbeträge!$D:$D,Einzelbeträge!$C:$C,'Ausgaben 2027'!$C378,Einzelbeträge!$E:$E,'Ausgaben 2027'!H$6)</f>
        <v>0</v>
      </c>
      <c r="I378" s="21">
        <f>SUMIFS(Einzelbeträge!$D:$D,Einzelbeträge!$C:$C,'Ausgaben 2027'!$C378,Einzelbeträge!$E:$E,'Ausgaben 2027'!I$6)</f>
        <v>0</v>
      </c>
      <c r="J378" s="21">
        <f>SUMIFS(Einzelbeträge!$D:$D,Einzelbeträge!$C:$C,'Ausgaben 2027'!$C378,Einzelbeträge!$E:$E,'Ausgaben 2027'!J$6)</f>
        <v>0</v>
      </c>
      <c r="K378" s="21">
        <f>SUMIFS(Einzelbeträge!$D:$D,Einzelbeträge!$C:$C,'Ausgaben 2027'!$C378,Einzelbeträge!$E:$E,'Ausgaben 2027'!K$6)</f>
        <v>0</v>
      </c>
      <c r="L378" s="21">
        <f>SUMIFS(Einzelbeträge!$D:$D,Einzelbeträge!$C:$C,'Ausgaben 2027'!$C378,Einzelbeträge!$E:$E,'Ausgaben 2027'!L$6)</f>
        <v>0</v>
      </c>
      <c r="M378" s="21">
        <f>SUMIFS(Einzelbeträge!$D:$D,Einzelbeträge!$C:$C,'Ausgaben 2027'!$C378,Einzelbeträge!$E:$E,'Ausgaben 2027'!M$6)</f>
        <v>0</v>
      </c>
      <c r="N378" s="35">
        <f>SUMIFS(Einzelbeträge!$D:$D,Einzelbeträge!$C:$C,'Ausgaben 2027'!$C378,Einzelbeträge!$E:$E,'Ausgaben 2027'!N$6)</f>
        <v>0</v>
      </c>
      <c r="O378" s="6"/>
    </row>
    <row r="379" spans="2:15" x14ac:dyDescent="0.35">
      <c r="B379" s="5"/>
      <c r="C379" s="40">
        <f t="shared" si="27"/>
        <v>46726</v>
      </c>
      <c r="D379" s="46">
        <f>SUMIFS(Einzelbeträge!$D:$D,Einzelbeträge!$C:$C,'Ausgaben 2027'!$C379)</f>
        <v>0</v>
      </c>
      <c r="E379" s="21">
        <f>SUMIFS(Einzelbeträge!$D:$D,Einzelbeträge!$C:$C,'Ausgaben 2027'!$C379,Einzelbeträge!$E:$E,'Ausgaben 2027'!E$6)</f>
        <v>0</v>
      </c>
      <c r="F379" s="21">
        <f>SUMIFS(Einzelbeträge!$D:$D,Einzelbeträge!$C:$C,'Ausgaben 2027'!$C379,Einzelbeträge!$E:$E,'Ausgaben 2027'!F$6)</f>
        <v>0</v>
      </c>
      <c r="G379" s="21">
        <f>SUMIFS(Einzelbeträge!$D:$D,Einzelbeträge!$C:$C,'Ausgaben 2027'!$C379,Einzelbeträge!$E:$E,'Ausgaben 2027'!G$6)</f>
        <v>0</v>
      </c>
      <c r="H379" s="21">
        <f>SUMIFS(Einzelbeträge!$D:$D,Einzelbeträge!$C:$C,'Ausgaben 2027'!$C379,Einzelbeträge!$E:$E,'Ausgaben 2027'!H$6)</f>
        <v>0</v>
      </c>
      <c r="I379" s="21">
        <f>SUMIFS(Einzelbeträge!$D:$D,Einzelbeträge!$C:$C,'Ausgaben 2027'!$C379,Einzelbeträge!$E:$E,'Ausgaben 2027'!I$6)</f>
        <v>0</v>
      </c>
      <c r="J379" s="21">
        <f>SUMIFS(Einzelbeträge!$D:$D,Einzelbeträge!$C:$C,'Ausgaben 2027'!$C379,Einzelbeträge!$E:$E,'Ausgaben 2027'!J$6)</f>
        <v>0</v>
      </c>
      <c r="K379" s="21">
        <f>SUMIFS(Einzelbeträge!$D:$D,Einzelbeträge!$C:$C,'Ausgaben 2027'!$C379,Einzelbeträge!$E:$E,'Ausgaben 2027'!K$6)</f>
        <v>0</v>
      </c>
      <c r="L379" s="21">
        <f>SUMIFS(Einzelbeträge!$D:$D,Einzelbeträge!$C:$C,'Ausgaben 2027'!$C379,Einzelbeträge!$E:$E,'Ausgaben 2027'!L$6)</f>
        <v>0</v>
      </c>
      <c r="M379" s="21">
        <f>SUMIFS(Einzelbeträge!$D:$D,Einzelbeträge!$C:$C,'Ausgaben 2027'!$C379,Einzelbeträge!$E:$E,'Ausgaben 2027'!M$6)</f>
        <v>0</v>
      </c>
      <c r="N379" s="35">
        <f>SUMIFS(Einzelbeträge!$D:$D,Einzelbeträge!$C:$C,'Ausgaben 2027'!$C379,Einzelbeträge!$E:$E,'Ausgaben 2027'!N$6)</f>
        <v>0</v>
      </c>
      <c r="O379" s="6"/>
    </row>
    <row r="380" spans="2:15" x14ac:dyDescent="0.35">
      <c r="B380" s="5"/>
      <c r="C380" s="40">
        <f t="shared" si="27"/>
        <v>46727</v>
      </c>
      <c r="D380" s="46">
        <f>SUMIFS(Einzelbeträge!$D:$D,Einzelbeträge!$C:$C,'Ausgaben 2027'!$C380)</f>
        <v>0</v>
      </c>
      <c r="E380" s="21">
        <f>SUMIFS(Einzelbeträge!$D:$D,Einzelbeträge!$C:$C,'Ausgaben 2027'!$C380,Einzelbeträge!$E:$E,'Ausgaben 2027'!E$6)</f>
        <v>0</v>
      </c>
      <c r="F380" s="21">
        <f>SUMIFS(Einzelbeträge!$D:$D,Einzelbeträge!$C:$C,'Ausgaben 2027'!$C380,Einzelbeträge!$E:$E,'Ausgaben 2027'!F$6)</f>
        <v>0</v>
      </c>
      <c r="G380" s="21">
        <f>SUMIFS(Einzelbeträge!$D:$D,Einzelbeträge!$C:$C,'Ausgaben 2027'!$C380,Einzelbeträge!$E:$E,'Ausgaben 2027'!G$6)</f>
        <v>0</v>
      </c>
      <c r="H380" s="21">
        <f>SUMIFS(Einzelbeträge!$D:$D,Einzelbeträge!$C:$C,'Ausgaben 2027'!$C380,Einzelbeträge!$E:$E,'Ausgaben 2027'!H$6)</f>
        <v>0</v>
      </c>
      <c r="I380" s="21">
        <f>SUMIFS(Einzelbeträge!$D:$D,Einzelbeträge!$C:$C,'Ausgaben 2027'!$C380,Einzelbeträge!$E:$E,'Ausgaben 2027'!I$6)</f>
        <v>0</v>
      </c>
      <c r="J380" s="21">
        <f>SUMIFS(Einzelbeträge!$D:$D,Einzelbeträge!$C:$C,'Ausgaben 2027'!$C380,Einzelbeträge!$E:$E,'Ausgaben 2027'!J$6)</f>
        <v>0</v>
      </c>
      <c r="K380" s="21">
        <f>SUMIFS(Einzelbeträge!$D:$D,Einzelbeträge!$C:$C,'Ausgaben 2027'!$C380,Einzelbeträge!$E:$E,'Ausgaben 2027'!K$6)</f>
        <v>0</v>
      </c>
      <c r="L380" s="21">
        <f>SUMIFS(Einzelbeträge!$D:$D,Einzelbeträge!$C:$C,'Ausgaben 2027'!$C380,Einzelbeträge!$E:$E,'Ausgaben 2027'!L$6)</f>
        <v>0</v>
      </c>
      <c r="M380" s="21">
        <f>SUMIFS(Einzelbeträge!$D:$D,Einzelbeträge!$C:$C,'Ausgaben 2027'!$C380,Einzelbeträge!$E:$E,'Ausgaben 2027'!M$6)</f>
        <v>0</v>
      </c>
      <c r="N380" s="35">
        <f>SUMIFS(Einzelbeträge!$D:$D,Einzelbeträge!$C:$C,'Ausgaben 2027'!$C380,Einzelbeträge!$E:$E,'Ausgaben 2027'!N$6)</f>
        <v>0</v>
      </c>
      <c r="O380" s="6"/>
    </row>
    <row r="381" spans="2:15" x14ac:dyDescent="0.35">
      <c r="B381" s="5"/>
      <c r="C381" s="40">
        <f t="shared" si="27"/>
        <v>46728</v>
      </c>
      <c r="D381" s="46">
        <f>SUMIFS(Einzelbeträge!$D:$D,Einzelbeträge!$C:$C,'Ausgaben 2027'!$C381)</f>
        <v>0</v>
      </c>
      <c r="E381" s="21">
        <f>SUMIFS(Einzelbeträge!$D:$D,Einzelbeträge!$C:$C,'Ausgaben 2027'!$C381,Einzelbeträge!$E:$E,'Ausgaben 2027'!E$6)</f>
        <v>0</v>
      </c>
      <c r="F381" s="21">
        <f>SUMIFS(Einzelbeträge!$D:$D,Einzelbeträge!$C:$C,'Ausgaben 2027'!$C381,Einzelbeträge!$E:$E,'Ausgaben 2027'!F$6)</f>
        <v>0</v>
      </c>
      <c r="G381" s="21">
        <f>SUMIFS(Einzelbeträge!$D:$D,Einzelbeträge!$C:$C,'Ausgaben 2027'!$C381,Einzelbeträge!$E:$E,'Ausgaben 2027'!G$6)</f>
        <v>0</v>
      </c>
      <c r="H381" s="21">
        <f>SUMIFS(Einzelbeträge!$D:$D,Einzelbeträge!$C:$C,'Ausgaben 2027'!$C381,Einzelbeträge!$E:$E,'Ausgaben 2027'!H$6)</f>
        <v>0</v>
      </c>
      <c r="I381" s="21">
        <f>SUMIFS(Einzelbeträge!$D:$D,Einzelbeträge!$C:$C,'Ausgaben 2027'!$C381,Einzelbeträge!$E:$E,'Ausgaben 2027'!I$6)</f>
        <v>0</v>
      </c>
      <c r="J381" s="21">
        <f>SUMIFS(Einzelbeträge!$D:$D,Einzelbeträge!$C:$C,'Ausgaben 2027'!$C381,Einzelbeträge!$E:$E,'Ausgaben 2027'!J$6)</f>
        <v>0</v>
      </c>
      <c r="K381" s="21">
        <f>SUMIFS(Einzelbeträge!$D:$D,Einzelbeträge!$C:$C,'Ausgaben 2027'!$C381,Einzelbeträge!$E:$E,'Ausgaben 2027'!K$6)</f>
        <v>0</v>
      </c>
      <c r="L381" s="21">
        <f>SUMIFS(Einzelbeträge!$D:$D,Einzelbeträge!$C:$C,'Ausgaben 2027'!$C381,Einzelbeträge!$E:$E,'Ausgaben 2027'!L$6)</f>
        <v>0</v>
      </c>
      <c r="M381" s="21">
        <f>SUMIFS(Einzelbeträge!$D:$D,Einzelbeträge!$C:$C,'Ausgaben 2027'!$C381,Einzelbeträge!$E:$E,'Ausgaben 2027'!M$6)</f>
        <v>0</v>
      </c>
      <c r="N381" s="35">
        <f>SUMIFS(Einzelbeträge!$D:$D,Einzelbeträge!$C:$C,'Ausgaben 2027'!$C381,Einzelbeträge!$E:$E,'Ausgaben 2027'!N$6)</f>
        <v>0</v>
      </c>
      <c r="O381" s="6"/>
    </row>
    <row r="382" spans="2:15" x14ac:dyDescent="0.35">
      <c r="B382" s="5"/>
      <c r="C382" s="40">
        <f t="shared" si="27"/>
        <v>46729</v>
      </c>
      <c r="D382" s="46">
        <f>SUMIFS(Einzelbeträge!$D:$D,Einzelbeträge!$C:$C,'Ausgaben 2027'!$C382)</f>
        <v>0</v>
      </c>
      <c r="E382" s="21">
        <f>SUMIFS(Einzelbeträge!$D:$D,Einzelbeträge!$C:$C,'Ausgaben 2027'!$C382,Einzelbeträge!$E:$E,'Ausgaben 2027'!E$6)</f>
        <v>0</v>
      </c>
      <c r="F382" s="21">
        <f>SUMIFS(Einzelbeträge!$D:$D,Einzelbeträge!$C:$C,'Ausgaben 2027'!$C382,Einzelbeträge!$E:$E,'Ausgaben 2027'!F$6)</f>
        <v>0</v>
      </c>
      <c r="G382" s="21">
        <f>SUMIFS(Einzelbeträge!$D:$D,Einzelbeträge!$C:$C,'Ausgaben 2027'!$C382,Einzelbeträge!$E:$E,'Ausgaben 2027'!G$6)</f>
        <v>0</v>
      </c>
      <c r="H382" s="21">
        <f>SUMIFS(Einzelbeträge!$D:$D,Einzelbeträge!$C:$C,'Ausgaben 2027'!$C382,Einzelbeträge!$E:$E,'Ausgaben 2027'!H$6)</f>
        <v>0</v>
      </c>
      <c r="I382" s="21">
        <f>SUMIFS(Einzelbeträge!$D:$D,Einzelbeträge!$C:$C,'Ausgaben 2027'!$C382,Einzelbeträge!$E:$E,'Ausgaben 2027'!I$6)</f>
        <v>0</v>
      </c>
      <c r="J382" s="21">
        <f>SUMIFS(Einzelbeträge!$D:$D,Einzelbeträge!$C:$C,'Ausgaben 2027'!$C382,Einzelbeträge!$E:$E,'Ausgaben 2027'!J$6)</f>
        <v>0</v>
      </c>
      <c r="K382" s="21">
        <f>SUMIFS(Einzelbeträge!$D:$D,Einzelbeträge!$C:$C,'Ausgaben 2027'!$C382,Einzelbeträge!$E:$E,'Ausgaben 2027'!K$6)</f>
        <v>0</v>
      </c>
      <c r="L382" s="21">
        <f>SUMIFS(Einzelbeträge!$D:$D,Einzelbeträge!$C:$C,'Ausgaben 2027'!$C382,Einzelbeträge!$E:$E,'Ausgaben 2027'!L$6)</f>
        <v>0</v>
      </c>
      <c r="M382" s="21">
        <f>SUMIFS(Einzelbeträge!$D:$D,Einzelbeträge!$C:$C,'Ausgaben 2027'!$C382,Einzelbeträge!$E:$E,'Ausgaben 2027'!M$6)</f>
        <v>0</v>
      </c>
      <c r="N382" s="35">
        <f>SUMIFS(Einzelbeträge!$D:$D,Einzelbeträge!$C:$C,'Ausgaben 2027'!$C382,Einzelbeträge!$E:$E,'Ausgaben 2027'!N$6)</f>
        <v>0</v>
      </c>
      <c r="O382" s="6"/>
    </row>
    <row r="383" spans="2:15" x14ac:dyDescent="0.35">
      <c r="B383" s="5"/>
      <c r="C383" s="40">
        <f t="shared" si="27"/>
        <v>46730</v>
      </c>
      <c r="D383" s="46">
        <f>SUMIFS(Einzelbeträge!$D:$D,Einzelbeträge!$C:$C,'Ausgaben 2027'!$C383)</f>
        <v>0</v>
      </c>
      <c r="E383" s="21">
        <f>SUMIFS(Einzelbeträge!$D:$D,Einzelbeträge!$C:$C,'Ausgaben 2027'!$C383,Einzelbeträge!$E:$E,'Ausgaben 2027'!E$6)</f>
        <v>0</v>
      </c>
      <c r="F383" s="21">
        <f>SUMIFS(Einzelbeträge!$D:$D,Einzelbeträge!$C:$C,'Ausgaben 2027'!$C383,Einzelbeträge!$E:$E,'Ausgaben 2027'!F$6)</f>
        <v>0</v>
      </c>
      <c r="G383" s="21">
        <f>SUMIFS(Einzelbeträge!$D:$D,Einzelbeträge!$C:$C,'Ausgaben 2027'!$C383,Einzelbeträge!$E:$E,'Ausgaben 2027'!G$6)</f>
        <v>0</v>
      </c>
      <c r="H383" s="21">
        <f>SUMIFS(Einzelbeträge!$D:$D,Einzelbeträge!$C:$C,'Ausgaben 2027'!$C383,Einzelbeträge!$E:$E,'Ausgaben 2027'!H$6)</f>
        <v>0</v>
      </c>
      <c r="I383" s="21">
        <f>SUMIFS(Einzelbeträge!$D:$D,Einzelbeträge!$C:$C,'Ausgaben 2027'!$C383,Einzelbeträge!$E:$E,'Ausgaben 2027'!I$6)</f>
        <v>0</v>
      </c>
      <c r="J383" s="21">
        <f>SUMIFS(Einzelbeträge!$D:$D,Einzelbeträge!$C:$C,'Ausgaben 2027'!$C383,Einzelbeträge!$E:$E,'Ausgaben 2027'!J$6)</f>
        <v>0</v>
      </c>
      <c r="K383" s="21">
        <f>SUMIFS(Einzelbeträge!$D:$D,Einzelbeträge!$C:$C,'Ausgaben 2027'!$C383,Einzelbeträge!$E:$E,'Ausgaben 2027'!K$6)</f>
        <v>0</v>
      </c>
      <c r="L383" s="21">
        <f>SUMIFS(Einzelbeträge!$D:$D,Einzelbeträge!$C:$C,'Ausgaben 2027'!$C383,Einzelbeträge!$E:$E,'Ausgaben 2027'!L$6)</f>
        <v>0</v>
      </c>
      <c r="M383" s="21">
        <f>SUMIFS(Einzelbeträge!$D:$D,Einzelbeträge!$C:$C,'Ausgaben 2027'!$C383,Einzelbeträge!$E:$E,'Ausgaben 2027'!M$6)</f>
        <v>0</v>
      </c>
      <c r="N383" s="35">
        <f>SUMIFS(Einzelbeträge!$D:$D,Einzelbeträge!$C:$C,'Ausgaben 2027'!$C383,Einzelbeträge!$E:$E,'Ausgaben 2027'!N$6)</f>
        <v>0</v>
      </c>
      <c r="O383" s="6"/>
    </row>
    <row r="384" spans="2:15" x14ac:dyDescent="0.35">
      <c r="B384" s="5"/>
      <c r="C384" s="40">
        <f t="shared" si="27"/>
        <v>46731</v>
      </c>
      <c r="D384" s="46">
        <f>SUMIFS(Einzelbeträge!$D:$D,Einzelbeträge!$C:$C,'Ausgaben 2027'!$C384)</f>
        <v>0</v>
      </c>
      <c r="E384" s="21">
        <f>SUMIFS(Einzelbeträge!$D:$D,Einzelbeträge!$C:$C,'Ausgaben 2027'!$C384,Einzelbeträge!$E:$E,'Ausgaben 2027'!E$6)</f>
        <v>0</v>
      </c>
      <c r="F384" s="21">
        <f>SUMIFS(Einzelbeträge!$D:$D,Einzelbeträge!$C:$C,'Ausgaben 2027'!$C384,Einzelbeträge!$E:$E,'Ausgaben 2027'!F$6)</f>
        <v>0</v>
      </c>
      <c r="G384" s="21">
        <f>SUMIFS(Einzelbeträge!$D:$D,Einzelbeträge!$C:$C,'Ausgaben 2027'!$C384,Einzelbeträge!$E:$E,'Ausgaben 2027'!G$6)</f>
        <v>0</v>
      </c>
      <c r="H384" s="21">
        <f>SUMIFS(Einzelbeträge!$D:$D,Einzelbeträge!$C:$C,'Ausgaben 2027'!$C384,Einzelbeträge!$E:$E,'Ausgaben 2027'!H$6)</f>
        <v>0</v>
      </c>
      <c r="I384" s="21">
        <f>SUMIFS(Einzelbeträge!$D:$D,Einzelbeträge!$C:$C,'Ausgaben 2027'!$C384,Einzelbeträge!$E:$E,'Ausgaben 2027'!I$6)</f>
        <v>0</v>
      </c>
      <c r="J384" s="21">
        <f>SUMIFS(Einzelbeträge!$D:$D,Einzelbeträge!$C:$C,'Ausgaben 2027'!$C384,Einzelbeträge!$E:$E,'Ausgaben 2027'!J$6)</f>
        <v>0</v>
      </c>
      <c r="K384" s="21">
        <f>SUMIFS(Einzelbeträge!$D:$D,Einzelbeträge!$C:$C,'Ausgaben 2027'!$C384,Einzelbeträge!$E:$E,'Ausgaben 2027'!K$6)</f>
        <v>0</v>
      </c>
      <c r="L384" s="21">
        <f>SUMIFS(Einzelbeträge!$D:$D,Einzelbeträge!$C:$C,'Ausgaben 2027'!$C384,Einzelbeträge!$E:$E,'Ausgaben 2027'!L$6)</f>
        <v>0</v>
      </c>
      <c r="M384" s="21">
        <f>SUMIFS(Einzelbeträge!$D:$D,Einzelbeträge!$C:$C,'Ausgaben 2027'!$C384,Einzelbeträge!$E:$E,'Ausgaben 2027'!M$6)</f>
        <v>0</v>
      </c>
      <c r="N384" s="35">
        <f>SUMIFS(Einzelbeträge!$D:$D,Einzelbeträge!$C:$C,'Ausgaben 2027'!$C384,Einzelbeträge!$E:$E,'Ausgaben 2027'!N$6)</f>
        <v>0</v>
      </c>
      <c r="O384" s="6"/>
    </row>
    <row r="385" spans="2:15" x14ac:dyDescent="0.35">
      <c r="B385" s="5"/>
      <c r="C385" s="40">
        <f t="shared" si="27"/>
        <v>46732</v>
      </c>
      <c r="D385" s="46">
        <f>SUMIFS(Einzelbeträge!$D:$D,Einzelbeträge!$C:$C,'Ausgaben 2027'!$C385)</f>
        <v>0</v>
      </c>
      <c r="E385" s="21">
        <f>SUMIFS(Einzelbeträge!$D:$D,Einzelbeträge!$C:$C,'Ausgaben 2027'!$C385,Einzelbeträge!$E:$E,'Ausgaben 2027'!E$6)</f>
        <v>0</v>
      </c>
      <c r="F385" s="21">
        <f>SUMIFS(Einzelbeträge!$D:$D,Einzelbeträge!$C:$C,'Ausgaben 2027'!$C385,Einzelbeträge!$E:$E,'Ausgaben 2027'!F$6)</f>
        <v>0</v>
      </c>
      <c r="G385" s="21">
        <f>SUMIFS(Einzelbeträge!$D:$D,Einzelbeträge!$C:$C,'Ausgaben 2027'!$C385,Einzelbeträge!$E:$E,'Ausgaben 2027'!G$6)</f>
        <v>0</v>
      </c>
      <c r="H385" s="21">
        <f>SUMIFS(Einzelbeträge!$D:$D,Einzelbeträge!$C:$C,'Ausgaben 2027'!$C385,Einzelbeträge!$E:$E,'Ausgaben 2027'!H$6)</f>
        <v>0</v>
      </c>
      <c r="I385" s="21">
        <f>SUMIFS(Einzelbeträge!$D:$D,Einzelbeträge!$C:$C,'Ausgaben 2027'!$C385,Einzelbeträge!$E:$E,'Ausgaben 2027'!I$6)</f>
        <v>0</v>
      </c>
      <c r="J385" s="21">
        <f>SUMIFS(Einzelbeträge!$D:$D,Einzelbeträge!$C:$C,'Ausgaben 2027'!$C385,Einzelbeträge!$E:$E,'Ausgaben 2027'!J$6)</f>
        <v>0</v>
      </c>
      <c r="K385" s="21">
        <f>SUMIFS(Einzelbeträge!$D:$D,Einzelbeträge!$C:$C,'Ausgaben 2027'!$C385,Einzelbeträge!$E:$E,'Ausgaben 2027'!K$6)</f>
        <v>0</v>
      </c>
      <c r="L385" s="21">
        <f>SUMIFS(Einzelbeträge!$D:$D,Einzelbeträge!$C:$C,'Ausgaben 2027'!$C385,Einzelbeträge!$E:$E,'Ausgaben 2027'!L$6)</f>
        <v>0</v>
      </c>
      <c r="M385" s="21">
        <f>SUMIFS(Einzelbeträge!$D:$D,Einzelbeträge!$C:$C,'Ausgaben 2027'!$C385,Einzelbeträge!$E:$E,'Ausgaben 2027'!M$6)</f>
        <v>0</v>
      </c>
      <c r="N385" s="35">
        <f>SUMIFS(Einzelbeträge!$D:$D,Einzelbeträge!$C:$C,'Ausgaben 2027'!$C385,Einzelbeträge!$E:$E,'Ausgaben 2027'!N$6)</f>
        <v>0</v>
      </c>
      <c r="O385" s="6"/>
    </row>
    <row r="386" spans="2:15" x14ac:dyDescent="0.35">
      <c r="B386" s="5"/>
      <c r="C386" s="40">
        <f t="shared" si="27"/>
        <v>46733</v>
      </c>
      <c r="D386" s="46">
        <f>SUMIFS(Einzelbeträge!$D:$D,Einzelbeträge!$C:$C,'Ausgaben 2027'!$C386)</f>
        <v>0</v>
      </c>
      <c r="E386" s="21">
        <f>SUMIFS(Einzelbeträge!$D:$D,Einzelbeträge!$C:$C,'Ausgaben 2027'!$C386,Einzelbeträge!$E:$E,'Ausgaben 2027'!E$6)</f>
        <v>0</v>
      </c>
      <c r="F386" s="21">
        <f>SUMIFS(Einzelbeträge!$D:$D,Einzelbeträge!$C:$C,'Ausgaben 2027'!$C386,Einzelbeträge!$E:$E,'Ausgaben 2027'!F$6)</f>
        <v>0</v>
      </c>
      <c r="G386" s="21">
        <f>SUMIFS(Einzelbeträge!$D:$D,Einzelbeträge!$C:$C,'Ausgaben 2027'!$C386,Einzelbeträge!$E:$E,'Ausgaben 2027'!G$6)</f>
        <v>0</v>
      </c>
      <c r="H386" s="21">
        <f>SUMIFS(Einzelbeträge!$D:$D,Einzelbeträge!$C:$C,'Ausgaben 2027'!$C386,Einzelbeträge!$E:$E,'Ausgaben 2027'!H$6)</f>
        <v>0</v>
      </c>
      <c r="I386" s="21">
        <f>SUMIFS(Einzelbeträge!$D:$D,Einzelbeträge!$C:$C,'Ausgaben 2027'!$C386,Einzelbeträge!$E:$E,'Ausgaben 2027'!I$6)</f>
        <v>0</v>
      </c>
      <c r="J386" s="21">
        <f>SUMIFS(Einzelbeträge!$D:$D,Einzelbeträge!$C:$C,'Ausgaben 2027'!$C386,Einzelbeträge!$E:$E,'Ausgaben 2027'!J$6)</f>
        <v>0</v>
      </c>
      <c r="K386" s="21">
        <f>SUMIFS(Einzelbeträge!$D:$D,Einzelbeträge!$C:$C,'Ausgaben 2027'!$C386,Einzelbeträge!$E:$E,'Ausgaben 2027'!K$6)</f>
        <v>0</v>
      </c>
      <c r="L386" s="21">
        <f>SUMIFS(Einzelbeträge!$D:$D,Einzelbeträge!$C:$C,'Ausgaben 2027'!$C386,Einzelbeträge!$E:$E,'Ausgaben 2027'!L$6)</f>
        <v>0</v>
      </c>
      <c r="M386" s="21">
        <f>SUMIFS(Einzelbeträge!$D:$D,Einzelbeträge!$C:$C,'Ausgaben 2027'!$C386,Einzelbeträge!$E:$E,'Ausgaben 2027'!M$6)</f>
        <v>0</v>
      </c>
      <c r="N386" s="35">
        <f>SUMIFS(Einzelbeträge!$D:$D,Einzelbeträge!$C:$C,'Ausgaben 2027'!$C386,Einzelbeträge!$E:$E,'Ausgaben 2027'!N$6)</f>
        <v>0</v>
      </c>
      <c r="O386" s="6"/>
    </row>
    <row r="387" spans="2:15" x14ac:dyDescent="0.35">
      <c r="B387" s="5"/>
      <c r="C387" s="40">
        <f t="shared" si="27"/>
        <v>46734</v>
      </c>
      <c r="D387" s="46">
        <f>SUMIFS(Einzelbeträge!$D:$D,Einzelbeträge!$C:$C,'Ausgaben 2027'!$C387)</f>
        <v>0</v>
      </c>
      <c r="E387" s="21">
        <f>SUMIFS(Einzelbeträge!$D:$D,Einzelbeträge!$C:$C,'Ausgaben 2027'!$C387,Einzelbeträge!$E:$E,'Ausgaben 2027'!E$6)</f>
        <v>0</v>
      </c>
      <c r="F387" s="21">
        <f>SUMIFS(Einzelbeträge!$D:$D,Einzelbeträge!$C:$C,'Ausgaben 2027'!$C387,Einzelbeträge!$E:$E,'Ausgaben 2027'!F$6)</f>
        <v>0</v>
      </c>
      <c r="G387" s="21">
        <f>SUMIFS(Einzelbeträge!$D:$D,Einzelbeträge!$C:$C,'Ausgaben 2027'!$C387,Einzelbeträge!$E:$E,'Ausgaben 2027'!G$6)</f>
        <v>0</v>
      </c>
      <c r="H387" s="21">
        <f>SUMIFS(Einzelbeträge!$D:$D,Einzelbeträge!$C:$C,'Ausgaben 2027'!$C387,Einzelbeträge!$E:$E,'Ausgaben 2027'!H$6)</f>
        <v>0</v>
      </c>
      <c r="I387" s="21">
        <f>SUMIFS(Einzelbeträge!$D:$D,Einzelbeträge!$C:$C,'Ausgaben 2027'!$C387,Einzelbeträge!$E:$E,'Ausgaben 2027'!I$6)</f>
        <v>0</v>
      </c>
      <c r="J387" s="21">
        <f>SUMIFS(Einzelbeträge!$D:$D,Einzelbeträge!$C:$C,'Ausgaben 2027'!$C387,Einzelbeträge!$E:$E,'Ausgaben 2027'!J$6)</f>
        <v>0</v>
      </c>
      <c r="K387" s="21">
        <f>SUMIFS(Einzelbeträge!$D:$D,Einzelbeträge!$C:$C,'Ausgaben 2027'!$C387,Einzelbeträge!$E:$E,'Ausgaben 2027'!K$6)</f>
        <v>0</v>
      </c>
      <c r="L387" s="21">
        <f>SUMIFS(Einzelbeträge!$D:$D,Einzelbeträge!$C:$C,'Ausgaben 2027'!$C387,Einzelbeträge!$E:$E,'Ausgaben 2027'!L$6)</f>
        <v>0</v>
      </c>
      <c r="M387" s="21">
        <f>SUMIFS(Einzelbeträge!$D:$D,Einzelbeträge!$C:$C,'Ausgaben 2027'!$C387,Einzelbeträge!$E:$E,'Ausgaben 2027'!M$6)</f>
        <v>0</v>
      </c>
      <c r="N387" s="35">
        <f>SUMIFS(Einzelbeträge!$D:$D,Einzelbeträge!$C:$C,'Ausgaben 2027'!$C387,Einzelbeträge!$E:$E,'Ausgaben 2027'!N$6)</f>
        <v>0</v>
      </c>
      <c r="O387" s="6"/>
    </row>
    <row r="388" spans="2:15" x14ac:dyDescent="0.35">
      <c r="B388" s="5"/>
      <c r="C388" s="40">
        <f t="shared" si="27"/>
        <v>46735</v>
      </c>
      <c r="D388" s="46">
        <f>SUMIFS(Einzelbeträge!$D:$D,Einzelbeträge!$C:$C,'Ausgaben 2027'!$C388)</f>
        <v>0</v>
      </c>
      <c r="E388" s="21">
        <f>SUMIFS(Einzelbeträge!$D:$D,Einzelbeträge!$C:$C,'Ausgaben 2027'!$C388,Einzelbeträge!$E:$E,'Ausgaben 2027'!E$6)</f>
        <v>0</v>
      </c>
      <c r="F388" s="21">
        <f>SUMIFS(Einzelbeträge!$D:$D,Einzelbeträge!$C:$C,'Ausgaben 2027'!$C388,Einzelbeträge!$E:$E,'Ausgaben 2027'!F$6)</f>
        <v>0</v>
      </c>
      <c r="G388" s="21">
        <f>SUMIFS(Einzelbeträge!$D:$D,Einzelbeträge!$C:$C,'Ausgaben 2027'!$C388,Einzelbeträge!$E:$E,'Ausgaben 2027'!G$6)</f>
        <v>0</v>
      </c>
      <c r="H388" s="21">
        <f>SUMIFS(Einzelbeträge!$D:$D,Einzelbeträge!$C:$C,'Ausgaben 2027'!$C388,Einzelbeträge!$E:$E,'Ausgaben 2027'!H$6)</f>
        <v>0</v>
      </c>
      <c r="I388" s="21">
        <f>SUMIFS(Einzelbeträge!$D:$D,Einzelbeträge!$C:$C,'Ausgaben 2027'!$C388,Einzelbeträge!$E:$E,'Ausgaben 2027'!I$6)</f>
        <v>0</v>
      </c>
      <c r="J388" s="21">
        <f>SUMIFS(Einzelbeträge!$D:$D,Einzelbeträge!$C:$C,'Ausgaben 2027'!$C388,Einzelbeträge!$E:$E,'Ausgaben 2027'!J$6)</f>
        <v>0</v>
      </c>
      <c r="K388" s="21">
        <f>SUMIFS(Einzelbeträge!$D:$D,Einzelbeträge!$C:$C,'Ausgaben 2027'!$C388,Einzelbeträge!$E:$E,'Ausgaben 2027'!K$6)</f>
        <v>0</v>
      </c>
      <c r="L388" s="21">
        <f>SUMIFS(Einzelbeträge!$D:$D,Einzelbeträge!$C:$C,'Ausgaben 2027'!$C388,Einzelbeträge!$E:$E,'Ausgaben 2027'!L$6)</f>
        <v>0</v>
      </c>
      <c r="M388" s="21">
        <f>SUMIFS(Einzelbeträge!$D:$D,Einzelbeträge!$C:$C,'Ausgaben 2027'!$C388,Einzelbeträge!$E:$E,'Ausgaben 2027'!M$6)</f>
        <v>0</v>
      </c>
      <c r="N388" s="35">
        <f>SUMIFS(Einzelbeträge!$D:$D,Einzelbeträge!$C:$C,'Ausgaben 2027'!$C388,Einzelbeträge!$E:$E,'Ausgaben 2027'!N$6)</f>
        <v>0</v>
      </c>
      <c r="O388" s="6"/>
    </row>
    <row r="389" spans="2:15" x14ac:dyDescent="0.35">
      <c r="B389" s="5"/>
      <c r="C389" s="40">
        <f t="shared" si="27"/>
        <v>46736</v>
      </c>
      <c r="D389" s="46">
        <f>SUMIFS(Einzelbeträge!$D:$D,Einzelbeträge!$C:$C,'Ausgaben 2027'!$C389)</f>
        <v>0</v>
      </c>
      <c r="E389" s="21">
        <f>SUMIFS(Einzelbeträge!$D:$D,Einzelbeträge!$C:$C,'Ausgaben 2027'!$C389,Einzelbeträge!$E:$E,'Ausgaben 2027'!E$6)</f>
        <v>0</v>
      </c>
      <c r="F389" s="21">
        <f>SUMIFS(Einzelbeträge!$D:$D,Einzelbeträge!$C:$C,'Ausgaben 2027'!$C389,Einzelbeträge!$E:$E,'Ausgaben 2027'!F$6)</f>
        <v>0</v>
      </c>
      <c r="G389" s="21">
        <f>SUMIFS(Einzelbeträge!$D:$D,Einzelbeträge!$C:$C,'Ausgaben 2027'!$C389,Einzelbeträge!$E:$E,'Ausgaben 2027'!G$6)</f>
        <v>0</v>
      </c>
      <c r="H389" s="21">
        <f>SUMIFS(Einzelbeträge!$D:$D,Einzelbeträge!$C:$C,'Ausgaben 2027'!$C389,Einzelbeträge!$E:$E,'Ausgaben 2027'!H$6)</f>
        <v>0</v>
      </c>
      <c r="I389" s="21">
        <f>SUMIFS(Einzelbeträge!$D:$D,Einzelbeträge!$C:$C,'Ausgaben 2027'!$C389,Einzelbeträge!$E:$E,'Ausgaben 2027'!I$6)</f>
        <v>0</v>
      </c>
      <c r="J389" s="21">
        <f>SUMIFS(Einzelbeträge!$D:$D,Einzelbeträge!$C:$C,'Ausgaben 2027'!$C389,Einzelbeträge!$E:$E,'Ausgaben 2027'!J$6)</f>
        <v>0</v>
      </c>
      <c r="K389" s="21">
        <f>SUMIFS(Einzelbeträge!$D:$D,Einzelbeträge!$C:$C,'Ausgaben 2027'!$C389,Einzelbeträge!$E:$E,'Ausgaben 2027'!K$6)</f>
        <v>0</v>
      </c>
      <c r="L389" s="21">
        <f>SUMIFS(Einzelbeträge!$D:$D,Einzelbeträge!$C:$C,'Ausgaben 2027'!$C389,Einzelbeträge!$E:$E,'Ausgaben 2027'!L$6)</f>
        <v>0</v>
      </c>
      <c r="M389" s="21">
        <f>SUMIFS(Einzelbeträge!$D:$D,Einzelbeträge!$C:$C,'Ausgaben 2027'!$C389,Einzelbeträge!$E:$E,'Ausgaben 2027'!M$6)</f>
        <v>0</v>
      </c>
      <c r="N389" s="35">
        <f>SUMIFS(Einzelbeträge!$D:$D,Einzelbeträge!$C:$C,'Ausgaben 2027'!$C389,Einzelbeträge!$E:$E,'Ausgaben 2027'!N$6)</f>
        <v>0</v>
      </c>
      <c r="O389" s="6"/>
    </row>
    <row r="390" spans="2:15" x14ac:dyDescent="0.35">
      <c r="B390" s="5"/>
      <c r="C390" s="40">
        <f t="shared" si="27"/>
        <v>46737</v>
      </c>
      <c r="D390" s="46">
        <f>SUMIFS(Einzelbeträge!$D:$D,Einzelbeträge!$C:$C,'Ausgaben 2027'!$C390)</f>
        <v>0</v>
      </c>
      <c r="E390" s="21">
        <f>SUMIFS(Einzelbeträge!$D:$D,Einzelbeträge!$C:$C,'Ausgaben 2027'!$C390,Einzelbeträge!$E:$E,'Ausgaben 2027'!E$6)</f>
        <v>0</v>
      </c>
      <c r="F390" s="21">
        <f>SUMIFS(Einzelbeträge!$D:$D,Einzelbeträge!$C:$C,'Ausgaben 2027'!$C390,Einzelbeträge!$E:$E,'Ausgaben 2027'!F$6)</f>
        <v>0</v>
      </c>
      <c r="G390" s="21">
        <f>SUMIFS(Einzelbeträge!$D:$D,Einzelbeträge!$C:$C,'Ausgaben 2027'!$C390,Einzelbeträge!$E:$E,'Ausgaben 2027'!G$6)</f>
        <v>0</v>
      </c>
      <c r="H390" s="21">
        <f>SUMIFS(Einzelbeträge!$D:$D,Einzelbeträge!$C:$C,'Ausgaben 2027'!$C390,Einzelbeträge!$E:$E,'Ausgaben 2027'!H$6)</f>
        <v>0</v>
      </c>
      <c r="I390" s="21">
        <f>SUMIFS(Einzelbeträge!$D:$D,Einzelbeträge!$C:$C,'Ausgaben 2027'!$C390,Einzelbeträge!$E:$E,'Ausgaben 2027'!I$6)</f>
        <v>0</v>
      </c>
      <c r="J390" s="21">
        <f>SUMIFS(Einzelbeträge!$D:$D,Einzelbeträge!$C:$C,'Ausgaben 2027'!$C390,Einzelbeträge!$E:$E,'Ausgaben 2027'!J$6)</f>
        <v>0</v>
      </c>
      <c r="K390" s="21">
        <f>SUMIFS(Einzelbeträge!$D:$D,Einzelbeträge!$C:$C,'Ausgaben 2027'!$C390,Einzelbeträge!$E:$E,'Ausgaben 2027'!K$6)</f>
        <v>0</v>
      </c>
      <c r="L390" s="21">
        <f>SUMIFS(Einzelbeträge!$D:$D,Einzelbeträge!$C:$C,'Ausgaben 2027'!$C390,Einzelbeträge!$E:$E,'Ausgaben 2027'!L$6)</f>
        <v>0</v>
      </c>
      <c r="M390" s="21">
        <f>SUMIFS(Einzelbeträge!$D:$D,Einzelbeträge!$C:$C,'Ausgaben 2027'!$C390,Einzelbeträge!$E:$E,'Ausgaben 2027'!M$6)</f>
        <v>0</v>
      </c>
      <c r="N390" s="35">
        <f>SUMIFS(Einzelbeträge!$D:$D,Einzelbeträge!$C:$C,'Ausgaben 2027'!$C390,Einzelbeträge!$E:$E,'Ausgaben 2027'!N$6)</f>
        <v>0</v>
      </c>
      <c r="O390" s="6"/>
    </row>
    <row r="391" spans="2:15" x14ac:dyDescent="0.35">
      <c r="B391" s="5"/>
      <c r="C391" s="40">
        <f t="shared" si="27"/>
        <v>46738</v>
      </c>
      <c r="D391" s="46">
        <f>SUMIFS(Einzelbeträge!$D:$D,Einzelbeträge!$C:$C,'Ausgaben 2027'!$C391)</f>
        <v>0</v>
      </c>
      <c r="E391" s="21">
        <f>SUMIFS(Einzelbeträge!$D:$D,Einzelbeträge!$C:$C,'Ausgaben 2027'!$C391,Einzelbeträge!$E:$E,'Ausgaben 2027'!E$6)</f>
        <v>0</v>
      </c>
      <c r="F391" s="21">
        <f>SUMIFS(Einzelbeträge!$D:$D,Einzelbeträge!$C:$C,'Ausgaben 2027'!$C391,Einzelbeträge!$E:$E,'Ausgaben 2027'!F$6)</f>
        <v>0</v>
      </c>
      <c r="G391" s="21">
        <f>SUMIFS(Einzelbeträge!$D:$D,Einzelbeträge!$C:$C,'Ausgaben 2027'!$C391,Einzelbeträge!$E:$E,'Ausgaben 2027'!G$6)</f>
        <v>0</v>
      </c>
      <c r="H391" s="21">
        <f>SUMIFS(Einzelbeträge!$D:$D,Einzelbeträge!$C:$C,'Ausgaben 2027'!$C391,Einzelbeträge!$E:$E,'Ausgaben 2027'!H$6)</f>
        <v>0</v>
      </c>
      <c r="I391" s="21">
        <f>SUMIFS(Einzelbeträge!$D:$D,Einzelbeträge!$C:$C,'Ausgaben 2027'!$C391,Einzelbeträge!$E:$E,'Ausgaben 2027'!I$6)</f>
        <v>0</v>
      </c>
      <c r="J391" s="21">
        <f>SUMIFS(Einzelbeträge!$D:$D,Einzelbeträge!$C:$C,'Ausgaben 2027'!$C391,Einzelbeträge!$E:$E,'Ausgaben 2027'!J$6)</f>
        <v>0</v>
      </c>
      <c r="K391" s="21">
        <f>SUMIFS(Einzelbeträge!$D:$D,Einzelbeträge!$C:$C,'Ausgaben 2027'!$C391,Einzelbeträge!$E:$E,'Ausgaben 2027'!K$6)</f>
        <v>0</v>
      </c>
      <c r="L391" s="21">
        <f>SUMIFS(Einzelbeträge!$D:$D,Einzelbeträge!$C:$C,'Ausgaben 2027'!$C391,Einzelbeträge!$E:$E,'Ausgaben 2027'!L$6)</f>
        <v>0</v>
      </c>
      <c r="M391" s="21">
        <f>SUMIFS(Einzelbeträge!$D:$D,Einzelbeträge!$C:$C,'Ausgaben 2027'!$C391,Einzelbeträge!$E:$E,'Ausgaben 2027'!M$6)</f>
        <v>0</v>
      </c>
      <c r="N391" s="35">
        <f>SUMIFS(Einzelbeträge!$D:$D,Einzelbeträge!$C:$C,'Ausgaben 2027'!$C391,Einzelbeträge!$E:$E,'Ausgaben 2027'!N$6)</f>
        <v>0</v>
      </c>
      <c r="O391" s="6"/>
    </row>
    <row r="392" spans="2:15" x14ac:dyDescent="0.35">
      <c r="B392" s="5"/>
      <c r="C392" s="40">
        <f t="shared" si="27"/>
        <v>46739</v>
      </c>
      <c r="D392" s="46">
        <f>SUMIFS(Einzelbeträge!$D:$D,Einzelbeträge!$C:$C,'Ausgaben 2027'!$C392)</f>
        <v>0</v>
      </c>
      <c r="E392" s="21">
        <f>SUMIFS(Einzelbeträge!$D:$D,Einzelbeträge!$C:$C,'Ausgaben 2027'!$C392,Einzelbeträge!$E:$E,'Ausgaben 2027'!E$6)</f>
        <v>0</v>
      </c>
      <c r="F392" s="21">
        <f>SUMIFS(Einzelbeträge!$D:$D,Einzelbeträge!$C:$C,'Ausgaben 2027'!$C392,Einzelbeträge!$E:$E,'Ausgaben 2027'!F$6)</f>
        <v>0</v>
      </c>
      <c r="G392" s="21">
        <f>SUMIFS(Einzelbeträge!$D:$D,Einzelbeträge!$C:$C,'Ausgaben 2027'!$C392,Einzelbeträge!$E:$E,'Ausgaben 2027'!G$6)</f>
        <v>0</v>
      </c>
      <c r="H392" s="21">
        <f>SUMIFS(Einzelbeträge!$D:$D,Einzelbeträge!$C:$C,'Ausgaben 2027'!$C392,Einzelbeträge!$E:$E,'Ausgaben 2027'!H$6)</f>
        <v>0</v>
      </c>
      <c r="I392" s="21">
        <f>SUMIFS(Einzelbeträge!$D:$D,Einzelbeträge!$C:$C,'Ausgaben 2027'!$C392,Einzelbeträge!$E:$E,'Ausgaben 2027'!I$6)</f>
        <v>0</v>
      </c>
      <c r="J392" s="21">
        <f>SUMIFS(Einzelbeträge!$D:$D,Einzelbeträge!$C:$C,'Ausgaben 2027'!$C392,Einzelbeträge!$E:$E,'Ausgaben 2027'!J$6)</f>
        <v>0</v>
      </c>
      <c r="K392" s="21">
        <f>SUMIFS(Einzelbeträge!$D:$D,Einzelbeträge!$C:$C,'Ausgaben 2027'!$C392,Einzelbeträge!$E:$E,'Ausgaben 2027'!K$6)</f>
        <v>0</v>
      </c>
      <c r="L392" s="21">
        <f>SUMIFS(Einzelbeträge!$D:$D,Einzelbeträge!$C:$C,'Ausgaben 2027'!$C392,Einzelbeträge!$E:$E,'Ausgaben 2027'!L$6)</f>
        <v>0</v>
      </c>
      <c r="M392" s="21">
        <f>SUMIFS(Einzelbeträge!$D:$D,Einzelbeträge!$C:$C,'Ausgaben 2027'!$C392,Einzelbeträge!$E:$E,'Ausgaben 2027'!M$6)</f>
        <v>0</v>
      </c>
      <c r="N392" s="35">
        <f>SUMIFS(Einzelbeträge!$D:$D,Einzelbeträge!$C:$C,'Ausgaben 2027'!$C392,Einzelbeträge!$E:$E,'Ausgaben 2027'!N$6)</f>
        <v>0</v>
      </c>
      <c r="O392" s="6"/>
    </row>
    <row r="393" spans="2:15" x14ac:dyDescent="0.35">
      <c r="B393" s="5"/>
      <c r="C393" s="40">
        <f t="shared" si="27"/>
        <v>46740</v>
      </c>
      <c r="D393" s="46">
        <f>SUMIFS(Einzelbeträge!$D:$D,Einzelbeträge!$C:$C,'Ausgaben 2027'!$C393)</f>
        <v>0</v>
      </c>
      <c r="E393" s="21">
        <f>SUMIFS(Einzelbeträge!$D:$D,Einzelbeträge!$C:$C,'Ausgaben 2027'!$C393,Einzelbeträge!$E:$E,'Ausgaben 2027'!E$6)</f>
        <v>0</v>
      </c>
      <c r="F393" s="21">
        <f>SUMIFS(Einzelbeträge!$D:$D,Einzelbeträge!$C:$C,'Ausgaben 2027'!$C393,Einzelbeträge!$E:$E,'Ausgaben 2027'!F$6)</f>
        <v>0</v>
      </c>
      <c r="G393" s="21">
        <f>SUMIFS(Einzelbeträge!$D:$D,Einzelbeträge!$C:$C,'Ausgaben 2027'!$C393,Einzelbeträge!$E:$E,'Ausgaben 2027'!G$6)</f>
        <v>0</v>
      </c>
      <c r="H393" s="21">
        <f>SUMIFS(Einzelbeträge!$D:$D,Einzelbeträge!$C:$C,'Ausgaben 2027'!$C393,Einzelbeträge!$E:$E,'Ausgaben 2027'!H$6)</f>
        <v>0</v>
      </c>
      <c r="I393" s="21">
        <f>SUMIFS(Einzelbeträge!$D:$D,Einzelbeträge!$C:$C,'Ausgaben 2027'!$C393,Einzelbeträge!$E:$E,'Ausgaben 2027'!I$6)</f>
        <v>0</v>
      </c>
      <c r="J393" s="21">
        <f>SUMIFS(Einzelbeträge!$D:$D,Einzelbeträge!$C:$C,'Ausgaben 2027'!$C393,Einzelbeträge!$E:$E,'Ausgaben 2027'!J$6)</f>
        <v>0</v>
      </c>
      <c r="K393" s="21">
        <f>SUMIFS(Einzelbeträge!$D:$D,Einzelbeträge!$C:$C,'Ausgaben 2027'!$C393,Einzelbeträge!$E:$E,'Ausgaben 2027'!K$6)</f>
        <v>0</v>
      </c>
      <c r="L393" s="21">
        <f>SUMIFS(Einzelbeträge!$D:$D,Einzelbeträge!$C:$C,'Ausgaben 2027'!$C393,Einzelbeträge!$E:$E,'Ausgaben 2027'!L$6)</f>
        <v>0</v>
      </c>
      <c r="M393" s="21">
        <f>SUMIFS(Einzelbeträge!$D:$D,Einzelbeträge!$C:$C,'Ausgaben 2027'!$C393,Einzelbeträge!$E:$E,'Ausgaben 2027'!M$6)</f>
        <v>0</v>
      </c>
      <c r="N393" s="35">
        <f>SUMIFS(Einzelbeträge!$D:$D,Einzelbeträge!$C:$C,'Ausgaben 2027'!$C393,Einzelbeträge!$E:$E,'Ausgaben 2027'!N$6)</f>
        <v>0</v>
      </c>
      <c r="O393" s="6"/>
    </row>
    <row r="394" spans="2:15" x14ac:dyDescent="0.35">
      <c r="B394" s="5"/>
      <c r="C394" s="40">
        <f t="shared" si="27"/>
        <v>46741</v>
      </c>
      <c r="D394" s="46">
        <f>SUMIFS(Einzelbeträge!$D:$D,Einzelbeträge!$C:$C,'Ausgaben 2027'!$C394)</f>
        <v>0</v>
      </c>
      <c r="E394" s="21">
        <f>SUMIFS(Einzelbeträge!$D:$D,Einzelbeträge!$C:$C,'Ausgaben 2027'!$C394,Einzelbeträge!$E:$E,'Ausgaben 2027'!E$6)</f>
        <v>0</v>
      </c>
      <c r="F394" s="21">
        <f>SUMIFS(Einzelbeträge!$D:$D,Einzelbeträge!$C:$C,'Ausgaben 2027'!$C394,Einzelbeträge!$E:$E,'Ausgaben 2027'!F$6)</f>
        <v>0</v>
      </c>
      <c r="G394" s="21">
        <f>SUMIFS(Einzelbeträge!$D:$D,Einzelbeträge!$C:$C,'Ausgaben 2027'!$C394,Einzelbeträge!$E:$E,'Ausgaben 2027'!G$6)</f>
        <v>0</v>
      </c>
      <c r="H394" s="21">
        <f>SUMIFS(Einzelbeträge!$D:$D,Einzelbeträge!$C:$C,'Ausgaben 2027'!$C394,Einzelbeträge!$E:$E,'Ausgaben 2027'!H$6)</f>
        <v>0</v>
      </c>
      <c r="I394" s="21">
        <f>SUMIFS(Einzelbeträge!$D:$D,Einzelbeträge!$C:$C,'Ausgaben 2027'!$C394,Einzelbeträge!$E:$E,'Ausgaben 2027'!I$6)</f>
        <v>0</v>
      </c>
      <c r="J394" s="21">
        <f>SUMIFS(Einzelbeträge!$D:$D,Einzelbeträge!$C:$C,'Ausgaben 2027'!$C394,Einzelbeträge!$E:$E,'Ausgaben 2027'!J$6)</f>
        <v>0</v>
      </c>
      <c r="K394" s="21">
        <f>SUMIFS(Einzelbeträge!$D:$D,Einzelbeträge!$C:$C,'Ausgaben 2027'!$C394,Einzelbeträge!$E:$E,'Ausgaben 2027'!K$6)</f>
        <v>0</v>
      </c>
      <c r="L394" s="21">
        <f>SUMIFS(Einzelbeträge!$D:$D,Einzelbeträge!$C:$C,'Ausgaben 2027'!$C394,Einzelbeträge!$E:$E,'Ausgaben 2027'!L$6)</f>
        <v>0</v>
      </c>
      <c r="M394" s="21">
        <f>SUMIFS(Einzelbeträge!$D:$D,Einzelbeträge!$C:$C,'Ausgaben 2027'!$C394,Einzelbeträge!$E:$E,'Ausgaben 2027'!M$6)</f>
        <v>0</v>
      </c>
      <c r="N394" s="35">
        <f>SUMIFS(Einzelbeträge!$D:$D,Einzelbeträge!$C:$C,'Ausgaben 2027'!$C394,Einzelbeträge!$E:$E,'Ausgaben 2027'!N$6)</f>
        <v>0</v>
      </c>
      <c r="O394" s="6"/>
    </row>
    <row r="395" spans="2:15" x14ac:dyDescent="0.35">
      <c r="B395" s="5"/>
      <c r="C395" s="40">
        <f t="shared" si="27"/>
        <v>46742</v>
      </c>
      <c r="D395" s="46">
        <f>SUMIFS(Einzelbeträge!$D:$D,Einzelbeträge!$C:$C,'Ausgaben 2027'!$C395)</f>
        <v>0</v>
      </c>
      <c r="E395" s="21">
        <f>SUMIFS(Einzelbeträge!$D:$D,Einzelbeträge!$C:$C,'Ausgaben 2027'!$C395,Einzelbeträge!$E:$E,'Ausgaben 2027'!E$6)</f>
        <v>0</v>
      </c>
      <c r="F395" s="21">
        <f>SUMIFS(Einzelbeträge!$D:$D,Einzelbeträge!$C:$C,'Ausgaben 2027'!$C395,Einzelbeträge!$E:$E,'Ausgaben 2027'!F$6)</f>
        <v>0</v>
      </c>
      <c r="G395" s="21">
        <f>SUMIFS(Einzelbeträge!$D:$D,Einzelbeträge!$C:$C,'Ausgaben 2027'!$C395,Einzelbeträge!$E:$E,'Ausgaben 2027'!G$6)</f>
        <v>0</v>
      </c>
      <c r="H395" s="21">
        <f>SUMIFS(Einzelbeträge!$D:$D,Einzelbeträge!$C:$C,'Ausgaben 2027'!$C395,Einzelbeträge!$E:$E,'Ausgaben 2027'!H$6)</f>
        <v>0</v>
      </c>
      <c r="I395" s="21">
        <f>SUMIFS(Einzelbeträge!$D:$D,Einzelbeträge!$C:$C,'Ausgaben 2027'!$C395,Einzelbeträge!$E:$E,'Ausgaben 2027'!I$6)</f>
        <v>0</v>
      </c>
      <c r="J395" s="21">
        <f>SUMIFS(Einzelbeträge!$D:$D,Einzelbeträge!$C:$C,'Ausgaben 2027'!$C395,Einzelbeträge!$E:$E,'Ausgaben 2027'!J$6)</f>
        <v>0</v>
      </c>
      <c r="K395" s="21">
        <f>SUMIFS(Einzelbeträge!$D:$D,Einzelbeträge!$C:$C,'Ausgaben 2027'!$C395,Einzelbeträge!$E:$E,'Ausgaben 2027'!K$6)</f>
        <v>0</v>
      </c>
      <c r="L395" s="21">
        <f>SUMIFS(Einzelbeträge!$D:$D,Einzelbeträge!$C:$C,'Ausgaben 2027'!$C395,Einzelbeträge!$E:$E,'Ausgaben 2027'!L$6)</f>
        <v>0</v>
      </c>
      <c r="M395" s="21">
        <f>SUMIFS(Einzelbeträge!$D:$D,Einzelbeträge!$C:$C,'Ausgaben 2027'!$C395,Einzelbeträge!$E:$E,'Ausgaben 2027'!M$6)</f>
        <v>0</v>
      </c>
      <c r="N395" s="35">
        <f>SUMIFS(Einzelbeträge!$D:$D,Einzelbeträge!$C:$C,'Ausgaben 2027'!$C395,Einzelbeträge!$E:$E,'Ausgaben 2027'!N$6)</f>
        <v>0</v>
      </c>
      <c r="O395" s="6"/>
    </row>
    <row r="396" spans="2:15" x14ac:dyDescent="0.35">
      <c r="B396" s="5"/>
      <c r="C396" s="40">
        <f t="shared" si="27"/>
        <v>46743</v>
      </c>
      <c r="D396" s="46">
        <f>SUMIFS(Einzelbeträge!$D:$D,Einzelbeträge!$C:$C,'Ausgaben 2027'!$C396)</f>
        <v>0</v>
      </c>
      <c r="E396" s="21">
        <f>SUMIFS(Einzelbeträge!$D:$D,Einzelbeträge!$C:$C,'Ausgaben 2027'!$C396,Einzelbeträge!$E:$E,'Ausgaben 2027'!E$6)</f>
        <v>0</v>
      </c>
      <c r="F396" s="21">
        <f>SUMIFS(Einzelbeträge!$D:$D,Einzelbeträge!$C:$C,'Ausgaben 2027'!$C396,Einzelbeträge!$E:$E,'Ausgaben 2027'!F$6)</f>
        <v>0</v>
      </c>
      <c r="G396" s="21">
        <f>SUMIFS(Einzelbeträge!$D:$D,Einzelbeträge!$C:$C,'Ausgaben 2027'!$C396,Einzelbeträge!$E:$E,'Ausgaben 2027'!G$6)</f>
        <v>0</v>
      </c>
      <c r="H396" s="21">
        <f>SUMIFS(Einzelbeträge!$D:$D,Einzelbeträge!$C:$C,'Ausgaben 2027'!$C396,Einzelbeträge!$E:$E,'Ausgaben 2027'!H$6)</f>
        <v>0</v>
      </c>
      <c r="I396" s="21">
        <f>SUMIFS(Einzelbeträge!$D:$D,Einzelbeträge!$C:$C,'Ausgaben 2027'!$C396,Einzelbeträge!$E:$E,'Ausgaben 2027'!I$6)</f>
        <v>0</v>
      </c>
      <c r="J396" s="21">
        <f>SUMIFS(Einzelbeträge!$D:$D,Einzelbeträge!$C:$C,'Ausgaben 2027'!$C396,Einzelbeträge!$E:$E,'Ausgaben 2027'!J$6)</f>
        <v>0</v>
      </c>
      <c r="K396" s="21">
        <f>SUMIFS(Einzelbeträge!$D:$D,Einzelbeträge!$C:$C,'Ausgaben 2027'!$C396,Einzelbeträge!$E:$E,'Ausgaben 2027'!K$6)</f>
        <v>0</v>
      </c>
      <c r="L396" s="21">
        <f>SUMIFS(Einzelbeträge!$D:$D,Einzelbeträge!$C:$C,'Ausgaben 2027'!$C396,Einzelbeträge!$E:$E,'Ausgaben 2027'!L$6)</f>
        <v>0</v>
      </c>
      <c r="M396" s="21">
        <f>SUMIFS(Einzelbeträge!$D:$D,Einzelbeträge!$C:$C,'Ausgaben 2027'!$C396,Einzelbeträge!$E:$E,'Ausgaben 2027'!M$6)</f>
        <v>0</v>
      </c>
      <c r="N396" s="35">
        <f>SUMIFS(Einzelbeträge!$D:$D,Einzelbeträge!$C:$C,'Ausgaben 2027'!$C396,Einzelbeträge!$E:$E,'Ausgaben 2027'!N$6)</f>
        <v>0</v>
      </c>
      <c r="O396" s="6"/>
    </row>
    <row r="397" spans="2:15" x14ac:dyDescent="0.35">
      <c r="B397" s="5"/>
      <c r="C397" s="40">
        <f t="shared" si="27"/>
        <v>46744</v>
      </c>
      <c r="D397" s="46">
        <f>SUMIFS(Einzelbeträge!$D:$D,Einzelbeträge!$C:$C,'Ausgaben 2027'!$C397)</f>
        <v>0</v>
      </c>
      <c r="E397" s="21">
        <f>SUMIFS(Einzelbeträge!$D:$D,Einzelbeträge!$C:$C,'Ausgaben 2027'!$C397,Einzelbeträge!$E:$E,'Ausgaben 2027'!E$6)</f>
        <v>0</v>
      </c>
      <c r="F397" s="21">
        <f>SUMIFS(Einzelbeträge!$D:$D,Einzelbeträge!$C:$C,'Ausgaben 2027'!$C397,Einzelbeträge!$E:$E,'Ausgaben 2027'!F$6)</f>
        <v>0</v>
      </c>
      <c r="G397" s="21">
        <f>SUMIFS(Einzelbeträge!$D:$D,Einzelbeträge!$C:$C,'Ausgaben 2027'!$C397,Einzelbeträge!$E:$E,'Ausgaben 2027'!G$6)</f>
        <v>0</v>
      </c>
      <c r="H397" s="21">
        <f>SUMIFS(Einzelbeträge!$D:$D,Einzelbeträge!$C:$C,'Ausgaben 2027'!$C397,Einzelbeträge!$E:$E,'Ausgaben 2027'!H$6)</f>
        <v>0</v>
      </c>
      <c r="I397" s="21">
        <f>SUMIFS(Einzelbeträge!$D:$D,Einzelbeträge!$C:$C,'Ausgaben 2027'!$C397,Einzelbeträge!$E:$E,'Ausgaben 2027'!I$6)</f>
        <v>0</v>
      </c>
      <c r="J397" s="21">
        <f>SUMIFS(Einzelbeträge!$D:$D,Einzelbeträge!$C:$C,'Ausgaben 2027'!$C397,Einzelbeträge!$E:$E,'Ausgaben 2027'!J$6)</f>
        <v>0</v>
      </c>
      <c r="K397" s="21">
        <f>SUMIFS(Einzelbeträge!$D:$D,Einzelbeträge!$C:$C,'Ausgaben 2027'!$C397,Einzelbeträge!$E:$E,'Ausgaben 2027'!K$6)</f>
        <v>0</v>
      </c>
      <c r="L397" s="21">
        <f>SUMIFS(Einzelbeträge!$D:$D,Einzelbeträge!$C:$C,'Ausgaben 2027'!$C397,Einzelbeträge!$E:$E,'Ausgaben 2027'!L$6)</f>
        <v>0</v>
      </c>
      <c r="M397" s="21">
        <f>SUMIFS(Einzelbeträge!$D:$D,Einzelbeträge!$C:$C,'Ausgaben 2027'!$C397,Einzelbeträge!$E:$E,'Ausgaben 2027'!M$6)</f>
        <v>0</v>
      </c>
      <c r="N397" s="35">
        <f>SUMIFS(Einzelbeträge!$D:$D,Einzelbeträge!$C:$C,'Ausgaben 2027'!$C397,Einzelbeträge!$E:$E,'Ausgaben 2027'!N$6)</f>
        <v>0</v>
      </c>
      <c r="O397" s="6"/>
    </row>
    <row r="398" spans="2:15" x14ac:dyDescent="0.35">
      <c r="B398" s="5"/>
      <c r="C398" s="40">
        <f t="shared" si="27"/>
        <v>46745</v>
      </c>
      <c r="D398" s="46">
        <f>SUMIFS(Einzelbeträge!$D:$D,Einzelbeträge!$C:$C,'Ausgaben 2027'!$C398)</f>
        <v>0</v>
      </c>
      <c r="E398" s="21">
        <f>SUMIFS(Einzelbeträge!$D:$D,Einzelbeträge!$C:$C,'Ausgaben 2027'!$C398,Einzelbeträge!$E:$E,'Ausgaben 2027'!E$6)</f>
        <v>0</v>
      </c>
      <c r="F398" s="21">
        <f>SUMIFS(Einzelbeträge!$D:$D,Einzelbeträge!$C:$C,'Ausgaben 2027'!$C398,Einzelbeträge!$E:$E,'Ausgaben 2027'!F$6)</f>
        <v>0</v>
      </c>
      <c r="G398" s="21">
        <f>SUMIFS(Einzelbeträge!$D:$D,Einzelbeträge!$C:$C,'Ausgaben 2027'!$C398,Einzelbeträge!$E:$E,'Ausgaben 2027'!G$6)</f>
        <v>0</v>
      </c>
      <c r="H398" s="21">
        <f>SUMIFS(Einzelbeträge!$D:$D,Einzelbeträge!$C:$C,'Ausgaben 2027'!$C398,Einzelbeträge!$E:$E,'Ausgaben 2027'!H$6)</f>
        <v>0</v>
      </c>
      <c r="I398" s="21">
        <f>SUMIFS(Einzelbeträge!$D:$D,Einzelbeträge!$C:$C,'Ausgaben 2027'!$C398,Einzelbeträge!$E:$E,'Ausgaben 2027'!I$6)</f>
        <v>0</v>
      </c>
      <c r="J398" s="21">
        <f>SUMIFS(Einzelbeträge!$D:$D,Einzelbeträge!$C:$C,'Ausgaben 2027'!$C398,Einzelbeträge!$E:$E,'Ausgaben 2027'!J$6)</f>
        <v>0</v>
      </c>
      <c r="K398" s="21">
        <f>SUMIFS(Einzelbeträge!$D:$D,Einzelbeträge!$C:$C,'Ausgaben 2027'!$C398,Einzelbeträge!$E:$E,'Ausgaben 2027'!K$6)</f>
        <v>0</v>
      </c>
      <c r="L398" s="21">
        <f>SUMIFS(Einzelbeträge!$D:$D,Einzelbeträge!$C:$C,'Ausgaben 2027'!$C398,Einzelbeträge!$E:$E,'Ausgaben 2027'!L$6)</f>
        <v>0</v>
      </c>
      <c r="M398" s="21">
        <f>SUMIFS(Einzelbeträge!$D:$D,Einzelbeträge!$C:$C,'Ausgaben 2027'!$C398,Einzelbeträge!$E:$E,'Ausgaben 2027'!M$6)</f>
        <v>0</v>
      </c>
      <c r="N398" s="35">
        <f>SUMIFS(Einzelbeträge!$D:$D,Einzelbeträge!$C:$C,'Ausgaben 2027'!$C398,Einzelbeträge!$E:$E,'Ausgaben 2027'!N$6)</f>
        <v>0</v>
      </c>
      <c r="O398" s="6"/>
    </row>
    <row r="399" spans="2:15" x14ac:dyDescent="0.35">
      <c r="B399" s="5"/>
      <c r="C399" s="40">
        <f t="shared" si="27"/>
        <v>46746</v>
      </c>
      <c r="D399" s="46">
        <f>SUMIFS(Einzelbeträge!$D:$D,Einzelbeträge!$C:$C,'Ausgaben 2027'!$C399)</f>
        <v>0</v>
      </c>
      <c r="E399" s="21">
        <f>SUMIFS(Einzelbeträge!$D:$D,Einzelbeträge!$C:$C,'Ausgaben 2027'!$C399,Einzelbeträge!$E:$E,'Ausgaben 2027'!E$6)</f>
        <v>0</v>
      </c>
      <c r="F399" s="21">
        <f>SUMIFS(Einzelbeträge!$D:$D,Einzelbeträge!$C:$C,'Ausgaben 2027'!$C399,Einzelbeträge!$E:$E,'Ausgaben 2027'!F$6)</f>
        <v>0</v>
      </c>
      <c r="G399" s="21">
        <f>SUMIFS(Einzelbeträge!$D:$D,Einzelbeträge!$C:$C,'Ausgaben 2027'!$C399,Einzelbeträge!$E:$E,'Ausgaben 2027'!G$6)</f>
        <v>0</v>
      </c>
      <c r="H399" s="21">
        <f>SUMIFS(Einzelbeträge!$D:$D,Einzelbeträge!$C:$C,'Ausgaben 2027'!$C399,Einzelbeträge!$E:$E,'Ausgaben 2027'!H$6)</f>
        <v>0</v>
      </c>
      <c r="I399" s="21">
        <f>SUMIFS(Einzelbeträge!$D:$D,Einzelbeträge!$C:$C,'Ausgaben 2027'!$C399,Einzelbeträge!$E:$E,'Ausgaben 2027'!I$6)</f>
        <v>0</v>
      </c>
      <c r="J399" s="21">
        <f>SUMIFS(Einzelbeträge!$D:$D,Einzelbeträge!$C:$C,'Ausgaben 2027'!$C399,Einzelbeträge!$E:$E,'Ausgaben 2027'!J$6)</f>
        <v>0</v>
      </c>
      <c r="K399" s="21">
        <f>SUMIFS(Einzelbeträge!$D:$D,Einzelbeträge!$C:$C,'Ausgaben 2027'!$C399,Einzelbeträge!$E:$E,'Ausgaben 2027'!K$6)</f>
        <v>0</v>
      </c>
      <c r="L399" s="21">
        <f>SUMIFS(Einzelbeträge!$D:$D,Einzelbeträge!$C:$C,'Ausgaben 2027'!$C399,Einzelbeträge!$E:$E,'Ausgaben 2027'!L$6)</f>
        <v>0</v>
      </c>
      <c r="M399" s="21">
        <f>SUMIFS(Einzelbeträge!$D:$D,Einzelbeträge!$C:$C,'Ausgaben 2027'!$C399,Einzelbeträge!$E:$E,'Ausgaben 2027'!M$6)</f>
        <v>0</v>
      </c>
      <c r="N399" s="35">
        <f>SUMIFS(Einzelbeträge!$D:$D,Einzelbeträge!$C:$C,'Ausgaben 2027'!$C399,Einzelbeträge!$E:$E,'Ausgaben 2027'!N$6)</f>
        <v>0</v>
      </c>
      <c r="O399" s="6"/>
    </row>
    <row r="400" spans="2:15" x14ac:dyDescent="0.35">
      <c r="B400" s="5"/>
      <c r="C400" s="40">
        <f t="shared" si="27"/>
        <v>46747</v>
      </c>
      <c r="D400" s="46">
        <f>SUMIFS(Einzelbeträge!$D:$D,Einzelbeträge!$C:$C,'Ausgaben 2027'!$C400)</f>
        <v>0</v>
      </c>
      <c r="E400" s="21">
        <f>SUMIFS(Einzelbeträge!$D:$D,Einzelbeträge!$C:$C,'Ausgaben 2027'!$C400,Einzelbeträge!$E:$E,'Ausgaben 2027'!E$6)</f>
        <v>0</v>
      </c>
      <c r="F400" s="21">
        <f>SUMIFS(Einzelbeträge!$D:$D,Einzelbeträge!$C:$C,'Ausgaben 2027'!$C400,Einzelbeträge!$E:$E,'Ausgaben 2027'!F$6)</f>
        <v>0</v>
      </c>
      <c r="G400" s="21">
        <f>SUMIFS(Einzelbeträge!$D:$D,Einzelbeträge!$C:$C,'Ausgaben 2027'!$C400,Einzelbeträge!$E:$E,'Ausgaben 2027'!G$6)</f>
        <v>0</v>
      </c>
      <c r="H400" s="21">
        <f>SUMIFS(Einzelbeträge!$D:$D,Einzelbeträge!$C:$C,'Ausgaben 2027'!$C400,Einzelbeträge!$E:$E,'Ausgaben 2027'!H$6)</f>
        <v>0</v>
      </c>
      <c r="I400" s="21">
        <f>SUMIFS(Einzelbeträge!$D:$D,Einzelbeträge!$C:$C,'Ausgaben 2027'!$C400,Einzelbeträge!$E:$E,'Ausgaben 2027'!I$6)</f>
        <v>0</v>
      </c>
      <c r="J400" s="21">
        <f>SUMIFS(Einzelbeträge!$D:$D,Einzelbeträge!$C:$C,'Ausgaben 2027'!$C400,Einzelbeträge!$E:$E,'Ausgaben 2027'!J$6)</f>
        <v>0</v>
      </c>
      <c r="K400" s="21">
        <f>SUMIFS(Einzelbeträge!$D:$D,Einzelbeträge!$C:$C,'Ausgaben 2027'!$C400,Einzelbeträge!$E:$E,'Ausgaben 2027'!K$6)</f>
        <v>0</v>
      </c>
      <c r="L400" s="21">
        <f>SUMIFS(Einzelbeträge!$D:$D,Einzelbeträge!$C:$C,'Ausgaben 2027'!$C400,Einzelbeträge!$E:$E,'Ausgaben 2027'!L$6)</f>
        <v>0</v>
      </c>
      <c r="M400" s="21">
        <f>SUMIFS(Einzelbeträge!$D:$D,Einzelbeträge!$C:$C,'Ausgaben 2027'!$C400,Einzelbeträge!$E:$E,'Ausgaben 2027'!M$6)</f>
        <v>0</v>
      </c>
      <c r="N400" s="35">
        <f>SUMIFS(Einzelbeträge!$D:$D,Einzelbeträge!$C:$C,'Ausgaben 2027'!$C400,Einzelbeträge!$E:$E,'Ausgaben 2027'!N$6)</f>
        <v>0</v>
      </c>
      <c r="O400" s="6"/>
    </row>
    <row r="401" spans="2:15" x14ac:dyDescent="0.35">
      <c r="B401" s="5"/>
      <c r="C401" s="40">
        <f t="shared" si="27"/>
        <v>46748</v>
      </c>
      <c r="D401" s="46">
        <f>SUMIFS(Einzelbeträge!$D:$D,Einzelbeträge!$C:$C,'Ausgaben 2027'!$C401)</f>
        <v>0</v>
      </c>
      <c r="E401" s="21">
        <f>SUMIFS(Einzelbeträge!$D:$D,Einzelbeträge!$C:$C,'Ausgaben 2027'!$C401,Einzelbeträge!$E:$E,'Ausgaben 2027'!E$6)</f>
        <v>0</v>
      </c>
      <c r="F401" s="21">
        <f>SUMIFS(Einzelbeträge!$D:$D,Einzelbeträge!$C:$C,'Ausgaben 2027'!$C401,Einzelbeträge!$E:$E,'Ausgaben 2027'!F$6)</f>
        <v>0</v>
      </c>
      <c r="G401" s="21">
        <f>SUMIFS(Einzelbeträge!$D:$D,Einzelbeträge!$C:$C,'Ausgaben 2027'!$C401,Einzelbeträge!$E:$E,'Ausgaben 2027'!G$6)</f>
        <v>0</v>
      </c>
      <c r="H401" s="21">
        <f>SUMIFS(Einzelbeträge!$D:$D,Einzelbeträge!$C:$C,'Ausgaben 2027'!$C401,Einzelbeträge!$E:$E,'Ausgaben 2027'!H$6)</f>
        <v>0</v>
      </c>
      <c r="I401" s="21">
        <f>SUMIFS(Einzelbeträge!$D:$D,Einzelbeträge!$C:$C,'Ausgaben 2027'!$C401,Einzelbeträge!$E:$E,'Ausgaben 2027'!I$6)</f>
        <v>0</v>
      </c>
      <c r="J401" s="21">
        <f>SUMIFS(Einzelbeträge!$D:$D,Einzelbeträge!$C:$C,'Ausgaben 2027'!$C401,Einzelbeträge!$E:$E,'Ausgaben 2027'!J$6)</f>
        <v>0</v>
      </c>
      <c r="K401" s="21">
        <f>SUMIFS(Einzelbeträge!$D:$D,Einzelbeträge!$C:$C,'Ausgaben 2027'!$C401,Einzelbeträge!$E:$E,'Ausgaben 2027'!K$6)</f>
        <v>0</v>
      </c>
      <c r="L401" s="21">
        <f>SUMIFS(Einzelbeträge!$D:$D,Einzelbeträge!$C:$C,'Ausgaben 2027'!$C401,Einzelbeträge!$E:$E,'Ausgaben 2027'!L$6)</f>
        <v>0</v>
      </c>
      <c r="M401" s="21">
        <f>SUMIFS(Einzelbeträge!$D:$D,Einzelbeträge!$C:$C,'Ausgaben 2027'!$C401,Einzelbeträge!$E:$E,'Ausgaben 2027'!M$6)</f>
        <v>0</v>
      </c>
      <c r="N401" s="35">
        <f>SUMIFS(Einzelbeträge!$D:$D,Einzelbeträge!$C:$C,'Ausgaben 2027'!$C401,Einzelbeträge!$E:$E,'Ausgaben 2027'!N$6)</f>
        <v>0</v>
      </c>
      <c r="O401" s="6"/>
    </row>
    <row r="402" spans="2:15" x14ac:dyDescent="0.35">
      <c r="B402" s="5"/>
      <c r="C402" s="40">
        <f t="shared" si="27"/>
        <v>46749</v>
      </c>
      <c r="D402" s="46">
        <f>SUMIFS(Einzelbeträge!$D:$D,Einzelbeträge!$C:$C,'Ausgaben 2027'!$C402)</f>
        <v>0</v>
      </c>
      <c r="E402" s="21">
        <f>SUMIFS(Einzelbeträge!$D:$D,Einzelbeträge!$C:$C,'Ausgaben 2027'!$C402,Einzelbeträge!$E:$E,'Ausgaben 2027'!E$6)</f>
        <v>0</v>
      </c>
      <c r="F402" s="21">
        <f>SUMIFS(Einzelbeträge!$D:$D,Einzelbeträge!$C:$C,'Ausgaben 2027'!$C402,Einzelbeträge!$E:$E,'Ausgaben 2027'!F$6)</f>
        <v>0</v>
      </c>
      <c r="G402" s="21">
        <f>SUMIFS(Einzelbeträge!$D:$D,Einzelbeträge!$C:$C,'Ausgaben 2027'!$C402,Einzelbeträge!$E:$E,'Ausgaben 2027'!G$6)</f>
        <v>0</v>
      </c>
      <c r="H402" s="21">
        <f>SUMIFS(Einzelbeträge!$D:$D,Einzelbeträge!$C:$C,'Ausgaben 2027'!$C402,Einzelbeträge!$E:$E,'Ausgaben 2027'!H$6)</f>
        <v>0</v>
      </c>
      <c r="I402" s="21">
        <f>SUMIFS(Einzelbeträge!$D:$D,Einzelbeträge!$C:$C,'Ausgaben 2027'!$C402,Einzelbeträge!$E:$E,'Ausgaben 2027'!I$6)</f>
        <v>0</v>
      </c>
      <c r="J402" s="21">
        <f>SUMIFS(Einzelbeträge!$D:$D,Einzelbeträge!$C:$C,'Ausgaben 2027'!$C402,Einzelbeträge!$E:$E,'Ausgaben 2027'!J$6)</f>
        <v>0</v>
      </c>
      <c r="K402" s="21">
        <f>SUMIFS(Einzelbeträge!$D:$D,Einzelbeträge!$C:$C,'Ausgaben 2027'!$C402,Einzelbeträge!$E:$E,'Ausgaben 2027'!K$6)</f>
        <v>0</v>
      </c>
      <c r="L402" s="21">
        <f>SUMIFS(Einzelbeträge!$D:$D,Einzelbeträge!$C:$C,'Ausgaben 2027'!$C402,Einzelbeträge!$E:$E,'Ausgaben 2027'!L$6)</f>
        <v>0</v>
      </c>
      <c r="M402" s="21">
        <f>SUMIFS(Einzelbeträge!$D:$D,Einzelbeträge!$C:$C,'Ausgaben 2027'!$C402,Einzelbeträge!$E:$E,'Ausgaben 2027'!M$6)</f>
        <v>0</v>
      </c>
      <c r="N402" s="35">
        <f>SUMIFS(Einzelbeträge!$D:$D,Einzelbeträge!$C:$C,'Ausgaben 2027'!$C402,Einzelbeträge!$E:$E,'Ausgaben 2027'!N$6)</f>
        <v>0</v>
      </c>
      <c r="O402" s="6"/>
    </row>
    <row r="403" spans="2:15" x14ac:dyDescent="0.35">
      <c r="B403" s="5"/>
      <c r="C403" s="40">
        <f t="shared" si="27"/>
        <v>46750</v>
      </c>
      <c r="D403" s="46">
        <f>SUMIFS(Einzelbeträge!$D:$D,Einzelbeträge!$C:$C,'Ausgaben 2027'!$C403)</f>
        <v>0</v>
      </c>
      <c r="E403" s="21">
        <f>SUMIFS(Einzelbeträge!$D:$D,Einzelbeträge!$C:$C,'Ausgaben 2027'!$C403,Einzelbeträge!$E:$E,'Ausgaben 2027'!E$6)</f>
        <v>0</v>
      </c>
      <c r="F403" s="21">
        <f>SUMIFS(Einzelbeträge!$D:$D,Einzelbeträge!$C:$C,'Ausgaben 2027'!$C403,Einzelbeträge!$E:$E,'Ausgaben 2027'!F$6)</f>
        <v>0</v>
      </c>
      <c r="G403" s="21">
        <f>SUMIFS(Einzelbeträge!$D:$D,Einzelbeträge!$C:$C,'Ausgaben 2027'!$C403,Einzelbeträge!$E:$E,'Ausgaben 2027'!G$6)</f>
        <v>0</v>
      </c>
      <c r="H403" s="21">
        <f>SUMIFS(Einzelbeträge!$D:$D,Einzelbeträge!$C:$C,'Ausgaben 2027'!$C403,Einzelbeträge!$E:$E,'Ausgaben 2027'!H$6)</f>
        <v>0</v>
      </c>
      <c r="I403" s="21">
        <f>SUMIFS(Einzelbeträge!$D:$D,Einzelbeträge!$C:$C,'Ausgaben 2027'!$C403,Einzelbeträge!$E:$E,'Ausgaben 2027'!I$6)</f>
        <v>0</v>
      </c>
      <c r="J403" s="21">
        <f>SUMIFS(Einzelbeträge!$D:$D,Einzelbeträge!$C:$C,'Ausgaben 2027'!$C403,Einzelbeträge!$E:$E,'Ausgaben 2027'!J$6)</f>
        <v>0</v>
      </c>
      <c r="K403" s="21">
        <f>SUMIFS(Einzelbeträge!$D:$D,Einzelbeträge!$C:$C,'Ausgaben 2027'!$C403,Einzelbeträge!$E:$E,'Ausgaben 2027'!K$6)</f>
        <v>0</v>
      </c>
      <c r="L403" s="21">
        <f>SUMIFS(Einzelbeträge!$D:$D,Einzelbeträge!$C:$C,'Ausgaben 2027'!$C403,Einzelbeträge!$E:$E,'Ausgaben 2027'!L$6)</f>
        <v>0</v>
      </c>
      <c r="M403" s="21">
        <f>SUMIFS(Einzelbeträge!$D:$D,Einzelbeträge!$C:$C,'Ausgaben 2027'!$C403,Einzelbeträge!$E:$E,'Ausgaben 2027'!M$6)</f>
        <v>0</v>
      </c>
      <c r="N403" s="35">
        <f>SUMIFS(Einzelbeträge!$D:$D,Einzelbeträge!$C:$C,'Ausgaben 2027'!$C403,Einzelbeträge!$E:$E,'Ausgaben 2027'!N$6)</f>
        <v>0</v>
      </c>
      <c r="O403" s="6"/>
    </row>
    <row r="404" spans="2:15" x14ac:dyDescent="0.35">
      <c r="B404" s="5"/>
      <c r="C404" s="40">
        <f t="shared" si="27"/>
        <v>46751</v>
      </c>
      <c r="D404" s="46">
        <f>SUMIFS(Einzelbeträge!$D:$D,Einzelbeträge!$C:$C,'Ausgaben 2027'!$C404)</f>
        <v>0</v>
      </c>
      <c r="E404" s="21">
        <f>SUMIFS(Einzelbeträge!$D:$D,Einzelbeträge!$C:$C,'Ausgaben 2027'!$C404,Einzelbeträge!$E:$E,'Ausgaben 2027'!E$6)</f>
        <v>0</v>
      </c>
      <c r="F404" s="21">
        <f>SUMIFS(Einzelbeträge!$D:$D,Einzelbeträge!$C:$C,'Ausgaben 2027'!$C404,Einzelbeträge!$E:$E,'Ausgaben 2027'!F$6)</f>
        <v>0</v>
      </c>
      <c r="G404" s="21">
        <f>SUMIFS(Einzelbeträge!$D:$D,Einzelbeträge!$C:$C,'Ausgaben 2027'!$C404,Einzelbeträge!$E:$E,'Ausgaben 2027'!G$6)</f>
        <v>0</v>
      </c>
      <c r="H404" s="21">
        <f>SUMIFS(Einzelbeträge!$D:$D,Einzelbeträge!$C:$C,'Ausgaben 2027'!$C404,Einzelbeträge!$E:$E,'Ausgaben 2027'!H$6)</f>
        <v>0</v>
      </c>
      <c r="I404" s="21">
        <f>SUMIFS(Einzelbeträge!$D:$D,Einzelbeträge!$C:$C,'Ausgaben 2027'!$C404,Einzelbeträge!$E:$E,'Ausgaben 2027'!I$6)</f>
        <v>0</v>
      </c>
      <c r="J404" s="21">
        <f>SUMIFS(Einzelbeträge!$D:$D,Einzelbeträge!$C:$C,'Ausgaben 2027'!$C404,Einzelbeträge!$E:$E,'Ausgaben 2027'!J$6)</f>
        <v>0</v>
      </c>
      <c r="K404" s="21">
        <f>SUMIFS(Einzelbeträge!$D:$D,Einzelbeträge!$C:$C,'Ausgaben 2027'!$C404,Einzelbeträge!$E:$E,'Ausgaben 2027'!K$6)</f>
        <v>0</v>
      </c>
      <c r="L404" s="21">
        <f>SUMIFS(Einzelbeträge!$D:$D,Einzelbeträge!$C:$C,'Ausgaben 2027'!$C404,Einzelbeträge!$E:$E,'Ausgaben 2027'!L$6)</f>
        <v>0</v>
      </c>
      <c r="M404" s="21">
        <f>SUMIFS(Einzelbeträge!$D:$D,Einzelbeträge!$C:$C,'Ausgaben 2027'!$C404,Einzelbeträge!$E:$E,'Ausgaben 2027'!M$6)</f>
        <v>0</v>
      </c>
      <c r="N404" s="35">
        <f>SUMIFS(Einzelbeträge!$D:$D,Einzelbeträge!$C:$C,'Ausgaben 2027'!$C404,Einzelbeträge!$E:$E,'Ausgaben 2027'!N$6)</f>
        <v>0</v>
      </c>
      <c r="O404" s="6"/>
    </row>
    <row r="405" spans="2:15" x14ac:dyDescent="0.35">
      <c r="B405" s="5"/>
      <c r="C405" s="31">
        <f t="shared" si="27"/>
        <v>46752</v>
      </c>
      <c r="D405" s="47">
        <f>SUMIFS(Einzelbeträge!$D:$D,Einzelbeträge!$C:$C,'Ausgaben 2027'!$C405)</f>
        <v>0</v>
      </c>
      <c r="E405" s="37">
        <f>SUMIFS(Einzelbeträge!$D:$D,Einzelbeträge!$C:$C,'Ausgaben 2027'!$C405,Einzelbeträge!$E:$E,'Ausgaben 2027'!E$6)</f>
        <v>0</v>
      </c>
      <c r="F405" s="37">
        <f>SUMIFS(Einzelbeträge!$D:$D,Einzelbeträge!$C:$C,'Ausgaben 2027'!$C405,Einzelbeträge!$E:$E,'Ausgaben 2027'!F$6)</f>
        <v>0</v>
      </c>
      <c r="G405" s="37">
        <f>SUMIFS(Einzelbeträge!$D:$D,Einzelbeträge!$C:$C,'Ausgaben 2027'!$C405,Einzelbeträge!$E:$E,'Ausgaben 2027'!G$6)</f>
        <v>0</v>
      </c>
      <c r="H405" s="37">
        <f>SUMIFS(Einzelbeträge!$D:$D,Einzelbeträge!$C:$C,'Ausgaben 2027'!$C405,Einzelbeträge!$E:$E,'Ausgaben 2027'!H$6)</f>
        <v>0</v>
      </c>
      <c r="I405" s="37">
        <f>SUMIFS(Einzelbeträge!$D:$D,Einzelbeträge!$C:$C,'Ausgaben 2027'!$C405,Einzelbeträge!$E:$E,'Ausgaben 2027'!I$6)</f>
        <v>0</v>
      </c>
      <c r="J405" s="37">
        <f>SUMIFS(Einzelbeträge!$D:$D,Einzelbeträge!$C:$C,'Ausgaben 2027'!$C405,Einzelbeträge!$E:$E,'Ausgaben 2027'!J$6)</f>
        <v>0</v>
      </c>
      <c r="K405" s="37">
        <f>SUMIFS(Einzelbeträge!$D:$D,Einzelbeträge!$C:$C,'Ausgaben 2027'!$C405,Einzelbeträge!$E:$E,'Ausgaben 2027'!K$6)</f>
        <v>0</v>
      </c>
      <c r="L405" s="37">
        <f>SUMIFS(Einzelbeträge!$D:$D,Einzelbeträge!$C:$C,'Ausgaben 2027'!$C405,Einzelbeträge!$E:$E,'Ausgaben 2027'!L$6)</f>
        <v>0</v>
      </c>
      <c r="M405" s="37">
        <f>SUMIFS(Einzelbeträge!$D:$D,Einzelbeträge!$C:$C,'Ausgaben 2027'!$C405,Einzelbeträge!$E:$E,'Ausgaben 2027'!M$6)</f>
        <v>0</v>
      </c>
      <c r="N405" s="38">
        <f>SUMIFS(Einzelbeträge!$D:$D,Einzelbeträge!$C:$C,'Ausgaben 2027'!$C405,Einzelbeträge!$E:$E,'Ausgaben 2027'!N$6)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65" priority="2">
      <formula>LEN(TRIM(C69))=0</formula>
    </cfRule>
  </conditionalFormatting>
  <conditionalFormatting sqref="D69:N69">
    <cfRule type="expression" dxfId="64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5" operator="equal" id="{4DC3AFCA-3BF7-4C81-A615-AAB9649787B5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6" operator="lessThan" id="{1951590D-B29E-40B0-9D59-DFEF5BB7E8CE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7" operator="greaterThan" id="{0909235C-53AE-44B7-91F2-085AEA6441E2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18" operator="equal" id="{816F3D10-E687-4BEF-AF8E-5FCBE87B6E55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86435394-DDB7-4DEE-A238-D340B7AC6255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4B49F5B0-7350-4C58-BFF4-FBF34EEF74A7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D73:N103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4" operator="greaterThan" id="{6C769D9C-E194-4BCB-8157-38DEFAF153A5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3D280C0B-3904-4D25-BB2D-8787B0D85D4B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FC17B3B8-827F-4540-8FFD-DC18DDFB19FD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3D217E9A-4310-4529-ACAC-1BD6148F9B3B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2" operator="equal" id="{BAB670FD-ABDA-4659-B37C-B9F8997627EC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3" operator="lessThan" id="{F1D28625-5C0A-4203-84DC-DF6F21C814BF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6" operator="equal" id="{09A0BCF4-2666-4509-832A-BEBC8F167E91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B3E184E8-1054-4DFC-8E83-B31F7E75853A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DD63F8C7-9D1F-4C75-A766-D75052BA5ECF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3" operator="equal" id="{A79E7D67-B69B-4CE9-A859-6C864D6C8D0E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2DE7A0EC-30FB-4E3D-BEC9-4BA32BA74CE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C1AAF98D-A05C-4A0F-B0BE-A42AF86835E3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0FB63-FB12-42C5-BEA6-B1BD608B5BBC}">
  <sheetPr codeName="Sheet15"/>
  <dimension ref="B1:AD87"/>
  <sheetViews>
    <sheetView topLeftCell="A22" zoomScale="73" workbookViewId="0">
      <selection activeCell="M91" sqref="M91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15">
        <v>2028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65</v>
      </c>
      <c r="D21" s="67">
        <f t="shared" si="1"/>
        <v>0</v>
      </c>
      <c r="E21" s="6"/>
    </row>
    <row r="22" spans="2:30" x14ac:dyDescent="0.35">
      <c r="B22" s="5"/>
      <c r="C22" s="13" t="s">
        <v>64</v>
      </c>
      <c r="D22" s="67">
        <f t="shared" si="1"/>
        <v>0</v>
      </c>
      <c r="E22" s="6"/>
    </row>
    <row r="23" spans="2:30" x14ac:dyDescent="0.35">
      <c r="B23" s="5"/>
      <c r="C23" s="13" t="s">
        <v>63</v>
      </c>
      <c r="D23" s="67">
        <f t="shared" si="1"/>
        <v>0</v>
      </c>
      <c r="E23" s="6"/>
    </row>
    <row r="24" spans="2:30" x14ac:dyDescent="0.35">
      <c r="B24" s="5"/>
      <c r="C24" s="13" t="s">
        <v>62</v>
      </c>
      <c r="D24" s="67">
        <f t="shared" si="1"/>
        <v>0</v>
      </c>
      <c r="E24" s="6"/>
    </row>
    <row r="25" spans="2:30" x14ac:dyDescent="0.35">
      <c r="B25" s="5"/>
      <c r="C25" s="13" t="s">
        <v>61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>
        <f>_xlfn.XLOOKUP(C45,'Ausgaben 2028'!$AI$5:$AR$5,'Ausgaben 2028'!$AI$6:$AR$6)</f>
        <v>0</v>
      </c>
      <c r="E45" s="6"/>
      <c r="G45" s="5"/>
      <c r="H45" s="13" t="s">
        <v>0</v>
      </c>
      <c r="I45" s="67">
        <f>_xlfn.XLOOKUP(H45,'Ausgaben 2028'!$AI$5:$AR$5,'Ausgaben 2028'!$AI$7:$AR$7)</f>
        <v>0</v>
      </c>
      <c r="J45" s="6"/>
      <c r="L45" s="5"/>
      <c r="M45" s="13" t="s">
        <v>0</v>
      </c>
      <c r="N45" s="67">
        <f>_xlfn.XLOOKUP(M45,'Ausgaben 2028'!$AI$5:$AR$5,'Ausgaben 2028'!$AI$8:$AR$8)</f>
        <v>0</v>
      </c>
      <c r="O45" s="6"/>
      <c r="Q45" s="5"/>
      <c r="R45" s="13" t="s">
        <v>0</v>
      </c>
      <c r="S45" s="67">
        <f>_xlfn.XLOOKUP(R45,'Ausgaben 2028'!$AI$5:$AR$5,'Ausgaben 2028'!$AI$9:$AR$9)</f>
        <v>0</v>
      </c>
      <c r="T45" s="6"/>
      <c r="V45" s="5"/>
      <c r="W45" s="13" t="s">
        <v>0</v>
      </c>
      <c r="X45" s="67">
        <f>_xlfn.XLOOKUP(W45,'Ausgaben 2028'!$AI$5:$AR$5,'Ausgaben 2028'!$AI$10:$AR$10)</f>
        <v>0</v>
      </c>
      <c r="Y45" s="6"/>
      <c r="AA45" s="5"/>
      <c r="AB45" s="13" t="s">
        <v>0</v>
      </c>
      <c r="AC45" s="67">
        <f>_xlfn.XLOOKUP(AB45,'Ausgaben 2028'!$AI$5:$AR$5,'Ausgaben 2028'!$AI$11:$AR$11)</f>
        <v>0</v>
      </c>
      <c r="AD45" s="6"/>
    </row>
    <row r="46" spans="2:30" x14ac:dyDescent="0.35">
      <c r="B46" s="5"/>
      <c r="C46" s="13" t="s">
        <v>1</v>
      </c>
      <c r="D46" s="67">
        <f>_xlfn.XLOOKUP(C46,'Ausgaben 2028'!$AI$5:$AR$5,'Ausgaben 2028'!$AI$6:$AR$6)</f>
        <v>0</v>
      </c>
      <c r="E46" s="6"/>
      <c r="G46" s="5"/>
      <c r="H46" s="13" t="s">
        <v>1</v>
      </c>
      <c r="I46" s="67">
        <f>_xlfn.XLOOKUP(H46,'Ausgaben 2028'!$AI$5:$AR$5,'Ausgaben 2028'!$AI$7:$AR$7)</f>
        <v>0</v>
      </c>
      <c r="J46" s="6"/>
      <c r="L46" s="5"/>
      <c r="M46" s="13" t="s">
        <v>1</v>
      </c>
      <c r="N46" s="67">
        <f>_xlfn.XLOOKUP(M46,'Ausgaben 2028'!$AI$5:$AR$5,'Ausgaben 2028'!$AI$8:$AR$8)</f>
        <v>0</v>
      </c>
      <c r="O46" s="6"/>
      <c r="Q46" s="5"/>
      <c r="R46" s="13" t="s">
        <v>1</v>
      </c>
      <c r="S46" s="67">
        <f>_xlfn.XLOOKUP(R46,'Ausgaben 2028'!$AI$5:$AR$5,'Ausgaben 2028'!$AI$9:$AR$9)</f>
        <v>0</v>
      </c>
      <c r="T46" s="6"/>
      <c r="V46" s="5"/>
      <c r="W46" s="13" t="s">
        <v>1</v>
      </c>
      <c r="X46" s="67">
        <f>_xlfn.XLOOKUP(W46,'Ausgaben 2028'!$AI$5:$AR$5,'Ausgaben 2028'!$AI$10:$AR$10)</f>
        <v>0</v>
      </c>
      <c r="Y46" s="6"/>
      <c r="AA46" s="5"/>
      <c r="AB46" s="13" t="s">
        <v>1</v>
      </c>
      <c r="AC46" s="67">
        <f>_xlfn.XLOOKUP(AB46,'Ausgaben 2028'!$AI$5:$AR$5,'Ausgaben 2028'!$AI$11:$AR$11)</f>
        <v>0</v>
      </c>
      <c r="AD46" s="6"/>
    </row>
    <row r="47" spans="2:30" x14ac:dyDescent="0.35">
      <c r="B47" s="5"/>
      <c r="C47" s="13" t="s">
        <v>3</v>
      </c>
      <c r="D47" s="67">
        <f>_xlfn.XLOOKUP(C47,'Ausgaben 2028'!$AI$5:$AR$5,'Ausgaben 2028'!$AI$6:$AR$6)</f>
        <v>0</v>
      </c>
      <c r="E47" s="6"/>
      <c r="G47" s="5"/>
      <c r="H47" s="13" t="s">
        <v>3</v>
      </c>
      <c r="I47" s="67">
        <f>_xlfn.XLOOKUP(H47,'Ausgaben 2028'!$AI$5:$AR$5,'Ausgaben 2028'!$AI$7:$AR$7)</f>
        <v>0</v>
      </c>
      <c r="J47" s="6"/>
      <c r="L47" s="5"/>
      <c r="M47" s="13" t="s">
        <v>3</v>
      </c>
      <c r="N47" s="67">
        <f>_xlfn.XLOOKUP(M47,'Ausgaben 2028'!$AI$5:$AR$5,'Ausgaben 2028'!$AI$8:$AR$8)</f>
        <v>0</v>
      </c>
      <c r="O47" s="6"/>
      <c r="Q47" s="5"/>
      <c r="R47" s="13" t="s">
        <v>3</v>
      </c>
      <c r="S47" s="67">
        <f>_xlfn.XLOOKUP(R47,'Ausgaben 2028'!$AI$5:$AR$5,'Ausgaben 2028'!$AI$9:$AR$9)</f>
        <v>0</v>
      </c>
      <c r="T47" s="6"/>
      <c r="V47" s="5"/>
      <c r="W47" s="13" t="s">
        <v>3</v>
      </c>
      <c r="X47" s="67">
        <f>_xlfn.XLOOKUP(W47,'Ausgaben 2028'!$AI$5:$AR$5,'Ausgaben 2028'!$AI$10:$AR$10)</f>
        <v>0</v>
      </c>
      <c r="Y47" s="6"/>
      <c r="AA47" s="5"/>
      <c r="AB47" s="13" t="s">
        <v>3</v>
      </c>
      <c r="AC47" s="67">
        <f>_xlfn.XLOOKUP(AB47,'Ausgaben 2028'!$AI$5:$AR$5,'Ausgaben 2028'!$AI$11:$AR$11)</f>
        <v>0</v>
      </c>
      <c r="AD47" s="6"/>
    </row>
    <row r="48" spans="2:30" x14ac:dyDescent="0.35">
      <c r="B48" s="5"/>
      <c r="C48" s="13" t="s">
        <v>2</v>
      </c>
      <c r="D48" s="67">
        <f>_xlfn.XLOOKUP(C48,'Ausgaben 2028'!$AI$5:$AR$5,'Ausgaben 2028'!$AI$6:$AR$6)</f>
        <v>0</v>
      </c>
      <c r="E48" s="6"/>
      <c r="G48" s="5"/>
      <c r="H48" s="13" t="s">
        <v>2</v>
      </c>
      <c r="I48" s="67">
        <f>_xlfn.XLOOKUP(H48,'Ausgaben 2028'!$AI$5:$AR$5,'Ausgaben 2028'!$AI$7:$AR$7)</f>
        <v>0</v>
      </c>
      <c r="J48" s="6"/>
      <c r="L48" s="5"/>
      <c r="M48" s="13" t="s">
        <v>2</v>
      </c>
      <c r="N48" s="67">
        <f>_xlfn.XLOOKUP(M48,'Ausgaben 2028'!$AI$5:$AR$5,'Ausgaben 2028'!$AI$8:$AR$8)</f>
        <v>0</v>
      </c>
      <c r="O48" s="6"/>
      <c r="Q48" s="5"/>
      <c r="R48" s="13" t="s">
        <v>2</v>
      </c>
      <c r="S48" s="67">
        <f>_xlfn.XLOOKUP(R48,'Ausgaben 2028'!$AI$5:$AR$5,'Ausgaben 2028'!$AI$9:$AR$9)</f>
        <v>0</v>
      </c>
      <c r="T48" s="6"/>
      <c r="V48" s="5"/>
      <c r="W48" s="13" t="s">
        <v>2</v>
      </c>
      <c r="X48" s="67">
        <f>_xlfn.XLOOKUP(W48,'Ausgaben 2028'!$AI$5:$AR$5,'Ausgaben 2028'!$AI$10:$AR$10)</f>
        <v>0</v>
      </c>
      <c r="Y48" s="6"/>
      <c r="AA48" s="5"/>
      <c r="AB48" s="13" t="s">
        <v>2</v>
      </c>
      <c r="AC48" s="67">
        <f>_xlfn.XLOOKUP(AB48,'Ausgaben 2028'!$AI$5:$AR$5,'Ausgaben 2028'!$AI$11:$AR$11)</f>
        <v>0</v>
      </c>
      <c r="AD48" s="6"/>
    </row>
    <row r="49" spans="2:30" x14ac:dyDescent="0.35">
      <c r="B49" s="5"/>
      <c r="C49" s="13" t="s">
        <v>42</v>
      </c>
      <c r="D49" s="67">
        <f>_xlfn.XLOOKUP(C49,'Ausgaben 2028'!$AI$5:$AR$5,'Ausgaben 2028'!$AI$6:$AR$6)</f>
        <v>0</v>
      </c>
      <c r="E49" s="6"/>
      <c r="G49" s="5"/>
      <c r="H49" s="13" t="s">
        <v>42</v>
      </c>
      <c r="I49" s="67">
        <f>_xlfn.XLOOKUP(H49,'Ausgaben 2028'!$AI$5:$AR$5,'Ausgaben 2028'!$AI$7:$AR$7)</f>
        <v>0</v>
      </c>
      <c r="J49" s="6"/>
      <c r="L49" s="5"/>
      <c r="M49" s="13" t="s">
        <v>42</v>
      </c>
      <c r="N49" s="67">
        <f>_xlfn.XLOOKUP(M49,'Ausgaben 2028'!$AI$5:$AR$5,'Ausgaben 2028'!$AI$8:$AR$8)</f>
        <v>0</v>
      </c>
      <c r="O49" s="6"/>
      <c r="Q49" s="5"/>
      <c r="R49" s="13" t="s">
        <v>42</v>
      </c>
      <c r="S49" s="67">
        <f>_xlfn.XLOOKUP(R49,'Ausgaben 2028'!$AI$5:$AR$5,'Ausgaben 2028'!$AI$9:$AR$9)</f>
        <v>0</v>
      </c>
      <c r="T49" s="6"/>
      <c r="V49" s="5"/>
      <c r="W49" s="13" t="s">
        <v>42</v>
      </c>
      <c r="X49" s="67">
        <f>_xlfn.XLOOKUP(W49,'Ausgaben 2028'!$AI$5:$AR$5,'Ausgaben 2028'!$AI$10:$AR$10)</f>
        <v>0</v>
      </c>
      <c r="Y49" s="6"/>
      <c r="AA49" s="5"/>
      <c r="AB49" s="13" t="s">
        <v>42</v>
      </c>
      <c r="AC49" s="67">
        <f>_xlfn.XLOOKUP(AB49,'Ausgaben 2028'!$AI$5:$AR$5,'Ausgaben 2028'!$AI$11:$AR$11)</f>
        <v>0</v>
      </c>
      <c r="AD49" s="6"/>
    </row>
    <row r="50" spans="2:30" x14ac:dyDescent="0.35">
      <c r="B50" s="5"/>
      <c r="C50" s="13" t="s">
        <v>65</v>
      </c>
      <c r="D50" s="67">
        <f>_xlfn.XLOOKUP(C50,'Ausgaben 2028'!$AI$5:$AR$5,'Ausgaben 2028'!$AI$6:$AR$6)</f>
        <v>0</v>
      </c>
      <c r="E50" s="6"/>
      <c r="G50" s="5"/>
      <c r="H50" s="13" t="s">
        <v>65</v>
      </c>
      <c r="I50" s="67">
        <f>_xlfn.XLOOKUP(H50,'Ausgaben 2028'!$AI$5:$AR$5,'Ausgaben 2028'!$AI$7:$AR$7)</f>
        <v>0</v>
      </c>
      <c r="J50" s="6"/>
      <c r="L50" s="5"/>
      <c r="M50" s="13" t="s">
        <v>65</v>
      </c>
      <c r="N50" s="67">
        <f>_xlfn.XLOOKUP(M50,'Ausgaben 2028'!$AI$5:$AR$5,'Ausgaben 2028'!$AI$8:$AR$8)</f>
        <v>0</v>
      </c>
      <c r="O50" s="6"/>
      <c r="Q50" s="5"/>
      <c r="R50" s="13" t="s">
        <v>65</v>
      </c>
      <c r="S50" s="67">
        <f>_xlfn.XLOOKUP(R50,'Ausgaben 2028'!$AI$5:$AR$5,'Ausgaben 2028'!$AI$9:$AR$9)</f>
        <v>0</v>
      </c>
      <c r="T50" s="6"/>
      <c r="V50" s="5"/>
      <c r="W50" s="13" t="s">
        <v>65</v>
      </c>
      <c r="X50" s="67">
        <f>_xlfn.XLOOKUP(W50,'Ausgaben 2028'!$AI$5:$AR$5,'Ausgaben 2028'!$AI$10:$AR$10)</f>
        <v>0</v>
      </c>
      <c r="Y50" s="6"/>
      <c r="AA50" s="5"/>
      <c r="AB50" s="13" t="s">
        <v>65</v>
      </c>
      <c r="AC50" s="67">
        <f>_xlfn.XLOOKUP(AB50,'Ausgaben 2028'!$AI$5:$AR$5,'Ausgaben 2028'!$AI$11:$AR$11)</f>
        <v>0</v>
      </c>
      <c r="AD50" s="6"/>
    </row>
    <row r="51" spans="2:30" x14ac:dyDescent="0.35">
      <c r="B51" s="5"/>
      <c r="C51" s="13" t="s">
        <v>64</v>
      </c>
      <c r="D51" s="67">
        <f>_xlfn.XLOOKUP(C51,'Ausgaben 2028'!$AI$5:$AR$5,'Ausgaben 2028'!$AI$6:$AR$6)</f>
        <v>0</v>
      </c>
      <c r="E51" s="6"/>
      <c r="G51" s="5"/>
      <c r="H51" s="13" t="s">
        <v>64</v>
      </c>
      <c r="I51" s="67">
        <f>_xlfn.XLOOKUP(H51,'Ausgaben 2028'!$AI$5:$AR$5,'Ausgaben 2028'!$AI$7:$AR$7)</f>
        <v>0</v>
      </c>
      <c r="J51" s="6"/>
      <c r="L51" s="5"/>
      <c r="M51" s="13" t="s">
        <v>64</v>
      </c>
      <c r="N51" s="67">
        <f>_xlfn.XLOOKUP(M51,'Ausgaben 2028'!$AI$5:$AR$5,'Ausgaben 2028'!$AI$8:$AR$8)</f>
        <v>0</v>
      </c>
      <c r="O51" s="6"/>
      <c r="Q51" s="5"/>
      <c r="R51" s="13" t="s">
        <v>64</v>
      </c>
      <c r="S51" s="67">
        <f>_xlfn.XLOOKUP(R51,'Ausgaben 2028'!$AI$5:$AR$5,'Ausgaben 2028'!$AI$9:$AR$9)</f>
        <v>0</v>
      </c>
      <c r="T51" s="6"/>
      <c r="V51" s="5"/>
      <c r="W51" s="13" t="s">
        <v>64</v>
      </c>
      <c r="X51" s="67">
        <f>_xlfn.XLOOKUP(W51,'Ausgaben 2028'!$AI$5:$AR$5,'Ausgaben 2028'!$AI$10:$AR$10)</f>
        <v>0</v>
      </c>
      <c r="Y51" s="6"/>
      <c r="AA51" s="5"/>
      <c r="AB51" s="13" t="s">
        <v>64</v>
      </c>
      <c r="AC51" s="67">
        <f>_xlfn.XLOOKUP(AB51,'Ausgaben 2028'!$AI$5:$AR$5,'Ausgaben 2028'!$AI$11:$AR$11)</f>
        <v>0</v>
      </c>
      <c r="AD51" s="6"/>
    </row>
    <row r="52" spans="2:30" x14ac:dyDescent="0.35">
      <c r="B52" s="5"/>
      <c r="C52" s="13" t="s">
        <v>63</v>
      </c>
      <c r="D52" s="67">
        <f>_xlfn.XLOOKUP(C52,'Ausgaben 2028'!$AI$5:$AR$5,'Ausgaben 2028'!$AI$6:$AR$6)</f>
        <v>0</v>
      </c>
      <c r="E52" s="6"/>
      <c r="G52" s="5"/>
      <c r="H52" s="13" t="s">
        <v>63</v>
      </c>
      <c r="I52" s="67">
        <f>_xlfn.XLOOKUP(H52,'Ausgaben 2028'!$AI$5:$AR$5,'Ausgaben 2028'!$AI$7:$AR$7)</f>
        <v>0</v>
      </c>
      <c r="J52" s="6"/>
      <c r="L52" s="5"/>
      <c r="M52" s="13" t="s">
        <v>63</v>
      </c>
      <c r="N52" s="67">
        <f>_xlfn.XLOOKUP(M52,'Ausgaben 2028'!$AI$5:$AR$5,'Ausgaben 2028'!$AI$8:$AR$8)</f>
        <v>0</v>
      </c>
      <c r="O52" s="6"/>
      <c r="Q52" s="5"/>
      <c r="R52" s="13" t="s">
        <v>63</v>
      </c>
      <c r="S52" s="67">
        <f>_xlfn.XLOOKUP(R52,'Ausgaben 2028'!$AI$5:$AR$5,'Ausgaben 2028'!$AI$9:$AR$9)</f>
        <v>0</v>
      </c>
      <c r="T52" s="6"/>
      <c r="V52" s="5"/>
      <c r="W52" s="13" t="s">
        <v>63</v>
      </c>
      <c r="X52" s="67">
        <f>_xlfn.XLOOKUP(W52,'Ausgaben 2028'!$AI$5:$AR$5,'Ausgaben 2028'!$AI$10:$AR$10)</f>
        <v>0</v>
      </c>
      <c r="Y52" s="6"/>
      <c r="AA52" s="5"/>
      <c r="AB52" s="13" t="s">
        <v>63</v>
      </c>
      <c r="AC52" s="67">
        <f>_xlfn.XLOOKUP(AB52,'Ausgaben 2028'!$AI$5:$AR$5,'Ausgaben 2028'!$AI$11:$AR$11)</f>
        <v>0</v>
      </c>
      <c r="AD52" s="6"/>
    </row>
    <row r="53" spans="2:30" x14ac:dyDescent="0.35">
      <c r="B53" s="5"/>
      <c r="C53" s="13" t="s">
        <v>62</v>
      </c>
      <c r="D53" s="67">
        <f>_xlfn.XLOOKUP(C53,'Ausgaben 2028'!$AI$5:$AR$5,'Ausgaben 2028'!$AI$6:$AR$6)</f>
        <v>0</v>
      </c>
      <c r="E53" s="6"/>
      <c r="G53" s="5"/>
      <c r="H53" s="13" t="s">
        <v>62</v>
      </c>
      <c r="I53" s="67">
        <f>_xlfn.XLOOKUP(H53,'Ausgaben 2028'!$AI$5:$AR$5,'Ausgaben 2028'!$AI$7:$AR$7)</f>
        <v>0</v>
      </c>
      <c r="J53" s="6"/>
      <c r="L53" s="5"/>
      <c r="M53" s="13" t="s">
        <v>62</v>
      </c>
      <c r="N53" s="67">
        <f>_xlfn.XLOOKUP(M53,'Ausgaben 2028'!$AI$5:$AR$5,'Ausgaben 2028'!$AI$8:$AR$8)</f>
        <v>0</v>
      </c>
      <c r="O53" s="6"/>
      <c r="Q53" s="5"/>
      <c r="R53" s="13" t="s">
        <v>62</v>
      </c>
      <c r="S53" s="67">
        <f>_xlfn.XLOOKUP(R53,'Ausgaben 2028'!$AI$5:$AR$5,'Ausgaben 2028'!$AI$9:$AR$9)</f>
        <v>0</v>
      </c>
      <c r="T53" s="6"/>
      <c r="V53" s="5"/>
      <c r="W53" s="13" t="s">
        <v>62</v>
      </c>
      <c r="X53" s="67">
        <f>_xlfn.XLOOKUP(W53,'Ausgaben 2028'!$AI$5:$AR$5,'Ausgaben 2028'!$AI$10:$AR$10)</f>
        <v>0</v>
      </c>
      <c r="Y53" s="6"/>
      <c r="AA53" s="5"/>
      <c r="AB53" s="13" t="s">
        <v>62</v>
      </c>
      <c r="AC53" s="67">
        <f>_xlfn.XLOOKUP(AB53,'Ausgaben 2028'!$AI$5:$AR$5,'Ausgaben 2028'!$AI$11:$AR$11)</f>
        <v>0</v>
      </c>
      <c r="AD53" s="6"/>
    </row>
    <row r="54" spans="2:30" x14ac:dyDescent="0.35">
      <c r="B54" s="5"/>
      <c r="C54" s="13" t="s">
        <v>61</v>
      </c>
      <c r="D54" s="67">
        <f>_xlfn.XLOOKUP(C54,'Ausgaben 2028'!$AI$5:$AR$5,'Ausgaben 2028'!$AI$6:$AR$6)</f>
        <v>0</v>
      </c>
      <c r="E54" s="6"/>
      <c r="G54" s="5"/>
      <c r="H54" s="13" t="s">
        <v>61</v>
      </c>
      <c r="I54" s="67">
        <f>_xlfn.XLOOKUP(H54,'Ausgaben 2028'!$AI$5:$AR$5,'Ausgaben 2028'!$AI$7:$AR$7)</f>
        <v>0</v>
      </c>
      <c r="J54" s="6"/>
      <c r="L54" s="5"/>
      <c r="M54" s="13" t="s">
        <v>61</v>
      </c>
      <c r="N54" s="67">
        <f>_xlfn.XLOOKUP(M54,'Ausgaben 2028'!$AI$5:$AR$5,'Ausgaben 2028'!$AI$8:$AR$8)</f>
        <v>0</v>
      </c>
      <c r="O54" s="6"/>
      <c r="Q54" s="5"/>
      <c r="R54" s="13" t="s">
        <v>61</v>
      </c>
      <c r="S54" s="67">
        <f>_xlfn.XLOOKUP(R54,'Ausgaben 2028'!$AI$5:$AR$5,'Ausgaben 2028'!$AI$9:$AR$9)</f>
        <v>0</v>
      </c>
      <c r="T54" s="6"/>
      <c r="V54" s="5"/>
      <c r="W54" s="13" t="s">
        <v>61</v>
      </c>
      <c r="X54" s="67">
        <f>_xlfn.XLOOKUP(W54,'Ausgaben 2028'!$AI$5:$AR$5,'Ausgaben 2028'!$AI$10:$AR$10)</f>
        <v>0</v>
      </c>
      <c r="Y54" s="6"/>
      <c r="AA54" s="5"/>
      <c r="AB54" s="13" t="s">
        <v>61</v>
      </c>
      <c r="AC54" s="67">
        <f>_xlfn.XLOOKUP(AB54,'Ausgaben 2028'!$AI$5:$AR$5,'Ausgaben 2028'!$AI$11:$AR$11)</f>
        <v>0</v>
      </c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>
        <f>_xlfn.XLOOKUP(C74,'Ausgaben 2028'!$AI$5:$AR$5,'Ausgaben 2028'!$AI$12:$AR$12)</f>
        <v>0</v>
      </c>
      <c r="E74" s="6"/>
      <c r="G74" s="5"/>
      <c r="H74" s="13" t="s">
        <v>0</v>
      </c>
      <c r="I74" s="67">
        <f>_xlfn.XLOOKUP(H74,'Ausgaben 2028'!$AI$5:$AR$5,'Ausgaben 2028'!$AI$13:$AR$13)</f>
        <v>0</v>
      </c>
      <c r="J74" s="6"/>
      <c r="L74" s="5"/>
      <c r="M74" s="13" t="s">
        <v>0</v>
      </c>
      <c r="N74" s="67">
        <f>_xlfn.XLOOKUP(M74,'Ausgaben 2028'!$AI$5:$AR$5,'Ausgaben 2028'!$AI$14:$AR$14)</f>
        <v>0</v>
      </c>
      <c r="O74" s="6"/>
      <c r="Q74" s="5"/>
      <c r="R74" s="13" t="s">
        <v>0</v>
      </c>
      <c r="S74" s="67">
        <f>_xlfn.XLOOKUP(R74,'Ausgaben 2028'!$AI$5:$AR$5,'Ausgaben 2028'!$AI$15:$AR$15)</f>
        <v>0</v>
      </c>
      <c r="T74" s="6"/>
      <c r="V74" s="5"/>
      <c r="W74" s="13" t="s">
        <v>0</v>
      </c>
      <c r="X74" s="67">
        <f>_xlfn.XLOOKUP(W74,'Ausgaben 2028'!$AI$5:$AR$5,'Ausgaben 2028'!$AI$16:$AR$16)</f>
        <v>0</v>
      </c>
      <c r="Y74" s="6"/>
      <c r="AA74" s="5"/>
      <c r="AB74" s="13" t="s">
        <v>0</v>
      </c>
      <c r="AC74" s="67">
        <f>_xlfn.XLOOKUP(AB74,'Ausgaben 2028'!$AI$5:$AR$5,'Ausgaben 2028'!$AI$17:$AR$17)</f>
        <v>0</v>
      </c>
      <c r="AD74" s="6"/>
    </row>
    <row r="75" spans="2:30" x14ac:dyDescent="0.35">
      <c r="B75" s="5"/>
      <c r="C75" s="13" t="s">
        <v>1</v>
      </c>
      <c r="D75" s="67">
        <f>_xlfn.XLOOKUP(C75,'Ausgaben 2028'!$AI$5:$AR$5,'Ausgaben 2028'!$AI$12:$AR$12)</f>
        <v>0</v>
      </c>
      <c r="E75" s="6"/>
      <c r="G75" s="5"/>
      <c r="H75" s="13" t="s">
        <v>1</v>
      </c>
      <c r="I75" s="67">
        <f>_xlfn.XLOOKUP(H75,'Ausgaben 2028'!$AI$5:$AR$5,'Ausgaben 2028'!$AI$13:$AR$13)</f>
        <v>0</v>
      </c>
      <c r="J75" s="6"/>
      <c r="L75" s="5"/>
      <c r="M75" s="13" t="s">
        <v>1</v>
      </c>
      <c r="N75" s="67">
        <f>_xlfn.XLOOKUP(M75,'Ausgaben 2028'!$AI$5:$AR$5,'Ausgaben 2028'!$AI$14:$AR$14)</f>
        <v>0</v>
      </c>
      <c r="O75" s="6"/>
      <c r="Q75" s="5"/>
      <c r="R75" s="13" t="s">
        <v>1</v>
      </c>
      <c r="S75" s="67">
        <f>_xlfn.XLOOKUP(R75,'Ausgaben 2028'!$AI$5:$AR$5,'Ausgaben 2028'!$AI$15:$AR$15)</f>
        <v>0</v>
      </c>
      <c r="T75" s="6"/>
      <c r="V75" s="5"/>
      <c r="W75" s="13" t="s">
        <v>1</v>
      </c>
      <c r="X75" s="67">
        <f>_xlfn.XLOOKUP(W75,'Ausgaben 2028'!$AI$5:$AR$5,'Ausgaben 2028'!$AI$16:$AR$16)</f>
        <v>0</v>
      </c>
      <c r="Y75" s="6"/>
      <c r="AA75" s="5"/>
      <c r="AB75" s="13" t="s">
        <v>1</v>
      </c>
      <c r="AC75" s="67">
        <f>_xlfn.XLOOKUP(AB75,'Ausgaben 2028'!$AI$5:$AR$5,'Ausgaben 2028'!$AI$17:$AR$17)</f>
        <v>0</v>
      </c>
      <c r="AD75" s="6"/>
    </row>
    <row r="76" spans="2:30" x14ac:dyDescent="0.35">
      <c r="B76" s="5"/>
      <c r="C76" s="13" t="s">
        <v>3</v>
      </c>
      <c r="D76" s="67">
        <f>_xlfn.XLOOKUP(C76,'Ausgaben 2028'!$AI$5:$AR$5,'Ausgaben 2028'!$AI$12:$AR$12)</f>
        <v>0</v>
      </c>
      <c r="E76" s="6"/>
      <c r="G76" s="5"/>
      <c r="H76" s="13" t="s">
        <v>3</v>
      </c>
      <c r="I76" s="67">
        <f>_xlfn.XLOOKUP(H76,'Ausgaben 2028'!$AI$5:$AR$5,'Ausgaben 2028'!$AI$13:$AR$13)</f>
        <v>0</v>
      </c>
      <c r="J76" s="6"/>
      <c r="L76" s="5"/>
      <c r="M76" s="13" t="s">
        <v>3</v>
      </c>
      <c r="N76" s="67">
        <f>_xlfn.XLOOKUP(M76,'Ausgaben 2028'!$AI$5:$AR$5,'Ausgaben 2028'!$AI$14:$AR$14)</f>
        <v>0</v>
      </c>
      <c r="O76" s="6"/>
      <c r="Q76" s="5"/>
      <c r="R76" s="13" t="s">
        <v>3</v>
      </c>
      <c r="S76" s="67">
        <f>_xlfn.XLOOKUP(R76,'Ausgaben 2028'!$AI$5:$AR$5,'Ausgaben 2028'!$AI$15:$AR$15)</f>
        <v>0</v>
      </c>
      <c r="T76" s="6"/>
      <c r="V76" s="5"/>
      <c r="W76" s="13" t="s">
        <v>3</v>
      </c>
      <c r="X76" s="67">
        <f>_xlfn.XLOOKUP(W76,'Ausgaben 2028'!$AI$5:$AR$5,'Ausgaben 2028'!$AI$16:$AR$16)</f>
        <v>0</v>
      </c>
      <c r="Y76" s="6"/>
      <c r="AA76" s="5"/>
      <c r="AB76" s="13" t="s">
        <v>3</v>
      </c>
      <c r="AC76" s="67">
        <f>_xlfn.XLOOKUP(AB76,'Ausgaben 2028'!$AI$5:$AR$5,'Ausgaben 2028'!$AI$17:$AR$17)</f>
        <v>0</v>
      </c>
      <c r="AD76" s="6"/>
    </row>
    <row r="77" spans="2:30" x14ac:dyDescent="0.35">
      <c r="B77" s="5"/>
      <c r="C77" s="13" t="s">
        <v>2</v>
      </c>
      <c r="D77" s="67">
        <f>_xlfn.XLOOKUP(C77,'Ausgaben 2028'!$AI$5:$AR$5,'Ausgaben 2028'!$AI$12:$AR$12)</f>
        <v>0</v>
      </c>
      <c r="E77" s="6"/>
      <c r="G77" s="5"/>
      <c r="H77" s="13" t="s">
        <v>2</v>
      </c>
      <c r="I77" s="67">
        <f>_xlfn.XLOOKUP(H77,'Ausgaben 2028'!$AI$5:$AR$5,'Ausgaben 2028'!$AI$13:$AR$13)</f>
        <v>0</v>
      </c>
      <c r="J77" s="6"/>
      <c r="L77" s="5"/>
      <c r="M77" s="13" t="s">
        <v>2</v>
      </c>
      <c r="N77" s="67">
        <f>_xlfn.XLOOKUP(M77,'Ausgaben 2028'!$AI$5:$AR$5,'Ausgaben 2028'!$AI$14:$AR$14)</f>
        <v>0</v>
      </c>
      <c r="O77" s="6"/>
      <c r="Q77" s="5"/>
      <c r="R77" s="13" t="s">
        <v>2</v>
      </c>
      <c r="S77" s="67">
        <f>_xlfn.XLOOKUP(R77,'Ausgaben 2028'!$AI$5:$AR$5,'Ausgaben 2028'!$AI$15:$AR$15)</f>
        <v>0</v>
      </c>
      <c r="T77" s="6"/>
      <c r="V77" s="5"/>
      <c r="W77" s="13" t="s">
        <v>2</v>
      </c>
      <c r="X77" s="67">
        <f>_xlfn.XLOOKUP(W77,'Ausgaben 2028'!$AI$5:$AR$5,'Ausgaben 2028'!$AI$16:$AR$16)</f>
        <v>0</v>
      </c>
      <c r="Y77" s="6"/>
      <c r="AA77" s="5"/>
      <c r="AB77" s="13" t="s">
        <v>2</v>
      </c>
      <c r="AC77" s="67">
        <f>_xlfn.XLOOKUP(AB77,'Ausgaben 2028'!$AI$5:$AR$5,'Ausgaben 2028'!$AI$17:$AR$17)</f>
        <v>0</v>
      </c>
      <c r="AD77" s="6"/>
    </row>
    <row r="78" spans="2:30" x14ac:dyDescent="0.35">
      <c r="B78" s="5"/>
      <c r="C78" s="13" t="s">
        <v>42</v>
      </c>
      <c r="D78" s="67">
        <f>_xlfn.XLOOKUP(C78,'Ausgaben 2028'!$AI$5:$AR$5,'Ausgaben 2028'!$AI$12:$AR$12)</f>
        <v>0</v>
      </c>
      <c r="E78" s="6"/>
      <c r="G78" s="5"/>
      <c r="H78" s="13" t="s">
        <v>42</v>
      </c>
      <c r="I78" s="67">
        <f>_xlfn.XLOOKUP(H78,'Ausgaben 2028'!$AI$5:$AR$5,'Ausgaben 2028'!$AI$13:$AR$13)</f>
        <v>0</v>
      </c>
      <c r="J78" s="6"/>
      <c r="L78" s="5"/>
      <c r="M78" s="13" t="s">
        <v>42</v>
      </c>
      <c r="N78" s="67">
        <f>_xlfn.XLOOKUP(M78,'Ausgaben 2028'!$AI$5:$AR$5,'Ausgaben 2028'!$AI$14:$AR$14)</f>
        <v>0</v>
      </c>
      <c r="O78" s="6"/>
      <c r="Q78" s="5"/>
      <c r="R78" s="13" t="s">
        <v>42</v>
      </c>
      <c r="S78" s="67">
        <f>_xlfn.XLOOKUP(R78,'Ausgaben 2028'!$AI$5:$AR$5,'Ausgaben 2028'!$AI$15:$AR$15)</f>
        <v>0</v>
      </c>
      <c r="T78" s="6"/>
      <c r="V78" s="5"/>
      <c r="W78" s="13" t="s">
        <v>42</v>
      </c>
      <c r="X78" s="67">
        <f>_xlfn.XLOOKUP(W78,'Ausgaben 2028'!$AI$5:$AR$5,'Ausgaben 2028'!$AI$16:$AR$16)</f>
        <v>0</v>
      </c>
      <c r="Y78" s="6"/>
      <c r="AA78" s="5"/>
      <c r="AB78" s="13" t="s">
        <v>42</v>
      </c>
      <c r="AC78" s="67">
        <f>_xlfn.XLOOKUP(AB78,'Ausgaben 2028'!$AI$5:$AR$5,'Ausgaben 2028'!$AI$17:$AR$17)</f>
        <v>0</v>
      </c>
      <c r="AD78" s="6"/>
    </row>
    <row r="79" spans="2:30" x14ac:dyDescent="0.35">
      <c r="B79" s="5"/>
      <c r="C79" s="13" t="s">
        <v>65</v>
      </c>
      <c r="D79" s="67">
        <f>_xlfn.XLOOKUP(C79,'Ausgaben 2028'!$AI$5:$AR$5,'Ausgaben 2028'!$AI$12:$AR$12)</f>
        <v>0</v>
      </c>
      <c r="E79" s="6"/>
      <c r="G79" s="5"/>
      <c r="H79" s="13" t="s">
        <v>65</v>
      </c>
      <c r="I79" s="67">
        <f>_xlfn.XLOOKUP(H79,'Ausgaben 2028'!$AI$5:$AR$5,'Ausgaben 2028'!$AI$13:$AR$13)</f>
        <v>0</v>
      </c>
      <c r="J79" s="6"/>
      <c r="L79" s="5"/>
      <c r="M79" s="13" t="s">
        <v>65</v>
      </c>
      <c r="N79" s="67">
        <f>_xlfn.XLOOKUP(M79,'Ausgaben 2028'!$AI$5:$AR$5,'Ausgaben 2028'!$AI$14:$AR$14)</f>
        <v>0</v>
      </c>
      <c r="O79" s="6"/>
      <c r="Q79" s="5"/>
      <c r="R79" s="13" t="s">
        <v>65</v>
      </c>
      <c r="S79" s="67">
        <f>_xlfn.XLOOKUP(R79,'Ausgaben 2028'!$AI$5:$AR$5,'Ausgaben 2028'!$AI$15:$AR$15)</f>
        <v>0</v>
      </c>
      <c r="T79" s="6"/>
      <c r="V79" s="5"/>
      <c r="W79" s="13" t="s">
        <v>65</v>
      </c>
      <c r="X79" s="67">
        <f>_xlfn.XLOOKUP(W79,'Ausgaben 2028'!$AI$5:$AR$5,'Ausgaben 2028'!$AI$16:$AR$16)</f>
        <v>0</v>
      </c>
      <c r="Y79" s="6"/>
      <c r="AA79" s="5"/>
      <c r="AB79" s="13" t="s">
        <v>65</v>
      </c>
      <c r="AC79" s="67">
        <f>_xlfn.XLOOKUP(AB79,'Ausgaben 2028'!$AI$5:$AR$5,'Ausgaben 2028'!$AI$17:$AR$17)</f>
        <v>0</v>
      </c>
      <c r="AD79" s="6"/>
    </row>
    <row r="80" spans="2:30" x14ac:dyDescent="0.35">
      <c r="B80" s="5"/>
      <c r="C80" s="13" t="s">
        <v>64</v>
      </c>
      <c r="D80" s="67">
        <f>_xlfn.XLOOKUP(C80,'Ausgaben 2028'!$AI$5:$AR$5,'Ausgaben 2028'!$AI$12:$AR$12)</f>
        <v>0</v>
      </c>
      <c r="E80" s="6"/>
      <c r="G80" s="5"/>
      <c r="H80" s="13" t="s">
        <v>64</v>
      </c>
      <c r="I80" s="67">
        <f>_xlfn.XLOOKUP(H80,'Ausgaben 2028'!$AI$5:$AR$5,'Ausgaben 2028'!$AI$13:$AR$13)</f>
        <v>0</v>
      </c>
      <c r="J80" s="6"/>
      <c r="L80" s="5"/>
      <c r="M80" s="13" t="s">
        <v>64</v>
      </c>
      <c r="N80" s="67">
        <f>_xlfn.XLOOKUP(M80,'Ausgaben 2028'!$AI$5:$AR$5,'Ausgaben 2028'!$AI$14:$AR$14)</f>
        <v>0</v>
      </c>
      <c r="O80" s="6"/>
      <c r="Q80" s="5"/>
      <c r="R80" s="13" t="s">
        <v>64</v>
      </c>
      <c r="S80" s="67">
        <f>_xlfn.XLOOKUP(R80,'Ausgaben 2028'!$AI$5:$AR$5,'Ausgaben 2028'!$AI$15:$AR$15)</f>
        <v>0</v>
      </c>
      <c r="T80" s="6"/>
      <c r="V80" s="5"/>
      <c r="W80" s="13" t="s">
        <v>64</v>
      </c>
      <c r="X80" s="67">
        <f>_xlfn.XLOOKUP(W80,'Ausgaben 2028'!$AI$5:$AR$5,'Ausgaben 2028'!$AI$16:$AR$16)</f>
        <v>0</v>
      </c>
      <c r="Y80" s="6"/>
      <c r="AA80" s="5"/>
      <c r="AB80" s="13" t="s">
        <v>64</v>
      </c>
      <c r="AC80" s="67">
        <f>_xlfn.XLOOKUP(AB80,'Ausgaben 2028'!$AI$5:$AR$5,'Ausgaben 2028'!$AI$17:$AR$17)</f>
        <v>0</v>
      </c>
      <c r="AD80" s="6"/>
    </row>
    <row r="81" spans="2:30" x14ac:dyDescent="0.35">
      <c r="B81" s="5"/>
      <c r="C81" s="13" t="s">
        <v>63</v>
      </c>
      <c r="D81" s="67">
        <f>_xlfn.XLOOKUP(C81,'Ausgaben 2028'!$AI$5:$AR$5,'Ausgaben 2028'!$AI$12:$AR$12)</f>
        <v>0</v>
      </c>
      <c r="E81" s="6"/>
      <c r="G81" s="5"/>
      <c r="H81" s="13" t="s">
        <v>63</v>
      </c>
      <c r="I81" s="67">
        <f>_xlfn.XLOOKUP(H81,'Ausgaben 2028'!$AI$5:$AR$5,'Ausgaben 2028'!$AI$13:$AR$13)</f>
        <v>0</v>
      </c>
      <c r="J81" s="6"/>
      <c r="L81" s="5"/>
      <c r="M81" s="13" t="s">
        <v>63</v>
      </c>
      <c r="N81" s="67">
        <f>_xlfn.XLOOKUP(M81,'Ausgaben 2028'!$AI$5:$AR$5,'Ausgaben 2028'!$AI$14:$AR$14)</f>
        <v>0</v>
      </c>
      <c r="O81" s="6"/>
      <c r="Q81" s="5"/>
      <c r="R81" s="13" t="s">
        <v>63</v>
      </c>
      <c r="S81" s="67">
        <f>_xlfn.XLOOKUP(R81,'Ausgaben 2028'!$AI$5:$AR$5,'Ausgaben 2028'!$AI$15:$AR$15)</f>
        <v>0</v>
      </c>
      <c r="T81" s="6"/>
      <c r="V81" s="5"/>
      <c r="W81" s="13" t="s">
        <v>63</v>
      </c>
      <c r="X81" s="67">
        <f>_xlfn.XLOOKUP(W81,'Ausgaben 2028'!$AI$5:$AR$5,'Ausgaben 2028'!$AI$16:$AR$16)</f>
        <v>0</v>
      </c>
      <c r="Y81" s="6"/>
      <c r="AA81" s="5"/>
      <c r="AB81" s="13" t="s">
        <v>63</v>
      </c>
      <c r="AC81" s="67">
        <f>_xlfn.XLOOKUP(AB81,'Ausgaben 2028'!$AI$5:$AR$5,'Ausgaben 2028'!$AI$17:$AR$17)</f>
        <v>0</v>
      </c>
      <c r="AD81" s="6"/>
    </row>
    <row r="82" spans="2:30" x14ac:dyDescent="0.35">
      <c r="B82" s="5"/>
      <c r="C82" s="13" t="s">
        <v>62</v>
      </c>
      <c r="D82" s="67">
        <f>_xlfn.XLOOKUP(C82,'Ausgaben 2028'!$AI$5:$AR$5,'Ausgaben 2028'!$AI$12:$AR$12)</f>
        <v>0</v>
      </c>
      <c r="E82" s="6"/>
      <c r="G82" s="5"/>
      <c r="H82" s="13" t="s">
        <v>62</v>
      </c>
      <c r="I82" s="67">
        <f>_xlfn.XLOOKUP(H82,'Ausgaben 2028'!$AI$5:$AR$5,'Ausgaben 2028'!$AI$13:$AR$13)</f>
        <v>0</v>
      </c>
      <c r="J82" s="6"/>
      <c r="L82" s="5"/>
      <c r="M82" s="13" t="s">
        <v>62</v>
      </c>
      <c r="N82" s="67">
        <f>_xlfn.XLOOKUP(M82,'Ausgaben 2028'!$AI$5:$AR$5,'Ausgaben 2028'!$AI$14:$AR$14)</f>
        <v>0</v>
      </c>
      <c r="O82" s="6"/>
      <c r="Q82" s="5"/>
      <c r="R82" s="13" t="s">
        <v>62</v>
      </c>
      <c r="S82" s="67">
        <f>_xlfn.XLOOKUP(R82,'Ausgaben 2028'!$AI$5:$AR$5,'Ausgaben 2028'!$AI$15:$AR$15)</f>
        <v>0</v>
      </c>
      <c r="T82" s="6"/>
      <c r="V82" s="5"/>
      <c r="W82" s="13" t="s">
        <v>62</v>
      </c>
      <c r="X82" s="67">
        <f>_xlfn.XLOOKUP(W82,'Ausgaben 2028'!$AI$5:$AR$5,'Ausgaben 2028'!$AI$16:$AR$16)</f>
        <v>0</v>
      </c>
      <c r="Y82" s="6"/>
      <c r="AA82" s="5"/>
      <c r="AB82" s="13" t="s">
        <v>62</v>
      </c>
      <c r="AC82" s="67">
        <f>_xlfn.XLOOKUP(AB82,'Ausgaben 2028'!$AI$5:$AR$5,'Ausgaben 2028'!$AI$17:$AR$17)</f>
        <v>0</v>
      </c>
      <c r="AD82" s="6"/>
    </row>
    <row r="83" spans="2:30" x14ac:dyDescent="0.35">
      <c r="B83" s="5"/>
      <c r="C83" s="13" t="s">
        <v>61</v>
      </c>
      <c r="D83" s="67">
        <f>_xlfn.XLOOKUP(C83,'Ausgaben 2028'!$AI$5:$AR$5,'Ausgaben 2028'!$AI$12:$AR$12)</f>
        <v>0</v>
      </c>
      <c r="E83" s="6"/>
      <c r="G83" s="5"/>
      <c r="H83" s="13" t="s">
        <v>61</v>
      </c>
      <c r="I83" s="67">
        <f>_xlfn.XLOOKUP(H83,'Ausgaben 2028'!$AI$5:$AR$5,'Ausgaben 2028'!$AI$13:$AR$13)</f>
        <v>0</v>
      </c>
      <c r="J83" s="6"/>
      <c r="L83" s="5"/>
      <c r="M83" s="13" t="s">
        <v>61</v>
      </c>
      <c r="N83" s="67">
        <f>_xlfn.XLOOKUP(M83,'Ausgaben 2028'!$AI$5:$AR$5,'Ausgaben 2028'!$AI$14:$AR$14)</f>
        <v>0</v>
      </c>
      <c r="O83" s="6"/>
      <c r="Q83" s="5"/>
      <c r="R83" s="13" t="s">
        <v>61</v>
      </c>
      <c r="S83" s="67">
        <f>_xlfn.XLOOKUP(R83,'Ausgaben 2028'!$AI$5:$AR$5,'Ausgaben 2028'!$AI$15:$AR$15)</f>
        <v>0</v>
      </c>
      <c r="T83" s="6"/>
      <c r="V83" s="5"/>
      <c r="W83" s="13" t="s">
        <v>61</v>
      </c>
      <c r="X83" s="67">
        <f>_xlfn.XLOOKUP(W83,'Ausgaben 2028'!$AI$5:$AR$5,'Ausgaben 2028'!$AI$16:$AR$16)</f>
        <v>0</v>
      </c>
      <c r="Y83" s="6"/>
      <c r="AA83" s="5"/>
      <c r="AB83" s="13" t="s">
        <v>61</v>
      </c>
      <c r="AC83" s="67">
        <f>_xlfn.XLOOKUP(AB83,'Ausgaben 2028'!$AI$5:$AR$5,'Ausgaben 2028'!$AI$17:$AR$17)</f>
        <v>0</v>
      </c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A1106-6EFC-49CA-9492-F56844897306}">
  <sheetPr codeName="Sheet18"/>
  <dimension ref="B1:AS406"/>
  <sheetViews>
    <sheetView zoomScale="29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4" bestFit="1" customWidth="1"/>
    <col min="4" max="4" width="9.81640625" bestFit="1" customWidth="1"/>
    <col min="5" max="5" width="16.36328125" bestFit="1" customWidth="1"/>
    <col min="6" max="6" width="11.7265625" bestFit="1" customWidth="1"/>
    <col min="7" max="7" width="13.54296875" bestFit="1" customWidth="1"/>
    <col min="8" max="8" width="7.90625" bestFit="1" customWidth="1"/>
    <col min="9" max="9" width="11.08984375" bestFit="1" customWidth="1"/>
    <col min="10" max="14" width="13.90625" bestFit="1" customWidth="1"/>
    <col min="15" max="17" width="2.81640625" customWidth="1"/>
    <col min="18" max="18" width="22.1796875" bestFit="1" customWidth="1"/>
    <col min="19" max="19" width="9.81640625" bestFit="1" customWidth="1"/>
    <col min="20" max="20" width="16.36328125" bestFit="1" customWidth="1"/>
    <col min="21" max="21" width="11.7265625" bestFit="1" customWidth="1"/>
    <col min="22" max="22" width="13.54296875" bestFit="1" customWidth="1"/>
    <col min="23" max="23" width="7.90625" bestFit="1" customWidth="1"/>
    <col min="24" max="24" width="11.08984375" bestFit="1" customWidth="1"/>
    <col min="25" max="29" width="13.90625" bestFit="1" customWidth="1"/>
    <col min="30" max="32" width="2.81640625" customWidth="1"/>
    <col min="33" max="33" width="15.6328125" bestFit="1" customWidth="1"/>
    <col min="34" max="34" width="9.81640625" bestFit="1" customWidth="1"/>
    <col min="35" max="35" width="16.36328125" bestFit="1" customWidth="1"/>
    <col min="36" max="36" width="11.7265625" bestFit="1" customWidth="1"/>
    <col min="37" max="37" width="13.54296875" bestFit="1" customWidth="1"/>
    <col min="38" max="38" width="7.90625" bestFit="1" customWidth="1"/>
    <col min="39" max="39" width="11.08984375" bestFit="1" customWidth="1"/>
    <col min="40" max="44" width="13.906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27.12.2027 - 02.01.2028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46753</v>
      </c>
      <c r="D7" s="45">
        <f>SUMIFS(Einzelbeträge!$D:$D,Einzelbeträge!$C:$C,'Ausgaben 2028'!$C7)</f>
        <v>0</v>
      </c>
      <c r="E7" s="32">
        <f>SUMIFS(Einzelbeträge!$D:$D,Einzelbeträge!$C:$C,'Ausgaben 2028'!$C7,Einzelbeträge!$E:$E,'Ausgaben 2028'!E$6)</f>
        <v>0</v>
      </c>
      <c r="F7" s="32">
        <f>SUMIFS(Einzelbeträge!$D:$D,Einzelbeträge!$C:$C,'Ausgaben 2028'!$C7,Einzelbeträge!$E:$E,'Ausgaben 2028'!F$6)</f>
        <v>0</v>
      </c>
      <c r="G7" s="32">
        <f>SUMIFS(Einzelbeträge!$D:$D,Einzelbeträge!$C:$C,'Ausgaben 2028'!$C7,Einzelbeträge!$E:$E,'Ausgaben 2028'!G$6)</f>
        <v>0</v>
      </c>
      <c r="H7" s="32">
        <f>SUMIFS(Einzelbeträge!$D:$D,Einzelbeträge!$C:$C,'Ausgaben 2028'!$C7,Einzelbeträge!$E:$E,'Ausgaben 2028'!H$6)</f>
        <v>0</v>
      </c>
      <c r="I7" s="32">
        <f>SUMIFS(Einzelbeträge!$D:$D,Einzelbeträge!$C:$C,'Ausgaben 2028'!$C7,Einzelbeträge!$E:$E,'Ausgaben 2028'!I$6)</f>
        <v>0</v>
      </c>
      <c r="J7" s="32">
        <f>SUMIFS(Einzelbeträge!$D:$D,Einzelbeträge!$C:$C,'Ausgaben 2028'!$C7,Einzelbeträge!$E:$E,'Ausgaben 2028'!J$6)</f>
        <v>0</v>
      </c>
      <c r="K7" s="32">
        <f>SUMIFS(Einzelbeträge!$D:$D,Einzelbeträge!$C:$C,'Ausgaben 2028'!$C7,Einzelbeträge!$E:$E,'Ausgaben 2028'!K$6)</f>
        <v>0</v>
      </c>
      <c r="L7" s="32">
        <f>SUMIFS(Einzelbeträge!$D:$D,Einzelbeträge!$C:$C,'Ausgaben 2028'!$C7,Einzelbeträge!$E:$E,'Ausgaben 2028'!L$6)</f>
        <v>0</v>
      </c>
      <c r="M7" s="32">
        <f>SUMIFS(Einzelbeträge!$D:$D,Einzelbeträge!$C:$C,'Ausgaben 2028'!$C7,Einzelbeträge!$E:$E,'Ausgaben 2028'!M$6)</f>
        <v>0</v>
      </c>
      <c r="N7" s="33">
        <f>SUMIFS(Einzelbeträge!$D:$D,Einzelbeträge!$C:$C,'Ausgaben 2028'!$C7,Einzelbeträge!$E:$E,'Ausgaben 2028'!N$6)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03.01.2028 - 09.01.2028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46754</v>
      </c>
      <c r="D8" s="46">
        <f>SUMIFS(Einzelbeträge!$D:$D,Einzelbeträge!$C:$C,'Ausgaben 2028'!$C8)</f>
        <v>0</v>
      </c>
      <c r="E8" s="21">
        <f>SUMIFS(Einzelbeträge!$D:$D,Einzelbeträge!$C:$C,'Ausgaben 2028'!$C8,Einzelbeträge!$E:$E,'Ausgaben 2028'!E$6)</f>
        <v>0</v>
      </c>
      <c r="F8" s="21">
        <f>SUMIFS(Einzelbeträge!$D:$D,Einzelbeträge!$C:$C,'Ausgaben 2028'!$C8,Einzelbeträge!$E:$E,'Ausgaben 2028'!F$6)</f>
        <v>0</v>
      </c>
      <c r="G8" s="21">
        <f>SUMIFS(Einzelbeträge!$D:$D,Einzelbeträge!$C:$C,'Ausgaben 2028'!$C8,Einzelbeträge!$E:$E,'Ausgaben 2028'!G$6)</f>
        <v>0</v>
      </c>
      <c r="H8" s="21">
        <f>SUMIFS(Einzelbeträge!$D:$D,Einzelbeträge!$C:$C,'Ausgaben 2028'!$C8,Einzelbeträge!$E:$E,'Ausgaben 2028'!H$6)</f>
        <v>0</v>
      </c>
      <c r="I8" s="21">
        <f>SUMIFS(Einzelbeträge!$D:$D,Einzelbeträge!$C:$C,'Ausgaben 2028'!$C8,Einzelbeträge!$E:$E,'Ausgaben 2028'!I$6)</f>
        <v>0</v>
      </c>
      <c r="J8" s="21">
        <f>SUMIFS(Einzelbeträge!$D:$D,Einzelbeträge!$C:$C,'Ausgaben 2028'!$C8,Einzelbeträge!$E:$E,'Ausgaben 2028'!J$6)</f>
        <v>0</v>
      </c>
      <c r="K8" s="21">
        <f>SUMIFS(Einzelbeträge!$D:$D,Einzelbeträge!$C:$C,'Ausgaben 2028'!$C8,Einzelbeträge!$E:$E,'Ausgaben 2028'!K$6)</f>
        <v>0</v>
      </c>
      <c r="L8" s="21">
        <f>SUMIFS(Einzelbeträge!$D:$D,Einzelbeträge!$C:$C,'Ausgaben 2028'!$C8,Einzelbeträge!$E:$E,'Ausgaben 2028'!L$6)</f>
        <v>0</v>
      </c>
      <c r="M8" s="21">
        <f>SUMIFS(Einzelbeträge!$D:$D,Einzelbeträge!$C:$C,'Ausgaben 2028'!$C8,Einzelbeträge!$E:$E,'Ausgaben 2028'!M$6)</f>
        <v>0</v>
      </c>
      <c r="N8" s="35">
        <f>SUMIFS(Einzelbeträge!$D:$D,Einzelbeträge!$C:$C,'Ausgaben 2028'!$C8,Einzelbeträge!$E:$E,'Ausgaben 2028'!N$6)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10.01.2028 - 16.01.2028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46755</v>
      </c>
      <c r="D9" s="46">
        <f>SUMIFS(Einzelbeträge!$D:$D,Einzelbeträge!$C:$C,'Ausgaben 2028'!$C9)</f>
        <v>0</v>
      </c>
      <c r="E9" s="21">
        <f>SUMIFS(Einzelbeträge!$D:$D,Einzelbeträge!$C:$C,'Ausgaben 2028'!$C9,Einzelbeträge!$E:$E,'Ausgaben 2028'!E$6)</f>
        <v>0</v>
      </c>
      <c r="F9" s="21">
        <f>SUMIFS(Einzelbeträge!$D:$D,Einzelbeträge!$C:$C,'Ausgaben 2028'!$C9,Einzelbeträge!$E:$E,'Ausgaben 2028'!F$6)</f>
        <v>0</v>
      </c>
      <c r="G9" s="21">
        <f>SUMIFS(Einzelbeträge!$D:$D,Einzelbeträge!$C:$C,'Ausgaben 2028'!$C9,Einzelbeträge!$E:$E,'Ausgaben 2028'!G$6)</f>
        <v>0</v>
      </c>
      <c r="H9" s="21">
        <f>SUMIFS(Einzelbeträge!$D:$D,Einzelbeträge!$C:$C,'Ausgaben 2028'!$C9,Einzelbeträge!$E:$E,'Ausgaben 2028'!H$6)</f>
        <v>0</v>
      </c>
      <c r="I9" s="21">
        <f>SUMIFS(Einzelbeträge!$D:$D,Einzelbeträge!$C:$C,'Ausgaben 2028'!$C9,Einzelbeträge!$E:$E,'Ausgaben 2028'!I$6)</f>
        <v>0</v>
      </c>
      <c r="J9" s="21">
        <f>SUMIFS(Einzelbeträge!$D:$D,Einzelbeträge!$C:$C,'Ausgaben 2028'!$C9,Einzelbeträge!$E:$E,'Ausgaben 2028'!J$6)</f>
        <v>0</v>
      </c>
      <c r="K9" s="21">
        <f>SUMIFS(Einzelbeträge!$D:$D,Einzelbeträge!$C:$C,'Ausgaben 2028'!$C9,Einzelbeträge!$E:$E,'Ausgaben 2028'!K$6)</f>
        <v>0</v>
      </c>
      <c r="L9" s="21">
        <f>SUMIFS(Einzelbeträge!$D:$D,Einzelbeträge!$C:$C,'Ausgaben 2028'!$C9,Einzelbeträge!$E:$E,'Ausgaben 2028'!L$6)</f>
        <v>0</v>
      </c>
      <c r="M9" s="21">
        <f>SUMIFS(Einzelbeträge!$D:$D,Einzelbeträge!$C:$C,'Ausgaben 2028'!$C9,Einzelbeträge!$E:$E,'Ausgaben 2028'!M$6)</f>
        <v>0</v>
      </c>
      <c r="N9" s="35">
        <f>SUMIFS(Einzelbeträge!$D:$D,Einzelbeträge!$C:$C,'Ausgaben 2028'!$C9,Einzelbeträge!$E:$E,'Ausgaben 2028'!N$6)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17.01.2028 - 23.01.2028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46756</v>
      </c>
      <c r="D10" s="46">
        <f>SUMIFS(Einzelbeträge!$D:$D,Einzelbeträge!$C:$C,'Ausgaben 2028'!$C10)</f>
        <v>0</v>
      </c>
      <c r="E10" s="21">
        <f>SUMIFS(Einzelbeträge!$D:$D,Einzelbeträge!$C:$C,'Ausgaben 2028'!$C10,Einzelbeträge!$E:$E,'Ausgaben 2028'!E$6)</f>
        <v>0</v>
      </c>
      <c r="F10" s="21">
        <f>SUMIFS(Einzelbeträge!$D:$D,Einzelbeträge!$C:$C,'Ausgaben 2028'!$C10,Einzelbeträge!$E:$E,'Ausgaben 2028'!F$6)</f>
        <v>0</v>
      </c>
      <c r="G10" s="21">
        <f>SUMIFS(Einzelbeträge!$D:$D,Einzelbeträge!$C:$C,'Ausgaben 2028'!$C10,Einzelbeträge!$E:$E,'Ausgaben 2028'!G$6)</f>
        <v>0</v>
      </c>
      <c r="H10" s="21">
        <f>SUMIFS(Einzelbeträge!$D:$D,Einzelbeträge!$C:$C,'Ausgaben 2028'!$C10,Einzelbeträge!$E:$E,'Ausgaben 2028'!H$6)</f>
        <v>0</v>
      </c>
      <c r="I10" s="21">
        <f>SUMIFS(Einzelbeträge!$D:$D,Einzelbeträge!$C:$C,'Ausgaben 2028'!$C10,Einzelbeträge!$E:$E,'Ausgaben 2028'!I$6)</f>
        <v>0</v>
      </c>
      <c r="J10" s="21">
        <f>SUMIFS(Einzelbeträge!$D:$D,Einzelbeträge!$C:$C,'Ausgaben 2028'!$C10,Einzelbeträge!$E:$E,'Ausgaben 2028'!J$6)</f>
        <v>0</v>
      </c>
      <c r="K10" s="21">
        <f>SUMIFS(Einzelbeträge!$D:$D,Einzelbeträge!$C:$C,'Ausgaben 2028'!$C10,Einzelbeträge!$E:$E,'Ausgaben 2028'!K$6)</f>
        <v>0</v>
      </c>
      <c r="L10" s="21">
        <f>SUMIFS(Einzelbeträge!$D:$D,Einzelbeträge!$C:$C,'Ausgaben 2028'!$C10,Einzelbeträge!$E:$E,'Ausgaben 2028'!L$6)</f>
        <v>0</v>
      </c>
      <c r="M10" s="21">
        <f>SUMIFS(Einzelbeträge!$D:$D,Einzelbeträge!$C:$C,'Ausgaben 2028'!$C10,Einzelbeträge!$E:$E,'Ausgaben 2028'!M$6)</f>
        <v>0</v>
      </c>
      <c r="N10" s="35">
        <f>SUMIFS(Einzelbeträge!$D:$D,Einzelbeträge!$C:$C,'Ausgaben 2028'!$C10,Einzelbeträge!$E:$E,'Ausgaben 2028'!N$6)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24.01.2028 - 30.01.2028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46757</v>
      </c>
      <c r="D11" s="46">
        <f>SUMIFS(Einzelbeträge!$D:$D,Einzelbeträge!$C:$C,'Ausgaben 2028'!$C11)</f>
        <v>0</v>
      </c>
      <c r="E11" s="21">
        <f>SUMIFS(Einzelbeträge!$D:$D,Einzelbeträge!$C:$C,'Ausgaben 2028'!$C11,Einzelbeträge!$E:$E,'Ausgaben 2028'!E$6)</f>
        <v>0</v>
      </c>
      <c r="F11" s="21">
        <f>SUMIFS(Einzelbeträge!$D:$D,Einzelbeträge!$C:$C,'Ausgaben 2028'!$C11,Einzelbeträge!$E:$E,'Ausgaben 2028'!F$6)</f>
        <v>0</v>
      </c>
      <c r="G11" s="21">
        <f>SUMIFS(Einzelbeträge!$D:$D,Einzelbeträge!$C:$C,'Ausgaben 2028'!$C11,Einzelbeträge!$E:$E,'Ausgaben 2028'!G$6)</f>
        <v>0</v>
      </c>
      <c r="H11" s="21">
        <f>SUMIFS(Einzelbeträge!$D:$D,Einzelbeträge!$C:$C,'Ausgaben 2028'!$C11,Einzelbeträge!$E:$E,'Ausgaben 2028'!H$6)</f>
        <v>0</v>
      </c>
      <c r="I11" s="21">
        <f>SUMIFS(Einzelbeträge!$D:$D,Einzelbeträge!$C:$C,'Ausgaben 2028'!$C11,Einzelbeträge!$E:$E,'Ausgaben 2028'!I$6)</f>
        <v>0</v>
      </c>
      <c r="J11" s="21">
        <f>SUMIFS(Einzelbeträge!$D:$D,Einzelbeträge!$C:$C,'Ausgaben 2028'!$C11,Einzelbeträge!$E:$E,'Ausgaben 2028'!J$6)</f>
        <v>0</v>
      </c>
      <c r="K11" s="21">
        <f>SUMIFS(Einzelbeträge!$D:$D,Einzelbeträge!$C:$C,'Ausgaben 2028'!$C11,Einzelbeträge!$E:$E,'Ausgaben 2028'!K$6)</f>
        <v>0</v>
      </c>
      <c r="L11" s="21">
        <f>SUMIFS(Einzelbeträge!$D:$D,Einzelbeträge!$C:$C,'Ausgaben 2028'!$C11,Einzelbeträge!$E:$E,'Ausgaben 2028'!L$6)</f>
        <v>0</v>
      </c>
      <c r="M11" s="21">
        <f>SUMIFS(Einzelbeträge!$D:$D,Einzelbeträge!$C:$C,'Ausgaben 2028'!$C11,Einzelbeträge!$E:$E,'Ausgaben 2028'!M$6)</f>
        <v>0</v>
      </c>
      <c r="N11" s="35">
        <f>SUMIFS(Einzelbeträge!$D:$D,Einzelbeträge!$C:$C,'Ausgaben 2028'!$C11,Einzelbeträge!$E:$E,'Ausgaben 2028'!N$6)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31.01.2028 - 06.02.2028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46758</v>
      </c>
      <c r="D12" s="46">
        <f>SUMIFS(Einzelbeträge!$D:$D,Einzelbeträge!$C:$C,'Ausgaben 2028'!$C12)</f>
        <v>0</v>
      </c>
      <c r="E12" s="21">
        <f>SUMIFS(Einzelbeträge!$D:$D,Einzelbeträge!$C:$C,'Ausgaben 2028'!$C12,Einzelbeträge!$E:$E,'Ausgaben 2028'!E$6)</f>
        <v>0</v>
      </c>
      <c r="F12" s="21">
        <f>SUMIFS(Einzelbeträge!$D:$D,Einzelbeträge!$C:$C,'Ausgaben 2028'!$C12,Einzelbeträge!$E:$E,'Ausgaben 2028'!F$6)</f>
        <v>0</v>
      </c>
      <c r="G12" s="21">
        <f>SUMIFS(Einzelbeträge!$D:$D,Einzelbeträge!$C:$C,'Ausgaben 2028'!$C12,Einzelbeträge!$E:$E,'Ausgaben 2028'!G$6)</f>
        <v>0</v>
      </c>
      <c r="H12" s="21">
        <f>SUMIFS(Einzelbeträge!$D:$D,Einzelbeträge!$C:$C,'Ausgaben 2028'!$C12,Einzelbeträge!$E:$E,'Ausgaben 2028'!H$6)</f>
        <v>0</v>
      </c>
      <c r="I12" s="21">
        <f>SUMIFS(Einzelbeträge!$D:$D,Einzelbeträge!$C:$C,'Ausgaben 2028'!$C12,Einzelbeträge!$E:$E,'Ausgaben 2028'!I$6)</f>
        <v>0</v>
      </c>
      <c r="J12" s="21">
        <f>SUMIFS(Einzelbeträge!$D:$D,Einzelbeträge!$C:$C,'Ausgaben 2028'!$C12,Einzelbeträge!$E:$E,'Ausgaben 2028'!J$6)</f>
        <v>0</v>
      </c>
      <c r="K12" s="21">
        <f>SUMIFS(Einzelbeträge!$D:$D,Einzelbeträge!$C:$C,'Ausgaben 2028'!$C12,Einzelbeträge!$E:$E,'Ausgaben 2028'!K$6)</f>
        <v>0</v>
      </c>
      <c r="L12" s="21">
        <f>SUMIFS(Einzelbeträge!$D:$D,Einzelbeträge!$C:$C,'Ausgaben 2028'!$C12,Einzelbeträge!$E:$E,'Ausgaben 2028'!L$6)</f>
        <v>0</v>
      </c>
      <c r="M12" s="21">
        <f>SUMIFS(Einzelbeträge!$D:$D,Einzelbeträge!$C:$C,'Ausgaben 2028'!$C12,Einzelbeträge!$E:$E,'Ausgaben 2028'!M$6)</f>
        <v>0</v>
      </c>
      <c r="N12" s="35">
        <f>SUMIFS(Einzelbeträge!$D:$D,Einzelbeträge!$C:$C,'Ausgaben 2028'!$C12,Einzelbeträge!$E:$E,'Ausgaben 2028'!N$6)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07.02.2028 - 13.02.2028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46759</v>
      </c>
      <c r="D13" s="46">
        <f>SUMIFS(Einzelbeträge!$D:$D,Einzelbeträge!$C:$C,'Ausgaben 2028'!$C13)</f>
        <v>0</v>
      </c>
      <c r="E13" s="21">
        <f>SUMIFS(Einzelbeträge!$D:$D,Einzelbeträge!$C:$C,'Ausgaben 2028'!$C13,Einzelbeträge!$E:$E,'Ausgaben 2028'!E$6)</f>
        <v>0</v>
      </c>
      <c r="F13" s="21">
        <f>SUMIFS(Einzelbeträge!$D:$D,Einzelbeträge!$C:$C,'Ausgaben 2028'!$C13,Einzelbeträge!$E:$E,'Ausgaben 2028'!F$6)</f>
        <v>0</v>
      </c>
      <c r="G13" s="21">
        <f>SUMIFS(Einzelbeträge!$D:$D,Einzelbeträge!$C:$C,'Ausgaben 2028'!$C13,Einzelbeträge!$E:$E,'Ausgaben 2028'!G$6)</f>
        <v>0</v>
      </c>
      <c r="H13" s="21">
        <f>SUMIFS(Einzelbeträge!$D:$D,Einzelbeträge!$C:$C,'Ausgaben 2028'!$C13,Einzelbeträge!$E:$E,'Ausgaben 2028'!H$6)</f>
        <v>0</v>
      </c>
      <c r="I13" s="21">
        <f>SUMIFS(Einzelbeträge!$D:$D,Einzelbeträge!$C:$C,'Ausgaben 2028'!$C13,Einzelbeträge!$E:$E,'Ausgaben 2028'!I$6)</f>
        <v>0</v>
      </c>
      <c r="J13" s="21">
        <f>SUMIFS(Einzelbeträge!$D:$D,Einzelbeträge!$C:$C,'Ausgaben 2028'!$C13,Einzelbeträge!$E:$E,'Ausgaben 2028'!J$6)</f>
        <v>0</v>
      </c>
      <c r="K13" s="21">
        <f>SUMIFS(Einzelbeträge!$D:$D,Einzelbeträge!$C:$C,'Ausgaben 2028'!$C13,Einzelbeträge!$E:$E,'Ausgaben 2028'!K$6)</f>
        <v>0</v>
      </c>
      <c r="L13" s="21">
        <f>SUMIFS(Einzelbeträge!$D:$D,Einzelbeträge!$C:$C,'Ausgaben 2028'!$C13,Einzelbeträge!$E:$E,'Ausgaben 2028'!L$6)</f>
        <v>0</v>
      </c>
      <c r="M13" s="21">
        <f>SUMIFS(Einzelbeträge!$D:$D,Einzelbeträge!$C:$C,'Ausgaben 2028'!$C13,Einzelbeträge!$E:$E,'Ausgaben 2028'!M$6)</f>
        <v>0</v>
      </c>
      <c r="N13" s="35">
        <f>SUMIFS(Einzelbeträge!$D:$D,Einzelbeträge!$C:$C,'Ausgaben 2028'!$C13,Einzelbeträge!$E:$E,'Ausgaben 2028'!N$6)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14.02.2028 - 20.02.2028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46760</v>
      </c>
      <c r="D14" s="46">
        <f>SUMIFS(Einzelbeträge!$D:$D,Einzelbeträge!$C:$C,'Ausgaben 2028'!$C14)</f>
        <v>0</v>
      </c>
      <c r="E14" s="21">
        <f>SUMIFS(Einzelbeträge!$D:$D,Einzelbeträge!$C:$C,'Ausgaben 2028'!$C14,Einzelbeträge!$E:$E,'Ausgaben 2028'!E$6)</f>
        <v>0</v>
      </c>
      <c r="F14" s="21">
        <f>SUMIFS(Einzelbeträge!$D:$D,Einzelbeträge!$C:$C,'Ausgaben 2028'!$C14,Einzelbeträge!$E:$E,'Ausgaben 2028'!F$6)</f>
        <v>0</v>
      </c>
      <c r="G14" s="21">
        <f>SUMIFS(Einzelbeträge!$D:$D,Einzelbeträge!$C:$C,'Ausgaben 2028'!$C14,Einzelbeträge!$E:$E,'Ausgaben 2028'!G$6)</f>
        <v>0</v>
      </c>
      <c r="H14" s="21">
        <f>SUMIFS(Einzelbeträge!$D:$D,Einzelbeträge!$C:$C,'Ausgaben 2028'!$C14,Einzelbeträge!$E:$E,'Ausgaben 2028'!H$6)</f>
        <v>0</v>
      </c>
      <c r="I14" s="21">
        <f>SUMIFS(Einzelbeträge!$D:$D,Einzelbeträge!$C:$C,'Ausgaben 2028'!$C14,Einzelbeträge!$E:$E,'Ausgaben 2028'!I$6)</f>
        <v>0</v>
      </c>
      <c r="J14" s="21">
        <f>SUMIFS(Einzelbeträge!$D:$D,Einzelbeträge!$C:$C,'Ausgaben 2028'!$C14,Einzelbeträge!$E:$E,'Ausgaben 2028'!J$6)</f>
        <v>0</v>
      </c>
      <c r="K14" s="21">
        <f>SUMIFS(Einzelbeträge!$D:$D,Einzelbeträge!$C:$C,'Ausgaben 2028'!$C14,Einzelbeträge!$E:$E,'Ausgaben 2028'!K$6)</f>
        <v>0</v>
      </c>
      <c r="L14" s="21">
        <f>SUMIFS(Einzelbeträge!$D:$D,Einzelbeträge!$C:$C,'Ausgaben 2028'!$C14,Einzelbeträge!$E:$E,'Ausgaben 2028'!L$6)</f>
        <v>0</v>
      </c>
      <c r="M14" s="21">
        <f>SUMIFS(Einzelbeträge!$D:$D,Einzelbeträge!$C:$C,'Ausgaben 2028'!$C14,Einzelbeträge!$E:$E,'Ausgaben 2028'!M$6)</f>
        <v>0</v>
      </c>
      <c r="N14" s="35">
        <f>SUMIFS(Einzelbeträge!$D:$D,Einzelbeträge!$C:$C,'Ausgaben 2028'!$C14,Einzelbeträge!$E:$E,'Ausgaben 2028'!N$6)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21.02.2028 - 27.02.2028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46761</v>
      </c>
      <c r="D15" s="46">
        <f>SUMIFS(Einzelbeträge!$D:$D,Einzelbeträge!$C:$C,'Ausgaben 2028'!$C15)</f>
        <v>0</v>
      </c>
      <c r="E15" s="21">
        <f>SUMIFS(Einzelbeträge!$D:$D,Einzelbeträge!$C:$C,'Ausgaben 2028'!$C15,Einzelbeträge!$E:$E,'Ausgaben 2028'!E$6)</f>
        <v>0</v>
      </c>
      <c r="F15" s="21">
        <f>SUMIFS(Einzelbeträge!$D:$D,Einzelbeträge!$C:$C,'Ausgaben 2028'!$C15,Einzelbeträge!$E:$E,'Ausgaben 2028'!F$6)</f>
        <v>0</v>
      </c>
      <c r="G15" s="21">
        <f>SUMIFS(Einzelbeträge!$D:$D,Einzelbeträge!$C:$C,'Ausgaben 2028'!$C15,Einzelbeträge!$E:$E,'Ausgaben 2028'!G$6)</f>
        <v>0</v>
      </c>
      <c r="H15" s="21">
        <f>SUMIFS(Einzelbeträge!$D:$D,Einzelbeträge!$C:$C,'Ausgaben 2028'!$C15,Einzelbeträge!$E:$E,'Ausgaben 2028'!H$6)</f>
        <v>0</v>
      </c>
      <c r="I15" s="21">
        <f>SUMIFS(Einzelbeträge!$D:$D,Einzelbeträge!$C:$C,'Ausgaben 2028'!$C15,Einzelbeträge!$E:$E,'Ausgaben 2028'!I$6)</f>
        <v>0</v>
      </c>
      <c r="J15" s="21">
        <f>SUMIFS(Einzelbeträge!$D:$D,Einzelbeträge!$C:$C,'Ausgaben 2028'!$C15,Einzelbeträge!$E:$E,'Ausgaben 2028'!J$6)</f>
        <v>0</v>
      </c>
      <c r="K15" s="21">
        <f>SUMIFS(Einzelbeträge!$D:$D,Einzelbeträge!$C:$C,'Ausgaben 2028'!$C15,Einzelbeträge!$E:$E,'Ausgaben 2028'!K$6)</f>
        <v>0</v>
      </c>
      <c r="L15" s="21">
        <f>SUMIFS(Einzelbeträge!$D:$D,Einzelbeträge!$C:$C,'Ausgaben 2028'!$C15,Einzelbeträge!$E:$E,'Ausgaben 2028'!L$6)</f>
        <v>0</v>
      </c>
      <c r="M15" s="21">
        <f>SUMIFS(Einzelbeträge!$D:$D,Einzelbeträge!$C:$C,'Ausgaben 2028'!$C15,Einzelbeträge!$E:$E,'Ausgaben 2028'!M$6)</f>
        <v>0</v>
      </c>
      <c r="N15" s="35">
        <f>SUMIFS(Einzelbeträge!$D:$D,Einzelbeträge!$C:$C,'Ausgaben 2028'!$C15,Einzelbeträge!$E:$E,'Ausgaben 2028'!N$6)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28.02.2028 - 05.03.2028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46762</v>
      </c>
      <c r="D16" s="46">
        <f>SUMIFS(Einzelbeträge!$D:$D,Einzelbeträge!$C:$C,'Ausgaben 2028'!$C16)</f>
        <v>0</v>
      </c>
      <c r="E16" s="21">
        <f>SUMIFS(Einzelbeträge!$D:$D,Einzelbeträge!$C:$C,'Ausgaben 2028'!$C16,Einzelbeträge!$E:$E,'Ausgaben 2028'!E$6)</f>
        <v>0</v>
      </c>
      <c r="F16" s="21">
        <f>SUMIFS(Einzelbeträge!$D:$D,Einzelbeträge!$C:$C,'Ausgaben 2028'!$C16,Einzelbeträge!$E:$E,'Ausgaben 2028'!F$6)</f>
        <v>0</v>
      </c>
      <c r="G16" s="21">
        <f>SUMIFS(Einzelbeträge!$D:$D,Einzelbeträge!$C:$C,'Ausgaben 2028'!$C16,Einzelbeträge!$E:$E,'Ausgaben 2028'!G$6)</f>
        <v>0</v>
      </c>
      <c r="H16" s="21">
        <f>SUMIFS(Einzelbeträge!$D:$D,Einzelbeträge!$C:$C,'Ausgaben 2028'!$C16,Einzelbeträge!$E:$E,'Ausgaben 2028'!H$6)</f>
        <v>0</v>
      </c>
      <c r="I16" s="21">
        <f>SUMIFS(Einzelbeträge!$D:$D,Einzelbeträge!$C:$C,'Ausgaben 2028'!$C16,Einzelbeträge!$E:$E,'Ausgaben 2028'!I$6)</f>
        <v>0</v>
      </c>
      <c r="J16" s="21">
        <f>SUMIFS(Einzelbeträge!$D:$D,Einzelbeträge!$C:$C,'Ausgaben 2028'!$C16,Einzelbeträge!$E:$E,'Ausgaben 2028'!J$6)</f>
        <v>0</v>
      </c>
      <c r="K16" s="21">
        <f>SUMIFS(Einzelbeträge!$D:$D,Einzelbeträge!$C:$C,'Ausgaben 2028'!$C16,Einzelbeträge!$E:$E,'Ausgaben 2028'!K$6)</f>
        <v>0</v>
      </c>
      <c r="L16" s="21">
        <f>SUMIFS(Einzelbeträge!$D:$D,Einzelbeträge!$C:$C,'Ausgaben 2028'!$C16,Einzelbeträge!$E:$E,'Ausgaben 2028'!L$6)</f>
        <v>0</v>
      </c>
      <c r="M16" s="21">
        <f>SUMIFS(Einzelbeträge!$D:$D,Einzelbeträge!$C:$C,'Ausgaben 2028'!$C16,Einzelbeträge!$E:$E,'Ausgaben 2028'!M$6)</f>
        <v>0</v>
      </c>
      <c r="N16" s="35">
        <f>SUMIFS(Einzelbeträge!$D:$D,Einzelbeträge!$C:$C,'Ausgaben 2028'!$C16,Einzelbeträge!$E:$E,'Ausgaben 2028'!N$6)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06.03.2028 - 12.03.2028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46763</v>
      </c>
      <c r="D17" s="46">
        <f>SUMIFS(Einzelbeträge!$D:$D,Einzelbeträge!$C:$C,'Ausgaben 2028'!$C17)</f>
        <v>0</v>
      </c>
      <c r="E17" s="21">
        <f>SUMIFS(Einzelbeträge!$D:$D,Einzelbeträge!$C:$C,'Ausgaben 2028'!$C17,Einzelbeträge!$E:$E,'Ausgaben 2028'!E$6)</f>
        <v>0</v>
      </c>
      <c r="F17" s="21">
        <f>SUMIFS(Einzelbeträge!$D:$D,Einzelbeträge!$C:$C,'Ausgaben 2028'!$C17,Einzelbeträge!$E:$E,'Ausgaben 2028'!F$6)</f>
        <v>0</v>
      </c>
      <c r="G17" s="21">
        <f>SUMIFS(Einzelbeträge!$D:$D,Einzelbeträge!$C:$C,'Ausgaben 2028'!$C17,Einzelbeträge!$E:$E,'Ausgaben 2028'!G$6)</f>
        <v>0</v>
      </c>
      <c r="H17" s="21">
        <f>SUMIFS(Einzelbeträge!$D:$D,Einzelbeträge!$C:$C,'Ausgaben 2028'!$C17,Einzelbeträge!$E:$E,'Ausgaben 2028'!H$6)</f>
        <v>0</v>
      </c>
      <c r="I17" s="21">
        <f>SUMIFS(Einzelbeträge!$D:$D,Einzelbeträge!$C:$C,'Ausgaben 2028'!$C17,Einzelbeträge!$E:$E,'Ausgaben 2028'!I$6)</f>
        <v>0</v>
      </c>
      <c r="J17" s="21">
        <f>SUMIFS(Einzelbeträge!$D:$D,Einzelbeträge!$C:$C,'Ausgaben 2028'!$C17,Einzelbeträge!$E:$E,'Ausgaben 2028'!J$6)</f>
        <v>0</v>
      </c>
      <c r="K17" s="21">
        <f>SUMIFS(Einzelbeträge!$D:$D,Einzelbeträge!$C:$C,'Ausgaben 2028'!$C17,Einzelbeträge!$E:$E,'Ausgaben 2028'!K$6)</f>
        <v>0</v>
      </c>
      <c r="L17" s="21">
        <f>SUMIFS(Einzelbeträge!$D:$D,Einzelbeträge!$C:$C,'Ausgaben 2028'!$C17,Einzelbeträge!$E:$E,'Ausgaben 2028'!L$6)</f>
        <v>0</v>
      </c>
      <c r="M17" s="21">
        <f>SUMIFS(Einzelbeträge!$D:$D,Einzelbeträge!$C:$C,'Ausgaben 2028'!$C17,Einzelbeträge!$E:$E,'Ausgaben 2028'!M$6)</f>
        <v>0</v>
      </c>
      <c r="N17" s="35">
        <f>SUMIFS(Einzelbeträge!$D:$D,Einzelbeträge!$C:$C,'Ausgaben 2028'!$C17,Einzelbeträge!$E:$E,'Ausgaben 2028'!N$6)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13.03.2028 - 19.03.2028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46764</v>
      </c>
      <c r="D18" s="46">
        <f>SUMIFS(Einzelbeträge!$D:$D,Einzelbeträge!$C:$C,'Ausgaben 2028'!$C18)</f>
        <v>0</v>
      </c>
      <c r="E18" s="21">
        <f>SUMIFS(Einzelbeträge!$D:$D,Einzelbeträge!$C:$C,'Ausgaben 2028'!$C18,Einzelbeträge!$E:$E,'Ausgaben 2028'!E$6)</f>
        <v>0</v>
      </c>
      <c r="F18" s="21">
        <f>SUMIFS(Einzelbeträge!$D:$D,Einzelbeträge!$C:$C,'Ausgaben 2028'!$C18,Einzelbeträge!$E:$E,'Ausgaben 2028'!F$6)</f>
        <v>0</v>
      </c>
      <c r="G18" s="21">
        <f>SUMIFS(Einzelbeträge!$D:$D,Einzelbeträge!$C:$C,'Ausgaben 2028'!$C18,Einzelbeträge!$E:$E,'Ausgaben 2028'!G$6)</f>
        <v>0</v>
      </c>
      <c r="H18" s="21">
        <f>SUMIFS(Einzelbeträge!$D:$D,Einzelbeträge!$C:$C,'Ausgaben 2028'!$C18,Einzelbeträge!$E:$E,'Ausgaben 2028'!H$6)</f>
        <v>0</v>
      </c>
      <c r="I18" s="21">
        <f>SUMIFS(Einzelbeträge!$D:$D,Einzelbeträge!$C:$C,'Ausgaben 2028'!$C18,Einzelbeträge!$E:$E,'Ausgaben 2028'!I$6)</f>
        <v>0</v>
      </c>
      <c r="J18" s="21">
        <f>SUMIFS(Einzelbeträge!$D:$D,Einzelbeträge!$C:$C,'Ausgaben 2028'!$C18,Einzelbeträge!$E:$E,'Ausgaben 2028'!J$6)</f>
        <v>0</v>
      </c>
      <c r="K18" s="21">
        <f>SUMIFS(Einzelbeträge!$D:$D,Einzelbeträge!$C:$C,'Ausgaben 2028'!$C18,Einzelbeträge!$E:$E,'Ausgaben 2028'!K$6)</f>
        <v>0</v>
      </c>
      <c r="L18" s="21">
        <f>SUMIFS(Einzelbeträge!$D:$D,Einzelbeträge!$C:$C,'Ausgaben 2028'!$C18,Einzelbeträge!$E:$E,'Ausgaben 2028'!L$6)</f>
        <v>0</v>
      </c>
      <c r="M18" s="21">
        <f>SUMIFS(Einzelbeträge!$D:$D,Einzelbeträge!$C:$C,'Ausgaben 2028'!$C18,Einzelbeträge!$E:$E,'Ausgaben 2028'!M$6)</f>
        <v>0</v>
      </c>
      <c r="N18" s="35">
        <f>SUMIFS(Einzelbeträge!$D:$D,Einzelbeträge!$C:$C,'Ausgaben 2028'!$C18,Einzelbeträge!$E:$E,'Ausgaben 2028'!N$6)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20.03.2028 - 26.03.2028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46765</v>
      </c>
      <c r="D19" s="46">
        <f>SUMIFS(Einzelbeträge!$D:$D,Einzelbeträge!$C:$C,'Ausgaben 2028'!$C19)</f>
        <v>0</v>
      </c>
      <c r="E19" s="21">
        <f>SUMIFS(Einzelbeträge!$D:$D,Einzelbeträge!$C:$C,'Ausgaben 2028'!$C19,Einzelbeträge!$E:$E,'Ausgaben 2028'!E$6)</f>
        <v>0</v>
      </c>
      <c r="F19" s="21">
        <f>SUMIFS(Einzelbeträge!$D:$D,Einzelbeträge!$C:$C,'Ausgaben 2028'!$C19,Einzelbeträge!$E:$E,'Ausgaben 2028'!F$6)</f>
        <v>0</v>
      </c>
      <c r="G19" s="21">
        <f>SUMIFS(Einzelbeträge!$D:$D,Einzelbeträge!$C:$C,'Ausgaben 2028'!$C19,Einzelbeträge!$E:$E,'Ausgaben 2028'!G$6)</f>
        <v>0</v>
      </c>
      <c r="H19" s="21">
        <f>SUMIFS(Einzelbeträge!$D:$D,Einzelbeträge!$C:$C,'Ausgaben 2028'!$C19,Einzelbeträge!$E:$E,'Ausgaben 2028'!H$6)</f>
        <v>0</v>
      </c>
      <c r="I19" s="21">
        <f>SUMIFS(Einzelbeträge!$D:$D,Einzelbeträge!$C:$C,'Ausgaben 2028'!$C19,Einzelbeträge!$E:$E,'Ausgaben 2028'!I$6)</f>
        <v>0</v>
      </c>
      <c r="J19" s="21">
        <f>SUMIFS(Einzelbeträge!$D:$D,Einzelbeträge!$C:$C,'Ausgaben 2028'!$C19,Einzelbeträge!$E:$E,'Ausgaben 2028'!J$6)</f>
        <v>0</v>
      </c>
      <c r="K19" s="21">
        <f>SUMIFS(Einzelbeträge!$D:$D,Einzelbeträge!$C:$C,'Ausgaben 2028'!$C19,Einzelbeträge!$E:$E,'Ausgaben 2028'!K$6)</f>
        <v>0</v>
      </c>
      <c r="L19" s="21">
        <f>SUMIFS(Einzelbeträge!$D:$D,Einzelbeträge!$C:$C,'Ausgaben 2028'!$C19,Einzelbeträge!$E:$E,'Ausgaben 2028'!L$6)</f>
        <v>0</v>
      </c>
      <c r="M19" s="21">
        <f>SUMIFS(Einzelbeträge!$D:$D,Einzelbeträge!$C:$C,'Ausgaben 2028'!$C19,Einzelbeträge!$E:$E,'Ausgaben 2028'!M$6)</f>
        <v>0</v>
      </c>
      <c r="N19" s="35">
        <f>SUMIFS(Einzelbeträge!$D:$D,Einzelbeträge!$C:$C,'Ausgaben 2028'!$C19,Einzelbeträge!$E:$E,'Ausgaben 2028'!N$6)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27.03.2028 - 02.04.2028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46766</v>
      </c>
      <c r="D20" s="46">
        <f>SUMIFS(Einzelbeträge!$D:$D,Einzelbeträge!$C:$C,'Ausgaben 2028'!$C20)</f>
        <v>0</v>
      </c>
      <c r="E20" s="21">
        <f>SUMIFS(Einzelbeträge!$D:$D,Einzelbeträge!$C:$C,'Ausgaben 2028'!$C20,Einzelbeträge!$E:$E,'Ausgaben 2028'!E$6)</f>
        <v>0</v>
      </c>
      <c r="F20" s="21">
        <f>SUMIFS(Einzelbeträge!$D:$D,Einzelbeträge!$C:$C,'Ausgaben 2028'!$C20,Einzelbeträge!$E:$E,'Ausgaben 2028'!F$6)</f>
        <v>0</v>
      </c>
      <c r="G20" s="21">
        <f>SUMIFS(Einzelbeträge!$D:$D,Einzelbeträge!$C:$C,'Ausgaben 2028'!$C20,Einzelbeträge!$E:$E,'Ausgaben 2028'!G$6)</f>
        <v>0</v>
      </c>
      <c r="H20" s="21">
        <f>SUMIFS(Einzelbeträge!$D:$D,Einzelbeträge!$C:$C,'Ausgaben 2028'!$C20,Einzelbeträge!$E:$E,'Ausgaben 2028'!H$6)</f>
        <v>0</v>
      </c>
      <c r="I20" s="21">
        <f>SUMIFS(Einzelbeträge!$D:$D,Einzelbeträge!$C:$C,'Ausgaben 2028'!$C20,Einzelbeträge!$E:$E,'Ausgaben 2028'!I$6)</f>
        <v>0</v>
      </c>
      <c r="J20" s="21">
        <f>SUMIFS(Einzelbeträge!$D:$D,Einzelbeträge!$C:$C,'Ausgaben 2028'!$C20,Einzelbeträge!$E:$E,'Ausgaben 2028'!J$6)</f>
        <v>0</v>
      </c>
      <c r="K20" s="21">
        <f>SUMIFS(Einzelbeträge!$D:$D,Einzelbeträge!$C:$C,'Ausgaben 2028'!$C20,Einzelbeträge!$E:$E,'Ausgaben 2028'!K$6)</f>
        <v>0</v>
      </c>
      <c r="L20" s="21">
        <f>SUMIFS(Einzelbeträge!$D:$D,Einzelbeträge!$C:$C,'Ausgaben 2028'!$C20,Einzelbeträge!$E:$E,'Ausgaben 2028'!L$6)</f>
        <v>0</v>
      </c>
      <c r="M20" s="21">
        <f>SUMIFS(Einzelbeträge!$D:$D,Einzelbeträge!$C:$C,'Ausgaben 2028'!$C20,Einzelbeträge!$E:$E,'Ausgaben 2028'!M$6)</f>
        <v>0</v>
      </c>
      <c r="N20" s="35">
        <f>SUMIFS(Einzelbeträge!$D:$D,Einzelbeträge!$C:$C,'Ausgaben 2028'!$C20,Einzelbeträge!$E:$E,'Ausgaben 2028'!N$6)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03.04.2028 - 09.04.2028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46767</v>
      </c>
      <c r="D21" s="46">
        <f>SUMIFS(Einzelbeträge!$D:$D,Einzelbeträge!$C:$C,'Ausgaben 2028'!$C21)</f>
        <v>0</v>
      </c>
      <c r="E21" s="21">
        <f>SUMIFS(Einzelbeträge!$D:$D,Einzelbeträge!$C:$C,'Ausgaben 2028'!$C21,Einzelbeträge!$E:$E,'Ausgaben 2028'!E$6)</f>
        <v>0</v>
      </c>
      <c r="F21" s="21">
        <f>SUMIFS(Einzelbeträge!$D:$D,Einzelbeträge!$C:$C,'Ausgaben 2028'!$C21,Einzelbeträge!$E:$E,'Ausgaben 2028'!F$6)</f>
        <v>0</v>
      </c>
      <c r="G21" s="21">
        <f>SUMIFS(Einzelbeträge!$D:$D,Einzelbeträge!$C:$C,'Ausgaben 2028'!$C21,Einzelbeträge!$E:$E,'Ausgaben 2028'!G$6)</f>
        <v>0</v>
      </c>
      <c r="H21" s="21">
        <f>SUMIFS(Einzelbeträge!$D:$D,Einzelbeträge!$C:$C,'Ausgaben 2028'!$C21,Einzelbeträge!$E:$E,'Ausgaben 2028'!H$6)</f>
        <v>0</v>
      </c>
      <c r="I21" s="21">
        <f>SUMIFS(Einzelbeträge!$D:$D,Einzelbeträge!$C:$C,'Ausgaben 2028'!$C21,Einzelbeträge!$E:$E,'Ausgaben 2028'!I$6)</f>
        <v>0</v>
      </c>
      <c r="J21" s="21">
        <f>SUMIFS(Einzelbeträge!$D:$D,Einzelbeträge!$C:$C,'Ausgaben 2028'!$C21,Einzelbeträge!$E:$E,'Ausgaben 2028'!J$6)</f>
        <v>0</v>
      </c>
      <c r="K21" s="21">
        <f>SUMIFS(Einzelbeträge!$D:$D,Einzelbeträge!$C:$C,'Ausgaben 2028'!$C21,Einzelbeträge!$E:$E,'Ausgaben 2028'!K$6)</f>
        <v>0</v>
      </c>
      <c r="L21" s="21">
        <f>SUMIFS(Einzelbeträge!$D:$D,Einzelbeträge!$C:$C,'Ausgaben 2028'!$C21,Einzelbeträge!$E:$E,'Ausgaben 2028'!L$6)</f>
        <v>0</v>
      </c>
      <c r="M21" s="21">
        <f>SUMIFS(Einzelbeträge!$D:$D,Einzelbeträge!$C:$C,'Ausgaben 2028'!$C21,Einzelbeträge!$E:$E,'Ausgaben 2028'!M$6)</f>
        <v>0</v>
      </c>
      <c r="N21" s="35">
        <f>SUMIFS(Einzelbeträge!$D:$D,Einzelbeträge!$C:$C,'Ausgaben 2028'!$C21,Einzelbeträge!$E:$E,'Ausgaben 2028'!N$6)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10.04.2028 - 16.04.2028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46768</v>
      </c>
      <c r="D22" s="46">
        <f>SUMIFS(Einzelbeträge!$D:$D,Einzelbeträge!$C:$C,'Ausgaben 2028'!$C22)</f>
        <v>0</v>
      </c>
      <c r="E22" s="21">
        <f>SUMIFS(Einzelbeträge!$D:$D,Einzelbeträge!$C:$C,'Ausgaben 2028'!$C22,Einzelbeträge!$E:$E,'Ausgaben 2028'!E$6)</f>
        <v>0</v>
      </c>
      <c r="F22" s="21">
        <f>SUMIFS(Einzelbeträge!$D:$D,Einzelbeträge!$C:$C,'Ausgaben 2028'!$C22,Einzelbeträge!$E:$E,'Ausgaben 2028'!F$6)</f>
        <v>0</v>
      </c>
      <c r="G22" s="21">
        <f>SUMIFS(Einzelbeträge!$D:$D,Einzelbeträge!$C:$C,'Ausgaben 2028'!$C22,Einzelbeträge!$E:$E,'Ausgaben 2028'!G$6)</f>
        <v>0</v>
      </c>
      <c r="H22" s="21">
        <f>SUMIFS(Einzelbeträge!$D:$D,Einzelbeträge!$C:$C,'Ausgaben 2028'!$C22,Einzelbeträge!$E:$E,'Ausgaben 2028'!H$6)</f>
        <v>0</v>
      </c>
      <c r="I22" s="21">
        <f>SUMIFS(Einzelbeträge!$D:$D,Einzelbeträge!$C:$C,'Ausgaben 2028'!$C22,Einzelbeträge!$E:$E,'Ausgaben 2028'!I$6)</f>
        <v>0</v>
      </c>
      <c r="J22" s="21">
        <f>SUMIFS(Einzelbeträge!$D:$D,Einzelbeträge!$C:$C,'Ausgaben 2028'!$C22,Einzelbeträge!$E:$E,'Ausgaben 2028'!J$6)</f>
        <v>0</v>
      </c>
      <c r="K22" s="21">
        <f>SUMIFS(Einzelbeträge!$D:$D,Einzelbeträge!$C:$C,'Ausgaben 2028'!$C22,Einzelbeträge!$E:$E,'Ausgaben 2028'!K$6)</f>
        <v>0</v>
      </c>
      <c r="L22" s="21">
        <f>SUMIFS(Einzelbeträge!$D:$D,Einzelbeträge!$C:$C,'Ausgaben 2028'!$C22,Einzelbeträge!$E:$E,'Ausgaben 2028'!L$6)</f>
        <v>0</v>
      </c>
      <c r="M22" s="21">
        <f>SUMIFS(Einzelbeträge!$D:$D,Einzelbeträge!$C:$C,'Ausgaben 2028'!$C22,Einzelbeträge!$E:$E,'Ausgaben 2028'!M$6)</f>
        <v>0</v>
      </c>
      <c r="N22" s="35">
        <f>SUMIFS(Einzelbeträge!$D:$D,Einzelbeträge!$C:$C,'Ausgaben 2028'!$C22,Einzelbeträge!$E:$E,'Ausgaben 2028'!N$6)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17.04.2028 - 23.04.2028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46769</v>
      </c>
      <c r="D23" s="46">
        <f>SUMIFS(Einzelbeträge!$D:$D,Einzelbeträge!$C:$C,'Ausgaben 2028'!$C23)</f>
        <v>0</v>
      </c>
      <c r="E23" s="21">
        <f>SUMIFS(Einzelbeträge!$D:$D,Einzelbeträge!$C:$C,'Ausgaben 2028'!$C23,Einzelbeträge!$E:$E,'Ausgaben 2028'!E$6)</f>
        <v>0</v>
      </c>
      <c r="F23" s="21">
        <f>SUMIFS(Einzelbeträge!$D:$D,Einzelbeträge!$C:$C,'Ausgaben 2028'!$C23,Einzelbeträge!$E:$E,'Ausgaben 2028'!F$6)</f>
        <v>0</v>
      </c>
      <c r="G23" s="21">
        <f>SUMIFS(Einzelbeträge!$D:$D,Einzelbeträge!$C:$C,'Ausgaben 2028'!$C23,Einzelbeträge!$E:$E,'Ausgaben 2028'!G$6)</f>
        <v>0</v>
      </c>
      <c r="H23" s="21">
        <f>SUMIFS(Einzelbeträge!$D:$D,Einzelbeträge!$C:$C,'Ausgaben 2028'!$C23,Einzelbeträge!$E:$E,'Ausgaben 2028'!H$6)</f>
        <v>0</v>
      </c>
      <c r="I23" s="21">
        <f>SUMIFS(Einzelbeträge!$D:$D,Einzelbeträge!$C:$C,'Ausgaben 2028'!$C23,Einzelbeträge!$E:$E,'Ausgaben 2028'!I$6)</f>
        <v>0</v>
      </c>
      <c r="J23" s="21">
        <f>SUMIFS(Einzelbeträge!$D:$D,Einzelbeträge!$C:$C,'Ausgaben 2028'!$C23,Einzelbeträge!$E:$E,'Ausgaben 2028'!J$6)</f>
        <v>0</v>
      </c>
      <c r="K23" s="21">
        <f>SUMIFS(Einzelbeträge!$D:$D,Einzelbeträge!$C:$C,'Ausgaben 2028'!$C23,Einzelbeträge!$E:$E,'Ausgaben 2028'!K$6)</f>
        <v>0</v>
      </c>
      <c r="L23" s="21">
        <f>SUMIFS(Einzelbeträge!$D:$D,Einzelbeträge!$C:$C,'Ausgaben 2028'!$C23,Einzelbeträge!$E:$E,'Ausgaben 2028'!L$6)</f>
        <v>0</v>
      </c>
      <c r="M23" s="21">
        <f>SUMIFS(Einzelbeträge!$D:$D,Einzelbeträge!$C:$C,'Ausgaben 2028'!$C23,Einzelbeträge!$E:$E,'Ausgaben 2028'!M$6)</f>
        <v>0</v>
      </c>
      <c r="N23" s="35">
        <f>SUMIFS(Einzelbeträge!$D:$D,Einzelbeträge!$C:$C,'Ausgaben 2028'!$C23,Einzelbeträge!$E:$E,'Ausgaben 2028'!N$6)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24.04.2028 - 30.04.2028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46770</v>
      </c>
      <c r="D24" s="46">
        <f>SUMIFS(Einzelbeträge!$D:$D,Einzelbeträge!$C:$C,'Ausgaben 2028'!$C24)</f>
        <v>0</v>
      </c>
      <c r="E24" s="21">
        <f>SUMIFS(Einzelbeträge!$D:$D,Einzelbeträge!$C:$C,'Ausgaben 2028'!$C24,Einzelbeträge!$E:$E,'Ausgaben 2028'!E$6)</f>
        <v>0</v>
      </c>
      <c r="F24" s="21">
        <f>SUMIFS(Einzelbeträge!$D:$D,Einzelbeträge!$C:$C,'Ausgaben 2028'!$C24,Einzelbeträge!$E:$E,'Ausgaben 2028'!F$6)</f>
        <v>0</v>
      </c>
      <c r="G24" s="21">
        <f>SUMIFS(Einzelbeträge!$D:$D,Einzelbeträge!$C:$C,'Ausgaben 2028'!$C24,Einzelbeträge!$E:$E,'Ausgaben 2028'!G$6)</f>
        <v>0</v>
      </c>
      <c r="H24" s="21">
        <f>SUMIFS(Einzelbeträge!$D:$D,Einzelbeträge!$C:$C,'Ausgaben 2028'!$C24,Einzelbeträge!$E:$E,'Ausgaben 2028'!H$6)</f>
        <v>0</v>
      </c>
      <c r="I24" s="21">
        <f>SUMIFS(Einzelbeträge!$D:$D,Einzelbeträge!$C:$C,'Ausgaben 2028'!$C24,Einzelbeträge!$E:$E,'Ausgaben 2028'!I$6)</f>
        <v>0</v>
      </c>
      <c r="J24" s="21">
        <f>SUMIFS(Einzelbeträge!$D:$D,Einzelbeträge!$C:$C,'Ausgaben 2028'!$C24,Einzelbeträge!$E:$E,'Ausgaben 2028'!J$6)</f>
        <v>0</v>
      </c>
      <c r="K24" s="21">
        <f>SUMIFS(Einzelbeträge!$D:$D,Einzelbeträge!$C:$C,'Ausgaben 2028'!$C24,Einzelbeträge!$E:$E,'Ausgaben 2028'!K$6)</f>
        <v>0</v>
      </c>
      <c r="L24" s="21">
        <f>SUMIFS(Einzelbeträge!$D:$D,Einzelbeträge!$C:$C,'Ausgaben 2028'!$C24,Einzelbeträge!$E:$E,'Ausgaben 2028'!L$6)</f>
        <v>0</v>
      </c>
      <c r="M24" s="21">
        <f>SUMIFS(Einzelbeträge!$D:$D,Einzelbeträge!$C:$C,'Ausgaben 2028'!$C24,Einzelbeträge!$E:$E,'Ausgaben 2028'!M$6)</f>
        <v>0</v>
      </c>
      <c r="N24" s="35">
        <f>SUMIFS(Einzelbeträge!$D:$D,Einzelbeträge!$C:$C,'Ausgaben 2028'!$C24,Einzelbeträge!$E:$E,'Ausgaben 2028'!N$6)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01.05.2028 - 07.05.2028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46771</v>
      </c>
      <c r="D25" s="46">
        <f>SUMIFS(Einzelbeträge!$D:$D,Einzelbeträge!$C:$C,'Ausgaben 2028'!$C25)</f>
        <v>0</v>
      </c>
      <c r="E25" s="21">
        <f>SUMIFS(Einzelbeträge!$D:$D,Einzelbeträge!$C:$C,'Ausgaben 2028'!$C25,Einzelbeträge!$E:$E,'Ausgaben 2028'!E$6)</f>
        <v>0</v>
      </c>
      <c r="F25" s="21">
        <f>SUMIFS(Einzelbeträge!$D:$D,Einzelbeträge!$C:$C,'Ausgaben 2028'!$C25,Einzelbeträge!$E:$E,'Ausgaben 2028'!F$6)</f>
        <v>0</v>
      </c>
      <c r="G25" s="21">
        <f>SUMIFS(Einzelbeträge!$D:$D,Einzelbeträge!$C:$C,'Ausgaben 2028'!$C25,Einzelbeträge!$E:$E,'Ausgaben 2028'!G$6)</f>
        <v>0</v>
      </c>
      <c r="H25" s="21">
        <f>SUMIFS(Einzelbeträge!$D:$D,Einzelbeträge!$C:$C,'Ausgaben 2028'!$C25,Einzelbeträge!$E:$E,'Ausgaben 2028'!H$6)</f>
        <v>0</v>
      </c>
      <c r="I25" s="21">
        <f>SUMIFS(Einzelbeträge!$D:$D,Einzelbeträge!$C:$C,'Ausgaben 2028'!$C25,Einzelbeträge!$E:$E,'Ausgaben 2028'!I$6)</f>
        <v>0</v>
      </c>
      <c r="J25" s="21">
        <f>SUMIFS(Einzelbeträge!$D:$D,Einzelbeträge!$C:$C,'Ausgaben 2028'!$C25,Einzelbeträge!$E:$E,'Ausgaben 2028'!J$6)</f>
        <v>0</v>
      </c>
      <c r="K25" s="21">
        <f>SUMIFS(Einzelbeträge!$D:$D,Einzelbeträge!$C:$C,'Ausgaben 2028'!$C25,Einzelbeträge!$E:$E,'Ausgaben 2028'!K$6)</f>
        <v>0</v>
      </c>
      <c r="L25" s="21">
        <f>SUMIFS(Einzelbeträge!$D:$D,Einzelbeträge!$C:$C,'Ausgaben 2028'!$C25,Einzelbeträge!$E:$E,'Ausgaben 2028'!L$6)</f>
        <v>0</v>
      </c>
      <c r="M25" s="21">
        <f>SUMIFS(Einzelbeträge!$D:$D,Einzelbeträge!$C:$C,'Ausgaben 2028'!$C25,Einzelbeträge!$E:$E,'Ausgaben 2028'!M$6)</f>
        <v>0</v>
      </c>
      <c r="N25" s="35">
        <f>SUMIFS(Einzelbeträge!$D:$D,Einzelbeträge!$C:$C,'Ausgaben 2028'!$C25,Einzelbeträge!$E:$E,'Ausgaben 2028'!N$6)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08.05.2028 - 14.05.2028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46772</v>
      </c>
      <c r="D26" s="46">
        <f>SUMIFS(Einzelbeträge!$D:$D,Einzelbeträge!$C:$C,'Ausgaben 2028'!$C26)</f>
        <v>0</v>
      </c>
      <c r="E26" s="21">
        <f>SUMIFS(Einzelbeträge!$D:$D,Einzelbeträge!$C:$C,'Ausgaben 2028'!$C26,Einzelbeträge!$E:$E,'Ausgaben 2028'!E$6)</f>
        <v>0</v>
      </c>
      <c r="F26" s="21">
        <f>SUMIFS(Einzelbeträge!$D:$D,Einzelbeträge!$C:$C,'Ausgaben 2028'!$C26,Einzelbeträge!$E:$E,'Ausgaben 2028'!F$6)</f>
        <v>0</v>
      </c>
      <c r="G26" s="21">
        <f>SUMIFS(Einzelbeträge!$D:$D,Einzelbeträge!$C:$C,'Ausgaben 2028'!$C26,Einzelbeträge!$E:$E,'Ausgaben 2028'!G$6)</f>
        <v>0</v>
      </c>
      <c r="H26" s="21">
        <f>SUMIFS(Einzelbeträge!$D:$D,Einzelbeträge!$C:$C,'Ausgaben 2028'!$C26,Einzelbeträge!$E:$E,'Ausgaben 2028'!H$6)</f>
        <v>0</v>
      </c>
      <c r="I26" s="21">
        <f>SUMIFS(Einzelbeträge!$D:$D,Einzelbeträge!$C:$C,'Ausgaben 2028'!$C26,Einzelbeträge!$E:$E,'Ausgaben 2028'!I$6)</f>
        <v>0</v>
      </c>
      <c r="J26" s="21">
        <f>SUMIFS(Einzelbeträge!$D:$D,Einzelbeträge!$C:$C,'Ausgaben 2028'!$C26,Einzelbeträge!$E:$E,'Ausgaben 2028'!J$6)</f>
        <v>0</v>
      </c>
      <c r="K26" s="21">
        <f>SUMIFS(Einzelbeträge!$D:$D,Einzelbeträge!$C:$C,'Ausgaben 2028'!$C26,Einzelbeträge!$E:$E,'Ausgaben 2028'!K$6)</f>
        <v>0</v>
      </c>
      <c r="L26" s="21">
        <f>SUMIFS(Einzelbeträge!$D:$D,Einzelbeträge!$C:$C,'Ausgaben 2028'!$C26,Einzelbeträge!$E:$E,'Ausgaben 2028'!L$6)</f>
        <v>0</v>
      </c>
      <c r="M26" s="21">
        <f>SUMIFS(Einzelbeträge!$D:$D,Einzelbeträge!$C:$C,'Ausgaben 2028'!$C26,Einzelbeträge!$E:$E,'Ausgaben 2028'!M$6)</f>
        <v>0</v>
      </c>
      <c r="N26" s="35">
        <f>SUMIFS(Einzelbeträge!$D:$D,Einzelbeträge!$C:$C,'Ausgaben 2028'!$C26,Einzelbeträge!$E:$E,'Ausgaben 2028'!N$6)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15.05.2028 - 21.05.2028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46773</v>
      </c>
      <c r="D27" s="46">
        <f>SUMIFS(Einzelbeträge!$D:$D,Einzelbeträge!$C:$C,'Ausgaben 2028'!$C27)</f>
        <v>0</v>
      </c>
      <c r="E27" s="21">
        <f>SUMIFS(Einzelbeträge!$D:$D,Einzelbeträge!$C:$C,'Ausgaben 2028'!$C27,Einzelbeträge!$E:$E,'Ausgaben 2028'!E$6)</f>
        <v>0</v>
      </c>
      <c r="F27" s="21">
        <f>SUMIFS(Einzelbeträge!$D:$D,Einzelbeträge!$C:$C,'Ausgaben 2028'!$C27,Einzelbeträge!$E:$E,'Ausgaben 2028'!F$6)</f>
        <v>0</v>
      </c>
      <c r="G27" s="21">
        <f>SUMIFS(Einzelbeträge!$D:$D,Einzelbeträge!$C:$C,'Ausgaben 2028'!$C27,Einzelbeträge!$E:$E,'Ausgaben 2028'!G$6)</f>
        <v>0</v>
      </c>
      <c r="H27" s="21">
        <f>SUMIFS(Einzelbeträge!$D:$D,Einzelbeträge!$C:$C,'Ausgaben 2028'!$C27,Einzelbeträge!$E:$E,'Ausgaben 2028'!H$6)</f>
        <v>0</v>
      </c>
      <c r="I27" s="21">
        <f>SUMIFS(Einzelbeträge!$D:$D,Einzelbeträge!$C:$C,'Ausgaben 2028'!$C27,Einzelbeträge!$E:$E,'Ausgaben 2028'!I$6)</f>
        <v>0</v>
      </c>
      <c r="J27" s="21">
        <f>SUMIFS(Einzelbeträge!$D:$D,Einzelbeträge!$C:$C,'Ausgaben 2028'!$C27,Einzelbeträge!$E:$E,'Ausgaben 2028'!J$6)</f>
        <v>0</v>
      </c>
      <c r="K27" s="21">
        <f>SUMIFS(Einzelbeträge!$D:$D,Einzelbeträge!$C:$C,'Ausgaben 2028'!$C27,Einzelbeträge!$E:$E,'Ausgaben 2028'!K$6)</f>
        <v>0</v>
      </c>
      <c r="L27" s="21">
        <f>SUMIFS(Einzelbeträge!$D:$D,Einzelbeträge!$C:$C,'Ausgaben 2028'!$C27,Einzelbeträge!$E:$E,'Ausgaben 2028'!L$6)</f>
        <v>0</v>
      </c>
      <c r="M27" s="21">
        <f>SUMIFS(Einzelbeträge!$D:$D,Einzelbeträge!$C:$C,'Ausgaben 2028'!$C27,Einzelbeträge!$E:$E,'Ausgaben 2028'!M$6)</f>
        <v>0</v>
      </c>
      <c r="N27" s="35">
        <f>SUMIFS(Einzelbeträge!$D:$D,Einzelbeträge!$C:$C,'Ausgaben 2028'!$C27,Einzelbeträge!$E:$E,'Ausgaben 2028'!N$6)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22.05.2028 - 28.05.2028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46774</v>
      </c>
      <c r="D28" s="46">
        <f>SUMIFS(Einzelbeträge!$D:$D,Einzelbeträge!$C:$C,'Ausgaben 2028'!$C28)</f>
        <v>0</v>
      </c>
      <c r="E28" s="21">
        <f>SUMIFS(Einzelbeträge!$D:$D,Einzelbeträge!$C:$C,'Ausgaben 2028'!$C28,Einzelbeträge!$E:$E,'Ausgaben 2028'!E$6)</f>
        <v>0</v>
      </c>
      <c r="F28" s="21">
        <f>SUMIFS(Einzelbeträge!$D:$D,Einzelbeträge!$C:$C,'Ausgaben 2028'!$C28,Einzelbeträge!$E:$E,'Ausgaben 2028'!F$6)</f>
        <v>0</v>
      </c>
      <c r="G28" s="21">
        <f>SUMIFS(Einzelbeträge!$D:$D,Einzelbeträge!$C:$C,'Ausgaben 2028'!$C28,Einzelbeträge!$E:$E,'Ausgaben 2028'!G$6)</f>
        <v>0</v>
      </c>
      <c r="H28" s="21">
        <f>SUMIFS(Einzelbeträge!$D:$D,Einzelbeträge!$C:$C,'Ausgaben 2028'!$C28,Einzelbeträge!$E:$E,'Ausgaben 2028'!H$6)</f>
        <v>0</v>
      </c>
      <c r="I28" s="21">
        <f>SUMIFS(Einzelbeträge!$D:$D,Einzelbeträge!$C:$C,'Ausgaben 2028'!$C28,Einzelbeträge!$E:$E,'Ausgaben 2028'!I$6)</f>
        <v>0</v>
      </c>
      <c r="J28" s="21">
        <f>SUMIFS(Einzelbeträge!$D:$D,Einzelbeträge!$C:$C,'Ausgaben 2028'!$C28,Einzelbeträge!$E:$E,'Ausgaben 2028'!J$6)</f>
        <v>0</v>
      </c>
      <c r="K28" s="21">
        <f>SUMIFS(Einzelbeträge!$D:$D,Einzelbeträge!$C:$C,'Ausgaben 2028'!$C28,Einzelbeträge!$E:$E,'Ausgaben 2028'!K$6)</f>
        <v>0</v>
      </c>
      <c r="L28" s="21">
        <f>SUMIFS(Einzelbeträge!$D:$D,Einzelbeträge!$C:$C,'Ausgaben 2028'!$C28,Einzelbeträge!$E:$E,'Ausgaben 2028'!L$6)</f>
        <v>0</v>
      </c>
      <c r="M28" s="21">
        <f>SUMIFS(Einzelbeträge!$D:$D,Einzelbeträge!$C:$C,'Ausgaben 2028'!$C28,Einzelbeträge!$E:$E,'Ausgaben 2028'!M$6)</f>
        <v>0</v>
      </c>
      <c r="N28" s="35">
        <f>SUMIFS(Einzelbeträge!$D:$D,Einzelbeträge!$C:$C,'Ausgaben 2028'!$C28,Einzelbeträge!$E:$E,'Ausgaben 2028'!N$6)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29.05.2028 - 04.06.2028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46775</v>
      </c>
      <c r="D29" s="46">
        <f>SUMIFS(Einzelbeträge!$D:$D,Einzelbeträge!$C:$C,'Ausgaben 2028'!$C29)</f>
        <v>0</v>
      </c>
      <c r="E29" s="21">
        <f>SUMIFS(Einzelbeträge!$D:$D,Einzelbeträge!$C:$C,'Ausgaben 2028'!$C29,Einzelbeträge!$E:$E,'Ausgaben 2028'!E$6)</f>
        <v>0</v>
      </c>
      <c r="F29" s="21">
        <f>SUMIFS(Einzelbeträge!$D:$D,Einzelbeträge!$C:$C,'Ausgaben 2028'!$C29,Einzelbeträge!$E:$E,'Ausgaben 2028'!F$6)</f>
        <v>0</v>
      </c>
      <c r="G29" s="21">
        <f>SUMIFS(Einzelbeträge!$D:$D,Einzelbeträge!$C:$C,'Ausgaben 2028'!$C29,Einzelbeträge!$E:$E,'Ausgaben 2028'!G$6)</f>
        <v>0</v>
      </c>
      <c r="H29" s="21">
        <f>SUMIFS(Einzelbeträge!$D:$D,Einzelbeträge!$C:$C,'Ausgaben 2028'!$C29,Einzelbeträge!$E:$E,'Ausgaben 2028'!H$6)</f>
        <v>0</v>
      </c>
      <c r="I29" s="21">
        <f>SUMIFS(Einzelbeträge!$D:$D,Einzelbeträge!$C:$C,'Ausgaben 2028'!$C29,Einzelbeträge!$E:$E,'Ausgaben 2028'!I$6)</f>
        <v>0</v>
      </c>
      <c r="J29" s="21">
        <f>SUMIFS(Einzelbeträge!$D:$D,Einzelbeträge!$C:$C,'Ausgaben 2028'!$C29,Einzelbeträge!$E:$E,'Ausgaben 2028'!J$6)</f>
        <v>0</v>
      </c>
      <c r="K29" s="21">
        <f>SUMIFS(Einzelbeträge!$D:$D,Einzelbeträge!$C:$C,'Ausgaben 2028'!$C29,Einzelbeträge!$E:$E,'Ausgaben 2028'!K$6)</f>
        <v>0</v>
      </c>
      <c r="L29" s="21">
        <f>SUMIFS(Einzelbeträge!$D:$D,Einzelbeträge!$C:$C,'Ausgaben 2028'!$C29,Einzelbeträge!$E:$E,'Ausgaben 2028'!L$6)</f>
        <v>0</v>
      </c>
      <c r="M29" s="21">
        <f>SUMIFS(Einzelbeträge!$D:$D,Einzelbeträge!$C:$C,'Ausgaben 2028'!$C29,Einzelbeträge!$E:$E,'Ausgaben 2028'!M$6)</f>
        <v>0</v>
      </c>
      <c r="N29" s="35">
        <f>SUMIFS(Einzelbeträge!$D:$D,Einzelbeträge!$C:$C,'Ausgaben 2028'!$C29,Einzelbeträge!$E:$E,'Ausgaben 2028'!N$6)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05.06.2028 - 11.06.2028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46776</v>
      </c>
      <c r="D30" s="46">
        <f>SUMIFS(Einzelbeträge!$D:$D,Einzelbeträge!$C:$C,'Ausgaben 2028'!$C30)</f>
        <v>0</v>
      </c>
      <c r="E30" s="21">
        <f>SUMIFS(Einzelbeträge!$D:$D,Einzelbeträge!$C:$C,'Ausgaben 2028'!$C30,Einzelbeträge!$E:$E,'Ausgaben 2028'!E$6)</f>
        <v>0</v>
      </c>
      <c r="F30" s="21">
        <f>SUMIFS(Einzelbeträge!$D:$D,Einzelbeträge!$C:$C,'Ausgaben 2028'!$C30,Einzelbeträge!$E:$E,'Ausgaben 2028'!F$6)</f>
        <v>0</v>
      </c>
      <c r="G30" s="21">
        <f>SUMIFS(Einzelbeträge!$D:$D,Einzelbeträge!$C:$C,'Ausgaben 2028'!$C30,Einzelbeträge!$E:$E,'Ausgaben 2028'!G$6)</f>
        <v>0</v>
      </c>
      <c r="H30" s="21">
        <f>SUMIFS(Einzelbeträge!$D:$D,Einzelbeträge!$C:$C,'Ausgaben 2028'!$C30,Einzelbeträge!$E:$E,'Ausgaben 2028'!H$6)</f>
        <v>0</v>
      </c>
      <c r="I30" s="21">
        <f>SUMIFS(Einzelbeträge!$D:$D,Einzelbeträge!$C:$C,'Ausgaben 2028'!$C30,Einzelbeträge!$E:$E,'Ausgaben 2028'!I$6)</f>
        <v>0</v>
      </c>
      <c r="J30" s="21">
        <f>SUMIFS(Einzelbeträge!$D:$D,Einzelbeträge!$C:$C,'Ausgaben 2028'!$C30,Einzelbeträge!$E:$E,'Ausgaben 2028'!J$6)</f>
        <v>0</v>
      </c>
      <c r="K30" s="21">
        <f>SUMIFS(Einzelbeträge!$D:$D,Einzelbeträge!$C:$C,'Ausgaben 2028'!$C30,Einzelbeträge!$E:$E,'Ausgaben 2028'!K$6)</f>
        <v>0</v>
      </c>
      <c r="L30" s="21">
        <f>SUMIFS(Einzelbeträge!$D:$D,Einzelbeträge!$C:$C,'Ausgaben 2028'!$C30,Einzelbeträge!$E:$E,'Ausgaben 2028'!L$6)</f>
        <v>0</v>
      </c>
      <c r="M30" s="21">
        <f>SUMIFS(Einzelbeträge!$D:$D,Einzelbeträge!$C:$C,'Ausgaben 2028'!$C30,Einzelbeträge!$E:$E,'Ausgaben 2028'!M$6)</f>
        <v>0</v>
      </c>
      <c r="N30" s="35">
        <f>SUMIFS(Einzelbeträge!$D:$D,Einzelbeträge!$C:$C,'Ausgaben 2028'!$C30,Einzelbeträge!$E:$E,'Ausgaben 2028'!N$6)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12.06.2028 - 18.06.2028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46777</v>
      </c>
      <c r="D31" s="46">
        <f>SUMIFS(Einzelbeträge!$D:$D,Einzelbeträge!$C:$C,'Ausgaben 2028'!$C31)</f>
        <v>0</v>
      </c>
      <c r="E31" s="21">
        <f>SUMIFS(Einzelbeträge!$D:$D,Einzelbeträge!$C:$C,'Ausgaben 2028'!$C31,Einzelbeträge!$E:$E,'Ausgaben 2028'!E$6)</f>
        <v>0</v>
      </c>
      <c r="F31" s="21">
        <f>SUMIFS(Einzelbeträge!$D:$D,Einzelbeträge!$C:$C,'Ausgaben 2028'!$C31,Einzelbeträge!$E:$E,'Ausgaben 2028'!F$6)</f>
        <v>0</v>
      </c>
      <c r="G31" s="21">
        <f>SUMIFS(Einzelbeträge!$D:$D,Einzelbeträge!$C:$C,'Ausgaben 2028'!$C31,Einzelbeträge!$E:$E,'Ausgaben 2028'!G$6)</f>
        <v>0</v>
      </c>
      <c r="H31" s="21">
        <f>SUMIFS(Einzelbeträge!$D:$D,Einzelbeträge!$C:$C,'Ausgaben 2028'!$C31,Einzelbeträge!$E:$E,'Ausgaben 2028'!H$6)</f>
        <v>0</v>
      </c>
      <c r="I31" s="21">
        <f>SUMIFS(Einzelbeträge!$D:$D,Einzelbeträge!$C:$C,'Ausgaben 2028'!$C31,Einzelbeträge!$E:$E,'Ausgaben 2028'!I$6)</f>
        <v>0</v>
      </c>
      <c r="J31" s="21">
        <f>SUMIFS(Einzelbeträge!$D:$D,Einzelbeträge!$C:$C,'Ausgaben 2028'!$C31,Einzelbeträge!$E:$E,'Ausgaben 2028'!J$6)</f>
        <v>0</v>
      </c>
      <c r="K31" s="21">
        <f>SUMIFS(Einzelbeträge!$D:$D,Einzelbeträge!$C:$C,'Ausgaben 2028'!$C31,Einzelbeträge!$E:$E,'Ausgaben 2028'!K$6)</f>
        <v>0</v>
      </c>
      <c r="L31" s="21">
        <f>SUMIFS(Einzelbeträge!$D:$D,Einzelbeträge!$C:$C,'Ausgaben 2028'!$C31,Einzelbeträge!$E:$E,'Ausgaben 2028'!L$6)</f>
        <v>0</v>
      </c>
      <c r="M31" s="21">
        <f>SUMIFS(Einzelbeträge!$D:$D,Einzelbeträge!$C:$C,'Ausgaben 2028'!$C31,Einzelbeträge!$E:$E,'Ausgaben 2028'!M$6)</f>
        <v>0</v>
      </c>
      <c r="N31" s="35">
        <f>SUMIFS(Einzelbeträge!$D:$D,Einzelbeträge!$C:$C,'Ausgaben 2028'!$C31,Einzelbeträge!$E:$E,'Ausgaben 2028'!N$6)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19.06.2028 - 25.06.2028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46778</v>
      </c>
      <c r="D32" s="46">
        <f>SUMIFS(Einzelbeträge!$D:$D,Einzelbeträge!$C:$C,'Ausgaben 2028'!$C32)</f>
        <v>0</v>
      </c>
      <c r="E32" s="21">
        <f>SUMIFS(Einzelbeträge!$D:$D,Einzelbeträge!$C:$C,'Ausgaben 2028'!$C32,Einzelbeträge!$E:$E,'Ausgaben 2028'!E$6)</f>
        <v>0</v>
      </c>
      <c r="F32" s="21">
        <f>SUMIFS(Einzelbeträge!$D:$D,Einzelbeträge!$C:$C,'Ausgaben 2028'!$C32,Einzelbeträge!$E:$E,'Ausgaben 2028'!F$6)</f>
        <v>0</v>
      </c>
      <c r="G32" s="21">
        <f>SUMIFS(Einzelbeträge!$D:$D,Einzelbeträge!$C:$C,'Ausgaben 2028'!$C32,Einzelbeträge!$E:$E,'Ausgaben 2028'!G$6)</f>
        <v>0</v>
      </c>
      <c r="H32" s="21">
        <f>SUMIFS(Einzelbeträge!$D:$D,Einzelbeträge!$C:$C,'Ausgaben 2028'!$C32,Einzelbeträge!$E:$E,'Ausgaben 2028'!H$6)</f>
        <v>0</v>
      </c>
      <c r="I32" s="21">
        <f>SUMIFS(Einzelbeträge!$D:$D,Einzelbeträge!$C:$C,'Ausgaben 2028'!$C32,Einzelbeträge!$E:$E,'Ausgaben 2028'!I$6)</f>
        <v>0</v>
      </c>
      <c r="J32" s="21">
        <f>SUMIFS(Einzelbeträge!$D:$D,Einzelbeträge!$C:$C,'Ausgaben 2028'!$C32,Einzelbeträge!$E:$E,'Ausgaben 2028'!J$6)</f>
        <v>0</v>
      </c>
      <c r="K32" s="21">
        <f>SUMIFS(Einzelbeträge!$D:$D,Einzelbeträge!$C:$C,'Ausgaben 2028'!$C32,Einzelbeträge!$E:$E,'Ausgaben 2028'!K$6)</f>
        <v>0</v>
      </c>
      <c r="L32" s="21">
        <f>SUMIFS(Einzelbeträge!$D:$D,Einzelbeträge!$C:$C,'Ausgaben 2028'!$C32,Einzelbeträge!$E:$E,'Ausgaben 2028'!L$6)</f>
        <v>0</v>
      </c>
      <c r="M32" s="21">
        <f>SUMIFS(Einzelbeträge!$D:$D,Einzelbeträge!$C:$C,'Ausgaben 2028'!$C32,Einzelbeträge!$E:$E,'Ausgaben 2028'!M$6)</f>
        <v>0</v>
      </c>
      <c r="N32" s="35">
        <f>SUMIFS(Einzelbeträge!$D:$D,Einzelbeträge!$C:$C,'Ausgaben 2028'!$C32,Einzelbeträge!$E:$E,'Ausgaben 2028'!N$6)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26.06.2028 - 02.07.2028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46779</v>
      </c>
      <c r="D33" s="46">
        <f>SUMIFS(Einzelbeträge!$D:$D,Einzelbeträge!$C:$C,'Ausgaben 2028'!$C33)</f>
        <v>0</v>
      </c>
      <c r="E33" s="21">
        <f>SUMIFS(Einzelbeträge!$D:$D,Einzelbeträge!$C:$C,'Ausgaben 2028'!$C33,Einzelbeträge!$E:$E,'Ausgaben 2028'!E$6)</f>
        <v>0</v>
      </c>
      <c r="F33" s="21">
        <f>SUMIFS(Einzelbeträge!$D:$D,Einzelbeträge!$C:$C,'Ausgaben 2028'!$C33,Einzelbeträge!$E:$E,'Ausgaben 2028'!F$6)</f>
        <v>0</v>
      </c>
      <c r="G33" s="21">
        <f>SUMIFS(Einzelbeträge!$D:$D,Einzelbeträge!$C:$C,'Ausgaben 2028'!$C33,Einzelbeträge!$E:$E,'Ausgaben 2028'!G$6)</f>
        <v>0</v>
      </c>
      <c r="H33" s="21">
        <f>SUMIFS(Einzelbeträge!$D:$D,Einzelbeträge!$C:$C,'Ausgaben 2028'!$C33,Einzelbeträge!$E:$E,'Ausgaben 2028'!H$6)</f>
        <v>0</v>
      </c>
      <c r="I33" s="21">
        <f>SUMIFS(Einzelbeträge!$D:$D,Einzelbeträge!$C:$C,'Ausgaben 2028'!$C33,Einzelbeträge!$E:$E,'Ausgaben 2028'!I$6)</f>
        <v>0</v>
      </c>
      <c r="J33" s="21">
        <f>SUMIFS(Einzelbeträge!$D:$D,Einzelbeträge!$C:$C,'Ausgaben 2028'!$C33,Einzelbeträge!$E:$E,'Ausgaben 2028'!J$6)</f>
        <v>0</v>
      </c>
      <c r="K33" s="21">
        <f>SUMIFS(Einzelbeträge!$D:$D,Einzelbeträge!$C:$C,'Ausgaben 2028'!$C33,Einzelbeträge!$E:$E,'Ausgaben 2028'!K$6)</f>
        <v>0</v>
      </c>
      <c r="L33" s="21">
        <f>SUMIFS(Einzelbeträge!$D:$D,Einzelbeträge!$C:$C,'Ausgaben 2028'!$C33,Einzelbeträge!$E:$E,'Ausgaben 2028'!L$6)</f>
        <v>0</v>
      </c>
      <c r="M33" s="21">
        <f>SUMIFS(Einzelbeträge!$D:$D,Einzelbeträge!$C:$C,'Ausgaben 2028'!$C33,Einzelbeträge!$E:$E,'Ausgaben 2028'!M$6)</f>
        <v>0</v>
      </c>
      <c r="N33" s="35">
        <f>SUMIFS(Einzelbeträge!$D:$D,Einzelbeträge!$C:$C,'Ausgaben 2028'!$C33,Einzelbeträge!$E:$E,'Ausgaben 2028'!N$6)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03.07.2028 - 09.07.2028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46780</v>
      </c>
      <c r="D34" s="46">
        <f>SUMIFS(Einzelbeträge!$D:$D,Einzelbeträge!$C:$C,'Ausgaben 2028'!$C34)</f>
        <v>0</v>
      </c>
      <c r="E34" s="21">
        <f>SUMIFS(Einzelbeträge!$D:$D,Einzelbeträge!$C:$C,'Ausgaben 2028'!$C34,Einzelbeträge!$E:$E,'Ausgaben 2028'!E$6)</f>
        <v>0</v>
      </c>
      <c r="F34" s="21">
        <f>SUMIFS(Einzelbeträge!$D:$D,Einzelbeträge!$C:$C,'Ausgaben 2028'!$C34,Einzelbeträge!$E:$E,'Ausgaben 2028'!F$6)</f>
        <v>0</v>
      </c>
      <c r="G34" s="21">
        <f>SUMIFS(Einzelbeträge!$D:$D,Einzelbeträge!$C:$C,'Ausgaben 2028'!$C34,Einzelbeträge!$E:$E,'Ausgaben 2028'!G$6)</f>
        <v>0</v>
      </c>
      <c r="H34" s="21">
        <f>SUMIFS(Einzelbeträge!$D:$D,Einzelbeträge!$C:$C,'Ausgaben 2028'!$C34,Einzelbeträge!$E:$E,'Ausgaben 2028'!H$6)</f>
        <v>0</v>
      </c>
      <c r="I34" s="21">
        <f>SUMIFS(Einzelbeträge!$D:$D,Einzelbeträge!$C:$C,'Ausgaben 2028'!$C34,Einzelbeträge!$E:$E,'Ausgaben 2028'!I$6)</f>
        <v>0</v>
      </c>
      <c r="J34" s="21">
        <f>SUMIFS(Einzelbeträge!$D:$D,Einzelbeträge!$C:$C,'Ausgaben 2028'!$C34,Einzelbeträge!$E:$E,'Ausgaben 2028'!J$6)</f>
        <v>0</v>
      </c>
      <c r="K34" s="21">
        <f>SUMIFS(Einzelbeträge!$D:$D,Einzelbeträge!$C:$C,'Ausgaben 2028'!$C34,Einzelbeträge!$E:$E,'Ausgaben 2028'!K$6)</f>
        <v>0</v>
      </c>
      <c r="L34" s="21">
        <f>SUMIFS(Einzelbeträge!$D:$D,Einzelbeträge!$C:$C,'Ausgaben 2028'!$C34,Einzelbeträge!$E:$E,'Ausgaben 2028'!L$6)</f>
        <v>0</v>
      </c>
      <c r="M34" s="21">
        <f>SUMIFS(Einzelbeträge!$D:$D,Einzelbeträge!$C:$C,'Ausgaben 2028'!$C34,Einzelbeträge!$E:$E,'Ausgaben 2028'!M$6)</f>
        <v>0</v>
      </c>
      <c r="N34" s="35">
        <f>SUMIFS(Einzelbeträge!$D:$D,Einzelbeträge!$C:$C,'Ausgaben 2028'!$C34,Einzelbeträge!$E:$E,'Ausgaben 2028'!N$6)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10.07.2028 - 16.07.2028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46781</v>
      </c>
      <c r="D35" s="46">
        <f>SUMIFS(Einzelbeträge!$D:$D,Einzelbeträge!$C:$C,'Ausgaben 2028'!$C35)</f>
        <v>0</v>
      </c>
      <c r="E35" s="21">
        <f>SUMIFS(Einzelbeträge!$D:$D,Einzelbeträge!$C:$C,'Ausgaben 2028'!$C35,Einzelbeträge!$E:$E,'Ausgaben 2028'!E$6)</f>
        <v>0</v>
      </c>
      <c r="F35" s="21">
        <f>SUMIFS(Einzelbeträge!$D:$D,Einzelbeträge!$C:$C,'Ausgaben 2028'!$C35,Einzelbeträge!$E:$E,'Ausgaben 2028'!F$6)</f>
        <v>0</v>
      </c>
      <c r="G35" s="21">
        <f>SUMIFS(Einzelbeträge!$D:$D,Einzelbeträge!$C:$C,'Ausgaben 2028'!$C35,Einzelbeträge!$E:$E,'Ausgaben 2028'!G$6)</f>
        <v>0</v>
      </c>
      <c r="H35" s="21">
        <f>SUMIFS(Einzelbeträge!$D:$D,Einzelbeträge!$C:$C,'Ausgaben 2028'!$C35,Einzelbeträge!$E:$E,'Ausgaben 2028'!H$6)</f>
        <v>0</v>
      </c>
      <c r="I35" s="21">
        <f>SUMIFS(Einzelbeträge!$D:$D,Einzelbeträge!$C:$C,'Ausgaben 2028'!$C35,Einzelbeträge!$E:$E,'Ausgaben 2028'!I$6)</f>
        <v>0</v>
      </c>
      <c r="J35" s="21">
        <f>SUMIFS(Einzelbeträge!$D:$D,Einzelbeträge!$C:$C,'Ausgaben 2028'!$C35,Einzelbeträge!$E:$E,'Ausgaben 2028'!J$6)</f>
        <v>0</v>
      </c>
      <c r="K35" s="21">
        <f>SUMIFS(Einzelbeträge!$D:$D,Einzelbeträge!$C:$C,'Ausgaben 2028'!$C35,Einzelbeträge!$E:$E,'Ausgaben 2028'!K$6)</f>
        <v>0</v>
      </c>
      <c r="L35" s="21">
        <f>SUMIFS(Einzelbeträge!$D:$D,Einzelbeträge!$C:$C,'Ausgaben 2028'!$C35,Einzelbeträge!$E:$E,'Ausgaben 2028'!L$6)</f>
        <v>0</v>
      </c>
      <c r="M35" s="21">
        <f>SUMIFS(Einzelbeträge!$D:$D,Einzelbeträge!$C:$C,'Ausgaben 2028'!$C35,Einzelbeträge!$E:$E,'Ausgaben 2028'!M$6)</f>
        <v>0</v>
      </c>
      <c r="N35" s="35">
        <f>SUMIFS(Einzelbeträge!$D:$D,Einzelbeträge!$C:$C,'Ausgaben 2028'!$C35,Einzelbeträge!$E:$E,'Ausgaben 2028'!N$6)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17.07.2028 - 23.07.2028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46782</v>
      </c>
      <c r="D36" s="46">
        <f>SUMIFS(Einzelbeträge!$D:$D,Einzelbeträge!$C:$C,'Ausgaben 2028'!$C36)</f>
        <v>0</v>
      </c>
      <c r="E36" s="21">
        <f>SUMIFS(Einzelbeträge!$D:$D,Einzelbeträge!$C:$C,'Ausgaben 2028'!$C36,Einzelbeträge!$E:$E,'Ausgaben 2028'!E$6)</f>
        <v>0</v>
      </c>
      <c r="F36" s="21">
        <f>SUMIFS(Einzelbeträge!$D:$D,Einzelbeträge!$C:$C,'Ausgaben 2028'!$C36,Einzelbeträge!$E:$E,'Ausgaben 2028'!F$6)</f>
        <v>0</v>
      </c>
      <c r="G36" s="21">
        <f>SUMIFS(Einzelbeträge!$D:$D,Einzelbeträge!$C:$C,'Ausgaben 2028'!$C36,Einzelbeträge!$E:$E,'Ausgaben 2028'!G$6)</f>
        <v>0</v>
      </c>
      <c r="H36" s="21">
        <f>SUMIFS(Einzelbeträge!$D:$D,Einzelbeträge!$C:$C,'Ausgaben 2028'!$C36,Einzelbeträge!$E:$E,'Ausgaben 2028'!H$6)</f>
        <v>0</v>
      </c>
      <c r="I36" s="21">
        <f>SUMIFS(Einzelbeträge!$D:$D,Einzelbeträge!$C:$C,'Ausgaben 2028'!$C36,Einzelbeträge!$E:$E,'Ausgaben 2028'!I$6)</f>
        <v>0</v>
      </c>
      <c r="J36" s="21">
        <f>SUMIFS(Einzelbeträge!$D:$D,Einzelbeträge!$C:$C,'Ausgaben 2028'!$C36,Einzelbeträge!$E:$E,'Ausgaben 2028'!J$6)</f>
        <v>0</v>
      </c>
      <c r="K36" s="21">
        <f>SUMIFS(Einzelbeträge!$D:$D,Einzelbeträge!$C:$C,'Ausgaben 2028'!$C36,Einzelbeträge!$E:$E,'Ausgaben 2028'!K$6)</f>
        <v>0</v>
      </c>
      <c r="L36" s="21">
        <f>SUMIFS(Einzelbeträge!$D:$D,Einzelbeträge!$C:$C,'Ausgaben 2028'!$C36,Einzelbeträge!$E:$E,'Ausgaben 2028'!L$6)</f>
        <v>0</v>
      </c>
      <c r="M36" s="21">
        <f>SUMIFS(Einzelbeträge!$D:$D,Einzelbeträge!$C:$C,'Ausgaben 2028'!$C36,Einzelbeträge!$E:$E,'Ausgaben 2028'!M$6)</f>
        <v>0</v>
      </c>
      <c r="N36" s="35">
        <f>SUMIFS(Einzelbeträge!$D:$D,Einzelbeträge!$C:$C,'Ausgaben 2028'!$C36,Einzelbeträge!$E:$E,'Ausgaben 2028'!N$6)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24.07.2028 - 30.07.2028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46783</v>
      </c>
      <c r="D37" s="47">
        <f>SUMIFS(Einzelbeträge!$D:$D,Einzelbeträge!$C:$C,'Ausgaben 2028'!$C37)</f>
        <v>0</v>
      </c>
      <c r="E37" s="37">
        <f>SUMIFS(Einzelbeträge!$D:$D,Einzelbeträge!$C:$C,'Ausgaben 2028'!$C37,Einzelbeträge!$E:$E,'Ausgaben 2028'!E$6)</f>
        <v>0</v>
      </c>
      <c r="F37" s="37">
        <f>SUMIFS(Einzelbeträge!$D:$D,Einzelbeträge!$C:$C,'Ausgaben 2028'!$C37,Einzelbeträge!$E:$E,'Ausgaben 2028'!F$6)</f>
        <v>0</v>
      </c>
      <c r="G37" s="37">
        <f>SUMIFS(Einzelbeträge!$D:$D,Einzelbeträge!$C:$C,'Ausgaben 2028'!$C37,Einzelbeträge!$E:$E,'Ausgaben 2028'!G$6)</f>
        <v>0</v>
      </c>
      <c r="H37" s="37">
        <f>SUMIFS(Einzelbeträge!$D:$D,Einzelbeträge!$C:$C,'Ausgaben 2028'!$C37,Einzelbeträge!$E:$E,'Ausgaben 2028'!H$6)</f>
        <v>0</v>
      </c>
      <c r="I37" s="37">
        <f>SUMIFS(Einzelbeträge!$D:$D,Einzelbeträge!$C:$C,'Ausgaben 2028'!$C37,Einzelbeträge!$E:$E,'Ausgaben 2028'!I$6)</f>
        <v>0</v>
      </c>
      <c r="J37" s="37">
        <f>SUMIFS(Einzelbeträge!$D:$D,Einzelbeträge!$C:$C,'Ausgaben 2028'!$C37,Einzelbeträge!$E:$E,'Ausgaben 2028'!J$6)</f>
        <v>0</v>
      </c>
      <c r="K37" s="37">
        <f>SUMIFS(Einzelbeträge!$D:$D,Einzelbeträge!$C:$C,'Ausgaben 2028'!$C37,Einzelbeträge!$E:$E,'Ausgaben 2028'!K$6)</f>
        <v>0</v>
      </c>
      <c r="L37" s="37">
        <f>SUMIFS(Einzelbeträge!$D:$D,Einzelbeträge!$C:$C,'Ausgaben 2028'!$C37,Einzelbeträge!$E:$E,'Ausgaben 2028'!L$6)</f>
        <v>0</v>
      </c>
      <c r="M37" s="37">
        <f>SUMIFS(Einzelbeträge!$D:$D,Einzelbeträge!$C:$C,'Ausgaben 2028'!$C37,Einzelbeträge!$E:$E,'Ausgaben 2028'!M$6)</f>
        <v>0</v>
      </c>
      <c r="N37" s="38">
        <f>SUMIFS(Einzelbeträge!$D:$D,Einzelbeträge!$C:$C,'Ausgaben 2028'!$C37,Einzelbeträge!$E:$E,'Ausgaben 2028'!N$6)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31.07.2028 - 06.08.2028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07.08.2028 - 13.08.2028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14.08.2028 - 20.08.2028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21.08.2028 - 27.08.2028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46784</v>
      </c>
      <c r="D41" s="45">
        <f>SUMIFS(Einzelbeträge!$D:$D,Einzelbeträge!$C:$C,'Ausgaben 2028'!$C41)</f>
        <v>0</v>
      </c>
      <c r="E41" s="88">
        <f>SUMIFS(Einzelbeträge!$D:$D,Einzelbeträge!$C:$C,'Ausgaben 2028'!$C41,Einzelbeträge!$E:$E,'Ausgaben 2028'!E$6)</f>
        <v>0</v>
      </c>
      <c r="F41" s="32">
        <f>SUMIFS(Einzelbeträge!$D:$D,Einzelbeträge!$C:$C,'Ausgaben 2028'!$C41,Einzelbeträge!$E:$E,'Ausgaben 2028'!F$6)</f>
        <v>0</v>
      </c>
      <c r="G41" s="32">
        <f>SUMIFS(Einzelbeträge!$D:$D,Einzelbeträge!$C:$C,'Ausgaben 2028'!$C41,Einzelbeträge!$E:$E,'Ausgaben 2028'!G$6)</f>
        <v>0</v>
      </c>
      <c r="H41" s="32">
        <f>SUMIFS(Einzelbeträge!$D:$D,Einzelbeträge!$C:$C,'Ausgaben 2028'!$C41,Einzelbeträge!$E:$E,'Ausgaben 2028'!H$6)</f>
        <v>0</v>
      </c>
      <c r="I41" s="32">
        <f>SUMIFS(Einzelbeträge!$D:$D,Einzelbeträge!$C:$C,'Ausgaben 2028'!$C41,Einzelbeträge!$E:$E,'Ausgaben 2028'!I$6)</f>
        <v>0</v>
      </c>
      <c r="J41" s="32">
        <f>SUMIFS(Einzelbeträge!$D:$D,Einzelbeträge!$C:$C,'Ausgaben 2028'!$C41,Einzelbeträge!$E:$E,'Ausgaben 2028'!J$6)</f>
        <v>0</v>
      </c>
      <c r="K41" s="32">
        <f>SUMIFS(Einzelbeträge!$D:$D,Einzelbeträge!$C:$C,'Ausgaben 2028'!$C41,Einzelbeträge!$E:$E,'Ausgaben 2028'!K$6)</f>
        <v>0</v>
      </c>
      <c r="L41" s="32">
        <f>SUMIFS(Einzelbeträge!$D:$D,Einzelbeträge!$C:$C,'Ausgaben 2028'!$C41,Einzelbeträge!$E:$E,'Ausgaben 2028'!L$6)</f>
        <v>0</v>
      </c>
      <c r="M41" s="32">
        <f>SUMIFS(Einzelbeträge!$D:$D,Einzelbeträge!$C:$C,'Ausgaben 2028'!$C41,Einzelbeträge!$E:$E,'Ausgaben 2028'!M$6)</f>
        <v>0</v>
      </c>
      <c r="N41" s="33">
        <f>SUMIFS(Einzelbeträge!$D:$D,Einzelbeträge!$C:$C,'Ausgaben 2028'!$C41,Einzelbeträge!$E:$E,'Ausgaben 2028'!N$6)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28.08.2028 - 03.09.2028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46785</v>
      </c>
      <c r="D42" s="46">
        <f>SUMIFS(Einzelbeträge!$D:$D,Einzelbeträge!$C:$C,'Ausgaben 2028'!$C42)</f>
        <v>0</v>
      </c>
      <c r="E42" s="34">
        <f>SUMIFS(Einzelbeträge!$D:$D,Einzelbeträge!$C:$C,'Ausgaben 2028'!$C42,Einzelbeträge!$E:$E,'Ausgaben 2028'!E$6)</f>
        <v>0</v>
      </c>
      <c r="F42" s="21">
        <f>SUMIFS(Einzelbeträge!$D:$D,Einzelbeträge!$C:$C,'Ausgaben 2028'!$C42,Einzelbeträge!$E:$E,'Ausgaben 2028'!F$6)</f>
        <v>0</v>
      </c>
      <c r="G42" s="21">
        <f>SUMIFS(Einzelbeträge!$D:$D,Einzelbeträge!$C:$C,'Ausgaben 2028'!$C42,Einzelbeträge!$E:$E,'Ausgaben 2028'!G$6)</f>
        <v>0</v>
      </c>
      <c r="H42" s="21">
        <f>SUMIFS(Einzelbeträge!$D:$D,Einzelbeträge!$C:$C,'Ausgaben 2028'!$C42,Einzelbeträge!$E:$E,'Ausgaben 2028'!H$6)</f>
        <v>0</v>
      </c>
      <c r="I42" s="21">
        <f>SUMIFS(Einzelbeträge!$D:$D,Einzelbeträge!$C:$C,'Ausgaben 2028'!$C42,Einzelbeträge!$E:$E,'Ausgaben 2028'!I$6)</f>
        <v>0</v>
      </c>
      <c r="J42" s="21">
        <f>SUMIFS(Einzelbeträge!$D:$D,Einzelbeträge!$C:$C,'Ausgaben 2028'!$C42,Einzelbeträge!$E:$E,'Ausgaben 2028'!J$6)</f>
        <v>0</v>
      </c>
      <c r="K42" s="21">
        <f>SUMIFS(Einzelbeträge!$D:$D,Einzelbeträge!$C:$C,'Ausgaben 2028'!$C42,Einzelbeträge!$E:$E,'Ausgaben 2028'!K$6)</f>
        <v>0</v>
      </c>
      <c r="L42" s="21">
        <f>SUMIFS(Einzelbeträge!$D:$D,Einzelbeträge!$C:$C,'Ausgaben 2028'!$C42,Einzelbeträge!$E:$E,'Ausgaben 2028'!L$6)</f>
        <v>0</v>
      </c>
      <c r="M42" s="21">
        <f>SUMIFS(Einzelbeträge!$D:$D,Einzelbeträge!$C:$C,'Ausgaben 2028'!$C42,Einzelbeträge!$E:$E,'Ausgaben 2028'!M$6)</f>
        <v>0</v>
      </c>
      <c r="N42" s="35">
        <f>SUMIFS(Einzelbeträge!$D:$D,Einzelbeträge!$C:$C,'Ausgaben 2028'!$C42,Einzelbeträge!$E:$E,'Ausgaben 2028'!N$6)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04.09.2028 - 10.09.2028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46786</v>
      </c>
      <c r="D43" s="46">
        <f>SUMIFS(Einzelbeträge!$D:$D,Einzelbeträge!$C:$C,'Ausgaben 2028'!$C43)</f>
        <v>0</v>
      </c>
      <c r="E43" s="34">
        <f>SUMIFS(Einzelbeträge!$D:$D,Einzelbeträge!$C:$C,'Ausgaben 2028'!$C43,Einzelbeträge!$E:$E,'Ausgaben 2028'!E$6)</f>
        <v>0</v>
      </c>
      <c r="F43" s="21">
        <f>SUMIFS(Einzelbeträge!$D:$D,Einzelbeträge!$C:$C,'Ausgaben 2028'!$C43,Einzelbeträge!$E:$E,'Ausgaben 2028'!F$6)</f>
        <v>0</v>
      </c>
      <c r="G43" s="21">
        <f>SUMIFS(Einzelbeträge!$D:$D,Einzelbeträge!$C:$C,'Ausgaben 2028'!$C43,Einzelbeträge!$E:$E,'Ausgaben 2028'!G$6)</f>
        <v>0</v>
      </c>
      <c r="H43" s="21">
        <f>SUMIFS(Einzelbeträge!$D:$D,Einzelbeträge!$C:$C,'Ausgaben 2028'!$C43,Einzelbeträge!$E:$E,'Ausgaben 2028'!H$6)</f>
        <v>0</v>
      </c>
      <c r="I43" s="21">
        <f>SUMIFS(Einzelbeträge!$D:$D,Einzelbeträge!$C:$C,'Ausgaben 2028'!$C43,Einzelbeträge!$E:$E,'Ausgaben 2028'!I$6)</f>
        <v>0</v>
      </c>
      <c r="J43" s="21">
        <f>SUMIFS(Einzelbeträge!$D:$D,Einzelbeträge!$C:$C,'Ausgaben 2028'!$C43,Einzelbeträge!$E:$E,'Ausgaben 2028'!J$6)</f>
        <v>0</v>
      </c>
      <c r="K43" s="21">
        <f>SUMIFS(Einzelbeträge!$D:$D,Einzelbeträge!$C:$C,'Ausgaben 2028'!$C43,Einzelbeträge!$E:$E,'Ausgaben 2028'!K$6)</f>
        <v>0</v>
      </c>
      <c r="L43" s="21">
        <f>SUMIFS(Einzelbeträge!$D:$D,Einzelbeträge!$C:$C,'Ausgaben 2028'!$C43,Einzelbeträge!$E:$E,'Ausgaben 2028'!L$6)</f>
        <v>0</v>
      </c>
      <c r="M43" s="21">
        <f>SUMIFS(Einzelbeträge!$D:$D,Einzelbeträge!$C:$C,'Ausgaben 2028'!$C43,Einzelbeträge!$E:$E,'Ausgaben 2028'!M$6)</f>
        <v>0</v>
      </c>
      <c r="N43" s="35">
        <f>SUMIFS(Einzelbeträge!$D:$D,Einzelbeträge!$C:$C,'Ausgaben 2028'!$C43,Einzelbeträge!$E:$E,'Ausgaben 2028'!N$6)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11.09.2028 - 17.09.2028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46787</v>
      </c>
      <c r="D44" s="46">
        <f>SUMIFS(Einzelbeträge!$D:$D,Einzelbeträge!$C:$C,'Ausgaben 2028'!$C44)</f>
        <v>0</v>
      </c>
      <c r="E44" s="34">
        <f>SUMIFS(Einzelbeträge!$D:$D,Einzelbeträge!$C:$C,'Ausgaben 2028'!$C44,Einzelbeträge!$E:$E,'Ausgaben 2028'!E$6)</f>
        <v>0</v>
      </c>
      <c r="F44" s="21">
        <f>SUMIFS(Einzelbeträge!$D:$D,Einzelbeträge!$C:$C,'Ausgaben 2028'!$C44,Einzelbeträge!$E:$E,'Ausgaben 2028'!F$6)</f>
        <v>0</v>
      </c>
      <c r="G44" s="21">
        <f>SUMIFS(Einzelbeträge!$D:$D,Einzelbeträge!$C:$C,'Ausgaben 2028'!$C44,Einzelbeträge!$E:$E,'Ausgaben 2028'!G$6)</f>
        <v>0</v>
      </c>
      <c r="H44" s="21">
        <f>SUMIFS(Einzelbeträge!$D:$D,Einzelbeträge!$C:$C,'Ausgaben 2028'!$C44,Einzelbeträge!$E:$E,'Ausgaben 2028'!H$6)</f>
        <v>0</v>
      </c>
      <c r="I44" s="21">
        <f>SUMIFS(Einzelbeträge!$D:$D,Einzelbeträge!$C:$C,'Ausgaben 2028'!$C44,Einzelbeträge!$E:$E,'Ausgaben 2028'!I$6)</f>
        <v>0</v>
      </c>
      <c r="J44" s="21">
        <f>SUMIFS(Einzelbeträge!$D:$D,Einzelbeträge!$C:$C,'Ausgaben 2028'!$C44,Einzelbeträge!$E:$E,'Ausgaben 2028'!J$6)</f>
        <v>0</v>
      </c>
      <c r="K44" s="21">
        <f>SUMIFS(Einzelbeträge!$D:$D,Einzelbeträge!$C:$C,'Ausgaben 2028'!$C44,Einzelbeträge!$E:$E,'Ausgaben 2028'!K$6)</f>
        <v>0</v>
      </c>
      <c r="L44" s="21">
        <f>SUMIFS(Einzelbeträge!$D:$D,Einzelbeträge!$C:$C,'Ausgaben 2028'!$C44,Einzelbeträge!$E:$E,'Ausgaben 2028'!L$6)</f>
        <v>0</v>
      </c>
      <c r="M44" s="21">
        <f>SUMIFS(Einzelbeträge!$D:$D,Einzelbeträge!$C:$C,'Ausgaben 2028'!$C44,Einzelbeträge!$E:$E,'Ausgaben 2028'!M$6)</f>
        <v>0</v>
      </c>
      <c r="N44" s="35">
        <f>SUMIFS(Einzelbeträge!$D:$D,Einzelbeträge!$C:$C,'Ausgaben 2028'!$C44,Einzelbeträge!$E:$E,'Ausgaben 2028'!N$6)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18.09.2028 - 24.09.2028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46788</v>
      </c>
      <c r="D45" s="46">
        <f>SUMIFS(Einzelbeträge!$D:$D,Einzelbeträge!$C:$C,'Ausgaben 2028'!$C45)</f>
        <v>0</v>
      </c>
      <c r="E45" s="34">
        <f>SUMIFS(Einzelbeträge!$D:$D,Einzelbeträge!$C:$C,'Ausgaben 2028'!$C45,Einzelbeträge!$E:$E,'Ausgaben 2028'!E$6)</f>
        <v>0</v>
      </c>
      <c r="F45" s="21">
        <f>SUMIFS(Einzelbeträge!$D:$D,Einzelbeträge!$C:$C,'Ausgaben 2028'!$C45,Einzelbeträge!$E:$E,'Ausgaben 2028'!F$6)</f>
        <v>0</v>
      </c>
      <c r="G45" s="21">
        <f>SUMIFS(Einzelbeträge!$D:$D,Einzelbeträge!$C:$C,'Ausgaben 2028'!$C45,Einzelbeträge!$E:$E,'Ausgaben 2028'!G$6)</f>
        <v>0</v>
      </c>
      <c r="H45" s="21">
        <f>SUMIFS(Einzelbeträge!$D:$D,Einzelbeträge!$C:$C,'Ausgaben 2028'!$C45,Einzelbeträge!$E:$E,'Ausgaben 2028'!H$6)</f>
        <v>0</v>
      </c>
      <c r="I45" s="21">
        <f>SUMIFS(Einzelbeträge!$D:$D,Einzelbeträge!$C:$C,'Ausgaben 2028'!$C45,Einzelbeträge!$E:$E,'Ausgaben 2028'!I$6)</f>
        <v>0</v>
      </c>
      <c r="J45" s="21">
        <f>SUMIFS(Einzelbeträge!$D:$D,Einzelbeträge!$C:$C,'Ausgaben 2028'!$C45,Einzelbeträge!$E:$E,'Ausgaben 2028'!J$6)</f>
        <v>0</v>
      </c>
      <c r="K45" s="21">
        <f>SUMIFS(Einzelbeträge!$D:$D,Einzelbeträge!$C:$C,'Ausgaben 2028'!$C45,Einzelbeträge!$E:$E,'Ausgaben 2028'!K$6)</f>
        <v>0</v>
      </c>
      <c r="L45" s="21">
        <f>SUMIFS(Einzelbeträge!$D:$D,Einzelbeträge!$C:$C,'Ausgaben 2028'!$C45,Einzelbeträge!$E:$E,'Ausgaben 2028'!L$6)</f>
        <v>0</v>
      </c>
      <c r="M45" s="21">
        <f>SUMIFS(Einzelbeträge!$D:$D,Einzelbeträge!$C:$C,'Ausgaben 2028'!$C45,Einzelbeträge!$E:$E,'Ausgaben 2028'!M$6)</f>
        <v>0</v>
      </c>
      <c r="N45" s="35">
        <f>SUMIFS(Einzelbeträge!$D:$D,Einzelbeträge!$C:$C,'Ausgaben 2028'!$C45,Einzelbeträge!$E:$E,'Ausgaben 2028'!N$6)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25.09.2028 - 01.10.2028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46789</v>
      </c>
      <c r="D46" s="46">
        <f>SUMIFS(Einzelbeträge!$D:$D,Einzelbeträge!$C:$C,'Ausgaben 2028'!$C46)</f>
        <v>0</v>
      </c>
      <c r="E46" s="34">
        <f>SUMIFS(Einzelbeträge!$D:$D,Einzelbeträge!$C:$C,'Ausgaben 2028'!$C46,Einzelbeträge!$E:$E,'Ausgaben 2028'!E$6)</f>
        <v>0</v>
      </c>
      <c r="F46" s="21">
        <f>SUMIFS(Einzelbeträge!$D:$D,Einzelbeträge!$C:$C,'Ausgaben 2028'!$C46,Einzelbeträge!$E:$E,'Ausgaben 2028'!F$6)</f>
        <v>0</v>
      </c>
      <c r="G46" s="21">
        <f>SUMIFS(Einzelbeträge!$D:$D,Einzelbeträge!$C:$C,'Ausgaben 2028'!$C46,Einzelbeträge!$E:$E,'Ausgaben 2028'!G$6)</f>
        <v>0</v>
      </c>
      <c r="H46" s="21">
        <f>SUMIFS(Einzelbeträge!$D:$D,Einzelbeträge!$C:$C,'Ausgaben 2028'!$C46,Einzelbeträge!$E:$E,'Ausgaben 2028'!H$6)</f>
        <v>0</v>
      </c>
      <c r="I46" s="21">
        <f>SUMIFS(Einzelbeträge!$D:$D,Einzelbeträge!$C:$C,'Ausgaben 2028'!$C46,Einzelbeträge!$E:$E,'Ausgaben 2028'!I$6)</f>
        <v>0</v>
      </c>
      <c r="J46" s="21">
        <f>SUMIFS(Einzelbeträge!$D:$D,Einzelbeträge!$C:$C,'Ausgaben 2028'!$C46,Einzelbeträge!$E:$E,'Ausgaben 2028'!J$6)</f>
        <v>0</v>
      </c>
      <c r="K46" s="21">
        <f>SUMIFS(Einzelbeträge!$D:$D,Einzelbeträge!$C:$C,'Ausgaben 2028'!$C46,Einzelbeträge!$E:$E,'Ausgaben 2028'!K$6)</f>
        <v>0</v>
      </c>
      <c r="L46" s="21">
        <f>SUMIFS(Einzelbeträge!$D:$D,Einzelbeträge!$C:$C,'Ausgaben 2028'!$C46,Einzelbeträge!$E:$E,'Ausgaben 2028'!L$6)</f>
        <v>0</v>
      </c>
      <c r="M46" s="21">
        <f>SUMIFS(Einzelbeträge!$D:$D,Einzelbeträge!$C:$C,'Ausgaben 2028'!$C46,Einzelbeträge!$E:$E,'Ausgaben 2028'!M$6)</f>
        <v>0</v>
      </c>
      <c r="N46" s="35">
        <f>SUMIFS(Einzelbeträge!$D:$D,Einzelbeträge!$C:$C,'Ausgaben 2028'!$C46,Einzelbeträge!$E:$E,'Ausgaben 2028'!N$6)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02.10.2028 - 08.10.2028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46790</v>
      </c>
      <c r="D47" s="46">
        <f>SUMIFS(Einzelbeträge!$D:$D,Einzelbeträge!$C:$C,'Ausgaben 2028'!$C47)</f>
        <v>0</v>
      </c>
      <c r="E47" s="34">
        <f>SUMIFS(Einzelbeträge!$D:$D,Einzelbeträge!$C:$C,'Ausgaben 2028'!$C47,Einzelbeträge!$E:$E,'Ausgaben 2028'!E$6)</f>
        <v>0</v>
      </c>
      <c r="F47" s="21">
        <f>SUMIFS(Einzelbeträge!$D:$D,Einzelbeträge!$C:$C,'Ausgaben 2028'!$C47,Einzelbeträge!$E:$E,'Ausgaben 2028'!F$6)</f>
        <v>0</v>
      </c>
      <c r="G47" s="21">
        <f>SUMIFS(Einzelbeträge!$D:$D,Einzelbeträge!$C:$C,'Ausgaben 2028'!$C47,Einzelbeträge!$E:$E,'Ausgaben 2028'!G$6)</f>
        <v>0</v>
      </c>
      <c r="H47" s="21">
        <f>SUMIFS(Einzelbeträge!$D:$D,Einzelbeträge!$C:$C,'Ausgaben 2028'!$C47,Einzelbeträge!$E:$E,'Ausgaben 2028'!H$6)</f>
        <v>0</v>
      </c>
      <c r="I47" s="21">
        <f>SUMIFS(Einzelbeträge!$D:$D,Einzelbeträge!$C:$C,'Ausgaben 2028'!$C47,Einzelbeträge!$E:$E,'Ausgaben 2028'!I$6)</f>
        <v>0</v>
      </c>
      <c r="J47" s="21">
        <f>SUMIFS(Einzelbeträge!$D:$D,Einzelbeträge!$C:$C,'Ausgaben 2028'!$C47,Einzelbeträge!$E:$E,'Ausgaben 2028'!J$6)</f>
        <v>0</v>
      </c>
      <c r="K47" s="21">
        <f>SUMIFS(Einzelbeträge!$D:$D,Einzelbeträge!$C:$C,'Ausgaben 2028'!$C47,Einzelbeträge!$E:$E,'Ausgaben 2028'!K$6)</f>
        <v>0</v>
      </c>
      <c r="L47" s="21">
        <f>SUMIFS(Einzelbeträge!$D:$D,Einzelbeträge!$C:$C,'Ausgaben 2028'!$C47,Einzelbeträge!$E:$E,'Ausgaben 2028'!L$6)</f>
        <v>0</v>
      </c>
      <c r="M47" s="21">
        <f>SUMIFS(Einzelbeträge!$D:$D,Einzelbeträge!$C:$C,'Ausgaben 2028'!$C47,Einzelbeträge!$E:$E,'Ausgaben 2028'!M$6)</f>
        <v>0</v>
      </c>
      <c r="N47" s="35">
        <f>SUMIFS(Einzelbeträge!$D:$D,Einzelbeträge!$C:$C,'Ausgaben 2028'!$C47,Einzelbeträge!$E:$E,'Ausgaben 2028'!N$6)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09.10.2028 - 15.10.2028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46791</v>
      </c>
      <c r="D48" s="46">
        <f>SUMIFS(Einzelbeträge!$D:$D,Einzelbeträge!$C:$C,'Ausgaben 2028'!$C48)</f>
        <v>0</v>
      </c>
      <c r="E48" s="34">
        <f>SUMIFS(Einzelbeträge!$D:$D,Einzelbeträge!$C:$C,'Ausgaben 2028'!$C48,Einzelbeträge!$E:$E,'Ausgaben 2028'!E$6)</f>
        <v>0</v>
      </c>
      <c r="F48" s="21">
        <f>SUMIFS(Einzelbeträge!$D:$D,Einzelbeträge!$C:$C,'Ausgaben 2028'!$C48,Einzelbeträge!$E:$E,'Ausgaben 2028'!F$6)</f>
        <v>0</v>
      </c>
      <c r="G48" s="21">
        <f>SUMIFS(Einzelbeträge!$D:$D,Einzelbeträge!$C:$C,'Ausgaben 2028'!$C48,Einzelbeträge!$E:$E,'Ausgaben 2028'!G$6)</f>
        <v>0</v>
      </c>
      <c r="H48" s="21">
        <f>SUMIFS(Einzelbeträge!$D:$D,Einzelbeträge!$C:$C,'Ausgaben 2028'!$C48,Einzelbeträge!$E:$E,'Ausgaben 2028'!H$6)</f>
        <v>0</v>
      </c>
      <c r="I48" s="21">
        <f>SUMIFS(Einzelbeträge!$D:$D,Einzelbeträge!$C:$C,'Ausgaben 2028'!$C48,Einzelbeträge!$E:$E,'Ausgaben 2028'!I$6)</f>
        <v>0</v>
      </c>
      <c r="J48" s="21">
        <f>SUMIFS(Einzelbeträge!$D:$D,Einzelbeträge!$C:$C,'Ausgaben 2028'!$C48,Einzelbeträge!$E:$E,'Ausgaben 2028'!J$6)</f>
        <v>0</v>
      </c>
      <c r="K48" s="21">
        <f>SUMIFS(Einzelbeträge!$D:$D,Einzelbeträge!$C:$C,'Ausgaben 2028'!$C48,Einzelbeträge!$E:$E,'Ausgaben 2028'!K$6)</f>
        <v>0</v>
      </c>
      <c r="L48" s="21">
        <f>SUMIFS(Einzelbeträge!$D:$D,Einzelbeträge!$C:$C,'Ausgaben 2028'!$C48,Einzelbeträge!$E:$E,'Ausgaben 2028'!L$6)</f>
        <v>0</v>
      </c>
      <c r="M48" s="21">
        <f>SUMIFS(Einzelbeträge!$D:$D,Einzelbeträge!$C:$C,'Ausgaben 2028'!$C48,Einzelbeträge!$E:$E,'Ausgaben 2028'!M$6)</f>
        <v>0</v>
      </c>
      <c r="N48" s="35">
        <f>SUMIFS(Einzelbeträge!$D:$D,Einzelbeträge!$C:$C,'Ausgaben 2028'!$C48,Einzelbeträge!$E:$E,'Ausgaben 2028'!N$6)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16.10.2028 - 22.10.2028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46792</v>
      </c>
      <c r="D49" s="46">
        <f>SUMIFS(Einzelbeträge!$D:$D,Einzelbeträge!$C:$C,'Ausgaben 2028'!$C49)</f>
        <v>0</v>
      </c>
      <c r="E49" s="34">
        <f>SUMIFS(Einzelbeträge!$D:$D,Einzelbeträge!$C:$C,'Ausgaben 2028'!$C49,Einzelbeträge!$E:$E,'Ausgaben 2028'!E$6)</f>
        <v>0</v>
      </c>
      <c r="F49" s="21">
        <f>SUMIFS(Einzelbeträge!$D:$D,Einzelbeträge!$C:$C,'Ausgaben 2028'!$C49,Einzelbeträge!$E:$E,'Ausgaben 2028'!F$6)</f>
        <v>0</v>
      </c>
      <c r="G49" s="21">
        <f>SUMIFS(Einzelbeträge!$D:$D,Einzelbeträge!$C:$C,'Ausgaben 2028'!$C49,Einzelbeträge!$E:$E,'Ausgaben 2028'!G$6)</f>
        <v>0</v>
      </c>
      <c r="H49" s="21">
        <f>SUMIFS(Einzelbeträge!$D:$D,Einzelbeträge!$C:$C,'Ausgaben 2028'!$C49,Einzelbeträge!$E:$E,'Ausgaben 2028'!H$6)</f>
        <v>0</v>
      </c>
      <c r="I49" s="21">
        <f>SUMIFS(Einzelbeträge!$D:$D,Einzelbeträge!$C:$C,'Ausgaben 2028'!$C49,Einzelbeträge!$E:$E,'Ausgaben 2028'!I$6)</f>
        <v>0</v>
      </c>
      <c r="J49" s="21">
        <f>SUMIFS(Einzelbeträge!$D:$D,Einzelbeträge!$C:$C,'Ausgaben 2028'!$C49,Einzelbeträge!$E:$E,'Ausgaben 2028'!J$6)</f>
        <v>0</v>
      </c>
      <c r="K49" s="21">
        <f>SUMIFS(Einzelbeträge!$D:$D,Einzelbeträge!$C:$C,'Ausgaben 2028'!$C49,Einzelbeträge!$E:$E,'Ausgaben 2028'!K$6)</f>
        <v>0</v>
      </c>
      <c r="L49" s="21">
        <f>SUMIFS(Einzelbeträge!$D:$D,Einzelbeträge!$C:$C,'Ausgaben 2028'!$C49,Einzelbeträge!$E:$E,'Ausgaben 2028'!L$6)</f>
        <v>0</v>
      </c>
      <c r="M49" s="21">
        <f>SUMIFS(Einzelbeträge!$D:$D,Einzelbeträge!$C:$C,'Ausgaben 2028'!$C49,Einzelbeträge!$E:$E,'Ausgaben 2028'!M$6)</f>
        <v>0</v>
      </c>
      <c r="N49" s="35">
        <f>SUMIFS(Einzelbeträge!$D:$D,Einzelbeträge!$C:$C,'Ausgaben 2028'!$C49,Einzelbeträge!$E:$E,'Ausgaben 2028'!N$6)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23.10.2028 - 29.10.2028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46793</v>
      </c>
      <c r="D50" s="46">
        <f>SUMIFS(Einzelbeträge!$D:$D,Einzelbeträge!$C:$C,'Ausgaben 2028'!$C50)</f>
        <v>0</v>
      </c>
      <c r="E50" s="34">
        <f>SUMIFS(Einzelbeträge!$D:$D,Einzelbeträge!$C:$C,'Ausgaben 2028'!$C50,Einzelbeträge!$E:$E,'Ausgaben 2028'!E$6)</f>
        <v>0</v>
      </c>
      <c r="F50" s="21">
        <f>SUMIFS(Einzelbeträge!$D:$D,Einzelbeträge!$C:$C,'Ausgaben 2028'!$C50,Einzelbeträge!$E:$E,'Ausgaben 2028'!F$6)</f>
        <v>0</v>
      </c>
      <c r="G50" s="21">
        <f>SUMIFS(Einzelbeträge!$D:$D,Einzelbeträge!$C:$C,'Ausgaben 2028'!$C50,Einzelbeträge!$E:$E,'Ausgaben 2028'!G$6)</f>
        <v>0</v>
      </c>
      <c r="H50" s="21">
        <f>SUMIFS(Einzelbeträge!$D:$D,Einzelbeträge!$C:$C,'Ausgaben 2028'!$C50,Einzelbeträge!$E:$E,'Ausgaben 2028'!H$6)</f>
        <v>0</v>
      </c>
      <c r="I50" s="21">
        <f>SUMIFS(Einzelbeträge!$D:$D,Einzelbeträge!$C:$C,'Ausgaben 2028'!$C50,Einzelbeträge!$E:$E,'Ausgaben 2028'!I$6)</f>
        <v>0</v>
      </c>
      <c r="J50" s="21">
        <f>SUMIFS(Einzelbeträge!$D:$D,Einzelbeträge!$C:$C,'Ausgaben 2028'!$C50,Einzelbeträge!$E:$E,'Ausgaben 2028'!J$6)</f>
        <v>0</v>
      </c>
      <c r="K50" s="21">
        <f>SUMIFS(Einzelbeträge!$D:$D,Einzelbeträge!$C:$C,'Ausgaben 2028'!$C50,Einzelbeträge!$E:$E,'Ausgaben 2028'!K$6)</f>
        <v>0</v>
      </c>
      <c r="L50" s="21">
        <f>SUMIFS(Einzelbeträge!$D:$D,Einzelbeträge!$C:$C,'Ausgaben 2028'!$C50,Einzelbeträge!$E:$E,'Ausgaben 2028'!L$6)</f>
        <v>0</v>
      </c>
      <c r="M50" s="21">
        <f>SUMIFS(Einzelbeträge!$D:$D,Einzelbeträge!$C:$C,'Ausgaben 2028'!$C50,Einzelbeträge!$E:$E,'Ausgaben 2028'!M$6)</f>
        <v>0</v>
      </c>
      <c r="N50" s="35">
        <f>SUMIFS(Einzelbeträge!$D:$D,Einzelbeträge!$C:$C,'Ausgaben 2028'!$C50,Einzelbeträge!$E:$E,'Ausgaben 2028'!N$6)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30.10.2028 - 05.11.2028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46794</v>
      </c>
      <c r="D51" s="46">
        <f>SUMIFS(Einzelbeträge!$D:$D,Einzelbeträge!$C:$C,'Ausgaben 2028'!$C51)</f>
        <v>0</v>
      </c>
      <c r="E51" s="34">
        <f>SUMIFS(Einzelbeträge!$D:$D,Einzelbeträge!$C:$C,'Ausgaben 2028'!$C51,Einzelbeträge!$E:$E,'Ausgaben 2028'!E$6)</f>
        <v>0</v>
      </c>
      <c r="F51" s="21">
        <f>SUMIFS(Einzelbeträge!$D:$D,Einzelbeträge!$C:$C,'Ausgaben 2028'!$C51,Einzelbeträge!$E:$E,'Ausgaben 2028'!F$6)</f>
        <v>0</v>
      </c>
      <c r="G51" s="21">
        <f>SUMIFS(Einzelbeträge!$D:$D,Einzelbeträge!$C:$C,'Ausgaben 2028'!$C51,Einzelbeträge!$E:$E,'Ausgaben 2028'!G$6)</f>
        <v>0</v>
      </c>
      <c r="H51" s="21">
        <f>SUMIFS(Einzelbeträge!$D:$D,Einzelbeträge!$C:$C,'Ausgaben 2028'!$C51,Einzelbeträge!$E:$E,'Ausgaben 2028'!H$6)</f>
        <v>0</v>
      </c>
      <c r="I51" s="21">
        <f>SUMIFS(Einzelbeträge!$D:$D,Einzelbeträge!$C:$C,'Ausgaben 2028'!$C51,Einzelbeträge!$E:$E,'Ausgaben 2028'!I$6)</f>
        <v>0</v>
      </c>
      <c r="J51" s="21">
        <f>SUMIFS(Einzelbeträge!$D:$D,Einzelbeträge!$C:$C,'Ausgaben 2028'!$C51,Einzelbeträge!$E:$E,'Ausgaben 2028'!J$6)</f>
        <v>0</v>
      </c>
      <c r="K51" s="21">
        <f>SUMIFS(Einzelbeträge!$D:$D,Einzelbeträge!$C:$C,'Ausgaben 2028'!$C51,Einzelbeträge!$E:$E,'Ausgaben 2028'!K$6)</f>
        <v>0</v>
      </c>
      <c r="L51" s="21">
        <f>SUMIFS(Einzelbeträge!$D:$D,Einzelbeträge!$C:$C,'Ausgaben 2028'!$C51,Einzelbeträge!$E:$E,'Ausgaben 2028'!L$6)</f>
        <v>0</v>
      </c>
      <c r="M51" s="21">
        <f>SUMIFS(Einzelbeträge!$D:$D,Einzelbeträge!$C:$C,'Ausgaben 2028'!$C51,Einzelbeträge!$E:$E,'Ausgaben 2028'!M$6)</f>
        <v>0</v>
      </c>
      <c r="N51" s="35">
        <f>SUMIFS(Einzelbeträge!$D:$D,Einzelbeträge!$C:$C,'Ausgaben 2028'!$C51,Einzelbeträge!$E:$E,'Ausgaben 2028'!N$6)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06.11.2028 - 12.11.2028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46795</v>
      </c>
      <c r="D52" s="46">
        <f>SUMIFS(Einzelbeträge!$D:$D,Einzelbeträge!$C:$C,'Ausgaben 2028'!$C52)</f>
        <v>0</v>
      </c>
      <c r="E52" s="34">
        <f>SUMIFS(Einzelbeträge!$D:$D,Einzelbeträge!$C:$C,'Ausgaben 2028'!$C52,Einzelbeträge!$E:$E,'Ausgaben 2028'!E$6)</f>
        <v>0</v>
      </c>
      <c r="F52" s="21">
        <f>SUMIFS(Einzelbeträge!$D:$D,Einzelbeträge!$C:$C,'Ausgaben 2028'!$C52,Einzelbeträge!$E:$E,'Ausgaben 2028'!F$6)</f>
        <v>0</v>
      </c>
      <c r="G52" s="21">
        <f>SUMIFS(Einzelbeträge!$D:$D,Einzelbeträge!$C:$C,'Ausgaben 2028'!$C52,Einzelbeträge!$E:$E,'Ausgaben 2028'!G$6)</f>
        <v>0</v>
      </c>
      <c r="H52" s="21">
        <f>SUMIFS(Einzelbeträge!$D:$D,Einzelbeträge!$C:$C,'Ausgaben 2028'!$C52,Einzelbeträge!$E:$E,'Ausgaben 2028'!H$6)</f>
        <v>0</v>
      </c>
      <c r="I52" s="21">
        <f>SUMIFS(Einzelbeträge!$D:$D,Einzelbeträge!$C:$C,'Ausgaben 2028'!$C52,Einzelbeträge!$E:$E,'Ausgaben 2028'!I$6)</f>
        <v>0</v>
      </c>
      <c r="J52" s="21">
        <f>SUMIFS(Einzelbeträge!$D:$D,Einzelbeträge!$C:$C,'Ausgaben 2028'!$C52,Einzelbeträge!$E:$E,'Ausgaben 2028'!J$6)</f>
        <v>0</v>
      </c>
      <c r="K52" s="21">
        <f>SUMIFS(Einzelbeträge!$D:$D,Einzelbeträge!$C:$C,'Ausgaben 2028'!$C52,Einzelbeträge!$E:$E,'Ausgaben 2028'!K$6)</f>
        <v>0</v>
      </c>
      <c r="L52" s="21">
        <f>SUMIFS(Einzelbeträge!$D:$D,Einzelbeträge!$C:$C,'Ausgaben 2028'!$C52,Einzelbeträge!$E:$E,'Ausgaben 2028'!L$6)</f>
        <v>0</v>
      </c>
      <c r="M52" s="21">
        <f>SUMIFS(Einzelbeträge!$D:$D,Einzelbeträge!$C:$C,'Ausgaben 2028'!$C52,Einzelbeträge!$E:$E,'Ausgaben 2028'!M$6)</f>
        <v>0</v>
      </c>
      <c r="N52" s="35">
        <f>SUMIFS(Einzelbeträge!$D:$D,Einzelbeträge!$C:$C,'Ausgaben 2028'!$C52,Einzelbeträge!$E:$E,'Ausgaben 2028'!N$6)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13.11.2028 - 19.11.2028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46796</v>
      </c>
      <c r="D53" s="46">
        <f>SUMIFS(Einzelbeträge!$D:$D,Einzelbeträge!$C:$C,'Ausgaben 2028'!$C53)</f>
        <v>0</v>
      </c>
      <c r="E53" s="34">
        <f>SUMIFS(Einzelbeträge!$D:$D,Einzelbeträge!$C:$C,'Ausgaben 2028'!$C53,Einzelbeträge!$E:$E,'Ausgaben 2028'!E$6)</f>
        <v>0</v>
      </c>
      <c r="F53" s="21">
        <f>SUMIFS(Einzelbeträge!$D:$D,Einzelbeträge!$C:$C,'Ausgaben 2028'!$C53,Einzelbeträge!$E:$E,'Ausgaben 2028'!F$6)</f>
        <v>0</v>
      </c>
      <c r="G53" s="21">
        <f>SUMIFS(Einzelbeträge!$D:$D,Einzelbeträge!$C:$C,'Ausgaben 2028'!$C53,Einzelbeträge!$E:$E,'Ausgaben 2028'!G$6)</f>
        <v>0</v>
      </c>
      <c r="H53" s="21">
        <f>SUMIFS(Einzelbeträge!$D:$D,Einzelbeträge!$C:$C,'Ausgaben 2028'!$C53,Einzelbeträge!$E:$E,'Ausgaben 2028'!H$6)</f>
        <v>0</v>
      </c>
      <c r="I53" s="21">
        <f>SUMIFS(Einzelbeträge!$D:$D,Einzelbeträge!$C:$C,'Ausgaben 2028'!$C53,Einzelbeträge!$E:$E,'Ausgaben 2028'!I$6)</f>
        <v>0</v>
      </c>
      <c r="J53" s="21">
        <f>SUMIFS(Einzelbeträge!$D:$D,Einzelbeträge!$C:$C,'Ausgaben 2028'!$C53,Einzelbeträge!$E:$E,'Ausgaben 2028'!J$6)</f>
        <v>0</v>
      </c>
      <c r="K53" s="21">
        <f>SUMIFS(Einzelbeträge!$D:$D,Einzelbeträge!$C:$C,'Ausgaben 2028'!$C53,Einzelbeträge!$E:$E,'Ausgaben 2028'!K$6)</f>
        <v>0</v>
      </c>
      <c r="L53" s="21">
        <f>SUMIFS(Einzelbeträge!$D:$D,Einzelbeträge!$C:$C,'Ausgaben 2028'!$C53,Einzelbeträge!$E:$E,'Ausgaben 2028'!L$6)</f>
        <v>0</v>
      </c>
      <c r="M53" s="21">
        <f>SUMIFS(Einzelbeträge!$D:$D,Einzelbeträge!$C:$C,'Ausgaben 2028'!$C53,Einzelbeträge!$E:$E,'Ausgaben 2028'!M$6)</f>
        <v>0</v>
      </c>
      <c r="N53" s="35">
        <f>SUMIFS(Einzelbeträge!$D:$D,Einzelbeträge!$C:$C,'Ausgaben 2028'!$C53,Einzelbeträge!$E:$E,'Ausgaben 2028'!N$6)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20.11.2028 - 26.11.2028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46797</v>
      </c>
      <c r="D54" s="46">
        <f>SUMIFS(Einzelbeträge!$D:$D,Einzelbeträge!$C:$C,'Ausgaben 2028'!$C54)</f>
        <v>0</v>
      </c>
      <c r="E54" s="34">
        <f>SUMIFS(Einzelbeträge!$D:$D,Einzelbeträge!$C:$C,'Ausgaben 2028'!$C54,Einzelbeträge!$E:$E,'Ausgaben 2028'!E$6)</f>
        <v>0</v>
      </c>
      <c r="F54" s="21">
        <f>SUMIFS(Einzelbeträge!$D:$D,Einzelbeträge!$C:$C,'Ausgaben 2028'!$C54,Einzelbeträge!$E:$E,'Ausgaben 2028'!F$6)</f>
        <v>0</v>
      </c>
      <c r="G54" s="21">
        <f>SUMIFS(Einzelbeträge!$D:$D,Einzelbeträge!$C:$C,'Ausgaben 2028'!$C54,Einzelbeträge!$E:$E,'Ausgaben 2028'!G$6)</f>
        <v>0</v>
      </c>
      <c r="H54" s="21">
        <f>SUMIFS(Einzelbeträge!$D:$D,Einzelbeträge!$C:$C,'Ausgaben 2028'!$C54,Einzelbeträge!$E:$E,'Ausgaben 2028'!H$6)</f>
        <v>0</v>
      </c>
      <c r="I54" s="21">
        <f>SUMIFS(Einzelbeträge!$D:$D,Einzelbeträge!$C:$C,'Ausgaben 2028'!$C54,Einzelbeträge!$E:$E,'Ausgaben 2028'!I$6)</f>
        <v>0</v>
      </c>
      <c r="J54" s="21">
        <f>SUMIFS(Einzelbeträge!$D:$D,Einzelbeträge!$C:$C,'Ausgaben 2028'!$C54,Einzelbeträge!$E:$E,'Ausgaben 2028'!J$6)</f>
        <v>0</v>
      </c>
      <c r="K54" s="21">
        <f>SUMIFS(Einzelbeträge!$D:$D,Einzelbeträge!$C:$C,'Ausgaben 2028'!$C54,Einzelbeträge!$E:$E,'Ausgaben 2028'!K$6)</f>
        <v>0</v>
      </c>
      <c r="L54" s="21">
        <f>SUMIFS(Einzelbeträge!$D:$D,Einzelbeträge!$C:$C,'Ausgaben 2028'!$C54,Einzelbeträge!$E:$E,'Ausgaben 2028'!L$6)</f>
        <v>0</v>
      </c>
      <c r="M54" s="21">
        <f>SUMIFS(Einzelbeträge!$D:$D,Einzelbeträge!$C:$C,'Ausgaben 2028'!$C54,Einzelbeträge!$E:$E,'Ausgaben 2028'!M$6)</f>
        <v>0</v>
      </c>
      <c r="N54" s="35">
        <f>SUMIFS(Einzelbeträge!$D:$D,Einzelbeträge!$C:$C,'Ausgaben 2028'!$C54,Einzelbeträge!$E:$E,'Ausgaben 2028'!N$6)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27.11.2028 - 03.12.2028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46798</v>
      </c>
      <c r="D55" s="46">
        <f>SUMIFS(Einzelbeträge!$D:$D,Einzelbeträge!$C:$C,'Ausgaben 2028'!$C55)</f>
        <v>0</v>
      </c>
      <c r="E55" s="34">
        <f>SUMIFS(Einzelbeträge!$D:$D,Einzelbeträge!$C:$C,'Ausgaben 2028'!$C55,Einzelbeträge!$E:$E,'Ausgaben 2028'!E$6)</f>
        <v>0</v>
      </c>
      <c r="F55" s="21">
        <f>SUMIFS(Einzelbeträge!$D:$D,Einzelbeträge!$C:$C,'Ausgaben 2028'!$C55,Einzelbeträge!$E:$E,'Ausgaben 2028'!F$6)</f>
        <v>0</v>
      </c>
      <c r="G55" s="21">
        <f>SUMIFS(Einzelbeträge!$D:$D,Einzelbeträge!$C:$C,'Ausgaben 2028'!$C55,Einzelbeträge!$E:$E,'Ausgaben 2028'!G$6)</f>
        <v>0</v>
      </c>
      <c r="H55" s="21">
        <f>SUMIFS(Einzelbeträge!$D:$D,Einzelbeträge!$C:$C,'Ausgaben 2028'!$C55,Einzelbeträge!$E:$E,'Ausgaben 2028'!H$6)</f>
        <v>0</v>
      </c>
      <c r="I55" s="21">
        <f>SUMIFS(Einzelbeträge!$D:$D,Einzelbeträge!$C:$C,'Ausgaben 2028'!$C55,Einzelbeträge!$E:$E,'Ausgaben 2028'!I$6)</f>
        <v>0</v>
      </c>
      <c r="J55" s="21">
        <f>SUMIFS(Einzelbeträge!$D:$D,Einzelbeträge!$C:$C,'Ausgaben 2028'!$C55,Einzelbeträge!$E:$E,'Ausgaben 2028'!J$6)</f>
        <v>0</v>
      </c>
      <c r="K55" s="21">
        <f>SUMIFS(Einzelbeträge!$D:$D,Einzelbeträge!$C:$C,'Ausgaben 2028'!$C55,Einzelbeträge!$E:$E,'Ausgaben 2028'!K$6)</f>
        <v>0</v>
      </c>
      <c r="L55" s="21">
        <f>SUMIFS(Einzelbeträge!$D:$D,Einzelbeträge!$C:$C,'Ausgaben 2028'!$C55,Einzelbeträge!$E:$E,'Ausgaben 2028'!L$6)</f>
        <v>0</v>
      </c>
      <c r="M55" s="21">
        <f>SUMIFS(Einzelbeträge!$D:$D,Einzelbeträge!$C:$C,'Ausgaben 2028'!$C55,Einzelbeträge!$E:$E,'Ausgaben 2028'!M$6)</f>
        <v>0</v>
      </c>
      <c r="N55" s="35">
        <f>SUMIFS(Einzelbeträge!$D:$D,Einzelbeträge!$C:$C,'Ausgaben 2028'!$C55,Einzelbeträge!$E:$E,'Ausgaben 2028'!N$6)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04.12.2028 - 10.12.2028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46799</v>
      </c>
      <c r="D56" s="46">
        <f>SUMIFS(Einzelbeträge!$D:$D,Einzelbeträge!$C:$C,'Ausgaben 2028'!$C56)</f>
        <v>0</v>
      </c>
      <c r="E56" s="34">
        <f>SUMIFS(Einzelbeträge!$D:$D,Einzelbeträge!$C:$C,'Ausgaben 2028'!$C56,Einzelbeträge!$E:$E,'Ausgaben 2028'!E$6)</f>
        <v>0</v>
      </c>
      <c r="F56" s="21">
        <f>SUMIFS(Einzelbeträge!$D:$D,Einzelbeträge!$C:$C,'Ausgaben 2028'!$C56,Einzelbeträge!$E:$E,'Ausgaben 2028'!F$6)</f>
        <v>0</v>
      </c>
      <c r="G56" s="21">
        <f>SUMIFS(Einzelbeträge!$D:$D,Einzelbeträge!$C:$C,'Ausgaben 2028'!$C56,Einzelbeträge!$E:$E,'Ausgaben 2028'!G$6)</f>
        <v>0</v>
      </c>
      <c r="H56" s="21">
        <f>SUMIFS(Einzelbeträge!$D:$D,Einzelbeträge!$C:$C,'Ausgaben 2028'!$C56,Einzelbeträge!$E:$E,'Ausgaben 2028'!H$6)</f>
        <v>0</v>
      </c>
      <c r="I56" s="21">
        <f>SUMIFS(Einzelbeträge!$D:$D,Einzelbeträge!$C:$C,'Ausgaben 2028'!$C56,Einzelbeträge!$E:$E,'Ausgaben 2028'!I$6)</f>
        <v>0</v>
      </c>
      <c r="J56" s="21">
        <f>SUMIFS(Einzelbeträge!$D:$D,Einzelbeträge!$C:$C,'Ausgaben 2028'!$C56,Einzelbeträge!$E:$E,'Ausgaben 2028'!J$6)</f>
        <v>0</v>
      </c>
      <c r="K56" s="21">
        <f>SUMIFS(Einzelbeträge!$D:$D,Einzelbeträge!$C:$C,'Ausgaben 2028'!$C56,Einzelbeträge!$E:$E,'Ausgaben 2028'!K$6)</f>
        <v>0</v>
      </c>
      <c r="L56" s="21">
        <f>SUMIFS(Einzelbeträge!$D:$D,Einzelbeträge!$C:$C,'Ausgaben 2028'!$C56,Einzelbeträge!$E:$E,'Ausgaben 2028'!L$6)</f>
        <v>0</v>
      </c>
      <c r="M56" s="21">
        <f>SUMIFS(Einzelbeträge!$D:$D,Einzelbeträge!$C:$C,'Ausgaben 2028'!$C56,Einzelbeträge!$E:$E,'Ausgaben 2028'!M$6)</f>
        <v>0</v>
      </c>
      <c r="N56" s="35">
        <f>SUMIFS(Einzelbeträge!$D:$D,Einzelbeträge!$C:$C,'Ausgaben 2028'!$C56,Einzelbeträge!$E:$E,'Ausgaben 2028'!N$6)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11.12.2028 - 17.12.2028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46800</v>
      </c>
      <c r="D57" s="46">
        <f>SUMIFS(Einzelbeträge!$D:$D,Einzelbeträge!$C:$C,'Ausgaben 2028'!$C57)</f>
        <v>0</v>
      </c>
      <c r="E57" s="34">
        <f>SUMIFS(Einzelbeträge!$D:$D,Einzelbeträge!$C:$C,'Ausgaben 2028'!$C57,Einzelbeträge!$E:$E,'Ausgaben 2028'!E$6)</f>
        <v>0</v>
      </c>
      <c r="F57" s="21">
        <f>SUMIFS(Einzelbeträge!$D:$D,Einzelbeträge!$C:$C,'Ausgaben 2028'!$C57,Einzelbeträge!$E:$E,'Ausgaben 2028'!F$6)</f>
        <v>0</v>
      </c>
      <c r="G57" s="21">
        <f>SUMIFS(Einzelbeträge!$D:$D,Einzelbeträge!$C:$C,'Ausgaben 2028'!$C57,Einzelbeträge!$E:$E,'Ausgaben 2028'!G$6)</f>
        <v>0</v>
      </c>
      <c r="H57" s="21">
        <f>SUMIFS(Einzelbeträge!$D:$D,Einzelbeträge!$C:$C,'Ausgaben 2028'!$C57,Einzelbeträge!$E:$E,'Ausgaben 2028'!H$6)</f>
        <v>0</v>
      </c>
      <c r="I57" s="21">
        <f>SUMIFS(Einzelbeträge!$D:$D,Einzelbeträge!$C:$C,'Ausgaben 2028'!$C57,Einzelbeträge!$E:$E,'Ausgaben 2028'!I$6)</f>
        <v>0</v>
      </c>
      <c r="J57" s="21">
        <f>SUMIFS(Einzelbeträge!$D:$D,Einzelbeträge!$C:$C,'Ausgaben 2028'!$C57,Einzelbeträge!$E:$E,'Ausgaben 2028'!J$6)</f>
        <v>0</v>
      </c>
      <c r="K57" s="21">
        <f>SUMIFS(Einzelbeträge!$D:$D,Einzelbeträge!$C:$C,'Ausgaben 2028'!$C57,Einzelbeträge!$E:$E,'Ausgaben 2028'!K$6)</f>
        <v>0</v>
      </c>
      <c r="L57" s="21">
        <f>SUMIFS(Einzelbeträge!$D:$D,Einzelbeträge!$C:$C,'Ausgaben 2028'!$C57,Einzelbeträge!$E:$E,'Ausgaben 2028'!L$6)</f>
        <v>0</v>
      </c>
      <c r="M57" s="21">
        <f>SUMIFS(Einzelbeträge!$D:$D,Einzelbeträge!$C:$C,'Ausgaben 2028'!$C57,Einzelbeträge!$E:$E,'Ausgaben 2028'!M$6)</f>
        <v>0</v>
      </c>
      <c r="N57" s="35">
        <f>SUMIFS(Einzelbeträge!$D:$D,Einzelbeträge!$C:$C,'Ausgaben 2028'!$C57,Einzelbeträge!$E:$E,'Ausgaben 2028'!N$6)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18.12.2028 - 24.12.2028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46801</v>
      </c>
      <c r="D58" s="46">
        <f>SUMIFS(Einzelbeträge!$D:$D,Einzelbeträge!$C:$C,'Ausgaben 2028'!$C58)</f>
        <v>0</v>
      </c>
      <c r="E58" s="34">
        <f>SUMIFS(Einzelbeträge!$D:$D,Einzelbeträge!$C:$C,'Ausgaben 2028'!$C58,Einzelbeträge!$E:$E,'Ausgaben 2028'!E$6)</f>
        <v>0</v>
      </c>
      <c r="F58" s="21">
        <f>SUMIFS(Einzelbeträge!$D:$D,Einzelbeträge!$C:$C,'Ausgaben 2028'!$C58,Einzelbeträge!$E:$E,'Ausgaben 2028'!F$6)</f>
        <v>0</v>
      </c>
      <c r="G58" s="21">
        <f>SUMIFS(Einzelbeträge!$D:$D,Einzelbeträge!$C:$C,'Ausgaben 2028'!$C58,Einzelbeträge!$E:$E,'Ausgaben 2028'!G$6)</f>
        <v>0</v>
      </c>
      <c r="H58" s="21">
        <f>SUMIFS(Einzelbeträge!$D:$D,Einzelbeträge!$C:$C,'Ausgaben 2028'!$C58,Einzelbeträge!$E:$E,'Ausgaben 2028'!H$6)</f>
        <v>0</v>
      </c>
      <c r="I58" s="21">
        <f>SUMIFS(Einzelbeträge!$D:$D,Einzelbeträge!$C:$C,'Ausgaben 2028'!$C58,Einzelbeträge!$E:$E,'Ausgaben 2028'!I$6)</f>
        <v>0</v>
      </c>
      <c r="J58" s="21">
        <f>SUMIFS(Einzelbeträge!$D:$D,Einzelbeträge!$C:$C,'Ausgaben 2028'!$C58,Einzelbeträge!$E:$E,'Ausgaben 2028'!J$6)</f>
        <v>0</v>
      </c>
      <c r="K58" s="21">
        <f>SUMIFS(Einzelbeträge!$D:$D,Einzelbeträge!$C:$C,'Ausgaben 2028'!$C58,Einzelbeträge!$E:$E,'Ausgaben 2028'!K$6)</f>
        <v>0</v>
      </c>
      <c r="L58" s="21">
        <f>SUMIFS(Einzelbeträge!$D:$D,Einzelbeträge!$C:$C,'Ausgaben 2028'!$C58,Einzelbeträge!$E:$E,'Ausgaben 2028'!L$6)</f>
        <v>0</v>
      </c>
      <c r="M58" s="21">
        <f>SUMIFS(Einzelbeträge!$D:$D,Einzelbeträge!$C:$C,'Ausgaben 2028'!$C58,Einzelbeträge!$E:$E,'Ausgaben 2028'!M$6)</f>
        <v>0</v>
      </c>
      <c r="N58" s="35">
        <f>SUMIFS(Einzelbeträge!$D:$D,Einzelbeträge!$C:$C,'Ausgaben 2028'!$C58,Einzelbeträge!$E:$E,'Ausgaben 2028'!N$6)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25.12.2028 - 31.12.2028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46802</v>
      </c>
      <c r="D59" s="46">
        <f>SUMIFS(Einzelbeträge!$D:$D,Einzelbeträge!$C:$C,'Ausgaben 2028'!$C59)</f>
        <v>0</v>
      </c>
      <c r="E59" s="34">
        <f>SUMIFS(Einzelbeträge!$D:$D,Einzelbeträge!$C:$C,'Ausgaben 2028'!$C59,Einzelbeträge!$E:$E,'Ausgaben 2028'!E$6)</f>
        <v>0</v>
      </c>
      <c r="F59" s="21">
        <f>SUMIFS(Einzelbeträge!$D:$D,Einzelbeträge!$C:$C,'Ausgaben 2028'!$C59,Einzelbeträge!$E:$E,'Ausgaben 2028'!F$6)</f>
        <v>0</v>
      </c>
      <c r="G59" s="21">
        <f>SUMIFS(Einzelbeträge!$D:$D,Einzelbeträge!$C:$C,'Ausgaben 2028'!$C59,Einzelbeträge!$E:$E,'Ausgaben 2028'!G$6)</f>
        <v>0</v>
      </c>
      <c r="H59" s="21">
        <f>SUMIFS(Einzelbeträge!$D:$D,Einzelbeträge!$C:$C,'Ausgaben 2028'!$C59,Einzelbeträge!$E:$E,'Ausgaben 2028'!H$6)</f>
        <v>0</v>
      </c>
      <c r="I59" s="21">
        <f>SUMIFS(Einzelbeträge!$D:$D,Einzelbeträge!$C:$C,'Ausgaben 2028'!$C59,Einzelbeträge!$E:$E,'Ausgaben 2028'!I$6)</f>
        <v>0</v>
      </c>
      <c r="J59" s="21">
        <f>SUMIFS(Einzelbeträge!$D:$D,Einzelbeträge!$C:$C,'Ausgaben 2028'!$C59,Einzelbeträge!$E:$E,'Ausgaben 2028'!J$6)</f>
        <v>0</v>
      </c>
      <c r="K59" s="21">
        <f>SUMIFS(Einzelbeträge!$D:$D,Einzelbeträge!$C:$C,'Ausgaben 2028'!$C59,Einzelbeträge!$E:$E,'Ausgaben 2028'!K$6)</f>
        <v>0</v>
      </c>
      <c r="L59" s="21">
        <f>SUMIFS(Einzelbeträge!$D:$D,Einzelbeträge!$C:$C,'Ausgaben 2028'!$C59,Einzelbeträge!$E:$E,'Ausgaben 2028'!L$6)</f>
        <v>0</v>
      </c>
      <c r="M59" s="21">
        <f>SUMIFS(Einzelbeträge!$D:$D,Einzelbeträge!$C:$C,'Ausgaben 2028'!$C59,Einzelbeträge!$E:$E,'Ausgaben 2028'!M$6)</f>
        <v>0</v>
      </c>
      <c r="N59" s="35">
        <f>SUMIFS(Einzelbeträge!$D:$D,Einzelbeträge!$C:$C,'Ausgaben 2028'!$C59,Einzelbeträge!$E:$E,'Ausgaben 2028'!N$6)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46803</v>
      </c>
      <c r="D60" s="46">
        <f>SUMIFS(Einzelbeträge!$D:$D,Einzelbeträge!$C:$C,'Ausgaben 2028'!$C60)</f>
        <v>0</v>
      </c>
      <c r="E60" s="34">
        <f>SUMIFS(Einzelbeträge!$D:$D,Einzelbeträge!$C:$C,'Ausgaben 2028'!$C60,Einzelbeträge!$E:$E,'Ausgaben 2028'!E$6)</f>
        <v>0</v>
      </c>
      <c r="F60" s="21">
        <f>SUMIFS(Einzelbeträge!$D:$D,Einzelbeträge!$C:$C,'Ausgaben 2028'!$C60,Einzelbeträge!$E:$E,'Ausgaben 2028'!F$6)</f>
        <v>0</v>
      </c>
      <c r="G60" s="21">
        <f>SUMIFS(Einzelbeträge!$D:$D,Einzelbeträge!$C:$C,'Ausgaben 2028'!$C60,Einzelbeträge!$E:$E,'Ausgaben 2028'!G$6)</f>
        <v>0</v>
      </c>
      <c r="H60" s="21">
        <f>SUMIFS(Einzelbeträge!$D:$D,Einzelbeträge!$C:$C,'Ausgaben 2028'!$C60,Einzelbeträge!$E:$E,'Ausgaben 2028'!H$6)</f>
        <v>0</v>
      </c>
      <c r="I60" s="21">
        <f>SUMIFS(Einzelbeträge!$D:$D,Einzelbeträge!$C:$C,'Ausgaben 2028'!$C60,Einzelbeträge!$E:$E,'Ausgaben 2028'!I$6)</f>
        <v>0</v>
      </c>
      <c r="J60" s="21">
        <f>SUMIFS(Einzelbeträge!$D:$D,Einzelbeträge!$C:$C,'Ausgaben 2028'!$C60,Einzelbeträge!$E:$E,'Ausgaben 2028'!J$6)</f>
        <v>0</v>
      </c>
      <c r="K60" s="21">
        <f>SUMIFS(Einzelbeträge!$D:$D,Einzelbeträge!$C:$C,'Ausgaben 2028'!$C60,Einzelbeträge!$E:$E,'Ausgaben 2028'!K$6)</f>
        <v>0</v>
      </c>
      <c r="L60" s="21">
        <f>SUMIFS(Einzelbeträge!$D:$D,Einzelbeträge!$C:$C,'Ausgaben 2028'!$C60,Einzelbeträge!$E:$E,'Ausgaben 2028'!L$6)</f>
        <v>0</v>
      </c>
      <c r="M60" s="21">
        <f>SUMIFS(Einzelbeträge!$D:$D,Einzelbeträge!$C:$C,'Ausgaben 2028'!$C60,Einzelbeträge!$E:$E,'Ausgaben 2028'!M$6)</f>
        <v>0</v>
      </c>
      <c r="N60" s="35">
        <f>SUMIFS(Einzelbeträge!$D:$D,Einzelbeträge!$C:$C,'Ausgaben 2028'!$C60,Einzelbeträge!$E:$E,'Ausgaben 2028'!N$6)</f>
        <v>0</v>
      </c>
      <c r="O60" s="6"/>
    </row>
    <row r="61" spans="2:30" x14ac:dyDescent="0.35">
      <c r="B61" s="5"/>
      <c r="C61" s="40">
        <f t="shared" si="15"/>
        <v>46804</v>
      </c>
      <c r="D61" s="46">
        <f>SUMIFS(Einzelbeträge!$D:$D,Einzelbeträge!$C:$C,'Ausgaben 2028'!$C61)</f>
        <v>0</v>
      </c>
      <c r="E61" s="34">
        <f>SUMIFS(Einzelbeträge!$D:$D,Einzelbeträge!$C:$C,'Ausgaben 2028'!$C61,Einzelbeträge!$E:$E,'Ausgaben 2028'!E$6)</f>
        <v>0</v>
      </c>
      <c r="F61" s="21">
        <f>SUMIFS(Einzelbeträge!$D:$D,Einzelbeträge!$C:$C,'Ausgaben 2028'!$C61,Einzelbeträge!$E:$E,'Ausgaben 2028'!F$6)</f>
        <v>0</v>
      </c>
      <c r="G61" s="21">
        <f>SUMIFS(Einzelbeträge!$D:$D,Einzelbeträge!$C:$C,'Ausgaben 2028'!$C61,Einzelbeträge!$E:$E,'Ausgaben 2028'!G$6)</f>
        <v>0</v>
      </c>
      <c r="H61" s="21">
        <f>SUMIFS(Einzelbeträge!$D:$D,Einzelbeträge!$C:$C,'Ausgaben 2028'!$C61,Einzelbeträge!$E:$E,'Ausgaben 2028'!H$6)</f>
        <v>0</v>
      </c>
      <c r="I61" s="21">
        <f>SUMIFS(Einzelbeträge!$D:$D,Einzelbeträge!$C:$C,'Ausgaben 2028'!$C61,Einzelbeträge!$E:$E,'Ausgaben 2028'!I$6)</f>
        <v>0</v>
      </c>
      <c r="J61" s="21">
        <f>SUMIFS(Einzelbeträge!$D:$D,Einzelbeträge!$C:$C,'Ausgaben 2028'!$C61,Einzelbeträge!$E:$E,'Ausgaben 2028'!J$6)</f>
        <v>0</v>
      </c>
      <c r="K61" s="21">
        <f>SUMIFS(Einzelbeträge!$D:$D,Einzelbeträge!$C:$C,'Ausgaben 2028'!$C61,Einzelbeträge!$E:$E,'Ausgaben 2028'!K$6)</f>
        <v>0</v>
      </c>
      <c r="L61" s="21">
        <f>SUMIFS(Einzelbeträge!$D:$D,Einzelbeträge!$C:$C,'Ausgaben 2028'!$C61,Einzelbeträge!$E:$E,'Ausgaben 2028'!L$6)</f>
        <v>0</v>
      </c>
      <c r="M61" s="21">
        <f>SUMIFS(Einzelbeträge!$D:$D,Einzelbeträge!$C:$C,'Ausgaben 2028'!$C61,Einzelbeträge!$E:$E,'Ausgaben 2028'!M$6)</f>
        <v>0</v>
      </c>
      <c r="N61" s="35">
        <f>SUMIFS(Einzelbeträge!$D:$D,Einzelbeträge!$C:$C,'Ausgaben 2028'!$C61,Einzelbeträge!$E:$E,'Ausgaben 2028'!N$6)</f>
        <v>0</v>
      </c>
      <c r="O61" s="6"/>
    </row>
    <row r="62" spans="2:30" x14ac:dyDescent="0.35">
      <c r="B62" s="5"/>
      <c r="C62" s="40">
        <f t="shared" si="15"/>
        <v>46805</v>
      </c>
      <c r="D62" s="46">
        <f>SUMIFS(Einzelbeträge!$D:$D,Einzelbeträge!$C:$C,'Ausgaben 2028'!$C62)</f>
        <v>0</v>
      </c>
      <c r="E62" s="34">
        <f>SUMIFS(Einzelbeträge!$D:$D,Einzelbeträge!$C:$C,'Ausgaben 2028'!$C62,Einzelbeträge!$E:$E,'Ausgaben 2028'!E$6)</f>
        <v>0</v>
      </c>
      <c r="F62" s="21">
        <f>SUMIFS(Einzelbeträge!$D:$D,Einzelbeträge!$C:$C,'Ausgaben 2028'!$C62,Einzelbeträge!$E:$E,'Ausgaben 2028'!F$6)</f>
        <v>0</v>
      </c>
      <c r="G62" s="21">
        <f>SUMIFS(Einzelbeträge!$D:$D,Einzelbeträge!$C:$C,'Ausgaben 2028'!$C62,Einzelbeträge!$E:$E,'Ausgaben 2028'!G$6)</f>
        <v>0</v>
      </c>
      <c r="H62" s="21">
        <f>SUMIFS(Einzelbeträge!$D:$D,Einzelbeträge!$C:$C,'Ausgaben 2028'!$C62,Einzelbeträge!$E:$E,'Ausgaben 2028'!H$6)</f>
        <v>0</v>
      </c>
      <c r="I62" s="21">
        <f>SUMIFS(Einzelbeträge!$D:$D,Einzelbeträge!$C:$C,'Ausgaben 2028'!$C62,Einzelbeträge!$E:$E,'Ausgaben 2028'!I$6)</f>
        <v>0</v>
      </c>
      <c r="J62" s="21">
        <f>SUMIFS(Einzelbeträge!$D:$D,Einzelbeträge!$C:$C,'Ausgaben 2028'!$C62,Einzelbeträge!$E:$E,'Ausgaben 2028'!J$6)</f>
        <v>0</v>
      </c>
      <c r="K62" s="21">
        <f>SUMIFS(Einzelbeträge!$D:$D,Einzelbeträge!$C:$C,'Ausgaben 2028'!$C62,Einzelbeträge!$E:$E,'Ausgaben 2028'!K$6)</f>
        <v>0</v>
      </c>
      <c r="L62" s="21">
        <f>SUMIFS(Einzelbeträge!$D:$D,Einzelbeträge!$C:$C,'Ausgaben 2028'!$C62,Einzelbeträge!$E:$E,'Ausgaben 2028'!L$6)</f>
        <v>0</v>
      </c>
      <c r="M62" s="21">
        <f>SUMIFS(Einzelbeträge!$D:$D,Einzelbeträge!$C:$C,'Ausgaben 2028'!$C62,Einzelbeträge!$E:$E,'Ausgaben 2028'!M$6)</f>
        <v>0</v>
      </c>
      <c r="N62" s="35">
        <f>SUMIFS(Einzelbeträge!$D:$D,Einzelbeträge!$C:$C,'Ausgaben 2028'!$C62,Einzelbeträge!$E:$E,'Ausgaben 2028'!N$6)</f>
        <v>0</v>
      </c>
      <c r="O62" s="6"/>
    </row>
    <row r="63" spans="2:30" x14ac:dyDescent="0.35">
      <c r="B63" s="5"/>
      <c r="C63" s="40">
        <f t="shared" si="15"/>
        <v>46806</v>
      </c>
      <c r="D63" s="46">
        <f>SUMIFS(Einzelbeträge!$D:$D,Einzelbeträge!$C:$C,'Ausgaben 2028'!$C63)</f>
        <v>0</v>
      </c>
      <c r="E63" s="34">
        <f>SUMIFS(Einzelbeträge!$D:$D,Einzelbeträge!$C:$C,'Ausgaben 2028'!$C63,Einzelbeträge!$E:$E,'Ausgaben 2028'!E$6)</f>
        <v>0</v>
      </c>
      <c r="F63" s="21">
        <f>SUMIFS(Einzelbeträge!$D:$D,Einzelbeträge!$C:$C,'Ausgaben 2028'!$C63,Einzelbeträge!$E:$E,'Ausgaben 2028'!F$6)</f>
        <v>0</v>
      </c>
      <c r="G63" s="21">
        <f>SUMIFS(Einzelbeträge!$D:$D,Einzelbeträge!$C:$C,'Ausgaben 2028'!$C63,Einzelbeträge!$E:$E,'Ausgaben 2028'!G$6)</f>
        <v>0</v>
      </c>
      <c r="H63" s="21">
        <f>SUMIFS(Einzelbeträge!$D:$D,Einzelbeträge!$C:$C,'Ausgaben 2028'!$C63,Einzelbeträge!$E:$E,'Ausgaben 2028'!H$6)</f>
        <v>0</v>
      </c>
      <c r="I63" s="21">
        <f>SUMIFS(Einzelbeträge!$D:$D,Einzelbeträge!$C:$C,'Ausgaben 2028'!$C63,Einzelbeträge!$E:$E,'Ausgaben 2028'!I$6)</f>
        <v>0</v>
      </c>
      <c r="J63" s="21">
        <f>SUMIFS(Einzelbeträge!$D:$D,Einzelbeträge!$C:$C,'Ausgaben 2028'!$C63,Einzelbeträge!$E:$E,'Ausgaben 2028'!J$6)</f>
        <v>0</v>
      </c>
      <c r="K63" s="21">
        <f>SUMIFS(Einzelbeträge!$D:$D,Einzelbeträge!$C:$C,'Ausgaben 2028'!$C63,Einzelbeträge!$E:$E,'Ausgaben 2028'!K$6)</f>
        <v>0</v>
      </c>
      <c r="L63" s="21">
        <f>SUMIFS(Einzelbeträge!$D:$D,Einzelbeträge!$C:$C,'Ausgaben 2028'!$C63,Einzelbeträge!$E:$E,'Ausgaben 2028'!L$6)</f>
        <v>0</v>
      </c>
      <c r="M63" s="21">
        <f>SUMIFS(Einzelbeträge!$D:$D,Einzelbeträge!$C:$C,'Ausgaben 2028'!$C63,Einzelbeträge!$E:$E,'Ausgaben 2028'!M$6)</f>
        <v>0</v>
      </c>
      <c r="N63" s="35">
        <f>SUMIFS(Einzelbeträge!$D:$D,Einzelbeträge!$C:$C,'Ausgaben 2028'!$C63,Einzelbeträge!$E:$E,'Ausgaben 2028'!N$6)</f>
        <v>0</v>
      </c>
      <c r="O63" s="6"/>
    </row>
    <row r="64" spans="2:30" x14ac:dyDescent="0.35">
      <c r="B64" s="5"/>
      <c r="C64" s="40">
        <f t="shared" si="15"/>
        <v>46807</v>
      </c>
      <c r="D64" s="46">
        <f>SUMIFS(Einzelbeträge!$D:$D,Einzelbeträge!$C:$C,'Ausgaben 2028'!$C64)</f>
        <v>0</v>
      </c>
      <c r="E64" s="34">
        <f>SUMIFS(Einzelbeträge!$D:$D,Einzelbeträge!$C:$C,'Ausgaben 2028'!$C64,Einzelbeträge!$E:$E,'Ausgaben 2028'!E$6)</f>
        <v>0</v>
      </c>
      <c r="F64" s="21">
        <f>SUMIFS(Einzelbeträge!$D:$D,Einzelbeträge!$C:$C,'Ausgaben 2028'!$C64,Einzelbeträge!$E:$E,'Ausgaben 2028'!F$6)</f>
        <v>0</v>
      </c>
      <c r="G64" s="21">
        <f>SUMIFS(Einzelbeträge!$D:$D,Einzelbeträge!$C:$C,'Ausgaben 2028'!$C64,Einzelbeträge!$E:$E,'Ausgaben 2028'!G$6)</f>
        <v>0</v>
      </c>
      <c r="H64" s="21">
        <f>SUMIFS(Einzelbeträge!$D:$D,Einzelbeträge!$C:$C,'Ausgaben 2028'!$C64,Einzelbeträge!$E:$E,'Ausgaben 2028'!H$6)</f>
        <v>0</v>
      </c>
      <c r="I64" s="21">
        <f>SUMIFS(Einzelbeträge!$D:$D,Einzelbeträge!$C:$C,'Ausgaben 2028'!$C64,Einzelbeträge!$E:$E,'Ausgaben 2028'!I$6)</f>
        <v>0</v>
      </c>
      <c r="J64" s="21">
        <f>SUMIFS(Einzelbeträge!$D:$D,Einzelbeträge!$C:$C,'Ausgaben 2028'!$C64,Einzelbeträge!$E:$E,'Ausgaben 2028'!J$6)</f>
        <v>0</v>
      </c>
      <c r="K64" s="21">
        <f>SUMIFS(Einzelbeträge!$D:$D,Einzelbeträge!$C:$C,'Ausgaben 2028'!$C64,Einzelbeträge!$E:$E,'Ausgaben 2028'!K$6)</f>
        <v>0</v>
      </c>
      <c r="L64" s="21">
        <f>SUMIFS(Einzelbeträge!$D:$D,Einzelbeträge!$C:$C,'Ausgaben 2028'!$C64,Einzelbeträge!$E:$E,'Ausgaben 2028'!L$6)</f>
        <v>0</v>
      </c>
      <c r="M64" s="21">
        <f>SUMIFS(Einzelbeträge!$D:$D,Einzelbeträge!$C:$C,'Ausgaben 2028'!$C64,Einzelbeträge!$E:$E,'Ausgaben 2028'!M$6)</f>
        <v>0</v>
      </c>
      <c r="N64" s="35">
        <f>SUMIFS(Einzelbeträge!$D:$D,Einzelbeträge!$C:$C,'Ausgaben 2028'!$C64,Einzelbeträge!$E:$E,'Ausgaben 2028'!N$6)</f>
        <v>0</v>
      </c>
      <c r="O64" s="6"/>
    </row>
    <row r="65" spans="2:15" x14ac:dyDescent="0.35">
      <c r="B65" s="5"/>
      <c r="C65" s="40">
        <f t="shared" si="15"/>
        <v>46808</v>
      </c>
      <c r="D65" s="46">
        <f>SUMIFS(Einzelbeträge!$D:$D,Einzelbeträge!$C:$C,'Ausgaben 2028'!$C65)</f>
        <v>0</v>
      </c>
      <c r="E65" s="34">
        <f>SUMIFS(Einzelbeträge!$D:$D,Einzelbeträge!$C:$C,'Ausgaben 2028'!$C65,Einzelbeträge!$E:$E,'Ausgaben 2028'!E$6)</f>
        <v>0</v>
      </c>
      <c r="F65" s="21">
        <f>SUMIFS(Einzelbeträge!$D:$D,Einzelbeträge!$C:$C,'Ausgaben 2028'!$C65,Einzelbeträge!$E:$E,'Ausgaben 2028'!F$6)</f>
        <v>0</v>
      </c>
      <c r="G65" s="21">
        <f>SUMIFS(Einzelbeträge!$D:$D,Einzelbeträge!$C:$C,'Ausgaben 2028'!$C65,Einzelbeträge!$E:$E,'Ausgaben 2028'!G$6)</f>
        <v>0</v>
      </c>
      <c r="H65" s="21">
        <f>SUMIFS(Einzelbeträge!$D:$D,Einzelbeträge!$C:$C,'Ausgaben 2028'!$C65,Einzelbeträge!$E:$E,'Ausgaben 2028'!H$6)</f>
        <v>0</v>
      </c>
      <c r="I65" s="21">
        <f>SUMIFS(Einzelbeträge!$D:$D,Einzelbeträge!$C:$C,'Ausgaben 2028'!$C65,Einzelbeträge!$E:$E,'Ausgaben 2028'!I$6)</f>
        <v>0</v>
      </c>
      <c r="J65" s="21">
        <f>SUMIFS(Einzelbeträge!$D:$D,Einzelbeträge!$C:$C,'Ausgaben 2028'!$C65,Einzelbeträge!$E:$E,'Ausgaben 2028'!J$6)</f>
        <v>0</v>
      </c>
      <c r="K65" s="21">
        <f>SUMIFS(Einzelbeträge!$D:$D,Einzelbeträge!$C:$C,'Ausgaben 2028'!$C65,Einzelbeträge!$E:$E,'Ausgaben 2028'!K$6)</f>
        <v>0</v>
      </c>
      <c r="L65" s="21">
        <f>SUMIFS(Einzelbeträge!$D:$D,Einzelbeträge!$C:$C,'Ausgaben 2028'!$C65,Einzelbeträge!$E:$E,'Ausgaben 2028'!L$6)</f>
        <v>0</v>
      </c>
      <c r="M65" s="21">
        <f>SUMIFS(Einzelbeträge!$D:$D,Einzelbeträge!$C:$C,'Ausgaben 2028'!$C65,Einzelbeträge!$E:$E,'Ausgaben 2028'!M$6)</f>
        <v>0</v>
      </c>
      <c r="N65" s="35">
        <f>SUMIFS(Einzelbeträge!$D:$D,Einzelbeträge!$C:$C,'Ausgaben 2028'!$C65,Einzelbeträge!$E:$E,'Ausgaben 2028'!N$6)</f>
        <v>0</v>
      </c>
      <c r="O65" s="6"/>
    </row>
    <row r="66" spans="2:15" x14ac:dyDescent="0.35">
      <c r="B66" s="5"/>
      <c r="C66" s="40">
        <f t="shared" si="15"/>
        <v>46809</v>
      </c>
      <c r="D66" s="46">
        <f>SUMIFS(Einzelbeträge!$D:$D,Einzelbeträge!$C:$C,'Ausgaben 2028'!$C66)</f>
        <v>0</v>
      </c>
      <c r="E66" s="34">
        <f>SUMIFS(Einzelbeträge!$D:$D,Einzelbeträge!$C:$C,'Ausgaben 2028'!$C66,Einzelbeträge!$E:$E,'Ausgaben 2028'!E$6)</f>
        <v>0</v>
      </c>
      <c r="F66" s="21">
        <f>SUMIFS(Einzelbeträge!$D:$D,Einzelbeträge!$C:$C,'Ausgaben 2028'!$C66,Einzelbeträge!$E:$E,'Ausgaben 2028'!F$6)</f>
        <v>0</v>
      </c>
      <c r="G66" s="21">
        <f>SUMIFS(Einzelbeträge!$D:$D,Einzelbeträge!$C:$C,'Ausgaben 2028'!$C66,Einzelbeträge!$E:$E,'Ausgaben 2028'!G$6)</f>
        <v>0</v>
      </c>
      <c r="H66" s="21">
        <f>SUMIFS(Einzelbeträge!$D:$D,Einzelbeträge!$C:$C,'Ausgaben 2028'!$C66,Einzelbeträge!$E:$E,'Ausgaben 2028'!H$6)</f>
        <v>0</v>
      </c>
      <c r="I66" s="21">
        <f>SUMIFS(Einzelbeträge!$D:$D,Einzelbeträge!$C:$C,'Ausgaben 2028'!$C66,Einzelbeträge!$E:$E,'Ausgaben 2028'!I$6)</f>
        <v>0</v>
      </c>
      <c r="J66" s="21">
        <f>SUMIFS(Einzelbeträge!$D:$D,Einzelbeträge!$C:$C,'Ausgaben 2028'!$C66,Einzelbeträge!$E:$E,'Ausgaben 2028'!J$6)</f>
        <v>0</v>
      </c>
      <c r="K66" s="21">
        <f>SUMIFS(Einzelbeträge!$D:$D,Einzelbeträge!$C:$C,'Ausgaben 2028'!$C66,Einzelbeträge!$E:$E,'Ausgaben 2028'!K$6)</f>
        <v>0</v>
      </c>
      <c r="L66" s="21">
        <f>SUMIFS(Einzelbeträge!$D:$D,Einzelbeträge!$C:$C,'Ausgaben 2028'!$C66,Einzelbeträge!$E:$E,'Ausgaben 2028'!L$6)</f>
        <v>0</v>
      </c>
      <c r="M66" s="21">
        <f>SUMIFS(Einzelbeträge!$D:$D,Einzelbeträge!$C:$C,'Ausgaben 2028'!$C66,Einzelbeträge!$E:$E,'Ausgaben 2028'!M$6)</f>
        <v>0</v>
      </c>
      <c r="N66" s="35">
        <f>SUMIFS(Einzelbeträge!$D:$D,Einzelbeträge!$C:$C,'Ausgaben 2028'!$C66,Einzelbeträge!$E:$E,'Ausgaben 2028'!N$6)</f>
        <v>0</v>
      </c>
      <c r="O66" s="6"/>
    </row>
    <row r="67" spans="2:15" x14ac:dyDescent="0.35">
      <c r="B67" s="5"/>
      <c r="C67" s="40">
        <f t="shared" si="15"/>
        <v>46810</v>
      </c>
      <c r="D67" s="46">
        <f>SUMIFS(Einzelbeträge!$D:$D,Einzelbeträge!$C:$C,'Ausgaben 2028'!$C67)</f>
        <v>0</v>
      </c>
      <c r="E67" s="34">
        <f>SUMIFS(Einzelbeträge!$D:$D,Einzelbeträge!$C:$C,'Ausgaben 2028'!$C67,Einzelbeträge!$E:$E,'Ausgaben 2028'!E$6)</f>
        <v>0</v>
      </c>
      <c r="F67" s="21">
        <f>SUMIFS(Einzelbeträge!$D:$D,Einzelbeträge!$C:$C,'Ausgaben 2028'!$C67,Einzelbeträge!$E:$E,'Ausgaben 2028'!F$6)</f>
        <v>0</v>
      </c>
      <c r="G67" s="21">
        <f>SUMIFS(Einzelbeträge!$D:$D,Einzelbeträge!$C:$C,'Ausgaben 2028'!$C67,Einzelbeträge!$E:$E,'Ausgaben 2028'!G$6)</f>
        <v>0</v>
      </c>
      <c r="H67" s="21">
        <f>SUMIFS(Einzelbeträge!$D:$D,Einzelbeträge!$C:$C,'Ausgaben 2028'!$C67,Einzelbeträge!$E:$E,'Ausgaben 2028'!H$6)</f>
        <v>0</v>
      </c>
      <c r="I67" s="21">
        <f>SUMIFS(Einzelbeträge!$D:$D,Einzelbeträge!$C:$C,'Ausgaben 2028'!$C67,Einzelbeträge!$E:$E,'Ausgaben 2028'!I$6)</f>
        <v>0</v>
      </c>
      <c r="J67" s="21">
        <f>SUMIFS(Einzelbeträge!$D:$D,Einzelbeträge!$C:$C,'Ausgaben 2028'!$C67,Einzelbeträge!$E:$E,'Ausgaben 2028'!J$6)</f>
        <v>0</v>
      </c>
      <c r="K67" s="21">
        <f>SUMIFS(Einzelbeträge!$D:$D,Einzelbeträge!$C:$C,'Ausgaben 2028'!$C67,Einzelbeträge!$E:$E,'Ausgaben 2028'!K$6)</f>
        <v>0</v>
      </c>
      <c r="L67" s="21">
        <f>SUMIFS(Einzelbeträge!$D:$D,Einzelbeträge!$C:$C,'Ausgaben 2028'!$C67,Einzelbeträge!$E:$E,'Ausgaben 2028'!L$6)</f>
        <v>0</v>
      </c>
      <c r="M67" s="21">
        <f>SUMIFS(Einzelbeträge!$D:$D,Einzelbeträge!$C:$C,'Ausgaben 2028'!$C67,Einzelbeträge!$E:$E,'Ausgaben 2028'!M$6)</f>
        <v>0</v>
      </c>
      <c r="N67" s="35">
        <f>SUMIFS(Einzelbeträge!$D:$D,Einzelbeträge!$C:$C,'Ausgaben 2028'!$C67,Einzelbeträge!$E:$E,'Ausgaben 2028'!N$6)</f>
        <v>0</v>
      </c>
      <c r="O67" s="6"/>
    </row>
    <row r="68" spans="2:15" x14ac:dyDescent="0.35">
      <c r="B68" s="5"/>
      <c r="C68" s="40">
        <f t="shared" si="15"/>
        <v>46811</v>
      </c>
      <c r="D68" s="46">
        <f>SUMIFS(Einzelbeträge!$D:$D,Einzelbeträge!$C:$C,'Ausgaben 2028'!$C68)</f>
        <v>0</v>
      </c>
      <c r="E68" s="34">
        <f>SUMIFS(Einzelbeträge!$D:$D,Einzelbeträge!$C:$C,'Ausgaben 2028'!$C68,Einzelbeträge!$E:$E,'Ausgaben 2028'!E$6)</f>
        <v>0</v>
      </c>
      <c r="F68" s="21">
        <f>SUMIFS(Einzelbeträge!$D:$D,Einzelbeträge!$C:$C,'Ausgaben 2028'!$C68,Einzelbeträge!$E:$E,'Ausgaben 2028'!F$6)</f>
        <v>0</v>
      </c>
      <c r="G68" s="21">
        <f>SUMIFS(Einzelbeträge!$D:$D,Einzelbeträge!$C:$C,'Ausgaben 2028'!$C68,Einzelbeträge!$E:$E,'Ausgaben 2028'!G$6)</f>
        <v>0</v>
      </c>
      <c r="H68" s="21">
        <f>SUMIFS(Einzelbeträge!$D:$D,Einzelbeträge!$C:$C,'Ausgaben 2028'!$C68,Einzelbeträge!$E:$E,'Ausgaben 2028'!H$6)</f>
        <v>0</v>
      </c>
      <c r="I68" s="21">
        <f>SUMIFS(Einzelbeträge!$D:$D,Einzelbeträge!$C:$C,'Ausgaben 2028'!$C68,Einzelbeträge!$E:$E,'Ausgaben 2028'!I$6)</f>
        <v>0</v>
      </c>
      <c r="J68" s="21">
        <f>SUMIFS(Einzelbeträge!$D:$D,Einzelbeträge!$C:$C,'Ausgaben 2028'!$C68,Einzelbeträge!$E:$E,'Ausgaben 2028'!J$6)</f>
        <v>0</v>
      </c>
      <c r="K68" s="21">
        <f>SUMIFS(Einzelbeträge!$D:$D,Einzelbeträge!$C:$C,'Ausgaben 2028'!$C68,Einzelbeträge!$E:$E,'Ausgaben 2028'!K$6)</f>
        <v>0</v>
      </c>
      <c r="L68" s="21">
        <f>SUMIFS(Einzelbeträge!$D:$D,Einzelbeträge!$C:$C,'Ausgaben 2028'!$C68,Einzelbeträge!$E:$E,'Ausgaben 2028'!L$6)</f>
        <v>0</v>
      </c>
      <c r="M68" s="21">
        <f>SUMIFS(Einzelbeträge!$D:$D,Einzelbeträge!$C:$C,'Ausgaben 2028'!$C68,Einzelbeträge!$E:$E,'Ausgaben 2028'!M$6)</f>
        <v>0</v>
      </c>
      <c r="N68" s="35">
        <f>SUMIFS(Einzelbeträge!$D:$D,Einzelbeträge!$C:$C,'Ausgaben 2028'!$C68,Einzelbeträge!$E:$E,'Ausgaben 2028'!N$6)</f>
        <v>0</v>
      </c>
      <c r="O68" s="6"/>
    </row>
    <row r="69" spans="2:15" x14ac:dyDescent="0.35">
      <c r="B69" s="5"/>
      <c r="C69" s="31">
        <f>IF(MONTH(C68+1)=3, " ", C68+1)</f>
        <v>46812</v>
      </c>
      <c r="D69" s="47">
        <f>SUMIFS(Einzelbeträge!$D:$D,Einzelbeträge!$C:$C,'Ausgaben 2028'!$C69)</f>
        <v>0</v>
      </c>
      <c r="E69" s="36">
        <f>SUMIFS(Einzelbeträge!$D:$D,Einzelbeträge!$C:$C,'Ausgaben 2028'!$C69,Einzelbeträge!$E:$E,'Ausgaben 2028'!E$6)</f>
        <v>0</v>
      </c>
      <c r="F69" s="37">
        <f>SUMIFS(Einzelbeträge!$D:$D,Einzelbeträge!$C:$C,'Ausgaben 2028'!$C69,Einzelbeträge!$E:$E,'Ausgaben 2028'!F$6)</f>
        <v>0</v>
      </c>
      <c r="G69" s="37">
        <f>SUMIFS(Einzelbeträge!$D:$D,Einzelbeträge!$C:$C,'Ausgaben 2028'!$C69,Einzelbeträge!$E:$E,'Ausgaben 2028'!G$6)</f>
        <v>0</v>
      </c>
      <c r="H69" s="37">
        <f>SUMIFS(Einzelbeträge!$D:$D,Einzelbeträge!$C:$C,'Ausgaben 2028'!$C69,Einzelbeträge!$E:$E,'Ausgaben 2028'!H$6)</f>
        <v>0</v>
      </c>
      <c r="I69" s="37">
        <f>SUMIFS(Einzelbeträge!$D:$D,Einzelbeträge!$C:$C,'Ausgaben 2028'!$C69,Einzelbeträge!$E:$E,'Ausgaben 2028'!I$6)</f>
        <v>0</v>
      </c>
      <c r="J69" s="37">
        <f>SUMIFS(Einzelbeträge!$D:$D,Einzelbeträge!$C:$C,'Ausgaben 2028'!$C69,Einzelbeträge!$E:$E,'Ausgaben 2028'!J$6)</f>
        <v>0</v>
      </c>
      <c r="K69" s="37">
        <f>SUMIFS(Einzelbeträge!$D:$D,Einzelbeträge!$C:$C,'Ausgaben 2028'!$C69,Einzelbeträge!$E:$E,'Ausgaben 2028'!K$6)</f>
        <v>0</v>
      </c>
      <c r="L69" s="37">
        <f>SUMIFS(Einzelbeträge!$D:$D,Einzelbeträge!$C:$C,'Ausgaben 2028'!$C69,Einzelbeträge!$E:$E,'Ausgaben 2028'!L$6)</f>
        <v>0</v>
      </c>
      <c r="M69" s="37">
        <f>SUMIFS(Einzelbeträge!$D:$D,Einzelbeträge!$C:$C,'Ausgaben 2028'!$C69,Einzelbeträge!$E:$E,'Ausgaben 2028'!M$6)</f>
        <v>0</v>
      </c>
      <c r="N69" s="38">
        <f>SUMIFS(Einzelbeträge!$D:$D,Einzelbeträge!$C:$C,'Ausgaben 2028'!$C69,Einzelbeträge!$E:$E,'Ausgaben 2028'!N$6)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46813</v>
      </c>
      <c r="D73" s="45">
        <f>SUMIFS(Einzelbeträge!$D:$D,Einzelbeträge!$C:$C,'Ausgaben 2028'!$C73)</f>
        <v>0</v>
      </c>
      <c r="E73" s="88">
        <f>SUMIFS(Einzelbeträge!$D:$D,Einzelbeträge!$C:$C,'Ausgaben 2028'!$C73,Einzelbeträge!$E:$E,'Ausgaben 2028'!E$6)</f>
        <v>0</v>
      </c>
      <c r="F73" s="32">
        <f>SUMIFS(Einzelbeträge!$D:$D,Einzelbeträge!$C:$C,'Ausgaben 2028'!$C73,Einzelbeträge!$E:$E,'Ausgaben 2028'!F$6)</f>
        <v>0</v>
      </c>
      <c r="G73" s="32">
        <f>SUMIFS(Einzelbeträge!$D:$D,Einzelbeträge!$C:$C,'Ausgaben 2028'!$C73,Einzelbeträge!$E:$E,'Ausgaben 2028'!G$6)</f>
        <v>0</v>
      </c>
      <c r="H73" s="32">
        <f>SUMIFS(Einzelbeträge!$D:$D,Einzelbeträge!$C:$C,'Ausgaben 2028'!$C73,Einzelbeträge!$E:$E,'Ausgaben 2028'!H$6)</f>
        <v>0</v>
      </c>
      <c r="I73" s="32">
        <f>SUMIFS(Einzelbeträge!$D:$D,Einzelbeträge!$C:$C,'Ausgaben 2028'!$C73,Einzelbeträge!$E:$E,'Ausgaben 2028'!I$6)</f>
        <v>0</v>
      </c>
      <c r="J73" s="32">
        <f>SUMIFS(Einzelbeträge!$D:$D,Einzelbeträge!$C:$C,'Ausgaben 2028'!$C73,Einzelbeträge!$E:$E,'Ausgaben 2028'!J$6)</f>
        <v>0</v>
      </c>
      <c r="K73" s="32">
        <f>SUMIFS(Einzelbeträge!$D:$D,Einzelbeträge!$C:$C,'Ausgaben 2028'!$C73,Einzelbeträge!$E:$E,'Ausgaben 2028'!K$6)</f>
        <v>0</v>
      </c>
      <c r="L73" s="32">
        <f>SUMIFS(Einzelbeträge!$D:$D,Einzelbeträge!$C:$C,'Ausgaben 2028'!$C73,Einzelbeträge!$E:$E,'Ausgaben 2028'!L$6)</f>
        <v>0</v>
      </c>
      <c r="M73" s="32">
        <f>SUMIFS(Einzelbeträge!$D:$D,Einzelbeträge!$C:$C,'Ausgaben 2028'!$C73,Einzelbeträge!$E:$E,'Ausgaben 2028'!M$6)</f>
        <v>0</v>
      </c>
      <c r="N73" s="33">
        <f>SUMIFS(Einzelbeträge!$D:$D,Einzelbeträge!$C:$C,'Ausgaben 2028'!$C73,Einzelbeträge!$E:$E,'Ausgaben 2028'!N$6)</f>
        <v>0</v>
      </c>
      <c r="O73" s="6"/>
    </row>
    <row r="74" spans="2:15" x14ac:dyDescent="0.35">
      <c r="B74" s="5"/>
      <c r="C74" s="40">
        <f>C73+1</f>
        <v>46814</v>
      </c>
      <c r="D74" s="46">
        <f>SUMIFS(Einzelbeträge!$D:$D,Einzelbeträge!$C:$C,'Ausgaben 2028'!$C74)</f>
        <v>0</v>
      </c>
      <c r="E74" s="34">
        <f>SUMIFS(Einzelbeträge!$D:$D,Einzelbeträge!$C:$C,'Ausgaben 2028'!$C74,Einzelbeträge!$E:$E,'Ausgaben 2028'!E$6)</f>
        <v>0</v>
      </c>
      <c r="F74" s="21">
        <f>SUMIFS(Einzelbeträge!$D:$D,Einzelbeträge!$C:$C,'Ausgaben 2028'!$C74,Einzelbeträge!$E:$E,'Ausgaben 2028'!F$6)</f>
        <v>0</v>
      </c>
      <c r="G74" s="21">
        <f>SUMIFS(Einzelbeträge!$D:$D,Einzelbeträge!$C:$C,'Ausgaben 2028'!$C74,Einzelbeträge!$E:$E,'Ausgaben 2028'!G$6)</f>
        <v>0</v>
      </c>
      <c r="H74" s="21">
        <f>SUMIFS(Einzelbeträge!$D:$D,Einzelbeträge!$C:$C,'Ausgaben 2028'!$C74,Einzelbeträge!$E:$E,'Ausgaben 2028'!H$6)</f>
        <v>0</v>
      </c>
      <c r="I74" s="21">
        <f>SUMIFS(Einzelbeträge!$D:$D,Einzelbeträge!$C:$C,'Ausgaben 2028'!$C74,Einzelbeträge!$E:$E,'Ausgaben 2028'!I$6)</f>
        <v>0</v>
      </c>
      <c r="J74" s="21">
        <f>SUMIFS(Einzelbeträge!$D:$D,Einzelbeträge!$C:$C,'Ausgaben 2028'!$C74,Einzelbeträge!$E:$E,'Ausgaben 2028'!J$6)</f>
        <v>0</v>
      </c>
      <c r="K74" s="21">
        <f>SUMIFS(Einzelbeträge!$D:$D,Einzelbeträge!$C:$C,'Ausgaben 2028'!$C74,Einzelbeträge!$E:$E,'Ausgaben 2028'!K$6)</f>
        <v>0</v>
      </c>
      <c r="L74" s="21">
        <f>SUMIFS(Einzelbeträge!$D:$D,Einzelbeträge!$C:$C,'Ausgaben 2028'!$C74,Einzelbeträge!$E:$E,'Ausgaben 2028'!L$6)</f>
        <v>0</v>
      </c>
      <c r="M74" s="21">
        <f>SUMIFS(Einzelbeträge!$D:$D,Einzelbeträge!$C:$C,'Ausgaben 2028'!$C74,Einzelbeträge!$E:$E,'Ausgaben 2028'!M$6)</f>
        <v>0</v>
      </c>
      <c r="N74" s="35">
        <f>SUMIFS(Einzelbeträge!$D:$D,Einzelbeträge!$C:$C,'Ausgaben 2028'!$C74,Einzelbeträge!$E:$E,'Ausgaben 2028'!N$6)</f>
        <v>0</v>
      </c>
      <c r="O74" s="6"/>
    </row>
    <row r="75" spans="2:15" x14ac:dyDescent="0.35">
      <c r="B75" s="5"/>
      <c r="C75" s="40">
        <f t="shared" ref="C75:C103" si="18">C74+1</f>
        <v>46815</v>
      </c>
      <c r="D75" s="46">
        <f>SUMIFS(Einzelbeträge!$D:$D,Einzelbeträge!$C:$C,'Ausgaben 2028'!$C75)</f>
        <v>0</v>
      </c>
      <c r="E75" s="34">
        <f>SUMIFS(Einzelbeträge!$D:$D,Einzelbeträge!$C:$C,'Ausgaben 2028'!$C75,Einzelbeträge!$E:$E,'Ausgaben 2028'!E$6)</f>
        <v>0</v>
      </c>
      <c r="F75" s="21">
        <f>SUMIFS(Einzelbeträge!$D:$D,Einzelbeträge!$C:$C,'Ausgaben 2028'!$C75,Einzelbeträge!$E:$E,'Ausgaben 2028'!F$6)</f>
        <v>0</v>
      </c>
      <c r="G75" s="21">
        <f>SUMIFS(Einzelbeträge!$D:$D,Einzelbeträge!$C:$C,'Ausgaben 2028'!$C75,Einzelbeträge!$E:$E,'Ausgaben 2028'!G$6)</f>
        <v>0</v>
      </c>
      <c r="H75" s="21">
        <f>SUMIFS(Einzelbeträge!$D:$D,Einzelbeträge!$C:$C,'Ausgaben 2028'!$C75,Einzelbeträge!$E:$E,'Ausgaben 2028'!H$6)</f>
        <v>0</v>
      </c>
      <c r="I75" s="21">
        <f>SUMIFS(Einzelbeträge!$D:$D,Einzelbeträge!$C:$C,'Ausgaben 2028'!$C75,Einzelbeträge!$E:$E,'Ausgaben 2028'!I$6)</f>
        <v>0</v>
      </c>
      <c r="J75" s="21">
        <f>SUMIFS(Einzelbeträge!$D:$D,Einzelbeträge!$C:$C,'Ausgaben 2028'!$C75,Einzelbeträge!$E:$E,'Ausgaben 2028'!J$6)</f>
        <v>0</v>
      </c>
      <c r="K75" s="21">
        <f>SUMIFS(Einzelbeträge!$D:$D,Einzelbeträge!$C:$C,'Ausgaben 2028'!$C75,Einzelbeträge!$E:$E,'Ausgaben 2028'!K$6)</f>
        <v>0</v>
      </c>
      <c r="L75" s="21">
        <f>SUMIFS(Einzelbeträge!$D:$D,Einzelbeträge!$C:$C,'Ausgaben 2028'!$C75,Einzelbeträge!$E:$E,'Ausgaben 2028'!L$6)</f>
        <v>0</v>
      </c>
      <c r="M75" s="21">
        <f>SUMIFS(Einzelbeträge!$D:$D,Einzelbeträge!$C:$C,'Ausgaben 2028'!$C75,Einzelbeträge!$E:$E,'Ausgaben 2028'!M$6)</f>
        <v>0</v>
      </c>
      <c r="N75" s="35">
        <f>SUMIFS(Einzelbeträge!$D:$D,Einzelbeträge!$C:$C,'Ausgaben 2028'!$C75,Einzelbeträge!$E:$E,'Ausgaben 2028'!N$6)</f>
        <v>0</v>
      </c>
      <c r="O75" s="6"/>
    </row>
    <row r="76" spans="2:15" x14ac:dyDescent="0.35">
      <c r="B76" s="5"/>
      <c r="C76" s="40">
        <f t="shared" si="18"/>
        <v>46816</v>
      </c>
      <c r="D76" s="46">
        <f>SUMIFS(Einzelbeträge!$D:$D,Einzelbeträge!$C:$C,'Ausgaben 2028'!$C76)</f>
        <v>0</v>
      </c>
      <c r="E76" s="34">
        <f>SUMIFS(Einzelbeträge!$D:$D,Einzelbeträge!$C:$C,'Ausgaben 2028'!$C76,Einzelbeträge!$E:$E,'Ausgaben 2028'!E$6)</f>
        <v>0</v>
      </c>
      <c r="F76" s="21">
        <f>SUMIFS(Einzelbeträge!$D:$D,Einzelbeträge!$C:$C,'Ausgaben 2028'!$C76,Einzelbeträge!$E:$E,'Ausgaben 2028'!F$6)</f>
        <v>0</v>
      </c>
      <c r="G76" s="21">
        <f>SUMIFS(Einzelbeträge!$D:$D,Einzelbeträge!$C:$C,'Ausgaben 2028'!$C76,Einzelbeträge!$E:$E,'Ausgaben 2028'!G$6)</f>
        <v>0</v>
      </c>
      <c r="H76" s="21">
        <f>SUMIFS(Einzelbeträge!$D:$D,Einzelbeträge!$C:$C,'Ausgaben 2028'!$C76,Einzelbeträge!$E:$E,'Ausgaben 2028'!H$6)</f>
        <v>0</v>
      </c>
      <c r="I76" s="21">
        <f>SUMIFS(Einzelbeträge!$D:$D,Einzelbeträge!$C:$C,'Ausgaben 2028'!$C76,Einzelbeträge!$E:$E,'Ausgaben 2028'!I$6)</f>
        <v>0</v>
      </c>
      <c r="J76" s="21">
        <f>SUMIFS(Einzelbeträge!$D:$D,Einzelbeträge!$C:$C,'Ausgaben 2028'!$C76,Einzelbeträge!$E:$E,'Ausgaben 2028'!J$6)</f>
        <v>0</v>
      </c>
      <c r="K76" s="21">
        <f>SUMIFS(Einzelbeträge!$D:$D,Einzelbeträge!$C:$C,'Ausgaben 2028'!$C76,Einzelbeträge!$E:$E,'Ausgaben 2028'!K$6)</f>
        <v>0</v>
      </c>
      <c r="L76" s="21">
        <f>SUMIFS(Einzelbeträge!$D:$D,Einzelbeträge!$C:$C,'Ausgaben 2028'!$C76,Einzelbeträge!$E:$E,'Ausgaben 2028'!L$6)</f>
        <v>0</v>
      </c>
      <c r="M76" s="21">
        <f>SUMIFS(Einzelbeträge!$D:$D,Einzelbeträge!$C:$C,'Ausgaben 2028'!$C76,Einzelbeträge!$E:$E,'Ausgaben 2028'!M$6)</f>
        <v>0</v>
      </c>
      <c r="N76" s="35">
        <f>SUMIFS(Einzelbeträge!$D:$D,Einzelbeträge!$C:$C,'Ausgaben 2028'!$C76,Einzelbeträge!$E:$E,'Ausgaben 2028'!N$6)</f>
        <v>0</v>
      </c>
      <c r="O76" s="6"/>
    </row>
    <row r="77" spans="2:15" x14ac:dyDescent="0.35">
      <c r="B77" s="5"/>
      <c r="C77" s="40">
        <f t="shared" si="18"/>
        <v>46817</v>
      </c>
      <c r="D77" s="46">
        <f>SUMIFS(Einzelbeträge!$D:$D,Einzelbeträge!$C:$C,'Ausgaben 2028'!$C77)</f>
        <v>0</v>
      </c>
      <c r="E77" s="34">
        <f>SUMIFS(Einzelbeträge!$D:$D,Einzelbeträge!$C:$C,'Ausgaben 2028'!$C77,Einzelbeträge!$E:$E,'Ausgaben 2028'!E$6)</f>
        <v>0</v>
      </c>
      <c r="F77" s="21">
        <f>SUMIFS(Einzelbeträge!$D:$D,Einzelbeträge!$C:$C,'Ausgaben 2028'!$C77,Einzelbeträge!$E:$E,'Ausgaben 2028'!F$6)</f>
        <v>0</v>
      </c>
      <c r="G77" s="21">
        <f>SUMIFS(Einzelbeträge!$D:$D,Einzelbeträge!$C:$C,'Ausgaben 2028'!$C77,Einzelbeträge!$E:$E,'Ausgaben 2028'!G$6)</f>
        <v>0</v>
      </c>
      <c r="H77" s="21">
        <f>SUMIFS(Einzelbeträge!$D:$D,Einzelbeträge!$C:$C,'Ausgaben 2028'!$C77,Einzelbeträge!$E:$E,'Ausgaben 2028'!H$6)</f>
        <v>0</v>
      </c>
      <c r="I77" s="21">
        <f>SUMIFS(Einzelbeträge!$D:$D,Einzelbeträge!$C:$C,'Ausgaben 2028'!$C77,Einzelbeträge!$E:$E,'Ausgaben 2028'!I$6)</f>
        <v>0</v>
      </c>
      <c r="J77" s="21">
        <f>SUMIFS(Einzelbeträge!$D:$D,Einzelbeträge!$C:$C,'Ausgaben 2028'!$C77,Einzelbeträge!$E:$E,'Ausgaben 2028'!J$6)</f>
        <v>0</v>
      </c>
      <c r="K77" s="21">
        <f>SUMIFS(Einzelbeträge!$D:$D,Einzelbeträge!$C:$C,'Ausgaben 2028'!$C77,Einzelbeträge!$E:$E,'Ausgaben 2028'!K$6)</f>
        <v>0</v>
      </c>
      <c r="L77" s="21">
        <f>SUMIFS(Einzelbeträge!$D:$D,Einzelbeträge!$C:$C,'Ausgaben 2028'!$C77,Einzelbeträge!$E:$E,'Ausgaben 2028'!L$6)</f>
        <v>0</v>
      </c>
      <c r="M77" s="21">
        <f>SUMIFS(Einzelbeträge!$D:$D,Einzelbeträge!$C:$C,'Ausgaben 2028'!$C77,Einzelbeträge!$E:$E,'Ausgaben 2028'!M$6)</f>
        <v>0</v>
      </c>
      <c r="N77" s="35">
        <f>SUMIFS(Einzelbeträge!$D:$D,Einzelbeträge!$C:$C,'Ausgaben 2028'!$C77,Einzelbeträge!$E:$E,'Ausgaben 2028'!N$6)</f>
        <v>0</v>
      </c>
      <c r="O77" s="6"/>
    </row>
    <row r="78" spans="2:15" x14ac:dyDescent="0.35">
      <c r="B78" s="5"/>
      <c r="C78" s="40">
        <f t="shared" si="18"/>
        <v>46818</v>
      </c>
      <c r="D78" s="46">
        <f>SUMIFS(Einzelbeträge!$D:$D,Einzelbeträge!$C:$C,'Ausgaben 2028'!$C78)</f>
        <v>0</v>
      </c>
      <c r="E78" s="34">
        <f>SUMIFS(Einzelbeträge!$D:$D,Einzelbeträge!$C:$C,'Ausgaben 2028'!$C78,Einzelbeträge!$E:$E,'Ausgaben 2028'!E$6)</f>
        <v>0</v>
      </c>
      <c r="F78" s="21">
        <f>SUMIFS(Einzelbeträge!$D:$D,Einzelbeträge!$C:$C,'Ausgaben 2028'!$C78,Einzelbeträge!$E:$E,'Ausgaben 2028'!F$6)</f>
        <v>0</v>
      </c>
      <c r="G78" s="21">
        <f>SUMIFS(Einzelbeträge!$D:$D,Einzelbeträge!$C:$C,'Ausgaben 2028'!$C78,Einzelbeträge!$E:$E,'Ausgaben 2028'!G$6)</f>
        <v>0</v>
      </c>
      <c r="H78" s="21">
        <f>SUMIFS(Einzelbeträge!$D:$D,Einzelbeträge!$C:$C,'Ausgaben 2028'!$C78,Einzelbeträge!$E:$E,'Ausgaben 2028'!H$6)</f>
        <v>0</v>
      </c>
      <c r="I78" s="21">
        <f>SUMIFS(Einzelbeträge!$D:$D,Einzelbeträge!$C:$C,'Ausgaben 2028'!$C78,Einzelbeträge!$E:$E,'Ausgaben 2028'!I$6)</f>
        <v>0</v>
      </c>
      <c r="J78" s="21">
        <f>SUMIFS(Einzelbeträge!$D:$D,Einzelbeträge!$C:$C,'Ausgaben 2028'!$C78,Einzelbeträge!$E:$E,'Ausgaben 2028'!J$6)</f>
        <v>0</v>
      </c>
      <c r="K78" s="21">
        <f>SUMIFS(Einzelbeträge!$D:$D,Einzelbeträge!$C:$C,'Ausgaben 2028'!$C78,Einzelbeträge!$E:$E,'Ausgaben 2028'!K$6)</f>
        <v>0</v>
      </c>
      <c r="L78" s="21">
        <f>SUMIFS(Einzelbeträge!$D:$D,Einzelbeträge!$C:$C,'Ausgaben 2028'!$C78,Einzelbeträge!$E:$E,'Ausgaben 2028'!L$6)</f>
        <v>0</v>
      </c>
      <c r="M78" s="21">
        <f>SUMIFS(Einzelbeträge!$D:$D,Einzelbeträge!$C:$C,'Ausgaben 2028'!$C78,Einzelbeträge!$E:$E,'Ausgaben 2028'!M$6)</f>
        <v>0</v>
      </c>
      <c r="N78" s="35">
        <f>SUMIFS(Einzelbeträge!$D:$D,Einzelbeträge!$C:$C,'Ausgaben 2028'!$C78,Einzelbeträge!$E:$E,'Ausgaben 2028'!N$6)</f>
        <v>0</v>
      </c>
      <c r="O78" s="6"/>
    </row>
    <row r="79" spans="2:15" x14ac:dyDescent="0.35">
      <c r="B79" s="5"/>
      <c r="C79" s="40">
        <f t="shared" si="18"/>
        <v>46819</v>
      </c>
      <c r="D79" s="46">
        <f>SUMIFS(Einzelbeträge!$D:$D,Einzelbeträge!$C:$C,'Ausgaben 2028'!$C79)</f>
        <v>0</v>
      </c>
      <c r="E79" s="34">
        <f>SUMIFS(Einzelbeträge!$D:$D,Einzelbeträge!$C:$C,'Ausgaben 2028'!$C79,Einzelbeträge!$E:$E,'Ausgaben 2028'!E$6)</f>
        <v>0</v>
      </c>
      <c r="F79" s="21">
        <f>SUMIFS(Einzelbeträge!$D:$D,Einzelbeträge!$C:$C,'Ausgaben 2028'!$C79,Einzelbeträge!$E:$E,'Ausgaben 2028'!F$6)</f>
        <v>0</v>
      </c>
      <c r="G79" s="21">
        <f>SUMIFS(Einzelbeträge!$D:$D,Einzelbeträge!$C:$C,'Ausgaben 2028'!$C79,Einzelbeträge!$E:$E,'Ausgaben 2028'!G$6)</f>
        <v>0</v>
      </c>
      <c r="H79" s="21">
        <f>SUMIFS(Einzelbeträge!$D:$D,Einzelbeträge!$C:$C,'Ausgaben 2028'!$C79,Einzelbeträge!$E:$E,'Ausgaben 2028'!H$6)</f>
        <v>0</v>
      </c>
      <c r="I79" s="21">
        <f>SUMIFS(Einzelbeträge!$D:$D,Einzelbeträge!$C:$C,'Ausgaben 2028'!$C79,Einzelbeträge!$E:$E,'Ausgaben 2028'!I$6)</f>
        <v>0</v>
      </c>
      <c r="J79" s="21">
        <f>SUMIFS(Einzelbeträge!$D:$D,Einzelbeträge!$C:$C,'Ausgaben 2028'!$C79,Einzelbeträge!$E:$E,'Ausgaben 2028'!J$6)</f>
        <v>0</v>
      </c>
      <c r="K79" s="21">
        <f>SUMIFS(Einzelbeträge!$D:$D,Einzelbeträge!$C:$C,'Ausgaben 2028'!$C79,Einzelbeträge!$E:$E,'Ausgaben 2028'!K$6)</f>
        <v>0</v>
      </c>
      <c r="L79" s="21">
        <f>SUMIFS(Einzelbeträge!$D:$D,Einzelbeträge!$C:$C,'Ausgaben 2028'!$C79,Einzelbeträge!$E:$E,'Ausgaben 2028'!L$6)</f>
        <v>0</v>
      </c>
      <c r="M79" s="21">
        <f>SUMIFS(Einzelbeträge!$D:$D,Einzelbeträge!$C:$C,'Ausgaben 2028'!$C79,Einzelbeträge!$E:$E,'Ausgaben 2028'!M$6)</f>
        <v>0</v>
      </c>
      <c r="N79" s="35">
        <f>SUMIFS(Einzelbeträge!$D:$D,Einzelbeträge!$C:$C,'Ausgaben 2028'!$C79,Einzelbeträge!$E:$E,'Ausgaben 2028'!N$6)</f>
        <v>0</v>
      </c>
      <c r="O79" s="6"/>
    </row>
    <row r="80" spans="2:15" x14ac:dyDescent="0.35">
      <c r="B80" s="5"/>
      <c r="C80" s="40">
        <f t="shared" si="18"/>
        <v>46820</v>
      </c>
      <c r="D80" s="46">
        <f>SUMIFS(Einzelbeträge!$D:$D,Einzelbeträge!$C:$C,'Ausgaben 2028'!$C80)</f>
        <v>0</v>
      </c>
      <c r="E80" s="34">
        <f>SUMIFS(Einzelbeträge!$D:$D,Einzelbeträge!$C:$C,'Ausgaben 2028'!$C80,Einzelbeträge!$E:$E,'Ausgaben 2028'!E$6)</f>
        <v>0</v>
      </c>
      <c r="F80" s="21">
        <f>SUMIFS(Einzelbeträge!$D:$D,Einzelbeträge!$C:$C,'Ausgaben 2028'!$C80,Einzelbeträge!$E:$E,'Ausgaben 2028'!F$6)</f>
        <v>0</v>
      </c>
      <c r="G80" s="21">
        <f>SUMIFS(Einzelbeträge!$D:$D,Einzelbeträge!$C:$C,'Ausgaben 2028'!$C80,Einzelbeträge!$E:$E,'Ausgaben 2028'!G$6)</f>
        <v>0</v>
      </c>
      <c r="H80" s="21">
        <f>SUMIFS(Einzelbeträge!$D:$D,Einzelbeträge!$C:$C,'Ausgaben 2028'!$C80,Einzelbeträge!$E:$E,'Ausgaben 2028'!H$6)</f>
        <v>0</v>
      </c>
      <c r="I80" s="21">
        <f>SUMIFS(Einzelbeträge!$D:$D,Einzelbeträge!$C:$C,'Ausgaben 2028'!$C80,Einzelbeträge!$E:$E,'Ausgaben 2028'!I$6)</f>
        <v>0</v>
      </c>
      <c r="J80" s="21">
        <f>SUMIFS(Einzelbeträge!$D:$D,Einzelbeträge!$C:$C,'Ausgaben 2028'!$C80,Einzelbeträge!$E:$E,'Ausgaben 2028'!J$6)</f>
        <v>0</v>
      </c>
      <c r="K80" s="21">
        <f>SUMIFS(Einzelbeträge!$D:$D,Einzelbeträge!$C:$C,'Ausgaben 2028'!$C80,Einzelbeträge!$E:$E,'Ausgaben 2028'!K$6)</f>
        <v>0</v>
      </c>
      <c r="L80" s="21">
        <f>SUMIFS(Einzelbeträge!$D:$D,Einzelbeträge!$C:$C,'Ausgaben 2028'!$C80,Einzelbeträge!$E:$E,'Ausgaben 2028'!L$6)</f>
        <v>0</v>
      </c>
      <c r="M80" s="21">
        <f>SUMIFS(Einzelbeträge!$D:$D,Einzelbeträge!$C:$C,'Ausgaben 2028'!$C80,Einzelbeträge!$E:$E,'Ausgaben 2028'!M$6)</f>
        <v>0</v>
      </c>
      <c r="N80" s="35">
        <f>SUMIFS(Einzelbeträge!$D:$D,Einzelbeträge!$C:$C,'Ausgaben 2028'!$C80,Einzelbeträge!$E:$E,'Ausgaben 2028'!N$6)</f>
        <v>0</v>
      </c>
      <c r="O80" s="6"/>
    </row>
    <row r="81" spans="2:15" x14ac:dyDescent="0.35">
      <c r="B81" s="5"/>
      <c r="C81" s="40">
        <f t="shared" si="18"/>
        <v>46821</v>
      </c>
      <c r="D81" s="46">
        <f>SUMIFS(Einzelbeträge!$D:$D,Einzelbeträge!$C:$C,'Ausgaben 2028'!$C81)</f>
        <v>0</v>
      </c>
      <c r="E81" s="34">
        <f>SUMIFS(Einzelbeträge!$D:$D,Einzelbeträge!$C:$C,'Ausgaben 2028'!$C81,Einzelbeträge!$E:$E,'Ausgaben 2028'!E$6)</f>
        <v>0</v>
      </c>
      <c r="F81" s="21">
        <f>SUMIFS(Einzelbeträge!$D:$D,Einzelbeträge!$C:$C,'Ausgaben 2028'!$C81,Einzelbeträge!$E:$E,'Ausgaben 2028'!F$6)</f>
        <v>0</v>
      </c>
      <c r="G81" s="21">
        <f>SUMIFS(Einzelbeträge!$D:$D,Einzelbeträge!$C:$C,'Ausgaben 2028'!$C81,Einzelbeträge!$E:$E,'Ausgaben 2028'!G$6)</f>
        <v>0</v>
      </c>
      <c r="H81" s="21">
        <f>SUMIFS(Einzelbeträge!$D:$D,Einzelbeträge!$C:$C,'Ausgaben 2028'!$C81,Einzelbeträge!$E:$E,'Ausgaben 2028'!H$6)</f>
        <v>0</v>
      </c>
      <c r="I81" s="21">
        <f>SUMIFS(Einzelbeträge!$D:$D,Einzelbeträge!$C:$C,'Ausgaben 2028'!$C81,Einzelbeträge!$E:$E,'Ausgaben 2028'!I$6)</f>
        <v>0</v>
      </c>
      <c r="J81" s="21">
        <f>SUMIFS(Einzelbeträge!$D:$D,Einzelbeträge!$C:$C,'Ausgaben 2028'!$C81,Einzelbeträge!$E:$E,'Ausgaben 2028'!J$6)</f>
        <v>0</v>
      </c>
      <c r="K81" s="21">
        <f>SUMIFS(Einzelbeträge!$D:$D,Einzelbeträge!$C:$C,'Ausgaben 2028'!$C81,Einzelbeträge!$E:$E,'Ausgaben 2028'!K$6)</f>
        <v>0</v>
      </c>
      <c r="L81" s="21">
        <f>SUMIFS(Einzelbeträge!$D:$D,Einzelbeträge!$C:$C,'Ausgaben 2028'!$C81,Einzelbeträge!$E:$E,'Ausgaben 2028'!L$6)</f>
        <v>0</v>
      </c>
      <c r="M81" s="21">
        <f>SUMIFS(Einzelbeträge!$D:$D,Einzelbeträge!$C:$C,'Ausgaben 2028'!$C81,Einzelbeträge!$E:$E,'Ausgaben 2028'!M$6)</f>
        <v>0</v>
      </c>
      <c r="N81" s="35">
        <f>SUMIFS(Einzelbeträge!$D:$D,Einzelbeträge!$C:$C,'Ausgaben 2028'!$C81,Einzelbeträge!$E:$E,'Ausgaben 2028'!N$6)</f>
        <v>0</v>
      </c>
      <c r="O81" s="6"/>
    </row>
    <row r="82" spans="2:15" x14ac:dyDescent="0.35">
      <c r="B82" s="5"/>
      <c r="C82" s="40">
        <f t="shared" si="18"/>
        <v>46822</v>
      </c>
      <c r="D82" s="46">
        <f>SUMIFS(Einzelbeträge!$D:$D,Einzelbeträge!$C:$C,'Ausgaben 2028'!$C82)</f>
        <v>0</v>
      </c>
      <c r="E82" s="34">
        <f>SUMIFS(Einzelbeträge!$D:$D,Einzelbeträge!$C:$C,'Ausgaben 2028'!$C82,Einzelbeträge!$E:$E,'Ausgaben 2028'!E$6)</f>
        <v>0</v>
      </c>
      <c r="F82" s="21">
        <f>SUMIFS(Einzelbeträge!$D:$D,Einzelbeträge!$C:$C,'Ausgaben 2028'!$C82,Einzelbeträge!$E:$E,'Ausgaben 2028'!F$6)</f>
        <v>0</v>
      </c>
      <c r="G82" s="21">
        <f>SUMIFS(Einzelbeträge!$D:$D,Einzelbeträge!$C:$C,'Ausgaben 2028'!$C82,Einzelbeträge!$E:$E,'Ausgaben 2028'!G$6)</f>
        <v>0</v>
      </c>
      <c r="H82" s="21">
        <f>SUMIFS(Einzelbeträge!$D:$D,Einzelbeträge!$C:$C,'Ausgaben 2028'!$C82,Einzelbeträge!$E:$E,'Ausgaben 2028'!H$6)</f>
        <v>0</v>
      </c>
      <c r="I82" s="21">
        <f>SUMIFS(Einzelbeträge!$D:$D,Einzelbeträge!$C:$C,'Ausgaben 2028'!$C82,Einzelbeträge!$E:$E,'Ausgaben 2028'!I$6)</f>
        <v>0</v>
      </c>
      <c r="J82" s="21">
        <f>SUMIFS(Einzelbeträge!$D:$D,Einzelbeträge!$C:$C,'Ausgaben 2028'!$C82,Einzelbeträge!$E:$E,'Ausgaben 2028'!J$6)</f>
        <v>0</v>
      </c>
      <c r="K82" s="21">
        <f>SUMIFS(Einzelbeträge!$D:$D,Einzelbeträge!$C:$C,'Ausgaben 2028'!$C82,Einzelbeträge!$E:$E,'Ausgaben 2028'!K$6)</f>
        <v>0</v>
      </c>
      <c r="L82" s="21">
        <f>SUMIFS(Einzelbeträge!$D:$D,Einzelbeträge!$C:$C,'Ausgaben 2028'!$C82,Einzelbeträge!$E:$E,'Ausgaben 2028'!L$6)</f>
        <v>0</v>
      </c>
      <c r="M82" s="21">
        <f>SUMIFS(Einzelbeträge!$D:$D,Einzelbeträge!$C:$C,'Ausgaben 2028'!$C82,Einzelbeträge!$E:$E,'Ausgaben 2028'!M$6)</f>
        <v>0</v>
      </c>
      <c r="N82" s="35">
        <f>SUMIFS(Einzelbeträge!$D:$D,Einzelbeträge!$C:$C,'Ausgaben 2028'!$C82,Einzelbeträge!$E:$E,'Ausgaben 2028'!N$6)</f>
        <v>0</v>
      </c>
      <c r="O82" s="6"/>
    </row>
    <row r="83" spans="2:15" x14ac:dyDescent="0.35">
      <c r="B83" s="5"/>
      <c r="C83" s="40">
        <f t="shared" si="18"/>
        <v>46823</v>
      </c>
      <c r="D83" s="46">
        <f>SUMIFS(Einzelbeträge!$D:$D,Einzelbeträge!$C:$C,'Ausgaben 2028'!$C83)</f>
        <v>0</v>
      </c>
      <c r="E83" s="34">
        <f>SUMIFS(Einzelbeträge!$D:$D,Einzelbeträge!$C:$C,'Ausgaben 2028'!$C83,Einzelbeträge!$E:$E,'Ausgaben 2028'!E$6)</f>
        <v>0</v>
      </c>
      <c r="F83" s="21">
        <f>SUMIFS(Einzelbeträge!$D:$D,Einzelbeträge!$C:$C,'Ausgaben 2028'!$C83,Einzelbeträge!$E:$E,'Ausgaben 2028'!F$6)</f>
        <v>0</v>
      </c>
      <c r="G83" s="21">
        <f>SUMIFS(Einzelbeträge!$D:$D,Einzelbeträge!$C:$C,'Ausgaben 2028'!$C83,Einzelbeträge!$E:$E,'Ausgaben 2028'!G$6)</f>
        <v>0</v>
      </c>
      <c r="H83" s="21">
        <f>SUMIFS(Einzelbeträge!$D:$D,Einzelbeträge!$C:$C,'Ausgaben 2028'!$C83,Einzelbeträge!$E:$E,'Ausgaben 2028'!H$6)</f>
        <v>0</v>
      </c>
      <c r="I83" s="21">
        <f>SUMIFS(Einzelbeträge!$D:$D,Einzelbeträge!$C:$C,'Ausgaben 2028'!$C83,Einzelbeträge!$E:$E,'Ausgaben 2028'!I$6)</f>
        <v>0</v>
      </c>
      <c r="J83" s="21">
        <f>SUMIFS(Einzelbeträge!$D:$D,Einzelbeträge!$C:$C,'Ausgaben 2028'!$C83,Einzelbeträge!$E:$E,'Ausgaben 2028'!J$6)</f>
        <v>0</v>
      </c>
      <c r="K83" s="21">
        <f>SUMIFS(Einzelbeträge!$D:$D,Einzelbeträge!$C:$C,'Ausgaben 2028'!$C83,Einzelbeträge!$E:$E,'Ausgaben 2028'!K$6)</f>
        <v>0</v>
      </c>
      <c r="L83" s="21">
        <f>SUMIFS(Einzelbeträge!$D:$D,Einzelbeträge!$C:$C,'Ausgaben 2028'!$C83,Einzelbeträge!$E:$E,'Ausgaben 2028'!L$6)</f>
        <v>0</v>
      </c>
      <c r="M83" s="21">
        <f>SUMIFS(Einzelbeträge!$D:$D,Einzelbeträge!$C:$C,'Ausgaben 2028'!$C83,Einzelbeträge!$E:$E,'Ausgaben 2028'!M$6)</f>
        <v>0</v>
      </c>
      <c r="N83" s="35">
        <f>SUMIFS(Einzelbeträge!$D:$D,Einzelbeträge!$C:$C,'Ausgaben 2028'!$C83,Einzelbeträge!$E:$E,'Ausgaben 2028'!N$6)</f>
        <v>0</v>
      </c>
      <c r="O83" s="6"/>
    </row>
    <row r="84" spans="2:15" x14ac:dyDescent="0.35">
      <c r="B84" s="5"/>
      <c r="C84" s="40">
        <f t="shared" si="18"/>
        <v>46824</v>
      </c>
      <c r="D84" s="46">
        <f>SUMIFS(Einzelbeträge!$D:$D,Einzelbeträge!$C:$C,'Ausgaben 2028'!$C84)</f>
        <v>0</v>
      </c>
      <c r="E84" s="34">
        <f>SUMIFS(Einzelbeträge!$D:$D,Einzelbeträge!$C:$C,'Ausgaben 2028'!$C84,Einzelbeträge!$E:$E,'Ausgaben 2028'!E$6)</f>
        <v>0</v>
      </c>
      <c r="F84" s="21">
        <f>SUMIFS(Einzelbeträge!$D:$D,Einzelbeträge!$C:$C,'Ausgaben 2028'!$C84,Einzelbeträge!$E:$E,'Ausgaben 2028'!F$6)</f>
        <v>0</v>
      </c>
      <c r="G84" s="21">
        <f>SUMIFS(Einzelbeträge!$D:$D,Einzelbeträge!$C:$C,'Ausgaben 2028'!$C84,Einzelbeträge!$E:$E,'Ausgaben 2028'!G$6)</f>
        <v>0</v>
      </c>
      <c r="H84" s="21">
        <f>SUMIFS(Einzelbeträge!$D:$D,Einzelbeträge!$C:$C,'Ausgaben 2028'!$C84,Einzelbeträge!$E:$E,'Ausgaben 2028'!H$6)</f>
        <v>0</v>
      </c>
      <c r="I84" s="21">
        <f>SUMIFS(Einzelbeträge!$D:$D,Einzelbeträge!$C:$C,'Ausgaben 2028'!$C84,Einzelbeträge!$E:$E,'Ausgaben 2028'!I$6)</f>
        <v>0</v>
      </c>
      <c r="J84" s="21">
        <f>SUMIFS(Einzelbeträge!$D:$D,Einzelbeträge!$C:$C,'Ausgaben 2028'!$C84,Einzelbeträge!$E:$E,'Ausgaben 2028'!J$6)</f>
        <v>0</v>
      </c>
      <c r="K84" s="21">
        <f>SUMIFS(Einzelbeträge!$D:$D,Einzelbeträge!$C:$C,'Ausgaben 2028'!$C84,Einzelbeträge!$E:$E,'Ausgaben 2028'!K$6)</f>
        <v>0</v>
      </c>
      <c r="L84" s="21">
        <f>SUMIFS(Einzelbeträge!$D:$D,Einzelbeträge!$C:$C,'Ausgaben 2028'!$C84,Einzelbeträge!$E:$E,'Ausgaben 2028'!L$6)</f>
        <v>0</v>
      </c>
      <c r="M84" s="21">
        <f>SUMIFS(Einzelbeträge!$D:$D,Einzelbeträge!$C:$C,'Ausgaben 2028'!$C84,Einzelbeträge!$E:$E,'Ausgaben 2028'!M$6)</f>
        <v>0</v>
      </c>
      <c r="N84" s="35">
        <f>SUMIFS(Einzelbeträge!$D:$D,Einzelbeträge!$C:$C,'Ausgaben 2028'!$C84,Einzelbeträge!$E:$E,'Ausgaben 2028'!N$6)</f>
        <v>0</v>
      </c>
      <c r="O84" s="6"/>
    </row>
    <row r="85" spans="2:15" x14ac:dyDescent="0.35">
      <c r="B85" s="5"/>
      <c r="C85" s="40">
        <f t="shared" si="18"/>
        <v>46825</v>
      </c>
      <c r="D85" s="46">
        <f>SUMIFS(Einzelbeträge!$D:$D,Einzelbeträge!$C:$C,'Ausgaben 2028'!$C85)</f>
        <v>0</v>
      </c>
      <c r="E85" s="34">
        <f>SUMIFS(Einzelbeträge!$D:$D,Einzelbeträge!$C:$C,'Ausgaben 2028'!$C85,Einzelbeträge!$E:$E,'Ausgaben 2028'!E$6)</f>
        <v>0</v>
      </c>
      <c r="F85" s="21">
        <f>SUMIFS(Einzelbeträge!$D:$D,Einzelbeträge!$C:$C,'Ausgaben 2028'!$C85,Einzelbeträge!$E:$E,'Ausgaben 2028'!F$6)</f>
        <v>0</v>
      </c>
      <c r="G85" s="21">
        <f>SUMIFS(Einzelbeträge!$D:$D,Einzelbeträge!$C:$C,'Ausgaben 2028'!$C85,Einzelbeträge!$E:$E,'Ausgaben 2028'!G$6)</f>
        <v>0</v>
      </c>
      <c r="H85" s="21">
        <f>SUMIFS(Einzelbeträge!$D:$D,Einzelbeträge!$C:$C,'Ausgaben 2028'!$C85,Einzelbeträge!$E:$E,'Ausgaben 2028'!H$6)</f>
        <v>0</v>
      </c>
      <c r="I85" s="21">
        <f>SUMIFS(Einzelbeträge!$D:$D,Einzelbeträge!$C:$C,'Ausgaben 2028'!$C85,Einzelbeträge!$E:$E,'Ausgaben 2028'!I$6)</f>
        <v>0</v>
      </c>
      <c r="J85" s="21">
        <f>SUMIFS(Einzelbeträge!$D:$D,Einzelbeträge!$C:$C,'Ausgaben 2028'!$C85,Einzelbeträge!$E:$E,'Ausgaben 2028'!J$6)</f>
        <v>0</v>
      </c>
      <c r="K85" s="21">
        <f>SUMIFS(Einzelbeträge!$D:$D,Einzelbeträge!$C:$C,'Ausgaben 2028'!$C85,Einzelbeträge!$E:$E,'Ausgaben 2028'!K$6)</f>
        <v>0</v>
      </c>
      <c r="L85" s="21">
        <f>SUMIFS(Einzelbeträge!$D:$D,Einzelbeträge!$C:$C,'Ausgaben 2028'!$C85,Einzelbeträge!$E:$E,'Ausgaben 2028'!L$6)</f>
        <v>0</v>
      </c>
      <c r="M85" s="21">
        <f>SUMIFS(Einzelbeträge!$D:$D,Einzelbeträge!$C:$C,'Ausgaben 2028'!$C85,Einzelbeträge!$E:$E,'Ausgaben 2028'!M$6)</f>
        <v>0</v>
      </c>
      <c r="N85" s="35">
        <f>SUMIFS(Einzelbeträge!$D:$D,Einzelbeträge!$C:$C,'Ausgaben 2028'!$C85,Einzelbeträge!$E:$E,'Ausgaben 2028'!N$6)</f>
        <v>0</v>
      </c>
      <c r="O85" s="6"/>
    </row>
    <row r="86" spans="2:15" x14ac:dyDescent="0.35">
      <c r="B86" s="5"/>
      <c r="C86" s="40">
        <f t="shared" si="18"/>
        <v>46826</v>
      </c>
      <c r="D86" s="46">
        <f>SUMIFS(Einzelbeträge!$D:$D,Einzelbeträge!$C:$C,'Ausgaben 2028'!$C86)</f>
        <v>0</v>
      </c>
      <c r="E86" s="34">
        <f>SUMIFS(Einzelbeträge!$D:$D,Einzelbeträge!$C:$C,'Ausgaben 2028'!$C86,Einzelbeträge!$E:$E,'Ausgaben 2028'!E$6)</f>
        <v>0</v>
      </c>
      <c r="F86" s="21">
        <f>SUMIFS(Einzelbeträge!$D:$D,Einzelbeträge!$C:$C,'Ausgaben 2028'!$C86,Einzelbeträge!$E:$E,'Ausgaben 2028'!F$6)</f>
        <v>0</v>
      </c>
      <c r="G86" s="21">
        <f>SUMIFS(Einzelbeträge!$D:$D,Einzelbeträge!$C:$C,'Ausgaben 2028'!$C86,Einzelbeträge!$E:$E,'Ausgaben 2028'!G$6)</f>
        <v>0</v>
      </c>
      <c r="H86" s="21">
        <f>SUMIFS(Einzelbeträge!$D:$D,Einzelbeträge!$C:$C,'Ausgaben 2028'!$C86,Einzelbeträge!$E:$E,'Ausgaben 2028'!H$6)</f>
        <v>0</v>
      </c>
      <c r="I86" s="21">
        <f>SUMIFS(Einzelbeträge!$D:$D,Einzelbeträge!$C:$C,'Ausgaben 2028'!$C86,Einzelbeträge!$E:$E,'Ausgaben 2028'!I$6)</f>
        <v>0</v>
      </c>
      <c r="J86" s="21">
        <f>SUMIFS(Einzelbeträge!$D:$D,Einzelbeträge!$C:$C,'Ausgaben 2028'!$C86,Einzelbeträge!$E:$E,'Ausgaben 2028'!J$6)</f>
        <v>0</v>
      </c>
      <c r="K86" s="21">
        <f>SUMIFS(Einzelbeträge!$D:$D,Einzelbeträge!$C:$C,'Ausgaben 2028'!$C86,Einzelbeträge!$E:$E,'Ausgaben 2028'!K$6)</f>
        <v>0</v>
      </c>
      <c r="L86" s="21">
        <f>SUMIFS(Einzelbeträge!$D:$D,Einzelbeträge!$C:$C,'Ausgaben 2028'!$C86,Einzelbeträge!$E:$E,'Ausgaben 2028'!L$6)</f>
        <v>0</v>
      </c>
      <c r="M86" s="21">
        <f>SUMIFS(Einzelbeträge!$D:$D,Einzelbeträge!$C:$C,'Ausgaben 2028'!$C86,Einzelbeträge!$E:$E,'Ausgaben 2028'!M$6)</f>
        <v>0</v>
      </c>
      <c r="N86" s="35">
        <f>SUMIFS(Einzelbeträge!$D:$D,Einzelbeträge!$C:$C,'Ausgaben 2028'!$C86,Einzelbeträge!$E:$E,'Ausgaben 2028'!N$6)</f>
        <v>0</v>
      </c>
      <c r="O86" s="6"/>
    </row>
    <row r="87" spans="2:15" x14ac:dyDescent="0.35">
      <c r="B87" s="5"/>
      <c r="C87" s="40">
        <f t="shared" si="18"/>
        <v>46827</v>
      </c>
      <c r="D87" s="46">
        <f>SUMIFS(Einzelbeträge!$D:$D,Einzelbeträge!$C:$C,'Ausgaben 2028'!$C87)</f>
        <v>0</v>
      </c>
      <c r="E87" s="34">
        <f>SUMIFS(Einzelbeträge!$D:$D,Einzelbeträge!$C:$C,'Ausgaben 2028'!$C87,Einzelbeträge!$E:$E,'Ausgaben 2028'!E$6)</f>
        <v>0</v>
      </c>
      <c r="F87" s="21">
        <f>SUMIFS(Einzelbeträge!$D:$D,Einzelbeträge!$C:$C,'Ausgaben 2028'!$C87,Einzelbeträge!$E:$E,'Ausgaben 2028'!F$6)</f>
        <v>0</v>
      </c>
      <c r="G87" s="21">
        <f>SUMIFS(Einzelbeträge!$D:$D,Einzelbeträge!$C:$C,'Ausgaben 2028'!$C87,Einzelbeträge!$E:$E,'Ausgaben 2028'!G$6)</f>
        <v>0</v>
      </c>
      <c r="H87" s="21">
        <f>SUMIFS(Einzelbeträge!$D:$D,Einzelbeträge!$C:$C,'Ausgaben 2028'!$C87,Einzelbeträge!$E:$E,'Ausgaben 2028'!H$6)</f>
        <v>0</v>
      </c>
      <c r="I87" s="21">
        <f>SUMIFS(Einzelbeträge!$D:$D,Einzelbeträge!$C:$C,'Ausgaben 2028'!$C87,Einzelbeträge!$E:$E,'Ausgaben 2028'!I$6)</f>
        <v>0</v>
      </c>
      <c r="J87" s="21">
        <f>SUMIFS(Einzelbeträge!$D:$D,Einzelbeträge!$C:$C,'Ausgaben 2028'!$C87,Einzelbeträge!$E:$E,'Ausgaben 2028'!J$6)</f>
        <v>0</v>
      </c>
      <c r="K87" s="21">
        <f>SUMIFS(Einzelbeträge!$D:$D,Einzelbeträge!$C:$C,'Ausgaben 2028'!$C87,Einzelbeträge!$E:$E,'Ausgaben 2028'!K$6)</f>
        <v>0</v>
      </c>
      <c r="L87" s="21">
        <f>SUMIFS(Einzelbeträge!$D:$D,Einzelbeträge!$C:$C,'Ausgaben 2028'!$C87,Einzelbeträge!$E:$E,'Ausgaben 2028'!L$6)</f>
        <v>0</v>
      </c>
      <c r="M87" s="21">
        <f>SUMIFS(Einzelbeträge!$D:$D,Einzelbeträge!$C:$C,'Ausgaben 2028'!$C87,Einzelbeträge!$E:$E,'Ausgaben 2028'!M$6)</f>
        <v>0</v>
      </c>
      <c r="N87" s="35">
        <f>SUMIFS(Einzelbeträge!$D:$D,Einzelbeträge!$C:$C,'Ausgaben 2028'!$C87,Einzelbeträge!$E:$E,'Ausgaben 2028'!N$6)</f>
        <v>0</v>
      </c>
      <c r="O87" s="6"/>
    </row>
    <row r="88" spans="2:15" x14ac:dyDescent="0.35">
      <c r="B88" s="5"/>
      <c r="C88" s="40">
        <f t="shared" si="18"/>
        <v>46828</v>
      </c>
      <c r="D88" s="46">
        <f>SUMIFS(Einzelbeträge!$D:$D,Einzelbeträge!$C:$C,'Ausgaben 2028'!$C88)</f>
        <v>0</v>
      </c>
      <c r="E88" s="34">
        <f>SUMIFS(Einzelbeträge!$D:$D,Einzelbeträge!$C:$C,'Ausgaben 2028'!$C88,Einzelbeträge!$E:$E,'Ausgaben 2028'!E$6)</f>
        <v>0</v>
      </c>
      <c r="F88" s="21">
        <f>SUMIFS(Einzelbeträge!$D:$D,Einzelbeträge!$C:$C,'Ausgaben 2028'!$C88,Einzelbeträge!$E:$E,'Ausgaben 2028'!F$6)</f>
        <v>0</v>
      </c>
      <c r="G88" s="21">
        <f>SUMIFS(Einzelbeträge!$D:$D,Einzelbeträge!$C:$C,'Ausgaben 2028'!$C88,Einzelbeträge!$E:$E,'Ausgaben 2028'!G$6)</f>
        <v>0</v>
      </c>
      <c r="H88" s="21">
        <f>SUMIFS(Einzelbeträge!$D:$D,Einzelbeträge!$C:$C,'Ausgaben 2028'!$C88,Einzelbeträge!$E:$E,'Ausgaben 2028'!H$6)</f>
        <v>0</v>
      </c>
      <c r="I88" s="21">
        <f>SUMIFS(Einzelbeträge!$D:$D,Einzelbeträge!$C:$C,'Ausgaben 2028'!$C88,Einzelbeträge!$E:$E,'Ausgaben 2028'!I$6)</f>
        <v>0</v>
      </c>
      <c r="J88" s="21">
        <f>SUMIFS(Einzelbeträge!$D:$D,Einzelbeträge!$C:$C,'Ausgaben 2028'!$C88,Einzelbeträge!$E:$E,'Ausgaben 2028'!J$6)</f>
        <v>0</v>
      </c>
      <c r="K88" s="21">
        <f>SUMIFS(Einzelbeträge!$D:$D,Einzelbeträge!$C:$C,'Ausgaben 2028'!$C88,Einzelbeträge!$E:$E,'Ausgaben 2028'!K$6)</f>
        <v>0</v>
      </c>
      <c r="L88" s="21">
        <f>SUMIFS(Einzelbeträge!$D:$D,Einzelbeträge!$C:$C,'Ausgaben 2028'!$C88,Einzelbeträge!$E:$E,'Ausgaben 2028'!L$6)</f>
        <v>0</v>
      </c>
      <c r="M88" s="21">
        <f>SUMIFS(Einzelbeträge!$D:$D,Einzelbeträge!$C:$C,'Ausgaben 2028'!$C88,Einzelbeträge!$E:$E,'Ausgaben 2028'!M$6)</f>
        <v>0</v>
      </c>
      <c r="N88" s="35">
        <f>SUMIFS(Einzelbeträge!$D:$D,Einzelbeträge!$C:$C,'Ausgaben 2028'!$C88,Einzelbeträge!$E:$E,'Ausgaben 2028'!N$6)</f>
        <v>0</v>
      </c>
      <c r="O88" s="6"/>
    </row>
    <row r="89" spans="2:15" x14ac:dyDescent="0.35">
      <c r="B89" s="5"/>
      <c r="C89" s="40">
        <f t="shared" si="18"/>
        <v>46829</v>
      </c>
      <c r="D89" s="46">
        <f>SUMIFS(Einzelbeträge!$D:$D,Einzelbeträge!$C:$C,'Ausgaben 2028'!$C89)</f>
        <v>0</v>
      </c>
      <c r="E89" s="34">
        <f>SUMIFS(Einzelbeträge!$D:$D,Einzelbeträge!$C:$C,'Ausgaben 2028'!$C89,Einzelbeträge!$E:$E,'Ausgaben 2028'!E$6)</f>
        <v>0</v>
      </c>
      <c r="F89" s="21">
        <f>SUMIFS(Einzelbeträge!$D:$D,Einzelbeträge!$C:$C,'Ausgaben 2028'!$C89,Einzelbeträge!$E:$E,'Ausgaben 2028'!F$6)</f>
        <v>0</v>
      </c>
      <c r="G89" s="21">
        <f>SUMIFS(Einzelbeträge!$D:$D,Einzelbeträge!$C:$C,'Ausgaben 2028'!$C89,Einzelbeträge!$E:$E,'Ausgaben 2028'!G$6)</f>
        <v>0</v>
      </c>
      <c r="H89" s="21">
        <f>SUMIFS(Einzelbeträge!$D:$D,Einzelbeträge!$C:$C,'Ausgaben 2028'!$C89,Einzelbeträge!$E:$E,'Ausgaben 2028'!H$6)</f>
        <v>0</v>
      </c>
      <c r="I89" s="21">
        <f>SUMIFS(Einzelbeträge!$D:$D,Einzelbeträge!$C:$C,'Ausgaben 2028'!$C89,Einzelbeträge!$E:$E,'Ausgaben 2028'!I$6)</f>
        <v>0</v>
      </c>
      <c r="J89" s="21">
        <f>SUMIFS(Einzelbeträge!$D:$D,Einzelbeträge!$C:$C,'Ausgaben 2028'!$C89,Einzelbeträge!$E:$E,'Ausgaben 2028'!J$6)</f>
        <v>0</v>
      </c>
      <c r="K89" s="21">
        <f>SUMIFS(Einzelbeträge!$D:$D,Einzelbeträge!$C:$C,'Ausgaben 2028'!$C89,Einzelbeträge!$E:$E,'Ausgaben 2028'!K$6)</f>
        <v>0</v>
      </c>
      <c r="L89" s="21">
        <f>SUMIFS(Einzelbeträge!$D:$D,Einzelbeträge!$C:$C,'Ausgaben 2028'!$C89,Einzelbeträge!$E:$E,'Ausgaben 2028'!L$6)</f>
        <v>0</v>
      </c>
      <c r="M89" s="21">
        <f>SUMIFS(Einzelbeträge!$D:$D,Einzelbeträge!$C:$C,'Ausgaben 2028'!$C89,Einzelbeträge!$E:$E,'Ausgaben 2028'!M$6)</f>
        <v>0</v>
      </c>
      <c r="N89" s="35">
        <f>SUMIFS(Einzelbeträge!$D:$D,Einzelbeträge!$C:$C,'Ausgaben 2028'!$C89,Einzelbeträge!$E:$E,'Ausgaben 2028'!N$6)</f>
        <v>0</v>
      </c>
      <c r="O89" s="6"/>
    </row>
    <row r="90" spans="2:15" x14ac:dyDescent="0.35">
      <c r="B90" s="5"/>
      <c r="C90" s="40">
        <f t="shared" si="18"/>
        <v>46830</v>
      </c>
      <c r="D90" s="46">
        <f>SUMIFS(Einzelbeträge!$D:$D,Einzelbeträge!$C:$C,'Ausgaben 2028'!$C90)</f>
        <v>0</v>
      </c>
      <c r="E90" s="34">
        <f>SUMIFS(Einzelbeträge!$D:$D,Einzelbeträge!$C:$C,'Ausgaben 2028'!$C90,Einzelbeträge!$E:$E,'Ausgaben 2028'!E$6)</f>
        <v>0</v>
      </c>
      <c r="F90" s="21">
        <f>SUMIFS(Einzelbeträge!$D:$D,Einzelbeträge!$C:$C,'Ausgaben 2028'!$C90,Einzelbeträge!$E:$E,'Ausgaben 2028'!F$6)</f>
        <v>0</v>
      </c>
      <c r="G90" s="21">
        <f>SUMIFS(Einzelbeträge!$D:$D,Einzelbeträge!$C:$C,'Ausgaben 2028'!$C90,Einzelbeträge!$E:$E,'Ausgaben 2028'!G$6)</f>
        <v>0</v>
      </c>
      <c r="H90" s="21">
        <f>SUMIFS(Einzelbeträge!$D:$D,Einzelbeträge!$C:$C,'Ausgaben 2028'!$C90,Einzelbeträge!$E:$E,'Ausgaben 2028'!H$6)</f>
        <v>0</v>
      </c>
      <c r="I90" s="21">
        <f>SUMIFS(Einzelbeträge!$D:$D,Einzelbeträge!$C:$C,'Ausgaben 2028'!$C90,Einzelbeträge!$E:$E,'Ausgaben 2028'!I$6)</f>
        <v>0</v>
      </c>
      <c r="J90" s="21">
        <f>SUMIFS(Einzelbeträge!$D:$D,Einzelbeträge!$C:$C,'Ausgaben 2028'!$C90,Einzelbeträge!$E:$E,'Ausgaben 2028'!J$6)</f>
        <v>0</v>
      </c>
      <c r="K90" s="21">
        <f>SUMIFS(Einzelbeträge!$D:$D,Einzelbeträge!$C:$C,'Ausgaben 2028'!$C90,Einzelbeträge!$E:$E,'Ausgaben 2028'!K$6)</f>
        <v>0</v>
      </c>
      <c r="L90" s="21">
        <f>SUMIFS(Einzelbeträge!$D:$D,Einzelbeträge!$C:$C,'Ausgaben 2028'!$C90,Einzelbeträge!$E:$E,'Ausgaben 2028'!L$6)</f>
        <v>0</v>
      </c>
      <c r="M90" s="21">
        <f>SUMIFS(Einzelbeträge!$D:$D,Einzelbeträge!$C:$C,'Ausgaben 2028'!$C90,Einzelbeträge!$E:$E,'Ausgaben 2028'!M$6)</f>
        <v>0</v>
      </c>
      <c r="N90" s="35">
        <f>SUMIFS(Einzelbeträge!$D:$D,Einzelbeträge!$C:$C,'Ausgaben 2028'!$C90,Einzelbeträge!$E:$E,'Ausgaben 2028'!N$6)</f>
        <v>0</v>
      </c>
      <c r="O90" s="6"/>
    </row>
    <row r="91" spans="2:15" x14ac:dyDescent="0.35">
      <c r="B91" s="5"/>
      <c r="C91" s="40">
        <f t="shared" si="18"/>
        <v>46831</v>
      </c>
      <c r="D91" s="46">
        <f>SUMIFS(Einzelbeträge!$D:$D,Einzelbeträge!$C:$C,'Ausgaben 2028'!$C91)</f>
        <v>0</v>
      </c>
      <c r="E91" s="34">
        <f>SUMIFS(Einzelbeträge!$D:$D,Einzelbeträge!$C:$C,'Ausgaben 2028'!$C91,Einzelbeträge!$E:$E,'Ausgaben 2028'!E$6)</f>
        <v>0</v>
      </c>
      <c r="F91" s="21">
        <f>SUMIFS(Einzelbeträge!$D:$D,Einzelbeträge!$C:$C,'Ausgaben 2028'!$C91,Einzelbeträge!$E:$E,'Ausgaben 2028'!F$6)</f>
        <v>0</v>
      </c>
      <c r="G91" s="21">
        <f>SUMIFS(Einzelbeträge!$D:$D,Einzelbeträge!$C:$C,'Ausgaben 2028'!$C91,Einzelbeträge!$E:$E,'Ausgaben 2028'!G$6)</f>
        <v>0</v>
      </c>
      <c r="H91" s="21">
        <f>SUMIFS(Einzelbeträge!$D:$D,Einzelbeträge!$C:$C,'Ausgaben 2028'!$C91,Einzelbeträge!$E:$E,'Ausgaben 2028'!H$6)</f>
        <v>0</v>
      </c>
      <c r="I91" s="21">
        <f>SUMIFS(Einzelbeträge!$D:$D,Einzelbeträge!$C:$C,'Ausgaben 2028'!$C91,Einzelbeträge!$E:$E,'Ausgaben 2028'!I$6)</f>
        <v>0</v>
      </c>
      <c r="J91" s="21">
        <f>SUMIFS(Einzelbeträge!$D:$D,Einzelbeträge!$C:$C,'Ausgaben 2028'!$C91,Einzelbeträge!$E:$E,'Ausgaben 2028'!J$6)</f>
        <v>0</v>
      </c>
      <c r="K91" s="21">
        <f>SUMIFS(Einzelbeträge!$D:$D,Einzelbeträge!$C:$C,'Ausgaben 2028'!$C91,Einzelbeträge!$E:$E,'Ausgaben 2028'!K$6)</f>
        <v>0</v>
      </c>
      <c r="L91" s="21">
        <f>SUMIFS(Einzelbeträge!$D:$D,Einzelbeträge!$C:$C,'Ausgaben 2028'!$C91,Einzelbeträge!$E:$E,'Ausgaben 2028'!L$6)</f>
        <v>0</v>
      </c>
      <c r="M91" s="21">
        <f>SUMIFS(Einzelbeträge!$D:$D,Einzelbeträge!$C:$C,'Ausgaben 2028'!$C91,Einzelbeträge!$E:$E,'Ausgaben 2028'!M$6)</f>
        <v>0</v>
      </c>
      <c r="N91" s="35">
        <f>SUMIFS(Einzelbeträge!$D:$D,Einzelbeträge!$C:$C,'Ausgaben 2028'!$C91,Einzelbeträge!$E:$E,'Ausgaben 2028'!N$6)</f>
        <v>0</v>
      </c>
      <c r="O91" s="6"/>
    </row>
    <row r="92" spans="2:15" x14ac:dyDescent="0.35">
      <c r="B92" s="5"/>
      <c r="C92" s="40">
        <f t="shared" si="18"/>
        <v>46832</v>
      </c>
      <c r="D92" s="46">
        <f>SUMIFS(Einzelbeträge!$D:$D,Einzelbeträge!$C:$C,'Ausgaben 2028'!$C92)</f>
        <v>0</v>
      </c>
      <c r="E92" s="34">
        <f>SUMIFS(Einzelbeträge!$D:$D,Einzelbeträge!$C:$C,'Ausgaben 2028'!$C92,Einzelbeträge!$E:$E,'Ausgaben 2028'!E$6)</f>
        <v>0</v>
      </c>
      <c r="F92" s="21">
        <f>SUMIFS(Einzelbeträge!$D:$D,Einzelbeträge!$C:$C,'Ausgaben 2028'!$C92,Einzelbeträge!$E:$E,'Ausgaben 2028'!F$6)</f>
        <v>0</v>
      </c>
      <c r="G92" s="21">
        <f>SUMIFS(Einzelbeträge!$D:$D,Einzelbeträge!$C:$C,'Ausgaben 2028'!$C92,Einzelbeträge!$E:$E,'Ausgaben 2028'!G$6)</f>
        <v>0</v>
      </c>
      <c r="H92" s="21">
        <f>SUMIFS(Einzelbeträge!$D:$D,Einzelbeträge!$C:$C,'Ausgaben 2028'!$C92,Einzelbeträge!$E:$E,'Ausgaben 2028'!H$6)</f>
        <v>0</v>
      </c>
      <c r="I92" s="21">
        <f>SUMIFS(Einzelbeträge!$D:$D,Einzelbeträge!$C:$C,'Ausgaben 2028'!$C92,Einzelbeträge!$E:$E,'Ausgaben 2028'!I$6)</f>
        <v>0</v>
      </c>
      <c r="J92" s="21">
        <f>SUMIFS(Einzelbeträge!$D:$D,Einzelbeträge!$C:$C,'Ausgaben 2028'!$C92,Einzelbeträge!$E:$E,'Ausgaben 2028'!J$6)</f>
        <v>0</v>
      </c>
      <c r="K92" s="21">
        <f>SUMIFS(Einzelbeträge!$D:$D,Einzelbeträge!$C:$C,'Ausgaben 2028'!$C92,Einzelbeträge!$E:$E,'Ausgaben 2028'!K$6)</f>
        <v>0</v>
      </c>
      <c r="L92" s="21">
        <f>SUMIFS(Einzelbeträge!$D:$D,Einzelbeträge!$C:$C,'Ausgaben 2028'!$C92,Einzelbeträge!$E:$E,'Ausgaben 2028'!L$6)</f>
        <v>0</v>
      </c>
      <c r="M92" s="21">
        <f>SUMIFS(Einzelbeträge!$D:$D,Einzelbeträge!$C:$C,'Ausgaben 2028'!$C92,Einzelbeträge!$E:$E,'Ausgaben 2028'!M$6)</f>
        <v>0</v>
      </c>
      <c r="N92" s="35">
        <f>SUMIFS(Einzelbeträge!$D:$D,Einzelbeträge!$C:$C,'Ausgaben 2028'!$C92,Einzelbeträge!$E:$E,'Ausgaben 2028'!N$6)</f>
        <v>0</v>
      </c>
      <c r="O92" s="6"/>
    </row>
    <row r="93" spans="2:15" x14ac:dyDescent="0.35">
      <c r="B93" s="5"/>
      <c r="C93" s="40">
        <f t="shared" si="18"/>
        <v>46833</v>
      </c>
      <c r="D93" s="46">
        <f>SUMIFS(Einzelbeträge!$D:$D,Einzelbeträge!$C:$C,'Ausgaben 2028'!$C93)</f>
        <v>0</v>
      </c>
      <c r="E93" s="34">
        <f>SUMIFS(Einzelbeträge!$D:$D,Einzelbeträge!$C:$C,'Ausgaben 2028'!$C93,Einzelbeträge!$E:$E,'Ausgaben 2028'!E$6)</f>
        <v>0</v>
      </c>
      <c r="F93" s="21">
        <f>SUMIFS(Einzelbeträge!$D:$D,Einzelbeträge!$C:$C,'Ausgaben 2028'!$C93,Einzelbeträge!$E:$E,'Ausgaben 2028'!F$6)</f>
        <v>0</v>
      </c>
      <c r="G93" s="21">
        <f>SUMIFS(Einzelbeträge!$D:$D,Einzelbeträge!$C:$C,'Ausgaben 2028'!$C93,Einzelbeträge!$E:$E,'Ausgaben 2028'!G$6)</f>
        <v>0</v>
      </c>
      <c r="H93" s="21">
        <f>SUMIFS(Einzelbeträge!$D:$D,Einzelbeträge!$C:$C,'Ausgaben 2028'!$C93,Einzelbeträge!$E:$E,'Ausgaben 2028'!H$6)</f>
        <v>0</v>
      </c>
      <c r="I93" s="21">
        <f>SUMIFS(Einzelbeträge!$D:$D,Einzelbeträge!$C:$C,'Ausgaben 2028'!$C93,Einzelbeträge!$E:$E,'Ausgaben 2028'!I$6)</f>
        <v>0</v>
      </c>
      <c r="J93" s="21">
        <f>SUMIFS(Einzelbeträge!$D:$D,Einzelbeträge!$C:$C,'Ausgaben 2028'!$C93,Einzelbeträge!$E:$E,'Ausgaben 2028'!J$6)</f>
        <v>0</v>
      </c>
      <c r="K93" s="21">
        <f>SUMIFS(Einzelbeträge!$D:$D,Einzelbeträge!$C:$C,'Ausgaben 2028'!$C93,Einzelbeträge!$E:$E,'Ausgaben 2028'!K$6)</f>
        <v>0</v>
      </c>
      <c r="L93" s="21">
        <f>SUMIFS(Einzelbeträge!$D:$D,Einzelbeträge!$C:$C,'Ausgaben 2028'!$C93,Einzelbeträge!$E:$E,'Ausgaben 2028'!L$6)</f>
        <v>0</v>
      </c>
      <c r="M93" s="21">
        <f>SUMIFS(Einzelbeträge!$D:$D,Einzelbeträge!$C:$C,'Ausgaben 2028'!$C93,Einzelbeträge!$E:$E,'Ausgaben 2028'!M$6)</f>
        <v>0</v>
      </c>
      <c r="N93" s="35">
        <f>SUMIFS(Einzelbeträge!$D:$D,Einzelbeträge!$C:$C,'Ausgaben 2028'!$C93,Einzelbeträge!$E:$E,'Ausgaben 2028'!N$6)</f>
        <v>0</v>
      </c>
      <c r="O93" s="6"/>
    </row>
    <row r="94" spans="2:15" x14ac:dyDescent="0.35">
      <c r="B94" s="5"/>
      <c r="C94" s="40">
        <f t="shared" si="18"/>
        <v>46834</v>
      </c>
      <c r="D94" s="46">
        <f>SUMIFS(Einzelbeträge!$D:$D,Einzelbeträge!$C:$C,'Ausgaben 2028'!$C94)</f>
        <v>0</v>
      </c>
      <c r="E94" s="34">
        <f>SUMIFS(Einzelbeträge!$D:$D,Einzelbeträge!$C:$C,'Ausgaben 2028'!$C94,Einzelbeträge!$E:$E,'Ausgaben 2028'!E$6)</f>
        <v>0</v>
      </c>
      <c r="F94" s="21">
        <f>SUMIFS(Einzelbeträge!$D:$D,Einzelbeträge!$C:$C,'Ausgaben 2028'!$C94,Einzelbeträge!$E:$E,'Ausgaben 2028'!F$6)</f>
        <v>0</v>
      </c>
      <c r="G94" s="21">
        <f>SUMIFS(Einzelbeträge!$D:$D,Einzelbeträge!$C:$C,'Ausgaben 2028'!$C94,Einzelbeträge!$E:$E,'Ausgaben 2028'!G$6)</f>
        <v>0</v>
      </c>
      <c r="H94" s="21">
        <f>SUMIFS(Einzelbeträge!$D:$D,Einzelbeträge!$C:$C,'Ausgaben 2028'!$C94,Einzelbeträge!$E:$E,'Ausgaben 2028'!H$6)</f>
        <v>0</v>
      </c>
      <c r="I94" s="21">
        <f>SUMIFS(Einzelbeträge!$D:$D,Einzelbeträge!$C:$C,'Ausgaben 2028'!$C94,Einzelbeträge!$E:$E,'Ausgaben 2028'!I$6)</f>
        <v>0</v>
      </c>
      <c r="J94" s="21">
        <f>SUMIFS(Einzelbeträge!$D:$D,Einzelbeträge!$C:$C,'Ausgaben 2028'!$C94,Einzelbeträge!$E:$E,'Ausgaben 2028'!J$6)</f>
        <v>0</v>
      </c>
      <c r="K94" s="21">
        <f>SUMIFS(Einzelbeträge!$D:$D,Einzelbeträge!$C:$C,'Ausgaben 2028'!$C94,Einzelbeträge!$E:$E,'Ausgaben 2028'!K$6)</f>
        <v>0</v>
      </c>
      <c r="L94" s="21">
        <f>SUMIFS(Einzelbeträge!$D:$D,Einzelbeträge!$C:$C,'Ausgaben 2028'!$C94,Einzelbeträge!$E:$E,'Ausgaben 2028'!L$6)</f>
        <v>0</v>
      </c>
      <c r="M94" s="21">
        <f>SUMIFS(Einzelbeträge!$D:$D,Einzelbeträge!$C:$C,'Ausgaben 2028'!$C94,Einzelbeträge!$E:$E,'Ausgaben 2028'!M$6)</f>
        <v>0</v>
      </c>
      <c r="N94" s="35">
        <f>SUMIFS(Einzelbeträge!$D:$D,Einzelbeträge!$C:$C,'Ausgaben 2028'!$C94,Einzelbeträge!$E:$E,'Ausgaben 2028'!N$6)</f>
        <v>0</v>
      </c>
      <c r="O94" s="6"/>
    </row>
    <row r="95" spans="2:15" x14ac:dyDescent="0.35">
      <c r="B95" s="5"/>
      <c r="C95" s="40">
        <f t="shared" si="18"/>
        <v>46835</v>
      </c>
      <c r="D95" s="46">
        <f>SUMIFS(Einzelbeträge!$D:$D,Einzelbeträge!$C:$C,'Ausgaben 2028'!$C95)</f>
        <v>0</v>
      </c>
      <c r="E95" s="34">
        <f>SUMIFS(Einzelbeträge!$D:$D,Einzelbeträge!$C:$C,'Ausgaben 2028'!$C95,Einzelbeträge!$E:$E,'Ausgaben 2028'!E$6)</f>
        <v>0</v>
      </c>
      <c r="F95" s="21">
        <f>SUMIFS(Einzelbeträge!$D:$D,Einzelbeträge!$C:$C,'Ausgaben 2028'!$C95,Einzelbeträge!$E:$E,'Ausgaben 2028'!F$6)</f>
        <v>0</v>
      </c>
      <c r="G95" s="21">
        <f>SUMIFS(Einzelbeträge!$D:$D,Einzelbeträge!$C:$C,'Ausgaben 2028'!$C95,Einzelbeträge!$E:$E,'Ausgaben 2028'!G$6)</f>
        <v>0</v>
      </c>
      <c r="H95" s="21">
        <f>SUMIFS(Einzelbeträge!$D:$D,Einzelbeträge!$C:$C,'Ausgaben 2028'!$C95,Einzelbeträge!$E:$E,'Ausgaben 2028'!H$6)</f>
        <v>0</v>
      </c>
      <c r="I95" s="21">
        <f>SUMIFS(Einzelbeträge!$D:$D,Einzelbeträge!$C:$C,'Ausgaben 2028'!$C95,Einzelbeträge!$E:$E,'Ausgaben 2028'!I$6)</f>
        <v>0</v>
      </c>
      <c r="J95" s="21">
        <f>SUMIFS(Einzelbeträge!$D:$D,Einzelbeträge!$C:$C,'Ausgaben 2028'!$C95,Einzelbeträge!$E:$E,'Ausgaben 2028'!J$6)</f>
        <v>0</v>
      </c>
      <c r="K95" s="21">
        <f>SUMIFS(Einzelbeträge!$D:$D,Einzelbeträge!$C:$C,'Ausgaben 2028'!$C95,Einzelbeträge!$E:$E,'Ausgaben 2028'!K$6)</f>
        <v>0</v>
      </c>
      <c r="L95" s="21">
        <f>SUMIFS(Einzelbeträge!$D:$D,Einzelbeträge!$C:$C,'Ausgaben 2028'!$C95,Einzelbeträge!$E:$E,'Ausgaben 2028'!L$6)</f>
        <v>0</v>
      </c>
      <c r="M95" s="21">
        <f>SUMIFS(Einzelbeträge!$D:$D,Einzelbeträge!$C:$C,'Ausgaben 2028'!$C95,Einzelbeträge!$E:$E,'Ausgaben 2028'!M$6)</f>
        <v>0</v>
      </c>
      <c r="N95" s="35">
        <f>SUMIFS(Einzelbeträge!$D:$D,Einzelbeträge!$C:$C,'Ausgaben 2028'!$C95,Einzelbeträge!$E:$E,'Ausgaben 2028'!N$6)</f>
        <v>0</v>
      </c>
      <c r="O95" s="6"/>
    </row>
    <row r="96" spans="2:15" x14ac:dyDescent="0.35">
      <c r="B96" s="5"/>
      <c r="C96" s="40">
        <f t="shared" si="18"/>
        <v>46836</v>
      </c>
      <c r="D96" s="46">
        <f>SUMIFS(Einzelbeträge!$D:$D,Einzelbeträge!$C:$C,'Ausgaben 2028'!$C96)</f>
        <v>0</v>
      </c>
      <c r="E96" s="34">
        <f>SUMIFS(Einzelbeträge!$D:$D,Einzelbeträge!$C:$C,'Ausgaben 2028'!$C96,Einzelbeträge!$E:$E,'Ausgaben 2028'!E$6)</f>
        <v>0</v>
      </c>
      <c r="F96" s="21">
        <f>SUMIFS(Einzelbeträge!$D:$D,Einzelbeträge!$C:$C,'Ausgaben 2028'!$C96,Einzelbeträge!$E:$E,'Ausgaben 2028'!F$6)</f>
        <v>0</v>
      </c>
      <c r="G96" s="21">
        <f>SUMIFS(Einzelbeträge!$D:$D,Einzelbeträge!$C:$C,'Ausgaben 2028'!$C96,Einzelbeträge!$E:$E,'Ausgaben 2028'!G$6)</f>
        <v>0</v>
      </c>
      <c r="H96" s="21">
        <f>SUMIFS(Einzelbeträge!$D:$D,Einzelbeträge!$C:$C,'Ausgaben 2028'!$C96,Einzelbeträge!$E:$E,'Ausgaben 2028'!H$6)</f>
        <v>0</v>
      </c>
      <c r="I96" s="21">
        <f>SUMIFS(Einzelbeträge!$D:$D,Einzelbeträge!$C:$C,'Ausgaben 2028'!$C96,Einzelbeträge!$E:$E,'Ausgaben 2028'!I$6)</f>
        <v>0</v>
      </c>
      <c r="J96" s="21">
        <f>SUMIFS(Einzelbeträge!$D:$D,Einzelbeträge!$C:$C,'Ausgaben 2028'!$C96,Einzelbeträge!$E:$E,'Ausgaben 2028'!J$6)</f>
        <v>0</v>
      </c>
      <c r="K96" s="21">
        <f>SUMIFS(Einzelbeträge!$D:$D,Einzelbeträge!$C:$C,'Ausgaben 2028'!$C96,Einzelbeträge!$E:$E,'Ausgaben 2028'!K$6)</f>
        <v>0</v>
      </c>
      <c r="L96" s="21">
        <f>SUMIFS(Einzelbeträge!$D:$D,Einzelbeträge!$C:$C,'Ausgaben 2028'!$C96,Einzelbeträge!$E:$E,'Ausgaben 2028'!L$6)</f>
        <v>0</v>
      </c>
      <c r="M96" s="21">
        <f>SUMIFS(Einzelbeträge!$D:$D,Einzelbeträge!$C:$C,'Ausgaben 2028'!$C96,Einzelbeträge!$E:$E,'Ausgaben 2028'!M$6)</f>
        <v>0</v>
      </c>
      <c r="N96" s="35">
        <f>SUMIFS(Einzelbeträge!$D:$D,Einzelbeträge!$C:$C,'Ausgaben 2028'!$C96,Einzelbeträge!$E:$E,'Ausgaben 2028'!N$6)</f>
        <v>0</v>
      </c>
      <c r="O96" s="6"/>
    </row>
    <row r="97" spans="2:15" x14ac:dyDescent="0.35">
      <c r="B97" s="5"/>
      <c r="C97" s="40">
        <f t="shared" si="18"/>
        <v>46837</v>
      </c>
      <c r="D97" s="46">
        <f>SUMIFS(Einzelbeträge!$D:$D,Einzelbeträge!$C:$C,'Ausgaben 2028'!$C97)</f>
        <v>0</v>
      </c>
      <c r="E97" s="34">
        <f>SUMIFS(Einzelbeträge!$D:$D,Einzelbeträge!$C:$C,'Ausgaben 2028'!$C97,Einzelbeträge!$E:$E,'Ausgaben 2028'!E$6)</f>
        <v>0</v>
      </c>
      <c r="F97" s="21">
        <f>SUMIFS(Einzelbeträge!$D:$D,Einzelbeträge!$C:$C,'Ausgaben 2028'!$C97,Einzelbeträge!$E:$E,'Ausgaben 2028'!F$6)</f>
        <v>0</v>
      </c>
      <c r="G97" s="21">
        <f>SUMIFS(Einzelbeträge!$D:$D,Einzelbeträge!$C:$C,'Ausgaben 2028'!$C97,Einzelbeträge!$E:$E,'Ausgaben 2028'!G$6)</f>
        <v>0</v>
      </c>
      <c r="H97" s="21">
        <f>SUMIFS(Einzelbeträge!$D:$D,Einzelbeträge!$C:$C,'Ausgaben 2028'!$C97,Einzelbeträge!$E:$E,'Ausgaben 2028'!H$6)</f>
        <v>0</v>
      </c>
      <c r="I97" s="21">
        <f>SUMIFS(Einzelbeträge!$D:$D,Einzelbeträge!$C:$C,'Ausgaben 2028'!$C97,Einzelbeträge!$E:$E,'Ausgaben 2028'!I$6)</f>
        <v>0</v>
      </c>
      <c r="J97" s="21">
        <f>SUMIFS(Einzelbeträge!$D:$D,Einzelbeträge!$C:$C,'Ausgaben 2028'!$C97,Einzelbeträge!$E:$E,'Ausgaben 2028'!J$6)</f>
        <v>0</v>
      </c>
      <c r="K97" s="21">
        <f>SUMIFS(Einzelbeträge!$D:$D,Einzelbeträge!$C:$C,'Ausgaben 2028'!$C97,Einzelbeträge!$E:$E,'Ausgaben 2028'!K$6)</f>
        <v>0</v>
      </c>
      <c r="L97" s="21">
        <f>SUMIFS(Einzelbeträge!$D:$D,Einzelbeträge!$C:$C,'Ausgaben 2028'!$C97,Einzelbeträge!$E:$E,'Ausgaben 2028'!L$6)</f>
        <v>0</v>
      </c>
      <c r="M97" s="21">
        <f>SUMIFS(Einzelbeträge!$D:$D,Einzelbeträge!$C:$C,'Ausgaben 2028'!$C97,Einzelbeträge!$E:$E,'Ausgaben 2028'!M$6)</f>
        <v>0</v>
      </c>
      <c r="N97" s="35">
        <f>SUMIFS(Einzelbeträge!$D:$D,Einzelbeträge!$C:$C,'Ausgaben 2028'!$C97,Einzelbeträge!$E:$E,'Ausgaben 2028'!N$6)</f>
        <v>0</v>
      </c>
      <c r="O97" s="6"/>
    </row>
    <row r="98" spans="2:15" x14ac:dyDescent="0.35">
      <c r="B98" s="5"/>
      <c r="C98" s="40">
        <f t="shared" si="18"/>
        <v>46838</v>
      </c>
      <c r="D98" s="46">
        <f>SUMIFS(Einzelbeträge!$D:$D,Einzelbeträge!$C:$C,'Ausgaben 2028'!$C98)</f>
        <v>0</v>
      </c>
      <c r="E98" s="34">
        <f>SUMIFS(Einzelbeträge!$D:$D,Einzelbeträge!$C:$C,'Ausgaben 2028'!$C98,Einzelbeträge!$E:$E,'Ausgaben 2028'!E$6)</f>
        <v>0</v>
      </c>
      <c r="F98" s="21">
        <f>SUMIFS(Einzelbeträge!$D:$D,Einzelbeträge!$C:$C,'Ausgaben 2028'!$C98,Einzelbeträge!$E:$E,'Ausgaben 2028'!F$6)</f>
        <v>0</v>
      </c>
      <c r="G98" s="21">
        <f>SUMIFS(Einzelbeträge!$D:$D,Einzelbeträge!$C:$C,'Ausgaben 2028'!$C98,Einzelbeträge!$E:$E,'Ausgaben 2028'!G$6)</f>
        <v>0</v>
      </c>
      <c r="H98" s="21">
        <f>SUMIFS(Einzelbeträge!$D:$D,Einzelbeträge!$C:$C,'Ausgaben 2028'!$C98,Einzelbeträge!$E:$E,'Ausgaben 2028'!H$6)</f>
        <v>0</v>
      </c>
      <c r="I98" s="21">
        <f>SUMIFS(Einzelbeträge!$D:$D,Einzelbeträge!$C:$C,'Ausgaben 2028'!$C98,Einzelbeträge!$E:$E,'Ausgaben 2028'!I$6)</f>
        <v>0</v>
      </c>
      <c r="J98" s="21">
        <f>SUMIFS(Einzelbeträge!$D:$D,Einzelbeträge!$C:$C,'Ausgaben 2028'!$C98,Einzelbeträge!$E:$E,'Ausgaben 2028'!J$6)</f>
        <v>0</v>
      </c>
      <c r="K98" s="21">
        <f>SUMIFS(Einzelbeträge!$D:$D,Einzelbeträge!$C:$C,'Ausgaben 2028'!$C98,Einzelbeträge!$E:$E,'Ausgaben 2028'!K$6)</f>
        <v>0</v>
      </c>
      <c r="L98" s="21">
        <f>SUMIFS(Einzelbeträge!$D:$D,Einzelbeträge!$C:$C,'Ausgaben 2028'!$C98,Einzelbeträge!$E:$E,'Ausgaben 2028'!L$6)</f>
        <v>0</v>
      </c>
      <c r="M98" s="21">
        <f>SUMIFS(Einzelbeträge!$D:$D,Einzelbeträge!$C:$C,'Ausgaben 2028'!$C98,Einzelbeträge!$E:$E,'Ausgaben 2028'!M$6)</f>
        <v>0</v>
      </c>
      <c r="N98" s="35">
        <f>SUMIFS(Einzelbeträge!$D:$D,Einzelbeträge!$C:$C,'Ausgaben 2028'!$C98,Einzelbeträge!$E:$E,'Ausgaben 2028'!N$6)</f>
        <v>0</v>
      </c>
      <c r="O98" s="6"/>
    </row>
    <row r="99" spans="2:15" x14ac:dyDescent="0.35">
      <c r="B99" s="5"/>
      <c r="C99" s="40">
        <f t="shared" si="18"/>
        <v>46839</v>
      </c>
      <c r="D99" s="46">
        <f>SUMIFS(Einzelbeträge!$D:$D,Einzelbeträge!$C:$C,'Ausgaben 2028'!$C99)</f>
        <v>0</v>
      </c>
      <c r="E99" s="34">
        <f>SUMIFS(Einzelbeträge!$D:$D,Einzelbeträge!$C:$C,'Ausgaben 2028'!$C99,Einzelbeträge!$E:$E,'Ausgaben 2028'!E$6)</f>
        <v>0</v>
      </c>
      <c r="F99" s="21">
        <f>SUMIFS(Einzelbeträge!$D:$D,Einzelbeträge!$C:$C,'Ausgaben 2028'!$C99,Einzelbeträge!$E:$E,'Ausgaben 2028'!F$6)</f>
        <v>0</v>
      </c>
      <c r="G99" s="21">
        <f>SUMIFS(Einzelbeträge!$D:$D,Einzelbeträge!$C:$C,'Ausgaben 2028'!$C99,Einzelbeträge!$E:$E,'Ausgaben 2028'!G$6)</f>
        <v>0</v>
      </c>
      <c r="H99" s="21">
        <f>SUMIFS(Einzelbeträge!$D:$D,Einzelbeträge!$C:$C,'Ausgaben 2028'!$C99,Einzelbeträge!$E:$E,'Ausgaben 2028'!H$6)</f>
        <v>0</v>
      </c>
      <c r="I99" s="21">
        <f>SUMIFS(Einzelbeträge!$D:$D,Einzelbeträge!$C:$C,'Ausgaben 2028'!$C99,Einzelbeträge!$E:$E,'Ausgaben 2028'!I$6)</f>
        <v>0</v>
      </c>
      <c r="J99" s="21">
        <f>SUMIFS(Einzelbeträge!$D:$D,Einzelbeträge!$C:$C,'Ausgaben 2028'!$C99,Einzelbeträge!$E:$E,'Ausgaben 2028'!J$6)</f>
        <v>0</v>
      </c>
      <c r="K99" s="21">
        <f>SUMIFS(Einzelbeträge!$D:$D,Einzelbeträge!$C:$C,'Ausgaben 2028'!$C99,Einzelbeträge!$E:$E,'Ausgaben 2028'!K$6)</f>
        <v>0</v>
      </c>
      <c r="L99" s="21">
        <f>SUMIFS(Einzelbeträge!$D:$D,Einzelbeträge!$C:$C,'Ausgaben 2028'!$C99,Einzelbeträge!$E:$E,'Ausgaben 2028'!L$6)</f>
        <v>0</v>
      </c>
      <c r="M99" s="21">
        <f>SUMIFS(Einzelbeträge!$D:$D,Einzelbeträge!$C:$C,'Ausgaben 2028'!$C99,Einzelbeträge!$E:$E,'Ausgaben 2028'!M$6)</f>
        <v>0</v>
      </c>
      <c r="N99" s="35">
        <f>SUMIFS(Einzelbeträge!$D:$D,Einzelbeträge!$C:$C,'Ausgaben 2028'!$C99,Einzelbeträge!$E:$E,'Ausgaben 2028'!N$6)</f>
        <v>0</v>
      </c>
      <c r="O99" s="6"/>
    </row>
    <row r="100" spans="2:15" x14ac:dyDescent="0.35">
      <c r="B100" s="5"/>
      <c r="C100" s="40">
        <f t="shared" si="18"/>
        <v>46840</v>
      </c>
      <c r="D100" s="46">
        <f>SUMIFS(Einzelbeträge!$D:$D,Einzelbeträge!$C:$C,'Ausgaben 2028'!$C100)</f>
        <v>0</v>
      </c>
      <c r="E100" s="34">
        <f>SUMIFS(Einzelbeträge!$D:$D,Einzelbeträge!$C:$C,'Ausgaben 2028'!$C100,Einzelbeträge!$E:$E,'Ausgaben 2028'!E$6)</f>
        <v>0</v>
      </c>
      <c r="F100" s="21">
        <f>SUMIFS(Einzelbeträge!$D:$D,Einzelbeträge!$C:$C,'Ausgaben 2028'!$C100,Einzelbeträge!$E:$E,'Ausgaben 2028'!F$6)</f>
        <v>0</v>
      </c>
      <c r="G100" s="21">
        <f>SUMIFS(Einzelbeträge!$D:$D,Einzelbeträge!$C:$C,'Ausgaben 2028'!$C100,Einzelbeträge!$E:$E,'Ausgaben 2028'!G$6)</f>
        <v>0</v>
      </c>
      <c r="H100" s="21">
        <f>SUMIFS(Einzelbeträge!$D:$D,Einzelbeträge!$C:$C,'Ausgaben 2028'!$C100,Einzelbeträge!$E:$E,'Ausgaben 2028'!H$6)</f>
        <v>0</v>
      </c>
      <c r="I100" s="21">
        <f>SUMIFS(Einzelbeträge!$D:$D,Einzelbeträge!$C:$C,'Ausgaben 2028'!$C100,Einzelbeträge!$E:$E,'Ausgaben 2028'!I$6)</f>
        <v>0</v>
      </c>
      <c r="J100" s="21">
        <f>SUMIFS(Einzelbeträge!$D:$D,Einzelbeträge!$C:$C,'Ausgaben 2028'!$C100,Einzelbeträge!$E:$E,'Ausgaben 2028'!J$6)</f>
        <v>0</v>
      </c>
      <c r="K100" s="21">
        <f>SUMIFS(Einzelbeträge!$D:$D,Einzelbeträge!$C:$C,'Ausgaben 2028'!$C100,Einzelbeträge!$E:$E,'Ausgaben 2028'!K$6)</f>
        <v>0</v>
      </c>
      <c r="L100" s="21">
        <f>SUMIFS(Einzelbeträge!$D:$D,Einzelbeträge!$C:$C,'Ausgaben 2028'!$C100,Einzelbeträge!$E:$E,'Ausgaben 2028'!L$6)</f>
        <v>0</v>
      </c>
      <c r="M100" s="21">
        <f>SUMIFS(Einzelbeträge!$D:$D,Einzelbeträge!$C:$C,'Ausgaben 2028'!$C100,Einzelbeträge!$E:$E,'Ausgaben 2028'!M$6)</f>
        <v>0</v>
      </c>
      <c r="N100" s="35">
        <f>SUMIFS(Einzelbeträge!$D:$D,Einzelbeträge!$C:$C,'Ausgaben 2028'!$C100,Einzelbeträge!$E:$E,'Ausgaben 2028'!N$6)</f>
        <v>0</v>
      </c>
      <c r="O100" s="6"/>
    </row>
    <row r="101" spans="2:15" x14ac:dyDescent="0.35">
      <c r="B101" s="5"/>
      <c r="C101" s="40">
        <f t="shared" si="18"/>
        <v>46841</v>
      </c>
      <c r="D101" s="46">
        <f>SUMIFS(Einzelbeträge!$D:$D,Einzelbeträge!$C:$C,'Ausgaben 2028'!$C101)</f>
        <v>0</v>
      </c>
      <c r="E101" s="34">
        <f>SUMIFS(Einzelbeträge!$D:$D,Einzelbeträge!$C:$C,'Ausgaben 2028'!$C101,Einzelbeträge!$E:$E,'Ausgaben 2028'!E$6)</f>
        <v>0</v>
      </c>
      <c r="F101" s="21">
        <f>SUMIFS(Einzelbeträge!$D:$D,Einzelbeträge!$C:$C,'Ausgaben 2028'!$C101,Einzelbeträge!$E:$E,'Ausgaben 2028'!F$6)</f>
        <v>0</v>
      </c>
      <c r="G101" s="21">
        <f>SUMIFS(Einzelbeträge!$D:$D,Einzelbeträge!$C:$C,'Ausgaben 2028'!$C101,Einzelbeträge!$E:$E,'Ausgaben 2028'!G$6)</f>
        <v>0</v>
      </c>
      <c r="H101" s="21">
        <f>SUMIFS(Einzelbeträge!$D:$D,Einzelbeträge!$C:$C,'Ausgaben 2028'!$C101,Einzelbeträge!$E:$E,'Ausgaben 2028'!H$6)</f>
        <v>0</v>
      </c>
      <c r="I101" s="21">
        <f>SUMIFS(Einzelbeträge!$D:$D,Einzelbeträge!$C:$C,'Ausgaben 2028'!$C101,Einzelbeträge!$E:$E,'Ausgaben 2028'!I$6)</f>
        <v>0</v>
      </c>
      <c r="J101" s="21">
        <f>SUMIFS(Einzelbeträge!$D:$D,Einzelbeträge!$C:$C,'Ausgaben 2028'!$C101,Einzelbeträge!$E:$E,'Ausgaben 2028'!J$6)</f>
        <v>0</v>
      </c>
      <c r="K101" s="21">
        <f>SUMIFS(Einzelbeträge!$D:$D,Einzelbeträge!$C:$C,'Ausgaben 2028'!$C101,Einzelbeträge!$E:$E,'Ausgaben 2028'!K$6)</f>
        <v>0</v>
      </c>
      <c r="L101" s="21">
        <f>SUMIFS(Einzelbeträge!$D:$D,Einzelbeträge!$C:$C,'Ausgaben 2028'!$C101,Einzelbeträge!$E:$E,'Ausgaben 2028'!L$6)</f>
        <v>0</v>
      </c>
      <c r="M101" s="21">
        <f>SUMIFS(Einzelbeträge!$D:$D,Einzelbeträge!$C:$C,'Ausgaben 2028'!$C101,Einzelbeträge!$E:$E,'Ausgaben 2028'!M$6)</f>
        <v>0</v>
      </c>
      <c r="N101" s="35">
        <f>SUMIFS(Einzelbeträge!$D:$D,Einzelbeträge!$C:$C,'Ausgaben 2028'!$C101,Einzelbeträge!$E:$E,'Ausgaben 2028'!N$6)</f>
        <v>0</v>
      </c>
      <c r="O101" s="6"/>
    </row>
    <row r="102" spans="2:15" x14ac:dyDescent="0.35">
      <c r="B102" s="5"/>
      <c r="C102" s="40">
        <f t="shared" si="18"/>
        <v>46842</v>
      </c>
      <c r="D102" s="46">
        <f>SUMIFS(Einzelbeträge!$D:$D,Einzelbeträge!$C:$C,'Ausgaben 2028'!$C102)</f>
        <v>0</v>
      </c>
      <c r="E102" s="34">
        <f>SUMIFS(Einzelbeträge!$D:$D,Einzelbeträge!$C:$C,'Ausgaben 2028'!$C102,Einzelbeträge!$E:$E,'Ausgaben 2028'!E$6)</f>
        <v>0</v>
      </c>
      <c r="F102" s="21">
        <f>SUMIFS(Einzelbeträge!$D:$D,Einzelbeträge!$C:$C,'Ausgaben 2028'!$C102,Einzelbeträge!$E:$E,'Ausgaben 2028'!F$6)</f>
        <v>0</v>
      </c>
      <c r="G102" s="21">
        <f>SUMIFS(Einzelbeträge!$D:$D,Einzelbeträge!$C:$C,'Ausgaben 2028'!$C102,Einzelbeträge!$E:$E,'Ausgaben 2028'!G$6)</f>
        <v>0</v>
      </c>
      <c r="H102" s="21">
        <f>SUMIFS(Einzelbeträge!$D:$D,Einzelbeträge!$C:$C,'Ausgaben 2028'!$C102,Einzelbeträge!$E:$E,'Ausgaben 2028'!H$6)</f>
        <v>0</v>
      </c>
      <c r="I102" s="21">
        <f>SUMIFS(Einzelbeträge!$D:$D,Einzelbeträge!$C:$C,'Ausgaben 2028'!$C102,Einzelbeträge!$E:$E,'Ausgaben 2028'!I$6)</f>
        <v>0</v>
      </c>
      <c r="J102" s="21">
        <f>SUMIFS(Einzelbeträge!$D:$D,Einzelbeträge!$C:$C,'Ausgaben 2028'!$C102,Einzelbeträge!$E:$E,'Ausgaben 2028'!J$6)</f>
        <v>0</v>
      </c>
      <c r="K102" s="21">
        <f>SUMIFS(Einzelbeträge!$D:$D,Einzelbeträge!$C:$C,'Ausgaben 2028'!$C102,Einzelbeträge!$E:$E,'Ausgaben 2028'!K$6)</f>
        <v>0</v>
      </c>
      <c r="L102" s="21">
        <f>SUMIFS(Einzelbeträge!$D:$D,Einzelbeträge!$C:$C,'Ausgaben 2028'!$C102,Einzelbeträge!$E:$E,'Ausgaben 2028'!L$6)</f>
        <v>0</v>
      </c>
      <c r="M102" s="21">
        <f>SUMIFS(Einzelbeträge!$D:$D,Einzelbeträge!$C:$C,'Ausgaben 2028'!$C102,Einzelbeträge!$E:$E,'Ausgaben 2028'!M$6)</f>
        <v>0</v>
      </c>
      <c r="N102" s="35">
        <f>SUMIFS(Einzelbeträge!$D:$D,Einzelbeträge!$C:$C,'Ausgaben 2028'!$C102,Einzelbeträge!$E:$E,'Ausgaben 2028'!N$6)</f>
        <v>0</v>
      </c>
      <c r="O102" s="6"/>
    </row>
    <row r="103" spans="2:15" x14ac:dyDescent="0.35">
      <c r="B103" s="5"/>
      <c r="C103" s="31">
        <f t="shared" si="18"/>
        <v>46843</v>
      </c>
      <c r="D103" s="47">
        <f>SUMIFS(Einzelbeträge!$D:$D,Einzelbeträge!$C:$C,'Ausgaben 2028'!$C103)</f>
        <v>0</v>
      </c>
      <c r="E103" s="36">
        <f>SUMIFS(Einzelbeträge!$D:$D,Einzelbeträge!$C:$C,'Ausgaben 2028'!$C103,Einzelbeträge!$E:$E,'Ausgaben 2028'!E$6)</f>
        <v>0</v>
      </c>
      <c r="F103" s="37">
        <f>SUMIFS(Einzelbeträge!$D:$D,Einzelbeträge!$C:$C,'Ausgaben 2028'!$C103,Einzelbeträge!$E:$E,'Ausgaben 2028'!F$6)</f>
        <v>0</v>
      </c>
      <c r="G103" s="37">
        <f>SUMIFS(Einzelbeträge!$D:$D,Einzelbeträge!$C:$C,'Ausgaben 2028'!$C103,Einzelbeträge!$E:$E,'Ausgaben 2028'!G$6)</f>
        <v>0</v>
      </c>
      <c r="H103" s="37">
        <f>SUMIFS(Einzelbeträge!$D:$D,Einzelbeträge!$C:$C,'Ausgaben 2028'!$C103,Einzelbeträge!$E:$E,'Ausgaben 2028'!H$6)</f>
        <v>0</v>
      </c>
      <c r="I103" s="37">
        <f>SUMIFS(Einzelbeträge!$D:$D,Einzelbeträge!$C:$C,'Ausgaben 2028'!$C103,Einzelbeträge!$E:$E,'Ausgaben 2028'!I$6)</f>
        <v>0</v>
      </c>
      <c r="J103" s="37">
        <f>SUMIFS(Einzelbeträge!$D:$D,Einzelbeträge!$C:$C,'Ausgaben 2028'!$C103,Einzelbeträge!$E:$E,'Ausgaben 2028'!J$6)</f>
        <v>0</v>
      </c>
      <c r="K103" s="37">
        <f>SUMIFS(Einzelbeträge!$D:$D,Einzelbeträge!$C:$C,'Ausgaben 2028'!$C103,Einzelbeträge!$E:$E,'Ausgaben 2028'!K$6)</f>
        <v>0</v>
      </c>
      <c r="L103" s="37">
        <f>SUMIFS(Einzelbeträge!$D:$D,Einzelbeträge!$C:$C,'Ausgaben 2028'!$C103,Einzelbeträge!$E:$E,'Ausgaben 2028'!L$6)</f>
        <v>0</v>
      </c>
      <c r="M103" s="37">
        <f>SUMIFS(Einzelbeträge!$D:$D,Einzelbeträge!$C:$C,'Ausgaben 2028'!$C103,Einzelbeträge!$E:$E,'Ausgaben 2028'!M$6)</f>
        <v>0</v>
      </c>
      <c r="N103" s="38">
        <f>SUMIFS(Einzelbeträge!$D:$D,Einzelbeträge!$C:$C,'Ausgaben 2028'!$C103,Einzelbeträge!$E:$E,'Ausgaben 2028'!N$6)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46844</v>
      </c>
      <c r="D107" s="45">
        <f>SUMIFS(Einzelbeträge!$D:$D,Einzelbeträge!$C:$C,'Ausgaben 2028'!$C107)</f>
        <v>0</v>
      </c>
      <c r="E107" s="32">
        <f>SUMIFS(Einzelbeträge!$D:$D,Einzelbeträge!$C:$C,'Ausgaben 2028'!$C107,Einzelbeträge!$E:$E,'Ausgaben 2028'!E$6)</f>
        <v>0</v>
      </c>
      <c r="F107" s="32">
        <f>SUMIFS(Einzelbeträge!$D:$D,Einzelbeträge!$C:$C,'Ausgaben 2028'!$C107,Einzelbeträge!$E:$E,'Ausgaben 2028'!F$6)</f>
        <v>0</v>
      </c>
      <c r="G107" s="32">
        <f>SUMIFS(Einzelbeträge!$D:$D,Einzelbeträge!$C:$C,'Ausgaben 2028'!$C107,Einzelbeträge!$E:$E,'Ausgaben 2028'!G$6)</f>
        <v>0</v>
      </c>
      <c r="H107" s="32">
        <f>SUMIFS(Einzelbeträge!$D:$D,Einzelbeträge!$C:$C,'Ausgaben 2028'!$C107,Einzelbeträge!$E:$E,'Ausgaben 2028'!H$6)</f>
        <v>0</v>
      </c>
      <c r="I107" s="32">
        <f>SUMIFS(Einzelbeträge!$D:$D,Einzelbeträge!$C:$C,'Ausgaben 2028'!$C107,Einzelbeträge!$E:$E,'Ausgaben 2028'!I$6)</f>
        <v>0</v>
      </c>
      <c r="J107" s="32">
        <f>SUMIFS(Einzelbeträge!$D:$D,Einzelbeträge!$C:$C,'Ausgaben 2028'!$C107,Einzelbeträge!$E:$E,'Ausgaben 2028'!J$6)</f>
        <v>0</v>
      </c>
      <c r="K107" s="32">
        <f>SUMIFS(Einzelbeträge!$D:$D,Einzelbeträge!$C:$C,'Ausgaben 2028'!$C107,Einzelbeträge!$E:$E,'Ausgaben 2028'!K$6)</f>
        <v>0</v>
      </c>
      <c r="L107" s="32">
        <f>SUMIFS(Einzelbeträge!$D:$D,Einzelbeträge!$C:$C,'Ausgaben 2028'!$C107,Einzelbeträge!$E:$E,'Ausgaben 2028'!L$6)</f>
        <v>0</v>
      </c>
      <c r="M107" s="32">
        <f>SUMIFS(Einzelbeträge!$D:$D,Einzelbeträge!$C:$C,'Ausgaben 2028'!$C107,Einzelbeträge!$E:$E,'Ausgaben 2028'!M$6)</f>
        <v>0</v>
      </c>
      <c r="N107" s="33">
        <f>SUMIFS(Einzelbeträge!$D:$D,Einzelbeträge!$C:$C,'Ausgaben 2028'!$C107,Einzelbeträge!$E:$E,'Ausgaben 2028'!N$6)</f>
        <v>0</v>
      </c>
      <c r="O107" s="6"/>
    </row>
    <row r="108" spans="2:15" x14ac:dyDescent="0.35">
      <c r="B108" s="5"/>
      <c r="C108" s="30">
        <f>C107+1</f>
        <v>46845</v>
      </c>
      <c r="D108" s="46">
        <f>SUMIFS(Einzelbeträge!$D:$D,Einzelbeträge!$C:$C,'Ausgaben 2028'!$C108)</f>
        <v>0</v>
      </c>
      <c r="E108" s="21">
        <f>SUMIFS(Einzelbeträge!$D:$D,Einzelbeträge!$C:$C,'Ausgaben 2028'!$C108,Einzelbeträge!$E:$E,'Ausgaben 2028'!E$6)</f>
        <v>0</v>
      </c>
      <c r="F108" s="21">
        <f>SUMIFS(Einzelbeträge!$D:$D,Einzelbeträge!$C:$C,'Ausgaben 2028'!$C108,Einzelbeträge!$E:$E,'Ausgaben 2028'!F$6)</f>
        <v>0</v>
      </c>
      <c r="G108" s="21">
        <f>SUMIFS(Einzelbeträge!$D:$D,Einzelbeträge!$C:$C,'Ausgaben 2028'!$C108,Einzelbeträge!$E:$E,'Ausgaben 2028'!G$6)</f>
        <v>0</v>
      </c>
      <c r="H108" s="21">
        <f>SUMIFS(Einzelbeträge!$D:$D,Einzelbeträge!$C:$C,'Ausgaben 2028'!$C108,Einzelbeträge!$E:$E,'Ausgaben 2028'!H$6)</f>
        <v>0</v>
      </c>
      <c r="I108" s="21">
        <f>SUMIFS(Einzelbeträge!$D:$D,Einzelbeträge!$C:$C,'Ausgaben 2028'!$C108,Einzelbeträge!$E:$E,'Ausgaben 2028'!I$6)</f>
        <v>0</v>
      </c>
      <c r="J108" s="21">
        <f>SUMIFS(Einzelbeträge!$D:$D,Einzelbeträge!$C:$C,'Ausgaben 2028'!$C108,Einzelbeträge!$E:$E,'Ausgaben 2028'!J$6)</f>
        <v>0</v>
      </c>
      <c r="K108" s="21">
        <f>SUMIFS(Einzelbeträge!$D:$D,Einzelbeträge!$C:$C,'Ausgaben 2028'!$C108,Einzelbeträge!$E:$E,'Ausgaben 2028'!K$6)</f>
        <v>0</v>
      </c>
      <c r="L108" s="21">
        <f>SUMIFS(Einzelbeträge!$D:$D,Einzelbeträge!$C:$C,'Ausgaben 2028'!$C108,Einzelbeträge!$E:$E,'Ausgaben 2028'!L$6)</f>
        <v>0</v>
      </c>
      <c r="M108" s="21">
        <f>SUMIFS(Einzelbeträge!$D:$D,Einzelbeträge!$C:$C,'Ausgaben 2028'!$C108,Einzelbeträge!$E:$E,'Ausgaben 2028'!M$6)</f>
        <v>0</v>
      </c>
      <c r="N108" s="35">
        <f>SUMIFS(Einzelbeträge!$D:$D,Einzelbeträge!$C:$C,'Ausgaben 2028'!$C108,Einzelbeträge!$E:$E,'Ausgaben 2028'!N$6)</f>
        <v>0</v>
      </c>
      <c r="O108" s="6"/>
    </row>
    <row r="109" spans="2:15" x14ac:dyDescent="0.35">
      <c r="B109" s="5"/>
      <c r="C109" s="30">
        <f t="shared" ref="C109:C136" si="19">C108+1</f>
        <v>46846</v>
      </c>
      <c r="D109" s="46">
        <f>SUMIFS(Einzelbeträge!$D:$D,Einzelbeträge!$C:$C,'Ausgaben 2028'!$C109)</f>
        <v>0</v>
      </c>
      <c r="E109" s="21">
        <f>SUMIFS(Einzelbeträge!$D:$D,Einzelbeträge!$C:$C,'Ausgaben 2028'!$C109,Einzelbeträge!$E:$E,'Ausgaben 2028'!E$6)</f>
        <v>0</v>
      </c>
      <c r="F109" s="21">
        <f>SUMIFS(Einzelbeträge!$D:$D,Einzelbeträge!$C:$C,'Ausgaben 2028'!$C109,Einzelbeträge!$E:$E,'Ausgaben 2028'!F$6)</f>
        <v>0</v>
      </c>
      <c r="G109" s="21">
        <f>SUMIFS(Einzelbeträge!$D:$D,Einzelbeträge!$C:$C,'Ausgaben 2028'!$C109,Einzelbeträge!$E:$E,'Ausgaben 2028'!G$6)</f>
        <v>0</v>
      </c>
      <c r="H109" s="21">
        <f>SUMIFS(Einzelbeträge!$D:$D,Einzelbeträge!$C:$C,'Ausgaben 2028'!$C109,Einzelbeträge!$E:$E,'Ausgaben 2028'!H$6)</f>
        <v>0</v>
      </c>
      <c r="I109" s="21">
        <f>SUMIFS(Einzelbeträge!$D:$D,Einzelbeträge!$C:$C,'Ausgaben 2028'!$C109,Einzelbeträge!$E:$E,'Ausgaben 2028'!I$6)</f>
        <v>0</v>
      </c>
      <c r="J109" s="21">
        <f>SUMIFS(Einzelbeträge!$D:$D,Einzelbeträge!$C:$C,'Ausgaben 2028'!$C109,Einzelbeträge!$E:$E,'Ausgaben 2028'!J$6)</f>
        <v>0</v>
      </c>
      <c r="K109" s="21">
        <f>SUMIFS(Einzelbeträge!$D:$D,Einzelbeträge!$C:$C,'Ausgaben 2028'!$C109,Einzelbeträge!$E:$E,'Ausgaben 2028'!K$6)</f>
        <v>0</v>
      </c>
      <c r="L109" s="21">
        <f>SUMIFS(Einzelbeträge!$D:$D,Einzelbeträge!$C:$C,'Ausgaben 2028'!$C109,Einzelbeträge!$E:$E,'Ausgaben 2028'!L$6)</f>
        <v>0</v>
      </c>
      <c r="M109" s="21">
        <f>SUMIFS(Einzelbeträge!$D:$D,Einzelbeträge!$C:$C,'Ausgaben 2028'!$C109,Einzelbeträge!$E:$E,'Ausgaben 2028'!M$6)</f>
        <v>0</v>
      </c>
      <c r="N109" s="35">
        <f>SUMIFS(Einzelbeträge!$D:$D,Einzelbeträge!$C:$C,'Ausgaben 2028'!$C109,Einzelbeträge!$E:$E,'Ausgaben 2028'!N$6)</f>
        <v>0</v>
      </c>
      <c r="O109" s="6"/>
    </row>
    <row r="110" spans="2:15" x14ac:dyDescent="0.35">
      <c r="B110" s="5"/>
      <c r="C110" s="30">
        <f t="shared" si="19"/>
        <v>46847</v>
      </c>
      <c r="D110" s="46">
        <f>SUMIFS(Einzelbeträge!$D:$D,Einzelbeträge!$C:$C,'Ausgaben 2028'!$C110)</f>
        <v>0</v>
      </c>
      <c r="E110" s="21">
        <f>SUMIFS(Einzelbeträge!$D:$D,Einzelbeträge!$C:$C,'Ausgaben 2028'!$C110,Einzelbeträge!$E:$E,'Ausgaben 2028'!E$6)</f>
        <v>0</v>
      </c>
      <c r="F110" s="21">
        <f>SUMIFS(Einzelbeträge!$D:$D,Einzelbeträge!$C:$C,'Ausgaben 2028'!$C110,Einzelbeträge!$E:$E,'Ausgaben 2028'!F$6)</f>
        <v>0</v>
      </c>
      <c r="G110" s="21">
        <f>SUMIFS(Einzelbeträge!$D:$D,Einzelbeträge!$C:$C,'Ausgaben 2028'!$C110,Einzelbeträge!$E:$E,'Ausgaben 2028'!G$6)</f>
        <v>0</v>
      </c>
      <c r="H110" s="21">
        <f>SUMIFS(Einzelbeträge!$D:$D,Einzelbeträge!$C:$C,'Ausgaben 2028'!$C110,Einzelbeträge!$E:$E,'Ausgaben 2028'!H$6)</f>
        <v>0</v>
      </c>
      <c r="I110" s="21">
        <f>SUMIFS(Einzelbeträge!$D:$D,Einzelbeträge!$C:$C,'Ausgaben 2028'!$C110,Einzelbeträge!$E:$E,'Ausgaben 2028'!I$6)</f>
        <v>0</v>
      </c>
      <c r="J110" s="21">
        <f>SUMIFS(Einzelbeträge!$D:$D,Einzelbeträge!$C:$C,'Ausgaben 2028'!$C110,Einzelbeträge!$E:$E,'Ausgaben 2028'!J$6)</f>
        <v>0</v>
      </c>
      <c r="K110" s="21">
        <f>SUMIFS(Einzelbeträge!$D:$D,Einzelbeträge!$C:$C,'Ausgaben 2028'!$C110,Einzelbeträge!$E:$E,'Ausgaben 2028'!K$6)</f>
        <v>0</v>
      </c>
      <c r="L110" s="21">
        <f>SUMIFS(Einzelbeträge!$D:$D,Einzelbeträge!$C:$C,'Ausgaben 2028'!$C110,Einzelbeträge!$E:$E,'Ausgaben 2028'!L$6)</f>
        <v>0</v>
      </c>
      <c r="M110" s="21">
        <f>SUMIFS(Einzelbeträge!$D:$D,Einzelbeträge!$C:$C,'Ausgaben 2028'!$C110,Einzelbeträge!$E:$E,'Ausgaben 2028'!M$6)</f>
        <v>0</v>
      </c>
      <c r="N110" s="35">
        <f>SUMIFS(Einzelbeträge!$D:$D,Einzelbeträge!$C:$C,'Ausgaben 2028'!$C110,Einzelbeträge!$E:$E,'Ausgaben 2028'!N$6)</f>
        <v>0</v>
      </c>
      <c r="O110" s="6"/>
    </row>
    <row r="111" spans="2:15" x14ac:dyDescent="0.35">
      <c r="B111" s="5"/>
      <c r="C111" s="30">
        <f t="shared" si="19"/>
        <v>46848</v>
      </c>
      <c r="D111" s="46">
        <f>SUMIFS(Einzelbeträge!$D:$D,Einzelbeträge!$C:$C,'Ausgaben 2028'!$C111)</f>
        <v>0</v>
      </c>
      <c r="E111" s="21">
        <f>SUMIFS(Einzelbeträge!$D:$D,Einzelbeträge!$C:$C,'Ausgaben 2028'!$C111,Einzelbeträge!$E:$E,'Ausgaben 2028'!E$6)</f>
        <v>0</v>
      </c>
      <c r="F111" s="21">
        <f>SUMIFS(Einzelbeträge!$D:$D,Einzelbeträge!$C:$C,'Ausgaben 2028'!$C111,Einzelbeträge!$E:$E,'Ausgaben 2028'!F$6)</f>
        <v>0</v>
      </c>
      <c r="G111" s="21">
        <f>SUMIFS(Einzelbeträge!$D:$D,Einzelbeträge!$C:$C,'Ausgaben 2028'!$C111,Einzelbeträge!$E:$E,'Ausgaben 2028'!G$6)</f>
        <v>0</v>
      </c>
      <c r="H111" s="21">
        <f>SUMIFS(Einzelbeträge!$D:$D,Einzelbeträge!$C:$C,'Ausgaben 2028'!$C111,Einzelbeträge!$E:$E,'Ausgaben 2028'!H$6)</f>
        <v>0</v>
      </c>
      <c r="I111" s="21">
        <f>SUMIFS(Einzelbeträge!$D:$D,Einzelbeträge!$C:$C,'Ausgaben 2028'!$C111,Einzelbeträge!$E:$E,'Ausgaben 2028'!I$6)</f>
        <v>0</v>
      </c>
      <c r="J111" s="21">
        <f>SUMIFS(Einzelbeträge!$D:$D,Einzelbeträge!$C:$C,'Ausgaben 2028'!$C111,Einzelbeträge!$E:$E,'Ausgaben 2028'!J$6)</f>
        <v>0</v>
      </c>
      <c r="K111" s="21">
        <f>SUMIFS(Einzelbeträge!$D:$D,Einzelbeträge!$C:$C,'Ausgaben 2028'!$C111,Einzelbeträge!$E:$E,'Ausgaben 2028'!K$6)</f>
        <v>0</v>
      </c>
      <c r="L111" s="21">
        <f>SUMIFS(Einzelbeträge!$D:$D,Einzelbeträge!$C:$C,'Ausgaben 2028'!$C111,Einzelbeträge!$E:$E,'Ausgaben 2028'!L$6)</f>
        <v>0</v>
      </c>
      <c r="M111" s="21">
        <f>SUMIFS(Einzelbeträge!$D:$D,Einzelbeträge!$C:$C,'Ausgaben 2028'!$C111,Einzelbeträge!$E:$E,'Ausgaben 2028'!M$6)</f>
        <v>0</v>
      </c>
      <c r="N111" s="35">
        <f>SUMIFS(Einzelbeträge!$D:$D,Einzelbeträge!$C:$C,'Ausgaben 2028'!$C111,Einzelbeträge!$E:$E,'Ausgaben 2028'!N$6)</f>
        <v>0</v>
      </c>
      <c r="O111" s="6"/>
    </row>
    <row r="112" spans="2:15" x14ac:dyDescent="0.35">
      <c r="B112" s="5"/>
      <c r="C112" s="30">
        <f t="shared" si="19"/>
        <v>46849</v>
      </c>
      <c r="D112" s="46">
        <f>SUMIFS(Einzelbeträge!$D:$D,Einzelbeträge!$C:$C,'Ausgaben 2028'!$C112)</f>
        <v>0</v>
      </c>
      <c r="E112" s="21">
        <f>SUMIFS(Einzelbeträge!$D:$D,Einzelbeträge!$C:$C,'Ausgaben 2028'!$C112,Einzelbeträge!$E:$E,'Ausgaben 2028'!E$6)</f>
        <v>0</v>
      </c>
      <c r="F112" s="21">
        <f>SUMIFS(Einzelbeträge!$D:$D,Einzelbeträge!$C:$C,'Ausgaben 2028'!$C112,Einzelbeträge!$E:$E,'Ausgaben 2028'!F$6)</f>
        <v>0</v>
      </c>
      <c r="G112" s="21">
        <f>SUMIFS(Einzelbeträge!$D:$D,Einzelbeträge!$C:$C,'Ausgaben 2028'!$C112,Einzelbeträge!$E:$E,'Ausgaben 2028'!G$6)</f>
        <v>0</v>
      </c>
      <c r="H112" s="21">
        <f>SUMIFS(Einzelbeträge!$D:$D,Einzelbeträge!$C:$C,'Ausgaben 2028'!$C112,Einzelbeträge!$E:$E,'Ausgaben 2028'!H$6)</f>
        <v>0</v>
      </c>
      <c r="I112" s="21">
        <f>SUMIFS(Einzelbeträge!$D:$D,Einzelbeträge!$C:$C,'Ausgaben 2028'!$C112,Einzelbeträge!$E:$E,'Ausgaben 2028'!I$6)</f>
        <v>0</v>
      </c>
      <c r="J112" s="21">
        <f>SUMIFS(Einzelbeträge!$D:$D,Einzelbeträge!$C:$C,'Ausgaben 2028'!$C112,Einzelbeträge!$E:$E,'Ausgaben 2028'!J$6)</f>
        <v>0</v>
      </c>
      <c r="K112" s="21">
        <f>SUMIFS(Einzelbeträge!$D:$D,Einzelbeträge!$C:$C,'Ausgaben 2028'!$C112,Einzelbeträge!$E:$E,'Ausgaben 2028'!K$6)</f>
        <v>0</v>
      </c>
      <c r="L112" s="21">
        <f>SUMIFS(Einzelbeträge!$D:$D,Einzelbeträge!$C:$C,'Ausgaben 2028'!$C112,Einzelbeträge!$E:$E,'Ausgaben 2028'!L$6)</f>
        <v>0</v>
      </c>
      <c r="M112" s="21">
        <f>SUMIFS(Einzelbeträge!$D:$D,Einzelbeträge!$C:$C,'Ausgaben 2028'!$C112,Einzelbeträge!$E:$E,'Ausgaben 2028'!M$6)</f>
        <v>0</v>
      </c>
      <c r="N112" s="35">
        <f>SUMIFS(Einzelbeträge!$D:$D,Einzelbeträge!$C:$C,'Ausgaben 2028'!$C112,Einzelbeträge!$E:$E,'Ausgaben 2028'!N$6)</f>
        <v>0</v>
      </c>
      <c r="O112" s="6"/>
    </row>
    <row r="113" spans="2:15" x14ac:dyDescent="0.35">
      <c r="B113" s="5"/>
      <c r="C113" s="30">
        <f t="shared" si="19"/>
        <v>46850</v>
      </c>
      <c r="D113" s="46">
        <f>SUMIFS(Einzelbeträge!$D:$D,Einzelbeträge!$C:$C,'Ausgaben 2028'!$C113)</f>
        <v>0</v>
      </c>
      <c r="E113" s="21">
        <f>SUMIFS(Einzelbeträge!$D:$D,Einzelbeträge!$C:$C,'Ausgaben 2028'!$C113,Einzelbeträge!$E:$E,'Ausgaben 2028'!E$6)</f>
        <v>0</v>
      </c>
      <c r="F113" s="21">
        <f>SUMIFS(Einzelbeträge!$D:$D,Einzelbeträge!$C:$C,'Ausgaben 2028'!$C113,Einzelbeträge!$E:$E,'Ausgaben 2028'!F$6)</f>
        <v>0</v>
      </c>
      <c r="G113" s="21">
        <f>SUMIFS(Einzelbeträge!$D:$D,Einzelbeträge!$C:$C,'Ausgaben 2028'!$C113,Einzelbeträge!$E:$E,'Ausgaben 2028'!G$6)</f>
        <v>0</v>
      </c>
      <c r="H113" s="21">
        <f>SUMIFS(Einzelbeträge!$D:$D,Einzelbeträge!$C:$C,'Ausgaben 2028'!$C113,Einzelbeträge!$E:$E,'Ausgaben 2028'!H$6)</f>
        <v>0</v>
      </c>
      <c r="I113" s="21">
        <f>SUMIFS(Einzelbeträge!$D:$D,Einzelbeträge!$C:$C,'Ausgaben 2028'!$C113,Einzelbeträge!$E:$E,'Ausgaben 2028'!I$6)</f>
        <v>0</v>
      </c>
      <c r="J113" s="21">
        <f>SUMIFS(Einzelbeträge!$D:$D,Einzelbeträge!$C:$C,'Ausgaben 2028'!$C113,Einzelbeträge!$E:$E,'Ausgaben 2028'!J$6)</f>
        <v>0</v>
      </c>
      <c r="K113" s="21">
        <f>SUMIFS(Einzelbeträge!$D:$D,Einzelbeträge!$C:$C,'Ausgaben 2028'!$C113,Einzelbeträge!$E:$E,'Ausgaben 2028'!K$6)</f>
        <v>0</v>
      </c>
      <c r="L113" s="21">
        <f>SUMIFS(Einzelbeträge!$D:$D,Einzelbeträge!$C:$C,'Ausgaben 2028'!$C113,Einzelbeträge!$E:$E,'Ausgaben 2028'!L$6)</f>
        <v>0</v>
      </c>
      <c r="M113" s="21">
        <f>SUMIFS(Einzelbeträge!$D:$D,Einzelbeträge!$C:$C,'Ausgaben 2028'!$C113,Einzelbeträge!$E:$E,'Ausgaben 2028'!M$6)</f>
        <v>0</v>
      </c>
      <c r="N113" s="35">
        <f>SUMIFS(Einzelbeträge!$D:$D,Einzelbeträge!$C:$C,'Ausgaben 2028'!$C113,Einzelbeträge!$E:$E,'Ausgaben 2028'!N$6)</f>
        <v>0</v>
      </c>
      <c r="O113" s="6"/>
    </row>
    <row r="114" spans="2:15" x14ac:dyDescent="0.35">
      <c r="B114" s="5"/>
      <c r="C114" s="30">
        <f t="shared" si="19"/>
        <v>46851</v>
      </c>
      <c r="D114" s="46">
        <f>SUMIFS(Einzelbeträge!$D:$D,Einzelbeträge!$C:$C,'Ausgaben 2028'!$C114)</f>
        <v>0</v>
      </c>
      <c r="E114" s="21">
        <f>SUMIFS(Einzelbeträge!$D:$D,Einzelbeträge!$C:$C,'Ausgaben 2028'!$C114,Einzelbeträge!$E:$E,'Ausgaben 2028'!E$6)</f>
        <v>0</v>
      </c>
      <c r="F114" s="21">
        <f>SUMIFS(Einzelbeträge!$D:$D,Einzelbeträge!$C:$C,'Ausgaben 2028'!$C114,Einzelbeträge!$E:$E,'Ausgaben 2028'!F$6)</f>
        <v>0</v>
      </c>
      <c r="G114" s="21">
        <f>SUMIFS(Einzelbeträge!$D:$D,Einzelbeträge!$C:$C,'Ausgaben 2028'!$C114,Einzelbeträge!$E:$E,'Ausgaben 2028'!G$6)</f>
        <v>0</v>
      </c>
      <c r="H114" s="21">
        <f>SUMIFS(Einzelbeträge!$D:$D,Einzelbeträge!$C:$C,'Ausgaben 2028'!$C114,Einzelbeträge!$E:$E,'Ausgaben 2028'!H$6)</f>
        <v>0</v>
      </c>
      <c r="I114" s="21">
        <f>SUMIFS(Einzelbeträge!$D:$D,Einzelbeträge!$C:$C,'Ausgaben 2028'!$C114,Einzelbeträge!$E:$E,'Ausgaben 2028'!I$6)</f>
        <v>0</v>
      </c>
      <c r="J114" s="21">
        <f>SUMIFS(Einzelbeträge!$D:$D,Einzelbeträge!$C:$C,'Ausgaben 2028'!$C114,Einzelbeträge!$E:$E,'Ausgaben 2028'!J$6)</f>
        <v>0</v>
      </c>
      <c r="K114" s="21">
        <f>SUMIFS(Einzelbeträge!$D:$D,Einzelbeträge!$C:$C,'Ausgaben 2028'!$C114,Einzelbeträge!$E:$E,'Ausgaben 2028'!K$6)</f>
        <v>0</v>
      </c>
      <c r="L114" s="21">
        <f>SUMIFS(Einzelbeträge!$D:$D,Einzelbeträge!$C:$C,'Ausgaben 2028'!$C114,Einzelbeträge!$E:$E,'Ausgaben 2028'!L$6)</f>
        <v>0</v>
      </c>
      <c r="M114" s="21">
        <f>SUMIFS(Einzelbeträge!$D:$D,Einzelbeträge!$C:$C,'Ausgaben 2028'!$C114,Einzelbeträge!$E:$E,'Ausgaben 2028'!M$6)</f>
        <v>0</v>
      </c>
      <c r="N114" s="35">
        <f>SUMIFS(Einzelbeträge!$D:$D,Einzelbeträge!$C:$C,'Ausgaben 2028'!$C114,Einzelbeträge!$E:$E,'Ausgaben 2028'!N$6)</f>
        <v>0</v>
      </c>
      <c r="O114" s="6"/>
    </row>
    <row r="115" spans="2:15" x14ac:dyDescent="0.35">
      <c r="B115" s="5"/>
      <c r="C115" s="30">
        <f t="shared" si="19"/>
        <v>46852</v>
      </c>
      <c r="D115" s="46">
        <f>SUMIFS(Einzelbeträge!$D:$D,Einzelbeträge!$C:$C,'Ausgaben 2028'!$C115)</f>
        <v>0</v>
      </c>
      <c r="E115" s="21">
        <f>SUMIFS(Einzelbeträge!$D:$D,Einzelbeträge!$C:$C,'Ausgaben 2028'!$C115,Einzelbeträge!$E:$E,'Ausgaben 2028'!E$6)</f>
        <v>0</v>
      </c>
      <c r="F115" s="21">
        <f>SUMIFS(Einzelbeträge!$D:$D,Einzelbeträge!$C:$C,'Ausgaben 2028'!$C115,Einzelbeträge!$E:$E,'Ausgaben 2028'!F$6)</f>
        <v>0</v>
      </c>
      <c r="G115" s="21">
        <f>SUMIFS(Einzelbeträge!$D:$D,Einzelbeträge!$C:$C,'Ausgaben 2028'!$C115,Einzelbeträge!$E:$E,'Ausgaben 2028'!G$6)</f>
        <v>0</v>
      </c>
      <c r="H115" s="21">
        <f>SUMIFS(Einzelbeträge!$D:$D,Einzelbeträge!$C:$C,'Ausgaben 2028'!$C115,Einzelbeträge!$E:$E,'Ausgaben 2028'!H$6)</f>
        <v>0</v>
      </c>
      <c r="I115" s="21">
        <f>SUMIFS(Einzelbeträge!$D:$D,Einzelbeträge!$C:$C,'Ausgaben 2028'!$C115,Einzelbeträge!$E:$E,'Ausgaben 2028'!I$6)</f>
        <v>0</v>
      </c>
      <c r="J115" s="21">
        <f>SUMIFS(Einzelbeträge!$D:$D,Einzelbeträge!$C:$C,'Ausgaben 2028'!$C115,Einzelbeträge!$E:$E,'Ausgaben 2028'!J$6)</f>
        <v>0</v>
      </c>
      <c r="K115" s="21">
        <f>SUMIFS(Einzelbeträge!$D:$D,Einzelbeträge!$C:$C,'Ausgaben 2028'!$C115,Einzelbeträge!$E:$E,'Ausgaben 2028'!K$6)</f>
        <v>0</v>
      </c>
      <c r="L115" s="21">
        <f>SUMIFS(Einzelbeträge!$D:$D,Einzelbeträge!$C:$C,'Ausgaben 2028'!$C115,Einzelbeträge!$E:$E,'Ausgaben 2028'!L$6)</f>
        <v>0</v>
      </c>
      <c r="M115" s="21">
        <f>SUMIFS(Einzelbeträge!$D:$D,Einzelbeträge!$C:$C,'Ausgaben 2028'!$C115,Einzelbeträge!$E:$E,'Ausgaben 2028'!M$6)</f>
        <v>0</v>
      </c>
      <c r="N115" s="35">
        <f>SUMIFS(Einzelbeträge!$D:$D,Einzelbeträge!$C:$C,'Ausgaben 2028'!$C115,Einzelbeträge!$E:$E,'Ausgaben 2028'!N$6)</f>
        <v>0</v>
      </c>
      <c r="O115" s="6"/>
    </row>
    <row r="116" spans="2:15" x14ac:dyDescent="0.35">
      <c r="B116" s="5"/>
      <c r="C116" s="30">
        <f t="shared" si="19"/>
        <v>46853</v>
      </c>
      <c r="D116" s="46">
        <f>SUMIFS(Einzelbeträge!$D:$D,Einzelbeträge!$C:$C,'Ausgaben 2028'!$C116)</f>
        <v>0</v>
      </c>
      <c r="E116" s="21">
        <f>SUMIFS(Einzelbeträge!$D:$D,Einzelbeträge!$C:$C,'Ausgaben 2028'!$C116,Einzelbeträge!$E:$E,'Ausgaben 2028'!E$6)</f>
        <v>0</v>
      </c>
      <c r="F116" s="21">
        <f>SUMIFS(Einzelbeträge!$D:$D,Einzelbeträge!$C:$C,'Ausgaben 2028'!$C116,Einzelbeträge!$E:$E,'Ausgaben 2028'!F$6)</f>
        <v>0</v>
      </c>
      <c r="G116" s="21">
        <f>SUMIFS(Einzelbeträge!$D:$D,Einzelbeträge!$C:$C,'Ausgaben 2028'!$C116,Einzelbeträge!$E:$E,'Ausgaben 2028'!G$6)</f>
        <v>0</v>
      </c>
      <c r="H116" s="21">
        <f>SUMIFS(Einzelbeträge!$D:$D,Einzelbeträge!$C:$C,'Ausgaben 2028'!$C116,Einzelbeträge!$E:$E,'Ausgaben 2028'!H$6)</f>
        <v>0</v>
      </c>
      <c r="I116" s="21">
        <f>SUMIFS(Einzelbeträge!$D:$D,Einzelbeträge!$C:$C,'Ausgaben 2028'!$C116,Einzelbeträge!$E:$E,'Ausgaben 2028'!I$6)</f>
        <v>0</v>
      </c>
      <c r="J116" s="21">
        <f>SUMIFS(Einzelbeträge!$D:$D,Einzelbeträge!$C:$C,'Ausgaben 2028'!$C116,Einzelbeträge!$E:$E,'Ausgaben 2028'!J$6)</f>
        <v>0</v>
      </c>
      <c r="K116" s="21">
        <f>SUMIFS(Einzelbeträge!$D:$D,Einzelbeträge!$C:$C,'Ausgaben 2028'!$C116,Einzelbeträge!$E:$E,'Ausgaben 2028'!K$6)</f>
        <v>0</v>
      </c>
      <c r="L116" s="21">
        <f>SUMIFS(Einzelbeträge!$D:$D,Einzelbeträge!$C:$C,'Ausgaben 2028'!$C116,Einzelbeträge!$E:$E,'Ausgaben 2028'!L$6)</f>
        <v>0</v>
      </c>
      <c r="M116" s="21">
        <f>SUMIFS(Einzelbeträge!$D:$D,Einzelbeträge!$C:$C,'Ausgaben 2028'!$C116,Einzelbeträge!$E:$E,'Ausgaben 2028'!M$6)</f>
        <v>0</v>
      </c>
      <c r="N116" s="35">
        <f>SUMIFS(Einzelbeträge!$D:$D,Einzelbeträge!$C:$C,'Ausgaben 2028'!$C116,Einzelbeträge!$E:$E,'Ausgaben 2028'!N$6)</f>
        <v>0</v>
      </c>
      <c r="O116" s="6"/>
    </row>
    <row r="117" spans="2:15" x14ac:dyDescent="0.35">
      <c r="B117" s="5"/>
      <c r="C117" s="30">
        <f t="shared" si="19"/>
        <v>46854</v>
      </c>
      <c r="D117" s="46">
        <f>SUMIFS(Einzelbeträge!$D:$D,Einzelbeträge!$C:$C,'Ausgaben 2028'!$C117)</f>
        <v>0</v>
      </c>
      <c r="E117" s="21">
        <f>SUMIFS(Einzelbeträge!$D:$D,Einzelbeträge!$C:$C,'Ausgaben 2028'!$C117,Einzelbeträge!$E:$E,'Ausgaben 2028'!E$6)</f>
        <v>0</v>
      </c>
      <c r="F117" s="21">
        <f>SUMIFS(Einzelbeträge!$D:$D,Einzelbeträge!$C:$C,'Ausgaben 2028'!$C117,Einzelbeträge!$E:$E,'Ausgaben 2028'!F$6)</f>
        <v>0</v>
      </c>
      <c r="G117" s="21">
        <f>SUMIFS(Einzelbeträge!$D:$D,Einzelbeträge!$C:$C,'Ausgaben 2028'!$C117,Einzelbeträge!$E:$E,'Ausgaben 2028'!G$6)</f>
        <v>0</v>
      </c>
      <c r="H117" s="21">
        <f>SUMIFS(Einzelbeträge!$D:$D,Einzelbeträge!$C:$C,'Ausgaben 2028'!$C117,Einzelbeträge!$E:$E,'Ausgaben 2028'!H$6)</f>
        <v>0</v>
      </c>
      <c r="I117" s="21">
        <f>SUMIFS(Einzelbeträge!$D:$D,Einzelbeträge!$C:$C,'Ausgaben 2028'!$C117,Einzelbeträge!$E:$E,'Ausgaben 2028'!I$6)</f>
        <v>0</v>
      </c>
      <c r="J117" s="21">
        <f>SUMIFS(Einzelbeträge!$D:$D,Einzelbeträge!$C:$C,'Ausgaben 2028'!$C117,Einzelbeträge!$E:$E,'Ausgaben 2028'!J$6)</f>
        <v>0</v>
      </c>
      <c r="K117" s="21">
        <f>SUMIFS(Einzelbeträge!$D:$D,Einzelbeträge!$C:$C,'Ausgaben 2028'!$C117,Einzelbeträge!$E:$E,'Ausgaben 2028'!K$6)</f>
        <v>0</v>
      </c>
      <c r="L117" s="21">
        <f>SUMIFS(Einzelbeträge!$D:$D,Einzelbeträge!$C:$C,'Ausgaben 2028'!$C117,Einzelbeträge!$E:$E,'Ausgaben 2028'!L$6)</f>
        <v>0</v>
      </c>
      <c r="M117" s="21">
        <f>SUMIFS(Einzelbeträge!$D:$D,Einzelbeträge!$C:$C,'Ausgaben 2028'!$C117,Einzelbeträge!$E:$E,'Ausgaben 2028'!M$6)</f>
        <v>0</v>
      </c>
      <c r="N117" s="35">
        <f>SUMIFS(Einzelbeträge!$D:$D,Einzelbeträge!$C:$C,'Ausgaben 2028'!$C117,Einzelbeträge!$E:$E,'Ausgaben 2028'!N$6)</f>
        <v>0</v>
      </c>
      <c r="O117" s="6"/>
    </row>
    <row r="118" spans="2:15" x14ac:dyDescent="0.35">
      <c r="B118" s="5"/>
      <c r="C118" s="30">
        <f t="shared" si="19"/>
        <v>46855</v>
      </c>
      <c r="D118" s="46">
        <f>SUMIFS(Einzelbeträge!$D:$D,Einzelbeträge!$C:$C,'Ausgaben 2028'!$C118)</f>
        <v>0</v>
      </c>
      <c r="E118" s="21">
        <f>SUMIFS(Einzelbeträge!$D:$D,Einzelbeträge!$C:$C,'Ausgaben 2028'!$C118,Einzelbeträge!$E:$E,'Ausgaben 2028'!E$6)</f>
        <v>0</v>
      </c>
      <c r="F118" s="21">
        <f>SUMIFS(Einzelbeträge!$D:$D,Einzelbeträge!$C:$C,'Ausgaben 2028'!$C118,Einzelbeträge!$E:$E,'Ausgaben 2028'!F$6)</f>
        <v>0</v>
      </c>
      <c r="G118" s="21">
        <f>SUMIFS(Einzelbeträge!$D:$D,Einzelbeträge!$C:$C,'Ausgaben 2028'!$C118,Einzelbeträge!$E:$E,'Ausgaben 2028'!G$6)</f>
        <v>0</v>
      </c>
      <c r="H118" s="21">
        <f>SUMIFS(Einzelbeträge!$D:$D,Einzelbeträge!$C:$C,'Ausgaben 2028'!$C118,Einzelbeträge!$E:$E,'Ausgaben 2028'!H$6)</f>
        <v>0</v>
      </c>
      <c r="I118" s="21">
        <f>SUMIFS(Einzelbeträge!$D:$D,Einzelbeträge!$C:$C,'Ausgaben 2028'!$C118,Einzelbeträge!$E:$E,'Ausgaben 2028'!I$6)</f>
        <v>0</v>
      </c>
      <c r="J118" s="21">
        <f>SUMIFS(Einzelbeträge!$D:$D,Einzelbeträge!$C:$C,'Ausgaben 2028'!$C118,Einzelbeträge!$E:$E,'Ausgaben 2028'!J$6)</f>
        <v>0</v>
      </c>
      <c r="K118" s="21">
        <f>SUMIFS(Einzelbeträge!$D:$D,Einzelbeträge!$C:$C,'Ausgaben 2028'!$C118,Einzelbeträge!$E:$E,'Ausgaben 2028'!K$6)</f>
        <v>0</v>
      </c>
      <c r="L118" s="21">
        <f>SUMIFS(Einzelbeträge!$D:$D,Einzelbeträge!$C:$C,'Ausgaben 2028'!$C118,Einzelbeträge!$E:$E,'Ausgaben 2028'!L$6)</f>
        <v>0</v>
      </c>
      <c r="M118" s="21">
        <f>SUMIFS(Einzelbeträge!$D:$D,Einzelbeträge!$C:$C,'Ausgaben 2028'!$C118,Einzelbeträge!$E:$E,'Ausgaben 2028'!M$6)</f>
        <v>0</v>
      </c>
      <c r="N118" s="35">
        <f>SUMIFS(Einzelbeträge!$D:$D,Einzelbeträge!$C:$C,'Ausgaben 2028'!$C118,Einzelbeträge!$E:$E,'Ausgaben 2028'!N$6)</f>
        <v>0</v>
      </c>
      <c r="O118" s="6"/>
    </row>
    <row r="119" spans="2:15" x14ac:dyDescent="0.35">
      <c r="B119" s="5"/>
      <c r="C119" s="30">
        <f t="shared" si="19"/>
        <v>46856</v>
      </c>
      <c r="D119" s="46">
        <f>SUMIFS(Einzelbeträge!$D:$D,Einzelbeträge!$C:$C,'Ausgaben 2028'!$C119)</f>
        <v>0</v>
      </c>
      <c r="E119" s="21">
        <f>SUMIFS(Einzelbeträge!$D:$D,Einzelbeträge!$C:$C,'Ausgaben 2028'!$C119,Einzelbeträge!$E:$E,'Ausgaben 2028'!E$6)</f>
        <v>0</v>
      </c>
      <c r="F119" s="21">
        <f>SUMIFS(Einzelbeträge!$D:$D,Einzelbeträge!$C:$C,'Ausgaben 2028'!$C119,Einzelbeträge!$E:$E,'Ausgaben 2028'!F$6)</f>
        <v>0</v>
      </c>
      <c r="G119" s="21">
        <f>SUMIFS(Einzelbeträge!$D:$D,Einzelbeträge!$C:$C,'Ausgaben 2028'!$C119,Einzelbeträge!$E:$E,'Ausgaben 2028'!G$6)</f>
        <v>0</v>
      </c>
      <c r="H119" s="21">
        <f>SUMIFS(Einzelbeträge!$D:$D,Einzelbeträge!$C:$C,'Ausgaben 2028'!$C119,Einzelbeträge!$E:$E,'Ausgaben 2028'!H$6)</f>
        <v>0</v>
      </c>
      <c r="I119" s="21">
        <f>SUMIFS(Einzelbeträge!$D:$D,Einzelbeträge!$C:$C,'Ausgaben 2028'!$C119,Einzelbeträge!$E:$E,'Ausgaben 2028'!I$6)</f>
        <v>0</v>
      </c>
      <c r="J119" s="21">
        <f>SUMIFS(Einzelbeträge!$D:$D,Einzelbeträge!$C:$C,'Ausgaben 2028'!$C119,Einzelbeträge!$E:$E,'Ausgaben 2028'!J$6)</f>
        <v>0</v>
      </c>
      <c r="K119" s="21">
        <f>SUMIFS(Einzelbeträge!$D:$D,Einzelbeträge!$C:$C,'Ausgaben 2028'!$C119,Einzelbeträge!$E:$E,'Ausgaben 2028'!K$6)</f>
        <v>0</v>
      </c>
      <c r="L119" s="21">
        <f>SUMIFS(Einzelbeträge!$D:$D,Einzelbeträge!$C:$C,'Ausgaben 2028'!$C119,Einzelbeträge!$E:$E,'Ausgaben 2028'!L$6)</f>
        <v>0</v>
      </c>
      <c r="M119" s="21">
        <f>SUMIFS(Einzelbeträge!$D:$D,Einzelbeträge!$C:$C,'Ausgaben 2028'!$C119,Einzelbeträge!$E:$E,'Ausgaben 2028'!M$6)</f>
        <v>0</v>
      </c>
      <c r="N119" s="35">
        <f>SUMIFS(Einzelbeträge!$D:$D,Einzelbeträge!$C:$C,'Ausgaben 2028'!$C119,Einzelbeträge!$E:$E,'Ausgaben 2028'!N$6)</f>
        <v>0</v>
      </c>
      <c r="O119" s="6"/>
    </row>
    <row r="120" spans="2:15" x14ac:dyDescent="0.35">
      <c r="B120" s="5"/>
      <c r="C120" s="30">
        <f t="shared" si="19"/>
        <v>46857</v>
      </c>
      <c r="D120" s="46">
        <f>SUMIFS(Einzelbeträge!$D:$D,Einzelbeträge!$C:$C,'Ausgaben 2028'!$C120)</f>
        <v>0</v>
      </c>
      <c r="E120" s="21">
        <f>SUMIFS(Einzelbeträge!$D:$D,Einzelbeträge!$C:$C,'Ausgaben 2028'!$C120,Einzelbeträge!$E:$E,'Ausgaben 2028'!E$6)</f>
        <v>0</v>
      </c>
      <c r="F120" s="21">
        <f>SUMIFS(Einzelbeträge!$D:$D,Einzelbeträge!$C:$C,'Ausgaben 2028'!$C120,Einzelbeträge!$E:$E,'Ausgaben 2028'!F$6)</f>
        <v>0</v>
      </c>
      <c r="G120" s="21">
        <f>SUMIFS(Einzelbeträge!$D:$D,Einzelbeträge!$C:$C,'Ausgaben 2028'!$C120,Einzelbeträge!$E:$E,'Ausgaben 2028'!G$6)</f>
        <v>0</v>
      </c>
      <c r="H120" s="21">
        <f>SUMIFS(Einzelbeträge!$D:$D,Einzelbeträge!$C:$C,'Ausgaben 2028'!$C120,Einzelbeträge!$E:$E,'Ausgaben 2028'!H$6)</f>
        <v>0</v>
      </c>
      <c r="I120" s="21">
        <f>SUMIFS(Einzelbeträge!$D:$D,Einzelbeträge!$C:$C,'Ausgaben 2028'!$C120,Einzelbeträge!$E:$E,'Ausgaben 2028'!I$6)</f>
        <v>0</v>
      </c>
      <c r="J120" s="21">
        <f>SUMIFS(Einzelbeträge!$D:$D,Einzelbeträge!$C:$C,'Ausgaben 2028'!$C120,Einzelbeträge!$E:$E,'Ausgaben 2028'!J$6)</f>
        <v>0</v>
      </c>
      <c r="K120" s="21">
        <f>SUMIFS(Einzelbeträge!$D:$D,Einzelbeträge!$C:$C,'Ausgaben 2028'!$C120,Einzelbeträge!$E:$E,'Ausgaben 2028'!K$6)</f>
        <v>0</v>
      </c>
      <c r="L120" s="21">
        <f>SUMIFS(Einzelbeträge!$D:$D,Einzelbeträge!$C:$C,'Ausgaben 2028'!$C120,Einzelbeträge!$E:$E,'Ausgaben 2028'!L$6)</f>
        <v>0</v>
      </c>
      <c r="M120" s="21">
        <f>SUMIFS(Einzelbeträge!$D:$D,Einzelbeträge!$C:$C,'Ausgaben 2028'!$C120,Einzelbeträge!$E:$E,'Ausgaben 2028'!M$6)</f>
        <v>0</v>
      </c>
      <c r="N120" s="35">
        <f>SUMIFS(Einzelbeträge!$D:$D,Einzelbeträge!$C:$C,'Ausgaben 2028'!$C120,Einzelbeträge!$E:$E,'Ausgaben 2028'!N$6)</f>
        <v>0</v>
      </c>
      <c r="O120" s="6"/>
    </row>
    <row r="121" spans="2:15" x14ac:dyDescent="0.35">
      <c r="B121" s="5"/>
      <c r="C121" s="30">
        <f t="shared" si="19"/>
        <v>46858</v>
      </c>
      <c r="D121" s="46">
        <f>SUMIFS(Einzelbeträge!$D:$D,Einzelbeträge!$C:$C,'Ausgaben 2028'!$C121)</f>
        <v>0</v>
      </c>
      <c r="E121" s="21">
        <f>SUMIFS(Einzelbeträge!$D:$D,Einzelbeträge!$C:$C,'Ausgaben 2028'!$C121,Einzelbeträge!$E:$E,'Ausgaben 2028'!E$6)</f>
        <v>0</v>
      </c>
      <c r="F121" s="21">
        <f>SUMIFS(Einzelbeträge!$D:$D,Einzelbeträge!$C:$C,'Ausgaben 2028'!$C121,Einzelbeträge!$E:$E,'Ausgaben 2028'!F$6)</f>
        <v>0</v>
      </c>
      <c r="G121" s="21">
        <f>SUMIFS(Einzelbeträge!$D:$D,Einzelbeträge!$C:$C,'Ausgaben 2028'!$C121,Einzelbeträge!$E:$E,'Ausgaben 2028'!G$6)</f>
        <v>0</v>
      </c>
      <c r="H121" s="21">
        <f>SUMIFS(Einzelbeträge!$D:$D,Einzelbeträge!$C:$C,'Ausgaben 2028'!$C121,Einzelbeträge!$E:$E,'Ausgaben 2028'!H$6)</f>
        <v>0</v>
      </c>
      <c r="I121" s="21">
        <f>SUMIFS(Einzelbeträge!$D:$D,Einzelbeträge!$C:$C,'Ausgaben 2028'!$C121,Einzelbeträge!$E:$E,'Ausgaben 2028'!I$6)</f>
        <v>0</v>
      </c>
      <c r="J121" s="21">
        <f>SUMIFS(Einzelbeträge!$D:$D,Einzelbeträge!$C:$C,'Ausgaben 2028'!$C121,Einzelbeträge!$E:$E,'Ausgaben 2028'!J$6)</f>
        <v>0</v>
      </c>
      <c r="K121" s="21">
        <f>SUMIFS(Einzelbeträge!$D:$D,Einzelbeträge!$C:$C,'Ausgaben 2028'!$C121,Einzelbeträge!$E:$E,'Ausgaben 2028'!K$6)</f>
        <v>0</v>
      </c>
      <c r="L121" s="21">
        <f>SUMIFS(Einzelbeträge!$D:$D,Einzelbeträge!$C:$C,'Ausgaben 2028'!$C121,Einzelbeträge!$E:$E,'Ausgaben 2028'!L$6)</f>
        <v>0</v>
      </c>
      <c r="M121" s="21">
        <f>SUMIFS(Einzelbeträge!$D:$D,Einzelbeträge!$C:$C,'Ausgaben 2028'!$C121,Einzelbeträge!$E:$E,'Ausgaben 2028'!M$6)</f>
        <v>0</v>
      </c>
      <c r="N121" s="35">
        <f>SUMIFS(Einzelbeträge!$D:$D,Einzelbeträge!$C:$C,'Ausgaben 2028'!$C121,Einzelbeträge!$E:$E,'Ausgaben 2028'!N$6)</f>
        <v>0</v>
      </c>
      <c r="O121" s="6"/>
    </row>
    <row r="122" spans="2:15" x14ac:dyDescent="0.35">
      <c r="B122" s="5"/>
      <c r="C122" s="30">
        <f t="shared" si="19"/>
        <v>46859</v>
      </c>
      <c r="D122" s="46">
        <f>SUMIFS(Einzelbeträge!$D:$D,Einzelbeträge!$C:$C,'Ausgaben 2028'!$C122)</f>
        <v>0</v>
      </c>
      <c r="E122" s="21">
        <f>SUMIFS(Einzelbeträge!$D:$D,Einzelbeträge!$C:$C,'Ausgaben 2028'!$C122,Einzelbeträge!$E:$E,'Ausgaben 2028'!E$6)</f>
        <v>0</v>
      </c>
      <c r="F122" s="21">
        <f>SUMIFS(Einzelbeträge!$D:$D,Einzelbeträge!$C:$C,'Ausgaben 2028'!$C122,Einzelbeträge!$E:$E,'Ausgaben 2028'!F$6)</f>
        <v>0</v>
      </c>
      <c r="G122" s="21">
        <f>SUMIFS(Einzelbeträge!$D:$D,Einzelbeträge!$C:$C,'Ausgaben 2028'!$C122,Einzelbeträge!$E:$E,'Ausgaben 2028'!G$6)</f>
        <v>0</v>
      </c>
      <c r="H122" s="21">
        <f>SUMIFS(Einzelbeträge!$D:$D,Einzelbeträge!$C:$C,'Ausgaben 2028'!$C122,Einzelbeträge!$E:$E,'Ausgaben 2028'!H$6)</f>
        <v>0</v>
      </c>
      <c r="I122" s="21">
        <f>SUMIFS(Einzelbeträge!$D:$D,Einzelbeträge!$C:$C,'Ausgaben 2028'!$C122,Einzelbeträge!$E:$E,'Ausgaben 2028'!I$6)</f>
        <v>0</v>
      </c>
      <c r="J122" s="21">
        <f>SUMIFS(Einzelbeträge!$D:$D,Einzelbeträge!$C:$C,'Ausgaben 2028'!$C122,Einzelbeträge!$E:$E,'Ausgaben 2028'!J$6)</f>
        <v>0</v>
      </c>
      <c r="K122" s="21">
        <f>SUMIFS(Einzelbeträge!$D:$D,Einzelbeträge!$C:$C,'Ausgaben 2028'!$C122,Einzelbeträge!$E:$E,'Ausgaben 2028'!K$6)</f>
        <v>0</v>
      </c>
      <c r="L122" s="21">
        <f>SUMIFS(Einzelbeträge!$D:$D,Einzelbeträge!$C:$C,'Ausgaben 2028'!$C122,Einzelbeträge!$E:$E,'Ausgaben 2028'!L$6)</f>
        <v>0</v>
      </c>
      <c r="M122" s="21">
        <f>SUMIFS(Einzelbeträge!$D:$D,Einzelbeträge!$C:$C,'Ausgaben 2028'!$C122,Einzelbeträge!$E:$E,'Ausgaben 2028'!M$6)</f>
        <v>0</v>
      </c>
      <c r="N122" s="35">
        <f>SUMIFS(Einzelbeträge!$D:$D,Einzelbeträge!$C:$C,'Ausgaben 2028'!$C122,Einzelbeträge!$E:$E,'Ausgaben 2028'!N$6)</f>
        <v>0</v>
      </c>
      <c r="O122" s="6"/>
    </row>
    <row r="123" spans="2:15" x14ac:dyDescent="0.35">
      <c r="B123" s="5"/>
      <c r="C123" s="30">
        <f t="shared" si="19"/>
        <v>46860</v>
      </c>
      <c r="D123" s="46">
        <f>SUMIFS(Einzelbeträge!$D:$D,Einzelbeträge!$C:$C,'Ausgaben 2028'!$C123)</f>
        <v>0</v>
      </c>
      <c r="E123" s="21">
        <f>SUMIFS(Einzelbeträge!$D:$D,Einzelbeträge!$C:$C,'Ausgaben 2028'!$C123,Einzelbeträge!$E:$E,'Ausgaben 2028'!E$6)</f>
        <v>0</v>
      </c>
      <c r="F123" s="21">
        <f>SUMIFS(Einzelbeträge!$D:$D,Einzelbeträge!$C:$C,'Ausgaben 2028'!$C123,Einzelbeträge!$E:$E,'Ausgaben 2028'!F$6)</f>
        <v>0</v>
      </c>
      <c r="G123" s="21">
        <f>SUMIFS(Einzelbeträge!$D:$D,Einzelbeträge!$C:$C,'Ausgaben 2028'!$C123,Einzelbeträge!$E:$E,'Ausgaben 2028'!G$6)</f>
        <v>0</v>
      </c>
      <c r="H123" s="21">
        <f>SUMIFS(Einzelbeträge!$D:$D,Einzelbeträge!$C:$C,'Ausgaben 2028'!$C123,Einzelbeträge!$E:$E,'Ausgaben 2028'!H$6)</f>
        <v>0</v>
      </c>
      <c r="I123" s="21">
        <f>SUMIFS(Einzelbeträge!$D:$D,Einzelbeträge!$C:$C,'Ausgaben 2028'!$C123,Einzelbeträge!$E:$E,'Ausgaben 2028'!I$6)</f>
        <v>0</v>
      </c>
      <c r="J123" s="21">
        <f>SUMIFS(Einzelbeträge!$D:$D,Einzelbeträge!$C:$C,'Ausgaben 2028'!$C123,Einzelbeträge!$E:$E,'Ausgaben 2028'!J$6)</f>
        <v>0</v>
      </c>
      <c r="K123" s="21">
        <f>SUMIFS(Einzelbeträge!$D:$D,Einzelbeträge!$C:$C,'Ausgaben 2028'!$C123,Einzelbeträge!$E:$E,'Ausgaben 2028'!K$6)</f>
        <v>0</v>
      </c>
      <c r="L123" s="21">
        <f>SUMIFS(Einzelbeträge!$D:$D,Einzelbeträge!$C:$C,'Ausgaben 2028'!$C123,Einzelbeträge!$E:$E,'Ausgaben 2028'!L$6)</f>
        <v>0</v>
      </c>
      <c r="M123" s="21">
        <f>SUMIFS(Einzelbeträge!$D:$D,Einzelbeträge!$C:$C,'Ausgaben 2028'!$C123,Einzelbeträge!$E:$E,'Ausgaben 2028'!M$6)</f>
        <v>0</v>
      </c>
      <c r="N123" s="35">
        <f>SUMIFS(Einzelbeträge!$D:$D,Einzelbeträge!$C:$C,'Ausgaben 2028'!$C123,Einzelbeträge!$E:$E,'Ausgaben 2028'!N$6)</f>
        <v>0</v>
      </c>
      <c r="O123" s="6"/>
    </row>
    <row r="124" spans="2:15" x14ac:dyDescent="0.35">
      <c r="B124" s="5"/>
      <c r="C124" s="30">
        <f t="shared" si="19"/>
        <v>46861</v>
      </c>
      <c r="D124" s="46">
        <f>SUMIFS(Einzelbeträge!$D:$D,Einzelbeträge!$C:$C,'Ausgaben 2028'!$C124)</f>
        <v>0</v>
      </c>
      <c r="E124" s="21">
        <f>SUMIFS(Einzelbeträge!$D:$D,Einzelbeträge!$C:$C,'Ausgaben 2028'!$C124,Einzelbeträge!$E:$E,'Ausgaben 2028'!E$6)</f>
        <v>0</v>
      </c>
      <c r="F124" s="21">
        <f>SUMIFS(Einzelbeträge!$D:$D,Einzelbeträge!$C:$C,'Ausgaben 2028'!$C124,Einzelbeträge!$E:$E,'Ausgaben 2028'!F$6)</f>
        <v>0</v>
      </c>
      <c r="G124" s="21">
        <f>SUMIFS(Einzelbeträge!$D:$D,Einzelbeträge!$C:$C,'Ausgaben 2028'!$C124,Einzelbeträge!$E:$E,'Ausgaben 2028'!G$6)</f>
        <v>0</v>
      </c>
      <c r="H124" s="21">
        <f>SUMIFS(Einzelbeträge!$D:$D,Einzelbeträge!$C:$C,'Ausgaben 2028'!$C124,Einzelbeträge!$E:$E,'Ausgaben 2028'!H$6)</f>
        <v>0</v>
      </c>
      <c r="I124" s="21">
        <f>SUMIFS(Einzelbeträge!$D:$D,Einzelbeträge!$C:$C,'Ausgaben 2028'!$C124,Einzelbeträge!$E:$E,'Ausgaben 2028'!I$6)</f>
        <v>0</v>
      </c>
      <c r="J124" s="21">
        <f>SUMIFS(Einzelbeträge!$D:$D,Einzelbeträge!$C:$C,'Ausgaben 2028'!$C124,Einzelbeträge!$E:$E,'Ausgaben 2028'!J$6)</f>
        <v>0</v>
      </c>
      <c r="K124" s="21">
        <f>SUMIFS(Einzelbeträge!$D:$D,Einzelbeträge!$C:$C,'Ausgaben 2028'!$C124,Einzelbeträge!$E:$E,'Ausgaben 2028'!K$6)</f>
        <v>0</v>
      </c>
      <c r="L124" s="21">
        <f>SUMIFS(Einzelbeträge!$D:$D,Einzelbeträge!$C:$C,'Ausgaben 2028'!$C124,Einzelbeträge!$E:$E,'Ausgaben 2028'!L$6)</f>
        <v>0</v>
      </c>
      <c r="M124" s="21">
        <f>SUMIFS(Einzelbeträge!$D:$D,Einzelbeträge!$C:$C,'Ausgaben 2028'!$C124,Einzelbeträge!$E:$E,'Ausgaben 2028'!M$6)</f>
        <v>0</v>
      </c>
      <c r="N124" s="35">
        <f>SUMIFS(Einzelbeträge!$D:$D,Einzelbeträge!$C:$C,'Ausgaben 2028'!$C124,Einzelbeträge!$E:$E,'Ausgaben 2028'!N$6)</f>
        <v>0</v>
      </c>
      <c r="O124" s="6"/>
    </row>
    <row r="125" spans="2:15" x14ac:dyDescent="0.35">
      <c r="B125" s="5"/>
      <c r="C125" s="30">
        <f t="shared" si="19"/>
        <v>46862</v>
      </c>
      <c r="D125" s="46">
        <f>SUMIFS(Einzelbeträge!$D:$D,Einzelbeträge!$C:$C,'Ausgaben 2028'!$C125)</f>
        <v>0</v>
      </c>
      <c r="E125" s="21">
        <f>SUMIFS(Einzelbeträge!$D:$D,Einzelbeträge!$C:$C,'Ausgaben 2028'!$C125,Einzelbeträge!$E:$E,'Ausgaben 2028'!E$6)</f>
        <v>0</v>
      </c>
      <c r="F125" s="21">
        <f>SUMIFS(Einzelbeträge!$D:$D,Einzelbeträge!$C:$C,'Ausgaben 2028'!$C125,Einzelbeträge!$E:$E,'Ausgaben 2028'!F$6)</f>
        <v>0</v>
      </c>
      <c r="G125" s="21">
        <f>SUMIFS(Einzelbeträge!$D:$D,Einzelbeträge!$C:$C,'Ausgaben 2028'!$C125,Einzelbeträge!$E:$E,'Ausgaben 2028'!G$6)</f>
        <v>0</v>
      </c>
      <c r="H125" s="21">
        <f>SUMIFS(Einzelbeträge!$D:$D,Einzelbeträge!$C:$C,'Ausgaben 2028'!$C125,Einzelbeträge!$E:$E,'Ausgaben 2028'!H$6)</f>
        <v>0</v>
      </c>
      <c r="I125" s="21">
        <f>SUMIFS(Einzelbeträge!$D:$D,Einzelbeträge!$C:$C,'Ausgaben 2028'!$C125,Einzelbeträge!$E:$E,'Ausgaben 2028'!I$6)</f>
        <v>0</v>
      </c>
      <c r="J125" s="21">
        <f>SUMIFS(Einzelbeträge!$D:$D,Einzelbeträge!$C:$C,'Ausgaben 2028'!$C125,Einzelbeträge!$E:$E,'Ausgaben 2028'!J$6)</f>
        <v>0</v>
      </c>
      <c r="K125" s="21">
        <f>SUMIFS(Einzelbeträge!$D:$D,Einzelbeträge!$C:$C,'Ausgaben 2028'!$C125,Einzelbeträge!$E:$E,'Ausgaben 2028'!K$6)</f>
        <v>0</v>
      </c>
      <c r="L125" s="21">
        <f>SUMIFS(Einzelbeträge!$D:$D,Einzelbeträge!$C:$C,'Ausgaben 2028'!$C125,Einzelbeträge!$E:$E,'Ausgaben 2028'!L$6)</f>
        <v>0</v>
      </c>
      <c r="M125" s="21">
        <f>SUMIFS(Einzelbeträge!$D:$D,Einzelbeträge!$C:$C,'Ausgaben 2028'!$C125,Einzelbeträge!$E:$E,'Ausgaben 2028'!M$6)</f>
        <v>0</v>
      </c>
      <c r="N125" s="35">
        <f>SUMIFS(Einzelbeträge!$D:$D,Einzelbeträge!$C:$C,'Ausgaben 2028'!$C125,Einzelbeträge!$E:$E,'Ausgaben 2028'!N$6)</f>
        <v>0</v>
      </c>
      <c r="O125" s="6"/>
    </row>
    <row r="126" spans="2:15" x14ac:dyDescent="0.35">
      <c r="B126" s="5"/>
      <c r="C126" s="30">
        <f t="shared" si="19"/>
        <v>46863</v>
      </c>
      <c r="D126" s="46">
        <f>SUMIFS(Einzelbeträge!$D:$D,Einzelbeträge!$C:$C,'Ausgaben 2028'!$C126)</f>
        <v>0</v>
      </c>
      <c r="E126" s="21">
        <f>SUMIFS(Einzelbeträge!$D:$D,Einzelbeträge!$C:$C,'Ausgaben 2028'!$C126,Einzelbeträge!$E:$E,'Ausgaben 2028'!E$6)</f>
        <v>0</v>
      </c>
      <c r="F126" s="21">
        <f>SUMIFS(Einzelbeträge!$D:$D,Einzelbeträge!$C:$C,'Ausgaben 2028'!$C126,Einzelbeträge!$E:$E,'Ausgaben 2028'!F$6)</f>
        <v>0</v>
      </c>
      <c r="G126" s="21">
        <f>SUMIFS(Einzelbeträge!$D:$D,Einzelbeträge!$C:$C,'Ausgaben 2028'!$C126,Einzelbeträge!$E:$E,'Ausgaben 2028'!G$6)</f>
        <v>0</v>
      </c>
      <c r="H126" s="21">
        <f>SUMIFS(Einzelbeträge!$D:$D,Einzelbeträge!$C:$C,'Ausgaben 2028'!$C126,Einzelbeträge!$E:$E,'Ausgaben 2028'!H$6)</f>
        <v>0</v>
      </c>
      <c r="I126" s="21">
        <f>SUMIFS(Einzelbeträge!$D:$D,Einzelbeträge!$C:$C,'Ausgaben 2028'!$C126,Einzelbeträge!$E:$E,'Ausgaben 2028'!I$6)</f>
        <v>0</v>
      </c>
      <c r="J126" s="21">
        <f>SUMIFS(Einzelbeträge!$D:$D,Einzelbeträge!$C:$C,'Ausgaben 2028'!$C126,Einzelbeträge!$E:$E,'Ausgaben 2028'!J$6)</f>
        <v>0</v>
      </c>
      <c r="K126" s="21">
        <f>SUMIFS(Einzelbeträge!$D:$D,Einzelbeträge!$C:$C,'Ausgaben 2028'!$C126,Einzelbeträge!$E:$E,'Ausgaben 2028'!K$6)</f>
        <v>0</v>
      </c>
      <c r="L126" s="21">
        <f>SUMIFS(Einzelbeträge!$D:$D,Einzelbeträge!$C:$C,'Ausgaben 2028'!$C126,Einzelbeträge!$E:$E,'Ausgaben 2028'!L$6)</f>
        <v>0</v>
      </c>
      <c r="M126" s="21">
        <f>SUMIFS(Einzelbeträge!$D:$D,Einzelbeträge!$C:$C,'Ausgaben 2028'!$C126,Einzelbeträge!$E:$E,'Ausgaben 2028'!M$6)</f>
        <v>0</v>
      </c>
      <c r="N126" s="35">
        <f>SUMIFS(Einzelbeträge!$D:$D,Einzelbeträge!$C:$C,'Ausgaben 2028'!$C126,Einzelbeträge!$E:$E,'Ausgaben 2028'!N$6)</f>
        <v>0</v>
      </c>
      <c r="O126" s="6"/>
    </row>
    <row r="127" spans="2:15" x14ac:dyDescent="0.35">
      <c r="B127" s="5"/>
      <c r="C127" s="30">
        <f t="shared" si="19"/>
        <v>46864</v>
      </c>
      <c r="D127" s="46">
        <f>SUMIFS(Einzelbeträge!$D:$D,Einzelbeträge!$C:$C,'Ausgaben 2028'!$C127)</f>
        <v>0</v>
      </c>
      <c r="E127" s="21">
        <f>SUMIFS(Einzelbeträge!$D:$D,Einzelbeträge!$C:$C,'Ausgaben 2028'!$C127,Einzelbeträge!$E:$E,'Ausgaben 2028'!E$6)</f>
        <v>0</v>
      </c>
      <c r="F127" s="21">
        <f>SUMIFS(Einzelbeträge!$D:$D,Einzelbeträge!$C:$C,'Ausgaben 2028'!$C127,Einzelbeträge!$E:$E,'Ausgaben 2028'!F$6)</f>
        <v>0</v>
      </c>
      <c r="G127" s="21">
        <f>SUMIFS(Einzelbeträge!$D:$D,Einzelbeträge!$C:$C,'Ausgaben 2028'!$C127,Einzelbeträge!$E:$E,'Ausgaben 2028'!G$6)</f>
        <v>0</v>
      </c>
      <c r="H127" s="21">
        <f>SUMIFS(Einzelbeträge!$D:$D,Einzelbeträge!$C:$C,'Ausgaben 2028'!$C127,Einzelbeträge!$E:$E,'Ausgaben 2028'!H$6)</f>
        <v>0</v>
      </c>
      <c r="I127" s="21">
        <f>SUMIFS(Einzelbeträge!$D:$D,Einzelbeträge!$C:$C,'Ausgaben 2028'!$C127,Einzelbeträge!$E:$E,'Ausgaben 2028'!I$6)</f>
        <v>0</v>
      </c>
      <c r="J127" s="21">
        <f>SUMIFS(Einzelbeträge!$D:$D,Einzelbeträge!$C:$C,'Ausgaben 2028'!$C127,Einzelbeträge!$E:$E,'Ausgaben 2028'!J$6)</f>
        <v>0</v>
      </c>
      <c r="K127" s="21">
        <f>SUMIFS(Einzelbeträge!$D:$D,Einzelbeträge!$C:$C,'Ausgaben 2028'!$C127,Einzelbeträge!$E:$E,'Ausgaben 2028'!K$6)</f>
        <v>0</v>
      </c>
      <c r="L127" s="21">
        <f>SUMIFS(Einzelbeträge!$D:$D,Einzelbeträge!$C:$C,'Ausgaben 2028'!$C127,Einzelbeträge!$E:$E,'Ausgaben 2028'!L$6)</f>
        <v>0</v>
      </c>
      <c r="M127" s="21">
        <f>SUMIFS(Einzelbeträge!$D:$D,Einzelbeträge!$C:$C,'Ausgaben 2028'!$C127,Einzelbeträge!$E:$E,'Ausgaben 2028'!M$6)</f>
        <v>0</v>
      </c>
      <c r="N127" s="35">
        <f>SUMIFS(Einzelbeträge!$D:$D,Einzelbeträge!$C:$C,'Ausgaben 2028'!$C127,Einzelbeträge!$E:$E,'Ausgaben 2028'!N$6)</f>
        <v>0</v>
      </c>
      <c r="O127" s="6"/>
    </row>
    <row r="128" spans="2:15" x14ac:dyDescent="0.35">
      <c r="B128" s="5"/>
      <c r="C128" s="30">
        <f t="shared" si="19"/>
        <v>46865</v>
      </c>
      <c r="D128" s="46">
        <f>SUMIFS(Einzelbeträge!$D:$D,Einzelbeträge!$C:$C,'Ausgaben 2028'!$C128)</f>
        <v>0</v>
      </c>
      <c r="E128" s="21">
        <f>SUMIFS(Einzelbeträge!$D:$D,Einzelbeträge!$C:$C,'Ausgaben 2028'!$C128,Einzelbeträge!$E:$E,'Ausgaben 2028'!E$6)</f>
        <v>0</v>
      </c>
      <c r="F128" s="21">
        <f>SUMIFS(Einzelbeträge!$D:$D,Einzelbeträge!$C:$C,'Ausgaben 2028'!$C128,Einzelbeträge!$E:$E,'Ausgaben 2028'!F$6)</f>
        <v>0</v>
      </c>
      <c r="G128" s="21">
        <f>SUMIFS(Einzelbeträge!$D:$D,Einzelbeträge!$C:$C,'Ausgaben 2028'!$C128,Einzelbeträge!$E:$E,'Ausgaben 2028'!G$6)</f>
        <v>0</v>
      </c>
      <c r="H128" s="21">
        <f>SUMIFS(Einzelbeträge!$D:$D,Einzelbeträge!$C:$C,'Ausgaben 2028'!$C128,Einzelbeträge!$E:$E,'Ausgaben 2028'!H$6)</f>
        <v>0</v>
      </c>
      <c r="I128" s="21">
        <f>SUMIFS(Einzelbeträge!$D:$D,Einzelbeträge!$C:$C,'Ausgaben 2028'!$C128,Einzelbeträge!$E:$E,'Ausgaben 2028'!I$6)</f>
        <v>0</v>
      </c>
      <c r="J128" s="21">
        <f>SUMIFS(Einzelbeträge!$D:$D,Einzelbeträge!$C:$C,'Ausgaben 2028'!$C128,Einzelbeträge!$E:$E,'Ausgaben 2028'!J$6)</f>
        <v>0</v>
      </c>
      <c r="K128" s="21">
        <f>SUMIFS(Einzelbeträge!$D:$D,Einzelbeträge!$C:$C,'Ausgaben 2028'!$C128,Einzelbeträge!$E:$E,'Ausgaben 2028'!K$6)</f>
        <v>0</v>
      </c>
      <c r="L128" s="21">
        <f>SUMIFS(Einzelbeträge!$D:$D,Einzelbeträge!$C:$C,'Ausgaben 2028'!$C128,Einzelbeträge!$E:$E,'Ausgaben 2028'!L$6)</f>
        <v>0</v>
      </c>
      <c r="M128" s="21">
        <f>SUMIFS(Einzelbeträge!$D:$D,Einzelbeträge!$C:$C,'Ausgaben 2028'!$C128,Einzelbeträge!$E:$E,'Ausgaben 2028'!M$6)</f>
        <v>0</v>
      </c>
      <c r="N128" s="35">
        <f>SUMIFS(Einzelbeträge!$D:$D,Einzelbeträge!$C:$C,'Ausgaben 2028'!$C128,Einzelbeträge!$E:$E,'Ausgaben 2028'!N$6)</f>
        <v>0</v>
      </c>
      <c r="O128" s="6"/>
    </row>
    <row r="129" spans="2:15" x14ac:dyDescent="0.35">
      <c r="B129" s="5"/>
      <c r="C129" s="30">
        <f t="shared" si="19"/>
        <v>46866</v>
      </c>
      <c r="D129" s="46">
        <f>SUMIFS(Einzelbeträge!$D:$D,Einzelbeträge!$C:$C,'Ausgaben 2028'!$C129)</f>
        <v>0</v>
      </c>
      <c r="E129" s="21">
        <f>SUMIFS(Einzelbeträge!$D:$D,Einzelbeträge!$C:$C,'Ausgaben 2028'!$C129,Einzelbeträge!$E:$E,'Ausgaben 2028'!E$6)</f>
        <v>0</v>
      </c>
      <c r="F129" s="21">
        <f>SUMIFS(Einzelbeträge!$D:$D,Einzelbeträge!$C:$C,'Ausgaben 2028'!$C129,Einzelbeträge!$E:$E,'Ausgaben 2028'!F$6)</f>
        <v>0</v>
      </c>
      <c r="G129" s="21">
        <f>SUMIFS(Einzelbeträge!$D:$D,Einzelbeträge!$C:$C,'Ausgaben 2028'!$C129,Einzelbeträge!$E:$E,'Ausgaben 2028'!G$6)</f>
        <v>0</v>
      </c>
      <c r="H129" s="21">
        <f>SUMIFS(Einzelbeträge!$D:$D,Einzelbeträge!$C:$C,'Ausgaben 2028'!$C129,Einzelbeträge!$E:$E,'Ausgaben 2028'!H$6)</f>
        <v>0</v>
      </c>
      <c r="I129" s="21">
        <f>SUMIFS(Einzelbeträge!$D:$D,Einzelbeträge!$C:$C,'Ausgaben 2028'!$C129,Einzelbeträge!$E:$E,'Ausgaben 2028'!I$6)</f>
        <v>0</v>
      </c>
      <c r="J129" s="21">
        <f>SUMIFS(Einzelbeträge!$D:$D,Einzelbeträge!$C:$C,'Ausgaben 2028'!$C129,Einzelbeträge!$E:$E,'Ausgaben 2028'!J$6)</f>
        <v>0</v>
      </c>
      <c r="K129" s="21">
        <f>SUMIFS(Einzelbeträge!$D:$D,Einzelbeträge!$C:$C,'Ausgaben 2028'!$C129,Einzelbeträge!$E:$E,'Ausgaben 2028'!K$6)</f>
        <v>0</v>
      </c>
      <c r="L129" s="21">
        <f>SUMIFS(Einzelbeträge!$D:$D,Einzelbeträge!$C:$C,'Ausgaben 2028'!$C129,Einzelbeträge!$E:$E,'Ausgaben 2028'!L$6)</f>
        <v>0</v>
      </c>
      <c r="M129" s="21">
        <f>SUMIFS(Einzelbeträge!$D:$D,Einzelbeträge!$C:$C,'Ausgaben 2028'!$C129,Einzelbeträge!$E:$E,'Ausgaben 2028'!M$6)</f>
        <v>0</v>
      </c>
      <c r="N129" s="35">
        <f>SUMIFS(Einzelbeträge!$D:$D,Einzelbeträge!$C:$C,'Ausgaben 2028'!$C129,Einzelbeträge!$E:$E,'Ausgaben 2028'!N$6)</f>
        <v>0</v>
      </c>
      <c r="O129" s="6"/>
    </row>
    <row r="130" spans="2:15" x14ac:dyDescent="0.35">
      <c r="B130" s="5"/>
      <c r="C130" s="30">
        <f t="shared" si="19"/>
        <v>46867</v>
      </c>
      <c r="D130" s="46">
        <f>SUMIFS(Einzelbeträge!$D:$D,Einzelbeträge!$C:$C,'Ausgaben 2028'!$C130)</f>
        <v>0</v>
      </c>
      <c r="E130" s="21">
        <f>SUMIFS(Einzelbeträge!$D:$D,Einzelbeträge!$C:$C,'Ausgaben 2028'!$C130,Einzelbeträge!$E:$E,'Ausgaben 2028'!E$6)</f>
        <v>0</v>
      </c>
      <c r="F130" s="21">
        <f>SUMIFS(Einzelbeträge!$D:$D,Einzelbeträge!$C:$C,'Ausgaben 2028'!$C130,Einzelbeträge!$E:$E,'Ausgaben 2028'!F$6)</f>
        <v>0</v>
      </c>
      <c r="G130" s="21">
        <f>SUMIFS(Einzelbeträge!$D:$D,Einzelbeträge!$C:$C,'Ausgaben 2028'!$C130,Einzelbeträge!$E:$E,'Ausgaben 2028'!G$6)</f>
        <v>0</v>
      </c>
      <c r="H130" s="21">
        <f>SUMIFS(Einzelbeträge!$D:$D,Einzelbeträge!$C:$C,'Ausgaben 2028'!$C130,Einzelbeträge!$E:$E,'Ausgaben 2028'!H$6)</f>
        <v>0</v>
      </c>
      <c r="I130" s="21">
        <f>SUMIFS(Einzelbeträge!$D:$D,Einzelbeträge!$C:$C,'Ausgaben 2028'!$C130,Einzelbeträge!$E:$E,'Ausgaben 2028'!I$6)</f>
        <v>0</v>
      </c>
      <c r="J130" s="21">
        <f>SUMIFS(Einzelbeträge!$D:$D,Einzelbeträge!$C:$C,'Ausgaben 2028'!$C130,Einzelbeträge!$E:$E,'Ausgaben 2028'!J$6)</f>
        <v>0</v>
      </c>
      <c r="K130" s="21">
        <f>SUMIFS(Einzelbeträge!$D:$D,Einzelbeträge!$C:$C,'Ausgaben 2028'!$C130,Einzelbeträge!$E:$E,'Ausgaben 2028'!K$6)</f>
        <v>0</v>
      </c>
      <c r="L130" s="21">
        <f>SUMIFS(Einzelbeträge!$D:$D,Einzelbeträge!$C:$C,'Ausgaben 2028'!$C130,Einzelbeträge!$E:$E,'Ausgaben 2028'!L$6)</f>
        <v>0</v>
      </c>
      <c r="M130" s="21">
        <f>SUMIFS(Einzelbeträge!$D:$D,Einzelbeträge!$C:$C,'Ausgaben 2028'!$C130,Einzelbeträge!$E:$E,'Ausgaben 2028'!M$6)</f>
        <v>0</v>
      </c>
      <c r="N130" s="35">
        <f>SUMIFS(Einzelbeträge!$D:$D,Einzelbeträge!$C:$C,'Ausgaben 2028'!$C130,Einzelbeträge!$E:$E,'Ausgaben 2028'!N$6)</f>
        <v>0</v>
      </c>
      <c r="O130" s="6"/>
    </row>
    <row r="131" spans="2:15" x14ac:dyDescent="0.35">
      <c r="B131" s="5"/>
      <c r="C131" s="30">
        <f t="shared" si="19"/>
        <v>46868</v>
      </c>
      <c r="D131" s="46">
        <f>SUMIFS(Einzelbeträge!$D:$D,Einzelbeträge!$C:$C,'Ausgaben 2028'!$C131)</f>
        <v>0</v>
      </c>
      <c r="E131" s="21">
        <f>SUMIFS(Einzelbeträge!$D:$D,Einzelbeträge!$C:$C,'Ausgaben 2028'!$C131,Einzelbeträge!$E:$E,'Ausgaben 2028'!E$6)</f>
        <v>0</v>
      </c>
      <c r="F131" s="21">
        <f>SUMIFS(Einzelbeträge!$D:$D,Einzelbeträge!$C:$C,'Ausgaben 2028'!$C131,Einzelbeträge!$E:$E,'Ausgaben 2028'!F$6)</f>
        <v>0</v>
      </c>
      <c r="G131" s="21">
        <f>SUMIFS(Einzelbeträge!$D:$D,Einzelbeträge!$C:$C,'Ausgaben 2028'!$C131,Einzelbeträge!$E:$E,'Ausgaben 2028'!G$6)</f>
        <v>0</v>
      </c>
      <c r="H131" s="21">
        <f>SUMIFS(Einzelbeträge!$D:$D,Einzelbeträge!$C:$C,'Ausgaben 2028'!$C131,Einzelbeträge!$E:$E,'Ausgaben 2028'!H$6)</f>
        <v>0</v>
      </c>
      <c r="I131" s="21">
        <f>SUMIFS(Einzelbeträge!$D:$D,Einzelbeträge!$C:$C,'Ausgaben 2028'!$C131,Einzelbeträge!$E:$E,'Ausgaben 2028'!I$6)</f>
        <v>0</v>
      </c>
      <c r="J131" s="21">
        <f>SUMIFS(Einzelbeträge!$D:$D,Einzelbeträge!$C:$C,'Ausgaben 2028'!$C131,Einzelbeträge!$E:$E,'Ausgaben 2028'!J$6)</f>
        <v>0</v>
      </c>
      <c r="K131" s="21">
        <f>SUMIFS(Einzelbeträge!$D:$D,Einzelbeträge!$C:$C,'Ausgaben 2028'!$C131,Einzelbeträge!$E:$E,'Ausgaben 2028'!K$6)</f>
        <v>0</v>
      </c>
      <c r="L131" s="21">
        <f>SUMIFS(Einzelbeträge!$D:$D,Einzelbeträge!$C:$C,'Ausgaben 2028'!$C131,Einzelbeträge!$E:$E,'Ausgaben 2028'!L$6)</f>
        <v>0</v>
      </c>
      <c r="M131" s="21">
        <f>SUMIFS(Einzelbeträge!$D:$D,Einzelbeträge!$C:$C,'Ausgaben 2028'!$C131,Einzelbeträge!$E:$E,'Ausgaben 2028'!M$6)</f>
        <v>0</v>
      </c>
      <c r="N131" s="35">
        <f>SUMIFS(Einzelbeträge!$D:$D,Einzelbeträge!$C:$C,'Ausgaben 2028'!$C131,Einzelbeträge!$E:$E,'Ausgaben 2028'!N$6)</f>
        <v>0</v>
      </c>
      <c r="O131" s="6"/>
    </row>
    <row r="132" spans="2:15" x14ac:dyDescent="0.35">
      <c r="B132" s="5"/>
      <c r="C132" s="30">
        <f t="shared" si="19"/>
        <v>46869</v>
      </c>
      <c r="D132" s="46">
        <f>SUMIFS(Einzelbeträge!$D:$D,Einzelbeträge!$C:$C,'Ausgaben 2028'!$C132)</f>
        <v>0</v>
      </c>
      <c r="E132" s="21">
        <f>SUMIFS(Einzelbeträge!$D:$D,Einzelbeträge!$C:$C,'Ausgaben 2028'!$C132,Einzelbeträge!$E:$E,'Ausgaben 2028'!E$6)</f>
        <v>0</v>
      </c>
      <c r="F132" s="21">
        <f>SUMIFS(Einzelbeträge!$D:$D,Einzelbeträge!$C:$C,'Ausgaben 2028'!$C132,Einzelbeträge!$E:$E,'Ausgaben 2028'!F$6)</f>
        <v>0</v>
      </c>
      <c r="G132" s="21">
        <f>SUMIFS(Einzelbeträge!$D:$D,Einzelbeträge!$C:$C,'Ausgaben 2028'!$C132,Einzelbeträge!$E:$E,'Ausgaben 2028'!G$6)</f>
        <v>0</v>
      </c>
      <c r="H132" s="21">
        <f>SUMIFS(Einzelbeträge!$D:$D,Einzelbeträge!$C:$C,'Ausgaben 2028'!$C132,Einzelbeträge!$E:$E,'Ausgaben 2028'!H$6)</f>
        <v>0</v>
      </c>
      <c r="I132" s="21">
        <f>SUMIFS(Einzelbeträge!$D:$D,Einzelbeträge!$C:$C,'Ausgaben 2028'!$C132,Einzelbeträge!$E:$E,'Ausgaben 2028'!I$6)</f>
        <v>0</v>
      </c>
      <c r="J132" s="21">
        <f>SUMIFS(Einzelbeträge!$D:$D,Einzelbeträge!$C:$C,'Ausgaben 2028'!$C132,Einzelbeträge!$E:$E,'Ausgaben 2028'!J$6)</f>
        <v>0</v>
      </c>
      <c r="K132" s="21">
        <f>SUMIFS(Einzelbeträge!$D:$D,Einzelbeträge!$C:$C,'Ausgaben 2028'!$C132,Einzelbeträge!$E:$E,'Ausgaben 2028'!K$6)</f>
        <v>0</v>
      </c>
      <c r="L132" s="21">
        <f>SUMIFS(Einzelbeträge!$D:$D,Einzelbeträge!$C:$C,'Ausgaben 2028'!$C132,Einzelbeträge!$E:$E,'Ausgaben 2028'!L$6)</f>
        <v>0</v>
      </c>
      <c r="M132" s="21">
        <f>SUMIFS(Einzelbeträge!$D:$D,Einzelbeträge!$C:$C,'Ausgaben 2028'!$C132,Einzelbeträge!$E:$E,'Ausgaben 2028'!M$6)</f>
        <v>0</v>
      </c>
      <c r="N132" s="35">
        <f>SUMIFS(Einzelbeträge!$D:$D,Einzelbeträge!$C:$C,'Ausgaben 2028'!$C132,Einzelbeträge!$E:$E,'Ausgaben 2028'!N$6)</f>
        <v>0</v>
      </c>
      <c r="O132" s="6"/>
    </row>
    <row r="133" spans="2:15" x14ac:dyDescent="0.35">
      <c r="B133" s="5"/>
      <c r="C133" s="30">
        <f t="shared" si="19"/>
        <v>46870</v>
      </c>
      <c r="D133" s="46">
        <f>SUMIFS(Einzelbeträge!$D:$D,Einzelbeträge!$C:$C,'Ausgaben 2028'!$C133)</f>
        <v>0</v>
      </c>
      <c r="E133" s="21">
        <f>SUMIFS(Einzelbeträge!$D:$D,Einzelbeträge!$C:$C,'Ausgaben 2028'!$C133,Einzelbeträge!$E:$E,'Ausgaben 2028'!E$6)</f>
        <v>0</v>
      </c>
      <c r="F133" s="21">
        <f>SUMIFS(Einzelbeträge!$D:$D,Einzelbeträge!$C:$C,'Ausgaben 2028'!$C133,Einzelbeträge!$E:$E,'Ausgaben 2028'!F$6)</f>
        <v>0</v>
      </c>
      <c r="G133" s="21">
        <f>SUMIFS(Einzelbeträge!$D:$D,Einzelbeträge!$C:$C,'Ausgaben 2028'!$C133,Einzelbeträge!$E:$E,'Ausgaben 2028'!G$6)</f>
        <v>0</v>
      </c>
      <c r="H133" s="21">
        <f>SUMIFS(Einzelbeträge!$D:$D,Einzelbeträge!$C:$C,'Ausgaben 2028'!$C133,Einzelbeträge!$E:$E,'Ausgaben 2028'!H$6)</f>
        <v>0</v>
      </c>
      <c r="I133" s="21">
        <f>SUMIFS(Einzelbeträge!$D:$D,Einzelbeträge!$C:$C,'Ausgaben 2028'!$C133,Einzelbeträge!$E:$E,'Ausgaben 2028'!I$6)</f>
        <v>0</v>
      </c>
      <c r="J133" s="21">
        <f>SUMIFS(Einzelbeträge!$D:$D,Einzelbeträge!$C:$C,'Ausgaben 2028'!$C133,Einzelbeträge!$E:$E,'Ausgaben 2028'!J$6)</f>
        <v>0</v>
      </c>
      <c r="K133" s="21">
        <f>SUMIFS(Einzelbeträge!$D:$D,Einzelbeträge!$C:$C,'Ausgaben 2028'!$C133,Einzelbeträge!$E:$E,'Ausgaben 2028'!K$6)</f>
        <v>0</v>
      </c>
      <c r="L133" s="21">
        <f>SUMIFS(Einzelbeträge!$D:$D,Einzelbeträge!$C:$C,'Ausgaben 2028'!$C133,Einzelbeträge!$E:$E,'Ausgaben 2028'!L$6)</f>
        <v>0</v>
      </c>
      <c r="M133" s="21">
        <f>SUMIFS(Einzelbeträge!$D:$D,Einzelbeträge!$C:$C,'Ausgaben 2028'!$C133,Einzelbeträge!$E:$E,'Ausgaben 2028'!M$6)</f>
        <v>0</v>
      </c>
      <c r="N133" s="35">
        <f>SUMIFS(Einzelbeträge!$D:$D,Einzelbeträge!$C:$C,'Ausgaben 2028'!$C133,Einzelbeträge!$E:$E,'Ausgaben 2028'!N$6)</f>
        <v>0</v>
      </c>
      <c r="O133" s="6"/>
    </row>
    <row r="134" spans="2:15" x14ac:dyDescent="0.35">
      <c r="B134" s="5"/>
      <c r="C134" s="30">
        <f t="shared" si="19"/>
        <v>46871</v>
      </c>
      <c r="D134" s="46">
        <f>SUMIFS(Einzelbeträge!$D:$D,Einzelbeträge!$C:$C,'Ausgaben 2028'!$C134)</f>
        <v>0</v>
      </c>
      <c r="E134" s="21">
        <f>SUMIFS(Einzelbeträge!$D:$D,Einzelbeträge!$C:$C,'Ausgaben 2028'!$C134,Einzelbeträge!$E:$E,'Ausgaben 2028'!E$6)</f>
        <v>0</v>
      </c>
      <c r="F134" s="21">
        <f>SUMIFS(Einzelbeträge!$D:$D,Einzelbeträge!$C:$C,'Ausgaben 2028'!$C134,Einzelbeträge!$E:$E,'Ausgaben 2028'!F$6)</f>
        <v>0</v>
      </c>
      <c r="G134" s="21">
        <f>SUMIFS(Einzelbeträge!$D:$D,Einzelbeträge!$C:$C,'Ausgaben 2028'!$C134,Einzelbeträge!$E:$E,'Ausgaben 2028'!G$6)</f>
        <v>0</v>
      </c>
      <c r="H134" s="21">
        <f>SUMIFS(Einzelbeträge!$D:$D,Einzelbeträge!$C:$C,'Ausgaben 2028'!$C134,Einzelbeträge!$E:$E,'Ausgaben 2028'!H$6)</f>
        <v>0</v>
      </c>
      <c r="I134" s="21">
        <f>SUMIFS(Einzelbeträge!$D:$D,Einzelbeträge!$C:$C,'Ausgaben 2028'!$C134,Einzelbeträge!$E:$E,'Ausgaben 2028'!I$6)</f>
        <v>0</v>
      </c>
      <c r="J134" s="21">
        <f>SUMIFS(Einzelbeträge!$D:$D,Einzelbeträge!$C:$C,'Ausgaben 2028'!$C134,Einzelbeträge!$E:$E,'Ausgaben 2028'!J$6)</f>
        <v>0</v>
      </c>
      <c r="K134" s="21">
        <f>SUMIFS(Einzelbeträge!$D:$D,Einzelbeträge!$C:$C,'Ausgaben 2028'!$C134,Einzelbeträge!$E:$E,'Ausgaben 2028'!K$6)</f>
        <v>0</v>
      </c>
      <c r="L134" s="21">
        <f>SUMIFS(Einzelbeträge!$D:$D,Einzelbeträge!$C:$C,'Ausgaben 2028'!$C134,Einzelbeträge!$E:$E,'Ausgaben 2028'!L$6)</f>
        <v>0</v>
      </c>
      <c r="M134" s="21">
        <f>SUMIFS(Einzelbeträge!$D:$D,Einzelbeträge!$C:$C,'Ausgaben 2028'!$C134,Einzelbeträge!$E:$E,'Ausgaben 2028'!M$6)</f>
        <v>0</v>
      </c>
      <c r="N134" s="35">
        <f>SUMIFS(Einzelbeträge!$D:$D,Einzelbeträge!$C:$C,'Ausgaben 2028'!$C134,Einzelbeträge!$E:$E,'Ausgaben 2028'!N$6)</f>
        <v>0</v>
      </c>
      <c r="O134" s="6"/>
    </row>
    <row r="135" spans="2:15" x14ac:dyDescent="0.35">
      <c r="B135" s="5"/>
      <c r="C135" s="30">
        <f t="shared" si="19"/>
        <v>46872</v>
      </c>
      <c r="D135" s="46">
        <f>SUMIFS(Einzelbeträge!$D:$D,Einzelbeträge!$C:$C,'Ausgaben 2028'!$C135)</f>
        <v>0</v>
      </c>
      <c r="E135" s="21">
        <f>SUMIFS(Einzelbeträge!$D:$D,Einzelbeträge!$C:$C,'Ausgaben 2028'!$C135,Einzelbeträge!$E:$E,'Ausgaben 2028'!E$6)</f>
        <v>0</v>
      </c>
      <c r="F135" s="21">
        <f>SUMIFS(Einzelbeträge!$D:$D,Einzelbeträge!$C:$C,'Ausgaben 2028'!$C135,Einzelbeträge!$E:$E,'Ausgaben 2028'!F$6)</f>
        <v>0</v>
      </c>
      <c r="G135" s="21">
        <f>SUMIFS(Einzelbeträge!$D:$D,Einzelbeträge!$C:$C,'Ausgaben 2028'!$C135,Einzelbeträge!$E:$E,'Ausgaben 2028'!G$6)</f>
        <v>0</v>
      </c>
      <c r="H135" s="21">
        <f>SUMIFS(Einzelbeträge!$D:$D,Einzelbeträge!$C:$C,'Ausgaben 2028'!$C135,Einzelbeträge!$E:$E,'Ausgaben 2028'!H$6)</f>
        <v>0</v>
      </c>
      <c r="I135" s="21">
        <f>SUMIFS(Einzelbeträge!$D:$D,Einzelbeträge!$C:$C,'Ausgaben 2028'!$C135,Einzelbeträge!$E:$E,'Ausgaben 2028'!I$6)</f>
        <v>0</v>
      </c>
      <c r="J135" s="21">
        <f>SUMIFS(Einzelbeträge!$D:$D,Einzelbeträge!$C:$C,'Ausgaben 2028'!$C135,Einzelbeträge!$E:$E,'Ausgaben 2028'!J$6)</f>
        <v>0</v>
      </c>
      <c r="K135" s="21">
        <f>SUMIFS(Einzelbeträge!$D:$D,Einzelbeträge!$C:$C,'Ausgaben 2028'!$C135,Einzelbeträge!$E:$E,'Ausgaben 2028'!K$6)</f>
        <v>0</v>
      </c>
      <c r="L135" s="21">
        <f>SUMIFS(Einzelbeträge!$D:$D,Einzelbeträge!$C:$C,'Ausgaben 2028'!$C135,Einzelbeträge!$E:$E,'Ausgaben 2028'!L$6)</f>
        <v>0</v>
      </c>
      <c r="M135" s="21">
        <f>SUMIFS(Einzelbeträge!$D:$D,Einzelbeträge!$C:$C,'Ausgaben 2028'!$C135,Einzelbeträge!$E:$E,'Ausgaben 2028'!M$6)</f>
        <v>0</v>
      </c>
      <c r="N135" s="35">
        <f>SUMIFS(Einzelbeträge!$D:$D,Einzelbeträge!$C:$C,'Ausgaben 2028'!$C135,Einzelbeträge!$E:$E,'Ausgaben 2028'!N$6)</f>
        <v>0</v>
      </c>
      <c r="O135" s="6"/>
    </row>
    <row r="136" spans="2:15" x14ac:dyDescent="0.35">
      <c r="B136" s="5"/>
      <c r="C136" s="31">
        <f t="shared" si="19"/>
        <v>46873</v>
      </c>
      <c r="D136" s="47">
        <f>SUMIFS(Einzelbeträge!$D:$D,Einzelbeträge!$C:$C,'Ausgaben 2028'!$C136)</f>
        <v>0</v>
      </c>
      <c r="E136" s="37">
        <f>SUMIFS(Einzelbeträge!$D:$D,Einzelbeträge!$C:$C,'Ausgaben 2028'!$C136,Einzelbeträge!$E:$E,'Ausgaben 2028'!E$6)</f>
        <v>0</v>
      </c>
      <c r="F136" s="37">
        <f>SUMIFS(Einzelbeträge!$D:$D,Einzelbeträge!$C:$C,'Ausgaben 2028'!$C136,Einzelbeträge!$E:$E,'Ausgaben 2028'!F$6)</f>
        <v>0</v>
      </c>
      <c r="G136" s="37">
        <f>SUMIFS(Einzelbeträge!$D:$D,Einzelbeträge!$C:$C,'Ausgaben 2028'!$C136,Einzelbeträge!$E:$E,'Ausgaben 2028'!G$6)</f>
        <v>0</v>
      </c>
      <c r="H136" s="37">
        <f>SUMIFS(Einzelbeträge!$D:$D,Einzelbeträge!$C:$C,'Ausgaben 2028'!$C136,Einzelbeträge!$E:$E,'Ausgaben 2028'!H$6)</f>
        <v>0</v>
      </c>
      <c r="I136" s="37">
        <f>SUMIFS(Einzelbeträge!$D:$D,Einzelbeträge!$C:$C,'Ausgaben 2028'!$C136,Einzelbeträge!$E:$E,'Ausgaben 2028'!I$6)</f>
        <v>0</v>
      </c>
      <c r="J136" s="37">
        <f>SUMIFS(Einzelbeträge!$D:$D,Einzelbeträge!$C:$C,'Ausgaben 2028'!$C136,Einzelbeträge!$E:$E,'Ausgaben 2028'!J$6)</f>
        <v>0</v>
      </c>
      <c r="K136" s="37">
        <f>SUMIFS(Einzelbeträge!$D:$D,Einzelbeträge!$C:$C,'Ausgaben 2028'!$C136,Einzelbeträge!$E:$E,'Ausgaben 2028'!K$6)</f>
        <v>0</v>
      </c>
      <c r="L136" s="37">
        <f>SUMIFS(Einzelbeträge!$D:$D,Einzelbeträge!$C:$C,'Ausgaben 2028'!$C136,Einzelbeträge!$E:$E,'Ausgaben 2028'!L$6)</f>
        <v>0</v>
      </c>
      <c r="M136" s="37">
        <f>SUMIFS(Einzelbeträge!$D:$D,Einzelbeträge!$C:$C,'Ausgaben 2028'!$C136,Einzelbeträge!$E:$E,'Ausgaben 2028'!M$6)</f>
        <v>0</v>
      </c>
      <c r="N136" s="38">
        <f>SUMIFS(Einzelbeträge!$D:$D,Einzelbeträge!$C:$C,'Ausgaben 2028'!$C136,Einzelbeträge!$E:$E,'Ausgaben 2028'!N$6)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46874</v>
      </c>
      <c r="D140" s="45">
        <f>SUMIFS(Einzelbeträge!$D:$D,Einzelbeträge!$C:$C,'Ausgaben 2028'!$C140)</f>
        <v>0</v>
      </c>
      <c r="E140" s="32">
        <f>SUMIFS(Einzelbeträge!$D:$D,Einzelbeträge!$C:$C,'Ausgaben 2028'!$C140,Einzelbeträge!$E:$E,'Ausgaben 2028'!E$6)</f>
        <v>0</v>
      </c>
      <c r="F140" s="32">
        <f>SUMIFS(Einzelbeträge!$D:$D,Einzelbeträge!$C:$C,'Ausgaben 2028'!$C140,Einzelbeträge!$E:$E,'Ausgaben 2028'!F$6)</f>
        <v>0</v>
      </c>
      <c r="G140" s="32">
        <f>SUMIFS(Einzelbeträge!$D:$D,Einzelbeträge!$C:$C,'Ausgaben 2028'!$C140,Einzelbeträge!$E:$E,'Ausgaben 2028'!G$6)</f>
        <v>0</v>
      </c>
      <c r="H140" s="32">
        <f>SUMIFS(Einzelbeträge!$D:$D,Einzelbeträge!$C:$C,'Ausgaben 2028'!$C140,Einzelbeträge!$E:$E,'Ausgaben 2028'!H$6)</f>
        <v>0</v>
      </c>
      <c r="I140" s="32">
        <f>SUMIFS(Einzelbeträge!$D:$D,Einzelbeträge!$C:$C,'Ausgaben 2028'!$C140,Einzelbeträge!$E:$E,'Ausgaben 2028'!I$6)</f>
        <v>0</v>
      </c>
      <c r="J140" s="32">
        <f>SUMIFS(Einzelbeträge!$D:$D,Einzelbeträge!$C:$C,'Ausgaben 2028'!$C140,Einzelbeträge!$E:$E,'Ausgaben 2028'!J$6)</f>
        <v>0</v>
      </c>
      <c r="K140" s="32">
        <f>SUMIFS(Einzelbeträge!$D:$D,Einzelbeträge!$C:$C,'Ausgaben 2028'!$C140,Einzelbeträge!$E:$E,'Ausgaben 2028'!K$6)</f>
        <v>0</v>
      </c>
      <c r="L140" s="32">
        <f>SUMIFS(Einzelbeträge!$D:$D,Einzelbeträge!$C:$C,'Ausgaben 2028'!$C140,Einzelbeträge!$E:$E,'Ausgaben 2028'!L$6)</f>
        <v>0</v>
      </c>
      <c r="M140" s="32">
        <f>SUMIFS(Einzelbeträge!$D:$D,Einzelbeträge!$C:$C,'Ausgaben 2028'!$C140,Einzelbeträge!$E:$E,'Ausgaben 2028'!M$6)</f>
        <v>0</v>
      </c>
      <c r="N140" s="33">
        <f>SUMIFS(Einzelbeträge!$D:$D,Einzelbeträge!$C:$C,'Ausgaben 2028'!$C140,Einzelbeträge!$E:$E,'Ausgaben 2028'!N$6)</f>
        <v>0</v>
      </c>
      <c r="O140" s="6"/>
    </row>
    <row r="141" spans="2:15" x14ac:dyDescent="0.35">
      <c r="B141" s="5"/>
      <c r="C141" s="40">
        <f>C140+1</f>
        <v>46875</v>
      </c>
      <c r="D141" s="46">
        <f>SUMIFS(Einzelbeträge!$D:$D,Einzelbeträge!$C:$C,'Ausgaben 2028'!$C141)</f>
        <v>0</v>
      </c>
      <c r="E141" s="21">
        <f>SUMIFS(Einzelbeträge!$D:$D,Einzelbeträge!$C:$C,'Ausgaben 2028'!$C141,Einzelbeträge!$E:$E,'Ausgaben 2028'!E$6)</f>
        <v>0</v>
      </c>
      <c r="F141" s="21">
        <f>SUMIFS(Einzelbeträge!$D:$D,Einzelbeträge!$C:$C,'Ausgaben 2028'!$C141,Einzelbeträge!$E:$E,'Ausgaben 2028'!F$6)</f>
        <v>0</v>
      </c>
      <c r="G141" s="21">
        <f>SUMIFS(Einzelbeträge!$D:$D,Einzelbeträge!$C:$C,'Ausgaben 2028'!$C141,Einzelbeträge!$E:$E,'Ausgaben 2028'!G$6)</f>
        <v>0</v>
      </c>
      <c r="H141" s="21">
        <f>SUMIFS(Einzelbeträge!$D:$D,Einzelbeträge!$C:$C,'Ausgaben 2028'!$C141,Einzelbeträge!$E:$E,'Ausgaben 2028'!H$6)</f>
        <v>0</v>
      </c>
      <c r="I141" s="21">
        <f>SUMIFS(Einzelbeträge!$D:$D,Einzelbeträge!$C:$C,'Ausgaben 2028'!$C141,Einzelbeträge!$E:$E,'Ausgaben 2028'!I$6)</f>
        <v>0</v>
      </c>
      <c r="J141" s="21">
        <f>SUMIFS(Einzelbeträge!$D:$D,Einzelbeträge!$C:$C,'Ausgaben 2028'!$C141,Einzelbeträge!$E:$E,'Ausgaben 2028'!J$6)</f>
        <v>0</v>
      </c>
      <c r="K141" s="21">
        <f>SUMIFS(Einzelbeträge!$D:$D,Einzelbeträge!$C:$C,'Ausgaben 2028'!$C141,Einzelbeträge!$E:$E,'Ausgaben 2028'!K$6)</f>
        <v>0</v>
      </c>
      <c r="L141" s="21">
        <f>SUMIFS(Einzelbeträge!$D:$D,Einzelbeträge!$C:$C,'Ausgaben 2028'!$C141,Einzelbeträge!$E:$E,'Ausgaben 2028'!L$6)</f>
        <v>0</v>
      </c>
      <c r="M141" s="21">
        <f>SUMIFS(Einzelbeträge!$D:$D,Einzelbeträge!$C:$C,'Ausgaben 2028'!$C141,Einzelbeträge!$E:$E,'Ausgaben 2028'!M$6)</f>
        <v>0</v>
      </c>
      <c r="N141" s="35">
        <f>SUMIFS(Einzelbeträge!$D:$D,Einzelbeträge!$C:$C,'Ausgaben 2028'!$C141,Einzelbeträge!$E:$E,'Ausgaben 2028'!N$6)</f>
        <v>0</v>
      </c>
      <c r="O141" s="6"/>
    </row>
    <row r="142" spans="2:15" x14ac:dyDescent="0.35">
      <c r="B142" s="5"/>
      <c r="C142" s="40">
        <f t="shared" ref="C142:C170" si="20">C141+1</f>
        <v>46876</v>
      </c>
      <c r="D142" s="46">
        <f>SUMIFS(Einzelbeträge!$D:$D,Einzelbeträge!$C:$C,'Ausgaben 2028'!$C142)</f>
        <v>0</v>
      </c>
      <c r="E142" s="21">
        <f>SUMIFS(Einzelbeträge!$D:$D,Einzelbeträge!$C:$C,'Ausgaben 2028'!$C142,Einzelbeträge!$E:$E,'Ausgaben 2028'!E$6)</f>
        <v>0</v>
      </c>
      <c r="F142" s="21">
        <f>SUMIFS(Einzelbeträge!$D:$D,Einzelbeträge!$C:$C,'Ausgaben 2028'!$C142,Einzelbeträge!$E:$E,'Ausgaben 2028'!F$6)</f>
        <v>0</v>
      </c>
      <c r="G142" s="21">
        <f>SUMIFS(Einzelbeträge!$D:$D,Einzelbeträge!$C:$C,'Ausgaben 2028'!$C142,Einzelbeträge!$E:$E,'Ausgaben 2028'!G$6)</f>
        <v>0</v>
      </c>
      <c r="H142" s="21">
        <f>SUMIFS(Einzelbeträge!$D:$D,Einzelbeträge!$C:$C,'Ausgaben 2028'!$C142,Einzelbeträge!$E:$E,'Ausgaben 2028'!H$6)</f>
        <v>0</v>
      </c>
      <c r="I142" s="21">
        <f>SUMIFS(Einzelbeträge!$D:$D,Einzelbeträge!$C:$C,'Ausgaben 2028'!$C142,Einzelbeträge!$E:$E,'Ausgaben 2028'!I$6)</f>
        <v>0</v>
      </c>
      <c r="J142" s="21">
        <f>SUMIFS(Einzelbeträge!$D:$D,Einzelbeträge!$C:$C,'Ausgaben 2028'!$C142,Einzelbeträge!$E:$E,'Ausgaben 2028'!J$6)</f>
        <v>0</v>
      </c>
      <c r="K142" s="21">
        <f>SUMIFS(Einzelbeträge!$D:$D,Einzelbeträge!$C:$C,'Ausgaben 2028'!$C142,Einzelbeträge!$E:$E,'Ausgaben 2028'!K$6)</f>
        <v>0</v>
      </c>
      <c r="L142" s="21">
        <f>SUMIFS(Einzelbeträge!$D:$D,Einzelbeträge!$C:$C,'Ausgaben 2028'!$C142,Einzelbeträge!$E:$E,'Ausgaben 2028'!L$6)</f>
        <v>0</v>
      </c>
      <c r="M142" s="21">
        <f>SUMIFS(Einzelbeträge!$D:$D,Einzelbeträge!$C:$C,'Ausgaben 2028'!$C142,Einzelbeträge!$E:$E,'Ausgaben 2028'!M$6)</f>
        <v>0</v>
      </c>
      <c r="N142" s="35">
        <f>SUMIFS(Einzelbeträge!$D:$D,Einzelbeträge!$C:$C,'Ausgaben 2028'!$C142,Einzelbeträge!$E:$E,'Ausgaben 2028'!N$6)</f>
        <v>0</v>
      </c>
      <c r="O142" s="6"/>
    </row>
    <row r="143" spans="2:15" x14ac:dyDescent="0.35">
      <c r="B143" s="5"/>
      <c r="C143" s="40">
        <f t="shared" si="20"/>
        <v>46877</v>
      </c>
      <c r="D143" s="46">
        <f>SUMIFS(Einzelbeträge!$D:$D,Einzelbeträge!$C:$C,'Ausgaben 2028'!$C143)</f>
        <v>0</v>
      </c>
      <c r="E143" s="21">
        <f>SUMIFS(Einzelbeträge!$D:$D,Einzelbeträge!$C:$C,'Ausgaben 2028'!$C143,Einzelbeträge!$E:$E,'Ausgaben 2028'!E$6)</f>
        <v>0</v>
      </c>
      <c r="F143" s="21">
        <f>SUMIFS(Einzelbeträge!$D:$D,Einzelbeträge!$C:$C,'Ausgaben 2028'!$C143,Einzelbeträge!$E:$E,'Ausgaben 2028'!F$6)</f>
        <v>0</v>
      </c>
      <c r="G143" s="21">
        <f>SUMIFS(Einzelbeträge!$D:$D,Einzelbeträge!$C:$C,'Ausgaben 2028'!$C143,Einzelbeträge!$E:$E,'Ausgaben 2028'!G$6)</f>
        <v>0</v>
      </c>
      <c r="H143" s="21">
        <f>SUMIFS(Einzelbeträge!$D:$D,Einzelbeträge!$C:$C,'Ausgaben 2028'!$C143,Einzelbeträge!$E:$E,'Ausgaben 2028'!H$6)</f>
        <v>0</v>
      </c>
      <c r="I143" s="21">
        <f>SUMIFS(Einzelbeträge!$D:$D,Einzelbeträge!$C:$C,'Ausgaben 2028'!$C143,Einzelbeträge!$E:$E,'Ausgaben 2028'!I$6)</f>
        <v>0</v>
      </c>
      <c r="J143" s="21">
        <f>SUMIFS(Einzelbeträge!$D:$D,Einzelbeträge!$C:$C,'Ausgaben 2028'!$C143,Einzelbeträge!$E:$E,'Ausgaben 2028'!J$6)</f>
        <v>0</v>
      </c>
      <c r="K143" s="21">
        <f>SUMIFS(Einzelbeträge!$D:$D,Einzelbeträge!$C:$C,'Ausgaben 2028'!$C143,Einzelbeträge!$E:$E,'Ausgaben 2028'!K$6)</f>
        <v>0</v>
      </c>
      <c r="L143" s="21">
        <f>SUMIFS(Einzelbeträge!$D:$D,Einzelbeträge!$C:$C,'Ausgaben 2028'!$C143,Einzelbeträge!$E:$E,'Ausgaben 2028'!L$6)</f>
        <v>0</v>
      </c>
      <c r="M143" s="21">
        <f>SUMIFS(Einzelbeträge!$D:$D,Einzelbeträge!$C:$C,'Ausgaben 2028'!$C143,Einzelbeträge!$E:$E,'Ausgaben 2028'!M$6)</f>
        <v>0</v>
      </c>
      <c r="N143" s="35">
        <f>SUMIFS(Einzelbeträge!$D:$D,Einzelbeträge!$C:$C,'Ausgaben 2028'!$C143,Einzelbeträge!$E:$E,'Ausgaben 2028'!N$6)</f>
        <v>0</v>
      </c>
      <c r="O143" s="6"/>
    </row>
    <row r="144" spans="2:15" x14ac:dyDescent="0.35">
      <c r="B144" s="5"/>
      <c r="C144" s="40">
        <f t="shared" si="20"/>
        <v>46878</v>
      </c>
      <c r="D144" s="46">
        <f>SUMIFS(Einzelbeträge!$D:$D,Einzelbeträge!$C:$C,'Ausgaben 2028'!$C144)</f>
        <v>0</v>
      </c>
      <c r="E144" s="21">
        <f>SUMIFS(Einzelbeträge!$D:$D,Einzelbeträge!$C:$C,'Ausgaben 2028'!$C144,Einzelbeträge!$E:$E,'Ausgaben 2028'!E$6)</f>
        <v>0</v>
      </c>
      <c r="F144" s="21">
        <f>SUMIFS(Einzelbeträge!$D:$D,Einzelbeträge!$C:$C,'Ausgaben 2028'!$C144,Einzelbeträge!$E:$E,'Ausgaben 2028'!F$6)</f>
        <v>0</v>
      </c>
      <c r="G144" s="21">
        <f>SUMIFS(Einzelbeträge!$D:$D,Einzelbeträge!$C:$C,'Ausgaben 2028'!$C144,Einzelbeträge!$E:$E,'Ausgaben 2028'!G$6)</f>
        <v>0</v>
      </c>
      <c r="H144" s="21">
        <f>SUMIFS(Einzelbeträge!$D:$D,Einzelbeträge!$C:$C,'Ausgaben 2028'!$C144,Einzelbeträge!$E:$E,'Ausgaben 2028'!H$6)</f>
        <v>0</v>
      </c>
      <c r="I144" s="21">
        <f>SUMIFS(Einzelbeträge!$D:$D,Einzelbeträge!$C:$C,'Ausgaben 2028'!$C144,Einzelbeträge!$E:$E,'Ausgaben 2028'!I$6)</f>
        <v>0</v>
      </c>
      <c r="J144" s="21">
        <f>SUMIFS(Einzelbeträge!$D:$D,Einzelbeträge!$C:$C,'Ausgaben 2028'!$C144,Einzelbeträge!$E:$E,'Ausgaben 2028'!J$6)</f>
        <v>0</v>
      </c>
      <c r="K144" s="21">
        <f>SUMIFS(Einzelbeträge!$D:$D,Einzelbeträge!$C:$C,'Ausgaben 2028'!$C144,Einzelbeträge!$E:$E,'Ausgaben 2028'!K$6)</f>
        <v>0</v>
      </c>
      <c r="L144" s="21">
        <f>SUMIFS(Einzelbeträge!$D:$D,Einzelbeträge!$C:$C,'Ausgaben 2028'!$C144,Einzelbeträge!$E:$E,'Ausgaben 2028'!L$6)</f>
        <v>0</v>
      </c>
      <c r="M144" s="21">
        <f>SUMIFS(Einzelbeträge!$D:$D,Einzelbeträge!$C:$C,'Ausgaben 2028'!$C144,Einzelbeträge!$E:$E,'Ausgaben 2028'!M$6)</f>
        <v>0</v>
      </c>
      <c r="N144" s="35">
        <f>SUMIFS(Einzelbeträge!$D:$D,Einzelbeträge!$C:$C,'Ausgaben 2028'!$C144,Einzelbeträge!$E:$E,'Ausgaben 2028'!N$6)</f>
        <v>0</v>
      </c>
      <c r="O144" s="6"/>
    </row>
    <row r="145" spans="2:15" x14ac:dyDescent="0.35">
      <c r="B145" s="5"/>
      <c r="C145" s="40">
        <f t="shared" si="20"/>
        <v>46879</v>
      </c>
      <c r="D145" s="46">
        <f>SUMIFS(Einzelbeträge!$D:$D,Einzelbeträge!$C:$C,'Ausgaben 2028'!$C145)</f>
        <v>0</v>
      </c>
      <c r="E145" s="21">
        <f>SUMIFS(Einzelbeträge!$D:$D,Einzelbeträge!$C:$C,'Ausgaben 2028'!$C145,Einzelbeträge!$E:$E,'Ausgaben 2028'!E$6)</f>
        <v>0</v>
      </c>
      <c r="F145" s="21">
        <f>SUMIFS(Einzelbeträge!$D:$D,Einzelbeträge!$C:$C,'Ausgaben 2028'!$C145,Einzelbeträge!$E:$E,'Ausgaben 2028'!F$6)</f>
        <v>0</v>
      </c>
      <c r="G145" s="21">
        <f>SUMIFS(Einzelbeträge!$D:$D,Einzelbeträge!$C:$C,'Ausgaben 2028'!$C145,Einzelbeträge!$E:$E,'Ausgaben 2028'!G$6)</f>
        <v>0</v>
      </c>
      <c r="H145" s="21">
        <f>SUMIFS(Einzelbeträge!$D:$D,Einzelbeträge!$C:$C,'Ausgaben 2028'!$C145,Einzelbeträge!$E:$E,'Ausgaben 2028'!H$6)</f>
        <v>0</v>
      </c>
      <c r="I145" s="21">
        <f>SUMIFS(Einzelbeträge!$D:$D,Einzelbeträge!$C:$C,'Ausgaben 2028'!$C145,Einzelbeträge!$E:$E,'Ausgaben 2028'!I$6)</f>
        <v>0</v>
      </c>
      <c r="J145" s="21">
        <f>SUMIFS(Einzelbeträge!$D:$D,Einzelbeträge!$C:$C,'Ausgaben 2028'!$C145,Einzelbeträge!$E:$E,'Ausgaben 2028'!J$6)</f>
        <v>0</v>
      </c>
      <c r="K145" s="21">
        <f>SUMIFS(Einzelbeträge!$D:$D,Einzelbeträge!$C:$C,'Ausgaben 2028'!$C145,Einzelbeträge!$E:$E,'Ausgaben 2028'!K$6)</f>
        <v>0</v>
      </c>
      <c r="L145" s="21">
        <f>SUMIFS(Einzelbeträge!$D:$D,Einzelbeträge!$C:$C,'Ausgaben 2028'!$C145,Einzelbeträge!$E:$E,'Ausgaben 2028'!L$6)</f>
        <v>0</v>
      </c>
      <c r="M145" s="21">
        <f>SUMIFS(Einzelbeträge!$D:$D,Einzelbeträge!$C:$C,'Ausgaben 2028'!$C145,Einzelbeträge!$E:$E,'Ausgaben 2028'!M$6)</f>
        <v>0</v>
      </c>
      <c r="N145" s="35">
        <f>SUMIFS(Einzelbeträge!$D:$D,Einzelbeträge!$C:$C,'Ausgaben 2028'!$C145,Einzelbeträge!$E:$E,'Ausgaben 2028'!N$6)</f>
        <v>0</v>
      </c>
      <c r="O145" s="6"/>
    </row>
    <row r="146" spans="2:15" x14ac:dyDescent="0.35">
      <c r="B146" s="5"/>
      <c r="C146" s="40">
        <f t="shared" si="20"/>
        <v>46880</v>
      </c>
      <c r="D146" s="46">
        <f>SUMIFS(Einzelbeträge!$D:$D,Einzelbeträge!$C:$C,'Ausgaben 2028'!$C146)</f>
        <v>0</v>
      </c>
      <c r="E146" s="21">
        <f>SUMIFS(Einzelbeträge!$D:$D,Einzelbeträge!$C:$C,'Ausgaben 2028'!$C146,Einzelbeträge!$E:$E,'Ausgaben 2028'!E$6)</f>
        <v>0</v>
      </c>
      <c r="F146" s="21">
        <f>SUMIFS(Einzelbeträge!$D:$D,Einzelbeträge!$C:$C,'Ausgaben 2028'!$C146,Einzelbeträge!$E:$E,'Ausgaben 2028'!F$6)</f>
        <v>0</v>
      </c>
      <c r="G146" s="21">
        <f>SUMIFS(Einzelbeträge!$D:$D,Einzelbeträge!$C:$C,'Ausgaben 2028'!$C146,Einzelbeträge!$E:$E,'Ausgaben 2028'!G$6)</f>
        <v>0</v>
      </c>
      <c r="H146" s="21">
        <f>SUMIFS(Einzelbeträge!$D:$D,Einzelbeträge!$C:$C,'Ausgaben 2028'!$C146,Einzelbeträge!$E:$E,'Ausgaben 2028'!H$6)</f>
        <v>0</v>
      </c>
      <c r="I146" s="21">
        <f>SUMIFS(Einzelbeträge!$D:$D,Einzelbeträge!$C:$C,'Ausgaben 2028'!$C146,Einzelbeträge!$E:$E,'Ausgaben 2028'!I$6)</f>
        <v>0</v>
      </c>
      <c r="J146" s="21">
        <f>SUMIFS(Einzelbeträge!$D:$D,Einzelbeträge!$C:$C,'Ausgaben 2028'!$C146,Einzelbeträge!$E:$E,'Ausgaben 2028'!J$6)</f>
        <v>0</v>
      </c>
      <c r="K146" s="21">
        <f>SUMIFS(Einzelbeträge!$D:$D,Einzelbeträge!$C:$C,'Ausgaben 2028'!$C146,Einzelbeträge!$E:$E,'Ausgaben 2028'!K$6)</f>
        <v>0</v>
      </c>
      <c r="L146" s="21">
        <f>SUMIFS(Einzelbeträge!$D:$D,Einzelbeträge!$C:$C,'Ausgaben 2028'!$C146,Einzelbeträge!$E:$E,'Ausgaben 2028'!L$6)</f>
        <v>0</v>
      </c>
      <c r="M146" s="21">
        <f>SUMIFS(Einzelbeträge!$D:$D,Einzelbeträge!$C:$C,'Ausgaben 2028'!$C146,Einzelbeträge!$E:$E,'Ausgaben 2028'!M$6)</f>
        <v>0</v>
      </c>
      <c r="N146" s="35">
        <f>SUMIFS(Einzelbeträge!$D:$D,Einzelbeträge!$C:$C,'Ausgaben 2028'!$C146,Einzelbeträge!$E:$E,'Ausgaben 2028'!N$6)</f>
        <v>0</v>
      </c>
      <c r="O146" s="6"/>
    </row>
    <row r="147" spans="2:15" x14ac:dyDescent="0.35">
      <c r="B147" s="5"/>
      <c r="C147" s="40">
        <f t="shared" si="20"/>
        <v>46881</v>
      </c>
      <c r="D147" s="46">
        <f>SUMIFS(Einzelbeträge!$D:$D,Einzelbeträge!$C:$C,'Ausgaben 2028'!$C147)</f>
        <v>0</v>
      </c>
      <c r="E147" s="21">
        <f>SUMIFS(Einzelbeträge!$D:$D,Einzelbeträge!$C:$C,'Ausgaben 2028'!$C147,Einzelbeträge!$E:$E,'Ausgaben 2028'!E$6)</f>
        <v>0</v>
      </c>
      <c r="F147" s="21">
        <f>SUMIFS(Einzelbeträge!$D:$D,Einzelbeträge!$C:$C,'Ausgaben 2028'!$C147,Einzelbeträge!$E:$E,'Ausgaben 2028'!F$6)</f>
        <v>0</v>
      </c>
      <c r="G147" s="21">
        <f>SUMIFS(Einzelbeträge!$D:$D,Einzelbeträge!$C:$C,'Ausgaben 2028'!$C147,Einzelbeträge!$E:$E,'Ausgaben 2028'!G$6)</f>
        <v>0</v>
      </c>
      <c r="H147" s="21">
        <f>SUMIFS(Einzelbeträge!$D:$D,Einzelbeträge!$C:$C,'Ausgaben 2028'!$C147,Einzelbeträge!$E:$E,'Ausgaben 2028'!H$6)</f>
        <v>0</v>
      </c>
      <c r="I147" s="21">
        <f>SUMIFS(Einzelbeträge!$D:$D,Einzelbeträge!$C:$C,'Ausgaben 2028'!$C147,Einzelbeträge!$E:$E,'Ausgaben 2028'!I$6)</f>
        <v>0</v>
      </c>
      <c r="J147" s="21">
        <f>SUMIFS(Einzelbeträge!$D:$D,Einzelbeträge!$C:$C,'Ausgaben 2028'!$C147,Einzelbeträge!$E:$E,'Ausgaben 2028'!J$6)</f>
        <v>0</v>
      </c>
      <c r="K147" s="21">
        <f>SUMIFS(Einzelbeträge!$D:$D,Einzelbeträge!$C:$C,'Ausgaben 2028'!$C147,Einzelbeträge!$E:$E,'Ausgaben 2028'!K$6)</f>
        <v>0</v>
      </c>
      <c r="L147" s="21">
        <f>SUMIFS(Einzelbeträge!$D:$D,Einzelbeträge!$C:$C,'Ausgaben 2028'!$C147,Einzelbeträge!$E:$E,'Ausgaben 2028'!L$6)</f>
        <v>0</v>
      </c>
      <c r="M147" s="21">
        <f>SUMIFS(Einzelbeträge!$D:$D,Einzelbeträge!$C:$C,'Ausgaben 2028'!$C147,Einzelbeträge!$E:$E,'Ausgaben 2028'!M$6)</f>
        <v>0</v>
      </c>
      <c r="N147" s="35">
        <f>SUMIFS(Einzelbeträge!$D:$D,Einzelbeträge!$C:$C,'Ausgaben 2028'!$C147,Einzelbeträge!$E:$E,'Ausgaben 2028'!N$6)</f>
        <v>0</v>
      </c>
      <c r="O147" s="6"/>
    </row>
    <row r="148" spans="2:15" x14ac:dyDescent="0.35">
      <c r="B148" s="5"/>
      <c r="C148" s="40">
        <f t="shared" si="20"/>
        <v>46882</v>
      </c>
      <c r="D148" s="46">
        <f>SUMIFS(Einzelbeträge!$D:$D,Einzelbeträge!$C:$C,'Ausgaben 2028'!$C148)</f>
        <v>0</v>
      </c>
      <c r="E148" s="21">
        <f>SUMIFS(Einzelbeträge!$D:$D,Einzelbeträge!$C:$C,'Ausgaben 2028'!$C148,Einzelbeträge!$E:$E,'Ausgaben 2028'!E$6)</f>
        <v>0</v>
      </c>
      <c r="F148" s="21">
        <f>SUMIFS(Einzelbeträge!$D:$D,Einzelbeträge!$C:$C,'Ausgaben 2028'!$C148,Einzelbeträge!$E:$E,'Ausgaben 2028'!F$6)</f>
        <v>0</v>
      </c>
      <c r="G148" s="21">
        <f>SUMIFS(Einzelbeträge!$D:$D,Einzelbeträge!$C:$C,'Ausgaben 2028'!$C148,Einzelbeträge!$E:$E,'Ausgaben 2028'!G$6)</f>
        <v>0</v>
      </c>
      <c r="H148" s="21">
        <f>SUMIFS(Einzelbeträge!$D:$D,Einzelbeträge!$C:$C,'Ausgaben 2028'!$C148,Einzelbeträge!$E:$E,'Ausgaben 2028'!H$6)</f>
        <v>0</v>
      </c>
      <c r="I148" s="21">
        <f>SUMIFS(Einzelbeträge!$D:$D,Einzelbeträge!$C:$C,'Ausgaben 2028'!$C148,Einzelbeträge!$E:$E,'Ausgaben 2028'!I$6)</f>
        <v>0</v>
      </c>
      <c r="J148" s="21">
        <f>SUMIFS(Einzelbeträge!$D:$D,Einzelbeträge!$C:$C,'Ausgaben 2028'!$C148,Einzelbeträge!$E:$E,'Ausgaben 2028'!J$6)</f>
        <v>0</v>
      </c>
      <c r="K148" s="21">
        <f>SUMIFS(Einzelbeträge!$D:$D,Einzelbeträge!$C:$C,'Ausgaben 2028'!$C148,Einzelbeträge!$E:$E,'Ausgaben 2028'!K$6)</f>
        <v>0</v>
      </c>
      <c r="L148" s="21">
        <f>SUMIFS(Einzelbeträge!$D:$D,Einzelbeträge!$C:$C,'Ausgaben 2028'!$C148,Einzelbeträge!$E:$E,'Ausgaben 2028'!L$6)</f>
        <v>0</v>
      </c>
      <c r="M148" s="21">
        <f>SUMIFS(Einzelbeträge!$D:$D,Einzelbeträge!$C:$C,'Ausgaben 2028'!$C148,Einzelbeträge!$E:$E,'Ausgaben 2028'!M$6)</f>
        <v>0</v>
      </c>
      <c r="N148" s="35">
        <f>SUMIFS(Einzelbeträge!$D:$D,Einzelbeträge!$C:$C,'Ausgaben 2028'!$C148,Einzelbeträge!$E:$E,'Ausgaben 2028'!N$6)</f>
        <v>0</v>
      </c>
      <c r="O148" s="6"/>
    </row>
    <row r="149" spans="2:15" x14ac:dyDescent="0.35">
      <c r="B149" s="5"/>
      <c r="C149" s="40">
        <f t="shared" si="20"/>
        <v>46883</v>
      </c>
      <c r="D149" s="46">
        <f>SUMIFS(Einzelbeträge!$D:$D,Einzelbeträge!$C:$C,'Ausgaben 2028'!$C149)</f>
        <v>0</v>
      </c>
      <c r="E149" s="21">
        <f>SUMIFS(Einzelbeträge!$D:$D,Einzelbeträge!$C:$C,'Ausgaben 2028'!$C149,Einzelbeträge!$E:$E,'Ausgaben 2028'!E$6)</f>
        <v>0</v>
      </c>
      <c r="F149" s="21">
        <f>SUMIFS(Einzelbeträge!$D:$D,Einzelbeträge!$C:$C,'Ausgaben 2028'!$C149,Einzelbeträge!$E:$E,'Ausgaben 2028'!F$6)</f>
        <v>0</v>
      </c>
      <c r="G149" s="21">
        <f>SUMIFS(Einzelbeträge!$D:$D,Einzelbeträge!$C:$C,'Ausgaben 2028'!$C149,Einzelbeträge!$E:$E,'Ausgaben 2028'!G$6)</f>
        <v>0</v>
      </c>
      <c r="H149" s="21">
        <f>SUMIFS(Einzelbeträge!$D:$D,Einzelbeträge!$C:$C,'Ausgaben 2028'!$C149,Einzelbeträge!$E:$E,'Ausgaben 2028'!H$6)</f>
        <v>0</v>
      </c>
      <c r="I149" s="21">
        <f>SUMIFS(Einzelbeträge!$D:$D,Einzelbeträge!$C:$C,'Ausgaben 2028'!$C149,Einzelbeträge!$E:$E,'Ausgaben 2028'!I$6)</f>
        <v>0</v>
      </c>
      <c r="J149" s="21">
        <f>SUMIFS(Einzelbeträge!$D:$D,Einzelbeträge!$C:$C,'Ausgaben 2028'!$C149,Einzelbeträge!$E:$E,'Ausgaben 2028'!J$6)</f>
        <v>0</v>
      </c>
      <c r="K149" s="21">
        <f>SUMIFS(Einzelbeträge!$D:$D,Einzelbeträge!$C:$C,'Ausgaben 2028'!$C149,Einzelbeträge!$E:$E,'Ausgaben 2028'!K$6)</f>
        <v>0</v>
      </c>
      <c r="L149" s="21">
        <f>SUMIFS(Einzelbeträge!$D:$D,Einzelbeträge!$C:$C,'Ausgaben 2028'!$C149,Einzelbeträge!$E:$E,'Ausgaben 2028'!L$6)</f>
        <v>0</v>
      </c>
      <c r="M149" s="21">
        <f>SUMIFS(Einzelbeträge!$D:$D,Einzelbeträge!$C:$C,'Ausgaben 2028'!$C149,Einzelbeträge!$E:$E,'Ausgaben 2028'!M$6)</f>
        <v>0</v>
      </c>
      <c r="N149" s="35">
        <f>SUMIFS(Einzelbeträge!$D:$D,Einzelbeträge!$C:$C,'Ausgaben 2028'!$C149,Einzelbeträge!$E:$E,'Ausgaben 2028'!N$6)</f>
        <v>0</v>
      </c>
      <c r="O149" s="6"/>
    </row>
    <row r="150" spans="2:15" x14ac:dyDescent="0.35">
      <c r="B150" s="5"/>
      <c r="C150" s="40">
        <f t="shared" si="20"/>
        <v>46884</v>
      </c>
      <c r="D150" s="46">
        <f>SUMIFS(Einzelbeträge!$D:$D,Einzelbeträge!$C:$C,'Ausgaben 2028'!$C150)</f>
        <v>0</v>
      </c>
      <c r="E150" s="21">
        <f>SUMIFS(Einzelbeträge!$D:$D,Einzelbeträge!$C:$C,'Ausgaben 2028'!$C150,Einzelbeträge!$E:$E,'Ausgaben 2028'!E$6)</f>
        <v>0</v>
      </c>
      <c r="F150" s="21">
        <f>SUMIFS(Einzelbeträge!$D:$D,Einzelbeträge!$C:$C,'Ausgaben 2028'!$C150,Einzelbeträge!$E:$E,'Ausgaben 2028'!F$6)</f>
        <v>0</v>
      </c>
      <c r="G150" s="21">
        <f>SUMIFS(Einzelbeträge!$D:$D,Einzelbeträge!$C:$C,'Ausgaben 2028'!$C150,Einzelbeträge!$E:$E,'Ausgaben 2028'!G$6)</f>
        <v>0</v>
      </c>
      <c r="H150" s="21">
        <f>SUMIFS(Einzelbeträge!$D:$D,Einzelbeträge!$C:$C,'Ausgaben 2028'!$C150,Einzelbeträge!$E:$E,'Ausgaben 2028'!H$6)</f>
        <v>0</v>
      </c>
      <c r="I150" s="21">
        <f>SUMIFS(Einzelbeträge!$D:$D,Einzelbeträge!$C:$C,'Ausgaben 2028'!$C150,Einzelbeträge!$E:$E,'Ausgaben 2028'!I$6)</f>
        <v>0</v>
      </c>
      <c r="J150" s="21">
        <f>SUMIFS(Einzelbeträge!$D:$D,Einzelbeträge!$C:$C,'Ausgaben 2028'!$C150,Einzelbeträge!$E:$E,'Ausgaben 2028'!J$6)</f>
        <v>0</v>
      </c>
      <c r="K150" s="21">
        <f>SUMIFS(Einzelbeträge!$D:$D,Einzelbeträge!$C:$C,'Ausgaben 2028'!$C150,Einzelbeträge!$E:$E,'Ausgaben 2028'!K$6)</f>
        <v>0</v>
      </c>
      <c r="L150" s="21">
        <f>SUMIFS(Einzelbeträge!$D:$D,Einzelbeträge!$C:$C,'Ausgaben 2028'!$C150,Einzelbeträge!$E:$E,'Ausgaben 2028'!L$6)</f>
        <v>0</v>
      </c>
      <c r="M150" s="21">
        <f>SUMIFS(Einzelbeträge!$D:$D,Einzelbeträge!$C:$C,'Ausgaben 2028'!$C150,Einzelbeträge!$E:$E,'Ausgaben 2028'!M$6)</f>
        <v>0</v>
      </c>
      <c r="N150" s="35">
        <f>SUMIFS(Einzelbeträge!$D:$D,Einzelbeträge!$C:$C,'Ausgaben 2028'!$C150,Einzelbeträge!$E:$E,'Ausgaben 2028'!N$6)</f>
        <v>0</v>
      </c>
      <c r="O150" s="6"/>
    </row>
    <row r="151" spans="2:15" x14ac:dyDescent="0.35">
      <c r="B151" s="5"/>
      <c r="C151" s="40">
        <f t="shared" si="20"/>
        <v>46885</v>
      </c>
      <c r="D151" s="46">
        <f>SUMIFS(Einzelbeträge!$D:$D,Einzelbeträge!$C:$C,'Ausgaben 2028'!$C151)</f>
        <v>0</v>
      </c>
      <c r="E151" s="21">
        <f>SUMIFS(Einzelbeträge!$D:$D,Einzelbeträge!$C:$C,'Ausgaben 2028'!$C151,Einzelbeträge!$E:$E,'Ausgaben 2028'!E$6)</f>
        <v>0</v>
      </c>
      <c r="F151" s="21">
        <f>SUMIFS(Einzelbeträge!$D:$D,Einzelbeträge!$C:$C,'Ausgaben 2028'!$C151,Einzelbeträge!$E:$E,'Ausgaben 2028'!F$6)</f>
        <v>0</v>
      </c>
      <c r="G151" s="21">
        <f>SUMIFS(Einzelbeträge!$D:$D,Einzelbeträge!$C:$C,'Ausgaben 2028'!$C151,Einzelbeträge!$E:$E,'Ausgaben 2028'!G$6)</f>
        <v>0</v>
      </c>
      <c r="H151" s="21">
        <f>SUMIFS(Einzelbeträge!$D:$D,Einzelbeträge!$C:$C,'Ausgaben 2028'!$C151,Einzelbeträge!$E:$E,'Ausgaben 2028'!H$6)</f>
        <v>0</v>
      </c>
      <c r="I151" s="21">
        <f>SUMIFS(Einzelbeträge!$D:$D,Einzelbeträge!$C:$C,'Ausgaben 2028'!$C151,Einzelbeträge!$E:$E,'Ausgaben 2028'!I$6)</f>
        <v>0</v>
      </c>
      <c r="J151" s="21">
        <f>SUMIFS(Einzelbeträge!$D:$D,Einzelbeträge!$C:$C,'Ausgaben 2028'!$C151,Einzelbeträge!$E:$E,'Ausgaben 2028'!J$6)</f>
        <v>0</v>
      </c>
      <c r="K151" s="21">
        <f>SUMIFS(Einzelbeträge!$D:$D,Einzelbeträge!$C:$C,'Ausgaben 2028'!$C151,Einzelbeträge!$E:$E,'Ausgaben 2028'!K$6)</f>
        <v>0</v>
      </c>
      <c r="L151" s="21">
        <f>SUMIFS(Einzelbeträge!$D:$D,Einzelbeträge!$C:$C,'Ausgaben 2028'!$C151,Einzelbeträge!$E:$E,'Ausgaben 2028'!L$6)</f>
        <v>0</v>
      </c>
      <c r="M151" s="21">
        <f>SUMIFS(Einzelbeträge!$D:$D,Einzelbeträge!$C:$C,'Ausgaben 2028'!$C151,Einzelbeträge!$E:$E,'Ausgaben 2028'!M$6)</f>
        <v>0</v>
      </c>
      <c r="N151" s="35">
        <f>SUMIFS(Einzelbeträge!$D:$D,Einzelbeträge!$C:$C,'Ausgaben 2028'!$C151,Einzelbeträge!$E:$E,'Ausgaben 2028'!N$6)</f>
        <v>0</v>
      </c>
      <c r="O151" s="6"/>
    </row>
    <row r="152" spans="2:15" x14ac:dyDescent="0.35">
      <c r="B152" s="5"/>
      <c r="C152" s="40">
        <f t="shared" si="20"/>
        <v>46886</v>
      </c>
      <c r="D152" s="46">
        <f>SUMIFS(Einzelbeträge!$D:$D,Einzelbeträge!$C:$C,'Ausgaben 2028'!$C152)</f>
        <v>0</v>
      </c>
      <c r="E152" s="21">
        <f>SUMIFS(Einzelbeträge!$D:$D,Einzelbeträge!$C:$C,'Ausgaben 2028'!$C152,Einzelbeträge!$E:$E,'Ausgaben 2028'!E$6)</f>
        <v>0</v>
      </c>
      <c r="F152" s="21">
        <f>SUMIFS(Einzelbeträge!$D:$D,Einzelbeträge!$C:$C,'Ausgaben 2028'!$C152,Einzelbeträge!$E:$E,'Ausgaben 2028'!F$6)</f>
        <v>0</v>
      </c>
      <c r="G152" s="21">
        <f>SUMIFS(Einzelbeträge!$D:$D,Einzelbeträge!$C:$C,'Ausgaben 2028'!$C152,Einzelbeträge!$E:$E,'Ausgaben 2028'!G$6)</f>
        <v>0</v>
      </c>
      <c r="H152" s="21">
        <f>SUMIFS(Einzelbeträge!$D:$D,Einzelbeträge!$C:$C,'Ausgaben 2028'!$C152,Einzelbeträge!$E:$E,'Ausgaben 2028'!H$6)</f>
        <v>0</v>
      </c>
      <c r="I152" s="21">
        <f>SUMIFS(Einzelbeträge!$D:$D,Einzelbeträge!$C:$C,'Ausgaben 2028'!$C152,Einzelbeträge!$E:$E,'Ausgaben 2028'!I$6)</f>
        <v>0</v>
      </c>
      <c r="J152" s="21">
        <f>SUMIFS(Einzelbeträge!$D:$D,Einzelbeträge!$C:$C,'Ausgaben 2028'!$C152,Einzelbeträge!$E:$E,'Ausgaben 2028'!J$6)</f>
        <v>0</v>
      </c>
      <c r="K152" s="21">
        <f>SUMIFS(Einzelbeträge!$D:$D,Einzelbeträge!$C:$C,'Ausgaben 2028'!$C152,Einzelbeträge!$E:$E,'Ausgaben 2028'!K$6)</f>
        <v>0</v>
      </c>
      <c r="L152" s="21">
        <f>SUMIFS(Einzelbeträge!$D:$D,Einzelbeträge!$C:$C,'Ausgaben 2028'!$C152,Einzelbeträge!$E:$E,'Ausgaben 2028'!L$6)</f>
        <v>0</v>
      </c>
      <c r="M152" s="21">
        <f>SUMIFS(Einzelbeträge!$D:$D,Einzelbeträge!$C:$C,'Ausgaben 2028'!$C152,Einzelbeträge!$E:$E,'Ausgaben 2028'!M$6)</f>
        <v>0</v>
      </c>
      <c r="N152" s="35">
        <f>SUMIFS(Einzelbeträge!$D:$D,Einzelbeträge!$C:$C,'Ausgaben 2028'!$C152,Einzelbeträge!$E:$E,'Ausgaben 2028'!N$6)</f>
        <v>0</v>
      </c>
      <c r="O152" s="6"/>
    </row>
    <row r="153" spans="2:15" x14ac:dyDescent="0.35">
      <c r="B153" s="5"/>
      <c r="C153" s="40">
        <f t="shared" si="20"/>
        <v>46887</v>
      </c>
      <c r="D153" s="46">
        <f>SUMIFS(Einzelbeträge!$D:$D,Einzelbeträge!$C:$C,'Ausgaben 2028'!$C153)</f>
        <v>0</v>
      </c>
      <c r="E153" s="21">
        <f>SUMIFS(Einzelbeträge!$D:$D,Einzelbeträge!$C:$C,'Ausgaben 2028'!$C153,Einzelbeträge!$E:$E,'Ausgaben 2028'!E$6)</f>
        <v>0</v>
      </c>
      <c r="F153" s="21">
        <f>SUMIFS(Einzelbeträge!$D:$D,Einzelbeträge!$C:$C,'Ausgaben 2028'!$C153,Einzelbeträge!$E:$E,'Ausgaben 2028'!F$6)</f>
        <v>0</v>
      </c>
      <c r="G153" s="21">
        <f>SUMIFS(Einzelbeträge!$D:$D,Einzelbeträge!$C:$C,'Ausgaben 2028'!$C153,Einzelbeträge!$E:$E,'Ausgaben 2028'!G$6)</f>
        <v>0</v>
      </c>
      <c r="H153" s="21">
        <f>SUMIFS(Einzelbeträge!$D:$D,Einzelbeträge!$C:$C,'Ausgaben 2028'!$C153,Einzelbeträge!$E:$E,'Ausgaben 2028'!H$6)</f>
        <v>0</v>
      </c>
      <c r="I153" s="21">
        <f>SUMIFS(Einzelbeträge!$D:$D,Einzelbeträge!$C:$C,'Ausgaben 2028'!$C153,Einzelbeträge!$E:$E,'Ausgaben 2028'!I$6)</f>
        <v>0</v>
      </c>
      <c r="J153" s="21">
        <f>SUMIFS(Einzelbeträge!$D:$D,Einzelbeträge!$C:$C,'Ausgaben 2028'!$C153,Einzelbeträge!$E:$E,'Ausgaben 2028'!J$6)</f>
        <v>0</v>
      </c>
      <c r="K153" s="21">
        <f>SUMIFS(Einzelbeträge!$D:$D,Einzelbeträge!$C:$C,'Ausgaben 2028'!$C153,Einzelbeträge!$E:$E,'Ausgaben 2028'!K$6)</f>
        <v>0</v>
      </c>
      <c r="L153" s="21">
        <f>SUMIFS(Einzelbeträge!$D:$D,Einzelbeträge!$C:$C,'Ausgaben 2028'!$C153,Einzelbeträge!$E:$E,'Ausgaben 2028'!L$6)</f>
        <v>0</v>
      </c>
      <c r="M153" s="21">
        <f>SUMIFS(Einzelbeträge!$D:$D,Einzelbeträge!$C:$C,'Ausgaben 2028'!$C153,Einzelbeträge!$E:$E,'Ausgaben 2028'!M$6)</f>
        <v>0</v>
      </c>
      <c r="N153" s="35">
        <f>SUMIFS(Einzelbeträge!$D:$D,Einzelbeträge!$C:$C,'Ausgaben 2028'!$C153,Einzelbeträge!$E:$E,'Ausgaben 2028'!N$6)</f>
        <v>0</v>
      </c>
      <c r="O153" s="6"/>
    </row>
    <row r="154" spans="2:15" x14ac:dyDescent="0.35">
      <c r="B154" s="5"/>
      <c r="C154" s="40">
        <f t="shared" si="20"/>
        <v>46888</v>
      </c>
      <c r="D154" s="46">
        <f>SUMIFS(Einzelbeträge!$D:$D,Einzelbeträge!$C:$C,'Ausgaben 2028'!$C154)</f>
        <v>0</v>
      </c>
      <c r="E154" s="21">
        <f>SUMIFS(Einzelbeträge!$D:$D,Einzelbeträge!$C:$C,'Ausgaben 2028'!$C154,Einzelbeträge!$E:$E,'Ausgaben 2028'!E$6)</f>
        <v>0</v>
      </c>
      <c r="F154" s="21">
        <f>SUMIFS(Einzelbeträge!$D:$D,Einzelbeträge!$C:$C,'Ausgaben 2028'!$C154,Einzelbeträge!$E:$E,'Ausgaben 2028'!F$6)</f>
        <v>0</v>
      </c>
      <c r="G154" s="21">
        <f>SUMIFS(Einzelbeträge!$D:$D,Einzelbeträge!$C:$C,'Ausgaben 2028'!$C154,Einzelbeträge!$E:$E,'Ausgaben 2028'!G$6)</f>
        <v>0</v>
      </c>
      <c r="H154" s="21">
        <f>SUMIFS(Einzelbeträge!$D:$D,Einzelbeträge!$C:$C,'Ausgaben 2028'!$C154,Einzelbeträge!$E:$E,'Ausgaben 2028'!H$6)</f>
        <v>0</v>
      </c>
      <c r="I154" s="21">
        <f>SUMIFS(Einzelbeträge!$D:$D,Einzelbeträge!$C:$C,'Ausgaben 2028'!$C154,Einzelbeträge!$E:$E,'Ausgaben 2028'!I$6)</f>
        <v>0</v>
      </c>
      <c r="J154" s="21">
        <f>SUMIFS(Einzelbeträge!$D:$D,Einzelbeträge!$C:$C,'Ausgaben 2028'!$C154,Einzelbeträge!$E:$E,'Ausgaben 2028'!J$6)</f>
        <v>0</v>
      </c>
      <c r="K154" s="21">
        <f>SUMIFS(Einzelbeträge!$D:$D,Einzelbeträge!$C:$C,'Ausgaben 2028'!$C154,Einzelbeträge!$E:$E,'Ausgaben 2028'!K$6)</f>
        <v>0</v>
      </c>
      <c r="L154" s="21">
        <f>SUMIFS(Einzelbeträge!$D:$D,Einzelbeträge!$C:$C,'Ausgaben 2028'!$C154,Einzelbeträge!$E:$E,'Ausgaben 2028'!L$6)</f>
        <v>0</v>
      </c>
      <c r="M154" s="21">
        <f>SUMIFS(Einzelbeträge!$D:$D,Einzelbeträge!$C:$C,'Ausgaben 2028'!$C154,Einzelbeträge!$E:$E,'Ausgaben 2028'!M$6)</f>
        <v>0</v>
      </c>
      <c r="N154" s="35">
        <f>SUMIFS(Einzelbeträge!$D:$D,Einzelbeträge!$C:$C,'Ausgaben 2028'!$C154,Einzelbeträge!$E:$E,'Ausgaben 2028'!N$6)</f>
        <v>0</v>
      </c>
      <c r="O154" s="6"/>
    </row>
    <row r="155" spans="2:15" x14ac:dyDescent="0.35">
      <c r="B155" s="5"/>
      <c r="C155" s="40">
        <f t="shared" si="20"/>
        <v>46889</v>
      </c>
      <c r="D155" s="46">
        <f>SUMIFS(Einzelbeträge!$D:$D,Einzelbeträge!$C:$C,'Ausgaben 2028'!$C155)</f>
        <v>0</v>
      </c>
      <c r="E155" s="21">
        <f>SUMIFS(Einzelbeträge!$D:$D,Einzelbeträge!$C:$C,'Ausgaben 2028'!$C155,Einzelbeträge!$E:$E,'Ausgaben 2028'!E$6)</f>
        <v>0</v>
      </c>
      <c r="F155" s="21">
        <f>SUMIFS(Einzelbeträge!$D:$D,Einzelbeträge!$C:$C,'Ausgaben 2028'!$C155,Einzelbeträge!$E:$E,'Ausgaben 2028'!F$6)</f>
        <v>0</v>
      </c>
      <c r="G155" s="21">
        <f>SUMIFS(Einzelbeträge!$D:$D,Einzelbeträge!$C:$C,'Ausgaben 2028'!$C155,Einzelbeträge!$E:$E,'Ausgaben 2028'!G$6)</f>
        <v>0</v>
      </c>
      <c r="H155" s="21">
        <f>SUMIFS(Einzelbeträge!$D:$D,Einzelbeträge!$C:$C,'Ausgaben 2028'!$C155,Einzelbeträge!$E:$E,'Ausgaben 2028'!H$6)</f>
        <v>0</v>
      </c>
      <c r="I155" s="21">
        <f>SUMIFS(Einzelbeträge!$D:$D,Einzelbeträge!$C:$C,'Ausgaben 2028'!$C155,Einzelbeträge!$E:$E,'Ausgaben 2028'!I$6)</f>
        <v>0</v>
      </c>
      <c r="J155" s="21">
        <f>SUMIFS(Einzelbeträge!$D:$D,Einzelbeträge!$C:$C,'Ausgaben 2028'!$C155,Einzelbeträge!$E:$E,'Ausgaben 2028'!J$6)</f>
        <v>0</v>
      </c>
      <c r="K155" s="21">
        <f>SUMIFS(Einzelbeträge!$D:$D,Einzelbeträge!$C:$C,'Ausgaben 2028'!$C155,Einzelbeträge!$E:$E,'Ausgaben 2028'!K$6)</f>
        <v>0</v>
      </c>
      <c r="L155" s="21">
        <f>SUMIFS(Einzelbeträge!$D:$D,Einzelbeträge!$C:$C,'Ausgaben 2028'!$C155,Einzelbeträge!$E:$E,'Ausgaben 2028'!L$6)</f>
        <v>0</v>
      </c>
      <c r="M155" s="21">
        <f>SUMIFS(Einzelbeträge!$D:$D,Einzelbeträge!$C:$C,'Ausgaben 2028'!$C155,Einzelbeträge!$E:$E,'Ausgaben 2028'!M$6)</f>
        <v>0</v>
      </c>
      <c r="N155" s="35">
        <f>SUMIFS(Einzelbeträge!$D:$D,Einzelbeträge!$C:$C,'Ausgaben 2028'!$C155,Einzelbeträge!$E:$E,'Ausgaben 2028'!N$6)</f>
        <v>0</v>
      </c>
      <c r="O155" s="6"/>
    </row>
    <row r="156" spans="2:15" x14ac:dyDescent="0.35">
      <c r="B156" s="5"/>
      <c r="C156" s="40">
        <f t="shared" si="20"/>
        <v>46890</v>
      </c>
      <c r="D156" s="46">
        <f>SUMIFS(Einzelbeträge!$D:$D,Einzelbeträge!$C:$C,'Ausgaben 2028'!$C156)</f>
        <v>0</v>
      </c>
      <c r="E156" s="21">
        <f>SUMIFS(Einzelbeträge!$D:$D,Einzelbeträge!$C:$C,'Ausgaben 2028'!$C156,Einzelbeträge!$E:$E,'Ausgaben 2028'!E$6)</f>
        <v>0</v>
      </c>
      <c r="F156" s="21">
        <f>SUMIFS(Einzelbeträge!$D:$D,Einzelbeträge!$C:$C,'Ausgaben 2028'!$C156,Einzelbeträge!$E:$E,'Ausgaben 2028'!F$6)</f>
        <v>0</v>
      </c>
      <c r="G156" s="21">
        <f>SUMIFS(Einzelbeträge!$D:$D,Einzelbeträge!$C:$C,'Ausgaben 2028'!$C156,Einzelbeträge!$E:$E,'Ausgaben 2028'!G$6)</f>
        <v>0</v>
      </c>
      <c r="H156" s="21">
        <f>SUMIFS(Einzelbeträge!$D:$D,Einzelbeträge!$C:$C,'Ausgaben 2028'!$C156,Einzelbeträge!$E:$E,'Ausgaben 2028'!H$6)</f>
        <v>0</v>
      </c>
      <c r="I156" s="21">
        <f>SUMIFS(Einzelbeträge!$D:$D,Einzelbeträge!$C:$C,'Ausgaben 2028'!$C156,Einzelbeträge!$E:$E,'Ausgaben 2028'!I$6)</f>
        <v>0</v>
      </c>
      <c r="J156" s="21">
        <f>SUMIFS(Einzelbeträge!$D:$D,Einzelbeträge!$C:$C,'Ausgaben 2028'!$C156,Einzelbeträge!$E:$E,'Ausgaben 2028'!J$6)</f>
        <v>0</v>
      </c>
      <c r="K156" s="21">
        <f>SUMIFS(Einzelbeträge!$D:$D,Einzelbeträge!$C:$C,'Ausgaben 2028'!$C156,Einzelbeträge!$E:$E,'Ausgaben 2028'!K$6)</f>
        <v>0</v>
      </c>
      <c r="L156" s="21">
        <f>SUMIFS(Einzelbeträge!$D:$D,Einzelbeträge!$C:$C,'Ausgaben 2028'!$C156,Einzelbeträge!$E:$E,'Ausgaben 2028'!L$6)</f>
        <v>0</v>
      </c>
      <c r="M156" s="21">
        <f>SUMIFS(Einzelbeträge!$D:$D,Einzelbeträge!$C:$C,'Ausgaben 2028'!$C156,Einzelbeträge!$E:$E,'Ausgaben 2028'!M$6)</f>
        <v>0</v>
      </c>
      <c r="N156" s="35">
        <f>SUMIFS(Einzelbeträge!$D:$D,Einzelbeträge!$C:$C,'Ausgaben 2028'!$C156,Einzelbeträge!$E:$E,'Ausgaben 2028'!N$6)</f>
        <v>0</v>
      </c>
      <c r="O156" s="6"/>
    </row>
    <row r="157" spans="2:15" x14ac:dyDescent="0.35">
      <c r="B157" s="5"/>
      <c r="C157" s="40">
        <f t="shared" si="20"/>
        <v>46891</v>
      </c>
      <c r="D157" s="46">
        <f>SUMIFS(Einzelbeträge!$D:$D,Einzelbeträge!$C:$C,'Ausgaben 2028'!$C157)</f>
        <v>0</v>
      </c>
      <c r="E157" s="21">
        <f>SUMIFS(Einzelbeträge!$D:$D,Einzelbeträge!$C:$C,'Ausgaben 2028'!$C157,Einzelbeträge!$E:$E,'Ausgaben 2028'!E$6)</f>
        <v>0</v>
      </c>
      <c r="F157" s="21">
        <f>SUMIFS(Einzelbeträge!$D:$D,Einzelbeträge!$C:$C,'Ausgaben 2028'!$C157,Einzelbeträge!$E:$E,'Ausgaben 2028'!F$6)</f>
        <v>0</v>
      </c>
      <c r="G157" s="21">
        <f>SUMIFS(Einzelbeträge!$D:$D,Einzelbeträge!$C:$C,'Ausgaben 2028'!$C157,Einzelbeträge!$E:$E,'Ausgaben 2028'!G$6)</f>
        <v>0</v>
      </c>
      <c r="H157" s="21">
        <f>SUMIFS(Einzelbeträge!$D:$D,Einzelbeträge!$C:$C,'Ausgaben 2028'!$C157,Einzelbeträge!$E:$E,'Ausgaben 2028'!H$6)</f>
        <v>0</v>
      </c>
      <c r="I157" s="21">
        <f>SUMIFS(Einzelbeträge!$D:$D,Einzelbeträge!$C:$C,'Ausgaben 2028'!$C157,Einzelbeträge!$E:$E,'Ausgaben 2028'!I$6)</f>
        <v>0</v>
      </c>
      <c r="J157" s="21">
        <f>SUMIFS(Einzelbeträge!$D:$D,Einzelbeträge!$C:$C,'Ausgaben 2028'!$C157,Einzelbeträge!$E:$E,'Ausgaben 2028'!J$6)</f>
        <v>0</v>
      </c>
      <c r="K157" s="21">
        <f>SUMIFS(Einzelbeträge!$D:$D,Einzelbeträge!$C:$C,'Ausgaben 2028'!$C157,Einzelbeträge!$E:$E,'Ausgaben 2028'!K$6)</f>
        <v>0</v>
      </c>
      <c r="L157" s="21">
        <f>SUMIFS(Einzelbeträge!$D:$D,Einzelbeträge!$C:$C,'Ausgaben 2028'!$C157,Einzelbeträge!$E:$E,'Ausgaben 2028'!L$6)</f>
        <v>0</v>
      </c>
      <c r="M157" s="21">
        <f>SUMIFS(Einzelbeträge!$D:$D,Einzelbeträge!$C:$C,'Ausgaben 2028'!$C157,Einzelbeträge!$E:$E,'Ausgaben 2028'!M$6)</f>
        <v>0</v>
      </c>
      <c r="N157" s="35">
        <f>SUMIFS(Einzelbeträge!$D:$D,Einzelbeträge!$C:$C,'Ausgaben 2028'!$C157,Einzelbeträge!$E:$E,'Ausgaben 2028'!N$6)</f>
        <v>0</v>
      </c>
      <c r="O157" s="6"/>
    </row>
    <row r="158" spans="2:15" x14ac:dyDescent="0.35">
      <c r="B158" s="5"/>
      <c r="C158" s="40">
        <f t="shared" si="20"/>
        <v>46892</v>
      </c>
      <c r="D158" s="46">
        <f>SUMIFS(Einzelbeträge!$D:$D,Einzelbeträge!$C:$C,'Ausgaben 2028'!$C158)</f>
        <v>0</v>
      </c>
      <c r="E158" s="21">
        <f>SUMIFS(Einzelbeträge!$D:$D,Einzelbeträge!$C:$C,'Ausgaben 2028'!$C158,Einzelbeträge!$E:$E,'Ausgaben 2028'!E$6)</f>
        <v>0</v>
      </c>
      <c r="F158" s="21">
        <f>SUMIFS(Einzelbeträge!$D:$D,Einzelbeträge!$C:$C,'Ausgaben 2028'!$C158,Einzelbeträge!$E:$E,'Ausgaben 2028'!F$6)</f>
        <v>0</v>
      </c>
      <c r="G158" s="21">
        <f>SUMIFS(Einzelbeträge!$D:$D,Einzelbeträge!$C:$C,'Ausgaben 2028'!$C158,Einzelbeträge!$E:$E,'Ausgaben 2028'!G$6)</f>
        <v>0</v>
      </c>
      <c r="H158" s="21">
        <f>SUMIFS(Einzelbeträge!$D:$D,Einzelbeträge!$C:$C,'Ausgaben 2028'!$C158,Einzelbeträge!$E:$E,'Ausgaben 2028'!H$6)</f>
        <v>0</v>
      </c>
      <c r="I158" s="21">
        <f>SUMIFS(Einzelbeträge!$D:$D,Einzelbeträge!$C:$C,'Ausgaben 2028'!$C158,Einzelbeträge!$E:$E,'Ausgaben 2028'!I$6)</f>
        <v>0</v>
      </c>
      <c r="J158" s="21">
        <f>SUMIFS(Einzelbeträge!$D:$D,Einzelbeträge!$C:$C,'Ausgaben 2028'!$C158,Einzelbeträge!$E:$E,'Ausgaben 2028'!J$6)</f>
        <v>0</v>
      </c>
      <c r="K158" s="21">
        <f>SUMIFS(Einzelbeträge!$D:$D,Einzelbeträge!$C:$C,'Ausgaben 2028'!$C158,Einzelbeträge!$E:$E,'Ausgaben 2028'!K$6)</f>
        <v>0</v>
      </c>
      <c r="L158" s="21">
        <f>SUMIFS(Einzelbeträge!$D:$D,Einzelbeträge!$C:$C,'Ausgaben 2028'!$C158,Einzelbeträge!$E:$E,'Ausgaben 2028'!L$6)</f>
        <v>0</v>
      </c>
      <c r="M158" s="21">
        <f>SUMIFS(Einzelbeträge!$D:$D,Einzelbeträge!$C:$C,'Ausgaben 2028'!$C158,Einzelbeträge!$E:$E,'Ausgaben 2028'!M$6)</f>
        <v>0</v>
      </c>
      <c r="N158" s="35">
        <f>SUMIFS(Einzelbeträge!$D:$D,Einzelbeträge!$C:$C,'Ausgaben 2028'!$C158,Einzelbeträge!$E:$E,'Ausgaben 2028'!N$6)</f>
        <v>0</v>
      </c>
      <c r="O158" s="6"/>
    </row>
    <row r="159" spans="2:15" x14ac:dyDescent="0.35">
      <c r="B159" s="5"/>
      <c r="C159" s="40">
        <f t="shared" si="20"/>
        <v>46893</v>
      </c>
      <c r="D159" s="46">
        <f>SUMIFS(Einzelbeträge!$D:$D,Einzelbeträge!$C:$C,'Ausgaben 2028'!$C159)</f>
        <v>0</v>
      </c>
      <c r="E159" s="21">
        <f>SUMIFS(Einzelbeträge!$D:$D,Einzelbeträge!$C:$C,'Ausgaben 2028'!$C159,Einzelbeträge!$E:$E,'Ausgaben 2028'!E$6)</f>
        <v>0</v>
      </c>
      <c r="F159" s="21">
        <f>SUMIFS(Einzelbeträge!$D:$D,Einzelbeträge!$C:$C,'Ausgaben 2028'!$C159,Einzelbeträge!$E:$E,'Ausgaben 2028'!F$6)</f>
        <v>0</v>
      </c>
      <c r="G159" s="21">
        <f>SUMIFS(Einzelbeträge!$D:$D,Einzelbeträge!$C:$C,'Ausgaben 2028'!$C159,Einzelbeträge!$E:$E,'Ausgaben 2028'!G$6)</f>
        <v>0</v>
      </c>
      <c r="H159" s="21">
        <f>SUMIFS(Einzelbeträge!$D:$D,Einzelbeträge!$C:$C,'Ausgaben 2028'!$C159,Einzelbeträge!$E:$E,'Ausgaben 2028'!H$6)</f>
        <v>0</v>
      </c>
      <c r="I159" s="21">
        <f>SUMIFS(Einzelbeträge!$D:$D,Einzelbeträge!$C:$C,'Ausgaben 2028'!$C159,Einzelbeträge!$E:$E,'Ausgaben 2028'!I$6)</f>
        <v>0</v>
      </c>
      <c r="J159" s="21">
        <f>SUMIFS(Einzelbeträge!$D:$D,Einzelbeträge!$C:$C,'Ausgaben 2028'!$C159,Einzelbeträge!$E:$E,'Ausgaben 2028'!J$6)</f>
        <v>0</v>
      </c>
      <c r="K159" s="21">
        <f>SUMIFS(Einzelbeträge!$D:$D,Einzelbeträge!$C:$C,'Ausgaben 2028'!$C159,Einzelbeträge!$E:$E,'Ausgaben 2028'!K$6)</f>
        <v>0</v>
      </c>
      <c r="L159" s="21">
        <f>SUMIFS(Einzelbeträge!$D:$D,Einzelbeträge!$C:$C,'Ausgaben 2028'!$C159,Einzelbeträge!$E:$E,'Ausgaben 2028'!L$6)</f>
        <v>0</v>
      </c>
      <c r="M159" s="21">
        <f>SUMIFS(Einzelbeträge!$D:$D,Einzelbeträge!$C:$C,'Ausgaben 2028'!$C159,Einzelbeträge!$E:$E,'Ausgaben 2028'!M$6)</f>
        <v>0</v>
      </c>
      <c r="N159" s="35">
        <f>SUMIFS(Einzelbeträge!$D:$D,Einzelbeträge!$C:$C,'Ausgaben 2028'!$C159,Einzelbeträge!$E:$E,'Ausgaben 2028'!N$6)</f>
        <v>0</v>
      </c>
      <c r="O159" s="6"/>
    </row>
    <row r="160" spans="2:15" x14ac:dyDescent="0.35">
      <c r="B160" s="5"/>
      <c r="C160" s="40">
        <f t="shared" si="20"/>
        <v>46894</v>
      </c>
      <c r="D160" s="46">
        <f>SUMIFS(Einzelbeträge!$D:$D,Einzelbeträge!$C:$C,'Ausgaben 2028'!$C160)</f>
        <v>0</v>
      </c>
      <c r="E160" s="21">
        <f>SUMIFS(Einzelbeträge!$D:$D,Einzelbeträge!$C:$C,'Ausgaben 2028'!$C160,Einzelbeträge!$E:$E,'Ausgaben 2028'!E$6)</f>
        <v>0</v>
      </c>
      <c r="F160" s="21">
        <f>SUMIFS(Einzelbeträge!$D:$D,Einzelbeträge!$C:$C,'Ausgaben 2028'!$C160,Einzelbeträge!$E:$E,'Ausgaben 2028'!F$6)</f>
        <v>0</v>
      </c>
      <c r="G160" s="21">
        <f>SUMIFS(Einzelbeträge!$D:$D,Einzelbeträge!$C:$C,'Ausgaben 2028'!$C160,Einzelbeträge!$E:$E,'Ausgaben 2028'!G$6)</f>
        <v>0</v>
      </c>
      <c r="H160" s="21">
        <f>SUMIFS(Einzelbeträge!$D:$D,Einzelbeträge!$C:$C,'Ausgaben 2028'!$C160,Einzelbeträge!$E:$E,'Ausgaben 2028'!H$6)</f>
        <v>0</v>
      </c>
      <c r="I160" s="21">
        <f>SUMIFS(Einzelbeträge!$D:$D,Einzelbeträge!$C:$C,'Ausgaben 2028'!$C160,Einzelbeträge!$E:$E,'Ausgaben 2028'!I$6)</f>
        <v>0</v>
      </c>
      <c r="J160" s="21">
        <f>SUMIFS(Einzelbeträge!$D:$D,Einzelbeträge!$C:$C,'Ausgaben 2028'!$C160,Einzelbeträge!$E:$E,'Ausgaben 2028'!J$6)</f>
        <v>0</v>
      </c>
      <c r="K160" s="21">
        <f>SUMIFS(Einzelbeträge!$D:$D,Einzelbeträge!$C:$C,'Ausgaben 2028'!$C160,Einzelbeträge!$E:$E,'Ausgaben 2028'!K$6)</f>
        <v>0</v>
      </c>
      <c r="L160" s="21">
        <f>SUMIFS(Einzelbeträge!$D:$D,Einzelbeträge!$C:$C,'Ausgaben 2028'!$C160,Einzelbeträge!$E:$E,'Ausgaben 2028'!L$6)</f>
        <v>0</v>
      </c>
      <c r="M160" s="21">
        <f>SUMIFS(Einzelbeträge!$D:$D,Einzelbeträge!$C:$C,'Ausgaben 2028'!$C160,Einzelbeträge!$E:$E,'Ausgaben 2028'!M$6)</f>
        <v>0</v>
      </c>
      <c r="N160" s="35">
        <f>SUMIFS(Einzelbeträge!$D:$D,Einzelbeträge!$C:$C,'Ausgaben 2028'!$C160,Einzelbeträge!$E:$E,'Ausgaben 2028'!N$6)</f>
        <v>0</v>
      </c>
      <c r="O160" s="6"/>
    </row>
    <row r="161" spans="2:15" x14ac:dyDescent="0.35">
      <c r="B161" s="5"/>
      <c r="C161" s="40">
        <f t="shared" si="20"/>
        <v>46895</v>
      </c>
      <c r="D161" s="46">
        <f>SUMIFS(Einzelbeträge!$D:$D,Einzelbeträge!$C:$C,'Ausgaben 2028'!$C161)</f>
        <v>0</v>
      </c>
      <c r="E161" s="21">
        <f>SUMIFS(Einzelbeträge!$D:$D,Einzelbeträge!$C:$C,'Ausgaben 2028'!$C161,Einzelbeträge!$E:$E,'Ausgaben 2028'!E$6)</f>
        <v>0</v>
      </c>
      <c r="F161" s="21">
        <f>SUMIFS(Einzelbeträge!$D:$D,Einzelbeträge!$C:$C,'Ausgaben 2028'!$C161,Einzelbeträge!$E:$E,'Ausgaben 2028'!F$6)</f>
        <v>0</v>
      </c>
      <c r="G161" s="21">
        <f>SUMIFS(Einzelbeträge!$D:$D,Einzelbeträge!$C:$C,'Ausgaben 2028'!$C161,Einzelbeträge!$E:$E,'Ausgaben 2028'!G$6)</f>
        <v>0</v>
      </c>
      <c r="H161" s="21">
        <f>SUMIFS(Einzelbeträge!$D:$D,Einzelbeträge!$C:$C,'Ausgaben 2028'!$C161,Einzelbeträge!$E:$E,'Ausgaben 2028'!H$6)</f>
        <v>0</v>
      </c>
      <c r="I161" s="21">
        <f>SUMIFS(Einzelbeträge!$D:$D,Einzelbeträge!$C:$C,'Ausgaben 2028'!$C161,Einzelbeträge!$E:$E,'Ausgaben 2028'!I$6)</f>
        <v>0</v>
      </c>
      <c r="J161" s="21">
        <f>SUMIFS(Einzelbeträge!$D:$D,Einzelbeträge!$C:$C,'Ausgaben 2028'!$C161,Einzelbeträge!$E:$E,'Ausgaben 2028'!J$6)</f>
        <v>0</v>
      </c>
      <c r="K161" s="21">
        <f>SUMIFS(Einzelbeträge!$D:$D,Einzelbeträge!$C:$C,'Ausgaben 2028'!$C161,Einzelbeträge!$E:$E,'Ausgaben 2028'!K$6)</f>
        <v>0</v>
      </c>
      <c r="L161" s="21">
        <f>SUMIFS(Einzelbeträge!$D:$D,Einzelbeträge!$C:$C,'Ausgaben 2028'!$C161,Einzelbeträge!$E:$E,'Ausgaben 2028'!L$6)</f>
        <v>0</v>
      </c>
      <c r="M161" s="21">
        <f>SUMIFS(Einzelbeträge!$D:$D,Einzelbeträge!$C:$C,'Ausgaben 2028'!$C161,Einzelbeträge!$E:$E,'Ausgaben 2028'!M$6)</f>
        <v>0</v>
      </c>
      <c r="N161" s="35">
        <f>SUMIFS(Einzelbeträge!$D:$D,Einzelbeträge!$C:$C,'Ausgaben 2028'!$C161,Einzelbeträge!$E:$E,'Ausgaben 2028'!N$6)</f>
        <v>0</v>
      </c>
      <c r="O161" s="6"/>
    </row>
    <row r="162" spans="2:15" x14ac:dyDescent="0.35">
      <c r="B162" s="5"/>
      <c r="C162" s="40">
        <f t="shared" si="20"/>
        <v>46896</v>
      </c>
      <c r="D162" s="46">
        <f>SUMIFS(Einzelbeträge!$D:$D,Einzelbeträge!$C:$C,'Ausgaben 2028'!$C162)</f>
        <v>0</v>
      </c>
      <c r="E162" s="21">
        <f>SUMIFS(Einzelbeträge!$D:$D,Einzelbeträge!$C:$C,'Ausgaben 2028'!$C162,Einzelbeträge!$E:$E,'Ausgaben 2028'!E$6)</f>
        <v>0</v>
      </c>
      <c r="F162" s="21">
        <f>SUMIFS(Einzelbeträge!$D:$D,Einzelbeträge!$C:$C,'Ausgaben 2028'!$C162,Einzelbeträge!$E:$E,'Ausgaben 2028'!F$6)</f>
        <v>0</v>
      </c>
      <c r="G162" s="21">
        <f>SUMIFS(Einzelbeträge!$D:$D,Einzelbeträge!$C:$C,'Ausgaben 2028'!$C162,Einzelbeträge!$E:$E,'Ausgaben 2028'!G$6)</f>
        <v>0</v>
      </c>
      <c r="H162" s="21">
        <f>SUMIFS(Einzelbeträge!$D:$D,Einzelbeträge!$C:$C,'Ausgaben 2028'!$C162,Einzelbeträge!$E:$E,'Ausgaben 2028'!H$6)</f>
        <v>0</v>
      </c>
      <c r="I162" s="21">
        <f>SUMIFS(Einzelbeträge!$D:$D,Einzelbeträge!$C:$C,'Ausgaben 2028'!$C162,Einzelbeträge!$E:$E,'Ausgaben 2028'!I$6)</f>
        <v>0</v>
      </c>
      <c r="J162" s="21">
        <f>SUMIFS(Einzelbeträge!$D:$D,Einzelbeträge!$C:$C,'Ausgaben 2028'!$C162,Einzelbeträge!$E:$E,'Ausgaben 2028'!J$6)</f>
        <v>0</v>
      </c>
      <c r="K162" s="21">
        <f>SUMIFS(Einzelbeträge!$D:$D,Einzelbeträge!$C:$C,'Ausgaben 2028'!$C162,Einzelbeträge!$E:$E,'Ausgaben 2028'!K$6)</f>
        <v>0</v>
      </c>
      <c r="L162" s="21">
        <f>SUMIFS(Einzelbeträge!$D:$D,Einzelbeträge!$C:$C,'Ausgaben 2028'!$C162,Einzelbeträge!$E:$E,'Ausgaben 2028'!L$6)</f>
        <v>0</v>
      </c>
      <c r="M162" s="21">
        <f>SUMIFS(Einzelbeträge!$D:$D,Einzelbeträge!$C:$C,'Ausgaben 2028'!$C162,Einzelbeträge!$E:$E,'Ausgaben 2028'!M$6)</f>
        <v>0</v>
      </c>
      <c r="N162" s="35">
        <f>SUMIFS(Einzelbeträge!$D:$D,Einzelbeträge!$C:$C,'Ausgaben 2028'!$C162,Einzelbeträge!$E:$E,'Ausgaben 2028'!N$6)</f>
        <v>0</v>
      </c>
      <c r="O162" s="6"/>
    </row>
    <row r="163" spans="2:15" x14ac:dyDescent="0.35">
      <c r="B163" s="5"/>
      <c r="C163" s="40">
        <f t="shared" si="20"/>
        <v>46897</v>
      </c>
      <c r="D163" s="46">
        <f>SUMIFS(Einzelbeträge!$D:$D,Einzelbeträge!$C:$C,'Ausgaben 2028'!$C163)</f>
        <v>0</v>
      </c>
      <c r="E163" s="21">
        <f>SUMIFS(Einzelbeträge!$D:$D,Einzelbeträge!$C:$C,'Ausgaben 2028'!$C163,Einzelbeträge!$E:$E,'Ausgaben 2028'!E$6)</f>
        <v>0</v>
      </c>
      <c r="F163" s="21">
        <f>SUMIFS(Einzelbeträge!$D:$D,Einzelbeträge!$C:$C,'Ausgaben 2028'!$C163,Einzelbeträge!$E:$E,'Ausgaben 2028'!F$6)</f>
        <v>0</v>
      </c>
      <c r="G163" s="21">
        <f>SUMIFS(Einzelbeträge!$D:$D,Einzelbeträge!$C:$C,'Ausgaben 2028'!$C163,Einzelbeträge!$E:$E,'Ausgaben 2028'!G$6)</f>
        <v>0</v>
      </c>
      <c r="H163" s="21">
        <f>SUMIFS(Einzelbeträge!$D:$D,Einzelbeträge!$C:$C,'Ausgaben 2028'!$C163,Einzelbeträge!$E:$E,'Ausgaben 2028'!H$6)</f>
        <v>0</v>
      </c>
      <c r="I163" s="21">
        <f>SUMIFS(Einzelbeträge!$D:$D,Einzelbeträge!$C:$C,'Ausgaben 2028'!$C163,Einzelbeträge!$E:$E,'Ausgaben 2028'!I$6)</f>
        <v>0</v>
      </c>
      <c r="J163" s="21">
        <f>SUMIFS(Einzelbeträge!$D:$D,Einzelbeträge!$C:$C,'Ausgaben 2028'!$C163,Einzelbeträge!$E:$E,'Ausgaben 2028'!J$6)</f>
        <v>0</v>
      </c>
      <c r="K163" s="21">
        <f>SUMIFS(Einzelbeträge!$D:$D,Einzelbeträge!$C:$C,'Ausgaben 2028'!$C163,Einzelbeträge!$E:$E,'Ausgaben 2028'!K$6)</f>
        <v>0</v>
      </c>
      <c r="L163" s="21">
        <f>SUMIFS(Einzelbeträge!$D:$D,Einzelbeträge!$C:$C,'Ausgaben 2028'!$C163,Einzelbeträge!$E:$E,'Ausgaben 2028'!L$6)</f>
        <v>0</v>
      </c>
      <c r="M163" s="21">
        <f>SUMIFS(Einzelbeträge!$D:$D,Einzelbeträge!$C:$C,'Ausgaben 2028'!$C163,Einzelbeträge!$E:$E,'Ausgaben 2028'!M$6)</f>
        <v>0</v>
      </c>
      <c r="N163" s="35">
        <f>SUMIFS(Einzelbeträge!$D:$D,Einzelbeträge!$C:$C,'Ausgaben 2028'!$C163,Einzelbeträge!$E:$E,'Ausgaben 2028'!N$6)</f>
        <v>0</v>
      </c>
      <c r="O163" s="6"/>
    </row>
    <row r="164" spans="2:15" x14ac:dyDescent="0.35">
      <c r="B164" s="5"/>
      <c r="C164" s="40">
        <f t="shared" si="20"/>
        <v>46898</v>
      </c>
      <c r="D164" s="46">
        <f>SUMIFS(Einzelbeträge!$D:$D,Einzelbeträge!$C:$C,'Ausgaben 2028'!$C164)</f>
        <v>0</v>
      </c>
      <c r="E164" s="21">
        <f>SUMIFS(Einzelbeträge!$D:$D,Einzelbeträge!$C:$C,'Ausgaben 2028'!$C164,Einzelbeträge!$E:$E,'Ausgaben 2028'!E$6)</f>
        <v>0</v>
      </c>
      <c r="F164" s="21">
        <f>SUMIFS(Einzelbeträge!$D:$D,Einzelbeträge!$C:$C,'Ausgaben 2028'!$C164,Einzelbeträge!$E:$E,'Ausgaben 2028'!F$6)</f>
        <v>0</v>
      </c>
      <c r="G164" s="21">
        <f>SUMIFS(Einzelbeträge!$D:$D,Einzelbeträge!$C:$C,'Ausgaben 2028'!$C164,Einzelbeträge!$E:$E,'Ausgaben 2028'!G$6)</f>
        <v>0</v>
      </c>
      <c r="H164" s="21">
        <f>SUMIFS(Einzelbeträge!$D:$D,Einzelbeträge!$C:$C,'Ausgaben 2028'!$C164,Einzelbeträge!$E:$E,'Ausgaben 2028'!H$6)</f>
        <v>0</v>
      </c>
      <c r="I164" s="21">
        <f>SUMIFS(Einzelbeträge!$D:$D,Einzelbeträge!$C:$C,'Ausgaben 2028'!$C164,Einzelbeträge!$E:$E,'Ausgaben 2028'!I$6)</f>
        <v>0</v>
      </c>
      <c r="J164" s="21">
        <f>SUMIFS(Einzelbeträge!$D:$D,Einzelbeträge!$C:$C,'Ausgaben 2028'!$C164,Einzelbeträge!$E:$E,'Ausgaben 2028'!J$6)</f>
        <v>0</v>
      </c>
      <c r="K164" s="21">
        <f>SUMIFS(Einzelbeträge!$D:$D,Einzelbeträge!$C:$C,'Ausgaben 2028'!$C164,Einzelbeträge!$E:$E,'Ausgaben 2028'!K$6)</f>
        <v>0</v>
      </c>
      <c r="L164" s="21">
        <f>SUMIFS(Einzelbeträge!$D:$D,Einzelbeträge!$C:$C,'Ausgaben 2028'!$C164,Einzelbeträge!$E:$E,'Ausgaben 2028'!L$6)</f>
        <v>0</v>
      </c>
      <c r="M164" s="21">
        <f>SUMIFS(Einzelbeträge!$D:$D,Einzelbeträge!$C:$C,'Ausgaben 2028'!$C164,Einzelbeträge!$E:$E,'Ausgaben 2028'!M$6)</f>
        <v>0</v>
      </c>
      <c r="N164" s="35">
        <f>SUMIFS(Einzelbeträge!$D:$D,Einzelbeträge!$C:$C,'Ausgaben 2028'!$C164,Einzelbeträge!$E:$E,'Ausgaben 2028'!N$6)</f>
        <v>0</v>
      </c>
      <c r="O164" s="6"/>
    </row>
    <row r="165" spans="2:15" x14ac:dyDescent="0.35">
      <c r="B165" s="5"/>
      <c r="C165" s="40">
        <f t="shared" si="20"/>
        <v>46899</v>
      </c>
      <c r="D165" s="46">
        <f>SUMIFS(Einzelbeträge!$D:$D,Einzelbeträge!$C:$C,'Ausgaben 2028'!$C165)</f>
        <v>0</v>
      </c>
      <c r="E165" s="21">
        <f>SUMIFS(Einzelbeträge!$D:$D,Einzelbeträge!$C:$C,'Ausgaben 2028'!$C165,Einzelbeträge!$E:$E,'Ausgaben 2028'!E$6)</f>
        <v>0</v>
      </c>
      <c r="F165" s="21">
        <f>SUMIFS(Einzelbeträge!$D:$D,Einzelbeträge!$C:$C,'Ausgaben 2028'!$C165,Einzelbeträge!$E:$E,'Ausgaben 2028'!F$6)</f>
        <v>0</v>
      </c>
      <c r="G165" s="21">
        <f>SUMIFS(Einzelbeträge!$D:$D,Einzelbeträge!$C:$C,'Ausgaben 2028'!$C165,Einzelbeträge!$E:$E,'Ausgaben 2028'!G$6)</f>
        <v>0</v>
      </c>
      <c r="H165" s="21">
        <f>SUMIFS(Einzelbeträge!$D:$D,Einzelbeträge!$C:$C,'Ausgaben 2028'!$C165,Einzelbeträge!$E:$E,'Ausgaben 2028'!H$6)</f>
        <v>0</v>
      </c>
      <c r="I165" s="21">
        <f>SUMIFS(Einzelbeträge!$D:$D,Einzelbeträge!$C:$C,'Ausgaben 2028'!$C165,Einzelbeträge!$E:$E,'Ausgaben 2028'!I$6)</f>
        <v>0</v>
      </c>
      <c r="J165" s="21">
        <f>SUMIFS(Einzelbeträge!$D:$D,Einzelbeträge!$C:$C,'Ausgaben 2028'!$C165,Einzelbeträge!$E:$E,'Ausgaben 2028'!J$6)</f>
        <v>0</v>
      </c>
      <c r="K165" s="21">
        <f>SUMIFS(Einzelbeträge!$D:$D,Einzelbeträge!$C:$C,'Ausgaben 2028'!$C165,Einzelbeträge!$E:$E,'Ausgaben 2028'!K$6)</f>
        <v>0</v>
      </c>
      <c r="L165" s="21">
        <f>SUMIFS(Einzelbeträge!$D:$D,Einzelbeträge!$C:$C,'Ausgaben 2028'!$C165,Einzelbeträge!$E:$E,'Ausgaben 2028'!L$6)</f>
        <v>0</v>
      </c>
      <c r="M165" s="21">
        <f>SUMIFS(Einzelbeträge!$D:$D,Einzelbeträge!$C:$C,'Ausgaben 2028'!$C165,Einzelbeträge!$E:$E,'Ausgaben 2028'!M$6)</f>
        <v>0</v>
      </c>
      <c r="N165" s="35">
        <f>SUMIFS(Einzelbeträge!$D:$D,Einzelbeträge!$C:$C,'Ausgaben 2028'!$C165,Einzelbeträge!$E:$E,'Ausgaben 2028'!N$6)</f>
        <v>0</v>
      </c>
      <c r="O165" s="6"/>
    </row>
    <row r="166" spans="2:15" x14ac:dyDescent="0.35">
      <c r="B166" s="5"/>
      <c r="C166" s="40">
        <f t="shared" si="20"/>
        <v>46900</v>
      </c>
      <c r="D166" s="46">
        <f>SUMIFS(Einzelbeträge!$D:$D,Einzelbeträge!$C:$C,'Ausgaben 2028'!$C166)</f>
        <v>0</v>
      </c>
      <c r="E166" s="21">
        <f>SUMIFS(Einzelbeträge!$D:$D,Einzelbeträge!$C:$C,'Ausgaben 2028'!$C166,Einzelbeträge!$E:$E,'Ausgaben 2028'!E$6)</f>
        <v>0</v>
      </c>
      <c r="F166" s="21">
        <f>SUMIFS(Einzelbeträge!$D:$D,Einzelbeträge!$C:$C,'Ausgaben 2028'!$C166,Einzelbeträge!$E:$E,'Ausgaben 2028'!F$6)</f>
        <v>0</v>
      </c>
      <c r="G166" s="21">
        <f>SUMIFS(Einzelbeträge!$D:$D,Einzelbeträge!$C:$C,'Ausgaben 2028'!$C166,Einzelbeträge!$E:$E,'Ausgaben 2028'!G$6)</f>
        <v>0</v>
      </c>
      <c r="H166" s="21">
        <f>SUMIFS(Einzelbeträge!$D:$D,Einzelbeträge!$C:$C,'Ausgaben 2028'!$C166,Einzelbeträge!$E:$E,'Ausgaben 2028'!H$6)</f>
        <v>0</v>
      </c>
      <c r="I166" s="21">
        <f>SUMIFS(Einzelbeträge!$D:$D,Einzelbeträge!$C:$C,'Ausgaben 2028'!$C166,Einzelbeträge!$E:$E,'Ausgaben 2028'!I$6)</f>
        <v>0</v>
      </c>
      <c r="J166" s="21">
        <f>SUMIFS(Einzelbeträge!$D:$D,Einzelbeträge!$C:$C,'Ausgaben 2028'!$C166,Einzelbeträge!$E:$E,'Ausgaben 2028'!J$6)</f>
        <v>0</v>
      </c>
      <c r="K166" s="21">
        <f>SUMIFS(Einzelbeträge!$D:$D,Einzelbeträge!$C:$C,'Ausgaben 2028'!$C166,Einzelbeträge!$E:$E,'Ausgaben 2028'!K$6)</f>
        <v>0</v>
      </c>
      <c r="L166" s="21">
        <f>SUMIFS(Einzelbeträge!$D:$D,Einzelbeträge!$C:$C,'Ausgaben 2028'!$C166,Einzelbeträge!$E:$E,'Ausgaben 2028'!L$6)</f>
        <v>0</v>
      </c>
      <c r="M166" s="21">
        <f>SUMIFS(Einzelbeträge!$D:$D,Einzelbeträge!$C:$C,'Ausgaben 2028'!$C166,Einzelbeträge!$E:$E,'Ausgaben 2028'!M$6)</f>
        <v>0</v>
      </c>
      <c r="N166" s="35">
        <f>SUMIFS(Einzelbeträge!$D:$D,Einzelbeträge!$C:$C,'Ausgaben 2028'!$C166,Einzelbeträge!$E:$E,'Ausgaben 2028'!N$6)</f>
        <v>0</v>
      </c>
      <c r="O166" s="6"/>
    </row>
    <row r="167" spans="2:15" x14ac:dyDescent="0.35">
      <c r="B167" s="5"/>
      <c r="C167" s="40">
        <f t="shared" si="20"/>
        <v>46901</v>
      </c>
      <c r="D167" s="46">
        <f>SUMIFS(Einzelbeträge!$D:$D,Einzelbeträge!$C:$C,'Ausgaben 2028'!$C167)</f>
        <v>0</v>
      </c>
      <c r="E167" s="21">
        <f>SUMIFS(Einzelbeträge!$D:$D,Einzelbeträge!$C:$C,'Ausgaben 2028'!$C167,Einzelbeträge!$E:$E,'Ausgaben 2028'!E$6)</f>
        <v>0</v>
      </c>
      <c r="F167" s="21">
        <f>SUMIFS(Einzelbeträge!$D:$D,Einzelbeträge!$C:$C,'Ausgaben 2028'!$C167,Einzelbeträge!$E:$E,'Ausgaben 2028'!F$6)</f>
        <v>0</v>
      </c>
      <c r="G167" s="21">
        <f>SUMIFS(Einzelbeträge!$D:$D,Einzelbeträge!$C:$C,'Ausgaben 2028'!$C167,Einzelbeträge!$E:$E,'Ausgaben 2028'!G$6)</f>
        <v>0</v>
      </c>
      <c r="H167" s="21">
        <f>SUMIFS(Einzelbeträge!$D:$D,Einzelbeträge!$C:$C,'Ausgaben 2028'!$C167,Einzelbeträge!$E:$E,'Ausgaben 2028'!H$6)</f>
        <v>0</v>
      </c>
      <c r="I167" s="21">
        <f>SUMIFS(Einzelbeträge!$D:$D,Einzelbeträge!$C:$C,'Ausgaben 2028'!$C167,Einzelbeträge!$E:$E,'Ausgaben 2028'!I$6)</f>
        <v>0</v>
      </c>
      <c r="J167" s="21">
        <f>SUMIFS(Einzelbeträge!$D:$D,Einzelbeträge!$C:$C,'Ausgaben 2028'!$C167,Einzelbeträge!$E:$E,'Ausgaben 2028'!J$6)</f>
        <v>0</v>
      </c>
      <c r="K167" s="21">
        <f>SUMIFS(Einzelbeträge!$D:$D,Einzelbeträge!$C:$C,'Ausgaben 2028'!$C167,Einzelbeträge!$E:$E,'Ausgaben 2028'!K$6)</f>
        <v>0</v>
      </c>
      <c r="L167" s="21">
        <f>SUMIFS(Einzelbeträge!$D:$D,Einzelbeträge!$C:$C,'Ausgaben 2028'!$C167,Einzelbeträge!$E:$E,'Ausgaben 2028'!L$6)</f>
        <v>0</v>
      </c>
      <c r="M167" s="21">
        <f>SUMIFS(Einzelbeträge!$D:$D,Einzelbeträge!$C:$C,'Ausgaben 2028'!$C167,Einzelbeträge!$E:$E,'Ausgaben 2028'!M$6)</f>
        <v>0</v>
      </c>
      <c r="N167" s="35">
        <f>SUMIFS(Einzelbeträge!$D:$D,Einzelbeträge!$C:$C,'Ausgaben 2028'!$C167,Einzelbeträge!$E:$E,'Ausgaben 2028'!N$6)</f>
        <v>0</v>
      </c>
      <c r="O167" s="6"/>
    </row>
    <row r="168" spans="2:15" x14ac:dyDescent="0.35">
      <c r="B168" s="5"/>
      <c r="C168" s="40">
        <f t="shared" si="20"/>
        <v>46902</v>
      </c>
      <c r="D168" s="46">
        <f>SUMIFS(Einzelbeträge!$D:$D,Einzelbeträge!$C:$C,'Ausgaben 2028'!$C168)</f>
        <v>0</v>
      </c>
      <c r="E168" s="21">
        <f>SUMIFS(Einzelbeträge!$D:$D,Einzelbeträge!$C:$C,'Ausgaben 2028'!$C168,Einzelbeträge!$E:$E,'Ausgaben 2028'!E$6)</f>
        <v>0</v>
      </c>
      <c r="F168" s="21">
        <f>SUMIFS(Einzelbeträge!$D:$D,Einzelbeträge!$C:$C,'Ausgaben 2028'!$C168,Einzelbeträge!$E:$E,'Ausgaben 2028'!F$6)</f>
        <v>0</v>
      </c>
      <c r="G168" s="21">
        <f>SUMIFS(Einzelbeträge!$D:$D,Einzelbeträge!$C:$C,'Ausgaben 2028'!$C168,Einzelbeträge!$E:$E,'Ausgaben 2028'!G$6)</f>
        <v>0</v>
      </c>
      <c r="H168" s="21">
        <f>SUMIFS(Einzelbeträge!$D:$D,Einzelbeträge!$C:$C,'Ausgaben 2028'!$C168,Einzelbeträge!$E:$E,'Ausgaben 2028'!H$6)</f>
        <v>0</v>
      </c>
      <c r="I168" s="21">
        <f>SUMIFS(Einzelbeträge!$D:$D,Einzelbeträge!$C:$C,'Ausgaben 2028'!$C168,Einzelbeträge!$E:$E,'Ausgaben 2028'!I$6)</f>
        <v>0</v>
      </c>
      <c r="J168" s="21">
        <f>SUMIFS(Einzelbeträge!$D:$D,Einzelbeträge!$C:$C,'Ausgaben 2028'!$C168,Einzelbeträge!$E:$E,'Ausgaben 2028'!J$6)</f>
        <v>0</v>
      </c>
      <c r="K168" s="21">
        <f>SUMIFS(Einzelbeträge!$D:$D,Einzelbeträge!$C:$C,'Ausgaben 2028'!$C168,Einzelbeträge!$E:$E,'Ausgaben 2028'!K$6)</f>
        <v>0</v>
      </c>
      <c r="L168" s="21">
        <f>SUMIFS(Einzelbeträge!$D:$D,Einzelbeträge!$C:$C,'Ausgaben 2028'!$C168,Einzelbeträge!$E:$E,'Ausgaben 2028'!L$6)</f>
        <v>0</v>
      </c>
      <c r="M168" s="21">
        <f>SUMIFS(Einzelbeträge!$D:$D,Einzelbeträge!$C:$C,'Ausgaben 2028'!$C168,Einzelbeträge!$E:$E,'Ausgaben 2028'!M$6)</f>
        <v>0</v>
      </c>
      <c r="N168" s="35">
        <f>SUMIFS(Einzelbeträge!$D:$D,Einzelbeträge!$C:$C,'Ausgaben 2028'!$C168,Einzelbeträge!$E:$E,'Ausgaben 2028'!N$6)</f>
        <v>0</v>
      </c>
      <c r="O168" s="6"/>
    </row>
    <row r="169" spans="2:15" x14ac:dyDescent="0.35">
      <c r="B169" s="5"/>
      <c r="C169" s="40">
        <f t="shared" si="20"/>
        <v>46903</v>
      </c>
      <c r="D169" s="46">
        <f>SUMIFS(Einzelbeträge!$D:$D,Einzelbeträge!$C:$C,'Ausgaben 2028'!$C169)</f>
        <v>0</v>
      </c>
      <c r="E169" s="21">
        <f>SUMIFS(Einzelbeträge!$D:$D,Einzelbeträge!$C:$C,'Ausgaben 2028'!$C169,Einzelbeträge!$E:$E,'Ausgaben 2028'!E$6)</f>
        <v>0</v>
      </c>
      <c r="F169" s="21">
        <f>SUMIFS(Einzelbeträge!$D:$D,Einzelbeträge!$C:$C,'Ausgaben 2028'!$C169,Einzelbeträge!$E:$E,'Ausgaben 2028'!F$6)</f>
        <v>0</v>
      </c>
      <c r="G169" s="21">
        <f>SUMIFS(Einzelbeträge!$D:$D,Einzelbeträge!$C:$C,'Ausgaben 2028'!$C169,Einzelbeträge!$E:$E,'Ausgaben 2028'!G$6)</f>
        <v>0</v>
      </c>
      <c r="H169" s="21">
        <f>SUMIFS(Einzelbeträge!$D:$D,Einzelbeträge!$C:$C,'Ausgaben 2028'!$C169,Einzelbeträge!$E:$E,'Ausgaben 2028'!H$6)</f>
        <v>0</v>
      </c>
      <c r="I169" s="21">
        <f>SUMIFS(Einzelbeträge!$D:$D,Einzelbeträge!$C:$C,'Ausgaben 2028'!$C169,Einzelbeträge!$E:$E,'Ausgaben 2028'!I$6)</f>
        <v>0</v>
      </c>
      <c r="J169" s="21">
        <f>SUMIFS(Einzelbeträge!$D:$D,Einzelbeträge!$C:$C,'Ausgaben 2028'!$C169,Einzelbeträge!$E:$E,'Ausgaben 2028'!J$6)</f>
        <v>0</v>
      </c>
      <c r="K169" s="21">
        <f>SUMIFS(Einzelbeträge!$D:$D,Einzelbeträge!$C:$C,'Ausgaben 2028'!$C169,Einzelbeträge!$E:$E,'Ausgaben 2028'!K$6)</f>
        <v>0</v>
      </c>
      <c r="L169" s="21">
        <f>SUMIFS(Einzelbeträge!$D:$D,Einzelbeträge!$C:$C,'Ausgaben 2028'!$C169,Einzelbeträge!$E:$E,'Ausgaben 2028'!L$6)</f>
        <v>0</v>
      </c>
      <c r="M169" s="21">
        <f>SUMIFS(Einzelbeträge!$D:$D,Einzelbeträge!$C:$C,'Ausgaben 2028'!$C169,Einzelbeträge!$E:$E,'Ausgaben 2028'!M$6)</f>
        <v>0</v>
      </c>
      <c r="N169" s="35">
        <f>SUMIFS(Einzelbeträge!$D:$D,Einzelbeträge!$C:$C,'Ausgaben 2028'!$C169,Einzelbeträge!$E:$E,'Ausgaben 2028'!N$6)</f>
        <v>0</v>
      </c>
      <c r="O169" s="6"/>
    </row>
    <row r="170" spans="2:15" x14ac:dyDescent="0.35">
      <c r="B170" s="5"/>
      <c r="C170" s="31">
        <f t="shared" si="20"/>
        <v>46904</v>
      </c>
      <c r="D170" s="47">
        <f>SUMIFS(Einzelbeträge!$D:$D,Einzelbeträge!$C:$C,'Ausgaben 2028'!$C170)</f>
        <v>0</v>
      </c>
      <c r="E170" s="37">
        <f>SUMIFS(Einzelbeträge!$D:$D,Einzelbeträge!$C:$C,'Ausgaben 2028'!$C170,Einzelbeträge!$E:$E,'Ausgaben 2028'!E$6)</f>
        <v>0</v>
      </c>
      <c r="F170" s="37">
        <f>SUMIFS(Einzelbeträge!$D:$D,Einzelbeträge!$C:$C,'Ausgaben 2028'!$C170,Einzelbeträge!$E:$E,'Ausgaben 2028'!F$6)</f>
        <v>0</v>
      </c>
      <c r="G170" s="37">
        <f>SUMIFS(Einzelbeträge!$D:$D,Einzelbeträge!$C:$C,'Ausgaben 2028'!$C170,Einzelbeträge!$E:$E,'Ausgaben 2028'!G$6)</f>
        <v>0</v>
      </c>
      <c r="H170" s="37">
        <f>SUMIFS(Einzelbeträge!$D:$D,Einzelbeträge!$C:$C,'Ausgaben 2028'!$C170,Einzelbeträge!$E:$E,'Ausgaben 2028'!H$6)</f>
        <v>0</v>
      </c>
      <c r="I170" s="37">
        <f>SUMIFS(Einzelbeträge!$D:$D,Einzelbeträge!$C:$C,'Ausgaben 2028'!$C170,Einzelbeträge!$E:$E,'Ausgaben 2028'!I$6)</f>
        <v>0</v>
      </c>
      <c r="J170" s="37">
        <f>SUMIFS(Einzelbeträge!$D:$D,Einzelbeträge!$C:$C,'Ausgaben 2028'!$C170,Einzelbeträge!$E:$E,'Ausgaben 2028'!J$6)</f>
        <v>0</v>
      </c>
      <c r="K170" s="37">
        <f>SUMIFS(Einzelbeträge!$D:$D,Einzelbeträge!$C:$C,'Ausgaben 2028'!$C170,Einzelbeträge!$E:$E,'Ausgaben 2028'!K$6)</f>
        <v>0</v>
      </c>
      <c r="L170" s="37">
        <f>SUMIFS(Einzelbeträge!$D:$D,Einzelbeträge!$C:$C,'Ausgaben 2028'!$C170,Einzelbeträge!$E:$E,'Ausgaben 2028'!L$6)</f>
        <v>0</v>
      </c>
      <c r="M170" s="37">
        <f>SUMIFS(Einzelbeträge!$D:$D,Einzelbeträge!$C:$C,'Ausgaben 2028'!$C170,Einzelbeträge!$E:$E,'Ausgaben 2028'!M$6)</f>
        <v>0</v>
      </c>
      <c r="N170" s="38">
        <f>SUMIFS(Einzelbeträge!$D:$D,Einzelbeträge!$C:$C,'Ausgaben 2028'!$C170,Einzelbeträge!$E:$E,'Ausgaben 2028'!N$6)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46905</v>
      </c>
      <c r="D174" s="45">
        <f>SUMIFS(Einzelbeträge!$D:$D,Einzelbeträge!$C:$C,'Ausgaben 2028'!$C174)</f>
        <v>0</v>
      </c>
      <c r="E174" s="32">
        <f>SUMIFS(Einzelbeträge!$D:$D,Einzelbeträge!$C:$C,'Ausgaben 2028'!$C174,Einzelbeträge!$E:$E,'Ausgaben 2028'!E$6)</f>
        <v>0</v>
      </c>
      <c r="F174" s="32">
        <f>SUMIFS(Einzelbeträge!$D:$D,Einzelbeträge!$C:$C,'Ausgaben 2028'!$C174,Einzelbeträge!$E:$E,'Ausgaben 2028'!F$6)</f>
        <v>0</v>
      </c>
      <c r="G174" s="32">
        <f>SUMIFS(Einzelbeträge!$D:$D,Einzelbeträge!$C:$C,'Ausgaben 2028'!$C174,Einzelbeträge!$E:$E,'Ausgaben 2028'!G$6)</f>
        <v>0</v>
      </c>
      <c r="H174" s="32">
        <f>SUMIFS(Einzelbeträge!$D:$D,Einzelbeträge!$C:$C,'Ausgaben 2028'!$C174,Einzelbeträge!$E:$E,'Ausgaben 2028'!H$6)</f>
        <v>0</v>
      </c>
      <c r="I174" s="32">
        <f>SUMIFS(Einzelbeträge!$D:$D,Einzelbeträge!$C:$C,'Ausgaben 2028'!$C174,Einzelbeträge!$E:$E,'Ausgaben 2028'!I$6)</f>
        <v>0</v>
      </c>
      <c r="J174" s="32">
        <f>SUMIFS(Einzelbeträge!$D:$D,Einzelbeträge!$C:$C,'Ausgaben 2028'!$C174,Einzelbeträge!$E:$E,'Ausgaben 2028'!J$6)</f>
        <v>0</v>
      </c>
      <c r="K174" s="32">
        <f>SUMIFS(Einzelbeträge!$D:$D,Einzelbeträge!$C:$C,'Ausgaben 2028'!$C174,Einzelbeträge!$E:$E,'Ausgaben 2028'!K$6)</f>
        <v>0</v>
      </c>
      <c r="L174" s="32">
        <f>SUMIFS(Einzelbeträge!$D:$D,Einzelbeträge!$C:$C,'Ausgaben 2028'!$C174,Einzelbeträge!$E:$E,'Ausgaben 2028'!L$6)</f>
        <v>0</v>
      </c>
      <c r="M174" s="32">
        <f>SUMIFS(Einzelbeträge!$D:$D,Einzelbeträge!$C:$C,'Ausgaben 2028'!$C174,Einzelbeträge!$E:$E,'Ausgaben 2028'!M$6)</f>
        <v>0</v>
      </c>
      <c r="N174" s="33">
        <f>SUMIFS(Einzelbeträge!$D:$D,Einzelbeträge!$C:$C,'Ausgaben 2028'!$C174,Einzelbeträge!$E:$E,'Ausgaben 2028'!N$6)</f>
        <v>0</v>
      </c>
      <c r="O174" s="6"/>
    </row>
    <row r="175" spans="2:15" x14ac:dyDescent="0.35">
      <c r="B175" s="5"/>
      <c r="C175" s="30">
        <f>C174+1</f>
        <v>46906</v>
      </c>
      <c r="D175" s="46">
        <f>SUMIFS(Einzelbeträge!$D:$D,Einzelbeträge!$C:$C,'Ausgaben 2028'!$C175)</f>
        <v>0</v>
      </c>
      <c r="E175" s="21">
        <f>SUMIFS(Einzelbeträge!$D:$D,Einzelbeträge!$C:$C,'Ausgaben 2028'!$C175,Einzelbeträge!$E:$E,'Ausgaben 2028'!E$6)</f>
        <v>0</v>
      </c>
      <c r="F175" s="21">
        <f>SUMIFS(Einzelbeträge!$D:$D,Einzelbeträge!$C:$C,'Ausgaben 2028'!$C175,Einzelbeträge!$E:$E,'Ausgaben 2028'!F$6)</f>
        <v>0</v>
      </c>
      <c r="G175" s="21">
        <f>SUMIFS(Einzelbeträge!$D:$D,Einzelbeträge!$C:$C,'Ausgaben 2028'!$C175,Einzelbeträge!$E:$E,'Ausgaben 2028'!G$6)</f>
        <v>0</v>
      </c>
      <c r="H175" s="21">
        <f>SUMIFS(Einzelbeträge!$D:$D,Einzelbeträge!$C:$C,'Ausgaben 2028'!$C175,Einzelbeträge!$E:$E,'Ausgaben 2028'!H$6)</f>
        <v>0</v>
      </c>
      <c r="I175" s="21">
        <f>SUMIFS(Einzelbeträge!$D:$D,Einzelbeträge!$C:$C,'Ausgaben 2028'!$C175,Einzelbeträge!$E:$E,'Ausgaben 2028'!I$6)</f>
        <v>0</v>
      </c>
      <c r="J175" s="21">
        <f>SUMIFS(Einzelbeträge!$D:$D,Einzelbeträge!$C:$C,'Ausgaben 2028'!$C175,Einzelbeträge!$E:$E,'Ausgaben 2028'!J$6)</f>
        <v>0</v>
      </c>
      <c r="K175" s="21">
        <f>SUMIFS(Einzelbeträge!$D:$D,Einzelbeträge!$C:$C,'Ausgaben 2028'!$C175,Einzelbeträge!$E:$E,'Ausgaben 2028'!K$6)</f>
        <v>0</v>
      </c>
      <c r="L175" s="21">
        <f>SUMIFS(Einzelbeträge!$D:$D,Einzelbeträge!$C:$C,'Ausgaben 2028'!$C175,Einzelbeträge!$E:$E,'Ausgaben 2028'!L$6)</f>
        <v>0</v>
      </c>
      <c r="M175" s="21">
        <f>SUMIFS(Einzelbeträge!$D:$D,Einzelbeträge!$C:$C,'Ausgaben 2028'!$C175,Einzelbeträge!$E:$E,'Ausgaben 2028'!M$6)</f>
        <v>0</v>
      </c>
      <c r="N175" s="35">
        <f>SUMIFS(Einzelbeträge!$D:$D,Einzelbeträge!$C:$C,'Ausgaben 2028'!$C175,Einzelbeträge!$E:$E,'Ausgaben 2028'!N$6)</f>
        <v>0</v>
      </c>
      <c r="O175" s="6"/>
    </row>
    <row r="176" spans="2:15" x14ac:dyDescent="0.35">
      <c r="B176" s="5"/>
      <c r="C176" s="30">
        <f t="shared" ref="C176:C203" si="21">C175+1</f>
        <v>46907</v>
      </c>
      <c r="D176" s="46">
        <f>SUMIFS(Einzelbeträge!$D:$D,Einzelbeträge!$C:$C,'Ausgaben 2028'!$C176)</f>
        <v>0</v>
      </c>
      <c r="E176" s="21">
        <f>SUMIFS(Einzelbeträge!$D:$D,Einzelbeträge!$C:$C,'Ausgaben 2028'!$C176,Einzelbeträge!$E:$E,'Ausgaben 2028'!E$6)</f>
        <v>0</v>
      </c>
      <c r="F176" s="21">
        <f>SUMIFS(Einzelbeträge!$D:$D,Einzelbeträge!$C:$C,'Ausgaben 2028'!$C176,Einzelbeträge!$E:$E,'Ausgaben 2028'!F$6)</f>
        <v>0</v>
      </c>
      <c r="G176" s="21">
        <f>SUMIFS(Einzelbeträge!$D:$D,Einzelbeträge!$C:$C,'Ausgaben 2028'!$C176,Einzelbeträge!$E:$E,'Ausgaben 2028'!G$6)</f>
        <v>0</v>
      </c>
      <c r="H176" s="21">
        <f>SUMIFS(Einzelbeträge!$D:$D,Einzelbeträge!$C:$C,'Ausgaben 2028'!$C176,Einzelbeträge!$E:$E,'Ausgaben 2028'!H$6)</f>
        <v>0</v>
      </c>
      <c r="I176" s="21">
        <f>SUMIFS(Einzelbeträge!$D:$D,Einzelbeträge!$C:$C,'Ausgaben 2028'!$C176,Einzelbeträge!$E:$E,'Ausgaben 2028'!I$6)</f>
        <v>0</v>
      </c>
      <c r="J176" s="21">
        <f>SUMIFS(Einzelbeträge!$D:$D,Einzelbeträge!$C:$C,'Ausgaben 2028'!$C176,Einzelbeträge!$E:$E,'Ausgaben 2028'!J$6)</f>
        <v>0</v>
      </c>
      <c r="K176" s="21">
        <f>SUMIFS(Einzelbeträge!$D:$D,Einzelbeträge!$C:$C,'Ausgaben 2028'!$C176,Einzelbeträge!$E:$E,'Ausgaben 2028'!K$6)</f>
        <v>0</v>
      </c>
      <c r="L176" s="21">
        <f>SUMIFS(Einzelbeträge!$D:$D,Einzelbeträge!$C:$C,'Ausgaben 2028'!$C176,Einzelbeträge!$E:$E,'Ausgaben 2028'!L$6)</f>
        <v>0</v>
      </c>
      <c r="M176" s="21">
        <f>SUMIFS(Einzelbeträge!$D:$D,Einzelbeträge!$C:$C,'Ausgaben 2028'!$C176,Einzelbeträge!$E:$E,'Ausgaben 2028'!M$6)</f>
        <v>0</v>
      </c>
      <c r="N176" s="35">
        <f>SUMIFS(Einzelbeträge!$D:$D,Einzelbeträge!$C:$C,'Ausgaben 2028'!$C176,Einzelbeträge!$E:$E,'Ausgaben 2028'!N$6)</f>
        <v>0</v>
      </c>
      <c r="O176" s="6"/>
    </row>
    <row r="177" spans="2:15" x14ac:dyDescent="0.35">
      <c r="B177" s="5"/>
      <c r="C177" s="30">
        <f t="shared" si="21"/>
        <v>46908</v>
      </c>
      <c r="D177" s="46">
        <f>SUMIFS(Einzelbeträge!$D:$D,Einzelbeträge!$C:$C,'Ausgaben 2028'!$C177)</f>
        <v>0</v>
      </c>
      <c r="E177" s="21">
        <f>SUMIFS(Einzelbeträge!$D:$D,Einzelbeträge!$C:$C,'Ausgaben 2028'!$C177,Einzelbeträge!$E:$E,'Ausgaben 2028'!E$6)</f>
        <v>0</v>
      </c>
      <c r="F177" s="21">
        <f>SUMIFS(Einzelbeträge!$D:$D,Einzelbeträge!$C:$C,'Ausgaben 2028'!$C177,Einzelbeträge!$E:$E,'Ausgaben 2028'!F$6)</f>
        <v>0</v>
      </c>
      <c r="G177" s="21">
        <f>SUMIFS(Einzelbeträge!$D:$D,Einzelbeträge!$C:$C,'Ausgaben 2028'!$C177,Einzelbeträge!$E:$E,'Ausgaben 2028'!G$6)</f>
        <v>0</v>
      </c>
      <c r="H177" s="21">
        <f>SUMIFS(Einzelbeträge!$D:$D,Einzelbeträge!$C:$C,'Ausgaben 2028'!$C177,Einzelbeträge!$E:$E,'Ausgaben 2028'!H$6)</f>
        <v>0</v>
      </c>
      <c r="I177" s="21">
        <f>SUMIFS(Einzelbeträge!$D:$D,Einzelbeträge!$C:$C,'Ausgaben 2028'!$C177,Einzelbeträge!$E:$E,'Ausgaben 2028'!I$6)</f>
        <v>0</v>
      </c>
      <c r="J177" s="21">
        <f>SUMIFS(Einzelbeträge!$D:$D,Einzelbeträge!$C:$C,'Ausgaben 2028'!$C177,Einzelbeträge!$E:$E,'Ausgaben 2028'!J$6)</f>
        <v>0</v>
      </c>
      <c r="K177" s="21">
        <f>SUMIFS(Einzelbeträge!$D:$D,Einzelbeträge!$C:$C,'Ausgaben 2028'!$C177,Einzelbeträge!$E:$E,'Ausgaben 2028'!K$6)</f>
        <v>0</v>
      </c>
      <c r="L177" s="21">
        <f>SUMIFS(Einzelbeträge!$D:$D,Einzelbeträge!$C:$C,'Ausgaben 2028'!$C177,Einzelbeträge!$E:$E,'Ausgaben 2028'!L$6)</f>
        <v>0</v>
      </c>
      <c r="M177" s="21">
        <f>SUMIFS(Einzelbeträge!$D:$D,Einzelbeträge!$C:$C,'Ausgaben 2028'!$C177,Einzelbeträge!$E:$E,'Ausgaben 2028'!M$6)</f>
        <v>0</v>
      </c>
      <c r="N177" s="35">
        <f>SUMIFS(Einzelbeträge!$D:$D,Einzelbeträge!$C:$C,'Ausgaben 2028'!$C177,Einzelbeträge!$E:$E,'Ausgaben 2028'!N$6)</f>
        <v>0</v>
      </c>
      <c r="O177" s="6"/>
    </row>
    <row r="178" spans="2:15" x14ac:dyDescent="0.35">
      <c r="B178" s="5"/>
      <c r="C178" s="30">
        <f t="shared" si="21"/>
        <v>46909</v>
      </c>
      <c r="D178" s="46">
        <f>SUMIFS(Einzelbeträge!$D:$D,Einzelbeträge!$C:$C,'Ausgaben 2028'!$C178)</f>
        <v>0</v>
      </c>
      <c r="E178" s="21">
        <f>SUMIFS(Einzelbeträge!$D:$D,Einzelbeträge!$C:$C,'Ausgaben 2028'!$C178,Einzelbeträge!$E:$E,'Ausgaben 2028'!E$6)</f>
        <v>0</v>
      </c>
      <c r="F178" s="21">
        <f>SUMIFS(Einzelbeträge!$D:$D,Einzelbeträge!$C:$C,'Ausgaben 2028'!$C178,Einzelbeträge!$E:$E,'Ausgaben 2028'!F$6)</f>
        <v>0</v>
      </c>
      <c r="G178" s="21">
        <f>SUMIFS(Einzelbeträge!$D:$D,Einzelbeträge!$C:$C,'Ausgaben 2028'!$C178,Einzelbeträge!$E:$E,'Ausgaben 2028'!G$6)</f>
        <v>0</v>
      </c>
      <c r="H178" s="21">
        <f>SUMIFS(Einzelbeträge!$D:$D,Einzelbeträge!$C:$C,'Ausgaben 2028'!$C178,Einzelbeträge!$E:$E,'Ausgaben 2028'!H$6)</f>
        <v>0</v>
      </c>
      <c r="I178" s="21">
        <f>SUMIFS(Einzelbeträge!$D:$D,Einzelbeträge!$C:$C,'Ausgaben 2028'!$C178,Einzelbeträge!$E:$E,'Ausgaben 2028'!I$6)</f>
        <v>0</v>
      </c>
      <c r="J178" s="21">
        <f>SUMIFS(Einzelbeträge!$D:$D,Einzelbeträge!$C:$C,'Ausgaben 2028'!$C178,Einzelbeträge!$E:$E,'Ausgaben 2028'!J$6)</f>
        <v>0</v>
      </c>
      <c r="K178" s="21">
        <f>SUMIFS(Einzelbeträge!$D:$D,Einzelbeträge!$C:$C,'Ausgaben 2028'!$C178,Einzelbeträge!$E:$E,'Ausgaben 2028'!K$6)</f>
        <v>0</v>
      </c>
      <c r="L178" s="21">
        <f>SUMIFS(Einzelbeträge!$D:$D,Einzelbeträge!$C:$C,'Ausgaben 2028'!$C178,Einzelbeträge!$E:$E,'Ausgaben 2028'!L$6)</f>
        <v>0</v>
      </c>
      <c r="M178" s="21">
        <f>SUMIFS(Einzelbeträge!$D:$D,Einzelbeträge!$C:$C,'Ausgaben 2028'!$C178,Einzelbeträge!$E:$E,'Ausgaben 2028'!M$6)</f>
        <v>0</v>
      </c>
      <c r="N178" s="35">
        <f>SUMIFS(Einzelbeträge!$D:$D,Einzelbeträge!$C:$C,'Ausgaben 2028'!$C178,Einzelbeträge!$E:$E,'Ausgaben 2028'!N$6)</f>
        <v>0</v>
      </c>
      <c r="O178" s="6"/>
    </row>
    <row r="179" spans="2:15" x14ac:dyDescent="0.35">
      <c r="B179" s="5"/>
      <c r="C179" s="30">
        <f t="shared" si="21"/>
        <v>46910</v>
      </c>
      <c r="D179" s="46">
        <f>SUMIFS(Einzelbeträge!$D:$D,Einzelbeträge!$C:$C,'Ausgaben 2028'!$C179)</f>
        <v>0</v>
      </c>
      <c r="E179" s="21">
        <f>SUMIFS(Einzelbeträge!$D:$D,Einzelbeträge!$C:$C,'Ausgaben 2028'!$C179,Einzelbeträge!$E:$E,'Ausgaben 2028'!E$6)</f>
        <v>0</v>
      </c>
      <c r="F179" s="21">
        <f>SUMIFS(Einzelbeträge!$D:$D,Einzelbeträge!$C:$C,'Ausgaben 2028'!$C179,Einzelbeträge!$E:$E,'Ausgaben 2028'!F$6)</f>
        <v>0</v>
      </c>
      <c r="G179" s="21">
        <f>SUMIFS(Einzelbeträge!$D:$D,Einzelbeträge!$C:$C,'Ausgaben 2028'!$C179,Einzelbeträge!$E:$E,'Ausgaben 2028'!G$6)</f>
        <v>0</v>
      </c>
      <c r="H179" s="21">
        <f>SUMIFS(Einzelbeträge!$D:$D,Einzelbeträge!$C:$C,'Ausgaben 2028'!$C179,Einzelbeträge!$E:$E,'Ausgaben 2028'!H$6)</f>
        <v>0</v>
      </c>
      <c r="I179" s="21">
        <f>SUMIFS(Einzelbeträge!$D:$D,Einzelbeträge!$C:$C,'Ausgaben 2028'!$C179,Einzelbeträge!$E:$E,'Ausgaben 2028'!I$6)</f>
        <v>0</v>
      </c>
      <c r="J179" s="21">
        <f>SUMIFS(Einzelbeträge!$D:$D,Einzelbeträge!$C:$C,'Ausgaben 2028'!$C179,Einzelbeträge!$E:$E,'Ausgaben 2028'!J$6)</f>
        <v>0</v>
      </c>
      <c r="K179" s="21">
        <f>SUMIFS(Einzelbeträge!$D:$D,Einzelbeträge!$C:$C,'Ausgaben 2028'!$C179,Einzelbeträge!$E:$E,'Ausgaben 2028'!K$6)</f>
        <v>0</v>
      </c>
      <c r="L179" s="21">
        <f>SUMIFS(Einzelbeträge!$D:$D,Einzelbeträge!$C:$C,'Ausgaben 2028'!$C179,Einzelbeträge!$E:$E,'Ausgaben 2028'!L$6)</f>
        <v>0</v>
      </c>
      <c r="M179" s="21">
        <f>SUMIFS(Einzelbeträge!$D:$D,Einzelbeträge!$C:$C,'Ausgaben 2028'!$C179,Einzelbeträge!$E:$E,'Ausgaben 2028'!M$6)</f>
        <v>0</v>
      </c>
      <c r="N179" s="35">
        <f>SUMIFS(Einzelbeträge!$D:$D,Einzelbeträge!$C:$C,'Ausgaben 2028'!$C179,Einzelbeträge!$E:$E,'Ausgaben 2028'!N$6)</f>
        <v>0</v>
      </c>
      <c r="O179" s="6"/>
    </row>
    <row r="180" spans="2:15" x14ac:dyDescent="0.35">
      <c r="B180" s="5"/>
      <c r="C180" s="30">
        <f t="shared" si="21"/>
        <v>46911</v>
      </c>
      <c r="D180" s="46">
        <f>SUMIFS(Einzelbeträge!$D:$D,Einzelbeträge!$C:$C,'Ausgaben 2028'!$C180)</f>
        <v>0</v>
      </c>
      <c r="E180" s="21">
        <f>SUMIFS(Einzelbeträge!$D:$D,Einzelbeträge!$C:$C,'Ausgaben 2028'!$C180,Einzelbeträge!$E:$E,'Ausgaben 2028'!E$6)</f>
        <v>0</v>
      </c>
      <c r="F180" s="21">
        <f>SUMIFS(Einzelbeträge!$D:$D,Einzelbeträge!$C:$C,'Ausgaben 2028'!$C180,Einzelbeträge!$E:$E,'Ausgaben 2028'!F$6)</f>
        <v>0</v>
      </c>
      <c r="G180" s="21">
        <f>SUMIFS(Einzelbeträge!$D:$D,Einzelbeträge!$C:$C,'Ausgaben 2028'!$C180,Einzelbeträge!$E:$E,'Ausgaben 2028'!G$6)</f>
        <v>0</v>
      </c>
      <c r="H180" s="21">
        <f>SUMIFS(Einzelbeträge!$D:$D,Einzelbeträge!$C:$C,'Ausgaben 2028'!$C180,Einzelbeträge!$E:$E,'Ausgaben 2028'!H$6)</f>
        <v>0</v>
      </c>
      <c r="I180" s="21">
        <f>SUMIFS(Einzelbeträge!$D:$D,Einzelbeträge!$C:$C,'Ausgaben 2028'!$C180,Einzelbeträge!$E:$E,'Ausgaben 2028'!I$6)</f>
        <v>0</v>
      </c>
      <c r="J180" s="21">
        <f>SUMIFS(Einzelbeträge!$D:$D,Einzelbeträge!$C:$C,'Ausgaben 2028'!$C180,Einzelbeträge!$E:$E,'Ausgaben 2028'!J$6)</f>
        <v>0</v>
      </c>
      <c r="K180" s="21">
        <f>SUMIFS(Einzelbeträge!$D:$D,Einzelbeträge!$C:$C,'Ausgaben 2028'!$C180,Einzelbeträge!$E:$E,'Ausgaben 2028'!K$6)</f>
        <v>0</v>
      </c>
      <c r="L180" s="21">
        <f>SUMIFS(Einzelbeträge!$D:$D,Einzelbeträge!$C:$C,'Ausgaben 2028'!$C180,Einzelbeträge!$E:$E,'Ausgaben 2028'!L$6)</f>
        <v>0</v>
      </c>
      <c r="M180" s="21">
        <f>SUMIFS(Einzelbeträge!$D:$D,Einzelbeträge!$C:$C,'Ausgaben 2028'!$C180,Einzelbeträge!$E:$E,'Ausgaben 2028'!M$6)</f>
        <v>0</v>
      </c>
      <c r="N180" s="35">
        <f>SUMIFS(Einzelbeträge!$D:$D,Einzelbeträge!$C:$C,'Ausgaben 2028'!$C180,Einzelbeträge!$E:$E,'Ausgaben 2028'!N$6)</f>
        <v>0</v>
      </c>
      <c r="O180" s="6"/>
    </row>
    <row r="181" spans="2:15" x14ac:dyDescent="0.35">
      <c r="B181" s="5"/>
      <c r="C181" s="30">
        <f t="shared" si="21"/>
        <v>46912</v>
      </c>
      <c r="D181" s="46">
        <f>SUMIFS(Einzelbeträge!$D:$D,Einzelbeträge!$C:$C,'Ausgaben 2028'!$C181)</f>
        <v>0</v>
      </c>
      <c r="E181" s="21">
        <f>SUMIFS(Einzelbeträge!$D:$D,Einzelbeträge!$C:$C,'Ausgaben 2028'!$C181,Einzelbeträge!$E:$E,'Ausgaben 2028'!E$6)</f>
        <v>0</v>
      </c>
      <c r="F181" s="21">
        <f>SUMIFS(Einzelbeträge!$D:$D,Einzelbeträge!$C:$C,'Ausgaben 2028'!$C181,Einzelbeträge!$E:$E,'Ausgaben 2028'!F$6)</f>
        <v>0</v>
      </c>
      <c r="G181" s="21">
        <f>SUMIFS(Einzelbeträge!$D:$D,Einzelbeträge!$C:$C,'Ausgaben 2028'!$C181,Einzelbeträge!$E:$E,'Ausgaben 2028'!G$6)</f>
        <v>0</v>
      </c>
      <c r="H181" s="21">
        <f>SUMIFS(Einzelbeträge!$D:$D,Einzelbeträge!$C:$C,'Ausgaben 2028'!$C181,Einzelbeträge!$E:$E,'Ausgaben 2028'!H$6)</f>
        <v>0</v>
      </c>
      <c r="I181" s="21">
        <f>SUMIFS(Einzelbeträge!$D:$D,Einzelbeträge!$C:$C,'Ausgaben 2028'!$C181,Einzelbeträge!$E:$E,'Ausgaben 2028'!I$6)</f>
        <v>0</v>
      </c>
      <c r="J181" s="21">
        <f>SUMIFS(Einzelbeträge!$D:$D,Einzelbeträge!$C:$C,'Ausgaben 2028'!$C181,Einzelbeträge!$E:$E,'Ausgaben 2028'!J$6)</f>
        <v>0</v>
      </c>
      <c r="K181" s="21">
        <f>SUMIFS(Einzelbeträge!$D:$D,Einzelbeträge!$C:$C,'Ausgaben 2028'!$C181,Einzelbeträge!$E:$E,'Ausgaben 2028'!K$6)</f>
        <v>0</v>
      </c>
      <c r="L181" s="21">
        <f>SUMIFS(Einzelbeträge!$D:$D,Einzelbeträge!$C:$C,'Ausgaben 2028'!$C181,Einzelbeträge!$E:$E,'Ausgaben 2028'!L$6)</f>
        <v>0</v>
      </c>
      <c r="M181" s="21">
        <f>SUMIFS(Einzelbeträge!$D:$D,Einzelbeträge!$C:$C,'Ausgaben 2028'!$C181,Einzelbeträge!$E:$E,'Ausgaben 2028'!M$6)</f>
        <v>0</v>
      </c>
      <c r="N181" s="35">
        <f>SUMIFS(Einzelbeträge!$D:$D,Einzelbeträge!$C:$C,'Ausgaben 2028'!$C181,Einzelbeträge!$E:$E,'Ausgaben 2028'!N$6)</f>
        <v>0</v>
      </c>
      <c r="O181" s="6"/>
    </row>
    <row r="182" spans="2:15" x14ac:dyDescent="0.35">
      <c r="B182" s="5"/>
      <c r="C182" s="30">
        <f t="shared" si="21"/>
        <v>46913</v>
      </c>
      <c r="D182" s="46">
        <f>SUMIFS(Einzelbeträge!$D:$D,Einzelbeträge!$C:$C,'Ausgaben 2028'!$C182)</f>
        <v>0</v>
      </c>
      <c r="E182" s="21">
        <f>SUMIFS(Einzelbeträge!$D:$D,Einzelbeträge!$C:$C,'Ausgaben 2028'!$C182,Einzelbeträge!$E:$E,'Ausgaben 2028'!E$6)</f>
        <v>0</v>
      </c>
      <c r="F182" s="21">
        <f>SUMIFS(Einzelbeträge!$D:$D,Einzelbeträge!$C:$C,'Ausgaben 2028'!$C182,Einzelbeträge!$E:$E,'Ausgaben 2028'!F$6)</f>
        <v>0</v>
      </c>
      <c r="G182" s="21">
        <f>SUMIFS(Einzelbeträge!$D:$D,Einzelbeträge!$C:$C,'Ausgaben 2028'!$C182,Einzelbeträge!$E:$E,'Ausgaben 2028'!G$6)</f>
        <v>0</v>
      </c>
      <c r="H182" s="21">
        <f>SUMIFS(Einzelbeträge!$D:$D,Einzelbeträge!$C:$C,'Ausgaben 2028'!$C182,Einzelbeträge!$E:$E,'Ausgaben 2028'!H$6)</f>
        <v>0</v>
      </c>
      <c r="I182" s="21">
        <f>SUMIFS(Einzelbeträge!$D:$D,Einzelbeträge!$C:$C,'Ausgaben 2028'!$C182,Einzelbeträge!$E:$E,'Ausgaben 2028'!I$6)</f>
        <v>0</v>
      </c>
      <c r="J182" s="21">
        <f>SUMIFS(Einzelbeträge!$D:$D,Einzelbeträge!$C:$C,'Ausgaben 2028'!$C182,Einzelbeträge!$E:$E,'Ausgaben 2028'!J$6)</f>
        <v>0</v>
      </c>
      <c r="K182" s="21">
        <f>SUMIFS(Einzelbeträge!$D:$D,Einzelbeträge!$C:$C,'Ausgaben 2028'!$C182,Einzelbeträge!$E:$E,'Ausgaben 2028'!K$6)</f>
        <v>0</v>
      </c>
      <c r="L182" s="21">
        <f>SUMIFS(Einzelbeträge!$D:$D,Einzelbeträge!$C:$C,'Ausgaben 2028'!$C182,Einzelbeträge!$E:$E,'Ausgaben 2028'!L$6)</f>
        <v>0</v>
      </c>
      <c r="M182" s="21">
        <f>SUMIFS(Einzelbeträge!$D:$D,Einzelbeträge!$C:$C,'Ausgaben 2028'!$C182,Einzelbeträge!$E:$E,'Ausgaben 2028'!M$6)</f>
        <v>0</v>
      </c>
      <c r="N182" s="35">
        <f>SUMIFS(Einzelbeträge!$D:$D,Einzelbeträge!$C:$C,'Ausgaben 2028'!$C182,Einzelbeträge!$E:$E,'Ausgaben 2028'!N$6)</f>
        <v>0</v>
      </c>
      <c r="O182" s="6"/>
    </row>
    <row r="183" spans="2:15" x14ac:dyDescent="0.35">
      <c r="B183" s="5"/>
      <c r="C183" s="30">
        <f t="shared" si="21"/>
        <v>46914</v>
      </c>
      <c r="D183" s="46">
        <f>SUMIFS(Einzelbeträge!$D:$D,Einzelbeträge!$C:$C,'Ausgaben 2028'!$C183)</f>
        <v>0</v>
      </c>
      <c r="E183" s="21">
        <f>SUMIFS(Einzelbeträge!$D:$D,Einzelbeträge!$C:$C,'Ausgaben 2028'!$C183,Einzelbeträge!$E:$E,'Ausgaben 2028'!E$6)</f>
        <v>0</v>
      </c>
      <c r="F183" s="21">
        <f>SUMIFS(Einzelbeträge!$D:$D,Einzelbeträge!$C:$C,'Ausgaben 2028'!$C183,Einzelbeträge!$E:$E,'Ausgaben 2028'!F$6)</f>
        <v>0</v>
      </c>
      <c r="G183" s="21">
        <f>SUMIFS(Einzelbeträge!$D:$D,Einzelbeträge!$C:$C,'Ausgaben 2028'!$C183,Einzelbeträge!$E:$E,'Ausgaben 2028'!G$6)</f>
        <v>0</v>
      </c>
      <c r="H183" s="21">
        <f>SUMIFS(Einzelbeträge!$D:$D,Einzelbeträge!$C:$C,'Ausgaben 2028'!$C183,Einzelbeträge!$E:$E,'Ausgaben 2028'!H$6)</f>
        <v>0</v>
      </c>
      <c r="I183" s="21">
        <f>SUMIFS(Einzelbeträge!$D:$D,Einzelbeträge!$C:$C,'Ausgaben 2028'!$C183,Einzelbeträge!$E:$E,'Ausgaben 2028'!I$6)</f>
        <v>0</v>
      </c>
      <c r="J183" s="21">
        <f>SUMIFS(Einzelbeträge!$D:$D,Einzelbeträge!$C:$C,'Ausgaben 2028'!$C183,Einzelbeträge!$E:$E,'Ausgaben 2028'!J$6)</f>
        <v>0</v>
      </c>
      <c r="K183" s="21">
        <f>SUMIFS(Einzelbeträge!$D:$D,Einzelbeträge!$C:$C,'Ausgaben 2028'!$C183,Einzelbeträge!$E:$E,'Ausgaben 2028'!K$6)</f>
        <v>0</v>
      </c>
      <c r="L183" s="21">
        <f>SUMIFS(Einzelbeträge!$D:$D,Einzelbeträge!$C:$C,'Ausgaben 2028'!$C183,Einzelbeträge!$E:$E,'Ausgaben 2028'!L$6)</f>
        <v>0</v>
      </c>
      <c r="M183" s="21">
        <f>SUMIFS(Einzelbeträge!$D:$D,Einzelbeträge!$C:$C,'Ausgaben 2028'!$C183,Einzelbeträge!$E:$E,'Ausgaben 2028'!M$6)</f>
        <v>0</v>
      </c>
      <c r="N183" s="35">
        <f>SUMIFS(Einzelbeträge!$D:$D,Einzelbeträge!$C:$C,'Ausgaben 2028'!$C183,Einzelbeträge!$E:$E,'Ausgaben 2028'!N$6)</f>
        <v>0</v>
      </c>
      <c r="O183" s="6"/>
    </row>
    <row r="184" spans="2:15" x14ac:dyDescent="0.35">
      <c r="B184" s="5"/>
      <c r="C184" s="30">
        <f t="shared" si="21"/>
        <v>46915</v>
      </c>
      <c r="D184" s="46">
        <f>SUMIFS(Einzelbeträge!$D:$D,Einzelbeträge!$C:$C,'Ausgaben 2028'!$C184)</f>
        <v>0</v>
      </c>
      <c r="E184" s="21">
        <f>SUMIFS(Einzelbeträge!$D:$D,Einzelbeträge!$C:$C,'Ausgaben 2028'!$C184,Einzelbeträge!$E:$E,'Ausgaben 2028'!E$6)</f>
        <v>0</v>
      </c>
      <c r="F184" s="21">
        <f>SUMIFS(Einzelbeträge!$D:$D,Einzelbeträge!$C:$C,'Ausgaben 2028'!$C184,Einzelbeträge!$E:$E,'Ausgaben 2028'!F$6)</f>
        <v>0</v>
      </c>
      <c r="G184" s="21">
        <f>SUMIFS(Einzelbeträge!$D:$D,Einzelbeträge!$C:$C,'Ausgaben 2028'!$C184,Einzelbeträge!$E:$E,'Ausgaben 2028'!G$6)</f>
        <v>0</v>
      </c>
      <c r="H184" s="21">
        <f>SUMIFS(Einzelbeträge!$D:$D,Einzelbeträge!$C:$C,'Ausgaben 2028'!$C184,Einzelbeträge!$E:$E,'Ausgaben 2028'!H$6)</f>
        <v>0</v>
      </c>
      <c r="I184" s="21">
        <f>SUMIFS(Einzelbeträge!$D:$D,Einzelbeträge!$C:$C,'Ausgaben 2028'!$C184,Einzelbeträge!$E:$E,'Ausgaben 2028'!I$6)</f>
        <v>0</v>
      </c>
      <c r="J184" s="21">
        <f>SUMIFS(Einzelbeträge!$D:$D,Einzelbeträge!$C:$C,'Ausgaben 2028'!$C184,Einzelbeträge!$E:$E,'Ausgaben 2028'!J$6)</f>
        <v>0</v>
      </c>
      <c r="K184" s="21">
        <f>SUMIFS(Einzelbeträge!$D:$D,Einzelbeträge!$C:$C,'Ausgaben 2028'!$C184,Einzelbeträge!$E:$E,'Ausgaben 2028'!K$6)</f>
        <v>0</v>
      </c>
      <c r="L184" s="21">
        <f>SUMIFS(Einzelbeträge!$D:$D,Einzelbeträge!$C:$C,'Ausgaben 2028'!$C184,Einzelbeträge!$E:$E,'Ausgaben 2028'!L$6)</f>
        <v>0</v>
      </c>
      <c r="M184" s="21">
        <f>SUMIFS(Einzelbeträge!$D:$D,Einzelbeträge!$C:$C,'Ausgaben 2028'!$C184,Einzelbeträge!$E:$E,'Ausgaben 2028'!M$6)</f>
        <v>0</v>
      </c>
      <c r="N184" s="35">
        <f>SUMIFS(Einzelbeträge!$D:$D,Einzelbeträge!$C:$C,'Ausgaben 2028'!$C184,Einzelbeträge!$E:$E,'Ausgaben 2028'!N$6)</f>
        <v>0</v>
      </c>
      <c r="O184" s="6"/>
    </row>
    <row r="185" spans="2:15" x14ac:dyDescent="0.35">
      <c r="B185" s="5"/>
      <c r="C185" s="30">
        <f t="shared" si="21"/>
        <v>46916</v>
      </c>
      <c r="D185" s="46">
        <f>SUMIFS(Einzelbeträge!$D:$D,Einzelbeträge!$C:$C,'Ausgaben 2028'!$C185)</f>
        <v>0</v>
      </c>
      <c r="E185" s="21">
        <f>SUMIFS(Einzelbeträge!$D:$D,Einzelbeträge!$C:$C,'Ausgaben 2028'!$C185,Einzelbeträge!$E:$E,'Ausgaben 2028'!E$6)</f>
        <v>0</v>
      </c>
      <c r="F185" s="21">
        <f>SUMIFS(Einzelbeträge!$D:$D,Einzelbeträge!$C:$C,'Ausgaben 2028'!$C185,Einzelbeträge!$E:$E,'Ausgaben 2028'!F$6)</f>
        <v>0</v>
      </c>
      <c r="G185" s="21">
        <f>SUMIFS(Einzelbeträge!$D:$D,Einzelbeträge!$C:$C,'Ausgaben 2028'!$C185,Einzelbeträge!$E:$E,'Ausgaben 2028'!G$6)</f>
        <v>0</v>
      </c>
      <c r="H185" s="21">
        <f>SUMIFS(Einzelbeträge!$D:$D,Einzelbeträge!$C:$C,'Ausgaben 2028'!$C185,Einzelbeträge!$E:$E,'Ausgaben 2028'!H$6)</f>
        <v>0</v>
      </c>
      <c r="I185" s="21">
        <f>SUMIFS(Einzelbeträge!$D:$D,Einzelbeträge!$C:$C,'Ausgaben 2028'!$C185,Einzelbeträge!$E:$E,'Ausgaben 2028'!I$6)</f>
        <v>0</v>
      </c>
      <c r="J185" s="21">
        <f>SUMIFS(Einzelbeträge!$D:$D,Einzelbeträge!$C:$C,'Ausgaben 2028'!$C185,Einzelbeträge!$E:$E,'Ausgaben 2028'!J$6)</f>
        <v>0</v>
      </c>
      <c r="K185" s="21">
        <f>SUMIFS(Einzelbeträge!$D:$D,Einzelbeträge!$C:$C,'Ausgaben 2028'!$C185,Einzelbeträge!$E:$E,'Ausgaben 2028'!K$6)</f>
        <v>0</v>
      </c>
      <c r="L185" s="21">
        <f>SUMIFS(Einzelbeträge!$D:$D,Einzelbeträge!$C:$C,'Ausgaben 2028'!$C185,Einzelbeträge!$E:$E,'Ausgaben 2028'!L$6)</f>
        <v>0</v>
      </c>
      <c r="M185" s="21">
        <f>SUMIFS(Einzelbeträge!$D:$D,Einzelbeträge!$C:$C,'Ausgaben 2028'!$C185,Einzelbeträge!$E:$E,'Ausgaben 2028'!M$6)</f>
        <v>0</v>
      </c>
      <c r="N185" s="35">
        <f>SUMIFS(Einzelbeträge!$D:$D,Einzelbeträge!$C:$C,'Ausgaben 2028'!$C185,Einzelbeträge!$E:$E,'Ausgaben 2028'!N$6)</f>
        <v>0</v>
      </c>
      <c r="O185" s="6"/>
    </row>
    <row r="186" spans="2:15" x14ac:dyDescent="0.35">
      <c r="B186" s="5"/>
      <c r="C186" s="30">
        <f t="shared" si="21"/>
        <v>46917</v>
      </c>
      <c r="D186" s="46">
        <f>SUMIFS(Einzelbeträge!$D:$D,Einzelbeträge!$C:$C,'Ausgaben 2028'!$C186)</f>
        <v>0</v>
      </c>
      <c r="E186" s="21">
        <f>SUMIFS(Einzelbeträge!$D:$D,Einzelbeträge!$C:$C,'Ausgaben 2028'!$C186,Einzelbeträge!$E:$E,'Ausgaben 2028'!E$6)</f>
        <v>0</v>
      </c>
      <c r="F186" s="21">
        <f>SUMIFS(Einzelbeträge!$D:$D,Einzelbeträge!$C:$C,'Ausgaben 2028'!$C186,Einzelbeträge!$E:$E,'Ausgaben 2028'!F$6)</f>
        <v>0</v>
      </c>
      <c r="G186" s="21">
        <f>SUMIFS(Einzelbeträge!$D:$D,Einzelbeträge!$C:$C,'Ausgaben 2028'!$C186,Einzelbeträge!$E:$E,'Ausgaben 2028'!G$6)</f>
        <v>0</v>
      </c>
      <c r="H186" s="21">
        <f>SUMIFS(Einzelbeträge!$D:$D,Einzelbeträge!$C:$C,'Ausgaben 2028'!$C186,Einzelbeträge!$E:$E,'Ausgaben 2028'!H$6)</f>
        <v>0</v>
      </c>
      <c r="I186" s="21">
        <f>SUMIFS(Einzelbeträge!$D:$D,Einzelbeträge!$C:$C,'Ausgaben 2028'!$C186,Einzelbeträge!$E:$E,'Ausgaben 2028'!I$6)</f>
        <v>0</v>
      </c>
      <c r="J186" s="21">
        <f>SUMIFS(Einzelbeträge!$D:$D,Einzelbeträge!$C:$C,'Ausgaben 2028'!$C186,Einzelbeträge!$E:$E,'Ausgaben 2028'!J$6)</f>
        <v>0</v>
      </c>
      <c r="K186" s="21">
        <f>SUMIFS(Einzelbeträge!$D:$D,Einzelbeträge!$C:$C,'Ausgaben 2028'!$C186,Einzelbeträge!$E:$E,'Ausgaben 2028'!K$6)</f>
        <v>0</v>
      </c>
      <c r="L186" s="21">
        <f>SUMIFS(Einzelbeträge!$D:$D,Einzelbeträge!$C:$C,'Ausgaben 2028'!$C186,Einzelbeträge!$E:$E,'Ausgaben 2028'!L$6)</f>
        <v>0</v>
      </c>
      <c r="M186" s="21">
        <f>SUMIFS(Einzelbeträge!$D:$D,Einzelbeträge!$C:$C,'Ausgaben 2028'!$C186,Einzelbeträge!$E:$E,'Ausgaben 2028'!M$6)</f>
        <v>0</v>
      </c>
      <c r="N186" s="35">
        <f>SUMIFS(Einzelbeträge!$D:$D,Einzelbeträge!$C:$C,'Ausgaben 2028'!$C186,Einzelbeträge!$E:$E,'Ausgaben 2028'!N$6)</f>
        <v>0</v>
      </c>
      <c r="O186" s="6"/>
    </row>
    <row r="187" spans="2:15" x14ac:dyDescent="0.35">
      <c r="B187" s="5"/>
      <c r="C187" s="30">
        <f t="shared" si="21"/>
        <v>46918</v>
      </c>
      <c r="D187" s="46">
        <f>SUMIFS(Einzelbeträge!$D:$D,Einzelbeträge!$C:$C,'Ausgaben 2028'!$C187)</f>
        <v>0</v>
      </c>
      <c r="E187" s="21">
        <f>SUMIFS(Einzelbeträge!$D:$D,Einzelbeträge!$C:$C,'Ausgaben 2028'!$C187,Einzelbeträge!$E:$E,'Ausgaben 2028'!E$6)</f>
        <v>0</v>
      </c>
      <c r="F187" s="21">
        <f>SUMIFS(Einzelbeträge!$D:$D,Einzelbeträge!$C:$C,'Ausgaben 2028'!$C187,Einzelbeträge!$E:$E,'Ausgaben 2028'!F$6)</f>
        <v>0</v>
      </c>
      <c r="G187" s="21">
        <f>SUMIFS(Einzelbeträge!$D:$D,Einzelbeträge!$C:$C,'Ausgaben 2028'!$C187,Einzelbeträge!$E:$E,'Ausgaben 2028'!G$6)</f>
        <v>0</v>
      </c>
      <c r="H187" s="21">
        <f>SUMIFS(Einzelbeträge!$D:$D,Einzelbeträge!$C:$C,'Ausgaben 2028'!$C187,Einzelbeträge!$E:$E,'Ausgaben 2028'!H$6)</f>
        <v>0</v>
      </c>
      <c r="I187" s="21">
        <f>SUMIFS(Einzelbeträge!$D:$D,Einzelbeträge!$C:$C,'Ausgaben 2028'!$C187,Einzelbeträge!$E:$E,'Ausgaben 2028'!I$6)</f>
        <v>0</v>
      </c>
      <c r="J187" s="21">
        <f>SUMIFS(Einzelbeträge!$D:$D,Einzelbeträge!$C:$C,'Ausgaben 2028'!$C187,Einzelbeträge!$E:$E,'Ausgaben 2028'!J$6)</f>
        <v>0</v>
      </c>
      <c r="K187" s="21">
        <f>SUMIFS(Einzelbeträge!$D:$D,Einzelbeträge!$C:$C,'Ausgaben 2028'!$C187,Einzelbeträge!$E:$E,'Ausgaben 2028'!K$6)</f>
        <v>0</v>
      </c>
      <c r="L187" s="21">
        <f>SUMIFS(Einzelbeträge!$D:$D,Einzelbeträge!$C:$C,'Ausgaben 2028'!$C187,Einzelbeträge!$E:$E,'Ausgaben 2028'!L$6)</f>
        <v>0</v>
      </c>
      <c r="M187" s="21">
        <f>SUMIFS(Einzelbeträge!$D:$D,Einzelbeträge!$C:$C,'Ausgaben 2028'!$C187,Einzelbeträge!$E:$E,'Ausgaben 2028'!M$6)</f>
        <v>0</v>
      </c>
      <c r="N187" s="35">
        <f>SUMIFS(Einzelbeträge!$D:$D,Einzelbeträge!$C:$C,'Ausgaben 2028'!$C187,Einzelbeträge!$E:$E,'Ausgaben 2028'!N$6)</f>
        <v>0</v>
      </c>
      <c r="O187" s="6"/>
    </row>
    <row r="188" spans="2:15" x14ac:dyDescent="0.35">
      <c r="B188" s="5"/>
      <c r="C188" s="30">
        <f t="shared" si="21"/>
        <v>46919</v>
      </c>
      <c r="D188" s="46">
        <f>SUMIFS(Einzelbeträge!$D:$D,Einzelbeträge!$C:$C,'Ausgaben 2028'!$C188)</f>
        <v>0</v>
      </c>
      <c r="E188" s="21">
        <f>SUMIFS(Einzelbeträge!$D:$D,Einzelbeträge!$C:$C,'Ausgaben 2028'!$C188,Einzelbeträge!$E:$E,'Ausgaben 2028'!E$6)</f>
        <v>0</v>
      </c>
      <c r="F188" s="21">
        <f>SUMIFS(Einzelbeträge!$D:$D,Einzelbeträge!$C:$C,'Ausgaben 2028'!$C188,Einzelbeträge!$E:$E,'Ausgaben 2028'!F$6)</f>
        <v>0</v>
      </c>
      <c r="G188" s="21">
        <f>SUMIFS(Einzelbeträge!$D:$D,Einzelbeträge!$C:$C,'Ausgaben 2028'!$C188,Einzelbeträge!$E:$E,'Ausgaben 2028'!G$6)</f>
        <v>0</v>
      </c>
      <c r="H188" s="21">
        <f>SUMIFS(Einzelbeträge!$D:$D,Einzelbeträge!$C:$C,'Ausgaben 2028'!$C188,Einzelbeträge!$E:$E,'Ausgaben 2028'!H$6)</f>
        <v>0</v>
      </c>
      <c r="I188" s="21">
        <f>SUMIFS(Einzelbeträge!$D:$D,Einzelbeträge!$C:$C,'Ausgaben 2028'!$C188,Einzelbeträge!$E:$E,'Ausgaben 2028'!I$6)</f>
        <v>0</v>
      </c>
      <c r="J188" s="21">
        <f>SUMIFS(Einzelbeträge!$D:$D,Einzelbeträge!$C:$C,'Ausgaben 2028'!$C188,Einzelbeträge!$E:$E,'Ausgaben 2028'!J$6)</f>
        <v>0</v>
      </c>
      <c r="K188" s="21">
        <f>SUMIFS(Einzelbeträge!$D:$D,Einzelbeträge!$C:$C,'Ausgaben 2028'!$C188,Einzelbeträge!$E:$E,'Ausgaben 2028'!K$6)</f>
        <v>0</v>
      </c>
      <c r="L188" s="21">
        <f>SUMIFS(Einzelbeträge!$D:$D,Einzelbeträge!$C:$C,'Ausgaben 2028'!$C188,Einzelbeträge!$E:$E,'Ausgaben 2028'!L$6)</f>
        <v>0</v>
      </c>
      <c r="M188" s="21">
        <f>SUMIFS(Einzelbeträge!$D:$D,Einzelbeträge!$C:$C,'Ausgaben 2028'!$C188,Einzelbeträge!$E:$E,'Ausgaben 2028'!M$6)</f>
        <v>0</v>
      </c>
      <c r="N188" s="35">
        <f>SUMIFS(Einzelbeträge!$D:$D,Einzelbeträge!$C:$C,'Ausgaben 2028'!$C188,Einzelbeträge!$E:$E,'Ausgaben 2028'!N$6)</f>
        <v>0</v>
      </c>
      <c r="O188" s="6"/>
    </row>
    <row r="189" spans="2:15" x14ac:dyDescent="0.35">
      <c r="B189" s="5"/>
      <c r="C189" s="30">
        <f t="shared" si="21"/>
        <v>46920</v>
      </c>
      <c r="D189" s="46">
        <f>SUMIFS(Einzelbeträge!$D:$D,Einzelbeträge!$C:$C,'Ausgaben 2028'!$C189)</f>
        <v>0</v>
      </c>
      <c r="E189" s="21">
        <f>SUMIFS(Einzelbeträge!$D:$D,Einzelbeträge!$C:$C,'Ausgaben 2028'!$C189,Einzelbeträge!$E:$E,'Ausgaben 2028'!E$6)</f>
        <v>0</v>
      </c>
      <c r="F189" s="21">
        <f>SUMIFS(Einzelbeträge!$D:$D,Einzelbeträge!$C:$C,'Ausgaben 2028'!$C189,Einzelbeträge!$E:$E,'Ausgaben 2028'!F$6)</f>
        <v>0</v>
      </c>
      <c r="G189" s="21">
        <f>SUMIFS(Einzelbeträge!$D:$D,Einzelbeträge!$C:$C,'Ausgaben 2028'!$C189,Einzelbeträge!$E:$E,'Ausgaben 2028'!G$6)</f>
        <v>0</v>
      </c>
      <c r="H189" s="21">
        <f>SUMIFS(Einzelbeträge!$D:$D,Einzelbeträge!$C:$C,'Ausgaben 2028'!$C189,Einzelbeträge!$E:$E,'Ausgaben 2028'!H$6)</f>
        <v>0</v>
      </c>
      <c r="I189" s="21">
        <f>SUMIFS(Einzelbeträge!$D:$D,Einzelbeträge!$C:$C,'Ausgaben 2028'!$C189,Einzelbeträge!$E:$E,'Ausgaben 2028'!I$6)</f>
        <v>0</v>
      </c>
      <c r="J189" s="21">
        <f>SUMIFS(Einzelbeträge!$D:$D,Einzelbeträge!$C:$C,'Ausgaben 2028'!$C189,Einzelbeträge!$E:$E,'Ausgaben 2028'!J$6)</f>
        <v>0</v>
      </c>
      <c r="K189" s="21">
        <f>SUMIFS(Einzelbeträge!$D:$D,Einzelbeträge!$C:$C,'Ausgaben 2028'!$C189,Einzelbeträge!$E:$E,'Ausgaben 2028'!K$6)</f>
        <v>0</v>
      </c>
      <c r="L189" s="21">
        <f>SUMIFS(Einzelbeträge!$D:$D,Einzelbeträge!$C:$C,'Ausgaben 2028'!$C189,Einzelbeträge!$E:$E,'Ausgaben 2028'!L$6)</f>
        <v>0</v>
      </c>
      <c r="M189" s="21">
        <f>SUMIFS(Einzelbeträge!$D:$D,Einzelbeträge!$C:$C,'Ausgaben 2028'!$C189,Einzelbeträge!$E:$E,'Ausgaben 2028'!M$6)</f>
        <v>0</v>
      </c>
      <c r="N189" s="35">
        <f>SUMIFS(Einzelbeträge!$D:$D,Einzelbeträge!$C:$C,'Ausgaben 2028'!$C189,Einzelbeträge!$E:$E,'Ausgaben 2028'!N$6)</f>
        <v>0</v>
      </c>
      <c r="O189" s="6"/>
    </row>
    <row r="190" spans="2:15" x14ac:dyDescent="0.35">
      <c r="B190" s="5"/>
      <c r="C190" s="30">
        <f t="shared" si="21"/>
        <v>46921</v>
      </c>
      <c r="D190" s="46">
        <f>SUMIFS(Einzelbeträge!$D:$D,Einzelbeträge!$C:$C,'Ausgaben 2028'!$C190)</f>
        <v>0</v>
      </c>
      <c r="E190" s="21">
        <f>SUMIFS(Einzelbeträge!$D:$D,Einzelbeträge!$C:$C,'Ausgaben 2028'!$C190,Einzelbeträge!$E:$E,'Ausgaben 2028'!E$6)</f>
        <v>0</v>
      </c>
      <c r="F190" s="21">
        <f>SUMIFS(Einzelbeträge!$D:$D,Einzelbeträge!$C:$C,'Ausgaben 2028'!$C190,Einzelbeträge!$E:$E,'Ausgaben 2028'!F$6)</f>
        <v>0</v>
      </c>
      <c r="G190" s="21">
        <f>SUMIFS(Einzelbeträge!$D:$D,Einzelbeträge!$C:$C,'Ausgaben 2028'!$C190,Einzelbeträge!$E:$E,'Ausgaben 2028'!G$6)</f>
        <v>0</v>
      </c>
      <c r="H190" s="21">
        <f>SUMIFS(Einzelbeträge!$D:$D,Einzelbeträge!$C:$C,'Ausgaben 2028'!$C190,Einzelbeträge!$E:$E,'Ausgaben 2028'!H$6)</f>
        <v>0</v>
      </c>
      <c r="I190" s="21">
        <f>SUMIFS(Einzelbeträge!$D:$D,Einzelbeträge!$C:$C,'Ausgaben 2028'!$C190,Einzelbeträge!$E:$E,'Ausgaben 2028'!I$6)</f>
        <v>0</v>
      </c>
      <c r="J190" s="21">
        <f>SUMIFS(Einzelbeträge!$D:$D,Einzelbeträge!$C:$C,'Ausgaben 2028'!$C190,Einzelbeträge!$E:$E,'Ausgaben 2028'!J$6)</f>
        <v>0</v>
      </c>
      <c r="K190" s="21">
        <f>SUMIFS(Einzelbeträge!$D:$D,Einzelbeträge!$C:$C,'Ausgaben 2028'!$C190,Einzelbeträge!$E:$E,'Ausgaben 2028'!K$6)</f>
        <v>0</v>
      </c>
      <c r="L190" s="21">
        <f>SUMIFS(Einzelbeträge!$D:$D,Einzelbeträge!$C:$C,'Ausgaben 2028'!$C190,Einzelbeträge!$E:$E,'Ausgaben 2028'!L$6)</f>
        <v>0</v>
      </c>
      <c r="M190" s="21">
        <f>SUMIFS(Einzelbeträge!$D:$D,Einzelbeträge!$C:$C,'Ausgaben 2028'!$C190,Einzelbeträge!$E:$E,'Ausgaben 2028'!M$6)</f>
        <v>0</v>
      </c>
      <c r="N190" s="35">
        <f>SUMIFS(Einzelbeträge!$D:$D,Einzelbeträge!$C:$C,'Ausgaben 2028'!$C190,Einzelbeträge!$E:$E,'Ausgaben 2028'!N$6)</f>
        <v>0</v>
      </c>
      <c r="O190" s="6"/>
    </row>
    <row r="191" spans="2:15" x14ac:dyDescent="0.35">
      <c r="B191" s="5"/>
      <c r="C191" s="30">
        <f t="shared" si="21"/>
        <v>46922</v>
      </c>
      <c r="D191" s="46">
        <f>SUMIFS(Einzelbeträge!$D:$D,Einzelbeträge!$C:$C,'Ausgaben 2028'!$C191)</f>
        <v>0</v>
      </c>
      <c r="E191" s="21">
        <f>SUMIFS(Einzelbeträge!$D:$D,Einzelbeträge!$C:$C,'Ausgaben 2028'!$C191,Einzelbeträge!$E:$E,'Ausgaben 2028'!E$6)</f>
        <v>0</v>
      </c>
      <c r="F191" s="21">
        <f>SUMIFS(Einzelbeträge!$D:$D,Einzelbeträge!$C:$C,'Ausgaben 2028'!$C191,Einzelbeträge!$E:$E,'Ausgaben 2028'!F$6)</f>
        <v>0</v>
      </c>
      <c r="G191" s="21">
        <f>SUMIFS(Einzelbeträge!$D:$D,Einzelbeträge!$C:$C,'Ausgaben 2028'!$C191,Einzelbeträge!$E:$E,'Ausgaben 2028'!G$6)</f>
        <v>0</v>
      </c>
      <c r="H191" s="21">
        <f>SUMIFS(Einzelbeträge!$D:$D,Einzelbeträge!$C:$C,'Ausgaben 2028'!$C191,Einzelbeträge!$E:$E,'Ausgaben 2028'!H$6)</f>
        <v>0</v>
      </c>
      <c r="I191" s="21">
        <f>SUMIFS(Einzelbeträge!$D:$D,Einzelbeträge!$C:$C,'Ausgaben 2028'!$C191,Einzelbeträge!$E:$E,'Ausgaben 2028'!I$6)</f>
        <v>0</v>
      </c>
      <c r="J191" s="21">
        <f>SUMIFS(Einzelbeträge!$D:$D,Einzelbeträge!$C:$C,'Ausgaben 2028'!$C191,Einzelbeträge!$E:$E,'Ausgaben 2028'!J$6)</f>
        <v>0</v>
      </c>
      <c r="K191" s="21">
        <f>SUMIFS(Einzelbeträge!$D:$D,Einzelbeträge!$C:$C,'Ausgaben 2028'!$C191,Einzelbeträge!$E:$E,'Ausgaben 2028'!K$6)</f>
        <v>0</v>
      </c>
      <c r="L191" s="21">
        <f>SUMIFS(Einzelbeträge!$D:$D,Einzelbeträge!$C:$C,'Ausgaben 2028'!$C191,Einzelbeträge!$E:$E,'Ausgaben 2028'!L$6)</f>
        <v>0</v>
      </c>
      <c r="M191" s="21">
        <f>SUMIFS(Einzelbeträge!$D:$D,Einzelbeträge!$C:$C,'Ausgaben 2028'!$C191,Einzelbeträge!$E:$E,'Ausgaben 2028'!M$6)</f>
        <v>0</v>
      </c>
      <c r="N191" s="35">
        <f>SUMIFS(Einzelbeträge!$D:$D,Einzelbeträge!$C:$C,'Ausgaben 2028'!$C191,Einzelbeträge!$E:$E,'Ausgaben 2028'!N$6)</f>
        <v>0</v>
      </c>
      <c r="O191" s="6"/>
    </row>
    <row r="192" spans="2:15" x14ac:dyDescent="0.35">
      <c r="B192" s="5"/>
      <c r="C192" s="30">
        <f t="shared" si="21"/>
        <v>46923</v>
      </c>
      <c r="D192" s="46">
        <f>SUMIFS(Einzelbeträge!$D:$D,Einzelbeträge!$C:$C,'Ausgaben 2028'!$C192)</f>
        <v>0</v>
      </c>
      <c r="E192" s="21">
        <f>SUMIFS(Einzelbeträge!$D:$D,Einzelbeträge!$C:$C,'Ausgaben 2028'!$C192,Einzelbeträge!$E:$E,'Ausgaben 2028'!E$6)</f>
        <v>0</v>
      </c>
      <c r="F192" s="21">
        <f>SUMIFS(Einzelbeträge!$D:$D,Einzelbeträge!$C:$C,'Ausgaben 2028'!$C192,Einzelbeträge!$E:$E,'Ausgaben 2028'!F$6)</f>
        <v>0</v>
      </c>
      <c r="G192" s="21">
        <f>SUMIFS(Einzelbeträge!$D:$D,Einzelbeträge!$C:$C,'Ausgaben 2028'!$C192,Einzelbeträge!$E:$E,'Ausgaben 2028'!G$6)</f>
        <v>0</v>
      </c>
      <c r="H192" s="21">
        <f>SUMIFS(Einzelbeträge!$D:$D,Einzelbeträge!$C:$C,'Ausgaben 2028'!$C192,Einzelbeträge!$E:$E,'Ausgaben 2028'!H$6)</f>
        <v>0</v>
      </c>
      <c r="I192" s="21">
        <f>SUMIFS(Einzelbeträge!$D:$D,Einzelbeträge!$C:$C,'Ausgaben 2028'!$C192,Einzelbeträge!$E:$E,'Ausgaben 2028'!I$6)</f>
        <v>0</v>
      </c>
      <c r="J192" s="21">
        <f>SUMIFS(Einzelbeträge!$D:$D,Einzelbeträge!$C:$C,'Ausgaben 2028'!$C192,Einzelbeträge!$E:$E,'Ausgaben 2028'!J$6)</f>
        <v>0</v>
      </c>
      <c r="K192" s="21">
        <f>SUMIFS(Einzelbeträge!$D:$D,Einzelbeträge!$C:$C,'Ausgaben 2028'!$C192,Einzelbeträge!$E:$E,'Ausgaben 2028'!K$6)</f>
        <v>0</v>
      </c>
      <c r="L192" s="21">
        <f>SUMIFS(Einzelbeträge!$D:$D,Einzelbeträge!$C:$C,'Ausgaben 2028'!$C192,Einzelbeträge!$E:$E,'Ausgaben 2028'!L$6)</f>
        <v>0</v>
      </c>
      <c r="M192" s="21">
        <f>SUMIFS(Einzelbeträge!$D:$D,Einzelbeträge!$C:$C,'Ausgaben 2028'!$C192,Einzelbeträge!$E:$E,'Ausgaben 2028'!M$6)</f>
        <v>0</v>
      </c>
      <c r="N192" s="35">
        <f>SUMIFS(Einzelbeträge!$D:$D,Einzelbeträge!$C:$C,'Ausgaben 2028'!$C192,Einzelbeträge!$E:$E,'Ausgaben 2028'!N$6)</f>
        <v>0</v>
      </c>
      <c r="O192" s="6"/>
    </row>
    <row r="193" spans="2:15" x14ac:dyDescent="0.35">
      <c r="B193" s="5"/>
      <c r="C193" s="30">
        <f t="shared" si="21"/>
        <v>46924</v>
      </c>
      <c r="D193" s="46">
        <f>SUMIFS(Einzelbeträge!$D:$D,Einzelbeträge!$C:$C,'Ausgaben 2028'!$C193)</f>
        <v>0</v>
      </c>
      <c r="E193" s="21">
        <f>SUMIFS(Einzelbeträge!$D:$D,Einzelbeträge!$C:$C,'Ausgaben 2028'!$C193,Einzelbeträge!$E:$E,'Ausgaben 2028'!E$6)</f>
        <v>0</v>
      </c>
      <c r="F193" s="21">
        <f>SUMIFS(Einzelbeträge!$D:$D,Einzelbeträge!$C:$C,'Ausgaben 2028'!$C193,Einzelbeträge!$E:$E,'Ausgaben 2028'!F$6)</f>
        <v>0</v>
      </c>
      <c r="G193" s="21">
        <f>SUMIFS(Einzelbeträge!$D:$D,Einzelbeträge!$C:$C,'Ausgaben 2028'!$C193,Einzelbeträge!$E:$E,'Ausgaben 2028'!G$6)</f>
        <v>0</v>
      </c>
      <c r="H193" s="21">
        <f>SUMIFS(Einzelbeträge!$D:$D,Einzelbeträge!$C:$C,'Ausgaben 2028'!$C193,Einzelbeträge!$E:$E,'Ausgaben 2028'!H$6)</f>
        <v>0</v>
      </c>
      <c r="I193" s="21">
        <f>SUMIFS(Einzelbeträge!$D:$D,Einzelbeträge!$C:$C,'Ausgaben 2028'!$C193,Einzelbeträge!$E:$E,'Ausgaben 2028'!I$6)</f>
        <v>0</v>
      </c>
      <c r="J193" s="21">
        <f>SUMIFS(Einzelbeträge!$D:$D,Einzelbeträge!$C:$C,'Ausgaben 2028'!$C193,Einzelbeträge!$E:$E,'Ausgaben 2028'!J$6)</f>
        <v>0</v>
      </c>
      <c r="K193" s="21">
        <f>SUMIFS(Einzelbeträge!$D:$D,Einzelbeträge!$C:$C,'Ausgaben 2028'!$C193,Einzelbeträge!$E:$E,'Ausgaben 2028'!K$6)</f>
        <v>0</v>
      </c>
      <c r="L193" s="21">
        <f>SUMIFS(Einzelbeträge!$D:$D,Einzelbeträge!$C:$C,'Ausgaben 2028'!$C193,Einzelbeträge!$E:$E,'Ausgaben 2028'!L$6)</f>
        <v>0</v>
      </c>
      <c r="M193" s="21">
        <f>SUMIFS(Einzelbeträge!$D:$D,Einzelbeträge!$C:$C,'Ausgaben 2028'!$C193,Einzelbeträge!$E:$E,'Ausgaben 2028'!M$6)</f>
        <v>0</v>
      </c>
      <c r="N193" s="35">
        <f>SUMIFS(Einzelbeträge!$D:$D,Einzelbeträge!$C:$C,'Ausgaben 2028'!$C193,Einzelbeträge!$E:$E,'Ausgaben 2028'!N$6)</f>
        <v>0</v>
      </c>
      <c r="O193" s="6"/>
    </row>
    <row r="194" spans="2:15" x14ac:dyDescent="0.35">
      <c r="B194" s="5"/>
      <c r="C194" s="30">
        <f t="shared" si="21"/>
        <v>46925</v>
      </c>
      <c r="D194" s="46">
        <f>SUMIFS(Einzelbeträge!$D:$D,Einzelbeträge!$C:$C,'Ausgaben 2028'!$C194)</f>
        <v>0</v>
      </c>
      <c r="E194" s="21">
        <f>SUMIFS(Einzelbeträge!$D:$D,Einzelbeträge!$C:$C,'Ausgaben 2028'!$C194,Einzelbeträge!$E:$E,'Ausgaben 2028'!E$6)</f>
        <v>0</v>
      </c>
      <c r="F194" s="21">
        <f>SUMIFS(Einzelbeträge!$D:$D,Einzelbeträge!$C:$C,'Ausgaben 2028'!$C194,Einzelbeträge!$E:$E,'Ausgaben 2028'!F$6)</f>
        <v>0</v>
      </c>
      <c r="G194" s="21">
        <f>SUMIFS(Einzelbeträge!$D:$D,Einzelbeträge!$C:$C,'Ausgaben 2028'!$C194,Einzelbeträge!$E:$E,'Ausgaben 2028'!G$6)</f>
        <v>0</v>
      </c>
      <c r="H194" s="21">
        <f>SUMIFS(Einzelbeträge!$D:$D,Einzelbeträge!$C:$C,'Ausgaben 2028'!$C194,Einzelbeträge!$E:$E,'Ausgaben 2028'!H$6)</f>
        <v>0</v>
      </c>
      <c r="I194" s="21">
        <f>SUMIFS(Einzelbeträge!$D:$D,Einzelbeträge!$C:$C,'Ausgaben 2028'!$C194,Einzelbeträge!$E:$E,'Ausgaben 2028'!I$6)</f>
        <v>0</v>
      </c>
      <c r="J194" s="21">
        <f>SUMIFS(Einzelbeträge!$D:$D,Einzelbeträge!$C:$C,'Ausgaben 2028'!$C194,Einzelbeträge!$E:$E,'Ausgaben 2028'!J$6)</f>
        <v>0</v>
      </c>
      <c r="K194" s="21">
        <f>SUMIFS(Einzelbeträge!$D:$D,Einzelbeträge!$C:$C,'Ausgaben 2028'!$C194,Einzelbeträge!$E:$E,'Ausgaben 2028'!K$6)</f>
        <v>0</v>
      </c>
      <c r="L194" s="21">
        <f>SUMIFS(Einzelbeträge!$D:$D,Einzelbeträge!$C:$C,'Ausgaben 2028'!$C194,Einzelbeträge!$E:$E,'Ausgaben 2028'!L$6)</f>
        <v>0</v>
      </c>
      <c r="M194" s="21">
        <f>SUMIFS(Einzelbeträge!$D:$D,Einzelbeträge!$C:$C,'Ausgaben 2028'!$C194,Einzelbeträge!$E:$E,'Ausgaben 2028'!M$6)</f>
        <v>0</v>
      </c>
      <c r="N194" s="35">
        <f>SUMIFS(Einzelbeträge!$D:$D,Einzelbeträge!$C:$C,'Ausgaben 2028'!$C194,Einzelbeträge!$E:$E,'Ausgaben 2028'!N$6)</f>
        <v>0</v>
      </c>
      <c r="O194" s="6"/>
    </row>
    <row r="195" spans="2:15" x14ac:dyDescent="0.35">
      <c r="B195" s="5"/>
      <c r="C195" s="30">
        <f t="shared" si="21"/>
        <v>46926</v>
      </c>
      <c r="D195" s="46">
        <f>SUMIFS(Einzelbeträge!$D:$D,Einzelbeträge!$C:$C,'Ausgaben 2028'!$C195)</f>
        <v>0</v>
      </c>
      <c r="E195" s="21">
        <f>SUMIFS(Einzelbeträge!$D:$D,Einzelbeträge!$C:$C,'Ausgaben 2028'!$C195,Einzelbeträge!$E:$E,'Ausgaben 2028'!E$6)</f>
        <v>0</v>
      </c>
      <c r="F195" s="21">
        <f>SUMIFS(Einzelbeträge!$D:$D,Einzelbeträge!$C:$C,'Ausgaben 2028'!$C195,Einzelbeträge!$E:$E,'Ausgaben 2028'!F$6)</f>
        <v>0</v>
      </c>
      <c r="G195" s="21">
        <f>SUMIFS(Einzelbeträge!$D:$D,Einzelbeträge!$C:$C,'Ausgaben 2028'!$C195,Einzelbeträge!$E:$E,'Ausgaben 2028'!G$6)</f>
        <v>0</v>
      </c>
      <c r="H195" s="21">
        <f>SUMIFS(Einzelbeträge!$D:$D,Einzelbeträge!$C:$C,'Ausgaben 2028'!$C195,Einzelbeträge!$E:$E,'Ausgaben 2028'!H$6)</f>
        <v>0</v>
      </c>
      <c r="I195" s="21">
        <f>SUMIFS(Einzelbeträge!$D:$D,Einzelbeträge!$C:$C,'Ausgaben 2028'!$C195,Einzelbeträge!$E:$E,'Ausgaben 2028'!I$6)</f>
        <v>0</v>
      </c>
      <c r="J195" s="21">
        <f>SUMIFS(Einzelbeträge!$D:$D,Einzelbeträge!$C:$C,'Ausgaben 2028'!$C195,Einzelbeträge!$E:$E,'Ausgaben 2028'!J$6)</f>
        <v>0</v>
      </c>
      <c r="K195" s="21">
        <f>SUMIFS(Einzelbeträge!$D:$D,Einzelbeträge!$C:$C,'Ausgaben 2028'!$C195,Einzelbeträge!$E:$E,'Ausgaben 2028'!K$6)</f>
        <v>0</v>
      </c>
      <c r="L195" s="21">
        <f>SUMIFS(Einzelbeträge!$D:$D,Einzelbeträge!$C:$C,'Ausgaben 2028'!$C195,Einzelbeträge!$E:$E,'Ausgaben 2028'!L$6)</f>
        <v>0</v>
      </c>
      <c r="M195" s="21">
        <f>SUMIFS(Einzelbeträge!$D:$D,Einzelbeträge!$C:$C,'Ausgaben 2028'!$C195,Einzelbeträge!$E:$E,'Ausgaben 2028'!M$6)</f>
        <v>0</v>
      </c>
      <c r="N195" s="35">
        <f>SUMIFS(Einzelbeträge!$D:$D,Einzelbeträge!$C:$C,'Ausgaben 2028'!$C195,Einzelbeträge!$E:$E,'Ausgaben 2028'!N$6)</f>
        <v>0</v>
      </c>
      <c r="O195" s="6"/>
    </row>
    <row r="196" spans="2:15" x14ac:dyDescent="0.35">
      <c r="B196" s="5"/>
      <c r="C196" s="30">
        <f t="shared" si="21"/>
        <v>46927</v>
      </c>
      <c r="D196" s="46">
        <f>SUMIFS(Einzelbeträge!$D:$D,Einzelbeträge!$C:$C,'Ausgaben 2028'!$C196)</f>
        <v>0</v>
      </c>
      <c r="E196" s="21">
        <f>SUMIFS(Einzelbeträge!$D:$D,Einzelbeträge!$C:$C,'Ausgaben 2028'!$C196,Einzelbeträge!$E:$E,'Ausgaben 2028'!E$6)</f>
        <v>0</v>
      </c>
      <c r="F196" s="21">
        <f>SUMIFS(Einzelbeträge!$D:$D,Einzelbeträge!$C:$C,'Ausgaben 2028'!$C196,Einzelbeträge!$E:$E,'Ausgaben 2028'!F$6)</f>
        <v>0</v>
      </c>
      <c r="G196" s="21">
        <f>SUMIFS(Einzelbeträge!$D:$D,Einzelbeträge!$C:$C,'Ausgaben 2028'!$C196,Einzelbeträge!$E:$E,'Ausgaben 2028'!G$6)</f>
        <v>0</v>
      </c>
      <c r="H196" s="21">
        <f>SUMIFS(Einzelbeträge!$D:$D,Einzelbeträge!$C:$C,'Ausgaben 2028'!$C196,Einzelbeträge!$E:$E,'Ausgaben 2028'!H$6)</f>
        <v>0</v>
      </c>
      <c r="I196" s="21">
        <f>SUMIFS(Einzelbeträge!$D:$D,Einzelbeträge!$C:$C,'Ausgaben 2028'!$C196,Einzelbeträge!$E:$E,'Ausgaben 2028'!I$6)</f>
        <v>0</v>
      </c>
      <c r="J196" s="21">
        <f>SUMIFS(Einzelbeträge!$D:$D,Einzelbeträge!$C:$C,'Ausgaben 2028'!$C196,Einzelbeträge!$E:$E,'Ausgaben 2028'!J$6)</f>
        <v>0</v>
      </c>
      <c r="K196" s="21">
        <f>SUMIFS(Einzelbeträge!$D:$D,Einzelbeträge!$C:$C,'Ausgaben 2028'!$C196,Einzelbeträge!$E:$E,'Ausgaben 2028'!K$6)</f>
        <v>0</v>
      </c>
      <c r="L196" s="21">
        <f>SUMIFS(Einzelbeträge!$D:$D,Einzelbeträge!$C:$C,'Ausgaben 2028'!$C196,Einzelbeträge!$E:$E,'Ausgaben 2028'!L$6)</f>
        <v>0</v>
      </c>
      <c r="M196" s="21">
        <f>SUMIFS(Einzelbeträge!$D:$D,Einzelbeträge!$C:$C,'Ausgaben 2028'!$C196,Einzelbeträge!$E:$E,'Ausgaben 2028'!M$6)</f>
        <v>0</v>
      </c>
      <c r="N196" s="35">
        <f>SUMIFS(Einzelbeträge!$D:$D,Einzelbeträge!$C:$C,'Ausgaben 2028'!$C196,Einzelbeträge!$E:$E,'Ausgaben 2028'!N$6)</f>
        <v>0</v>
      </c>
      <c r="O196" s="6"/>
    </row>
    <row r="197" spans="2:15" x14ac:dyDescent="0.35">
      <c r="B197" s="5"/>
      <c r="C197" s="30">
        <f t="shared" si="21"/>
        <v>46928</v>
      </c>
      <c r="D197" s="46">
        <f>SUMIFS(Einzelbeträge!$D:$D,Einzelbeträge!$C:$C,'Ausgaben 2028'!$C197)</f>
        <v>0</v>
      </c>
      <c r="E197" s="21">
        <f>SUMIFS(Einzelbeträge!$D:$D,Einzelbeträge!$C:$C,'Ausgaben 2028'!$C197,Einzelbeträge!$E:$E,'Ausgaben 2028'!E$6)</f>
        <v>0</v>
      </c>
      <c r="F197" s="21">
        <f>SUMIFS(Einzelbeträge!$D:$D,Einzelbeträge!$C:$C,'Ausgaben 2028'!$C197,Einzelbeträge!$E:$E,'Ausgaben 2028'!F$6)</f>
        <v>0</v>
      </c>
      <c r="G197" s="21">
        <f>SUMIFS(Einzelbeträge!$D:$D,Einzelbeträge!$C:$C,'Ausgaben 2028'!$C197,Einzelbeträge!$E:$E,'Ausgaben 2028'!G$6)</f>
        <v>0</v>
      </c>
      <c r="H197" s="21">
        <f>SUMIFS(Einzelbeträge!$D:$D,Einzelbeträge!$C:$C,'Ausgaben 2028'!$C197,Einzelbeträge!$E:$E,'Ausgaben 2028'!H$6)</f>
        <v>0</v>
      </c>
      <c r="I197" s="21">
        <f>SUMIFS(Einzelbeträge!$D:$D,Einzelbeträge!$C:$C,'Ausgaben 2028'!$C197,Einzelbeträge!$E:$E,'Ausgaben 2028'!I$6)</f>
        <v>0</v>
      </c>
      <c r="J197" s="21">
        <f>SUMIFS(Einzelbeträge!$D:$D,Einzelbeträge!$C:$C,'Ausgaben 2028'!$C197,Einzelbeträge!$E:$E,'Ausgaben 2028'!J$6)</f>
        <v>0</v>
      </c>
      <c r="K197" s="21">
        <f>SUMIFS(Einzelbeträge!$D:$D,Einzelbeträge!$C:$C,'Ausgaben 2028'!$C197,Einzelbeträge!$E:$E,'Ausgaben 2028'!K$6)</f>
        <v>0</v>
      </c>
      <c r="L197" s="21">
        <f>SUMIFS(Einzelbeträge!$D:$D,Einzelbeträge!$C:$C,'Ausgaben 2028'!$C197,Einzelbeträge!$E:$E,'Ausgaben 2028'!L$6)</f>
        <v>0</v>
      </c>
      <c r="M197" s="21">
        <f>SUMIFS(Einzelbeträge!$D:$D,Einzelbeträge!$C:$C,'Ausgaben 2028'!$C197,Einzelbeträge!$E:$E,'Ausgaben 2028'!M$6)</f>
        <v>0</v>
      </c>
      <c r="N197" s="35">
        <f>SUMIFS(Einzelbeträge!$D:$D,Einzelbeträge!$C:$C,'Ausgaben 2028'!$C197,Einzelbeträge!$E:$E,'Ausgaben 2028'!N$6)</f>
        <v>0</v>
      </c>
      <c r="O197" s="6"/>
    </row>
    <row r="198" spans="2:15" x14ac:dyDescent="0.35">
      <c r="B198" s="5"/>
      <c r="C198" s="30">
        <f t="shared" si="21"/>
        <v>46929</v>
      </c>
      <c r="D198" s="46">
        <f>SUMIFS(Einzelbeträge!$D:$D,Einzelbeträge!$C:$C,'Ausgaben 2028'!$C198)</f>
        <v>0</v>
      </c>
      <c r="E198" s="21">
        <f>SUMIFS(Einzelbeträge!$D:$D,Einzelbeträge!$C:$C,'Ausgaben 2028'!$C198,Einzelbeträge!$E:$E,'Ausgaben 2028'!E$6)</f>
        <v>0</v>
      </c>
      <c r="F198" s="21">
        <f>SUMIFS(Einzelbeträge!$D:$D,Einzelbeträge!$C:$C,'Ausgaben 2028'!$C198,Einzelbeträge!$E:$E,'Ausgaben 2028'!F$6)</f>
        <v>0</v>
      </c>
      <c r="G198" s="21">
        <f>SUMIFS(Einzelbeträge!$D:$D,Einzelbeträge!$C:$C,'Ausgaben 2028'!$C198,Einzelbeträge!$E:$E,'Ausgaben 2028'!G$6)</f>
        <v>0</v>
      </c>
      <c r="H198" s="21">
        <f>SUMIFS(Einzelbeträge!$D:$D,Einzelbeträge!$C:$C,'Ausgaben 2028'!$C198,Einzelbeträge!$E:$E,'Ausgaben 2028'!H$6)</f>
        <v>0</v>
      </c>
      <c r="I198" s="21">
        <f>SUMIFS(Einzelbeträge!$D:$D,Einzelbeträge!$C:$C,'Ausgaben 2028'!$C198,Einzelbeträge!$E:$E,'Ausgaben 2028'!I$6)</f>
        <v>0</v>
      </c>
      <c r="J198" s="21">
        <f>SUMIFS(Einzelbeträge!$D:$D,Einzelbeträge!$C:$C,'Ausgaben 2028'!$C198,Einzelbeträge!$E:$E,'Ausgaben 2028'!J$6)</f>
        <v>0</v>
      </c>
      <c r="K198" s="21">
        <f>SUMIFS(Einzelbeträge!$D:$D,Einzelbeträge!$C:$C,'Ausgaben 2028'!$C198,Einzelbeträge!$E:$E,'Ausgaben 2028'!K$6)</f>
        <v>0</v>
      </c>
      <c r="L198" s="21">
        <f>SUMIFS(Einzelbeträge!$D:$D,Einzelbeträge!$C:$C,'Ausgaben 2028'!$C198,Einzelbeträge!$E:$E,'Ausgaben 2028'!L$6)</f>
        <v>0</v>
      </c>
      <c r="M198" s="21">
        <f>SUMIFS(Einzelbeträge!$D:$D,Einzelbeträge!$C:$C,'Ausgaben 2028'!$C198,Einzelbeträge!$E:$E,'Ausgaben 2028'!M$6)</f>
        <v>0</v>
      </c>
      <c r="N198" s="35">
        <f>SUMIFS(Einzelbeträge!$D:$D,Einzelbeträge!$C:$C,'Ausgaben 2028'!$C198,Einzelbeträge!$E:$E,'Ausgaben 2028'!N$6)</f>
        <v>0</v>
      </c>
      <c r="O198" s="6"/>
    </row>
    <row r="199" spans="2:15" x14ac:dyDescent="0.35">
      <c r="B199" s="5"/>
      <c r="C199" s="30">
        <f t="shared" si="21"/>
        <v>46930</v>
      </c>
      <c r="D199" s="46">
        <f>SUMIFS(Einzelbeträge!$D:$D,Einzelbeträge!$C:$C,'Ausgaben 2028'!$C199)</f>
        <v>0</v>
      </c>
      <c r="E199" s="21">
        <f>SUMIFS(Einzelbeträge!$D:$D,Einzelbeträge!$C:$C,'Ausgaben 2028'!$C199,Einzelbeträge!$E:$E,'Ausgaben 2028'!E$6)</f>
        <v>0</v>
      </c>
      <c r="F199" s="21">
        <f>SUMIFS(Einzelbeträge!$D:$D,Einzelbeträge!$C:$C,'Ausgaben 2028'!$C199,Einzelbeträge!$E:$E,'Ausgaben 2028'!F$6)</f>
        <v>0</v>
      </c>
      <c r="G199" s="21">
        <f>SUMIFS(Einzelbeträge!$D:$D,Einzelbeträge!$C:$C,'Ausgaben 2028'!$C199,Einzelbeträge!$E:$E,'Ausgaben 2028'!G$6)</f>
        <v>0</v>
      </c>
      <c r="H199" s="21">
        <f>SUMIFS(Einzelbeträge!$D:$D,Einzelbeträge!$C:$C,'Ausgaben 2028'!$C199,Einzelbeträge!$E:$E,'Ausgaben 2028'!H$6)</f>
        <v>0</v>
      </c>
      <c r="I199" s="21">
        <f>SUMIFS(Einzelbeträge!$D:$D,Einzelbeträge!$C:$C,'Ausgaben 2028'!$C199,Einzelbeträge!$E:$E,'Ausgaben 2028'!I$6)</f>
        <v>0</v>
      </c>
      <c r="J199" s="21">
        <f>SUMIFS(Einzelbeträge!$D:$D,Einzelbeträge!$C:$C,'Ausgaben 2028'!$C199,Einzelbeträge!$E:$E,'Ausgaben 2028'!J$6)</f>
        <v>0</v>
      </c>
      <c r="K199" s="21">
        <f>SUMIFS(Einzelbeträge!$D:$D,Einzelbeträge!$C:$C,'Ausgaben 2028'!$C199,Einzelbeträge!$E:$E,'Ausgaben 2028'!K$6)</f>
        <v>0</v>
      </c>
      <c r="L199" s="21">
        <f>SUMIFS(Einzelbeträge!$D:$D,Einzelbeträge!$C:$C,'Ausgaben 2028'!$C199,Einzelbeträge!$E:$E,'Ausgaben 2028'!L$6)</f>
        <v>0</v>
      </c>
      <c r="M199" s="21">
        <f>SUMIFS(Einzelbeträge!$D:$D,Einzelbeträge!$C:$C,'Ausgaben 2028'!$C199,Einzelbeträge!$E:$E,'Ausgaben 2028'!M$6)</f>
        <v>0</v>
      </c>
      <c r="N199" s="35">
        <f>SUMIFS(Einzelbeträge!$D:$D,Einzelbeträge!$C:$C,'Ausgaben 2028'!$C199,Einzelbeträge!$E:$E,'Ausgaben 2028'!N$6)</f>
        <v>0</v>
      </c>
      <c r="O199" s="6"/>
    </row>
    <row r="200" spans="2:15" x14ac:dyDescent="0.35">
      <c r="B200" s="5"/>
      <c r="C200" s="30">
        <f t="shared" si="21"/>
        <v>46931</v>
      </c>
      <c r="D200" s="46">
        <f>SUMIFS(Einzelbeträge!$D:$D,Einzelbeträge!$C:$C,'Ausgaben 2028'!$C200)</f>
        <v>0</v>
      </c>
      <c r="E200" s="21">
        <f>SUMIFS(Einzelbeträge!$D:$D,Einzelbeträge!$C:$C,'Ausgaben 2028'!$C200,Einzelbeträge!$E:$E,'Ausgaben 2028'!E$6)</f>
        <v>0</v>
      </c>
      <c r="F200" s="21">
        <f>SUMIFS(Einzelbeträge!$D:$D,Einzelbeträge!$C:$C,'Ausgaben 2028'!$C200,Einzelbeträge!$E:$E,'Ausgaben 2028'!F$6)</f>
        <v>0</v>
      </c>
      <c r="G200" s="21">
        <f>SUMIFS(Einzelbeträge!$D:$D,Einzelbeträge!$C:$C,'Ausgaben 2028'!$C200,Einzelbeträge!$E:$E,'Ausgaben 2028'!G$6)</f>
        <v>0</v>
      </c>
      <c r="H200" s="21">
        <f>SUMIFS(Einzelbeträge!$D:$D,Einzelbeträge!$C:$C,'Ausgaben 2028'!$C200,Einzelbeträge!$E:$E,'Ausgaben 2028'!H$6)</f>
        <v>0</v>
      </c>
      <c r="I200" s="21">
        <f>SUMIFS(Einzelbeträge!$D:$D,Einzelbeträge!$C:$C,'Ausgaben 2028'!$C200,Einzelbeträge!$E:$E,'Ausgaben 2028'!I$6)</f>
        <v>0</v>
      </c>
      <c r="J200" s="21">
        <f>SUMIFS(Einzelbeträge!$D:$D,Einzelbeträge!$C:$C,'Ausgaben 2028'!$C200,Einzelbeträge!$E:$E,'Ausgaben 2028'!J$6)</f>
        <v>0</v>
      </c>
      <c r="K200" s="21">
        <f>SUMIFS(Einzelbeträge!$D:$D,Einzelbeträge!$C:$C,'Ausgaben 2028'!$C200,Einzelbeträge!$E:$E,'Ausgaben 2028'!K$6)</f>
        <v>0</v>
      </c>
      <c r="L200" s="21">
        <f>SUMIFS(Einzelbeträge!$D:$D,Einzelbeträge!$C:$C,'Ausgaben 2028'!$C200,Einzelbeträge!$E:$E,'Ausgaben 2028'!L$6)</f>
        <v>0</v>
      </c>
      <c r="M200" s="21">
        <f>SUMIFS(Einzelbeträge!$D:$D,Einzelbeträge!$C:$C,'Ausgaben 2028'!$C200,Einzelbeträge!$E:$E,'Ausgaben 2028'!M$6)</f>
        <v>0</v>
      </c>
      <c r="N200" s="35">
        <f>SUMIFS(Einzelbeträge!$D:$D,Einzelbeträge!$C:$C,'Ausgaben 2028'!$C200,Einzelbeträge!$E:$E,'Ausgaben 2028'!N$6)</f>
        <v>0</v>
      </c>
      <c r="O200" s="6"/>
    </row>
    <row r="201" spans="2:15" x14ac:dyDescent="0.35">
      <c r="B201" s="5"/>
      <c r="C201" s="30">
        <f t="shared" si="21"/>
        <v>46932</v>
      </c>
      <c r="D201" s="46">
        <f>SUMIFS(Einzelbeträge!$D:$D,Einzelbeträge!$C:$C,'Ausgaben 2028'!$C201)</f>
        <v>0</v>
      </c>
      <c r="E201" s="21">
        <f>SUMIFS(Einzelbeträge!$D:$D,Einzelbeträge!$C:$C,'Ausgaben 2028'!$C201,Einzelbeträge!$E:$E,'Ausgaben 2028'!E$6)</f>
        <v>0</v>
      </c>
      <c r="F201" s="21">
        <f>SUMIFS(Einzelbeträge!$D:$D,Einzelbeträge!$C:$C,'Ausgaben 2028'!$C201,Einzelbeträge!$E:$E,'Ausgaben 2028'!F$6)</f>
        <v>0</v>
      </c>
      <c r="G201" s="21">
        <f>SUMIFS(Einzelbeträge!$D:$D,Einzelbeträge!$C:$C,'Ausgaben 2028'!$C201,Einzelbeträge!$E:$E,'Ausgaben 2028'!G$6)</f>
        <v>0</v>
      </c>
      <c r="H201" s="21">
        <f>SUMIFS(Einzelbeträge!$D:$D,Einzelbeträge!$C:$C,'Ausgaben 2028'!$C201,Einzelbeträge!$E:$E,'Ausgaben 2028'!H$6)</f>
        <v>0</v>
      </c>
      <c r="I201" s="21">
        <f>SUMIFS(Einzelbeträge!$D:$D,Einzelbeträge!$C:$C,'Ausgaben 2028'!$C201,Einzelbeträge!$E:$E,'Ausgaben 2028'!I$6)</f>
        <v>0</v>
      </c>
      <c r="J201" s="21">
        <f>SUMIFS(Einzelbeträge!$D:$D,Einzelbeträge!$C:$C,'Ausgaben 2028'!$C201,Einzelbeträge!$E:$E,'Ausgaben 2028'!J$6)</f>
        <v>0</v>
      </c>
      <c r="K201" s="21">
        <f>SUMIFS(Einzelbeträge!$D:$D,Einzelbeträge!$C:$C,'Ausgaben 2028'!$C201,Einzelbeträge!$E:$E,'Ausgaben 2028'!K$6)</f>
        <v>0</v>
      </c>
      <c r="L201" s="21">
        <f>SUMIFS(Einzelbeträge!$D:$D,Einzelbeträge!$C:$C,'Ausgaben 2028'!$C201,Einzelbeträge!$E:$E,'Ausgaben 2028'!L$6)</f>
        <v>0</v>
      </c>
      <c r="M201" s="21">
        <f>SUMIFS(Einzelbeträge!$D:$D,Einzelbeträge!$C:$C,'Ausgaben 2028'!$C201,Einzelbeträge!$E:$E,'Ausgaben 2028'!M$6)</f>
        <v>0</v>
      </c>
      <c r="N201" s="35">
        <f>SUMIFS(Einzelbeträge!$D:$D,Einzelbeträge!$C:$C,'Ausgaben 2028'!$C201,Einzelbeträge!$E:$E,'Ausgaben 2028'!N$6)</f>
        <v>0</v>
      </c>
      <c r="O201" s="6"/>
    </row>
    <row r="202" spans="2:15" x14ac:dyDescent="0.35">
      <c r="B202" s="5"/>
      <c r="C202" s="30">
        <f t="shared" si="21"/>
        <v>46933</v>
      </c>
      <c r="D202" s="46">
        <f>SUMIFS(Einzelbeträge!$D:$D,Einzelbeträge!$C:$C,'Ausgaben 2028'!$C202)</f>
        <v>0</v>
      </c>
      <c r="E202" s="21">
        <f>SUMIFS(Einzelbeträge!$D:$D,Einzelbeträge!$C:$C,'Ausgaben 2028'!$C202,Einzelbeträge!$E:$E,'Ausgaben 2028'!E$6)</f>
        <v>0</v>
      </c>
      <c r="F202" s="21">
        <f>SUMIFS(Einzelbeträge!$D:$D,Einzelbeträge!$C:$C,'Ausgaben 2028'!$C202,Einzelbeträge!$E:$E,'Ausgaben 2028'!F$6)</f>
        <v>0</v>
      </c>
      <c r="G202" s="21">
        <f>SUMIFS(Einzelbeträge!$D:$D,Einzelbeträge!$C:$C,'Ausgaben 2028'!$C202,Einzelbeträge!$E:$E,'Ausgaben 2028'!G$6)</f>
        <v>0</v>
      </c>
      <c r="H202" s="21">
        <f>SUMIFS(Einzelbeträge!$D:$D,Einzelbeträge!$C:$C,'Ausgaben 2028'!$C202,Einzelbeträge!$E:$E,'Ausgaben 2028'!H$6)</f>
        <v>0</v>
      </c>
      <c r="I202" s="21">
        <f>SUMIFS(Einzelbeträge!$D:$D,Einzelbeträge!$C:$C,'Ausgaben 2028'!$C202,Einzelbeträge!$E:$E,'Ausgaben 2028'!I$6)</f>
        <v>0</v>
      </c>
      <c r="J202" s="21">
        <f>SUMIFS(Einzelbeträge!$D:$D,Einzelbeträge!$C:$C,'Ausgaben 2028'!$C202,Einzelbeträge!$E:$E,'Ausgaben 2028'!J$6)</f>
        <v>0</v>
      </c>
      <c r="K202" s="21">
        <f>SUMIFS(Einzelbeträge!$D:$D,Einzelbeträge!$C:$C,'Ausgaben 2028'!$C202,Einzelbeträge!$E:$E,'Ausgaben 2028'!K$6)</f>
        <v>0</v>
      </c>
      <c r="L202" s="21">
        <f>SUMIFS(Einzelbeträge!$D:$D,Einzelbeträge!$C:$C,'Ausgaben 2028'!$C202,Einzelbeträge!$E:$E,'Ausgaben 2028'!L$6)</f>
        <v>0</v>
      </c>
      <c r="M202" s="21">
        <f>SUMIFS(Einzelbeträge!$D:$D,Einzelbeträge!$C:$C,'Ausgaben 2028'!$C202,Einzelbeträge!$E:$E,'Ausgaben 2028'!M$6)</f>
        <v>0</v>
      </c>
      <c r="N202" s="35">
        <f>SUMIFS(Einzelbeträge!$D:$D,Einzelbeträge!$C:$C,'Ausgaben 2028'!$C202,Einzelbeträge!$E:$E,'Ausgaben 2028'!N$6)</f>
        <v>0</v>
      </c>
      <c r="O202" s="6"/>
    </row>
    <row r="203" spans="2:15" x14ac:dyDescent="0.35">
      <c r="B203" s="5"/>
      <c r="C203" s="31">
        <f t="shared" si="21"/>
        <v>46934</v>
      </c>
      <c r="D203" s="47">
        <f>SUMIFS(Einzelbeträge!$D:$D,Einzelbeträge!$C:$C,'Ausgaben 2028'!$C203)</f>
        <v>0</v>
      </c>
      <c r="E203" s="37">
        <f>SUMIFS(Einzelbeträge!$D:$D,Einzelbeträge!$C:$C,'Ausgaben 2028'!$C203,Einzelbeträge!$E:$E,'Ausgaben 2028'!E$6)</f>
        <v>0</v>
      </c>
      <c r="F203" s="37">
        <f>SUMIFS(Einzelbeträge!$D:$D,Einzelbeträge!$C:$C,'Ausgaben 2028'!$C203,Einzelbeträge!$E:$E,'Ausgaben 2028'!F$6)</f>
        <v>0</v>
      </c>
      <c r="G203" s="37">
        <f>SUMIFS(Einzelbeträge!$D:$D,Einzelbeträge!$C:$C,'Ausgaben 2028'!$C203,Einzelbeträge!$E:$E,'Ausgaben 2028'!G$6)</f>
        <v>0</v>
      </c>
      <c r="H203" s="37">
        <f>SUMIFS(Einzelbeträge!$D:$D,Einzelbeträge!$C:$C,'Ausgaben 2028'!$C203,Einzelbeträge!$E:$E,'Ausgaben 2028'!H$6)</f>
        <v>0</v>
      </c>
      <c r="I203" s="37">
        <f>SUMIFS(Einzelbeträge!$D:$D,Einzelbeträge!$C:$C,'Ausgaben 2028'!$C203,Einzelbeträge!$E:$E,'Ausgaben 2028'!I$6)</f>
        <v>0</v>
      </c>
      <c r="J203" s="37">
        <f>SUMIFS(Einzelbeträge!$D:$D,Einzelbeträge!$C:$C,'Ausgaben 2028'!$C203,Einzelbeträge!$E:$E,'Ausgaben 2028'!J$6)</f>
        <v>0</v>
      </c>
      <c r="K203" s="37">
        <f>SUMIFS(Einzelbeträge!$D:$D,Einzelbeträge!$C:$C,'Ausgaben 2028'!$C203,Einzelbeträge!$E:$E,'Ausgaben 2028'!K$6)</f>
        <v>0</v>
      </c>
      <c r="L203" s="37">
        <f>SUMIFS(Einzelbeträge!$D:$D,Einzelbeträge!$C:$C,'Ausgaben 2028'!$C203,Einzelbeträge!$E:$E,'Ausgaben 2028'!L$6)</f>
        <v>0</v>
      </c>
      <c r="M203" s="37">
        <f>SUMIFS(Einzelbeträge!$D:$D,Einzelbeträge!$C:$C,'Ausgaben 2028'!$C203,Einzelbeträge!$E:$E,'Ausgaben 2028'!M$6)</f>
        <v>0</v>
      </c>
      <c r="N203" s="38">
        <f>SUMIFS(Einzelbeträge!$D:$D,Einzelbeträge!$C:$C,'Ausgaben 2028'!$C203,Einzelbeträge!$E:$E,'Ausgaben 2028'!N$6)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46935</v>
      </c>
      <c r="D207" s="45">
        <f>SUMIFS(Einzelbeträge!$D:$D,Einzelbeträge!$C:$C,'Ausgaben 2028'!$C207)</f>
        <v>0</v>
      </c>
      <c r="E207" s="32">
        <f>SUMIFS(Einzelbeträge!$D:$D,Einzelbeträge!$C:$C,'Ausgaben 2028'!$C207,Einzelbeträge!$E:$E,'Ausgaben 2028'!E$6)</f>
        <v>0</v>
      </c>
      <c r="F207" s="32">
        <f>SUMIFS(Einzelbeträge!$D:$D,Einzelbeträge!$C:$C,'Ausgaben 2028'!$C207,Einzelbeträge!$E:$E,'Ausgaben 2028'!F$6)</f>
        <v>0</v>
      </c>
      <c r="G207" s="32">
        <f>SUMIFS(Einzelbeträge!$D:$D,Einzelbeträge!$C:$C,'Ausgaben 2028'!$C207,Einzelbeträge!$E:$E,'Ausgaben 2028'!G$6)</f>
        <v>0</v>
      </c>
      <c r="H207" s="32">
        <f>SUMIFS(Einzelbeträge!$D:$D,Einzelbeträge!$C:$C,'Ausgaben 2028'!$C207,Einzelbeträge!$E:$E,'Ausgaben 2028'!H$6)</f>
        <v>0</v>
      </c>
      <c r="I207" s="32">
        <f>SUMIFS(Einzelbeträge!$D:$D,Einzelbeträge!$C:$C,'Ausgaben 2028'!$C207,Einzelbeträge!$E:$E,'Ausgaben 2028'!I$6)</f>
        <v>0</v>
      </c>
      <c r="J207" s="32">
        <f>SUMIFS(Einzelbeträge!$D:$D,Einzelbeträge!$C:$C,'Ausgaben 2028'!$C207,Einzelbeträge!$E:$E,'Ausgaben 2028'!J$6)</f>
        <v>0</v>
      </c>
      <c r="K207" s="32">
        <f>SUMIFS(Einzelbeträge!$D:$D,Einzelbeträge!$C:$C,'Ausgaben 2028'!$C207,Einzelbeträge!$E:$E,'Ausgaben 2028'!K$6)</f>
        <v>0</v>
      </c>
      <c r="L207" s="32">
        <f>SUMIFS(Einzelbeträge!$D:$D,Einzelbeträge!$C:$C,'Ausgaben 2028'!$C207,Einzelbeträge!$E:$E,'Ausgaben 2028'!L$6)</f>
        <v>0</v>
      </c>
      <c r="M207" s="32">
        <f>SUMIFS(Einzelbeträge!$D:$D,Einzelbeträge!$C:$C,'Ausgaben 2028'!$C207,Einzelbeträge!$E:$E,'Ausgaben 2028'!M$6)</f>
        <v>0</v>
      </c>
      <c r="N207" s="33">
        <f>SUMIFS(Einzelbeträge!$D:$D,Einzelbeträge!$C:$C,'Ausgaben 2028'!$C207,Einzelbeträge!$E:$E,'Ausgaben 2028'!N$6)</f>
        <v>0</v>
      </c>
      <c r="O207" s="6"/>
    </row>
    <row r="208" spans="2:15" x14ac:dyDescent="0.35">
      <c r="B208" s="5"/>
      <c r="C208" s="40">
        <f>C207+1</f>
        <v>46936</v>
      </c>
      <c r="D208" s="46">
        <f>SUMIFS(Einzelbeträge!$D:$D,Einzelbeträge!$C:$C,'Ausgaben 2028'!$C208)</f>
        <v>0</v>
      </c>
      <c r="E208" s="21">
        <f>SUMIFS(Einzelbeträge!$D:$D,Einzelbeträge!$C:$C,'Ausgaben 2028'!$C208,Einzelbeträge!$E:$E,'Ausgaben 2028'!E$6)</f>
        <v>0</v>
      </c>
      <c r="F208" s="21">
        <f>SUMIFS(Einzelbeträge!$D:$D,Einzelbeträge!$C:$C,'Ausgaben 2028'!$C208,Einzelbeträge!$E:$E,'Ausgaben 2028'!F$6)</f>
        <v>0</v>
      </c>
      <c r="G208" s="21">
        <f>SUMIFS(Einzelbeträge!$D:$D,Einzelbeträge!$C:$C,'Ausgaben 2028'!$C208,Einzelbeträge!$E:$E,'Ausgaben 2028'!G$6)</f>
        <v>0</v>
      </c>
      <c r="H208" s="21">
        <f>SUMIFS(Einzelbeträge!$D:$D,Einzelbeträge!$C:$C,'Ausgaben 2028'!$C208,Einzelbeträge!$E:$E,'Ausgaben 2028'!H$6)</f>
        <v>0</v>
      </c>
      <c r="I208" s="21">
        <f>SUMIFS(Einzelbeträge!$D:$D,Einzelbeträge!$C:$C,'Ausgaben 2028'!$C208,Einzelbeträge!$E:$E,'Ausgaben 2028'!I$6)</f>
        <v>0</v>
      </c>
      <c r="J208" s="21">
        <f>SUMIFS(Einzelbeträge!$D:$D,Einzelbeträge!$C:$C,'Ausgaben 2028'!$C208,Einzelbeträge!$E:$E,'Ausgaben 2028'!J$6)</f>
        <v>0</v>
      </c>
      <c r="K208" s="21">
        <f>SUMIFS(Einzelbeträge!$D:$D,Einzelbeträge!$C:$C,'Ausgaben 2028'!$C208,Einzelbeträge!$E:$E,'Ausgaben 2028'!K$6)</f>
        <v>0</v>
      </c>
      <c r="L208" s="21">
        <f>SUMIFS(Einzelbeträge!$D:$D,Einzelbeträge!$C:$C,'Ausgaben 2028'!$C208,Einzelbeträge!$E:$E,'Ausgaben 2028'!L$6)</f>
        <v>0</v>
      </c>
      <c r="M208" s="21">
        <f>SUMIFS(Einzelbeträge!$D:$D,Einzelbeträge!$C:$C,'Ausgaben 2028'!$C208,Einzelbeträge!$E:$E,'Ausgaben 2028'!M$6)</f>
        <v>0</v>
      </c>
      <c r="N208" s="35">
        <f>SUMIFS(Einzelbeträge!$D:$D,Einzelbeträge!$C:$C,'Ausgaben 2028'!$C208,Einzelbeträge!$E:$E,'Ausgaben 2028'!N$6)</f>
        <v>0</v>
      </c>
      <c r="O208" s="6"/>
    </row>
    <row r="209" spans="2:15" x14ac:dyDescent="0.35">
      <c r="B209" s="5"/>
      <c r="C209" s="40">
        <f t="shared" ref="C209:C237" si="22">C208+1</f>
        <v>46937</v>
      </c>
      <c r="D209" s="46">
        <f>SUMIFS(Einzelbeträge!$D:$D,Einzelbeträge!$C:$C,'Ausgaben 2028'!$C209)</f>
        <v>0</v>
      </c>
      <c r="E209" s="21">
        <f>SUMIFS(Einzelbeträge!$D:$D,Einzelbeträge!$C:$C,'Ausgaben 2028'!$C209,Einzelbeträge!$E:$E,'Ausgaben 2028'!E$6)</f>
        <v>0</v>
      </c>
      <c r="F209" s="21">
        <f>SUMIFS(Einzelbeträge!$D:$D,Einzelbeträge!$C:$C,'Ausgaben 2028'!$C209,Einzelbeträge!$E:$E,'Ausgaben 2028'!F$6)</f>
        <v>0</v>
      </c>
      <c r="G209" s="21">
        <f>SUMIFS(Einzelbeträge!$D:$D,Einzelbeträge!$C:$C,'Ausgaben 2028'!$C209,Einzelbeträge!$E:$E,'Ausgaben 2028'!G$6)</f>
        <v>0</v>
      </c>
      <c r="H209" s="21">
        <f>SUMIFS(Einzelbeträge!$D:$D,Einzelbeträge!$C:$C,'Ausgaben 2028'!$C209,Einzelbeträge!$E:$E,'Ausgaben 2028'!H$6)</f>
        <v>0</v>
      </c>
      <c r="I209" s="21">
        <f>SUMIFS(Einzelbeträge!$D:$D,Einzelbeträge!$C:$C,'Ausgaben 2028'!$C209,Einzelbeträge!$E:$E,'Ausgaben 2028'!I$6)</f>
        <v>0</v>
      </c>
      <c r="J209" s="21">
        <f>SUMIFS(Einzelbeträge!$D:$D,Einzelbeträge!$C:$C,'Ausgaben 2028'!$C209,Einzelbeträge!$E:$E,'Ausgaben 2028'!J$6)</f>
        <v>0</v>
      </c>
      <c r="K209" s="21">
        <f>SUMIFS(Einzelbeträge!$D:$D,Einzelbeträge!$C:$C,'Ausgaben 2028'!$C209,Einzelbeträge!$E:$E,'Ausgaben 2028'!K$6)</f>
        <v>0</v>
      </c>
      <c r="L209" s="21">
        <f>SUMIFS(Einzelbeträge!$D:$D,Einzelbeträge!$C:$C,'Ausgaben 2028'!$C209,Einzelbeträge!$E:$E,'Ausgaben 2028'!L$6)</f>
        <v>0</v>
      </c>
      <c r="M209" s="21">
        <f>SUMIFS(Einzelbeträge!$D:$D,Einzelbeträge!$C:$C,'Ausgaben 2028'!$C209,Einzelbeträge!$E:$E,'Ausgaben 2028'!M$6)</f>
        <v>0</v>
      </c>
      <c r="N209" s="35">
        <f>SUMIFS(Einzelbeträge!$D:$D,Einzelbeträge!$C:$C,'Ausgaben 2028'!$C209,Einzelbeträge!$E:$E,'Ausgaben 2028'!N$6)</f>
        <v>0</v>
      </c>
      <c r="O209" s="6"/>
    </row>
    <row r="210" spans="2:15" x14ac:dyDescent="0.35">
      <c r="B210" s="5"/>
      <c r="C210" s="40">
        <f t="shared" si="22"/>
        <v>46938</v>
      </c>
      <c r="D210" s="46">
        <f>SUMIFS(Einzelbeträge!$D:$D,Einzelbeträge!$C:$C,'Ausgaben 2028'!$C210)</f>
        <v>0</v>
      </c>
      <c r="E210" s="21">
        <f>SUMIFS(Einzelbeträge!$D:$D,Einzelbeträge!$C:$C,'Ausgaben 2028'!$C210,Einzelbeträge!$E:$E,'Ausgaben 2028'!E$6)</f>
        <v>0</v>
      </c>
      <c r="F210" s="21">
        <f>SUMIFS(Einzelbeträge!$D:$D,Einzelbeträge!$C:$C,'Ausgaben 2028'!$C210,Einzelbeträge!$E:$E,'Ausgaben 2028'!F$6)</f>
        <v>0</v>
      </c>
      <c r="G210" s="21">
        <f>SUMIFS(Einzelbeträge!$D:$D,Einzelbeträge!$C:$C,'Ausgaben 2028'!$C210,Einzelbeträge!$E:$E,'Ausgaben 2028'!G$6)</f>
        <v>0</v>
      </c>
      <c r="H210" s="21">
        <f>SUMIFS(Einzelbeträge!$D:$D,Einzelbeträge!$C:$C,'Ausgaben 2028'!$C210,Einzelbeträge!$E:$E,'Ausgaben 2028'!H$6)</f>
        <v>0</v>
      </c>
      <c r="I210" s="21">
        <f>SUMIFS(Einzelbeträge!$D:$D,Einzelbeträge!$C:$C,'Ausgaben 2028'!$C210,Einzelbeträge!$E:$E,'Ausgaben 2028'!I$6)</f>
        <v>0</v>
      </c>
      <c r="J210" s="21">
        <f>SUMIFS(Einzelbeträge!$D:$D,Einzelbeträge!$C:$C,'Ausgaben 2028'!$C210,Einzelbeträge!$E:$E,'Ausgaben 2028'!J$6)</f>
        <v>0</v>
      </c>
      <c r="K210" s="21">
        <f>SUMIFS(Einzelbeträge!$D:$D,Einzelbeträge!$C:$C,'Ausgaben 2028'!$C210,Einzelbeträge!$E:$E,'Ausgaben 2028'!K$6)</f>
        <v>0</v>
      </c>
      <c r="L210" s="21">
        <f>SUMIFS(Einzelbeträge!$D:$D,Einzelbeträge!$C:$C,'Ausgaben 2028'!$C210,Einzelbeträge!$E:$E,'Ausgaben 2028'!L$6)</f>
        <v>0</v>
      </c>
      <c r="M210" s="21">
        <f>SUMIFS(Einzelbeträge!$D:$D,Einzelbeträge!$C:$C,'Ausgaben 2028'!$C210,Einzelbeträge!$E:$E,'Ausgaben 2028'!M$6)</f>
        <v>0</v>
      </c>
      <c r="N210" s="35">
        <f>SUMIFS(Einzelbeträge!$D:$D,Einzelbeträge!$C:$C,'Ausgaben 2028'!$C210,Einzelbeträge!$E:$E,'Ausgaben 2028'!N$6)</f>
        <v>0</v>
      </c>
      <c r="O210" s="6"/>
    </row>
    <row r="211" spans="2:15" x14ac:dyDescent="0.35">
      <c r="B211" s="5"/>
      <c r="C211" s="40">
        <f t="shared" si="22"/>
        <v>46939</v>
      </c>
      <c r="D211" s="46">
        <f>SUMIFS(Einzelbeträge!$D:$D,Einzelbeträge!$C:$C,'Ausgaben 2028'!$C211)</f>
        <v>0</v>
      </c>
      <c r="E211" s="21">
        <f>SUMIFS(Einzelbeträge!$D:$D,Einzelbeträge!$C:$C,'Ausgaben 2028'!$C211,Einzelbeträge!$E:$E,'Ausgaben 2028'!E$6)</f>
        <v>0</v>
      </c>
      <c r="F211" s="21">
        <f>SUMIFS(Einzelbeträge!$D:$D,Einzelbeträge!$C:$C,'Ausgaben 2028'!$C211,Einzelbeträge!$E:$E,'Ausgaben 2028'!F$6)</f>
        <v>0</v>
      </c>
      <c r="G211" s="21">
        <f>SUMIFS(Einzelbeträge!$D:$D,Einzelbeträge!$C:$C,'Ausgaben 2028'!$C211,Einzelbeträge!$E:$E,'Ausgaben 2028'!G$6)</f>
        <v>0</v>
      </c>
      <c r="H211" s="21">
        <f>SUMIFS(Einzelbeträge!$D:$D,Einzelbeträge!$C:$C,'Ausgaben 2028'!$C211,Einzelbeträge!$E:$E,'Ausgaben 2028'!H$6)</f>
        <v>0</v>
      </c>
      <c r="I211" s="21">
        <f>SUMIFS(Einzelbeträge!$D:$D,Einzelbeträge!$C:$C,'Ausgaben 2028'!$C211,Einzelbeträge!$E:$E,'Ausgaben 2028'!I$6)</f>
        <v>0</v>
      </c>
      <c r="J211" s="21">
        <f>SUMIFS(Einzelbeträge!$D:$D,Einzelbeträge!$C:$C,'Ausgaben 2028'!$C211,Einzelbeträge!$E:$E,'Ausgaben 2028'!J$6)</f>
        <v>0</v>
      </c>
      <c r="K211" s="21">
        <f>SUMIFS(Einzelbeträge!$D:$D,Einzelbeträge!$C:$C,'Ausgaben 2028'!$C211,Einzelbeträge!$E:$E,'Ausgaben 2028'!K$6)</f>
        <v>0</v>
      </c>
      <c r="L211" s="21">
        <f>SUMIFS(Einzelbeträge!$D:$D,Einzelbeträge!$C:$C,'Ausgaben 2028'!$C211,Einzelbeträge!$E:$E,'Ausgaben 2028'!L$6)</f>
        <v>0</v>
      </c>
      <c r="M211" s="21">
        <f>SUMIFS(Einzelbeträge!$D:$D,Einzelbeträge!$C:$C,'Ausgaben 2028'!$C211,Einzelbeträge!$E:$E,'Ausgaben 2028'!M$6)</f>
        <v>0</v>
      </c>
      <c r="N211" s="35">
        <f>SUMIFS(Einzelbeträge!$D:$D,Einzelbeträge!$C:$C,'Ausgaben 2028'!$C211,Einzelbeträge!$E:$E,'Ausgaben 2028'!N$6)</f>
        <v>0</v>
      </c>
      <c r="O211" s="6"/>
    </row>
    <row r="212" spans="2:15" x14ac:dyDescent="0.35">
      <c r="B212" s="5"/>
      <c r="C212" s="40">
        <f t="shared" si="22"/>
        <v>46940</v>
      </c>
      <c r="D212" s="46">
        <f>SUMIFS(Einzelbeträge!$D:$D,Einzelbeträge!$C:$C,'Ausgaben 2028'!$C212)</f>
        <v>0</v>
      </c>
      <c r="E212" s="21">
        <f>SUMIFS(Einzelbeträge!$D:$D,Einzelbeträge!$C:$C,'Ausgaben 2028'!$C212,Einzelbeträge!$E:$E,'Ausgaben 2028'!E$6)</f>
        <v>0</v>
      </c>
      <c r="F212" s="21">
        <f>SUMIFS(Einzelbeträge!$D:$D,Einzelbeträge!$C:$C,'Ausgaben 2028'!$C212,Einzelbeträge!$E:$E,'Ausgaben 2028'!F$6)</f>
        <v>0</v>
      </c>
      <c r="G212" s="21">
        <f>SUMIFS(Einzelbeträge!$D:$D,Einzelbeträge!$C:$C,'Ausgaben 2028'!$C212,Einzelbeträge!$E:$E,'Ausgaben 2028'!G$6)</f>
        <v>0</v>
      </c>
      <c r="H212" s="21">
        <f>SUMIFS(Einzelbeträge!$D:$D,Einzelbeträge!$C:$C,'Ausgaben 2028'!$C212,Einzelbeträge!$E:$E,'Ausgaben 2028'!H$6)</f>
        <v>0</v>
      </c>
      <c r="I212" s="21">
        <f>SUMIFS(Einzelbeträge!$D:$D,Einzelbeträge!$C:$C,'Ausgaben 2028'!$C212,Einzelbeträge!$E:$E,'Ausgaben 2028'!I$6)</f>
        <v>0</v>
      </c>
      <c r="J212" s="21">
        <f>SUMIFS(Einzelbeträge!$D:$D,Einzelbeträge!$C:$C,'Ausgaben 2028'!$C212,Einzelbeträge!$E:$E,'Ausgaben 2028'!J$6)</f>
        <v>0</v>
      </c>
      <c r="K212" s="21">
        <f>SUMIFS(Einzelbeträge!$D:$D,Einzelbeträge!$C:$C,'Ausgaben 2028'!$C212,Einzelbeträge!$E:$E,'Ausgaben 2028'!K$6)</f>
        <v>0</v>
      </c>
      <c r="L212" s="21">
        <f>SUMIFS(Einzelbeträge!$D:$D,Einzelbeträge!$C:$C,'Ausgaben 2028'!$C212,Einzelbeträge!$E:$E,'Ausgaben 2028'!L$6)</f>
        <v>0</v>
      </c>
      <c r="M212" s="21">
        <f>SUMIFS(Einzelbeträge!$D:$D,Einzelbeträge!$C:$C,'Ausgaben 2028'!$C212,Einzelbeträge!$E:$E,'Ausgaben 2028'!M$6)</f>
        <v>0</v>
      </c>
      <c r="N212" s="35">
        <f>SUMIFS(Einzelbeträge!$D:$D,Einzelbeträge!$C:$C,'Ausgaben 2028'!$C212,Einzelbeträge!$E:$E,'Ausgaben 2028'!N$6)</f>
        <v>0</v>
      </c>
      <c r="O212" s="6"/>
    </row>
    <row r="213" spans="2:15" x14ac:dyDescent="0.35">
      <c r="B213" s="5"/>
      <c r="C213" s="40">
        <f t="shared" si="22"/>
        <v>46941</v>
      </c>
      <c r="D213" s="46">
        <f>SUMIFS(Einzelbeträge!$D:$D,Einzelbeträge!$C:$C,'Ausgaben 2028'!$C213)</f>
        <v>0</v>
      </c>
      <c r="E213" s="21">
        <f>SUMIFS(Einzelbeträge!$D:$D,Einzelbeträge!$C:$C,'Ausgaben 2028'!$C213,Einzelbeträge!$E:$E,'Ausgaben 2028'!E$6)</f>
        <v>0</v>
      </c>
      <c r="F213" s="21">
        <f>SUMIFS(Einzelbeträge!$D:$D,Einzelbeträge!$C:$C,'Ausgaben 2028'!$C213,Einzelbeträge!$E:$E,'Ausgaben 2028'!F$6)</f>
        <v>0</v>
      </c>
      <c r="G213" s="21">
        <f>SUMIFS(Einzelbeträge!$D:$D,Einzelbeträge!$C:$C,'Ausgaben 2028'!$C213,Einzelbeträge!$E:$E,'Ausgaben 2028'!G$6)</f>
        <v>0</v>
      </c>
      <c r="H213" s="21">
        <f>SUMIFS(Einzelbeträge!$D:$D,Einzelbeträge!$C:$C,'Ausgaben 2028'!$C213,Einzelbeträge!$E:$E,'Ausgaben 2028'!H$6)</f>
        <v>0</v>
      </c>
      <c r="I213" s="21">
        <f>SUMIFS(Einzelbeträge!$D:$D,Einzelbeträge!$C:$C,'Ausgaben 2028'!$C213,Einzelbeträge!$E:$E,'Ausgaben 2028'!I$6)</f>
        <v>0</v>
      </c>
      <c r="J213" s="21">
        <f>SUMIFS(Einzelbeträge!$D:$D,Einzelbeträge!$C:$C,'Ausgaben 2028'!$C213,Einzelbeträge!$E:$E,'Ausgaben 2028'!J$6)</f>
        <v>0</v>
      </c>
      <c r="K213" s="21">
        <f>SUMIFS(Einzelbeträge!$D:$D,Einzelbeträge!$C:$C,'Ausgaben 2028'!$C213,Einzelbeträge!$E:$E,'Ausgaben 2028'!K$6)</f>
        <v>0</v>
      </c>
      <c r="L213" s="21">
        <f>SUMIFS(Einzelbeträge!$D:$D,Einzelbeträge!$C:$C,'Ausgaben 2028'!$C213,Einzelbeträge!$E:$E,'Ausgaben 2028'!L$6)</f>
        <v>0</v>
      </c>
      <c r="M213" s="21">
        <f>SUMIFS(Einzelbeträge!$D:$D,Einzelbeträge!$C:$C,'Ausgaben 2028'!$C213,Einzelbeträge!$E:$E,'Ausgaben 2028'!M$6)</f>
        <v>0</v>
      </c>
      <c r="N213" s="35">
        <f>SUMIFS(Einzelbeträge!$D:$D,Einzelbeträge!$C:$C,'Ausgaben 2028'!$C213,Einzelbeträge!$E:$E,'Ausgaben 2028'!N$6)</f>
        <v>0</v>
      </c>
      <c r="O213" s="6"/>
    </row>
    <row r="214" spans="2:15" x14ac:dyDescent="0.35">
      <c r="B214" s="5"/>
      <c r="C214" s="40">
        <f t="shared" si="22"/>
        <v>46942</v>
      </c>
      <c r="D214" s="46">
        <f>SUMIFS(Einzelbeträge!$D:$D,Einzelbeträge!$C:$C,'Ausgaben 2028'!$C214)</f>
        <v>0</v>
      </c>
      <c r="E214" s="21">
        <f>SUMIFS(Einzelbeträge!$D:$D,Einzelbeträge!$C:$C,'Ausgaben 2028'!$C214,Einzelbeträge!$E:$E,'Ausgaben 2028'!E$6)</f>
        <v>0</v>
      </c>
      <c r="F214" s="21">
        <f>SUMIFS(Einzelbeträge!$D:$D,Einzelbeträge!$C:$C,'Ausgaben 2028'!$C214,Einzelbeträge!$E:$E,'Ausgaben 2028'!F$6)</f>
        <v>0</v>
      </c>
      <c r="G214" s="21">
        <f>SUMIFS(Einzelbeträge!$D:$D,Einzelbeträge!$C:$C,'Ausgaben 2028'!$C214,Einzelbeträge!$E:$E,'Ausgaben 2028'!G$6)</f>
        <v>0</v>
      </c>
      <c r="H214" s="21">
        <f>SUMIFS(Einzelbeträge!$D:$D,Einzelbeträge!$C:$C,'Ausgaben 2028'!$C214,Einzelbeträge!$E:$E,'Ausgaben 2028'!H$6)</f>
        <v>0</v>
      </c>
      <c r="I214" s="21">
        <f>SUMIFS(Einzelbeträge!$D:$D,Einzelbeträge!$C:$C,'Ausgaben 2028'!$C214,Einzelbeträge!$E:$E,'Ausgaben 2028'!I$6)</f>
        <v>0</v>
      </c>
      <c r="J214" s="21">
        <f>SUMIFS(Einzelbeträge!$D:$D,Einzelbeträge!$C:$C,'Ausgaben 2028'!$C214,Einzelbeträge!$E:$E,'Ausgaben 2028'!J$6)</f>
        <v>0</v>
      </c>
      <c r="K214" s="21">
        <f>SUMIFS(Einzelbeträge!$D:$D,Einzelbeträge!$C:$C,'Ausgaben 2028'!$C214,Einzelbeträge!$E:$E,'Ausgaben 2028'!K$6)</f>
        <v>0</v>
      </c>
      <c r="L214" s="21">
        <f>SUMIFS(Einzelbeträge!$D:$D,Einzelbeträge!$C:$C,'Ausgaben 2028'!$C214,Einzelbeträge!$E:$E,'Ausgaben 2028'!L$6)</f>
        <v>0</v>
      </c>
      <c r="M214" s="21">
        <f>SUMIFS(Einzelbeträge!$D:$D,Einzelbeträge!$C:$C,'Ausgaben 2028'!$C214,Einzelbeträge!$E:$E,'Ausgaben 2028'!M$6)</f>
        <v>0</v>
      </c>
      <c r="N214" s="35">
        <f>SUMIFS(Einzelbeträge!$D:$D,Einzelbeträge!$C:$C,'Ausgaben 2028'!$C214,Einzelbeträge!$E:$E,'Ausgaben 2028'!N$6)</f>
        <v>0</v>
      </c>
      <c r="O214" s="6"/>
    </row>
    <row r="215" spans="2:15" x14ac:dyDescent="0.35">
      <c r="B215" s="5"/>
      <c r="C215" s="40">
        <f t="shared" si="22"/>
        <v>46943</v>
      </c>
      <c r="D215" s="46">
        <f>SUMIFS(Einzelbeträge!$D:$D,Einzelbeträge!$C:$C,'Ausgaben 2028'!$C215)</f>
        <v>0</v>
      </c>
      <c r="E215" s="21">
        <f>SUMIFS(Einzelbeträge!$D:$D,Einzelbeträge!$C:$C,'Ausgaben 2028'!$C215,Einzelbeträge!$E:$E,'Ausgaben 2028'!E$6)</f>
        <v>0</v>
      </c>
      <c r="F215" s="21">
        <f>SUMIFS(Einzelbeträge!$D:$D,Einzelbeträge!$C:$C,'Ausgaben 2028'!$C215,Einzelbeträge!$E:$E,'Ausgaben 2028'!F$6)</f>
        <v>0</v>
      </c>
      <c r="G215" s="21">
        <f>SUMIFS(Einzelbeträge!$D:$D,Einzelbeträge!$C:$C,'Ausgaben 2028'!$C215,Einzelbeträge!$E:$E,'Ausgaben 2028'!G$6)</f>
        <v>0</v>
      </c>
      <c r="H215" s="21">
        <f>SUMIFS(Einzelbeträge!$D:$D,Einzelbeträge!$C:$C,'Ausgaben 2028'!$C215,Einzelbeträge!$E:$E,'Ausgaben 2028'!H$6)</f>
        <v>0</v>
      </c>
      <c r="I215" s="21">
        <f>SUMIFS(Einzelbeträge!$D:$D,Einzelbeträge!$C:$C,'Ausgaben 2028'!$C215,Einzelbeträge!$E:$E,'Ausgaben 2028'!I$6)</f>
        <v>0</v>
      </c>
      <c r="J215" s="21">
        <f>SUMIFS(Einzelbeträge!$D:$D,Einzelbeträge!$C:$C,'Ausgaben 2028'!$C215,Einzelbeträge!$E:$E,'Ausgaben 2028'!J$6)</f>
        <v>0</v>
      </c>
      <c r="K215" s="21">
        <f>SUMIFS(Einzelbeträge!$D:$D,Einzelbeträge!$C:$C,'Ausgaben 2028'!$C215,Einzelbeträge!$E:$E,'Ausgaben 2028'!K$6)</f>
        <v>0</v>
      </c>
      <c r="L215" s="21">
        <f>SUMIFS(Einzelbeträge!$D:$D,Einzelbeträge!$C:$C,'Ausgaben 2028'!$C215,Einzelbeträge!$E:$E,'Ausgaben 2028'!L$6)</f>
        <v>0</v>
      </c>
      <c r="M215" s="21">
        <f>SUMIFS(Einzelbeträge!$D:$D,Einzelbeträge!$C:$C,'Ausgaben 2028'!$C215,Einzelbeträge!$E:$E,'Ausgaben 2028'!M$6)</f>
        <v>0</v>
      </c>
      <c r="N215" s="35">
        <f>SUMIFS(Einzelbeträge!$D:$D,Einzelbeträge!$C:$C,'Ausgaben 2028'!$C215,Einzelbeträge!$E:$E,'Ausgaben 2028'!N$6)</f>
        <v>0</v>
      </c>
      <c r="O215" s="6"/>
    </row>
    <row r="216" spans="2:15" x14ac:dyDescent="0.35">
      <c r="B216" s="5"/>
      <c r="C216" s="40">
        <f t="shared" si="22"/>
        <v>46944</v>
      </c>
      <c r="D216" s="46">
        <f>SUMIFS(Einzelbeträge!$D:$D,Einzelbeträge!$C:$C,'Ausgaben 2028'!$C216)</f>
        <v>0</v>
      </c>
      <c r="E216" s="21">
        <f>SUMIFS(Einzelbeträge!$D:$D,Einzelbeträge!$C:$C,'Ausgaben 2028'!$C216,Einzelbeträge!$E:$E,'Ausgaben 2028'!E$6)</f>
        <v>0</v>
      </c>
      <c r="F216" s="21">
        <f>SUMIFS(Einzelbeträge!$D:$D,Einzelbeträge!$C:$C,'Ausgaben 2028'!$C216,Einzelbeträge!$E:$E,'Ausgaben 2028'!F$6)</f>
        <v>0</v>
      </c>
      <c r="G216" s="21">
        <f>SUMIFS(Einzelbeträge!$D:$D,Einzelbeträge!$C:$C,'Ausgaben 2028'!$C216,Einzelbeträge!$E:$E,'Ausgaben 2028'!G$6)</f>
        <v>0</v>
      </c>
      <c r="H216" s="21">
        <f>SUMIFS(Einzelbeträge!$D:$D,Einzelbeträge!$C:$C,'Ausgaben 2028'!$C216,Einzelbeträge!$E:$E,'Ausgaben 2028'!H$6)</f>
        <v>0</v>
      </c>
      <c r="I216" s="21">
        <f>SUMIFS(Einzelbeträge!$D:$D,Einzelbeträge!$C:$C,'Ausgaben 2028'!$C216,Einzelbeträge!$E:$E,'Ausgaben 2028'!I$6)</f>
        <v>0</v>
      </c>
      <c r="J216" s="21">
        <f>SUMIFS(Einzelbeträge!$D:$D,Einzelbeträge!$C:$C,'Ausgaben 2028'!$C216,Einzelbeträge!$E:$E,'Ausgaben 2028'!J$6)</f>
        <v>0</v>
      </c>
      <c r="K216" s="21">
        <f>SUMIFS(Einzelbeträge!$D:$D,Einzelbeträge!$C:$C,'Ausgaben 2028'!$C216,Einzelbeträge!$E:$E,'Ausgaben 2028'!K$6)</f>
        <v>0</v>
      </c>
      <c r="L216" s="21">
        <f>SUMIFS(Einzelbeträge!$D:$D,Einzelbeträge!$C:$C,'Ausgaben 2028'!$C216,Einzelbeträge!$E:$E,'Ausgaben 2028'!L$6)</f>
        <v>0</v>
      </c>
      <c r="M216" s="21">
        <f>SUMIFS(Einzelbeträge!$D:$D,Einzelbeträge!$C:$C,'Ausgaben 2028'!$C216,Einzelbeträge!$E:$E,'Ausgaben 2028'!M$6)</f>
        <v>0</v>
      </c>
      <c r="N216" s="35">
        <f>SUMIFS(Einzelbeträge!$D:$D,Einzelbeträge!$C:$C,'Ausgaben 2028'!$C216,Einzelbeträge!$E:$E,'Ausgaben 2028'!N$6)</f>
        <v>0</v>
      </c>
      <c r="O216" s="6"/>
    </row>
    <row r="217" spans="2:15" x14ac:dyDescent="0.35">
      <c r="B217" s="5"/>
      <c r="C217" s="40">
        <f t="shared" si="22"/>
        <v>46945</v>
      </c>
      <c r="D217" s="46">
        <f>SUMIFS(Einzelbeträge!$D:$D,Einzelbeträge!$C:$C,'Ausgaben 2028'!$C217)</f>
        <v>0</v>
      </c>
      <c r="E217" s="21">
        <f>SUMIFS(Einzelbeträge!$D:$D,Einzelbeträge!$C:$C,'Ausgaben 2028'!$C217,Einzelbeträge!$E:$E,'Ausgaben 2028'!E$6)</f>
        <v>0</v>
      </c>
      <c r="F217" s="21">
        <f>SUMIFS(Einzelbeträge!$D:$D,Einzelbeträge!$C:$C,'Ausgaben 2028'!$C217,Einzelbeträge!$E:$E,'Ausgaben 2028'!F$6)</f>
        <v>0</v>
      </c>
      <c r="G217" s="21">
        <f>SUMIFS(Einzelbeträge!$D:$D,Einzelbeträge!$C:$C,'Ausgaben 2028'!$C217,Einzelbeträge!$E:$E,'Ausgaben 2028'!G$6)</f>
        <v>0</v>
      </c>
      <c r="H217" s="21">
        <f>SUMIFS(Einzelbeträge!$D:$D,Einzelbeträge!$C:$C,'Ausgaben 2028'!$C217,Einzelbeträge!$E:$E,'Ausgaben 2028'!H$6)</f>
        <v>0</v>
      </c>
      <c r="I217" s="21">
        <f>SUMIFS(Einzelbeträge!$D:$D,Einzelbeträge!$C:$C,'Ausgaben 2028'!$C217,Einzelbeträge!$E:$E,'Ausgaben 2028'!I$6)</f>
        <v>0</v>
      </c>
      <c r="J217" s="21">
        <f>SUMIFS(Einzelbeträge!$D:$D,Einzelbeträge!$C:$C,'Ausgaben 2028'!$C217,Einzelbeträge!$E:$E,'Ausgaben 2028'!J$6)</f>
        <v>0</v>
      </c>
      <c r="K217" s="21">
        <f>SUMIFS(Einzelbeträge!$D:$D,Einzelbeträge!$C:$C,'Ausgaben 2028'!$C217,Einzelbeträge!$E:$E,'Ausgaben 2028'!K$6)</f>
        <v>0</v>
      </c>
      <c r="L217" s="21">
        <f>SUMIFS(Einzelbeträge!$D:$D,Einzelbeträge!$C:$C,'Ausgaben 2028'!$C217,Einzelbeträge!$E:$E,'Ausgaben 2028'!L$6)</f>
        <v>0</v>
      </c>
      <c r="M217" s="21">
        <f>SUMIFS(Einzelbeträge!$D:$D,Einzelbeträge!$C:$C,'Ausgaben 2028'!$C217,Einzelbeträge!$E:$E,'Ausgaben 2028'!M$6)</f>
        <v>0</v>
      </c>
      <c r="N217" s="35">
        <f>SUMIFS(Einzelbeträge!$D:$D,Einzelbeträge!$C:$C,'Ausgaben 2028'!$C217,Einzelbeträge!$E:$E,'Ausgaben 2028'!N$6)</f>
        <v>0</v>
      </c>
      <c r="O217" s="6"/>
    </row>
    <row r="218" spans="2:15" x14ac:dyDescent="0.35">
      <c r="B218" s="5"/>
      <c r="C218" s="40">
        <f t="shared" si="22"/>
        <v>46946</v>
      </c>
      <c r="D218" s="46">
        <f>SUMIFS(Einzelbeträge!$D:$D,Einzelbeträge!$C:$C,'Ausgaben 2028'!$C218)</f>
        <v>0</v>
      </c>
      <c r="E218" s="21">
        <f>SUMIFS(Einzelbeträge!$D:$D,Einzelbeträge!$C:$C,'Ausgaben 2028'!$C218,Einzelbeträge!$E:$E,'Ausgaben 2028'!E$6)</f>
        <v>0</v>
      </c>
      <c r="F218" s="21">
        <f>SUMIFS(Einzelbeträge!$D:$D,Einzelbeträge!$C:$C,'Ausgaben 2028'!$C218,Einzelbeträge!$E:$E,'Ausgaben 2028'!F$6)</f>
        <v>0</v>
      </c>
      <c r="G218" s="21">
        <f>SUMIFS(Einzelbeträge!$D:$D,Einzelbeträge!$C:$C,'Ausgaben 2028'!$C218,Einzelbeträge!$E:$E,'Ausgaben 2028'!G$6)</f>
        <v>0</v>
      </c>
      <c r="H218" s="21">
        <f>SUMIFS(Einzelbeträge!$D:$D,Einzelbeträge!$C:$C,'Ausgaben 2028'!$C218,Einzelbeträge!$E:$E,'Ausgaben 2028'!H$6)</f>
        <v>0</v>
      </c>
      <c r="I218" s="21">
        <f>SUMIFS(Einzelbeträge!$D:$D,Einzelbeträge!$C:$C,'Ausgaben 2028'!$C218,Einzelbeträge!$E:$E,'Ausgaben 2028'!I$6)</f>
        <v>0</v>
      </c>
      <c r="J218" s="21">
        <f>SUMIFS(Einzelbeträge!$D:$D,Einzelbeträge!$C:$C,'Ausgaben 2028'!$C218,Einzelbeträge!$E:$E,'Ausgaben 2028'!J$6)</f>
        <v>0</v>
      </c>
      <c r="K218" s="21">
        <f>SUMIFS(Einzelbeträge!$D:$D,Einzelbeträge!$C:$C,'Ausgaben 2028'!$C218,Einzelbeträge!$E:$E,'Ausgaben 2028'!K$6)</f>
        <v>0</v>
      </c>
      <c r="L218" s="21">
        <f>SUMIFS(Einzelbeträge!$D:$D,Einzelbeträge!$C:$C,'Ausgaben 2028'!$C218,Einzelbeträge!$E:$E,'Ausgaben 2028'!L$6)</f>
        <v>0</v>
      </c>
      <c r="M218" s="21">
        <f>SUMIFS(Einzelbeträge!$D:$D,Einzelbeträge!$C:$C,'Ausgaben 2028'!$C218,Einzelbeträge!$E:$E,'Ausgaben 2028'!M$6)</f>
        <v>0</v>
      </c>
      <c r="N218" s="35">
        <f>SUMIFS(Einzelbeträge!$D:$D,Einzelbeträge!$C:$C,'Ausgaben 2028'!$C218,Einzelbeträge!$E:$E,'Ausgaben 2028'!N$6)</f>
        <v>0</v>
      </c>
      <c r="O218" s="6"/>
    </row>
    <row r="219" spans="2:15" x14ac:dyDescent="0.35">
      <c r="B219" s="5"/>
      <c r="C219" s="40">
        <f t="shared" si="22"/>
        <v>46947</v>
      </c>
      <c r="D219" s="46">
        <f>SUMIFS(Einzelbeträge!$D:$D,Einzelbeträge!$C:$C,'Ausgaben 2028'!$C219)</f>
        <v>0</v>
      </c>
      <c r="E219" s="21">
        <f>SUMIFS(Einzelbeträge!$D:$D,Einzelbeträge!$C:$C,'Ausgaben 2028'!$C219,Einzelbeträge!$E:$E,'Ausgaben 2028'!E$6)</f>
        <v>0</v>
      </c>
      <c r="F219" s="21">
        <f>SUMIFS(Einzelbeträge!$D:$D,Einzelbeträge!$C:$C,'Ausgaben 2028'!$C219,Einzelbeträge!$E:$E,'Ausgaben 2028'!F$6)</f>
        <v>0</v>
      </c>
      <c r="G219" s="21">
        <f>SUMIFS(Einzelbeträge!$D:$D,Einzelbeträge!$C:$C,'Ausgaben 2028'!$C219,Einzelbeträge!$E:$E,'Ausgaben 2028'!G$6)</f>
        <v>0</v>
      </c>
      <c r="H219" s="21">
        <f>SUMIFS(Einzelbeträge!$D:$D,Einzelbeträge!$C:$C,'Ausgaben 2028'!$C219,Einzelbeträge!$E:$E,'Ausgaben 2028'!H$6)</f>
        <v>0</v>
      </c>
      <c r="I219" s="21">
        <f>SUMIFS(Einzelbeträge!$D:$D,Einzelbeträge!$C:$C,'Ausgaben 2028'!$C219,Einzelbeträge!$E:$E,'Ausgaben 2028'!I$6)</f>
        <v>0</v>
      </c>
      <c r="J219" s="21">
        <f>SUMIFS(Einzelbeträge!$D:$D,Einzelbeträge!$C:$C,'Ausgaben 2028'!$C219,Einzelbeträge!$E:$E,'Ausgaben 2028'!J$6)</f>
        <v>0</v>
      </c>
      <c r="K219" s="21">
        <f>SUMIFS(Einzelbeträge!$D:$D,Einzelbeträge!$C:$C,'Ausgaben 2028'!$C219,Einzelbeträge!$E:$E,'Ausgaben 2028'!K$6)</f>
        <v>0</v>
      </c>
      <c r="L219" s="21">
        <f>SUMIFS(Einzelbeträge!$D:$D,Einzelbeträge!$C:$C,'Ausgaben 2028'!$C219,Einzelbeträge!$E:$E,'Ausgaben 2028'!L$6)</f>
        <v>0</v>
      </c>
      <c r="M219" s="21">
        <f>SUMIFS(Einzelbeträge!$D:$D,Einzelbeträge!$C:$C,'Ausgaben 2028'!$C219,Einzelbeträge!$E:$E,'Ausgaben 2028'!M$6)</f>
        <v>0</v>
      </c>
      <c r="N219" s="35">
        <f>SUMIFS(Einzelbeträge!$D:$D,Einzelbeträge!$C:$C,'Ausgaben 2028'!$C219,Einzelbeträge!$E:$E,'Ausgaben 2028'!N$6)</f>
        <v>0</v>
      </c>
      <c r="O219" s="6"/>
    </row>
    <row r="220" spans="2:15" x14ac:dyDescent="0.35">
      <c r="B220" s="5"/>
      <c r="C220" s="40">
        <f t="shared" si="22"/>
        <v>46948</v>
      </c>
      <c r="D220" s="46">
        <f>SUMIFS(Einzelbeträge!$D:$D,Einzelbeträge!$C:$C,'Ausgaben 2028'!$C220)</f>
        <v>0</v>
      </c>
      <c r="E220" s="21">
        <f>SUMIFS(Einzelbeträge!$D:$D,Einzelbeträge!$C:$C,'Ausgaben 2028'!$C220,Einzelbeträge!$E:$E,'Ausgaben 2028'!E$6)</f>
        <v>0</v>
      </c>
      <c r="F220" s="21">
        <f>SUMIFS(Einzelbeträge!$D:$D,Einzelbeträge!$C:$C,'Ausgaben 2028'!$C220,Einzelbeträge!$E:$E,'Ausgaben 2028'!F$6)</f>
        <v>0</v>
      </c>
      <c r="G220" s="21">
        <f>SUMIFS(Einzelbeträge!$D:$D,Einzelbeträge!$C:$C,'Ausgaben 2028'!$C220,Einzelbeträge!$E:$E,'Ausgaben 2028'!G$6)</f>
        <v>0</v>
      </c>
      <c r="H220" s="21">
        <f>SUMIFS(Einzelbeträge!$D:$D,Einzelbeträge!$C:$C,'Ausgaben 2028'!$C220,Einzelbeträge!$E:$E,'Ausgaben 2028'!H$6)</f>
        <v>0</v>
      </c>
      <c r="I220" s="21">
        <f>SUMIFS(Einzelbeträge!$D:$D,Einzelbeträge!$C:$C,'Ausgaben 2028'!$C220,Einzelbeträge!$E:$E,'Ausgaben 2028'!I$6)</f>
        <v>0</v>
      </c>
      <c r="J220" s="21">
        <f>SUMIFS(Einzelbeträge!$D:$D,Einzelbeträge!$C:$C,'Ausgaben 2028'!$C220,Einzelbeträge!$E:$E,'Ausgaben 2028'!J$6)</f>
        <v>0</v>
      </c>
      <c r="K220" s="21">
        <f>SUMIFS(Einzelbeträge!$D:$D,Einzelbeträge!$C:$C,'Ausgaben 2028'!$C220,Einzelbeträge!$E:$E,'Ausgaben 2028'!K$6)</f>
        <v>0</v>
      </c>
      <c r="L220" s="21">
        <f>SUMIFS(Einzelbeträge!$D:$D,Einzelbeträge!$C:$C,'Ausgaben 2028'!$C220,Einzelbeträge!$E:$E,'Ausgaben 2028'!L$6)</f>
        <v>0</v>
      </c>
      <c r="M220" s="21">
        <f>SUMIFS(Einzelbeträge!$D:$D,Einzelbeträge!$C:$C,'Ausgaben 2028'!$C220,Einzelbeträge!$E:$E,'Ausgaben 2028'!M$6)</f>
        <v>0</v>
      </c>
      <c r="N220" s="35">
        <f>SUMIFS(Einzelbeträge!$D:$D,Einzelbeträge!$C:$C,'Ausgaben 2028'!$C220,Einzelbeträge!$E:$E,'Ausgaben 2028'!N$6)</f>
        <v>0</v>
      </c>
      <c r="O220" s="6"/>
    </row>
    <row r="221" spans="2:15" x14ac:dyDescent="0.35">
      <c r="B221" s="5"/>
      <c r="C221" s="40">
        <f t="shared" si="22"/>
        <v>46949</v>
      </c>
      <c r="D221" s="46">
        <f>SUMIFS(Einzelbeträge!$D:$D,Einzelbeträge!$C:$C,'Ausgaben 2028'!$C221)</f>
        <v>0</v>
      </c>
      <c r="E221" s="21">
        <f>SUMIFS(Einzelbeträge!$D:$D,Einzelbeträge!$C:$C,'Ausgaben 2028'!$C221,Einzelbeträge!$E:$E,'Ausgaben 2028'!E$6)</f>
        <v>0</v>
      </c>
      <c r="F221" s="21">
        <f>SUMIFS(Einzelbeträge!$D:$D,Einzelbeträge!$C:$C,'Ausgaben 2028'!$C221,Einzelbeträge!$E:$E,'Ausgaben 2028'!F$6)</f>
        <v>0</v>
      </c>
      <c r="G221" s="21">
        <f>SUMIFS(Einzelbeträge!$D:$D,Einzelbeträge!$C:$C,'Ausgaben 2028'!$C221,Einzelbeträge!$E:$E,'Ausgaben 2028'!G$6)</f>
        <v>0</v>
      </c>
      <c r="H221" s="21">
        <f>SUMIFS(Einzelbeträge!$D:$D,Einzelbeträge!$C:$C,'Ausgaben 2028'!$C221,Einzelbeträge!$E:$E,'Ausgaben 2028'!H$6)</f>
        <v>0</v>
      </c>
      <c r="I221" s="21">
        <f>SUMIFS(Einzelbeträge!$D:$D,Einzelbeträge!$C:$C,'Ausgaben 2028'!$C221,Einzelbeträge!$E:$E,'Ausgaben 2028'!I$6)</f>
        <v>0</v>
      </c>
      <c r="J221" s="21">
        <f>SUMIFS(Einzelbeträge!$D:$D,Einzelbeträge!$C:$C,'Ausgaben 2028'!$C221,Einzelbeträge!$E:$E,'Ausgaben 2028'!J$6)</f>
        <v>0</v>
      </c>
      <c r="K221" s="21">
        <f>SUMIFS(Einzelbeträge!$D:$D,Einzelbeträge!$C:$C,'Ausgaben 2028'!$C221,Einzelbeträge!$E:$E,'Ausgaben 2028'!K$6)</f>
        <v>0</v>
      </c>
      <c r="L221" s="21">
        <f>SUMIFS(Einzelbeträge!$D:$D,Einzelbeträge!$C:$C,'Ausgaben 2028'!$C221,Einzelbeträge!$E:$E,'Ausgaben 2028'!L$6)</f>
        <v>0</v>
      </c>
      <c r="M221" s="21">
        <f>SUMIFS(Einzelbeträge!$D:$D,Einzelbeträge!$C:$C,'Ausgaben 2028'!$C221,Einzelbeträge!$E:$E,'Ausgaben 2028'!M$6)</f>
        <v>0</v>
      </c>
      <c r="N221" s="35">
        <f>SUMIFS(Einzelbeträge!$D:$D,Einzelbeträge!$C:$C,'Ausgaben 2028'!$C221,Einzelbeträge!$E:$E,'Ausgaben 2028'!N$6)</f>
        <v>0</v>
      </c>
      <c r="O221" s="6"/>
    </row>
    <row r="222" spans="2:15" x14ac:dyDescent="0.35">
      <c r="B222" s="5"/>
      <c r="C222" s="40">
        <f t="shared" si="22"/>
        <v>46950</v>
      </c>
      <c r="D222" s="46">
        <f>SUMIFS(Einzelbeträge!$D:$D,Einzelbeträge!$C:$C,'Ausgaben 2028'!$C222)</f>
        <v>0</v>
      </c>
      <c r="E222" s="21">
        <f>SUMIFS(Einzelbeträge!$D:$D,Einzelbeträge!$C:$C,'Ausgaben 2028'!$C222,Einzelbeträge!$E:$E,'Ausgaben 2028'!E$6)</f>
        <v>0</v>
      </c>
      <c r="F222" s="21">
        <f>SUMIFS(Einzelbeträge!$D:$D,Einzelbeträge!$C:$C,'Ausgaben 2028'!$C222,Einzelbeträge!$E:$E,'Ausgaben 2028'!F$6)</f>
        <v>0</v>
      </c>
      <c r="G222" s="21">
        <f>SUMIFS(Einzelbeträge!$D:$D,Einzelbeträge!$C:$C,'Ausgaben 2028'!$C222,Einzelbeträge!$E:$E,'Ausgaben 2028'!G$6)</f>
        <v>0</v>
      </c>
      <c r="H222" s="21">
        <f>SUMIFS(Einzelbeträge!$D:$D,Einzelbeträge!$C:$C,'Ausgaben 2028'!$C222,Einzelbeträge!$E:$E,'Ausgaben 2028'!H$6)</f>
        <v>0</v>
      </c>
      <c r="I222" s="21">
        <f>SUMIFS(Einzelbeträge!$D:$D,Einzelbeträge!$C:$C,'Ausgaben 2028'!$C222,Einzelbeträge!$E:$E,'Ausgaben 2028'!I$6)</f>
        <v>0</v>
      </c>
      <c r="J222" s="21">
        <f>SUMIFS(Einzelbeträge!$D:$D,Einzelbeträge!$C:$C,'Ausgaben 2028'!$C222,Einzelbeträge!$E:$E,'Ausgaben 2028'!J$6)</f>
        <v>0</v>
      </c>
      <c r="K222" s="21">
        <f>SUMIFS(Einzelbeträge!$D:$D,Einzelbeträge!$C:$C,'Ausgaben 2028'!$C222,Einzelbeträge!$E:$E,'Ausgaben 2028'!K$6)</f>
        <v>0</v>
      </c>
      <c r="L222" s="21">
        <f>SUMIFS(Einzelbeträge!$D:$D,Einzelbeträge!$C:$C,'Ausgaben 2028'!$C222,Einzelbeträge!$E:$E,'Ausgaben 2028'!L$6)</f>
        <v>0</v>
      </c>
      <c r="M222" s="21">
        <f>SUMIFS(Einzelbeträge!$D:$D,Einzelbeträge!$C:$C,'Ausgaben 2028'!$C222,Einzelbeträge!$E:$E,'Ausgaben 2028'!M$6)</f>
        <v>0</v>
      </c>
      <c r="N222" s="35">
        <f>SUMIFS(Einzelbeträge!$D:$D,Einzelbeträge!$C:$C,'Ausgaben 2028'!$C222,Einzelbeträge!$E:$E,'Ausgaben 2028'!N$6)</f>
        <v>0</v>
      </c>
      <c r="O222" s="6"/>
    </row>
    <row r="223" spans="2:15" x14ac:dyDescent="0.35">
      <c r="B223" s="5"/>
      <c r="C223" s="40">
        <f t="shared" si="22"/>
        <v>46951</v>
      </c>
      <c r="D223" s="46">
        <f>SUMIFS(Einzelbeträge!$D:$D,Einzelbeträge!$C:$C,'Ausgaben 2028'!$C223)</f>
        <v>0</v>
      </c>
      <c r="E223" s="21">
        <f>SUMIFS(Einzelbeträge!$D:$D,Einzelbeträge!$C:$C,'Ausgaben 2028'!$C223,Einzelbeträge!$E:$E,'Ausgaben 2028'!E$6)</f>
        <v>0</v>
      </c>
      <c r="F223" s="21">
        <f>SUMIFS(Einzelbeträge!$D:$D,Einzelbeträge!$C:$C,'Ausgaben 2028'!$C223,Einzelbeträge!$E:$E,'Ausgaben 2028'!F$6)</f>
        <v>0</v>
      </c>
      <c r="G223" s="21">
        <f>SUMIFS(Einzelbeträge!$D:$D,Einzelbeträge!$C:$C,'Ausgaben 2028'!$C223,Einzelbeträge!$E:$E,'Ausgaben 2028'!G$6)</f>
        <v>0</v>
      </c>
      <c r="H223" s="21">
        <f>SUMIFS(Einzelbeträge!$D:$D,Einzelbeträge!$C:$C,'Ausgaben 2028'!$C223,Einzelbeträge!$E:$E,'Ausgaben 2028'!H$6)</f>
        <v>0</v>
      </c>
      <c r="I223" s="21">
        <f>SUMIFS(Einzelbeträge!$D:$D,Einzelbeträge!$C:$C,'Ausgaben 2028'!$C223,Einzelbeträge!$E:$E,'Ausgaben 2028'!I$6)</f>
        <v>0</v>
      </c>
      <c r="J223" s="21">
        <f>SUMIFS(Einzelbeträge!$D:$D,Einzelbeträge!$C:$C,'Ausgaben 2028'!$C223,Einzelbeträge!$E:$E,'Ausgaben 2028'!J$6)</f>
        <v>0</v>
      </c>
      <c r="K223" s="21">
        <f>SUMIFS(Einzelbeträge!$D:$D,Einzelbeträge!$C:$C,'Ausgaben 2028'!$C223,Einzelbeträge!$E:$E,'Ausgaben 2028'!K$6)</f>
        <v>0</v>
      </c>
      <c r="L223" s="21">
        <f>SUMIFS(Einzelbeträge!$D:$D,Einzelbeträge!$C:$C,'Ausgaben 2028'!$C223,Einzelbeträge!$E:$E,'Ausgaben 2028'!L$6)</f>
        <v>0</v>
      </c>
      <c r="M223" s="21">
        <f>SUMIFS(Einzelbeträge!$D:$D,Einzelbeträge!$C:$C,'Ausgaben 2028'!$C223,Einzelbeträge!$E:$E,'Ausgaben 2028'!M$6)</f>
        <v>0</v>
      </c>
      <c r="N223" s="35">
        <f>SUMIFS(Einzelbeträge!$D:$D,Einzelbeträge!$C:$C,'Ausgaben 2028'!$C223,Einzelbeträge!$E:$E,'Ausgaben 2028'!N$6)</f>
        <v>0</v>
      </c>
      <c r="O223" s="6"/>
    </row>
    <row r="224" spans="2:15" x14ac:dyDescent="0.35">
      <c r="B224" s="5"/>
      <c r="C224" s="40">
        <f t="shared" si="22"/>
        <v>46952</v>
      </c>
      <c r="D224" s="46">
        <f>SUMIFS(Einzelbeträge!$D:$D,Einzelbeträge!$C:$C,'Ausgaben 2028'!$C224)</f>
        <v>0</v>
      </c>
      <c r="E224" s="21">
        <f>SUMIFS(Einzelbeträge!$D:$D,Einzelbeträge!$C:$C,'Ausgaben 2028'!$C224,Einzelbeträge!$E:$E,'Ausgaben 2028'!E$6)</f>
        <v>0</v>
      </c>
      <c r="F224" s="21">
        <f>SUMIFS(Einzelbeträge!$D:$D,Einzelbeträge!$C:$C,'Ausgaben 2028'!$C224,Einzelbeträge!$E:$E,'Ausgaben 2028'!F$6)</f>
        <v>0</v>
      </c>
      <c r="G224" s="21">
        <f>SUMIFS(Einzelbeträge!$D:$D,Einzelbeträge!$C:$C,'Ausgaben 2028'!$C224,Einzelbeträge!$E:$E,'Ausgaben 2028'!G$6)</f>
        <v>0</v>
      </c>
      <c r="H224" s="21">
        <f>SUMIFS(Einzelbeträge!$D:$D,Einzelbeträge!$C:$C,'Ausgaben 2028'!$C224,Einzelbeträge!$E:$E,'Ausgaben 2028'!H$6)</f>
        <v>0</v>
      </c>
      <c r="I224" s="21">
        <f>SUMIFS(Einzelbeträge!$D:$D,Einzelbeträge!$C:$C,'Ausgaben 2028'!$C224,Einzelbeträge!$E:$E,'Ausgaben 2028'!I$6)</f>
        <v>0</v>
      </c>
      <c r="J224" s="21">
        <f>SUMIFS(Einzelbeträge!$D:$D,Einzelbeträge!$C:$C,'Ausgaben 2028'!$C224,Einzelbeträge!$E:$E,'Ausgaben 2028'!J$6)</f>
        <v>0</v>
      </c>
      <c r="K224" s="21">
        <f>SUMIFS(Einzelbeträge!$D:$D,Einzelbeträge!$C:$C,'Ausgaben 2028'!$C224,Einzelbeträge!$E:$E,'Ausgaben 2028'!K$6)</f>
        <v>0</v>
      </c>
      <c r="L224" s="21">
        <f>SUMIFS(Einzelbeträge!$D:$D,Einzelbeträge!$C:$C,'Ausgaben 2028'!$C224,Einzelbeträge!$E:$E,'Ausgaben 2028'!L$6)</f>
        <v>0</v>
      </c>
      <c r="M224" s="21">
        <f>SUMIFS(Einzelbeträge!$D:$D,Einzelbeträge!$C:$C,'Ausgaben 2028'!$C224,Einzelbeträge!$E:$E,'Ausgaben 2028'!M$6)</f>
        <v>0</v>
      </c>
      <c r="N224" s="35">
        <f>SUMIFS(Einzelbeträge!$D:$D,Einzelbeträge!$C:$C,'Ausgaben 2028'!$C224,Einzelbeträge!$E:$E,'Ausgaben 2028'!N$6)</f>
        <v>0</v>
      </c>
      <c r="O224" s="6"/>
    </row>
    <row r="225" spans="2:15" x14ac:dyDescent="0.35">
      <c r="B225" s="5"/>
      <c r="C225" s="40">
        <f t="shared" si="22"/>
        <v>46953</v>
      </c>
      <c r="D225" s="46">
        <f>SUMIFS(Einzelbeträge!$D:$D,Einzelbeträge!$C:$C,'Ausgaben 2028'!$C225)</f>
        <v>0</v>
      </c>
      <c r="E225" s="21">
        <f>SUMIFS(Einzelbeträge!$D:$D,Einzelbeträge!$C:$C,'Ausgaben 2028'!$C225,Einzelbeträge!$E:$E,'Ausgaben 2028'!E$6)</f>
        <v>0</v>
      </c>
      <c r="F225" s="21">
        <f>SUMIFS(Einzelbeträge!$D:$D,Einzelbeträge!$C:$C,'Ausgaben 2028'!$C225,Einzelbeträge!$E:$E,'Ausgaben 2028'!F$6)</f>
        <v>0</v>
      </c>
      <c r="G225" s="21">
        <f>SUMIFS(Einzelbeträge!$D:$D,Einzelbeträge!$C:$C,'Ausgaben 2028'!$C225,Einzelbeträge!$E:$E,'Ausgaben 2028'!G$6)</f>
        <v>0</v>
      </c>
      <c r="H225" s="21">
        <f>SUMIFS(Einzelbeträge!$D:$D,Einzelbeträge!$C:$C,'Ausgaben 2028'!$C225,Einzelbeträge!$E:$E,'Ausgaben 2028'!H$6)</f>
        <v>0</v>
      </c>
      <c r="I225" s="21">
        <f>SUMIFS(Einzelbeträge!$D:$D,Einzelbeträge!$C:$C,'Ausgaben 2028'!$C225,Einzelbeträge!$E:$E,'Ausgaben 2028'!I$6)</f>
        <v>0</v>
      </c>
      <c r="J225" s="21">
        <f>SUMIFS(Einzelbeträge!$D:$D,Einzelbeträge!$C:$C,'Ausgaben 2028'!$C225,Einzelbeträge!$E:$E,'Ausgaben 2028'!J$6)</f>
        <v>0</v>
      </c>
      <c r="K225" s="21">
        <f>SUMIFS(Einzelbeträge!$D:$D,Einzelbeträge!$C:$C,'Ausgaben 2028'!$C225,Einzelbeträge!$E:$E,'Ausgaben 2028'!K$6)</f>
        <v>0</v>
      </c>
      <c r="L225" s="21">
        <f>SUMIFS(Einzelbeträge!$D:$D,Einzelbeträge!$C:$C,'Ausgaben 2028'!$C225,Einzelbeträge!$E:$E,'Ausgaben 2028'!L$6)</f>
        <v>0</v>
      </c>
      <c r="M225" s="21">
        <f>SUMIFS(Einzelbeträge!$D:$D,Einzelbeträge!$C:$C,'Ausgaben 2028'!$C225,Einzelbeträge!$E:$E,'Ausgaben 2028'!M$6)</f>
        <v>0</v>
      </c>
      <c r="N225" s="35">
        <f>SUMIFS(Einzelbeträge!$D:$D,Einzelbeträge!$C:$C,'Ausgaben 2028'!$C225,Einzelbeträge!$E:$E,'Ausgaben 2028'!N$6)</f>
        <v>0</v>
      </c>
      <c r="O225" s="6"/>
    </row>
    <row r="226" spans="2:15" x14ac:dyDescent="0.35">
      <c r="B226" s="5"/>
      <c r="C226" s="40">
        <f t="shared" si="22"/>
        <v>46954</v>
      </c>
      <c r="D226" s="46">
        <f>SUMIFS(Einzelbeträge!$D:$D,Einzelbeträge!$C:$C,'Ausgaben 2028'!$C226)</f>
        <v>0</v>
      </c>
      <c r="E226" s="21">
        <f>SUMIFS(Einzelbeträge!$D:$D,Einzelbeträge!$C:$C,'Ausgaben 2028'!$C226,Einzelbeträge!$E:$E,'Ausgaben 2028'!E$6)</f>
        <v>0</v>
      </c>
      <c r="F226" s="21">
        <f>SUMIFS(Einzelbeträge!$D:$D,Einzelbeträge!$C:$C,'Ausgaben 2028'!$C226,Einzelbeträge!$E:$E,'Ausgaben 2028'!F$6)</f>
        <v>0</v>
      </c>
      <c r="G226" s="21">
        <f>SUMIFS(Einzelbeträge!$D:$D,Einzelbeträge!$C:$C,'Ausgaben 2028'!$C226,Einzelbeträge!$E:$E,'Ausgaben 2028'!G$6)</f>
        <v>0</v>
      </c>
      <c r="H226" s="21">
        <f>SUMIFS(Einzelbeträge!$D:$D,Einzelbeträge!$C:$C,'Ausgaben 2028'!$C226,Einzelbeträge!$E:$E,'Ausgaben 2028'!H$6)</f>
        <v>0</v>
      </c>
      <c r="I226" s="21">
        <f>SUMIFS(Einzelbeträge!$D:$D,Einzelbeträge!$C:$C,'Ausgaben 2028'!$C226,Einzelbeträge!$E:$E,'Ausgaben 2028'!I$6)</f>
        <v>0</v>
      </c>
      <c r="J226" s="21">
        <f>SUMIFS(Einzelbeträge!$D:$D,Einzelbeträge!$C:$C,'Ausgaben 2028'!$C226,Einzelbeträge!$E:$E,'Ausgaben 2028'!J$6)</f>
        <v>0</v>
      </c>
      <c r="K226" s="21">
        <f>SUMIFS(Einzelbeträge!$D:$D,Einzelbeträge!$C:$C,'Ausgaben 2028'!$C226,Einzelbeträge!$E:$E,'Ausgaben 2028'!K$6)</f>
        <v>0</v>
      </c>
      <c r="L226" s="21">
        <f>SUMIFS(Einzelbeträge!$D:$D,Einzelbeträge!$C:$C,'Ausgaben 2028'!$C226,Einzelbeträge!$E:$E,'Ausgaben 2028'!L$6)</f>
        <v>0</v>
      </c>
      <c r="M226" s="21">
        <f>SUMIFS(Einzelbeträge!$D:$D,Einzelbeträge!$C:$C,'Ausgaben 2028'!$C226,Einzelbeträge!$E:$E,'Ausgaben 2028'!M$6)</f>
        <v>0</v>
      </c>
      <c r="N226" s="35">
        <f>SUMIFS(Einzelbeträge!$D:$D,Einzelbeträge!$C:$C,'Ausgaben 2028'!$C226,Einzelbeträge!$E:$E,'Ausgaben 2028'!N$6)</f>
        <v>0</v>
      </c>
      <c r="O226" s="6"/>
    </row>
    <row r="227" spans="2:15" x14ac:dyDescent="0.35">
      <c r="B227" s="5"/>
      <c r="C227" s="40">
        <f t="shared" si="22"/>
        <v>46955</v>
      </c>
      <c r="D227" s="46">
        <f>SUMIFS(Einzelbeträge!$D:$D,Einzelbeträge!$C:$C,'Ausgaben 2028'!$C227)</f>
        <v>0</v>
      </c>
      <c r="E227" s="21">
        <f>SUMIFS(Einzelbeträge!$D:$D,Einzelbeträge!$C:$C,'Ausgaben 2028'!$C227,Einzelbeträge!$E:$E,'Ausgaben 2028'!E$6)</f>
        <v>0</v>
      </c>
      <c r="F227" s="21">
        <f>SUMIFS(Einzelbeträge!$D:$D,Einzelbeträge!$C:$C,'Ausgaben 2028'!$C227,Einzelbeträge!$E:$E,'Ausgaben 2028'!F$6)</f>
        <v>0</v>
      </c>
      <c r="G227" s="21">
        <f>SUMIFS(Einzelbeträge!$D:$D,Einzelbeträge!$C:$C,'Ausgaben 2028'!$C227,Einzelbeträge!$E:$E,'Ausgaben 2028'!G$6)</f>
        <v>0</v>
      </c>
      <c r="H227" s="21">
        <f>SUMIFS(Einzelbeträge!$D:$D,Einzelbeträge!$C:$C,'Ausgaben 2028'!$C227,Einzelbeträge!$E:$E,'Ausgaben 2028'!H$6)</f>
        <v>0</v>
      </c>
      <c r="I227" s="21">
        <f>SUMIFS(Einzelbeträge!$D:$D,Einzelbeträge!$C:$C,'Ausgaben 2028'!$C227,Einzelbeträge!$E:$E,'Ausgaben 2028'!I$6)</f>
        <v>0</v>
      </c>
      <c r="J227" s="21">
        <f>SUMIFS(Einzelbeträge!$D:$D,Einzelbeträge!$C:$C,'Ausgaben 2028'!$C227,Einzelbeträge!$E:$E,'Ausgaben 2028'!J$6)</f>
        <v>0</v>
      </c>
      <c r="K227" s="21">
        <f>SUMIFS(Einzelbeträge!$D:$D,Einzelbeträge!$C:$C,'Ausgaben 2028'!$C227,Einzelbeträge!$E:$E,'Ausgaben 2028'!K$6)</f>
        <v>0</v>
      </c>
      <c r="L227" s="21">
        <f>SUMIFS(Einzelbeträge!$D:$D,Einzelbeträge!$C:$C,'Ausgaben 2028'!$C227,Einzelbeträge!$E:$E,'Ausgaben 2028'!L$6)</f>
        <v>0</v>
      </c>
      <c r="M227" s="21">
        <f>SUMIFS(Einzelbeträge!$D:$D,Einzelbeträge!$C:$C,'Ausgaben 2028'!$C227,Einzelbeträge!$E:$E,'Ausgaben 2028'!M$6)</f>
        <v>0</v>
      </c>
      <c r="N227" s="35">
        <f>SUMIFS(Einzelbeträge!$D:$D,Einzelbeträge!$C:$C,'Ausgaben 2028'!$C227,Einzelbeträge!$E:$E,'Ausgaben 2028'!N$6)</f>
        <v>0</v>
      </c>
      <c r="O227" s="6"/>
    </row>
    <row r="228" spans="2:15" x14ac:dyDescent="0.35">
      <c r="B228" s="5"/>
      <c r="C228" s="40">
        <f t="shared" si="22"/>
        <v>46956</v>
      </c>
      <c r="D228" s="46">
        <f>SUMIFS(Einzelbeträge!$D:$D,Einzelbeträge!$C:$C,'Ausgaben 2028'!$C228)</f>
        <v>0</v>
      </c>
      <c r="E228" s="21">
        <f>SUMIFS(Einzelbeträge!$D:$D,Einzelbeträge!$C:$C,'Ausgaben 2028'!$C228,Einzelbeträge!$E:$E,'Ausgaben 2028'!E$6)</f>
        <v>0</v>
      </c>
      <c r="F228" s="21">
        <f>SUMIFS(Einzelbeträge!$D:$D,Einzelbeträge!$C:$C,'Ausgaben 2028'!$C228,Einzelbeträge!$E:$E,'Ausgaben 2028'!F$6)</f>
        <v>0</v>
      </c>
      <c r="G228" s="21">
        <f>SUMIFS(Einzelbeträge!$D:$D,Einzelbeträge!$C:$C,'Ausgaben 2028'!$C228,Einzelbeträge!$E:$E,'Ausgaben 2028'!G$6)</f>
        <v>0</v>
      </c>
      <c r="H228" s="21">
        <f>SUMIFS(Einzelbeträge!$D:$D,Einzelbeträge!$C:$C,'Ausgaben 2028'!$C228,Einzelbeträge!$E:$E,'Ausgaben 2028'!H$6)</f>
        <v>0</v>
      </c>
      <c r="I228" s="21">
        <f>SUMIFS(Einzelbeträge!$D:$D,Einzelbeträge!$C:$C,'Ausgaben 2028'!$C228,Einzelbeträge!$E:$E,'Ausgaben 2028'!I$6)</f>
        <v>0</v>
      </c>
      <c r="J228" s="21">
        <f>SUMIFS(Einzelbeträge!$D:$D,Einzelbeträge!$C:$C,'Ausgaben 2028'!$C228,Einzelbeträge!$E:$E,'Ausgaben 2028'!J$6)</f>
        <v>0</v>
      </c>
      <c r="K228" s="21">
        <f>SUMIFS(Einzelbeträge!$D:$D,Einzelbeträge!$C:$C,'Ausgaben 2028'!$C228,Einzelbeträge!$E:$E,'Ausgaben 2028'!K$6)</f>
        <v>0</v>
      </c>
      <c r="L228" s="21">
        <f>SUMIFS(Einzelbeträge!$D:$D,Einzelbeträge!$C:$C,'Ausgaben 2028'!$C228,Einzelbeträge!$E:$E,'Ausgaben 2028'!L$6)</f>
        <v>0</v>
      </c>
      <c r="M228" s="21">
        <f>SUMIFS(Einzelbeträge!$D:$D,Einzelbeträge!$C:$C,'Ausgaben 2028'!$C228,Einzelbeträge!$E:$E,'Ausgaben 2028'!M$6)</f>
        <v>0</v>
      </c>
      <c r="N228" s="35">
        <f>SUMIFS(Einzelbeträge!$D:$D,Einzelbeträge!$C:$C,'Ausgaben 2028'!$C228,Einzelbeträge!$E:$E,'Ausgaben 2028'!N$6)</f>
        <v>0</v>
      </c>
      <c r="O228" s="6"/>
    </row>
    <row r="229" spans="2:15" x14ac:dyDescent="0.35">
      <c r="B229" s="5"/>
      <c r="C229" s="40">
        <f t="shared" si="22"/>
        <v>46957</v>
      </c>
      <c r="D229" s="46">
        <f>SUMIFS(Einzelbeträge!$D:$D,Einzelbeträge!$C:$C,'Ausgaben 2028'!$C229)</f>
        <v>0</v>
      </c>
      <c r="E229" s="21">
        <f>SUMIFS(Einzelbeträge!$D:$D,Einzelbeträge!$C:$C,'Ausgaben 2028'!$C229,Einzelbeträge!$E:$E,'Ausgaben 2028'!E$6)</f>
        <v>0</v>
      </c>
      <c r="F229" s="21">
        <f>SUMIFS(Einzelbeträge!$D:$D,Einzelbeträge!$C:$C,'Ausgaben 2028'!$C229,Einzelbeträge!$E:$E,'Ausgaben 2028'!F$6)</f>
        <v>0</v>
      </c>
      <c r="G229" s="21">
        <f>SUMIFS(Einzelbeträge!$D:$D,Einzelbeträge!$C:$C,'Ausgaben 2028'!$C229,Einzelbeträge!$E:$E,'Ausgaben 2028'!G$6)</f>
        <v>0</v>
      </c>
      <c r="H229" s="21">
        <f>SUMIFS(Einzelbeträge!$D:$D,Einzelbeträge!$C:$C,'Ausgaben 2028'!$C229,Einzelbeträge!$E:$E,'Ausgaben 2028'!H$6)</f>
        <v>0</v>
      </c>
      <c r="I229" s="21">
        <f>SUMIFS(Einzelbeträge!$D:$D,Einzelbeträge!$C:$C,'Ausgaben 2028'!$C229,Einzelbeträge!$E:$E,'Ausgaben 2028'!I$6)</f>
        <v>0</v>
      </c>
      <c r="J229" s="21">
        <f>SUMIFS(Einzelbeträge!$D:$D,Einzelbeträge!$C:$C,'Ausgaben 2028'!$C229,Einzelbeträge!$E:$E,'Ausgaben 2028'!J$6)</f>
        <v>0</v>
      </c>
      <c r="K229" s="21">
        <f>SUMIFS(Einzelbeträge!$D:$D,Einzelbeträge!$C:$C,'Ausgaben 2028'!$C229,Einzelbeträge!$E:$E,'Ausgaben 2028'!K$6)</f>
        <v>0</v>
      </c>
      <c r="L229" s="21">
        <f>SUMIFS(Einzelbeträge!$D:$D,Einzelbeträge!$C:$C,'Ausgaben 2028'!$C229,Einzelbeträge!$E:$E,'Ausgaben 2028'!L$6)</f>
        <v>0</v>
      </c>
      <c r="M229" s="21">
        <f>SUMIFS(Einzelbeträge!$D:$D,Einzelbeträge!$C:$C,'Ausgaben 2028'!$C229,Einzelbeträge!$E:$E,'Ausgaben 2028'!M$6)</f>
        <v>0</v>
      </c>
      <c r="N229" s="35">
        <f>SUMIFS(Einzelbeträge!$D:$D,Einzelbeträge!$C:$C,'Ausgaben 2028'!$C229,Einzelbeträge!$E:$E,'Ausgaben 2028'!N$6)</f>
        <v>0</v>
      </c>
      <c r="O229" s="6"/>
    </row>
    <row r="230" spans="2:15" x14ac:dyDescent="0.35">
      <c r="B230" s="5"/>
      <c r="C230" s="40">
        <f t="shared" si="22"/>
        <v>46958</v>
      </c>
      <c r="D230" s="46">
        <f>SUMIFS(Einzelbeträge!$D:$D,Einzelbeträge!$C:$C,'Ausgaben 2028'!$C230)</f>
        <v>0</v>
      </c>
      <c r="E230" s="21">
        <f>SUMIFS(Einzelbeträge!$D:$D,Einzelbeträge!$C:$C,'Ausgaben 2028'!$C230,Einzelbeträge!$E:$E,'Ausgaben 2028'!E$6)</f>
        <v>0</v>
      </c>
      <c r="F230" s="21">
        <f>SUMIFS(Einzelbeträge!$D:$D,Einzelbeträge!$C:$C,'Ausgaben 2028'!$C230,Einzelbeträge!$E:$E,'Ausgaben 2028'!F$6)</f>
        <v>0</v>
      </c>
      <c r="G230" s="21">
        <f>SUMIFS(Einzelbeträge!$D:$D,Einzelbeträge!$C:$C,'Ausgaben 2028'!$C230,Einzelbeträge!$E:$E,'Ausgaben 2028'!G$6)</f>
        <v>0</v>
      </c>
      <c r="H230" s="21">
        <f>SUMIFS(Einzelbeträge!$D:$D,Einzelbeträge!$C:$C,'Ausgaben 2028'!$C230,Einzelbeträge!$E:$E,'Ausgaben 2028'!H$6)</f>
        <v>0</v>
      </c>
      <c r="I230" s="21">
        <f>SUMIFS(Einzelbeträge!$D:$D,Einzelbeträge!$C:$C,'Ausgaben 2028'!$C230,Einzelbeträge!$E:$E,'Ausgaben 2028'!I$6)</f>
        <v>0</v>
      </c>
      <c r="J230" s="21">
        <f>SUMIFS(Einzelbeträge!$D:$D,Einzelbeträge!$C:$C,'Ausgaben 2028'!$C230,Einzelbeträge!$E:$E,'Ausgaben 2028'!J$6)</f>
        <v>0</v>
      </c>
      <c r="K230" s="21">
        <f>SUMIFS(Einzelbeträge!$D:$D,Einzelbeträge!$C:$C,'Ausgaben 2028'!$C230,Einzelbeträge!$E:$E,'Ausgaben 2028'!K$6)</f>
        <v>0</v>
      </c>
      <c r="L230" s="21">
        <f>SUMIFS(Einzelbeträge!$D:$D,Einzelbeträge!$C:$C,'Ausgaben 2028'!$C230,Einzelbeträge!$E:$E,'Ausgaben 2028'!L$6)</f>
        <v>0</v>
      </c>
      <c r="M230" s="21">
        <f>SUMIFS(Einzelbeträge!$D:$D,Einzelbeträge!$C:$C,'Ausgaben 2028'!$C230,Einzelbeträge!$E:$E,'Ausgaben 2028'!M$6)</f>
        <v>0</v>
      </c>
      <c r="N230" s="35">
        <f>SUMIFS(Einzelbeträge!$D:$D,Einzelbeträge!$C:$C,'Ausgaben 2028'!$C230,Einzelbeträge!$E:$E,'Ausgaben 2028'!N$6)</f>
        <v>0</v>
      </c>
      <c r="O230" s="6"/>
    </row>
    <row r="231" spans="2:15" x14ac:dyDescent="0.35">
      <c r="B231" s="5"/>
      <c r="C231" s="40">
        <f t="shared" si="22"/>
        <v>46959</v>
      </c>
      <c r="D231" s="46">
        <f>SUMIFS(Einzelbeträge!$D:$D,Einzelbeträge!$C:$C,'Ausgaben 2028'!$C231)</f>
        <v>0</v>
      </c>
      <c r="E231" s="21">
        <f>SUMIFS(Einzelbeträge!$D:$D,Einzelbeträge!$C:$C,'Ausgaben 2028'!$C231,Einzelbeträge!$E:$E,'Ausgaben 2028'!E$6)</f>
        <v>0</v>
      </c>
      <c r="F231" s="21">
        <f>SUMIFS(Einzelbeträge!$D:$D,Einzelbeträge!$C:$C,'Ausgaben 2028'!$C231,Einzelbeträge!$E:$E,'Ausgaben 2028'!F$6)</f>
        <v>0</v>
      </c>
      <c r="G231" s="21">
        <f>SUMIFS(Einzelbeträge!$D:$D,Einzelbeträge!$C:$C,'Ausgaben 2028'!$C231,Einzelbeträge!$E:$E,'Ausgaben 2028'!G$6)</f>
        <v>0</v>
      </c>
      <c r="H231" s="21">
        <f>SUMIFS(Einzelbeträge!$D:$D,Einzelbeträge!$C:$C,'Ausgaben 2028'!$C231,Einzelbeträge!$E:$E,'Ausgaben 2028'!H$6)</f>
        <v>0</v>
      </c>
      <c r="I231" s="21">
        <f>SUMIFS(Einzelbeträge!$D:$D,Einzelbeträge!$C:$C,'Ausgaben 2028'!$C231,Einzelbeträge!$E:$E,'Ausgaben 2028'!I$6)</f>
        <v>0</v>
      </c>
      <c r="J231" s="21">
        <f>SUMIFS(Einzelbeträge!$D:$D,Einzelbeträge!$C:$C,'Ausgaben 2028'!$C231,Einzelbeträge!$E:$E,'Ausgaben 2028'!J$6)</f>
        <v>0</v>
      </c>
      <c r="K231" s="21">
        <f>SUMIFS(Einzelbeträge!$D:$D,Einzelbeträge!$C:$C,'Ausgaben 2028'!$C231,Einzelbeträge!$E:$E,'Ausgaben 2028'!K$6)</f>
        <v>0</v>
      </c>
      <c r="L231" s="21">
        <f>SUMIFS(Einzelbeträge!$D:$D,Einzelbeträge!$C:$C,'Ausgaben 2028'!$C231,Einzelbeträge!$E:$E,'Ausgaben 2028'!L$6)</f>
        <v>0</v>
      </c>
      <c r="M231" s="21">
        <f>SUMIFS(Einzelbeträge!$D:$D,Einzelbeträge!$C:$C,'Ausgaben 2028'!$C231,Einzelbeträge!$E:$E,'Ausgaben 2028'!M$6)</f>
        <v>0</v>
      </c>
      <c r="N231" s="35">
        <f>SUMIFS(Einzelbeträge!$D:$D,Einzelbeträge!$C:$C,'Ausgaben 2028'!$C231,Einzelbeträge!$E:$E,'Ausgaben 2028'!N$6)</f>
        <v>0</v>
      </c>
      <c r="O231" s="6"/>
    </row>
    <row r="232" spans="2:15" x14ac:dyDescent="0.35">
      <c r="B232" s="5"/>
      <c r="C232" s="40">
        <f t="shared" si="22"/>
        <v>46960</v>
      </c>
      <c r="D232" s="46">
        <f>SUMIFS(Einzelbeträge!$D:$D,Einzelbeträge!$C:$C,'Ausgaben 2028'!$C232)</f>
        <v>0</v>
      </c>
      <c r="E232" s="21">
        <f>SUMIFS(Einzelbeträge!$D:$D,Einzelbeträge!$C:$C,'Ausgaben 2028'!$C232,Einzelbeträge!$E:$E,'Ausgaben 2028'!E$6)</f>
        <v>0</v>
      </c>
      <c r="F232" s="21">
        <f>SUMIFS(Einzelbeträge!$D:$D,Einzelbeträge!$C:$C,'Ausgaben 2028'!$C232,Einzelbeträge!$E:$E,'Ausgaben 2028'!F$6)</f>
        <v>0</v>
      </c>
      <c r="G232" s="21">
        <f>SUMIFS(Einzelbeträge!$D:$D,Einzelbeträge!$C:$C,'Ausgaben 2028'!$C232,Einzelbeträge!$E:$E,'Ausgaben 2028'!G$6)</f>
        <v>0</v>
      </c>
      <c r="H232" s="21">
        <f>SUMIFS(Einzelbeträge!$D:$D,Einzelbeträge!$C:$C,'Ausgaben 2028'!$C232,Einzelbeträge!$E:$E,'Ausgaben 2028'!H$6)</f>
        <v>0</v>
      </c>
      <c r="I232" s="21">
        <f>SUMIFS(Einzelbeträge!$D:$D,Einzelbeträge!$C:$C,'Ausgaben 2028'!$C232,Einzelbeträge!$E:$E,'Ausgaben 2028'!I$6)</f>
        <v>0</v>
      </c>
      <c r="J232" s="21">
        <f>SUMIFS(Einzelbeträge!$D:$D,Einzelbeträge!$C:$C,'Ausgaben 2028'!$C232,Einzelbeträge!$E:$E,'Ausgaben 2028'!J$6)</f>
        <v>0</v>
      </c>
      <c r="K232" s="21">
        <f>SUMIFS(Einzelbeträge!$D:$D,Einzelbeträge!$C:$C,'Ausgaben 2028'!$C232,Einzelbeträge!$E:$E,'Ausgaben 2028'!K$6)</f>
        <v>0</v>
      </c>
      <c r="L232" s="21">
        <f>SUMIFS(Einzelbeträge!$D:$D,Einzelbeträge!$C:$C,'Ausgaben 2028'!$C232,Einzelbeträge!$E:$E,'Ausgaben 2028'!L$6)</f>
        <v>0</v>
      </c>
      <c r="M232" s="21">
        <f>SUMIFS(Einzelbeträge!$D:$D,Einzelbeträge!$C:$C,'Ausgaben 2028'!$C232,Einzelbeträge!$E:$E,'Ausgaben 2028'!M$6)</f>
        <v>0</v>
      </c>
      <c r="N232" s="35">
        <f>SUMIFS(Einzelbeträge!$D:$D,Einzelbeträge!$C:$C,'Ausgaben 2028'!$C232,Einzelbeträge!$E:$E,'Ausgaben 2028'!N$6)</f>
        <v>0</v>
      </c>
      <c r="O232" s="6"/>
    </row>
    <row r="233" spans="2:15" x14ac:dyDescent="0.35">
      <c r="B233" s="5"/>
      <c r="C233" s="40">
        <f t="shared" si="22"/>
        <v>46961</v>
      </c>
      <c r="D233" s="46">
        <f>SUMIFS(Einzelbeträge!$D:$D,Einzelbeträge!$C:$C,'Ausgaben 2028'!$C233)</f>
        <v>0</v>
      </c>
      <c r="E233" s="21">
        <f>SUMIFS(Einzelbeträge!$D:$D,Einzelbeträge!$C:$C,'Ausgaben 2028'!$C233,Einzelbeträge!$E:$E,'Ausgaben 2028'!E$6)</f>
        <v>0</v>
      </c>
      <c r="F233" s="21">
        <f>SUMIFS(Einzelbeträge!$D:$D,Einzelbeträge!$C:$C,'Ausgaben 2028'!$C233,Einzelbeträge!$E:$E,'Ausgaben 2028'!F$6)</f>
        <v>0</v>
      </c>
      <c r="G233" s="21">
        <f>SUMIFS(Einzelbeträge!$D:$D,Einzelbeträge!$C:$C,'Ausgaben 2028'!$C233,Einzelbeträge!$E:$E,'Ausgaben 2028'!G$6)</f>
        <v>0</v>
      </c>
      <c r="H233" s="21">
        <f>SUMIFS(Einzelbeträge!$D:$D,Einzelbeträge!$C:$C,'Ausgaben 2028'!$C233,Einzelbeträge!$E:$E,'Ausgaben 2028'!H$6)</f>
        <v>0</v>
      </c>
      <c r="I233" s="21">
        <f>SUMIFS(Einzelbeträge!$D:$D,Einzelbeträge!$C:$C,'Ausgaben 2028'!$C233,Einzelbeträge!$E:$E,'Ausgaben 2028'!I$6)</f>
        <v>0</v>
      </c>
      <c r="J233" s="21">
        <f>SUMIFS(Einzelbeträge!$D:$D,Einzelbeträge!$C:$C,'Ausgaben 2028'!$C233,Einzelbeträge!$E:$E,'Ausgaben 2028'!J$6)</f>
        <v>0</v>
      </c>
      <c r="K233" s="21">
        <f>SUMIFS(Einzelbeträge!$D:$D,Einzelbeträge!$C:$C,'Ausgaben 2028'!$C233,Einzelbeträge!$E:$E,'Ausgaben 2028'!K$6)</f>
        <v>0</v>
      </c>
      <c r="L233" s="21">
        <f>SUMIFS(Einzelbeträge!$D:$D,Einzelbeträge!$C:$C,'Ausgaben 2028'!$C233,Einzelbeträge!$E:$E,'Ausgaben 2028'!L$6)</f>
        <v>0</v>
      </c>
      <c r="M233" s="21">
        <f>SUMIFS(Einzelbeträge!$D:$D,Einzelbeträge!$C:$C,'Ausgaben 2028'!$C233,Einzelbeträge!$E:$E,'Ausgaben 2028'!M$6)</f>
        <v>0</v>
      </c>
      <c r="N233" s="35">
        <f>SUMIFS(Einzelbeträge!$D:$D,Einzelbeträge!$C:$C,'Ausgaben 2028'!$C233,Einzelbeträge!$E:$E,'Ausgaben 2028'!N$6)</f>
        <v>0</v>
      </c>
      <c r="O233" s="6"/>
    </row>
    <row r="234" spans="2:15" x14ac:dyDescent="0.35">
      <c r="B234" s="5"/>
      <c r="C234" s="40">
        <f t="shared" si="22"/>
        <v>46962</v>
      </c>
      <c r="D234" s="46">
        <f>SUMIFS(Einzelbeträge!$D:$D,Einzelbeträge!$C:$C,'Ausgaben 2028'!$C234)</f>
        <v>0</v>
      </c>
      <c r="E234" s="21">
        <f>SUMIFS(Einzelbeträge!$D:$D,Einzelbeträge!$C:$C,'Ausgaben 2028'!$C234,Einzelbeträge!$E:$E,'Ausgaben 2028'!E$6)</f>
        <v>0</v>
      </c>
      <c r="F234" s="21">
        <f>SUMIFS(Einzelbeträge!$D:$D,Einzelbeträge!$C:$C,'Ausgaben 2028'!$C234,Einzelbeträge!$E:$E,'Ausgaben 2028'!F$6)</f>
        <v>0</v>
      </c>
      <c r="G234" s="21">
        <f>SUMIFS(Einzelbeträge!$D:$D,Einzelbeträge!$C:$C,'Ausgaben 2028'!$C234,Einzelbeträge!$E:$E,'Ausgaben 2028'!G$6)</f>
        <v>0</v>
      </c>
      <c r="H234" s="21">
        <f>SUMIFS(Einzelbeträge!$D:$D,Einzelbeträge!$C:$C,'Ausgaben 2028'!$C234,Einzelbeträge!$E:$E,'Ausgaben 2028'!H$6)</f>
        <v>0</v>
      </c>
      <c r="I234" s="21">
        <f>SUMIFS(Einzelbeträge!$D:$D,Einzelbeträge!$C:$C,'Ausgaben 2028'!$C234,Einzelbeträge!$E:$E,'Ausgaben 2028'!I$6)</f>
        <v>0</v>
      </c>
      <c r="J234" s="21">
        <f>SUMIFS(Einzelbeträge!$D:$D,Einzelbeträge!$C:$C,'Ausgaben 2028'!$C234,Einzelbeträge!$E:$E,'Ausgaben 2028'!J$6)</f>
        <v>0</v>
      </c>
      <c r="K234" s="21">
        <f>SUMIFS(Einzelbeträge!$D:$D,Einzelbeträge!$C:$C,'Ausgaben 2028'!$C234,Einzelbeträge!$E:$E,'Ausgaben 2028'!K$6)</f>
        <v>0</v>
      </c>
      <c r="L234" s="21">
        <f>SUMIFS(Einzelbeträge!$D:$D,Einzelbeträge!$C:$C,'Ausgaben 2028'!$C234,Einzelbeträge!$E:$E,'Ausgaben 2028'!L$6)</f>
        <v>0</v>
      </c>
      <c r="M234" s="21">
        <f>SUMIFS(Einzelbeträge!$D:$D,Einzelbeträge!$C:$C,'Ausgaben 2028'!$C234,Einzelbeträge!$E:$E,'Ausgaben 2028'!M$6)</f>
        <v>0</v>
      </c>
      <c r="N234" s="35">
        <f>SUMIFS(Einzelbeträge!$D:$D,Einzelbeträge!$C:$C,'Ausgaben 2028'!$C234,Einzelbeträge!$E:$E,'Ausgaben 2028'!N$6)</f>
        <v>0</v>
      </c>
      <c r="O234" s="6"/>
    </row>
    <row r="235" spans="2:15" x14ac:dyDescent="0.35">
      <c r="B235" s="5"/>
      <c r="C235" s="40">
        <f t="shared" si="22"/>
        <v>46963</v>
      </c>
      <c r="D235" s="46">
        <f>SUMIFS(Einzelbeträge!$D:$D,Einzelbeträge!$C:$C,'Ausgaben 2028'!$C235)</f>
        <v>0</v>
      </c>
      <c r="E235" s="21">
        <f>SUMIFS(Einzelbeträge!$D:$D,Einzelbeträge!$C:$C,'Ausgaben 2028'!$C235,Einzelbeträge!$E:$E,'Ausgaben 2028'!E$6)</f>
        <v>0</v>
      </c>
      <c r="F235" s="21">
        <f>SUMIFS(Einzelbeträge!$D:$D,Einzelbeträge!$C:$C,'Ausgaben 2028'!$C235,Einzelbeträge!$E:$E,'Ausgaben 2028'!F$6)</f>
        <v>0</v>
      </c>
      <c r="G235" s="21">
        <f>SUMIFS(Einzelbeträge!$D:$D,Einzelbeträge!$C:$C,'Ausgaben 2028'!$C235,Einzelbeträge!$E:$E,'Ausgaben 2028'!G$6)</f>
        <v>0</v>
      </c>
      <c r="H235" s="21">
        <f>SUMIFS(Einzelbeträge!$D:$D,Einzelbeträge!$C:$C,'Ausgaben 2028'!$C235,Einzelbeträge!$E:$E,'Ausgaben 2028'!H$6)</f>
        <v>0</v>
      </c>
      <c r="I235" s="21">
        <f>SUMIFS(Einzelbeträge!$D:$D,Einzelbeträge!$C:$C,'Ausgaben 2028'!$C235,Einzelbeträge!$E:$E,'Ausgaben 2028'!I$6)</f>
        <v>0</v>
      </c>
      <c r="J235" s="21">
        <f>SUMIFS(Einzelbeträge!$D:$D,Einzelbeträge!$C:$C,'Ausgaben 2028'!$C235,Einzelbeträge!$E:$E,'Ausgaben 2028'!J$6)</f>
        <v>0</v>
      </c>
      <c r="K235" s="21">
        <f>SUMIFS(Einzelbeträge!$D:$D,Einzelbeträge!$C:$C,'Ausgaben 2028'!$C235,Einzelbeträge!$E:$E,'Ausgaben 2028'!K$6)</f>
        <v>0</v>
      </c>
      <c r="L235" s="21">
        <f>SUMIFS(Einzelbeträge!$D:$D,Einzelbeträge!$C:$C,'Ausgaben 2028'!$C235,Einzelbeträge!$E:$E,'Ausgaben 2028'!L$6)</f>
        <v>0</v>
      </c>
      <c r="M235" s="21">
        <f>SUMIFS(Einzelbeträge!$D:$D,Einzelbeträge!$C:$C,'Ausgaben 2028'!$C235,Einzelbeträge!$E:$E,'Ausgaben 2028'!M$6)</f>
        <v>0</v>
      </c>
      <c r="N235" s="35">
        <f>SUMIFS(Einzelbeträge!$D:$D,Einzelbeträge!$C:$C,'Ausgaben 2028'!$C235,Einzelbeträge!$E:$E,'Ausgaben 2028'!N$6)</f>
        <v>0</v>
      </c>
      <c r="O235" s="6"/>
    </row>
    <row r="236" spans="2:15" x14ac:dyDescent="0.35">
      <c r="B236" s="5"/>
      <c r="C236" s="40">
        <f t="shared" si="22"/>
        <v>46964</v>
      </c>
      <c r="D236" s="46">
        <f>SUMIFS(Einzelbeträge!$D:$D,Einzelbeträge!$C:$C,'Ausgaben 2028'!$C236)</f>
        <v>0</v>
      </c>
      <c r="E236" s="21">
        <f>SUMIFS(Einzelbeträge!$D:$D,Einzelbeträge!$C:$C,'Ausgaben 2028'!$C236,Einzelbeträge!$E:$E,'Ausgaben 2028'!E$6)</f>
        <v>0</v>
      </c>
      <c r="F236" s="21">
        <f>SUMIFS(Einzelbeträge!$D:$D,Einzelbeträge!$C:$C,'Ausgaben 2028'!$C236,Einzelbeträge!$E:$E,'Ausgaben 2028'!F$6)</f>
        <v>0</v>
      </c>
      <c r="G236" s="21">
        <f>SUMIFS(Einzelbeträge!$D:$D,Einzelbeträge!$C:$C,'Ausgaben 2028'!$C236,Einzelbeträge!$E:$E,'Ausgaben 2028'!G$6)</f>
        <v>0</v>
      </c>
      <c r="H236" s="21">
        <f>SUMIFS(Einzelbeträge!$D:$D,Einzelbeträge!$C:$C,'Ausgaben 2028'!$C236,Einzelbeträge!$E:$E,'Ausgaben 2028'!H$6)</f>
        <v>0</v>
      </c>
      <c r="I236" s="21">
        <f>SUMIFS(Einzelbeträge!$D:$D,Einzelbeträge!$C:$C,'Ausgaben 2028'!$C236,Einzelbeträge!$E:$E,'Ausgaben 2028'!I$6)</f>
        <v>0</v>
      </c>
      <c r="J236" s="21">
        <f>SUMIFS(Einzelbeträge!$D:$D,Einzelbeträge!$C:$C,'Ausgaben 2028'!$C236,Einzelbeträge!$E:$E,'Ausgaben 2028'!J$6)</f>
        <v>0</v>
      </c>
      <c r="K236" s="21">
        <f>SUMIFS(Einzelbeträge!$D:$D,Einzelbeträge!$C:$C,'Ausgaben 2028'!$C236,Einzelbeträge!$E:$E,'Ausgaben 2028'!K$6)</f>
        <v>0</v>
      </c>
      <c r="L236" s="21">
        <f>SUMIFS(Einzelbeträge!$D:$D,Einzelbeträge!$C:$C,'Ausgaben 2028'!$C236,Einzelbeträge!$E:$E,'Ausgaben 2028'!L$6)</f>
        <v>0</v>
      </c>
      <c r="M236" s="21">
        <f>SUMIFS(Einzelbeträge!$D:$D,Einzelbeträge!$C:$C,'Ausgaben 2028'!$C236,Einzelbeträge!$E:$E,'Ausgaben 2028'!M$6)</f>
        <v>0</v>
      </c>
      <c r="N236" s="35">
        <f>SUMIFS(Einzelbeträge!$D:$D,Einzelbeträge!$C:$C,'Ausgaben 2028'!$C236,Einzelbeträge!$E:$E,'Ausgaben 2028'!N$6)</f>
        <v>0</v>
      </c>
      <c r="O236" s="6"/>
    </row>
    <row r="237" spans="2:15" x14ac:dyDescent="0.35">
      <c r="B237" s="5"/>
      <c r="C237" s="31">
        <f t="shared" si="22"/>
        <v>46965</v>
      </c>
      <c r="D237" s="47">
        <f>SUMIFS(Einzelbeträge!$D:$D,Einzelbeträge!$C:$C,'Ausgaben 2028'!$C237)</f>
        <v>0</v>
      </c>
      <c r="E237" s="37">
        <f>SUMIFS(Einzelbeträge!$D:$D,Einzelbeträge!$C:$C,'Ausgaben 2028'!$C237,Einzelbeträge!$E:$E,'Ausgaben 2028'!E$6)</f>
        <v>0</v>
      </c>
      <c r="F237" s="37">
        <f>SUMIFS(Einzelbeträge!$D:$D,Einzelbeträge!$C:$C,'Ausgaben 2028'!$C237,Einzelbeträge!$E:$E,'Ausgaben 2028'!F$6)</f>
        <v>0</v>
      </c>
      <c r="G237" s="37">
        <f>SUMIFS(Einzelbeträge!$D:$D,Einzelbeträge!$C:$C,'Ausgaben 2028'!$C237,Einzelbeträge!$E:$E,'Ausgaben 2028'!G$6)</f>
        <v>0</v>
      </c>
      <c r="H237" s="37">
        <f>SUMIFS(Einzelbeträge!$D:$D,Einzelbeträge!$C:$C,'Ausgaben 2028'!$C237,Einzelbeträge!$E:$E,'Ausgaben 2028'!H$6)</f>
        <v>0</v>
      </c>
      <c r="I237" s="37">
        <f>SUMIFS(Einzelbeträge!$D:$D,Einzelbeträge!$C:$C,'Ausgaben 2028'!$C237,Einzelbeträge!$E:$E,'Ausgaben 2028'!I$6)</f>
        <v>0</v>
      </c>
      <c r="J237" s="37">
        <f>SUMIFS(Einzelbeträge!$D:$D,Einzelbeträge!$C:$C,'Ausgaben 2028'!$C237,Einzelbeträge!$E:$E,'Ausgaben 2028'!J$6)</f>
        <v>0</v>
      </c>
      <c r="K237" s="37">
        <f>SUMIFS(Einzelbeträge!$D:$D,Einzelbeträge!$C:$C,'Ausgaben 2028'!$C237,Einzelbeträge!$E:$E,'Ausgaben 2028'!K$6)</f>
        <v>0</v>
      </c>
      <c r="L237" s="37">
        <f>SUMIFS(Einzelbeträge!$D:$D,Einzelbeträge!$C:$C,'Ausgaben 2028'!$C237,Einzelbeträge!$E:$E,'Ausgaben 2028'!L$6)</f>
        <v>0</v>
      </c>
      <c r="M237" s="37">
        <f>SUMIFS(Einzelbeträge!$D:$D,Einzelbeträge!$C:$C,'Ausgaben 2028'!$C237,Einzelbeträge!$E:$E,'Ausgaben 2028'!M$6)</f>
        <v>0</v>
      </c>
      <c r="N237" s="38">
        <f>SUMIFS(Einzelbeträge!$D:$D,Einzelbeträge!$C:$C,'Ausgaben 2028'!$C237,Einzelbeträge!$E:$E,'Ausgaben 2028'!N$6)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46966</v>
      </c>
      <c r="D241" s="45">
        <f>SUMIFS(Einzelbeträge!$D:$D,Einzelbeträge!$C:$C,'Ausgaben 2028'!$C241)</f>
        <v>0</v>
      </c>
      <c r="E241" s="32">
        <f>SUMIFS(Einzelbeträge!$D:$D,Einzelbeträge!$C:$C,'Ausgaben 2028'!$C241,Einzelbeträge!$E:$E,'Ausgaben 2028'!E$6)</f>
        <v>0</v>
      </c>
      <c r="F241" s="32">
        <f>SUMIFS(Einzelbeträge!$D:$D,Einzelbeträge!$C:$C,'Ausgaben 2028'!$C241,Einzelbeträge!$E:$E,'Ausgaben 2028'!F$6)</f>
        <v>0</v>
      </c>
      <c r="G241" s="32">
        <f>SUMIFS(Einzelbeträge!$D:$D,Einzelbeträge!$C:$C,'Ausgaben 2028'!$C241,Einzelbeträge!$E:$E,'Ausgaben 2028'!G$6)</f>
        <v>0</v>
      </c>
      <c r="H241" s="32">
        <f>SUMIFS(Einzelbeträge!$D:$D,Einzelbeträge!$C:$C,'Ausgaben 2028'!$C241,Einzelbeträge!$E:$E,'Ausgaben 2028'!H$6)</f>
        <v>0</v>
      </c>
      <c r="I241" s="32">
        <f>SUMIFS(Einzelbeträge!$D:$D,Einzelbeträge!$C:$C,'Ausgaben 2028'!$C241,Einzelbeträge!$E:$E,'Ausgaben 2028'!I$6)</f>
        <v>0</v>
      </c>
      <c r="J241" s="32">
        <f>SUMIFS(Einzelbeträge!$D:$D,Einzelbeträge!$C:$C,'Ausgaben 2028'!$C241,Einzelbeträge!$E:$E,'Ausgaben 2028'!J$6)</f>
        <v>0</v>
      </c>
      <c r="K241" s="32">
        <f>SUMIFS(Einzelbeträge!$D:$D,Einzelbeträge!$C:$C,'Ausgaben 2028'!$C241,Einzelbeträge!$E:$E,'Ausgaben 2028'!K$6)</f>
        <v>0</v>
      </c>
      <c r="L241" s="32">
        <f>SUMIFS(Einzelbeträge!$D:$D,Einzelbeträge!$C:$C,'Ausgaben 2028'!$C241,Einzelbeträge!$E:$E,'Ausgaben 2028'!L$6)</f>
        <v>0</v>
      </c>
      <c r="M241" s="32">
        <f>SUMIFS(Einzelbeträge!$D:$D,Einzelbeträge!$C:$C,'Ausgaben 2028'!$C241,Einzelbeträge!$E:$E,'Ausgaben 2028'!M$6)</f>
        <v>0</v>
      </c>
      <c r="N241" s="33">
        <f>SUMIFS(Einzelbeträge!$D:$D,Einzelbeträge!$C:$C,'Ausgaben 2028'!$C241,Einzelbeträge!$E:$E,'Ausgaben 2028'!N$6)</f>
        <v>0</v>
      </c>
      <c r="O241" s="6"/>
    </row>
    <row r="242" spans="2:15" x14ac:dyDescent="0.35">
      <c r="B242" s="5"/>
      <c r="C242" s="40">
        <f>C241+1</f>
        <v>46967</v>
      </c>
      <c r="D242" s="46">
        <f>SUMIFS(Einzelbeträge!$D:$D,Einzelbeträge!$C:$C,'Ausgaben 2028'!$C242)</f>
        <v>0</v>
      </c>
      <c r="E242" s="21">
        <f>SUMIFS(Einzelbeträge!$D:$D,Einzelbeträge!$C:$C,'Ausgaben 2028'!$C242,Einzelbeträge!$E:$E,'Ausgaben 2028'!E$6)</f>
        <v>0</v>
      </c>
      <c r="F242" s="21">
        <f>SUMIFS(Einzelbeträge!$D:$D,Einzelbeträge!$C:$C,'Ausgaben 2028'!$C242,Einzelbeträge!$E:$E,'Ausgaben 2028'!F$6)</f>
        <v>0</v>
      </c>
      <c r="G242" s="21">
        <f>SUMIFS(Einzelbeträge!$D:$D,Einzelbeträge!$C:$C,'Ausgaben 2028'!$C242,Einzelbeträge!$E:$E,'Ausgaben 2028'!G$6)</f>
        <v>0</v>
      </c>
      <c r="H242" s="21">
        <f>SUMIFS(Einzelbeträge!$D:$D,Einzelbeträge!$C:$C,'Ausgaben 2028'!$C242,Einzelbeträge!$E:$E,'Ausgaben 2028'!H$6)</f>
        <v>0</v>
      </c>
      <c r="I242" s="21">
        <f>SUMIFS(Einzelbeträge!$D:$D,Einzelbeträge!$C:$C,'Ausgaben 2028'!$C242,Einzelbeträge!$E:$E,'Ausgaben 2028'!I$6)</f>
        <v>0</v>
      </c>
      <c r="J242" s="21">
        <f>SUMIFS(Einzelbeträge!$D:$D,Einzelbeträge!$C:$C,'Ausgaben 2028'!$C242,Einzelbeträge!$E:$E,'Ausgaben 2028'!J$6)</f>
        <v>0</v>
      </c>
      <c r="K242" s="21">
        <f>SUMIFS(Einzelbeträge!$D:$D,Einzelbeträge!$C:$C,'Ausgaben 2028'!$C242,Einzelbeträge!$E:$E,'Ausgaben 2028'!K$6)</f>
        <v>0</v>
      </c>
      <c r="L242" s="21">
        <f>SUMIFS(Einzelbeträge!$D:$D,Einzelbeträge!$C:$C,'Ausgaben 2028'!$C242,Einzelbeträge!$E:$E,'Ausgaben 2028'!L$6)</f>
        <v>0</v>
      </c>
      <c r="M242" s="21">
        <f>SUMIFS(Einzelbeträge!$D:$D,Einzelbeträge!$C:$C,'Ausgaben 2028'!$C242,Einzelbeträge!$E:$E,'Ausgaben 2028'!M$6)</f>
        <v>0</v>
      </c>
      <c r="N242" s="35">
        <f>SUMIFS(Einzelbeträge!$D:$D,Einzelbeträge!$C:$C,'Ausgaben 2028'!$C242,Einzelbeträge!$E:$E,'Ausgaben 2028'!N$6)</f>
        <v>0</v>
      </c>
      <c r="O242" s="6"/>
    </row>
    <row r="243" spans="2:15" x14ac:dyDescent="0.35">
      <c r="B243" s="5"/>
      <c r="C243" s="40">
        <f t="shared" ref="C243:C271" si="23">C242+1</f>
        <v>46968</v>
      </c>
      <c r="D243" s="46">
        <f>SUMIFS(Einzelbeträge!$D:$D,Einzelbeträge!$C:$C,'Ausgaben 2028'!$C243)</f>
        <v>0</v>
      </c>
      <c r="E243" s="21">
        <f>SUMIFS(Einzelbeträge!$D:$D,Einzelbeträge!$C:$C,'Ausgaben 2028'!$C243,Einzelbeträge!$E:$E,'Ausgaben 2028'!E$6)</f>
        <v>0</v>
      </c>
      <c r="F243" s="21">
        <f>SUMIFS(Einzelbeträge!$D:$D,Einzelbeträge!$C:$C,'Ausgaben 2028'!$C243,Einzelbeträge!$E:$E,'Ausgaben 2028'!F$6)</f>
        <v>0</v>
      </c>
      <c r="G243" s="21">
        <f>SUMIFS(Einzelbeträge!$D:$D,Einzelbeträge!$C:$C,'Ausgaben 2028'!$C243,Einzelbeträge!$E:$E,'Ausgaben 2028'!G$6)</f>
        <v>0</v>
      </c>
      <c r="H243" s="21">
        <f>SUMIFS(Einzelbeträge!$D:$D,Einzelbeträge!$C:$C,'Ausgaben 2028'!$C243,Einzelbeträge!$E:$E,'Ausgaben 2028'!H$6)</f>
        <v>0</v>
      </c>
      <c r="I243" s="21">
        <f>SUMIFS(Einzelbeträge!$D:$D,Einzelbeträge!$C:$C,'Ausgaben 2028'!$C243,Einzelbeträge!$E:$E,'Ausgaben 2028'!I$6)</f>
        <v>0</v>
      </c>
      <c r="J243" s="21">
        <f>SUMIFS(Einzelbeträge!$D:$D,Einzelbeträge!$C:$C,'Ausgaben 2028'!$C243,Einzelbeträge!$E:$E,'Ausgaben 2028'!J$6)</f>
        <v>0</v>
      </c>
      <c r="K243" s="21">
        <f>SUMIFS(Einzelbeträge!$D:$D,Einzelbeträge!$C:$C,'Ausgaben 2028'!$C243,Einzelbeträge!$E:$E,'Ausgaben 2028'!K$6)</f>
        <v>0</v>
      </c>
      <c r="L243" s="21">
        <f>SUMIFS(Einzelbeträge!$D:$D,Einzelbeträge!$C:$C,'Ausgaben 2028'!$C243,Einzelbeträge!$E:$E,'Ausgaben 2028'!L$6)</f>
        <v>0</v>
      </c>
      <c r="M243" s="21">
        <f>SUMIFS(Einzelbeträge!$D:$D,Einzelbeträge!$C:$C,'Ausgaben 2028'!$C243,Einzelbeträge!$E:$E,'Ausgaben 2028'!M$6)</f>
        <v>0</v>
      </c>
      <c r="N243" s="35">
        <f>SUMIFS(Einzelbeträge!$D:$D,Einzelbeträge!$C:$C,'Ausgaben 2028'!$C243,Einzelbeträge!$E:$E,'Ausgaben 2028'!N$6)</f>
        <v>0</v>
      </c>
      <c r="O243" s="6"/>
    </row>
    <row r="244" spans="2:15" x14ac:dyDescent="0.35">
      <c r="B244" s="5"/>
      <c r="C244" s="40">
        <f t="shared" si="23"/>
        <v>46969</v>
      </c>
      <c r="D244" s="46">
        <f>SUMIFS(Einzelbeträge!$D:$D,Einzelbeträge!$C:$C,'Ausgaben 2028'!$C244)</f>
        <v>0</v>
      </c>
      <c r="E244" s="21">
        <f>SUMIFS(Einzelbeträge!$D:$D,Einzelbeträge!$C:$C,'Ausgaben 2028'!$C244,Einzelbeträge!$E:$E,'Ausgaben 2028'!E$6)</f>
        <v>0</v>
      </c>
      <c r="F244" s="21">
        <f>SUMIFS(Einzelbeträge!$D:$D,Einzelbeträge!$C:$C,'Ausgaben 2028'!$C244,Einzelbeträge!$E:$E,'Ausgaben 2028'!F$6)</f>
        <v>0</v>
      </c>
      <c r="G244" s="21">
        <f>SUMIFS(Einzelbeträge!$D:$D,Einzelbeträge!$C:$C,'Ausgaben 2028'!$C244,Einzelbeträge!$E:$E,'Ausgaben 2028'!G$6)</f>
        <v>0</v>
      </c>
      <c r="H244" s="21">
        <f>SUMIFS(Einzelbeträge!$D:$D,Einzelbeträge!$C:$C,'Ausgaben 2028'!$C244,Einzelbeträge!$E:$E,'Ausgaben 2028'!H$6)</f>
        <v>0</v>
      </c>
      <c r="I244" s="21">
        <f>SUMIFS(Einzelbeträge!$D:$D,Einzelbeträge!$C:$C,'Ausgaben 2028'!$C244,Einzelbeträge!$E:$E,'Ausgaben 2028'!I$6)</f>
        <v>0</v>
      </c>
      <c r="J244" s="21">
        <f>SUMIFS(Einzelbeträge!$D:$D,Einzelbeträge!$C:$C,'Ausgaben 2028'!$C244,Einzelbeträge!$E:$E,'Ausgaben 2028'!J$6)</f>
        <v>0</v>
      </c>
      <c r="K244" s="21">
        <f>SUMIFS(Einzelbeträge!$D:$D,Einzelbeträge!$C:$C,'Ausgaben 2028'!$C244,Einzelbeträge!$E:$E,'Ausgaben 2028'!K$6)</f>
        <v>0</v>
      </c>
      <c r="L244" s="21">
        <f>SUMIFS(Einzelbeträge!$D:$D,Einzelbeträge!$C:$C,'Ausgaben 2028'!$C244,Einzelbeträge!$E:$E,'Ausgaben 2028'!L$6)</f>
        <v>0</v>
      </c>
      <c r="M244" s="21">
        <f>SUMIFS(Einzelbeträge!$D:$D,Einzelbeträge!$C:$C,'Ausgaben 2028'!$C244,Einzelbeträge!$E:$E,'Ausgaben 2028'!M$6)</f>
        <v>0</v>
      </c>
      <c r="N244" s="35">
        <f>SUMIFS(Einzelbeträge!$D:$D,Einzelbeträge!$C:$C,'Ausgaben 2028'!$C244,Einzelbeträge!$E:$E,'Ausgaben 2028'!N$6)</f>
        <v>0</v>
      </c>
      <c r="O244" s="6"/>
    </row>
    <row r="245" spans="2:15" x14ac:dyDescent="0.35">
      <c r="B245" s="5"/>
      <c r="C245" s="40">
        <f t="shared" si="23"/>
        <v>46970</v>
      </c>
      <c r="D245" s="46">
        <f>SUMIFS(Einzelbeträge!$D:$D,Einzelbeträge!$C:$C,'Ausgaben 2028'!$C245)</f>
        <v>0</v>
      </c>
      <c r="E245" s="21">
        <f>SUMIFS(Einzelbeträge!$D:$D,Einzelbeträge!$C:$C,'Ausgaben 2028'!$C245,Einzelbeträge!$E:$E,'Ausgaben 2028'!E$6)</f>
        <v>0</v>
      </c>
      <c r="F245" s="21">
        <f>SUMIFS(Einzelbeträge!$D:$D,Einzelbeträge!$C:$C,'Ausgaben 2028'!$C245,Einzelbeträge!$E:$E,'Ausgaben 2028'!F$6)</f>
        <v>0</v>
      </c>
      <c r="G245" s="21">
        <f>SUMIFS(Einzelbeträge!$D:$D,Einzelbeträge!$C:$C,'Ausgaben 2028'!$C245,Einzelbeträge!$E:$E,'Ausgaben 2028'!G$6)</f>
        <v>0</v>
      </c>
      <c r="H245" s="21">
        <f>SUMIFS(Einzelbeträge!$D:$D,Einzelbeträge!$C:$C,'Ausgaben 2028'!$C245,Einzelbeträge!$E:$E,'Ausgaben 2028'!H$6)</f>
        <v>0</v>
      </c>
      <c r="I245" s="21">
        <f>SUMIFS(Einzelbeträge!$D:$D,Einzelbeträge!$C:$C,'Ausgaben 2028'!$C245,Einzelbeträge!$E:$E,'Ausgaben 2028'!I$6)</f>
        <v>0</v>
      </c>
      <c r="J245" s="21">
        <f>SUMIFS(Einzelbeträge!$D:$D,Einzelbeträge!$C:$C,'Ausgaben 2028'!$C245,Einzelbeträge!$E:$E,'Ausgaben 2028'!J$6)</f>
        <v>0</v>
      </c>
      <c r="K245" s="21">
        <f>SUMIFS(Einzelbeträge!$D:$D,Einzelbeträge!$C:$C,'Ausgaben 2028'!$C245,Einzelbeträge!$E:$E,'Ausgaben 2028'!K$6)</f>
        <v>0</v>
      </c>
      <c r="L245" s="21">
        <f>SUMIFS(Einzelbeträge!$D:$D,Einzelbeträge!$C:$C,'Ausgaben 2028'!$C245,Einzelbeträge!$E:$E,'Ausgaben 2028'!L$6)</f>
        <v>0</v>
      </c>
      <c r="M245" s="21">
        <f>SUMIFS(Einzelbeträge!$D:$D,Einzelbeträge!$C:$C,'Ausgaben 2028'!$C245,Einzelbeträge!$E:$E,'Ausgaben 2028'!M$6)</f>
        <v>0</v>
      </c>
      <c r="N245" s="35">
        <f>SUMIFS(Einzelbeträge!$D:$D,Einzelbeträge!$C:$C,'Ausgaben 2028'!$C245,Einzelbeträge!$E:$E,'Ausgaben 2028'!N$6)</f>
        <v>0</v>
      </c>
      <c r="O245" s="6"/>
    </row>
    <row r="246" spans="2:15" x14ac:dyDescent="0.35">
      <c r="B246" s="5"/>
      <c r="C246" s="40">
        <f t="shared" si="23"/>
        <v>46971</v>
      </c>
      <c r="D246" s="46">
        <f>SUMIFS(Einzelbeträge!$D:$D,Einzelbeträge!$C:$C,'Ausgaben 2028'!$C246)</f>
        <v>0</v>
      </c>
      <c r="E246" s="21">
        <f>SUMIFS(Einzelbeträge!$D:$D,Einzelbeträge!$C:$C,'Ausgaben 2028'!$C246,Einzelbeträge!$E:$E,'Ausgaben 2028'!E$6)</f>
        <v>0</v>
      </c>
      <c r="F246" s="21">
        <f>SUMIFS(Einzelbeträge!$D:$D,Einzelbeträge!$C:$C,'Ausgaben 2028'!$C246,Einzelbeträge!$E:$E,'Ausgaben 2028'!F$6)</f>
        <v>0</v>
      </c>
      <c r="G246" s="21">
        <f>SUMIFS(Einzelbeträge!$D:$D,Einzelbeträge!$C:$C,'Ausgaben 2028'!$C246,Einzelbeträge!$E:$E,'Ausgaben 2028'!G$6)</f>
        <v>0</v>
      </c>
      <c r="H246" s="21">
        <f>SUMIFS(Einzelbeträge!$D:$D,Einzelbeträge!$C:$C,'Ausgaben 2028'!$C246,Einzelbeträge!$E:$E,'Ausgaben 2028'!H$6)</f>
        <v>0</v>
      </c>
      <c r="I246" s="21">
        <f>SUMIFS(Einzelbeträge!$D:$D,Einzelbeträge!$C:$C,'Ausgaben 2028'!$C246,Einzelbeträge!$E:$E,'Ausgaben 2028'!I$6)</f>
        <v>0</v>
      </c>
      <c r="J246" s="21">
        <f>SUMIFS(Einzelbeträge!$D:$D,Einzelbeträge!$C:$C,'Ausgaben 2028'!$C246,Einzelbeträge!$E:$E,'Ausgaben 2028'!J$6)</f>
        <v>0</v>
      </c>
      <c r="K246" s="21">
        <f>SUMIFS(Einzelbeträge!$D:$D,Einzelbeträge!$C:$C,'Ausgaben 2028'!$C246,Einzelbeträge!$E:$E,'Ausgaben 2028'!K$6)</f>
        <v>0</v>
      </c>
      <c r="L246" s="21">
        <f>SUMIFS(Einzelbeträge!$D:$D,Einzelbeträge!$C:$C,'Ausgaben 2028'!$C246,Einzelbeträge!$E:$E,'Ausgaben 2028'!L$6)</f>
        <v>0</v>
      </c>
      <c r="M246" s="21">
        <f>SUMIFS(Einzelbeträge!$D:$D,Einzelbeträge!$C:$C,'Ausgaben 2028'!$C246,Einzelbeträge!$E:$E,'Ausgaben 2028'!M$6)</f>
        <v>0</v>
      </c>
      <c r="N246" s="35">
        <f>SUMIFS(Einzelbeträge!$D:$D,Einzelbeträge!$C:$C,'Ausgaben 2028'!$C246,Einzelbeträge!$E:$E,'Ausgaben 2028'!N$6)</f>
        <v>0</v>
      </c>
      <c r="O246" s="6"/>
    </row>
    <row r="247" spans="2:15" x14ac:dyDescent="0.35">
      <c r="B247" s="5"/>
      <c r="C247" s="40">
        <f t="shared" si="23"/>
        <v>46972</v>
      </c>
      <c r="D247" s="46">
        <f>SUMIFS(Einzelbeträge!$D:$D,Einzelbeträge!$C:$C,'Ausgaben 2028'!$C247)</f>
        <v>0</v>
      </c>
      <c r="E247" s="21">
        <f>SUMIFS(Einzelbeträge!$D:$D,Einzelbeträge!$C:$C,'Ausgaben 2028'!$C247,Einzelbeträge!$E:$E,'Ausgaben 2028'!E$6)</f>
        <v>0</v>
      </c>
      <c r="F247" s="21">
        <f>SUMIFS(Einzelbeträge!$D:$D,Einzelbeträge!$C:$C,'Ausgaben 2028'!$C247,Einzelbeträge!$E:$E,'Ausgaben 2028'!F$6)</f>
        <v>0</v>
      </c>
      <c r="G247" s="21">
        <f>SUMIFS(Einzelbeträge!$D:$D,Einzelbeträge!$C:$C,'Ausgaben 2028'!$C247,Einzelbeträge!$E:$E,'Ausgaben 2028'!G$6)</f>
        <v>0</v>
      </c>
      <c r="H247" s="21">
        <f>SUMIFS(Einzelbeträge!$D:$D,Einzelbeträge!$C:$C,'Ausgaben 2028'!$C247,Einzelbeträge!$E:$E,'Ausgaben 2028'!H$6)</f>
        <v>0</v>
      </c>
      <c r="I247" s="21">
        <f>SUMIFS(Einzelbeträge!$D:$D,Einzelbeträge!$C:$C,'Ausgaben 2028'!$C247,Einzelbeträge!$E:$E,'Ausgaben 2028'!I$6)</f>
        <v>0</v>
      </c>
      <c r="J247" s="21">
        <f>SUMIFS(Einzelbeträge!$D:$D,Einzelbeträge!$C:$C,'Ausgaben 2028'!$C247,Einzelbeträge!$E:$E,'Ausgaben 2028'!J$6)</f>
        <v>0</v>
      </c>
      <c r="K247" s="21">
        <f>SUMIFS(Einzelbeträge!$D:$D,Einzelbeträge!$C:$C,'Ausgaben 2028'!$C247,Einzelbeträge!$E:$E,'Ausgaben 2028'!K$6)</f>
        <v>0</v>
      </c>
      <c r="L247" s="21">
        <f>SUMIFS(Einzelbeträge!$D:$D,Einzelbeträge!$C:$C,'Ausgaben 2028'!$C247,Einzelbeträge!$E:$E,'Ausgaben 2028'!L$6)</f>
        <v>0</v>
      </c>
      <c r="M247" s="21">
        <f>SUMIFS(Einzelbeträge!$D:$D,Einzelbeträge!$C:$C,'Ausgaben 2028'!$C247,Einzelbeträge!$E:$E,'Ausgaben 2028'!M$6)</f>
        <v>0</v>
      </c>
      <c r="N247" s="35">
        <f>SUMIFS(Einzelbeträge!$D:$D,Einzelbeträge!$C:$C,'Ausgaben 2028'!$C247,Einzelbeträge!$E:$E,'Ausgaben 2028'!N$6)</f>
        <v>0</v>
      </c>
      <c r="O247" s="6"/>
    </row>
    <row r="248" spans="2:15" x14ac:dyDescent="0.35">
      <c r="B248" s="5"/>
      <c r="C248" s="40">
        <f t="shared" si="23"/>
        <v>46973</v>
      </c>
      <c r="D248" s="46">
        <f>SUMIFS(Einzelbeträge!$D:$D,Einzelbeträge!$C:$C,'Ausgaben 2028'!$C248)</f>
        <v>0</v>
      </c>
      <c r="E248" s="21">
        <f>SUMIFS(Einzelbeträge!$D:$D,Einzelbeträge!$C:$C,'Ausgaben 2028'!$C248,Einzelbeträge!$E:$E,'Ausgaben 2028'!E$6)</f>
        <v>0</v>
      </c>
      <c r="F248" s="21">
        <f>SUMIFS(Einzelbeträge!$D:$D,Einzelbeträge!$C:$C,'Ausgaben 2028'!$C248,Einzelbeträge!$E:$E,'Ausgaben 2028'!F$6)</f>
        <v>0</v>
      </c>
      <c r="G248" s="21">
        <f>SUMIFS(Einzelbeträge!$D:$D,Einzelbeträge!$C:$C,'Ausgaben 2028'!$C248,Einzelbeträge!$E:$E,'Ausgaben 2028'!G$6)</f>
        <v>0</v>
      </c>
      <c r="H248" s="21">
        <f>SUMIFS(Einzelbeträge!$D:$D,Einzelbeträge!$C:$C,'Ausgaben 2028'!$C248,Einzelbeträge!$E:$E,'Ausgaben 2028'!H$6)</f>
        <v>0</v>
      </c>
      <c r="I248" s="21">
        <f>SUMIFS(Einzelbeträge!$D:$D,Einzelbeträge!$C:$C,'Ausgaben 2028'!$C248,Einzelbeträge!$E:$E,'Ausgaben 2028'!I$6)</f>
        <v>0</v>
      </c>
      <c r="J248" s="21">
        <f>SUMIFS(Einzelbeträge!$D:$D,Einzelbeträge!$C:$C,'Ausgaben 2028'!$C248,Einzelbeträge!$E:$E,'Ausgaben 2028'!J$6)</f>
        <v>0</v>
      </c>
      <c r="K248" s="21">
        <f>SUMIFS(Einzelbeträge!$D:$D,Einzelbeträge!$C:$C,'Ausgaben 2028'!$C248,Einzelbeträge!$E:$E,'Ausgaben 2028'!K$6)</f>
        <v>0</v>
      </c>
      <c r="L248" s="21">
        <f>SUMIFS(Einzelbeträge!$D:$D,Einzelbeträge!$C:$C,'Ausgaben 2028'!$C248,Einzelbeträge!$E:$E,'Ausgaben 2028'!L$6)</f>
        <v>0</v>
      </c>
      <c r="M248" s="21">
        <f>SUMIFS(Einzelbeträge!$D:$D,Einzelbeträge!$C:$C,'Ausgaben 2028'!$C248,Einzelbeträge!$E:$E,'Ausgaben 2028'!M$6)</f>
        <v>0</v>
      </c>
      <c r="N248" s="35">
        <f>SUMIFS(Einzelbeträge!$D:$D,Einzelbeträge!$C:$C,'Ausgaben 2028'!$C248,Einzelbeträge!$E:$E,'Ausgaben 2028'!N$6)</f>
        <v>0</v>
      </c>
      <c r="O248" s="6"/>
    </row>
    <row r="249" spans="2:15" x14ac:dyDescent="0.35">
      <c r="B249" s="5"/>
      <c r="C249" s="40">
        <f t="shared" si="23"/>
        <v>46974</v>
      </c>
      <c r="D249" s="46">
        <f>SUMIFS(Einzelbeträge!$D:$D,Einzelbeträge!$C:$C,'Ausgaben 2028'!$C249)</f>
        <v>0</v>
      </c>
      <c r="E249" s="21">
        <f>SUMIFS(Einzelbeträge!$D:$D,Einzelbeträge!$C:$C,'Ausgaben 2028'!$C249,Einzelbeträge!$E:$E,'Ausgaben 2028'!E$6)</f>
        <v>0</v>
      </c>
      <c r="F249" s="21">
        <f>SUMIFS(Einzelbeträge!$D:$D,Einzelbeträge!$C:$C,'Ausgaben 2028'!$C249,Einzelbeträge!$E:$E,'Ausgaben 2028'!F$6)</f>
        <v>0</v>
      </c>
      <c r="G249" s="21">
        <f>SUMIFS(Einzelbeträge!$D:$D,Einzelbeträge!$C:$C,'Ausgaben 2028'!$C249,Einzelbeträge!$E:$E,'Ausgaben 2028'!G$6)</f>
        <v>0</v>
      </c>
      <c r="H249" s="21">
        <f>SUMIFS(Einzelbeträge!$D:$D,Einzelbeträge!$C:$C,'Ausgaben 2028'!$C249,Einzelbeträge!$E:$E,'Ausgaben 2028'!H$6)</f>
        <v>0</v>
      </c>
      <c r="I249" s="21">
        <f>SUMIFS(Einzelbeträge!$D:$D,Einzelbeträge!$C:$C,'Ausgaben 2028'!$C249,Einzelbeträge!$E:$E,'Ausgaben 2028'!I$6)</f>
        <v>0</v>
      </c>
      <c r="J249" s="21">
        <f>SUMIFS(Einzelbeträge!$D:$D,Einzelbeträge!$C:$C,'Ausgaben 2028'!$C249,Einzelbeträge!$E:$E,'Ausgaben 2028'!J$6)</f>
        <v>0</v>
      </c>
      <c r="K249" s="21">
        <f>SUMIFS(Einzelbeträge!$D:$D,Einzelbeträge!$C:$C,'Ausgaben 2028'!$C249,Einzelbeträge!$E:$E,'Ausgaben 2028'!K$6)</f>
        <v>0</v>
      </c>
      <c r="L249" s="21">
        <f>SUMIFS(Einzelbeträge!$D:$D,Einzelbeträge!$C:$C,'Ausgaben 2028'!$C249,Einzelbeträge!$E:$E,'Ausgaben 2028'!L$6)</f>
        <v>0</v>
      </c>
      <c r="M249" s="21">
        <f>SUMIFS(Einzelbeträge!$D:$D,Einzelbeträge!$C:$C,'Ausgaben 2028'!$C249,Einzelbeträge!$E:$E,'Ausgaben 2028'!M$6)</f>
        <v>0</v>
      </c>
      <c r="N249" s="35">
        <f>SUMIFS(Einzelbeträge!$D:$D,Einzelbeträge!$C:$C,'Ausgaben 2028'!$C249,Einzelbeträge!$E:$E,'Ausgaben 2028'!N$6)</f>
        <v>0</v>
      </c>
      <c r="O249" s="6"/>
    </row>
    <row r="250" spans="2:15" x14ac:dyDescent="0.35">
      <c r="B250" s="5"/>
      <c r="C250" s="40">
        <f t="shared" si="23"/>
        <v>46975</v>
      </c>
      <c r="D250" s="46">
        <f>SUMIFS(Einzelbeträge!$D:$D,Einzelbeträge!$C:$C,'Ausgaben 2028'!$C250)</f>
        <v>0</v>
      </c>
      <c r="E250" s="21">
        <f>SUMIFS(Einzelbeträge!$D:$D,Einzelbeträge!$C:$C,'Ausgaben 2028'!$C250,Einzelbeträge!$E:$E,'Ausgaben 2028'!E$6)</f>
        <v>0</v>
      </c>
      <c r="F250" s="21">
        <f>SUMIFS(Einzelbeträge!$D:$D,Einzelbeträge!$C:$C,'Ausgaben 2028'!$C250,Einzelbeträge!$E:$E,'Ausgaben 2028'!F$6)</f>
        <v>0</v>
      </c>
      <c r="G250" s="21">
        <f>SUMIFS(Einzelbeträge!$D:$D,Einzelbeträge!$C:$C,'Ausgaben 2028'!$C250,Einzelbeträge!$E:$E,'Ausgaben 2028'!G$6)</f>
        <v>0</v>
      </c>
      <c r="H250" s="21">
        <f>SUMIFS(Einzelbeträge!$D:$D,Einzelbeträge!$C:$C,'Ausgaben 2028'!$C250,Einzelbeträge!$E:$E,'Ausgaben 2028'!H$6)</f>
        <v>0</v>
      </c>
      <c r="I250" s="21">
        <f>SUMIFS(Einzelbeträge!$D:$D,Einzelbeträge!$C:$C,'Ausgaben 2028'!$C250,Einzelbeträge!$E:$E,'Ausgaben 2028'!I$6)</f>
        <v>0</v>
      </c>
      <c r="J250" s="21">
        <f>SUMIFS(Einzelbeträge!$D:$D,Einzelbeträge!$C:$C,'Ausgaben 2028'!$C250,Einzelbeträge!$E:$E,'Ausgaben 2028'!J$6)</f>
        <v>0</v>
      </c>
      <c r="K250" s="21">
        <f>SUMIFS(Einzelbeträge!$D:$D,Einzelbeträge!$C:$C,'Ausgaben 2028'!$C250,Einzelbeträge!$E:$E,'Ausgaben 2028'!K$6)</f>
        <v>0</v>
      </c>
      <c r="L250" s="21">
        <f>SUMIFS(Einzelbeträge!$D:$D,Einzelbeträge!$C:$C,'Ausgaben 2028'!$C250,Einzelbeträge!$E:$E,'Ausgaben 2028'!L$6)</f>
        <v>0</v>
      </c>
      <c r="M250" s="21">
        <f>SUMIFS(Einzelbeträge!$D:$D,Einzelbeträge!$C:$C,'Ausgaben 2028'!$C250,Einzelbeträge!$E:$E,'Ausgaben 2028'!M$6)</f>
        <v>0</v>
      </c>
      <c r="N250" s="35">
        <f>SUMIFS(Einzelbeträge!$D:$D,Einzelbeträge!$C:$C,'Ausgaben 2028'!$C250,Einzelbeträge!$E:$E,'Ausgaben 2028'!N$6)</f>
        <v>0</v>
      </c>
      <c r="O250" s="6"/>
    </row>
    <row r="251" spans="2:15" x14ac:dyDescent="0.35">
      <c r="B251" s="5"/>
      <c r="C251" s="40">
        <f t="shared" si="23"/>
        <v>46976</v>
      </c>
      <c r="D251" s="46">
        <f>SUMIFS(Einzelbeträge!$D:$D,Einzelbeträge!$C:$C,'Ausgaben 2028'!$C251)</f>
        <v>0</v>
      </c>
      <c r="E251" s="21">
        <f>SUMIFS(Einzelbeträge!$D:$D,Einzelbeträge!$C:$C,'Ausgaben 2028'!$C251,Einzelbeträge!$E:$E,'Ausgaben 2028'!E$6)</f>
        <v>0</v>
      </c>
      <c r="F251" s="21">
        <f>SUMIFS(Einzelbeträge!$D:$D,Einzelbeträge!$C:$C,'Ausgaben 2028'!$C251,Einzelbeträge!$E:$E,'Ausgaben 2028'!F$6)</f>
        <v>0</v>
      </c>
      <c r="G251" s="21">
        <f>SUMIFS(Einzelbeträge!$D:$D,Einzelbeträge!$C:$C,'Ausgaben 2028'!$C251,Einzelbeträge!$E:$E,'Ausgaben 2028'!G$6)</f>
        <v>0</v>
      </c>
      <c r="H251" s="21">
        <f>SUMIFS(Einzelbeträge!$D:$D,Einzelbeträge!$C:$C,'Ausgaben 2028'!$C251,Einzelbeträge!$E:$E,'Ausgaben 2028'!H$6)</f>
        <v>0</v>
      </c>
      <c r="I251" s="21">
        <f>SUMIFS(Einzelbeträge!$D:$D,Einzelbeträge!$C:$C,'Ausgaben 2028'!$C251,Einzelbeträge!$E:$E,'Ausgaben 2028'!I$6)</f>
        <v>0</v>
      </c>
      <c r="J251" s="21">
        <f>SUMIFS(Einzelbeträge!$D:$D,Einzelbeträge!$C:$C,'Ausgaben 2028'!$C251,Einzelbeträge!$E:$E,'Ausgaben 2028'!J$6)</f>
        <v>0</v>
      </c>
      <c r="K251" s="21">
        <f>SUMIFS(Einzelbeträge!$D:$D,Einzelbeträge!$C:$C,'Ausgaben 2028'!$C251,Einzelbeträge!$E:$E,'Ausgaben 2028'!K$6)</f>
        <v>0</v>
      </c>
      <c r="L251" s="21">
        <f>SUMIFS(Einzelbeträge!$D:$D,Einzelbeträge!$C:$C,'Ausgaben 2028'!$C251,Einzelbeträge!$E:$E,'Ausgaben 2028'!L$6)</f>
        <v>0</v>
      </c>
      <c r="M251" s="21">
        <f>SUMIFS(Einzelbeträge!$D:$D,Einzelbeträge!$C:$C,'Ausgaben 2028'!$C251,Einzelbeträge!$E:$E,'Ausgaben 2028'!M$6)</f>
        <v>0</v>
      </c>
      <c r="N251" s="35">
        <f>SUMIFS(Einzelbeträge!$D:$D,Einzelbeträge!$C:$C,'Ausgaben 2028'!$C251,Einzelbeträge!$E:$E,'Ausgaben 2028'!N$6)</f>
        <v>0</v>
      </c>
      <c r="O251" s="6"/>
    </row>
    <row r="252" spans="2:15" x14ac:dyDescent="0.35">
      <c r="B252" s="5"/>
      <c r="C252" s="40">
        <f t="shared" si="23"/>
        <v>46977</v>
      </c>
      <c r="D252" s="46">
        <f>SUMIFS(Einzelbeträge!$D:$D,Einzelbeträge!$C:$C,'Ausgaben 2028'!$C252)</f>
        <v>0</v>
      </c>
      <c r="E252" s="21">
        <f>SUMIFS(Einzelbeträge!$D:$D,Einzelbeträge!$C:$C,'Ausgaben 2028'!$C252,Einzelbeträge!$E:$E,'Ausgaben 2028'!E$6)</f>
        <v>0</v>
      </c>
      <c r="F252" s="21">
        <f>SUMIFS(Einzelbeträge!$D:$D,Einzelbeträge!$C:$C,'Ausgaben 2028'!$C252,Einzelbeträge!$E:$E,'Ausgaben 2028'!F$6)</f>
        <v>0</v>
      </c>
      <c r="G252" s="21">
        <f>SUMIFS(Einzelbeträge!$D:$D,Einzelbeträge!$C:$C,'Ausgaben 2028'!$C252,Einzelbeträge!$E:$E,'Ausgaben 2028'!G$6)</f>
        <v>0</v>
      </c>
      <c r="H252" s="21">
        <f>SUMIFS(Einzelbeträge!$D:$D,Einzelbeträge!$C:$C,'Ausgaben 2028'!$C252,Einzelbeträge!$E:$E,'Ausgaben 2028'!H$6)</f>
        <v>0</v>
      </c>
      <c r="I252" s="21">
        <f>SUMIFS(Einzelbeträge!$D:$D,Einzelbeträge!$C:$C,'Ausgaben 2028'!$C252,Einzelbeträge!$E:$E,'Ausgaben 2028'!I$6)</f>
        <v>0</v>
      </c>
      <c r="J252" s="21">
        <f>SUMIFS(Einzelbeträge!$D:$D,Einzelbeträge!$C:$C,'Ausgaben 2028'!$C252,Einzelbeträge!$E:$E,'Ausgaben 2028'!J$6)</f>
        <v>0</v>
      </c>
      <c r="K252" s="21">
        <f>SUMIFS(Einzelbeträge!$D:$D,Einzelbeträge!$C:$C,'Ausgaben 2028'!$C252,Einzelbeträge!$E:$E,'Ausgaben 2028'!K$6)</f>
        <v>0</v>
      </c>
      <c r="L252" s="21">
        <f>SUMIFS(Einzelbeträge!$D:$D,Einzelbeträge!$C:$C,'Ausgaben 2028'!$C252,Einzelbeträge!$E:$E,'Ausgaben 2028'!L$6)</f>
        <v>0</v>
      </c>
      <c r="M252" s="21">
        <f>SUMIFS(Einzelbeträge!$D:$D,Einzelbeträge!$C:$C,'Ausgaben 2028'!$C252,Einzelbeträge!$E:$E,'Ausgaben 2028'!M$6)</f>
        <v>0</v>
      </c>
      <c r="N252" s="35">
        <f>SUMIFS(Einzelbeträge!$D:$D,Einzelbeträge!$C:$C,'Ausgaben 2028'!$C252,Einzelbeträge!$E:$E,'Ausgaben 2028'!N$6)</f>
        <v>0</v>
      </c>
      <c r="O252" s="6"/>
    </row>
    <row r="253" spans="2:15" x14ac:dyDescent="0.35">
      <c r="B253" s="5"/>
      <c r="C253" s="40">
        <f t="shared" si="23"/>
        <v>46978</v>
      </c>
      <c r="D253" s="46">
        <f>SUMIFS(Einzelbeträge!$D:$D,Einzelbeträge!$C:$C,'Ausgaben 2028'!$C253)</f>
        <v>0</v>
      </c>
      <c r="E253" s="21">
        <f>SUMIFS(Einzelbeträge!$D:$D,Einzelbeträge!$C:$C,'Ausgaben 2028'!$C253,Einzelbeträge!$E:$E,'Ausgaben 2028'!E$6)</f>
        <v>0</v>
      </c>
      <c r="F253" s="21">
        <f>SUMIFS(Einzelbeträge!$D:$D,Einzelbeträge!$C:$C,'Ausgaben 2028'!$C253,Einzelbeträge!$E:$E,'Ausgaben 2028'!F$6)</f>
        <v>0</v>
      </c>
      <c r="G253" s="21">
        <f>SUMIFS(Einzelbeträge!$D:$D,Einzelbeträge!$C:$C,'Ausgaben 2028'!$C253,Einzelbeträge!$E:$E,'Ausgaben 2028'!G$6)</f>
        <v>0</v>
      </c>
      <c r="H253" s="21">
        <f>SUMIFS(Einzelbeträge!$D:$D,Einzelbeträge!$C:$C,'Ausgaben 2028'!$C253,Einzelbeträge!$E:$E,'Ausgaben 2028'!H$6)</f>
        <v>0</v>
      </c>
      <c r="I253" s="21">
        <f>SUMIFS(Einzelbeträge!$D:$D,Einzelbeträge!$C:$C,'Ausgaben 2028'!$C253,Einzelbeträge!$E:$E,'Ausgaben 2028'!I$6)</f>
        <v>0</v>
      </c>
      <c r="J253" s="21">
        <f>SUMIFS(Einzelbeträge!$D:$D,Einzelbeträge!$C:$C,'Ausgaben 2028'!$C253,Einzelbeträge!$E:$E,'Ausgaben 2028'!J$6)</f>
        <v>0</v>
      </c>
      <c r="K253" s="21">
        <f>SUMIFS(Einzelbeträge!$D:$D,Einzelbeträge!$C:$C,'Ausgaben 2028'!$C253,Einzelbeträge!$E:$E,'Ausgaben 2028'!K$6)</f>
        <v>0</v>
      </c>
      <c r="L253" s="21">
        <f>SUMIFS(Einzelbeträge!$D:$D,Einzelbeträge!$C:$C,'Ausgaben 2028'!$C253,Einzelbeträge!$E:$E,'Ausgaben 2028'!L$6)</f>
        <v>0</v>
      </c>
      <c r="M253" s="21">
        <f>SUMIFS(Einzelbeträge!$D:$D,Einzelbeträge!$C:$C,'Ausgaben 2028'!$C253,Einzelbeträge!$E:$E,'Ausgaben 2028'!M$6)</f>
        <v>0</v>
      </c>
      <c r="N253" s="35">
        <f>SUMIFS(Einzelbeträge!$D:$D,Einzelbeträge!$C:$C,'Ausgaben 2028'!$C253,Einzelbeträge!$E:$E,'Ausgaben 2028'!N$6)</f>
        <v>0</v>
      </c>
      <c r="O253" s="6"/>
    </row>
    <row r="254" spans="2:15" x14ac:dyDescent="0.35">
      <c r="B254" s="5"/>
      <c r="C254" s="40">
        <f t="shared" si="23"/>
        <v>46979</v>
      </c>
      <c r="D254" s="46">
        <f>SUMIFS(Einzelbeträge!$D:$D,Einzelbeträge!$C:$C,'Ausgaben 2028'!$C254)</f>
        <v>0</v>
      </c>
      <c r="E254" s="21">
        <f>SUMIFS(Einzelbeträge!$D:$D,Einzelbeträge!$C:$C,'Ausgaben 2028'!$C254,Einzelbeträge!$E:$E,'Ausgaben 2028'!E$6)</f>
        <v>0</v>
      </c>
      <c r="F254" s="21">
        <f>SUMIFS(Einzelbeträge!$D:$D,Einzelbeträge!$C:$C,'Ausgaben 2028'!$C254,Einzelbeträge!$E:$E,'Ausgaben 2028'!F$6)</f>
        <v>0</v>
      </c>
      <c r="G254" s="21">
        <f>SUMIFS(Einzelbeträge!$D:$D,Einzelbeträge!$C:$C,'Ausgaben 2028'!$C254,Einzelbeträge!$E:$E,'Ausgaben 2028'!G$6)</f>
        <v>0</v>
      </c>
      <c r="H254" s="21">
        <f>SUMIFS(Einzelbeträge!$D:$D,Einzelbeträge!$C:$C,'Ausgaben 2028'!$C254,Einzelbeträge!$E:$E,'Ausgaben 2028'!H$6)</f>
        <v>0</v>
      </c>
      <c r="I254" s="21">
        <f>SUMIFS(Einzelbeträge!$D:$D,Einzelbeträge!$C:$C,'Ausgaben 2028'!$C254,Einzelbeträge!$E:$E,'Ausgaben 2028'!I$6)</f>
        <v>0</v>
      </c>
      <c r="J254" s="21">
        <f>SUMIFS(Einzelbeträge!$D:$D,Einzelbeträge!$C:$C,'Ausgaben 2028'!$C254,Einzelbeträge!$E:$E,'Ausgaben 2028'!J$6)</f>
        <v>0</v>
      </c>
      <c r="K254" s="21">
        <f>SUMIFS(Einzelbeträge!$D:$D,Einzelbeträge!$C:$C,'Ausgaben 2028'!$C254,Einzelbeträge!$E:$E,'Ausgaben 2028'!K$6)</f>
        <v>0</v>
      </c>
      <c r="L254" s="21">
        <f>SUMIFS(Einzelbeträge!$D:$D,Einzelbeträge!$C:$C,'Ausgaben 2028'!$C254,Einzelbeträge!$E:$E,'Ausgaben 2028'!L$6)</f>
        <v>0</v>
      </c>
      <c r="M254" s="21">
        <f>SUMIFS(Einzelbeträge!$D:$D,Einzelbeträge!$C:$C,'Ausgaben 2028'!$C254,Einzelbeträge!$E:$E,'Ausgaben 2028'!M$6)</f>
        <v>0</v>
      </c>
      <c r="N254" s="35">
        <f>SUMIFS(Einzelbeträge!$D:$D,Einzelbeträge!$C:$C,'Ausgaben 2028'!$C254,Einzelbeträge!$E:$E,'Ausgaben 2028'!N$6)</f>
        <v>0</v>
      </c>
      <c r="O254" s="6"/>
    </row>
    <row r="255" spans="2:15" x14ac:dyDescent="0.35">
      <c r="B255" s="5"/>
      <c r="C255" s="40">
        <f t="shared" si="23"/>
        <v>46980</v>
      </c>
      <c r="D255" s="46">
        <f>SUMIFS(Einzelbeträge!$D:$D,Einzelbeträge!$C:$C,'Ausgaben 2028'!$C255)</f>
        <v>0</v>
      </c>
      <c r="E255" s="21">
        <f>SUMIFS(Einzelbeträge!$D:$D,Einzelbeträge!$C:$C,'Ausgaben 2028'!$C255,Einzelbeträge!$E:$E,'Ausgaben 2028'!E$6)</f>
        <v>0</v>
      </c>
      <c r="F255" s="21">
        <f>SUMIFS(Einzelbeträge!$D:$D,Einzelbeträge!$C:$C,'Ausgaben 2028'!$C255,Einzelbeträge!$E:$E,'Ausgaben 2028'!F$6)</f>
        <v>0</v>
      </c>
      <c r="G255" s="21">
        <f>SUMIFS(Einzelbeträge!$D:$D,Einzelbeträge!$C:$C,'Ausgaben 2028'!$C255,Einzelbeträge!$E:$E,'Ausgaben 2028'!G$6)</f>
        <v>0</v>
      </c>
      <c r="H255" s="21">
        <f>SUMIFS(Einzelbeträge!$D:$D,Einzelbeträge!$C:$C,'Ausgaben 2028'!$C255,Einzelbeträge!$E:$E,'Ausgaben 2028'!H$6)</f>
        <v>0</v>
      </c>
      <c r="I255" s="21">
        <f>SUMIFS(Einzelbeträge!$D:$D,Einzelbeträge!$C:$C,'Ausgaben 2028'!$C255,Einzelbeträge!$E:$E,'Ausgaben 2028'!I$6)</f>
        <v>0</v>
      </c>
      <c r="J255" s="21">
        <f>SUMIFS(Einzelbeträge!$D:$D,Einzelbeträge!$C:$C,'Ausgaben 2028'!$C255,Einzelbeträge!$E:$E,'Ausgaben 2028'!J$6)</f>
        <v>0</v>
      </c>
      <c r="K255" s="21">
        <f>SUMIFS(Einzelbeträge!$D:$D,Einzelbeträge!$C:$C,'Ausgaben 2028'!$C255,Einzelbeträge!$E:$E,'Ausgaben 2028'!K$6)</f>
        <v>0</v>
      </c>
      <c r="L255" s="21">
        <f>SUMIFS(Einzelbeträge!$D:$D,Einzelbeträge!$C:$C,'Ausgaben 2028'!$C255,Einzelbeträge!$E:$E,'Ausgaben 2028'!L$6)</f>
        <v>0</v>
      </c>
      <c r="M255" s="21">
        <f>SUMIFS(Einzelbeträge!$D:$D,Einzelbeträge!$C:$C,'Ausgaben 2028'!$C255,Einzelbeträge!$E:$E,'Ausgaben 2028'!M$6)</f>
        <v>0</v>
      </c>
      <c r="N255" s="35">
        <f>SUMIFS(Einzelbeträge!$D:$D,Einzelbeträge!$C:$C,'Ausgaben 2028'!$C255,Einzelbeträge!$E:$E,'Ausgaben 2028'!N$6)</f>
        <v>0</v>
      </c>
      <c r="O255" s="6"/>
    </row>
    <row r="256" spans="2:15" x14ac:dyDescent="0.35">
      <c r="B256" s="5"/>
      <c r="C256" s="40">
        <f t="shared" si="23"/>
        <v>46981</v>
      </c>
      <c r="D256" s="46">
        <f>SUMIFS(Einzelbeträge!$D:$D,Einzelbeträge!$C:$C,'Ausgaben 2028'!$C256)</f>
        <v>0</v>
      </c>
      <c r="E256" s="21">
        <f>SUMIFS(Einzelbeträge!$D:$D,Einzelbeträge!$C:$C,'Ausgaben 2028'!$C256,Einzelbeträge!$E:$E,'Ausgaben 2028'!E$6)</f>
        <v>0</v>
      </c>
      <c r="F256" s="21">
        <f>SUMIFS(Einzelbeträge!$D:$D,Einzelbeträge!$C:$C,'Ausgaben 2028'!$C256,Einzelbeträge!$E:$E,'Ausgaben 2028'!F$6)</f>
        <v>0</v>
      </c>
      <c r="G256" s="21">
        <f>SUMIFS(Einzelbeträge!$D:$D,Einzelbeträge!$C:$C,'Ausgaben 2028'!$C256,Einzelbeträge!$E:$E,'Ausgaben 2028'!G$6)</f>
        <v>0</v>
      </c>
      <c r="H256" s="21">
        <f>SUMIFS(Einzelbeträge!$D:$D,Einzelbeträge!$C:$C,'Ausgaben 2028'!$C256,Einzelbeträge!$E:$E,'Ausgaben 2028'!H$6)</f>
        <v>0</v>
      </c>
      <c r="I256" s="21">
        <f>SUMIFS(Einzelbeträge!$D:$D,Einzelbeträge!$C:$C,'Ausgaben 2028'!$C256,Einzelbeträge!$E:$E,'Ausgaben 2028'!I$6)</f>
        <v>0</v>
      </c>
      <c r="J256" s="21">
        <f>SUMIFS(Einzelbeträge!$D:$D,Einzelbeträge!$C:$C,'Ausgaben 2028'!$C256,Einzelbeträge!$E:$E,'Ausgaben 2028'!J$6)</f>
        <v>0</v>
      </c>
      <c r="K256" s="21">
        <f>SUMIFS(Einzelbeträge!$D:$D,Einzelbeträge!$C:$C,'Ausgaben 2028'!$C256,Einzelbeträge!$E:$E,'Ausgaben 2028'!K$6)</f>
        <v>0</v>
      </c>
      <c r="L256" s="21">
        <f>SUMIFS(Einzelbeträge!$D:$D,Einzelbeträge!$C:$C,'Ausgaben 2028'!$C256,Einzelbeträge!$E:$E,'Ausgaben 2028'!L$6)</f>
        <v>0</v>
      </c>
      <c r="M256" s="21">
        <f>SUMIFS(Einzelbeträge!$D:$D,Einzelbeträge!$C:$C,'Ausgaben 2028'!$C256,Einzelbeträge!$E:$E,'Ausgaben 2028'!M$6)</f>
        <v>0</v>
      </c>
      <c r="N256" s="35">
        <f>SUMIFS(Einzelbeträge!$D:$D,Einzelbeträge!$C:$C,'Ausgaben 2028'!$C256,Einzelbeträge!$E:$E,'Ausgaben 2028'!N$6)</f>
        <v>0</v>
      </c>
      <c r="O256" s="6"/>
    </row>
    <row r="257" spans="2:15" x14ac:dyDescent="0.35">
      <c r="B257" s="5"/>
      <c r="C257" s="40">
        <f t="shared" si="23"/>
        <v>46982</v>
      </c>
      <c r="D257" s="46">
        <f>SUMIFS(Einzelbeträge!$D:$D,Einzelbeträge!$C:$C,'Ausgaben 2028'!$C257)</f>
        <v>0</v>
      </c>
      <c r="E257" s="21">
        <f>SUMIFS(Einzelbeträge!$D:$D,Einzelbeträge!$C:$C,'Ausgaben 2028'!$C257,Einzelbeträge!$E:$E,'Ausgaben 2028'!E$6)</f>
        <v>0</v>
      </c>
      <c r="F257" s="21">
        <f>SUMIFS(Einzelbeträge!$D:$D,Einzelbeträge!$C:$C,'Ausgaben 2028'!$C257,Einzelbeträge!$E:$E,'Ausgaben 2028'!F$6)</f>
        <v>0</v>
      </c>
      <c r="G257" s="21">
        <f>SUMIFS(Einzelbeträge!$D:$D,Einzelbeträge!$C:$C,'Ausgaben 2028'!$C257,Einzelbeträge!$E:$E,'Ausgaben 2028'!G$6)</f>
        <v>0</v>
      </c>
      <c r="H257" s="21">
        <f>SUMIFS(Einzelbeträge!$D:$D,Einzelbeträge!$C:$C,'Ausgaben 2028'!$C257,Einzelbeträge!$E:$E,'Ausgaben 2028'!H$6)</f>
        <v>0</v>
      </c>
      <c r="I257" s="21">
        <f>SUMIFS(Einzelbeträge!$D:$D,Einzelbeträge!$C:$C,'Ausgaben 2028'!$C257,Einzelbeträge!$E:$E,'Ausgaben 2028'!I$6)</f>
        <v>0</v>
      </c>
      <c r="J257" s="21">
        <f>SUMIFS(Einzelbeträge!$D:$D,Einzelbeträge!$C:$C,'Ausgaben 2028'!$C257,Einzelbeträge!$E:$E,'Ausgaben 2028'!J$6)</f>
        <v>0</v>
      </c>
      <c r="K257" s="21">
        <f>SUMIFS(Einzelbeträge!$D:$D,Einzelbeträge!$C:$C,'Ausgaben 2028'!$C257,Einzelbeträge!$E:$E,'Ausgaben 2028'!K$6)</f>
        <v>0</v>
      </c>
      <c r="L257" s="21">
        <f>SUMIFS(Einzelbeträge!$D:$D,Einzelbeträge!$C:$C,'Ausgaben 2028'!$C257,Einzelbeträge!$E:$E,'Ausgaben 2028'!L$6)</f>
        <v>0</v>
      </c>
      <c r="M257" s="21">
        <f>SUMIFS(Einzelbeträge!$D:$D,Einzelbeträge!$C:$C,'Ausgaben 2028'!$C257,Einzelbeträge!$E:$E,'Ausgaben 2028'!M$6)</f>
        <v>0</v>
      </c>
      <c r="N257" s="35">
        <f>SUMIFS(Einzelbeträge!$D:$D,Einzelbeträge!$C:$C,'Ausgaben 2028'!$C257,Einzelbeträge!$E:$E,'Ausgaben 2028'!N$6)</f>
        <v>0</v>
      </c>
      <c r="O257" s="6"/>
    </row>
    <row r="258" spans="2:15" x14ac:dyDescent="0.35">
      <c r="B258" s="5"/>
      <c r="C258" s="40">
        <f t="shared" si="23"/>
        <v>46983</v>
      </c>
      <c r="D258" s="46">
        <f>SUMIFS(Einzelbeträge!$D:$D,Einzelbeträge!$C:$C,'Ausgaben 2028'!$C258)</f>
        <v>0</v>
      </c>
      <c r="E258" s="21">
        <f>SUMIFS(Einzelbeträge!$D:$D,Einzelbeträge!$C:$C,'Ausgaben 2028'!$C258,Einzelbeträge!$E:$E,'Ausgaben 2028'!E$6)</f>
        <v>0</v>
      </c>
      <c r="F258" s="21">
        <f>SUMIFS(Einzelbeträge!$D:$D,Einzelbeträge!$C:$C,'Ausgaben 2028'!$C258,Einzelbeträge!$E:$E,'Ausgaben 2028'!F$6)</f>
        <v>0</v>
      </c>
      <c r="G258" s="21">
        <f>SUMIFS(Einzelbeträge!$D:$D,Einzelbeträge!$C:$C,'Ausgaben 2028'!$C258,Einzelbeträge!$E:$E,'Ausgaben 2028'!G$6)</f>
        <v>0</v>
      </c>
      <c r="H258" s="21">
        <f>SUMIFS(Einzelbeträge!$D:$D,Einzelbeträge!$C:$C,'Ausgaben 2028'!$C258,Einzelbeträge!$E:$E,'Ausgaben 2028'!H$6)</f>
        <v>0</v>
      </c>
      <c r="I258" s="21">
        <f>SUMIFS(Einzelbeträge!$D:$D,Einzelbeträge!$C:$C,'Ausgaben 2028'!$C258,Einzelbeträge!$E:$E,'Ausgaben 2028'!I$6)</f>
        <v>0</v>
      </c>
      <c r="J258" s="21">
        <f>SUMIFS(Einzelbeträge!$D:$D,Einzelbeträge!$C:$C,'Ausgaben 2028'!$C258,Einzelbeträge!$E:$E,'Ausgaben 2028'!J$6)</f>
        <v>0</v>
      </c>
      <c r="K258" s="21">
        <f>SUMIFS(Einzelbeträge!$D:$D,Einzelbeträge!$C:$C,'Ausgaben 2028'!$C258,Einzelbeträge!$E:$E,'Ausgaben 2028'!K$6)</f>
        <v>0</v>
      </c>
      <c r="L258" s="21">
        <f>SUMIFS(Einzelbeträge!$D:$D,Einzelbeträge!$C:$C,'Ausgaben 2028'!$C258,Einzelbeträge!$E:$E,'Ausgaben 2028'!L$6)</f>
        <v>0</v>
      </c>
      <c r="M258" s="21">
        <f>SUMIFS(Einzelbeträge!$D:$D,Einzelbeträge!$C:$C,'Ausgaben 2028'!$C258,Einzelbeträge!$E:$E,'Ausgaben 2028'!M$6)</f>
        <v>0</v>
      </c>
      <c r="N258" s="35">
        <f>SUMIFS(Einzelbeträge!$D:$D,Einzelbeträge!$C:$C,'Ausgaben 2028'!$C258,Einzelbeträge!$E:$E,'Ausgaben 2028'!N$6)</f>
        <v>0</v>
      </c>
      <c r="O258" s="6"/>
    </row>
    <row r="259" spans="2:15" x14ac:dyDescent="0.35">
      <c r="B259" s="5"/>
      <c r="C259" s="40">
        <f t="shared" si="23"/>
        <v>46984</v>
      </c>
      <c r="D259" s="46">
        <f>SUMIFS(Einzelbeträge!$D:$D,Einzelbeträge!$C:$C,'Ausgaben 2028'!$C259)</f>
        <v>0</v>
      </c>
      <c r="E259" s="21">
        <f>SUMIFS(Einzelbeträge!$D:$D,Einzelbeträge!$C:$C,'Ausgaben 2028'!$C259,Einzelbeträge!$E:$E,'Ausgaben 2028'!E$6)</f>
        <v>0</v>
      </c>
      <c r="F259" s="21">
        <f>SUMIFS(Einzelbeträge!$D:$D,Einzelbeträge!$C:$C,'Ausgaben 2028'!$C259,Einzelbeträge!$E:$E,'Ausgaben 2028'!F$6)</f>
        <v>0</v>
      </c>
      <c r="G259" s="21">
        <f>SUMIFS(Einzelbeträge!$D:$D,Einzelbeträge!$C:$C,'Ausgaben 2028'!$C259,Einzelbeträge!$E:$E,'Ausgaben 2028'!G$6)</f>
        <v>0</v>
      </c>
      <c r="H259" s="21">
        <f>SUMIFS(Einzelbeträge!$D:$D,Einzelbeträge!$C:$C,'Ausgaben 2028'!$C259,Einzelbeträge!$E:$E,'Ausgaben 2028'!H$6)</f>
        <v>0</v>
      </c>
      <c r="I259" s="21">
        <f>SUMIFS(Einzelbeträge!$D:$D,Einzelbeträge!$C:$C,'Ausgaben 2028'!$C259,Einzelbeträge!$E:$E,'Ausgaben 2028'!I$6)</f>
        <v>0</v>
      </c>
      <c r="J259" s="21">
        <f>SUMIFS(Einzelbeträge!$D:$D,Einzelbeträge!$C:$C,'Ausgaben 2028'!$C259,Einzelbeträge!$E:$E,'Ausgaben 2028'!J$6)</f>
        <v>0</v>
      </c>
      <c r="K259" s="21">
        <f>SUMIFS(Einzelbeträge!$D:$D,Einzelbeträge!$C:$C,'Ausgaben 2028'!$C259,Einzelbeträge!$E:$E,'Ausgaben 2028'!K$6)</f>
        <v>0</v>
      </c>
      <c r="L259" s="21">
        <f>SUMIFS(Einzelbeträge!$D:$D,Einzelbeträge!$C:$C,'Ausgaben 2028'!$C259,Einzelbeträge!$E:$E,'Ausgaben 2028'!L$6)</f>
        <v>0</v>
      </c>
      <c r="M259" s="21">
        <f>SUMIFS(Einzelbeträge!$D:$D,Einzelbeträge!$C:$C,'Ausgaben 2028'!$C259,Einzelbeträge!$E:$E,'Ausgaben 2028'!M$6)</f>
        <v>0</v>
      </c>
      <c r="N259" s="35">
        <f>SUMIFS(Einzelbeträge!$D:$D,Einzelbeträge!$C:$C,'Ausgaben 2028'!$C259,Einzelbeträge!$E:$E,'Ausgaben 2028'!N$6)</f>
        <v>0</v>
      </c>
      <c r="O259" s="6"/>
    </row>
    <row r="260" spans="2:15" x14ac:dyDescent="0.35">
      <c r="B260" s="5"/>
      <c r="C260" s="40">
        <f t="shared" si="23"/>
        <v>46985</v>
      </c>
      <c r="D260" s="46">
        <f>SUMIFS(Einzelbeträge!$D:$D,Einzelbeträge!$C:$C,'Ausgaben 2028'!$C260)</f>
        <v>0</v>
      </c>
      <c r="E260" s="21">
        <f>SUMIFS(Einzelbeträge!$D:$D,Einzelbeträge!$C:$C,'Ausgaben 2028'!$C260,Einzelbeträge!$E:$E,'Ausgaben 2028'!E$6)</f>
        <v>0</v>
      </c>
      <c r="F260" s="21">
        <f>SUMIFS(Einzelbeträge!$D:$D,Einzelbeträge!$C:$C,'Ausgaben 2028'!$C260,Einzelbeträge!$E:$E,'Ausgaben 2028'!F$6)</f>
        <v>0</v>
      </c>
      <c r="G260" s="21">
        <f>SUMIFS(Einzelbeträge!$D:$D,Einzelbeträge!$C:$C,'Ausgaben 2028'!$C260,Einzelbeträge!$E:$E,'Ausgaben 2028'!G$6)</f>
        <v>0</v>
      </c>
      <c r="H260" s="21">
        <f>SUMIFS(Einzelbeträge!$D:$D,Einzelbeträge!$C:$C,'Ausgaben 2028'!$C260,Einzelbeträge!$E:$E,'Ausgaben 2028'!H$6)</f>
        <v>0</v>
      </c>
      <c r="I260" s="21">
        <f>SUMIFS(Einzelbeträge!$D:$D,Einzelbeträge!$C:$C,'Ausgaben 2028'!$C260,Einzelbeträge!$E:$E,'Ausgaben 2028'!I$6)</f>
        <v>0</v>
      </c>
      <c r="J260" s="21">
        <f>SUMIFS(Einzelbeträge!$D:$D,Einzelbeträge!$C:$C,'Ausgaben 2028'!$C260,Einzelbeträge!$E:$E,'Ausgaben 2028'!J$6)</f>
        <v>0</v>
      </c>
      <c r="K260" s="21">
        <f>SUMIFS(Einzelbeträge!$D:$D,Einzelbeträge!$C:$C,'Ausgaben 2028'!$C260,Einzelbeträge!$E:$E,'Ausgaben 2028'!K$6)</f>
        <v>0</v>
      </c>
      <c r="L260" s="21">
        <f>SUMIFS(Einzelbeträge!$D:$D,Einzelbeträge!$C:$C,'Ausgaben 2028'!$C260,Einzelbeträge!$E:$E,'Ausgaben 2028'!L$6)</f>
        <v>0</v>
      </c>
      <c r="M260" s="21">
        <f>SUMIFS(Einzelbeträge!$D:$D,Einzelbeträge!$C:$C,'Ausgaben 2028'!$C260,Einzelbeträge!$E:$E,'Ausgaben 2028'!M$6)</f>
        <v>0</v>
      </c>
      <c r="N260" s="35">
        <f>SUMIFS(Einzelbeträge!$D:$D,Einzelbeträge!$C:$C,'Ausgaben 2028'!$C260,Einzelbeträge!$E:$E,'Ausgaben 2028'!N$6)</f>
        <v>0</v>
      </c>
      <c r="O260" s="6"/>
    </row>
    <row r="261" spans="2:15" x14ac:dyDescent="0.35">
      <c r="B261" s="5"/>
      <c r="C261" s="40">
        <f t="shared" si="23"/>
        <v>46986</v>
      </c>
      <c r="D261" s="46">
        <f>SUMIFS(Einzelbeträge!$D:$D,Einzelbeträge!$C:$C,'Ausgaben 2028'!$C261)</f>
        <v>0</v>
      </c>
      <c r="E261" s="21">
        <f>SUMIFS(Einzelbeträge!$D:$D,Einzelbeträge!$C:$C,'Ausgaben 2028'!$C261,Einzelbeträge!$E:$E,'Ausgaben 2028'!E$6)</f>
        <v>0</v>
      </c>
      <c r="F261" s="21">
        <f>SUMIFS(Einzelbeträge!$D:$D,Einzelbeträge!$C:$C,'Ausgaben 2028'!$C261,Einzelbeträge!$E:$E,'Ausgaben 2028'!F$6)</f>
        <v>0</v>
      </c>
      <c r="G261" s="21">
        <f>SUMIFS(Einzelbeträge!$D:$D,Einzelbeträge!$C:$C,'Ausgaben 2028'!$C261,Einzelbeträge!$E:$E,'Ausgaben 2028'!G$6)</f>
        <v>0</v>
      </c>
      <c r="H261" s="21">
        <f>SUMIFS(Einzelbeträge!$D:$D,Einzelbeträge!$C:$C,'Ausgaben 2028'!$C261,Einzelbeträge!$E:$E,'Ausgaben 2028'!H$6)</f>
        <v>0</v>
      </c>
      <c r="I261" s="21">
        <f>SUMIFS(Einzelbeträge!$D:$D,Einzelbeträge!$C:$C,'Ausgaben 2028'!$C261,Einzelbeträge!$E:$E,'Ausgaben 2028'!I$6)</f>
        <v>0</v>
      </c>
      <c r="J261" s="21">
        <f>SUMIFS(Einzelbeträge!$D:$D,Einzelbeträge!$C:$C,'Ausgaben 2028'!$C261,Einzelbeträge!$E:$E,'Ausgaben 2028'!J$6)</f>
        <v>0</v>
      </c>
      <c r="K261" s="21">
        <f>SUMIFS(Einzelbeträge!$D:$D,Einzelbeträge!$C:$C,'Ausgaben 2028'!$C261,Einzelbeträge!$E:$E,'Ausgaben 2028'!K$6)</f>
        <v>0</v>
      </c>
      <c r="L261" s="21">
        <f>SUMIFS(Einzelbeträge!$D:$D,Einzelbeträge!$C:$C,'Ausgaben 2028'!$C261,Einzelbeträge!$E:$E,'Ausgaben 2028'!L$6)</f>
        <v>0</v>
      </c>
      <c r="M261" s="21">
        <f>SUMIFS(Einzelbeträge!$D:$D,Einzelbeträge!$C:$C,'Ausgaben 2028'!$C261,Einzelbeträge!$E:$E,'Ausgaben 2028'!M$6)</f>
        <v>0</v>
      </c>
      <c r="N261" s="35">
        <f>SUMIFS(Einzelbeträge!$D:$D,Einzelbeträge!$C:$C,'Ausgaben 2028'!$C261,Einzelbeträge!$E:$E,'Ausgaben 2028'!N$6)</f>
        <v>0</v>
      </c>
      <c r="O261" s="6"/>
    </row>
    <row r="262" spans="2:15" x14ac:dyDescent="0.35">
      <c r="B262" s="5"/>
      <c r="C262" s="40">
        <f t="shared" si="23"/>
        <v>46987</v>
      </c>
      <c r="D262" s="46">
        <f>SUMIFS(Einzelbeträge!$D:$D,Einzelbeträge!$C:$C,'Ausgaben 2028'!$C262)</f>
        <v>0</v>
      </c>
      <c r="E262" s="21">
        <f>SUMIFS(Einzelbeträge!$D:$D,Einzelbeträge!$C:$C,'Ausgaben 2028'!$C262,Einzelbeträge!$E:$E,'Ausgaben 2028'!E$6)</f>
        <v>0</v>
      </c>
      <c r="F262" s="21">
        <f>SUMIFS(Einzelbeträge!$D:$D,Einzelbeträge!$C:$C,'Ausgaben 2028'!$C262,Einzelbeträge!$E:$E,'Ausgaben 2028'!F$6)</f>
        <v>0</v>
      </c>
      <c r="G262" s="21">
        <f>SUMIFS(Einzelbeträge!$D:$D,Einzelbeträge!$C:$C,'Ausgaben 2028'!$C262,Einzelbeträge!$E:$E,'Ausgaben 2028'!G$6)</f>
        <v>0</v>
      </c>
      <c r="H262" s="21">
        <f>SUMIFS(Einzelbeträge!$D:$D,Einzelbeträge!$C:$C,'Ausgaben 2028'!$C262,Einzelbeträge!$E:$E,'Ausgaben 2028'!H$6)</f>
        <v>0</v>
      </c>
      <c r="I262" s="21">
        <f>SUMIFS(Einzelbeträge!$D:$D,Einzelbeträge!$C:$C,'Ausgaben 2028'!$C262,Einzelbeträge!$E:$E,'Ausgaben 2028'!I$6)</f>
        <v>0</v>
      </c>
      <c r="J262" s="21">
        <f>SUMIFS(Einzelbeträge!$D:$D,Einzelbeträge!$C:$C,'Ausgaben 2028'!$C262,Einzelbeträge!$E:$E,'Ausgaben 2028'!J$6)</f>
        <v>0</v>
      </c>
      <c r="K262" s="21">
        <f>SUMIFS(Einzelbeträge!$D:$D,Einzelbeträge!$C:$C,'Ausgaben 2028'!$C262,Einzelbeträge!$E:$E,'Ausgaben 2028'!K$6)</f>
        <v>0</v>
      </c>
      <c r="L262" s="21">
        <f>SUMIFS(Einzelbeträge!$D:$D,Einzelbeträge!$C:$C,'Ausgaben 2028'!$C262,Einzelbeträge!$E:$E,'Ausgaben 2028'!L$6)</f>
        <v>0</v>
      </c>
      <c r="M262" s="21">
        <f>SUMIFS(Einzelbeträge!$D:$D,Einzelbeträge!$C:$C,'Ausgaben 2028'!$C262,Einzelbeträge!$E:$E,'Ausgaben 2028'!M$6)</f>
        <v>0</v>
      </c>
      <c r="N262" s="35">
        <f>SUMIFS(Einzelbeträge!$D:$D,Einzelbeträge!$C:$C,'Ausgaben 2028'!$C262,Einzelbeträge!$E:$E,'Ausgaben 2028'!N$6)</f>
        <v>0</v>
      </c>
      <c r="O262" s="6"/>
    </row>
    <row r="263" spans="2:15" x14ac:dyDescent="0.35">
      <c r="B263" s="5"/>
      <c r="C263" s="40">
        <f t="shared" si="23"/>
        <v>46988</v>
      </c>
      <c r="D263" s="46">
        <f>SUMIFS(Einzelbeträge!$D:$D,Einzelbeträge!$C:$C,'Ausgaben 2028'!$C263)</f>
        <v>0</v>
      </c>
      <c r="E263" s="21">
        <f>SUMIFS(Einzelbeträge!$D:$D,Einzelbeträge!$C:$C,'Ausgaben 2028'!$C263,Einzelbeträge!$E:$E,'Ausgaben 2028'!E$6)</f>
        <v>0</v>
      </c>
      <c r="F263" s="21">
        <f>SUMIFS(Einzelbeträge!$D:$D,Einzelbeträge!$C:$C,'Ausgaben 2028'!$C263,Einzelbeträge!$E:$E,'Ausgaben 2028'!F$6)</f>
        <v>0</v>
      </c>
      <c r="G263" s="21">
        <f>SUMIFS(Einzelbeträge!$D:$D,Einzelbeträge!$C:$C,'Ausgaben 2028'!$C263,Einzelbeträge!$E:$E,'Ausgaben 2028'!G$6)</f>
        <v>0</v>
      </c>
      <c r="H263" s="21">
        <f>SUMIFS(Einzelbeträge!$D:$D,Einzelbeträge!$C:$C,'Ausgaben 2028'!$C263,Einzelbeträge!$E:$E,'Ausgaben 2028'!H$6)</f>
        <v>0</v>
      </c>
      <c r="I263" s="21">
        <f>SUMIFS(Einzelbeträge!$D:$D,Einzelbeträge!$C:$C,'Ausgaben 2028'!$C263,Einzelbeträge!$E:$E,'Ausgaben 2028'!I$6)</f>
        <v>0</v>
      </c>
      <c r="J263" s="21">
        <f>SUMIFS(Einzelbeträge!$D:$D,Einzelbeträge!$C:$C,'Ausgaben 2028'!$C263,Einzelbeträge!$E:$E,'Ausgaben 2028'!J$6)</f>
        <v>0</v>
      </c>
      <c r="K263" s="21">
        <f>SUMIFS(Einzelbeträge!$D:$D,Einzelbeträge!$C:$C,'Ausgaben 2028'!$C263,Einzelbeträge!$E:$E,'Ausgaben 2028'!K$6)</f>
        <v>0</v>
      </c>
      <c r="L263" s="21">
        <f>SUMIFS(Einzelbeträge!$D:$D,Einzelbeträge!$C:$C,'Ausgaben 2028'!$C263,Einzelbeträge!$E:$E,'Ausgaben 2028'!L$6)</f>
        <v>0</v>
      </c>
      <c r="M263" s="21">
        <f>SUMIFS(Einzelbeträge!$D:$D,Einzelbeträge!$C:$C,'Ausgaben 2028'!$C263,Einzelbeträge!$E:$E,'Ausgaben 2028'!M$6)</f>
        <v>0</v>
      </c>
      <c r="N263" s="35">
        <f>SUMIFS(Einzelbeträge!$D:$D,Einzelbeträge!$C:$C,'Ausgaben 2028'!$C263,Einzelbeträge!$E:$E,'Ausgaben 2028'!N$6)</f>
        <v>0</v>
      </c>
      <c r="O263" s="6"/>
    </row>
    <row r="264" spans="2:15" x14ac:dyDescent="0.35">
      <c r="B264" s="5"/>
      <c r="C264" s="40">
        <f t="shared" si="23"/>
        <v>46989</v>
      </c>
      <c r="D264" s="46">
        <f>SUMIFS(Einzelbeträge!$D:$D,Einzelbeträge!$C:$C,'Ausgaben 2028'!$C264)</f>
        <v>0</v>
      </c>
      <c r="E264" s="21">
        <f>SUMIFS(Einzelbeträge!$D:$D,Einzelbeträge!$C:$C,'Ausgaben 2028'!$C264,Einzelbeträge!$E:$E,'Ausgaben 2028'!E$6)</f>
        <v>0</v>
      </c>
      <c r="F264" s="21">
        <f>SUMIFS(Einzelbeträge!$D:$D,Einzelbeträge!$C:$C,'Ausgaben 2028'!$C264,Einzelbeträge!$E:$E,'Ausgaben 2028'!F$6)</f>
        <v>0</v>
      </c>
      <c r="G264" s="21">
        <f>SUMIFS(Einzelbeträge!$D:$D,Einzelbeträge!$C:$C,'Ausgaben 2028'!$C264,Einzelbeträge!$E:$E,'Ausgaben 2028'!G$6)</f>
        <v>0</v>
      </c>
      <c r="H264" s="21">
        <f>SUMIFS(Einzelbeträge!$D:$D,Einzelbeträge!$C:$C,'Ausgaben 2028'!$C264,Einzelbeträge!$E:$E,'Ausgaben 2028'!H$6)</f>
        <v>0</v>
      </c>
      <c r="I264" s="21">
        <f>SUMIFS(Einzelbeträge!$D:$D,Einzelbeträge!$C:$C,'Ausgaben 2028'!$C264,Einzelbeträge!$E:$E,'Ausgaben 2028'!I$6)</f>
        <v>0</v>
      </c>
      <c r="J264" s="21">
        <f>SUMIFS(Einzelbeträge!$D:$D,Einzelbeträge!$C:$C,'Ausgaben 2028'!$C264,Einzelbeträge!$E:$E,'Ausgaben 2028'!J$6)</f>
        <v>0</v>
      </c>
      <c r="K264" s="21">
        <f>SUMIFS(Einzelbeträge!$D:$D,Einzelbeträge!$C:$C,'Ausgaben 2028'!$C264,Einzelbeträge!$E:$E,'Ausgaben 2028'!K$6)</f>
        <v>0</v>
      </c>
      <c r="L264" s="21">
        <f>SUMIFS(Einzelbeträge!$D:$D,Einzelbeträge!$C:$C,'Ausgaben 2028'!$C264,Einzelbeträge!$E:$E,'Ausgaben 2028'!L$6)</f>
        <v>0</v>
      </c>
      <c r="M264" s="21">
        <f>SUMIFS(Einzelbeträge!$D:$D,Einzelbeträge!$C:$C,'Ausgaben 2028'!$C264,Einzelbeträge!$E:$E,'Ausgaben 2028'!M$6)</f>
        <v>0</v>
      </c>
      <c r="N264" s="35">
        <f>SUMIFS(Einzelbeträge!$D:$D,Einzelbeträge!$C:$C,'Ausgaben 2028'!$C264,Einzelbeträge!$E:$E,'Ausgaben 2028'!N$6)</f>
        <v>0</v>
      </c>
      <c r="O264" s="6"/>
    </row>
    <row r="265" spans="2:15" x14ac:dyDescent="0.35">
      <c r="B265" s="5"/>
      <c r="C265" s="40">
        <f t="shared" si="23"/>
        <v>46990</v>
      </c>
      <c r="D265" s="46">
        <f>SUMIFS(Einzelbeträge!$D:$D,Einzelbeträge!$C:$C,'Ausgaben 2028'!$C265)</f>
        <v>0</v>
      </c>
      <c r="E265" s="21">
        <f>SUMIFS(Einzelbeträge!$D:$D,Einzelbeträge!$C:$C,'Ausgaben 2028'!$C265,Einzelbeträge!$E:$E,'Ausgaben 2028'!E$6)</f>
        <v>0</v>
      </c>
      <c r="F265" s="21">
        <f>SUMIFS(Einzelbeträge!$D:$D,Einzelbeträge!$C:$C,'Ausgaben 2028'!$C265,Einzelbeträge!$E:$E,'Ausgaben 2028'!F$6)</f>
        <v>0</v>
      </c>
      <c r="G265" s="21">
        <f>SUMIFS(Einzelbeträge!$D:$D,Einzelbeträge!$C:$C,'Ausgaben 2028'!$C265,Einzelbeträge!$E:$E,'Ausgaben 2028'!G$6)</f>
        <v>0</v>
      </c>
      <c r="H265" s="21">
        <f>SUMIFS(Einzelbeträge!$D:$D,Einzelbeträge!$C:$C,'Ausgaben 2028'!$C265,Einzelbeträge!$E:$E,'Ausgaben 2028'!H$6)</f>
        <v>0</v>
      </c>
      <c r="I265" s="21">
        <f>SUMIFS(Einzelbeträge!$D:$D,Einzelbeträge!$C:$C,'Ausgaben 2028'!$C265,Einzelbeträge!$E:$E,'Ausgaben 2028'!I$6)</f>
        <v>0</v>
      </c>
      <c r="J265" s="21">
        <f>SUMIFS(Einzelbeträge!$D:$D,Einzelbeträge!$C:$C,'Ausgaben 2028'!$C265,Einzelbeträge!$E:$E,'Ausgaben 2028'!J$6)</f>
        <v>0</v>
      </c>
      <c r="K265" s="21">
        <f>SUMIFS(Einzelbeträge!$D:$D,Einzelbeträge!$C:$C,'Ausgaben 2028'!$C265,Einzelbeträge!$E:$E,'Ausgaben 2028'!K$6)</f>
        <v>0</v>
      </c>
      <c r="L265" s="21">
        <f>SUMIFS(Einzelbeträge!$D:$D,Einzelbeträge!$C:$C,'Ausgaben 2028'!$C265,Einzelbeträge!$E:$E,'Ausgaben 2028'!L$6)</f>
        <v>0</v>
      </c>
      <c r="M265" s="21">
        <f>SUMIFS(Einzelbeträge!$D:$D,Einzelbeträge!$C:$C,'Ausgaben 2028'!$C265,Einzelbeträge!$E:$E,'Ausgaben 2028'!M$6)</f>
        <v>0</v>
      </c>
      <c r="N265" s="35">
        <f>SUMIFS(Einzelbeträge!$D:$D,Einzelbeträge!$C:$C,'Ausgaben 2028'!$C265,Einzelbeträge!$E:$E,'Ausgaben 2028'!N$6)</f>
        <v>0</v>
      </c>
      <c r="O265" s="6"/>
    </row>
    <row r="266" spans="2:15" x14ac:dyDescent="0.35">
      <c r="B266" s="5"/>
      <c r="C266" s="40">
        <f t="shared" si="23"/>
        <v>46991</v>
      </c>
      <c r="D266" s="46">
        <f>SUMIFS(Einzelbeträge!$D:$D,Einzelbeträge!$C:$C,'Ausgaben 2028'!$C266)</f>
        <v>0</v>
      </c>
      <c r="E266" s="21">
        <f>SUMIFS(Einzelbeträge!$D:$D,Einzelbeträge!$C:$C,'Ausgaben 2028'!$C266,Einzelbeträge!$E:$E,'Ausgaben 2028'!E$6)</f>
        <v>0</v>
      </c>
      <c r="F266" s="21">
        <f>SUMIFS(Einzelbeträge!$D:$D,Einzelbeträge!$C:$C,'Ausgaben 2028'!$C266,Einzelbeträge!$E:$E,'Ausgaben 2028'!F$6)</f>
        <v>0</v>
      </c>
      <c r="G266" s="21">
        <f>SUMIFS(Einzelbeträge!$D:$D,Einzelbeträge!$C:$C,'Ausgaben 2028'!$C266,Einzelbeträge!$E:$E,'Ausgaben 2028'!G$6)</f>
        <v>0</v>
      </c>
      <c r="H266" s="21">
        <f>SUMIFS(Einzelbeträge!$D:$D,Einzelbeträge!$C:$C,'Ausgaben 2028'!$C266,Einzelbeträge!$E:$E,'Ausgaben 2028'!H$6)</f>
        <v>0</v>
      </c>
      <c r="I266" s="21">
        <f>SUMIFS(Einzelbeträge!$D:$D,Einzelbeträge!$C:$C,'Ausgaben 2028'!$C266,Einzelbeträge!$E:$E,'Ausgaben 2028'!I$6)</f>
        <v>0</v>
      </c>
      <c r="J266" s="21">
        <f>SUMIFS(Einzelbeträge!$D:$D,Einzelbeträge!$C:$C,'Ausgaben 2028'!$C266,Einzelbeträge!$E:$E,'Ausgaben 2028'!J$6)</f>
        <v>0</v>
      </c>
      <c r="K266" s="21">
        <f>SUMIFS(Einzelbeträge!$D:$D,Einzelbeträge!$C:$C,'Ausgaben 2028'!$C266,Einzelbeträge!$E:$E,'Ausgaben 2028'!K$6)</f>
        <v>0</v>
      </c>
      <c r="L266" s="21">
        <f>SUMIFS(Einzelbeträge!$D:$D,Einzelbeträge!$C:$C,'Ausgaben 2028'!$C266,Einzelbeträge!$E:$E,'Ausgaben 2028'!L$6)</f>
        <v>0</v>
      </c>
      <c r="M266" s="21">
        <f>SUMIFS(Einzelbeträge!$D:$D,Einzelbeträge!$C:$C,'Ausgaben 2028'!$C266,Einzelbeträge!$E:$E,'Ausgaben 2028'!M$6)</f>
        <v>0</v>
      </c>
      <c r="N266" s="35">
        <f>SUMIFS(Einzelbeträge!$D:$D,Einzelbeträge!$C:$C,'Ausgaben 2028'!$C266,Einzelbeträge!$E:$E,'Ausgaben 2028'!N$6)</f>
        <v>0</v>
      </c>
      <c r="O266" s="6"/>
    </row>
    <row r="267" spans="2:15" x14ac:dyDescent="0.35">
      <c r="B267" s="5"/>
      <c r="C267" s="40">
        <f t="shared" si="23"/>
        <v>46992</v>
      </c>
      <c r="D267" s="46">
        <f>SUMIFS(Einzelbeträge!$D:$D,Einzelbeträge!$C:$C,'Ausgaben 2028'!$C267)</f>
        <v>0</v>
      </c>
      <c r="E267" s="21">
        <f>SUMIFS(Einzelbeträge!$D:$D,Einzelbeträge!$C:$C,'Ausgaben 2028'!$C267,Einzelbeträge!$E:$E,'Ausgaben 2028'!E$6)</f>
        <v>0</v>
      </c>
      <c r="F267" s="21">
        <f>SUMIFS(Einzelbeträge!$D:$D,Einzelbeträge!$C:$C,'Ausgaben 2028'!$C267,Einzelbeträge!$E:$E,'Ausgaben 2028'!F$6)</f>
        <v>0</v>
      </c>
      <c r="G267" s="21">
        <f>SUMIFS(Einzelbeträge!$D:$D,Einzelbeträge!$C:$C,'Ausgaben 2028'!$C267,Einzelbeträge!$E:$E,'Ausgaben 2028'!G$6)</f>
        <v>0</v>
      </c>
      <c r="H267" s="21">
        <f>SUMIFS(Einzelbeträge!$D:$D,Einzelbeträge!$C:$C,'Ausgaben 2028'!$C267,Einzelbeträge!$E:$E,'Ausgaben 2028'!H$6)</f>
        <v>0</v>
      </c>
      <c r="I267" s="21">
        <f>SUMIFS(Einzelbeträge!$D:$D,Einzelbeträge!$C:$C,'Ausgaben 2028'!$C267,Einzelbeträge!$E:$E,'Ausgaben 2028'!I$6)</f>
        <v>0</v>
      </c>
      <c r="J267" s="21">
        <f>SUMIFS(Einzelbeträge!$D:$D,Einzelbeträge!$C:$C,'Ausgaben 2028'!$C267,Einzelbeträge!$E:$E,'Ausgaben 2028'!J$6)</f>
        <v>0</v>
      </c>
      <c r="K267" s="21">
        <f>SUMIFS(Einzelbeträge!$D:$D,Einzelbeträge!$C:$C,'Ausgaben 2028'!$C267,Einzelbeträge!$E:$E,'Ausgaben 2028'!K$6)</f>
        <v>0</v>
      </c>
      <c r="L267" s="21">
        <f>SUMIFS(Einzelbeträge!$D:$D,Einzelbeträge!$C:$C,'Ausgaben 2028'!$C267,Einzelbeträge!$E:$E,'Ausgaben 2028'!L$6)</f>
        <v>0</v>
      </c>
      <c r="M267" s="21">
        <f>SUMIFS(Einzelbeträge!$D:$D,Einzelbeträge!$C:$C,'Ausgaben 2028'!$C267,Einzelbeträge!$E:$E,'Ausgaben 2028'!M$6)</f>
        <v>0</v>
      </c>
      <c r="N267" s="35">
        <f>SUMIFS(Einzelbeträge!$D:$D,Einzelbeträge!$C:$C,'Ausgaben 2028'!$C267,Einzelbeträge!$E:$E,'Ausgaben 2028'!N$6)</f>
        <v>0</v>
      </c>
      <c r="O267" s="6"/>
    </row>
    <row r="268" spans="2:15" x14ac:dyDescent="0.35">
      <c r="B268" s="5"/>
      <c r="C268" s="40">
        <f t="shared" si="23"/>
        <v>46993</v>
      </c>
      <c r="D268" s="46">
        <f>SUMIFS(Einzelbeträge!$D:$D,Einzelbeträge!$C:$C,'Ausgaben 2028'!$C268)</f>
        <v>0</v>
      </c>
      <c r="E268" s="21">
        <f>SUMIFS(Einzelbeträge!$D:$D,Einzelbeträge!$C:$C,'Ausgaben 2028'!$C268,Einzelbeträge!$E:$E,'Ausgaben 2028'!E$6)</f>
        <v>0</v>
      </c>
      <c r="F268" s="21">
        <f>SUMIFS(Einzelbeträge!$D:$D,Einzelbeträge!$C:$C,'Ausgaben 2028'!$C268,Einzelbeträge!$E:$E,'Ausgaben 2028'!F$6)</f>
        <v>0</v>
      </c>
      <c r="G268" s="21">
        <f>SUMIFS(Einzelbeträge!$D:$D,Einzelbeträge!$C:$C,'Ausgaben 2028'!$C268,Einzelbeträge!$E:$E,'Ausgaben 2028'!G$6)</f>
        <v>0</v>
      </c>
      <c r="H268" s="21">
        <f>SUMIFS(Einzelbeträge!$D:$D,Einzelbeträge!$C:$C,'Ausgaben 2028'!$C268,Einzelbeträge!$E:$E,'Ausgaben 2028'!H$6)</f>
        <v>0</v>
      </c>
      <c r="I268" s="21">
        <f>SUMIFS(Einzelbeträge!$D:$D,Einzelbeträge!$C:$C,'Ausgaben 2028'!$C268,Einzelbeträge!$E:$E,'Ausgaben 2028'!I$6)</f>
        <v>0</v>
      </c>
      <c r="J268" s="21">
        <f>SUMIFS(Einzelbeträge!$D:$D,Einzelbeträge!$C:$C,'Ausgaben 2028'!$C268,Einzelbeträge!$E:$E,'Ausgaben 2028'!J$6)</f>
        <v>0</v>
      </c>
      <c r="K268" s="21">
        <f>SUMIFS(Einzelbeträge!$D:$D,Einzelbeträge!$C:$C,'Ausgaben 2028'!$C268,Einzelbeträge!$E:$E,'Ausgaben 2028'!K$6)</f>
        <v>0</v>
      </c>
      <c r="L268" s="21">
        <f>SUMIFS(Einzelbeträge!$D:$D,Einzelbeträge!$C:$C,'Ausgaben 2028'!$C268,Einzelbeträge!$E:$E,'Ausgaben 2028'!L$6)</f>
        <v>0</v>
      </c>
      <c r="M268" s="21">
        <f>SUMIFS(Einzelbeträge!$D:$D,Einzelbeträge!$C:$C,'Ausgaben 2028'!$C268,Einzelbeträge!$E:$E,'Ausgaben 2028'!M$6)</f>
        <v>0</v>
      </c>
      <c r="N268" s="35">
        <f>SUMIFS(Einzelbeträge!$D:$D,Einzelbeträge!$C:$C,'Ausgaben 2028'!$C268,Einzelbeträge!$E:$E,'Ausgaben 2028'!N$6)</f>
        <v>0</v>
      </c>
      <c r="O268" s="6"/>
    </row>
    <row r="269" spans="2:15" x14ac:dyDescent="0.35">
      <c r="B269" s="5"/>
      <c r="C269" s="40">
        <f t="shared" si="23"/>
        <v>46994</v>
      </c>
      <c r="D269" s="46">
        <f>SUMIFS(Einzelbeträge!$D:$D,Einzelbeträge!$C:$C,'Ausgaben 2028'!$C269)</f>
        <v>0</v>
      </c>
      <c r="E269" s="21">
        <f>SUMIFS(Einzelbeträge!$D:$D,Einzelbeträge!$C:$C,'Ausgaben 2028'!$C269,Einzelbeträge!$E:$E,'Ausgaben 2028'!E$6)</f>
        <v>0</v>
      </c>
      <c r="F269" s="21">
        <f>SUMIFS(Einzelbeträge!$D:$D,Einzelbeträge!$C:$C,'Ausgaben 2028'!$C269,Einzelbeträge!$E:$E,'Ausgaben 2028'!F$6)</f>
        <v>0</v>
      </c>
      <c r="G269" s="21">
        <f>SUMIFS(Einzelbeträge!$D:$D,Einzelbeträge!$C:$C,'Ausgaben 2028'!$C269,Einzelbeträge!$E:$E,'Ausgaben 2028'!G$6)</f>
        <v>0</v>
      </c>
      <c r="H269" s="21">
        <f>SUMIFS(Einzelbeträge!$D:$D,Einzelbeträge!$C:$C,'Ausgaben 2028'!$C269,Einzelbeträge!$E:$E,'Ausgaben 2028'!H$6)</f>
        <v>0</v>
      </c>
      <c r="I269" s="21">
        <f>SUMIFS(Einzelbeträge!$D:$D,Einzelbeträge!$C:$C,'Ausgaben 2028'!$C269,Einzelbeträge!$E:$E,'Ausgaben 2028'!I$6)</f>
        <v>0</v>
      </c>
      <c r="J269" s="21">
        <f>SUMIFS(Einzelbeträge!$D:$D,Einzelbeträge!$C:$C,'Ausgaben 2028'!$C269,Einzelbeträge!$E:$E,'Ausgaben 2028'!J$6)</f>
        <v>0</v>
      </c>
      <c r="K269" s="21">
        <f>SUMIFS(Einzelbeträge!$D:$D,Einzelbeträge!$C:$C,'Ausgaben 2028'!$C269,Einzelbeträge!$E:$E,'Ausgaben 2028'!K$6)</f>
        <v>0</v>
      </c>
      <c r="L269" s="21">
        <f>SUMIFS(Einzelbeträge!$D:$D,Einzelbeträge!$C:$C,'Ausgaben 2028'!$C269,Einzelbeträge!$E:$E,'Ausgaben 2028'!L$6)</f>
        <v>0</v>
      </c>
      <c r="M269" s="21">
        <f>SUMIFS(Einzelbeträge!$D:$D,Einzelbeträge!$C:$C,'Ausgaben 2028'!$C269,Einzelbeträge!$E:$E,'Ausgaben 2028'!M$6)</f>
        <v>0</v>
      </c>
      <c r="N269" s="35">
        <f>SUMIFS(Einzelbeträge!$D:$D,Einzelbeträge!$C:$C,'Ausgaben 2028'!$C269,Einzelbeträge!$E:$E,'Ausgaben 2028'!N$6)</f>
        <v>0</v>
      </c>
      <c r="O269" s="6"/>
    </row>
    <row r="270" spans="2:15" x14ac:dyDescent="0.35">
      <c r="B270" s="5"/>
      <c r="C270" s="40">
        <f t="shared" si="23"/>
        <v>46995</v>
      </c>
      <c r="D270" s="46">
        <f>SUMIFS(Einzelbeträge!$D:$D,Einzelbeträge!$C:$C,'Ausgaben 2028'!$C270)</f>
        <v>0</v>
      </c>
      <c r="E270" s="21">
        <f>SUMIFS(Einzelbeträge!$D:$D,Einzelbeträge!$C:$C,'Ausgaben 2028'!$C270,Einzelbeträge!$E:$E,'Ausgaben 2028'!E$6)</f>
        <v>0</v>
      </c>
      <c r="F270" s="21">
        <f>SUMIFS(Einzelbeträge!$D:$D,Einzelbeträge!$C:$C,'Ausgaben 2028'!$C270,Einzelbeträge!$E:$E,'Ausgaben 2028'!F$6)</f>
        <v>0</v>
      </c>
      <c r="G270" s="21">
        <f>SUMIFS(Einzelbeträge!$D:$D,Einzelbeträge!$C:$C,'Ausgaben 2028'!$C270,Einzelbeträge!$E:$E,'Ausgaben 2028'!G$6)</f>
        <v>0</v>
      </c>
      <c r="H270" s="21">
        <f>SUMIFS(Einzelbeträge!$D:$D,Einzelbeträge!$C:$C,'Ausgaben 2028'!$C270,Einzelbeträge!$E:$E,'Ausgaben 2028'!H$6)</f>
        <v>0</v>
      </c>
      <c r="I270" s="21">
        <f>SUMIFS(Einzelbeträge!$D:$D,Einzelbeträge!$C:$C,'Ausgaben 2028'!$C270,Einzelbeträge!$E:$E,'Ausgaben 2028'!I$6)</f>
        <v>0</v>
      </c>
      <c r="J270" s="21">
        <f>SUMIFS(Einzelbeträge!$D:$D,Einzelbeträge!$C:$C,'Ausgaben 2028'!$C270,Einzelbeträge!$E:$E,'Ausgaben 2028'!J$6)</f>
        <v>0</v>
      </c>
      <c r="K270" s="21">
        <f>SUMIFS(Einzelbeträge!$D:$D,Einzelbeträge!$C:$C,'Ausgaben 2028'!$C270,Einzelbeträge!$E:$E,'Ausgaben 2028'!K$6)</f>
        <v>0</v>
      </c>
      <c r="L270" s="21">
        <f>SUMIFS(Einzelbeträge!$D:$D,Einzelbeträge!$C:$C,'Ausgaben 2028'!$C270,Einzelbeträge!$E:$E,'Ausgaben 2028'!L$6)</f>
        <v>0</v>
      </c>
      <c r="M270" s="21">
        <f>SUMIFS(Einzelbeträge!$D:$D,Einzelbeträge!$C:$C,'Ausgaben 2028'!$C270,Einzelbeträge!$E:$E,'Ausgaben 2028'!M$6)</f>
        <v>0</v>
      </c>
      <c r="N270" s="35">
        <f>SUMIFS(Einzelbeträge!$D:$D,Einzelbeträge!$C:$C,'Ausgaben 2028'!$C270,Einzelbeträge!$E:$E,'Ausgaben 2028'!N$6)</f>
        <v>0</v>
      </c>
      <c r="O270" s="6"/>
    </row>
    <row r="271" spans="2:15" x14ac:dyDescent="0.35">
      <c r="B271" s="5"/>
      <c r="C271" s="31">
        <f t="shared" si="23"/>
        <v>46996</v>
      </c>
      <c r="D271" s="47">
        <f>SUMIFS(Einzelbeträge!$D:$D,Einzelbeträge!$C:$C,'Ausgaben 2028'!$C271)</f>
        <v>0</v>
      </c>
      <c r="E271" s="37">
        <f>SUMIFS(Einzelbeträge!$D:$D,Einzelbeträge!$C:$C,'Ausgaben 2028'!$C271,Einzelbeträge!$E:$E,'Ausgaben 2028'!E$6)</f>
        <v>0</v>
      </c>
      <c r="F271" s="37">
        <f>SUMIFS(Einzelbeträge!$D:$D,Einzelbeträge!$C:$C,'Ausgaben 2028'!$C271,Einzelbeträge!$E:$E,'Ausgaben 2028'!F$6)</f>
        <v>0</v>
      </c>
      <c r="G271" s="37">
        <f>SUMIFS(Einzelbeträge!$D:$D,Einzelbeträge!$C:$C,'Ausgaben 2028'!$C271,Einzelbeträge!$E:$E,'Ausgaben 2028'!G$6)</f>
        <v>0</v>
      </c>
      <c r="H271" s="37">
        <f>SUMIFS(Einzelbeträge!$D:$D,Einzelbeträge!$C:$C,'Ausgaben 2028'!$C271,Einzelbeträge!$E:$E,'Ausgaben 2028'!H$6)</f>
        <v>0</v>
      </c>
      <c r="I271" s="37">
        <f>SUMIFS(Einzelbeträge!$D:$D,Einzelbeträge!$C:$C,'Ausgaben 2028'!$C271,Einzelbeträge!$E:$E,'Ausgaben 2028'!I$6)</f>
        <v>0</v>
      </c>
      <c r="J271" s="37">
        <f>SUMIFS(Einzelbeträge!$D:$D,Einzelbeträge!$C:$C,'Ausgaben 2028'!$C271,Einzelbeträge!$E:$E,'Ausgaben 2028'!J$6)</f>
        <v>0</v>
      </c>
      <c r="K271" s="37">
        <f>SUMIFS(Einzelbeträge!$D:$D,Einzelbeträge!$C:$C,'Ausgaben 2028'!$C271,Einzelbeträge!$E:$E,'Ausgaben 2028'!K$6)</f>
        <v>0</v>
      </c>
      <c r="L271" s="37">
        <f>SUMIFS(Einzelbeträge!$D:$D,Einzelbeträge!$C:$C,'Ausgaben 2028'!$C271,Einzelbeträge!$E:$E,'Ausgaben 2028'!L$6)</f>
        <v>0</v>
      </c>
      <c r="M271" s="37">
        <f>SUMIFS(Einzelbeträge!$D:$D,Einzelbeträge!$C:$C,'Ausgaben 2028'!$C271,Einzelbeträge!$E:$E,'Ausgaben 2028'!M$6)</f>
        <v>0</v>
      </c>
      <c r="N271" s="38">
        <f>SUMIFS(Einzelbeträge!$D:$D,Einzelbeträge!$C:$C,'Ausgaben 2028'!$C271,Einzelbeträge!$E:$E,'Ausgaben 2028'!N$6)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46997</v>
      </c>
      <c r="D275" s="45">
        <f>SUMIFS(Einzelbeträge!$D:$D,Einzelbeträge!$C:$C,'Ausgaben 2028'!$C275)</f>
        <v>0</v>
      </c>
      <c r="E275" s="32">
        <f>SUMIFS(Einzelbeträge!$D:$D,Einzelbeträge!$C:$C,'Ausgaben 2028'!$C275,Einzelbeträge!$E:$E,'Ausgaben 2028'!E$6)</f>
        <v>0</v>
      </c>
      <c r="F275" s="32">
        <f>SUMIFS(Einzelbeträge!$D:$D,Einzelbeträge!$C:$C,'Ausgaben 2028'!$C275,Einzelbeträge!$E:$E,'Ausgaben 2028'!F$6)</f>
        <v>0</v>
      </c>
      <c r="G275" s="32">
        <f>SUMIFS(Einzelbeträge!$D:$D,Einzelbeträge!$C:$C,'Ausgaben 2028'!$C275,Einzelbeträge!$E:$E,'Ausgaben 2028'!G$6)</f>
        <v>0</v>
      </c>
      <c r="H275" s="32">
        <f>SUMIFS(Einzelbeträge!$D:$D,Einzelbeträge!$C:$C,'Ausgaben 2028'!$C275,Einzelbeträge!$E:$E,'Ausgaben 2028'!H$6)</f>
        <v>0</v>
      </c>
      <c r="I275" s="32">
        <f>SUMIFS(Einzelbeträge!$D:$D,Einzelbeträge!$C:$C,'Ausgaben 2028'!$C275,Einzelbeträge!$E:$E,'Ausgaben 2028'!I$6)</f>
        <v>0</v>
      </c>
      <c r="J275" s="32">
        <f>SUMIFS(Einzelbeträge!$D:$D,Einzelbeträge!$C:$C,'Ausgaben 2028'!$C275,Einzelbeträge!$E:$E,'Ausgaben 2028'!J$6)</f>
        <v>0</v>
      </c>
      <c r="K275" s="32">
        <f>SUMIFS(Einzelbeträge!$D:$D,Einzelbeträge!$C:$C,'Ausgaben 2028'!$C275,Einzelbeträge!$E:$E,'Ausgaben 2028'!K$6)</f>
        <v>0</v>
      </c>
      <c r="L275" s="32">
        <f>SUMIFS(Einzelbeträge!$D:$D,Einzelbeträge!$C:$C,'Ausgaben 2028'!$C275,Einzelbeträge!$E:$E,'Ausgaben 2028'!L$6)</f>
        <v>0</v>
      </c>
      <c r="M275" s="32">
        <f>SUMIFS(Einzelbeträge!$D:$D,Einzelbeträge!$C:$C,'Ausgaben 2028'!$C275,Einzelbeträge!$E:$E,'Ausgaben 2028'!M$6)</f>
        <v>0</v>
      </c>
      <c r="N275" s="33">
        <f>SUMIFS(Einzelbeträge!$D:$D,Einzelbeträge!$C:$C,'Ausgaben 2028'!$C275,Einzelbeträge!$E:$E,'Ausgaben 2028'!N$6)</f>
        <v>0</v>
      </c>
      <c r="O275" s="6"/>
    </row>
    <row r="276" spans="2:15" x14ac:dyDescent="0.35">
      <c r="B276" s="5"/>
      <c r="C276" s="30">
        <f>C275+1</f>
        <v>46998</v>
      </c>
      <c r="D276" s="46">
        <f>SUMIFS(Einzelbeträge!$D:$D,Einzelbeträge!$C:$C,'Ausgaben 2028'!$C276)</f>
        <v>0</v>
      </c>
      <c r="E276" s="21">
        <f>SUMIFS(Einzelbeträge!$D:$D,Einzelbeträge!$C:$C,'Ausgaben 2028'!$C276,Einzelbeträge!$E:$E,'Ausgaben 2028'!E$6)</f>
        <v>0</v>
      </c>
      <c r="F276" s="21">
        <f>SUMIFS(Einzelbeträge!$D:$D,Einzelbeträge!$C:$C,'Ausgaben 2028'!$C276,Einzelbeträge!$E:$E,'Ausgaben 2028'!F$6)</f>
        <v>0</v>
      </c>
      <c r="G276" s="21">
        <f>SUMIFS(Einzelbeträge!$D:$D,Einzelbeträge!$C:$C,'Ausgaben 2028'!$C276,Einzelbeträge!$E:$E,'Ausgaben 2028'!G$6)</f>
        <v>0</v>
      </c>
      <c r="H276" s="21">
        <f>SUMIFS(Einzelbeträge!$D:$D,Einzelbeträge!$C:$C,'Ausgaben 2028'!$C276,Einzelbeträge!$E:$E,'Ausgaben 2028'!H$6)</f>
        <v>0</v>
      </c>
      <c r="I276" s="21">
        <f>SUMIFS(Einzelbeträge!$D:$D,Einzelbeträge!$C:$C,'Ausgaben 2028'!$C276,Einzelbeträge!$E:$E,'Ausgaben 2028'!I$6)</f>
        <v>0</v>
      </c>
      <c r="J276" s="21">
        <f>SUMIFS(Einzelbeträge!$D:$D,Einzelbeträge!$C:$C,'Ausgaben 2028'!$C276,Einzelbeträge!$E:$E,'Ausgaben 2028'!J$6)</f>
        <v>0</v>
      </c>
      <c r="K276" s="21">
        <f>SUMIFS(Einzelbeträge!$D:$D,Einzelbeträge!$C:$C,'Ausgaben 2028'!$C276,Einzelbeträge!$E:$E,'Ausgaben 2028'!K$6)</f>
        <v>0</v>
      </c>
      <c r="L276" s="21">
        <f>SUMIFS(Einzelbeträge!$D:$D,Einzelbeträge!$C:$C,'Ausgaben 2028'!$C276,Einzelbeträge!$E:$E,'Ausgaben 2028'!L$6)</f>
        <v>0</v>
      </c>
      <c r="M276" s="21">
        <f>SUMIFS(Einzelbeträge!$D:$D,Einzelbeträge!$C:$C,'Ausgaben 2028'!$C276,Einzelbeträge!$E:$E,'Ausgaben 2028'!M$6)</f>
        <v>0</v>
      </c>
      <c r="N276" s="35">
        <f>SUMIFS(Einzelbeträge!$D:$D,Einzelbeträge!$C:$C,'Ausgaben 2028'!$C276,Einzelbeträge!$E:$E,'Ausgaben 2028'!N$6)</f>
        <v>0</v>
      </c>
      <c r="O276" s="6"/>
    </row>
    <row r="277" spans="2:15" x14ac:dyDescent="0.35">
      <c r="B277" s="5"/>
      <c r="C277" s="30">
        <f t="shared" ref="C277:C304" si="24">C276+1</f>
        <v>46999</v>
      </c>
      <c r="D277" s="46">
        <f>SUMIFS(Einzelbeträge!$D:$D,Einzelbeträge!$C:$C,'Ausgaben 2028'!$C277)</f>
        <v>0</v>
      </c>
      <c r="E277" s="21">
        <f>SUMIFS(Einzelbeträge!$D:$D,Einzelbeträge!$C:$C,'Ausgaben 2028'!$C277,Einzelbeträge!$E:$E,'Ausgaben 2028'!E$6)</f>
        <v>0</v>
      </c>
      <c r="F277" s="21">
        <f>SUMIFS(Einzelbeträge!$D:$D,Einzelbeträge!$C:$C,'Ausgaben 2028'!$C277,Einzelbeträge!$E:$E,'Ausgaben 2028'!F$6)</f>
        <v>0</v>
      </c>
      <c r="G277" s="21">
        <f>SUMIFS(Einzelbeträge!$D:$D,Einzelbeträge!$C:$C,'Ausgaben 2028'!$C277,Einzelbeträge!$E:$E,'Ausgaben 2028'!G$6)</f>
        <v>0</v>
      </c>
      <c r="H277" s="21">
        <f>SUMIFS(Einzelbeträge!$D:$D,Einzelbeträge!$C:$C,'Ausgaben 2028'!$C277,Einzelbeträge!$E:$E,'Ausgaben 2028'!H$6)</f>
        <v>0</v>
      </c>
      <c r="I277" s="21">
        <f>SUMIFS(Einzelbeträge!$D:$D,Einzelbeträge!$C:$C,'Ausgaben 2028'!$C277,Einzelbeträge!$E:$E,'Ausgaben 2028'!I$6)</f>
        <v>0</v>
      </c>
      <c r="J277" s="21">
        <f>SUMIFS(Einzelbeträge!$D:$D,Einzelbeträge!$C:$C,'Ausgaben 2028'!$C277,Einzelbeträge!$E:$E,'Ausgaben 2028'!J$6)</f>
        <v>0</v>
      </c>
      <c r="K277" s="21">
        <f>SUMIFS(Einzelbeträge!$D:$D,Einzelbeträge!$C:$C,'Ausgaben 2028'!$C277,Einzelbeträge!$E:$E,'Ausgaben 2028'!K$6)</f>
        <v>0</v>
      </c>
      <c r="L277" s="21">
        <f>SUMIFS(Einzelbeträge!$D:$D,Einzelbeträge!$C:$C,'Ausgaben 2028'!$C277,Einzelbeträge!$E:$E,'Ausgaben 2028'!L$6)</f>
        <v>0</v>
      </c>
      <c r="M277" s="21">
        <f>SUMIFS(Einzelbeträge!$D:$D,Einzelbeträge!$C:$C,'Ausgaben 2028'!$C277,Einzelbeträge!$E:$E,'Ausgaben 2028'!M$6)</f>
        <v>0</v>
      </c>
      <c r="N277" s="35">
        <f>SUMIFS(Einzelbeträge!$D:$D,Einzelbeträge!$C:$C,'Ausgaben 2028'!$C277,Einzelbeträge!$E:$E,'Ausgaben 2028'!N$6)</f>
        <v>0</v>
      </c>
      <c r="O277" s="6"/>
    </row>
    <row r="278" spans="2:15" x14ac:dyDescent="0.35">
      <c r="B278" s="5"/>
      <c r="C278" s="30">
        <f t="shared" si="24"/>
        <v>47000</v>
      </c>
      <c r="D278" s="46">
        <f>SUMIFS(Einzelbeträge!$D:$D,Einzelbeträge!$C:$C,'Ausgaben 2028'!$C278)</f>
        <v>0</v>
      </c>
      <c r="E278" s="21">
        <f>SUMIFS(Einzelbeträge!$D:$D,Einzelbeträge!$C:$C,'Ausgaben 2028'!$C278,Einzelbeträge!$E:$E,'Ausgaben 2028'!E$6)</f>
        <v>0</v>
      </c>
      <c r="F278" s="21">
        <f>SUMIFS(Einzelbeträge!$D:$D,Einzelbeträge!$C:$C,'Ausgaben 2028'!$C278,Einzelbeträge!$E:$E,'Ausgaben 2028'!F$6)</f>
        <v>0</v>
      </c>
      <c r="G278" s="21">
        <f>SUMIFS(Einzelbeträge!$D:$D,Einzelbeträge!$C:$C,'Ausgaben 2028'!$C278,Einzelbeträge!$E:$E,'Ausgaben 2028'!G$6)</f>
        <v>0</v>
      </c>
      <c r="H278" s="21">
        <f>SUMIFS(Einzelbeträge!$D:$D,Einzelbeträge!$C:$C,'Ausgaben 2028'!$C278,Einzelbeträge!$E:$E,'Ausgaben 2028'!H$6)</f>
        <v>0</v>
      </c>
      <c r="I278" s="21">
        <f>SUMIFS(Einzelbeträge!$D:$D,Einzelbeträge!$C:$C,'Ausgaben 2028'!$C278,Einzelbeträge!$E:$E,'Ausgaben 2028'!I$6)</f>
        <v>0</v>
      </c>
      <c r="J278" s="21">
        <f>SUMIFS(Einzelbeträge!$D:$D,Einzelbeträge!$C:$C,'Ausgaben 2028'!$C278,Einzelbeträge!$E:$E,'Ausgaben 2028'!J$6)</f>
        <v>0</v>
      </c>
      <c r="K278" s="21">
        <f>SUMIFS(Einzelbeträge!$D:$D,Einzelbeträge!$C:$C,'Ausgaben 2028'!$C278,Einzelbeträge!$E:$E,'Ausgaben 2028'!K$6)</f>
        <v>0</v>
      </c>
      <c r="L278" s="21">
        <f>SUMIFS(Einzelbeträge!$D:$D,Einzelbeträge!$C:$C,'Ausgaben 2028'!$C278,Einzelbeträge!$E:$E,'Ausgaben 2028'!L$6)</f>
        <v>0</v>
      </c>
      <c r="M278" s="21">
        <f>SUMIFS(Einzelbeträge!$D:$D,Einzelbeträge!$C:$C,'Ausgaben 2028'!$C278,Einzelbeträge!$E:$E,'Ausgaben 2028'!M$6)</f>
        <v>0</v>
      </c>
      <c r="N278" s="35">
        <f>SUMIFS(Einzelbeträge!$D:$D,Einzelbeträge!$C:$C,'Ausgaben 2028'!$C278,Einzelbeträge!$E:$E,'Ausgaben 2028'!N$6)</f>
        <v>0</v>
      </c>
      <c r="O278" s="6"/>
    </row>
    <row r="279" spans="2:15" x14ac:dyDescent="0.35">
      <c r="B279" s="5"/>
      <c r="C279" s="30">
        <f t="shared" si="24"/>
        <v>47001</v>
      </c>
      <c r="D279" s="46">
        <f>SUMIFS(Einzelbeträge!$D:$D,Einzelbeträge!$C:$C,'Ausgaben 2028'!$C279)</f>
        <v>0</v>
      </c>
      <c r="E279" s="21">
        <f>SUMIFS(Einzelbeträge!$D:$D,Einzelbeträge!$C:$C,'Ausgaben 2028'!$C279,Einzelbeträge!$E:$E,'Ausgaben 2028'!E$6)</f>
        <v>0</v>
      </c>
      <c r="F279" s="21">
        <f>SUMIFS(Einzelbeträge!$D:$D,Einzelbeträge!$C:$C,'Ausgaben 2028'!$C279,Einzelbeträge!$E:$E,'Ausgaben 2028'!F$6)</f>
        <v>0</v>
      </c>
      <c r="G279" s="21">
        <f>SUMIFS(Einzelbeträge!$D:$D,Einzelbeträge!$C:$C,'Ausgaben 2028'!$C279,Einzelbeträge!$E:$E,'Ausgaben 2028'!G$6)</f>
        <v>0</v>
      </c>
      <c r="H279" s="21">
        <f>SUMIFS(Einzelbeträge!$D:$D,Einzelbeträge!$C:$C,'Ausgaben 2028'!$C279,Einzelbeträge!$E:$E,'Ausgaben 2028'!H$6)</f>
        <v>0</v>
      </c>
      <c r="I279" s="21">
        <f>SUMIFS(Einzelbeträge!$D:$D,Einzelbeträge!$C:$C,'Ausgaben 2028'!$C279,Einzelbeträge!$E:$E,'Ausgaben 2028'!I$6)</f>
        <v>0</v>
      </c>
      <c r="J279" s="21">
        <f>SUMIFS(Einzelbeträge!$D:$D,Einzelbeträge!$C:$C,'Ausgaben 2028'!$C279,Einzelbeträge!$E:$E,'Ausgaben 2028'!J$6)</f>
        <v>0</v>
      </c>
      <c r="K279" s="21">
        <f>SUMIFS(Einzelbeträge!$D:$D,Einzelbeträge!$C:$C,'Ausgaben 2028'!$C279,Einzelbeträge!$E:$E,'Ausgaben 2028'!K$6)</f>
        <v>0</v>
      </c>
      <c r="L279" s="21">
        <f>SUMIFS(Einzelbeträge!$D:$D,Einzelbeträge!$C:$C,'Ausgaben 2028'!$C279,Einzelbeträge!$E:$E,'Ausgaben 2028'!L$6)</f>
        <v>0</v>
      </c>
      <c r="M279" s="21">
        <f>SUMIFS(Einzelbeträge!$D:$D,Einzelbeträge!$C:$C,'Ausgaben 2028'!$C279,Einzelbeträge!$E:$E,'Ausgaben 2028'!M$6)</f>
        <v>0</v>
      </c>
      <c r="N279" s="35">
        <f>SUMIFS(Einzelbeträge!$D:$D,Einzelbeträge!$C:$C,'Ausgaben 2028'!$C279,Einzelbeträge!$E:$E,'Ausgaben 2028'!N$6)</f>
        <v>0</v>
      </c>
      <c r="O279" s="6"/>
    </row>
    <row r="280" spans="2:15" x14ac:dyDescent="0.35">
      <c r="B280" s="5"/>
      <c r="C280" s="30">
        <f t="shared" si="24"/>
        <v>47002</v>
      </c>
      <c r="D280" s="46">
        <f>SUMIFS(Einzelbeträge!$D:$D,Einzelbeträge!$C:$C,'Ausgaben 2028'!$C280)</f>
        <v>0</v>
      </c>
      <c r="E280" s="21">
        <f>SUMIFS(Einzelbeträge!$D:$D,Einzelbeträge!$C:$C,'Ausgaben 2028'!$C280,Einzelbeträge!$E:$E,'Ausgaben 2028'!E$6)</f>
        <v>0</v>
      </c>
      <c r="F280" s="21">
        <f>SUMIFS(Einzelbeträge!$D:$D,Einzelbeträge!$C:$C,'Ausgaben 2028'!$C280,Einzelbeträge!$E:$E,'Ausgaben 2028'!F$6)</f>
        <v>0</v>
      </c>
      <c r="G280" s="21">
        <f>SUMIFS(Einzelbeträge!$D:$D,Einzelbeträge!$C:$C,'Ausgaben 2028'!$C280,Einzelbeträge!$E:$E,'Ausgaben 2028'!G$6)</f>
        <v>0</v>
      </c>
      <c r="H280" s="21">
        <f>SUMIFS(Einzelbeträge!$D:$D,Einzelbeträge!$C:$C,'Ausgaben 2028'!$C280,Einzelbeträge!$E:$E,'Ausgaben 2028'!H$6)</f>
        <v>0</v>
      </c>
      <c r="I280" s="21">
        <f>SUMIFS(Einzelbeträge!$D:$D,Einzelbeträge!$C:$C,'Ausgaben 2028'!$C280,Einzelbeträge!$E:$E,'Ausgaben 2028'!I$6)</f>
        <v>0</v>
      </c>
      <c r="J280" s="21">
        <f>SUMIFS(Einzelbeträge!$D:$D,Einzelbeträge!$C:$C,'Ausgaben 2028'!$C280,Einzelbeträge!$E:$E,'Ausgaben 2028'!J$6)</f>
        <v>0</v>
      </c>
      <c r="K280" s="21">
        <f>SUMIFS(Einzelbeträge!$D:$D,Einzelbeträge!$C:$C,'Ausgaben 2028'!$C280,Einzelbeträge!$E:$E,'Ausgaben 2028'!K$6)</f>
        <v>0</v>
      </c>
      <c r="L280" s="21">
        <f>SUMIFS(Einzelbeträge!$D:$D,Einzelbeträge!$C:$C,'Ausgaben 2028'!$C280,Einzelbeträge!$E:$E,'Ausgaben 2028'!L$6)</f>
        <v>0</v>
      </c>
      <c r="M280" s="21">
        <f>SUMIFS(Einzelbeträge!$D:$D,Einzelbeträge!$C:$C,'Ausgaben 2028'!$C280,Einzelbeträge!$E:$E,'Ausgaben 2028'!M$6)</f>
        <v>0</v>
      </c>
      <c r="N280" s="35">
        <f>SUMIFS(Einzelbeträge!$D:$D,Einzelbeträge!$C:$C,'Ausgaben 2028'!$C280,Einzelbeträge!$E:$E,'Ausgaben 2028'!N$6)</f>
        <v>0</v>
      </c>
      <c r="O280" s="6"/>
    </row>
    <row r="281" spans="2:15" x14ac:dyDescent="0.35">
      <c r="B281" s="5"/>
      <c r="C281" s="30">
        <f t="shared" si="24"/>
        <v>47003</v>
      </c>
      <c r="D281" s="46">
        <f>SUMIFS(Einzelbeträge!$D:$D,Einzelbeträge!$C:$C,'Ausgaben 2028'!$C281)</f>
        <v>0</v>
      </c>
      <c r="E281" s="21">
        <f>SUMIFS(Einzelbeträge!$D:$D,Einzelbeträge!$C:$C,'Ausgaben 2028'!$C281,Einzelbeträge!$E:$E,'Ausgaben 2028'!E$6)</f>
        <v>0</v>
      </c>
      <c r="F281" s="21">
        <f>SUMIFS(Einzelbeträge!$D:$D,Einzelbeträge!$C:$C,'Ausgaben 2028'!$C281,Einzelbeträge!$E:$E,'Ausgaben 2028'!F$6)</f>
        <v>0</v>
      </c>
      <c r="G281" s="21">
        <f>SUMIFS(Einzelbeträge!$D:$D,Einzelbeträge!$C:$C,'Ausgaben 2028'!$C281,Einzelbeträge!$E:$E,'Ausgaben 2028'!G$6)</f>
        <v>0</v>
      </c>
      <c r="H281" s="21">
        <f>SUMIFS(Einzelbeträge!$D:$D,Einzelbeträge!$C:$C,'Ausgaben 2028'!$C281,Einzelbeträge!$E:$E,'Ausgaben 2028'!H$6)</f>
        <v>0</v>
      </c>
      <c r="I281" s="21">
        <f>SUMIFS(Einzelbeträge!$D:$D,Einzelbeträge!$C:$C,'Ausgaben 2028'!$C281,Einzelbeträge!$E:$E,'Ausgaben 2028'!I$6)</f>
        <v>0</v>
      </c>
      <c r="J281" s="21">
        <f>SUMIFS(Einzelbeträge!$D:$D,Einzelbeträge!$C:$C,'Ausgaben 2028'!$C281,Einzelbeträge!$E:$E,'Ausgaben 2028'!J$6)</f>
        <v>0</v>
      </c>
      <c r="K281" s="21">
        <f>SUMIFS(Einzelbeträge!$D:$D,Einzelbeträge!$C:$C,'Ausgaben 2028'!$C281,Einzelbeträge!$E:$E,'Ausgaben 2028'!K$6)</f>
        <v>0</v>
      </c>
      <c r="L281" s="21">
        <f>SUMIFS(Einzelbeträge!$D:$D,Einzelbeträge!$C:$C,'Ausgaben 2028'!$C281,Einzelbeträge!$E:$E,'Ausgaben 2028'!L$6)</f>
        <v>0</v>
      </c>
      <c r="M281" s="21">
        <f>SUMIFS(Einzelbeträge!$D:$D,Einzelbeträge!$C:$C,'Ausgaben 2028'!$C281,Einzelbeträge!$E:$E,'Ausgaben 2028'!M$6)</f>
        <v>0</v>
      </c>
      <c r="N281" s="35">
        <f>SUMIFS(Einzelbeträge!$D:$D,Einzelbeträge!$C:$C,'Ausgaben 2028'!$C281,Einzelbeträge!$E:$E,'Ausgaben 2028'!N$6)</f>
        <v>0</v>
      </c>
      <c r="O281" s="6"/>
    </row>
    <row r="282" spans="2:15" x14ac:dyDescent="0.35">
      <c r="B282" s="5"/>
      <c r="C282" s="30">
        <f t="shared" si="24"/>
        <v>47004</v>
      </c>
      <c r="D282" s="46">
        <f>SUMIFS(Einzelbeträge!$D:$D,Einzelbeträge!$C:$C,'Ausgaben 2028'!$C282)</f>
        <v>0</v>
      </c>
      <c r="E282" s="21">
        <f>SUMIFS(Einzelbeträge!$D:$D,Einzelbeträge!$C:$C,'Ausgaben 2028'!$C282,Einzelbeträge!$E:$E,'Ausgaben 2028'!E$6)</f>
        <v>0</v>
      </c>
      <c r="F282" s="21">
        <f>SUMIFS(Einzelbeträge!$D:$D,Einzelbeträge!$C:$C,'Ausgaben 2028'!$C282,Einzelbeträge!$E:$E,'Ausgaben 2028'!F$6)</f>
        <v>0</v>
      </c>
      <c r="G282" s="21">
        <f>SUMIFS(Einzelbeträge!$D:$D,Einzelbeträge!$C:$C,'Ausgaben 2028'!$C282,Einzelbeträge!$E:$E,'Ausgaben 2028'!G$6)</f>
        <v>0</v>
      </c>
      <c r="H282" s="21">
        <f>SUMIFS(Einzelbeträge!$D:$D,Einzelbeträge!$C:$C,'Ausgaben 2028'!$C282,Einzelbeträge!$E:$E,'Ausgaben 2028'!H$6)</f>
        <v>0</v>
      </c>
      <c r="I282" s="21">
        <f>SUMIFS(Einzelbeträge!$D:$D,Einzelbeträge!$C:$C,'Ausgaben 2028'!$C282,Einzelbeträge!$E:$E,'Ausgaben 2028'!I$6)</f>
        <v>0</v>
      </c>
      <c r="J282" s="21">
        <f>SUMIFS(Einzelbeträge!$D:$D,Einzelbeträge!$C:$C,'Ausgaben 2028'!$C282,Einzelbeträge!$E:$E,'Ausgaben 2028'!J$6)</f>
        <v>0</v>
      </c>
      <c r="K282" s="21">
        <f>SUMIFS(Einzelbeträge!$D:$D,Einzelbeträge!$C:$C,'Ausgaben 2028'!$C282,Einzelbeträge!$E:$E,'Ausgaben 2028'!K$6)</f>
        <v>0</v>
      </c>
      <c r="L282" s="21">
        <f>SUMIFS(Einzelbeträge!$D:$D,Einzelbeträge!$C:$C,'Ausgaben 2028'!$C282,Einzelbeträge!$E:$E,'Ausgaben 2028'!L$6)</f>
        <v>0</v>
      </c>
      <c r="M282" s="21">
        <f>SUMIFS(Einzelbeträge!$D:$D,Einzelbeträge!$C:$C,'Ausgaben 2028'!$C282,Einzelbeträge!$E:$E,'Ausgaben 2028'!M$6)</f>
        <v>0</v>
      </c>
      <c r="N282" s="35">
        <f>SUMIFS(Einzelbeträge!$D:$D,Einzelbeträge!$C:$C,'Ausgaben 2028'!$C282,Einzelbeträge!$E:$E,'Ausgaben 2028'!N$6)</f>
        <v>0</v>
      </c>
      <c r="O282" s="6"/>
    </row>
    <row r="283" spans="2:15" x14ac:dyDescent="0.35">
      <c r="B283" s="5"/>
      <c r="C283" s="30">
        <f t="shared" si="24"/>
        <v>47005</v>
      </c>
      <c r="D283" s="46">
        <f>SUMIFS(Einzelbeträge!$D:$D,Einzelbeträge!$C:$C,'Ausgaben 2028'!$C283)</f>
        <v>0</v>
      </c>
      <c r="E283" s="21">
        <f>SUMIFS(Einzelbeträge!$D:$D,Einzelbeträge!$C:$C,'Ausgaben 2028'!$C283,Einzelbeträge!$E:$E,'Ausgaben 2028'!E$6)</f>
        <v>0</v>
      </c>
      <c r="F283" s="21">
        <f>SUMIFS(Einzelbeträge!$D:$D,Einzelbeträge!$C:$C,'Ausgaben 2028'!$C283,Einzelbeträge!$E:$E,'Ausgaben 2028'!F$6)</f>
        <v>0</v>
      </c>
      <c r="G283" s="21">
        <f>SUMIFS(Einzelbeträge!$D:$D,Einzelbeträge!$C:$C,'Ausgaben 2028'!$C283,Einzelbeträge!$E:$E,'Ausgaben 2028'!G$6)</f>
        <v>0</v>
      </c>
      <c r="H283" s="21">
        <f>SUMIFS(Einzelbeträge!$D:$D,Einzelbeträge!$C:$C,'Ausgaben 2028'!$C283,Einzelbeträge!$E:$E,'Ausgaben 2028'!H$6)</f>
        <v>0</v>
      </c>
      <c r="I283" s="21">
        <f>SUMIFS(Einzelbeträge!$D:$D,Einzelbeträge!$C:$C,'Ausgaben 2028'!$C283,Einzelbeträge!$E:$E,'Ausgaben 2028'!I$6)</f>
        <v>0</v>
      </c>
      <c r="J283" s="21">
        <f>SUMIFS(Einzelbeträge!$D:$D,Einzelbeträge!$C:$C,'Ausgaben 2028'!$C283,Einzelbeträge!$E:$E,'Ausgaben 2028'!J$6)</f>
        <v>0</v>
      </c>
      <c r="K283" s="21">
        <f>SUMIFS(Einzelbeträge!$D:$D,Einzelbeträge!$C:$C,'Ausgaben 2028'!$C283,Einzelbeträge!$E:$E,'Ausgaben 2028'!K$6)</f>
        <v>0</v>
      </c>
      <c r="L283" s="21">
        <f>SUMIFS(Einzelbeträge!$D:$D,Einzelbeträge!$C:$C,'Ausgaben 2028'!$C283,Einzelbeträge!$E:$E,'Ausgaben 2028'!L$6)</f>
        <v>0</v>
      </c>
      <c r="M283" s="21">
        <f>SUMIFS(Einzelbeträge!$D:$D,Einzelbeträge!$C:$C,'Ausgaben 2028'!$C283,Einzelbeträge!$E:$E,'Ausgaben 2028'!M$6)</f>
        <v>0</v>
      </c>
      <c r="N283" s="35">
        <f>SUMIFS(Einzelbeträge!$D:$D,Einzelbeträge!$C:$C,'Ausgaben 2028'!$C283,Einzelbeträge!$E:$E,'Ausgaben 2028'!N$6)</f>
        <v>0</v>
      </c>
      <c r="O283" s="6"/>
    </row>
    <row r="284" spans="2:15" x14ac:dyDescent="0.35">
      <c r="B284" s="5"/>
      <c r="C284" s="30">
        <f t="shared" si="24"/>
        <v>47006</v>
      </c>
      <c r="D284" s="46">
        <f>SUMIFS(Einzelbeträge!$D:$D,Einzelbeträge!$C:$C,'Ausgaben 2028'!$C284)</f>
        <v>0</v>
      </c>
      <c r="E284" s="21">
        <f>SUMIFS(Einzelbeträge!$D:$D,Einzelbeträge!$C:$C,'Ausgaben 2028'!$C284,Einzelbeträge!$E:$E,'Ausgaben 2028'!E$6)</f>
        <v>0</v>
      </c>
      <c r="F284" s="21">
        <f>SUMIFS(Einzelbeträge!$D:$D,Einzelbeträge!$C:$C,'Ausgaben 2028'!$C284,Einzelbeträge!$E:$E,'Ausgaben 2028'!F$6)</f>
        <v>0</v>
      </c>
      <c r="G284" s="21">
        <f>SUMIFS(Einzelbeträge!$D:$D,Einzelbeträge!$C:$C,'Ausgaben 2028'!$C284,Einzelbeträge!$E:$E,'Ausgaben 2028'!G$6)</f>
        <v>0</v>
      </c>
      <c r="H284" s="21">
        <f>SUMIFS(Einzelbeträge!$D:$D,Einzelbeträge!$C:$C,'Ausgaben 2028'!$C284,Einzelbeträge!$E:$E,'Ausgaben 2028'!H$6)</f>
        <v>0</v>
      </c>
      <c r="I284" s="21">
        <f>SUMIFS(Einzelbeträge!$D:$D,Einzelbeträge!$C:$C,'Ausgaben 2028'!$C284,Einzelbeträge!$E:$E,'Ausgaben 2028'!I$6)</f>
        <v>0</v>
      </c>
      <c r="J284" s="21">
        <f>SUMIFS(Einzelbeträge!$D:$D,Einzelbeträge!$C:$C,'Ausgaben 2028'!$C284,Einzelbeträge!$E:$E,'Ausgaben 2028'!J$6)</f>
        <v>0</v>
      </c>
      <c r="K284" s="21">
        <f>SUMIFS(Einzelbeträge!$D:$D,Einzelbeträge!$C:$C,'Ausgaben 2028'!$C284,Einzelbeträge!$E:$E,'Ausgaben 2028'!K$6)</f>
        <v>0</v>
      </c>
      <c r="L284" s="21">
        <f>SUMIFS(Einzelbeträge!$D:$D,Einzelbeträge!$C:$C,'Ausgaben 2028'!$C284,Einzelbeträge!$E:$E,'Ausgaben 2028'!L$6)</f>
        <v>0</v>
      </c>
      <c r="M284" s="21">
        <f>SUMIFS(Einzelbeträge!$D:$D,Einzelbeträge!$C:$C,'Ausgaben 2028'!$C284,Einzelbeträge!$E:$E,'Ausgaben 2028'!M$6)</f>
        <v>0</v>
      </c>
      <c r="N284" s="35">
        <f>SUMIFS(Einzelbeträge!$D:$D,Einzelbeträge!$C:$C,'Ausgaben 2028'!$C284,Einzelbeträge!$E:$E,'Ausgaben 2028'!N$6)</f>
        <v>0</v>
      </c>
      <c r="O284" s="6"/>
    </row>
    <row r="285" spans="2:15" x14ac:dyDescent="0.35">
      <c r="B285" s="5"/>
      <c r="C285" s="30">
        <f t="shared" si="24"/>
        <v>47007</v>
      </c>
      <c r="D285" s="46">
        <f>SUMIFS(Einzelbeträge!$D:$D,Einzelbeträge!$C:$C,'Ausgaben 2028'!$C285)</f>
        <v>0</v>
      </c>
      <c r="E285" s="21">
        <f>SUMIFS(Einzelbeträge!$D:$D,Einzelbeträge!$C:$C,'Ausgaben 2028'!$C285,Einzelbeträge!$E:$E,'Ausgaben 2028'!E$6)</f>
        <v>0</v>
      </c>
      <c r="F285" s="21">
        <f>SUMIFS(Einzelbeträge!$D:$D,Einzelbeträge!$C:$C,'Ausgaben 2028'!$C285,Einzelbeträge!$E:$E,'Ausgaben 2028'!F$6)</f>
        <v>0</v>
      </c>
      <c r="G285" s="21">
        <f>SUMIFS(Einzelbeträge!$D:$D,Einzelbeträge!$C:$C,'Ausgaben 2028'!$C285,Einzelbeträge!$E:$E,'Ausgaben 2028'!G$6)</f>
        <v>0</v>
      </c>
      <c r="H285" s="21">
        <f>SUMIFS(Einzelbeträge!$D:$D,Einzelbeträge!$C:$C,'Ausgaben 2028'!$C285,Einzelbeträge!$E:$E,'Ausgaben 2028'!H$6)</f>
        <v>0</v>
      </c>
      <c r="I285" s="21">
        <f>SUMIFS(Einzelbeträge!$D:$D,Einzelbeträge!$C:$C,'Ausgaben 2028'!$C285,Einzelbeträge!$E:$E,'Ausgaben 2028'!I$6)</f>
        <v>0</v>
      </c>
      <c r="J285" s="21">
        <f>SUMIFS(Einzelbeträge!$D:$D,Einzelbeträge!$C:$C,'Ausgaben 2028'!$C285,Einzelbeträge!$E:$E,'Ausgaben 2028'!J$6)</f>
        <v>0</v>
      </c>
      <c r="K285" s="21">
        <f>SUMIFS(Einzelbeträge!$D:$D,Einzelbeträge!$C:$C,'Ausgaben 2028'!$C285,Einzelbeträge!$E:$E,'Ausgaben 2028'!K$6)</f>
        <v>0</v>
      </c>
      <c r="L285" s="21">
        <f>SUMIFS(Einzelbeträge!$D:$D,Einzelbeträge!$C:$C,'Ausgaben 2028'!$C285,Einzelbeträge!$E:$E,'Ausgaben 2028'!L$6)</f>
        <v>0</v>
      </c>
      <c r="M285" s="21">
        <f>SUMIFS(Einzelbeträge!$D:$D,Einzelbeträge!$C:$C,'Ausgaben 2028'!$C285,Einzelbeträge!$E:$E,'Ausgaben 2028'!M$6)</f>
        <v>0</v>
      </c>
      <c r="N285" s="35">
        <f>SUMIFS(Einzelbeträge!$D:$D,Einzelbeträge!$C:$C,'Ausgaben 2028'!$C285,Einzelbeträge!$E:$E,'Ausgaben 2028'!N$6)</f>
        <v>0</v>
      </c>
      <c r="O285" s="6"/>
    </row>
    <row r="286" spans="2:15" x14ac:dyDescent="0.35">
      <c r="B286" s="5"/>
      <c r="C286" s="30">
        <f t="shared" si="24"/>
        <v>47008</v>
      </c>
      <c r="D286" s="46">
        <f>SUMIFS(Einzelbeträge!$D:$D,Einzelbeträge!$C:$C,'Ausgaben 2028'!$C286)</f>
        <v>0</v>
      </c>
      <c r="E286" s="21">
        <f>SUMIFS(Einzelbeträge!$D:$D,Einzelbeträge!$C:$C,'Ausgaben 2028'!$C286,Einzelbeträge!$E:$E,'Ausgaben 2028'!E$6)</f>
        <v>0</v>
      </c>
      <c r="F286" s="21">
        <f>SUMIFS(Einzelbeträge!$D:$D,Einzelbeträge!$C:$C,'Ausgaben 2028'!$C286,Einzelbeträge!$E:$E,'Ausgaben 2028'!F$6)</f>
        <v>0</v>
      </c>
      <c r="G286" s="21">
        <f>SUMIFS(Einzelbeträge!$D:$D,Einzelbeträge!$C:$C,'Ausgaben 2028'!$C286,Einzelbeträge!$E:$E,'Ausgaben 2028'!G$6)</f>
        <v>0</v>
      </c>
      <c r="H286" s="21">
        <f>SUMIFS(Einzelbeträge!$D:$D,Einzelbeträge!$C:$C,'Ausgaben 2028'!$C286,Einzelbeträge!$E:$E,'Ausgaben 2028'!H$6)</f>
        <v>0</v>
      </c>
      <c r="I286" s="21">
        <f>SUMIFS(Einzelbeträge!$D:$D,Einzelbeträge!$C:$C,'Ausgaben 2028'!$C286,Einzelbeträge!$E:$E,'Ausgaben 2028'!I$6)</f>
        <v>0</v>
      </c>
      <c r="J286" s="21">
        <f>SUMIFS(Einzelbeträge!$D:$D,Einzelbeträge!$C:$C,'Ausgaben 2028'!$C286,Einzelbeträge!$E:$E,'Ausgaben 2028'!J$6)</f>
        <v>0</v>
      </c>
      <c r="K286" s="21">
        <f>SUMIFS(Einzelbeträge!$D:$D,Einzelbeträge!$C:$C,'Ausgaben 2028'!$C286,Einzelbeträge!$E:$E,'Ausgaben 2028'!K$6)</f>
        <v>0</v>
      </c>
      <c r="L286" s="21">
        <f>SUMIFS(Einzelbeträge!$D:$D,Einzelbeträge!$C:$C,'Ausgaben 2028'!$C286,Einzelbeträge!$E:$E,'Ausgaben 2028'!L$6)</f>
        <v>0</v>
      </c>
      <c r="M286" s="21">
        <f>SUMIFS(Einzelbeträge!$D:$D,Einzelbeträge!$C:$C,'Ausgaben 2028'!$C286,Einzelbeträge!$E:$E,'Ausgaben 2028'!M$6)</f>
        <v>0</v>
      </c>
      <c r="N286" s="35">
        <f>SUMIFS(Einzelbeträge!$D:$D,Einzelbeträge!$C:$C,'Ausgaben 2028'!$C286,Einzelbeträge!$E:$E,'Ausgaben 2028'!N$6)</f>
        <v>0</v>
      </c>
      <c r="O286" s="6"/>
    </row>
    <row r="287" spans="2:15" x14ac:dyDescent="0.35">
      <c r="B287" s="5"/>
      <c r="C287" s="30">
        <f t="shared" si="24"/>
        <v>47009</v>
      </c>
      <c r="D287" s="46">
        <f>SUMIFS(Einzelbeträge!$D:$D,Einzelbeträge!$C:$C,'Ausgaben 2028'!$C287)</f>
        <v>0</v>
      </c>
      <c r="E287" s="21">
        <f>SUMIFS(Einzelbeträge!$D:$D,Einzelbeträge!$C:$C,'Ausgaben 2028'!$C287,Einzelbeträge!$E:$E,'Ausgaben 2028'!E$6)</f>
        <v>0</v>
      </c>
      <c r="F287" s="21">
        <f>SUMIFS(Einzelbeträge!$D:$D,Einzelbeträge!$C:$C,'Ausgaben 2028'!$C287,Einzelbeträge!$E:$E,'Ausgaben 2028'!F$6)</f>
        <v>0</v>
      </c>
      <c r="G287" s="21">
        <f>SUMIFS(Einzelbeträge!$D:$D,Einzelbeträge!$C:$C,'Ausgaben 2028'!$C287,Einzelbeträge!$E:$E,'Ausgaben 2028'!G$6)</f>
        <v>0</v>
      </c>
      <c r="H287" s="21">
        <f>SUMIFS(Einzelbeträge!$D:$D,Einzelbeträge!$C:$C,'Ausgaben 2028'!$C287,Einzelbeträge!$E:$E,'Ausgaben 2028'!H$6)</f>
        <v>0</v>
      </c>
      <c r="I287" s="21">
        <f>SUMIFS(Einzelbeträge!$D:$D,Einzelbeträge!$C:$C,'Ausgaben 2028'!$C287,Einzelbeträge!$E:$E,'Ausgaben 2028'!I$6)</f>
        <v>0</v>
      </c>
      <c r="J287" s="21">
        <f>SUMIFS(Einzelbeträge!$D:$D,Einzelbeträge!$C:$C,'Ausgaben 2028'!$C287,Einzelbeträge!$E:$E,'Ausgaben 2028'!J$6)</f>
        <v>0</v>
      </c>
      <c r="K287" s="21">
        <f>SUMIFS(Einzelbeträge!$D:$D,Einzelbeträge!$C:$C,'Ausgaben 2028'!$C287,Einzelbeträge!$E:$E,'Ausgaben 2028'!K$6)</f>
        <v>0</v>
      </c>
      <c r="L287" s="21">
        <f>SUMIFS(Einzelbeträge!$D:$D,Einzelbeträge!$C:$C,'Ausgaben 2028'!$C287,Einzelbeträge!$E:$E,'Ausgaben 2028'!L$6)</f>
        <v>0</v>
      </c>
      <c r="M287" s="21">
        <f>SUMIFS(Einzelbeträge!$D:$D,Einzelbeträge!$C:$C,'Ausgaben 2028'!$C287,Einzelbeträge!$E:$E,'Ausgaben 2028'!M$6)</f>
        <v>0</v>
      </c>
      <c r="N287" s="35">
        <f>SUMIFS(Einzelbeträge!$D:$D,Einzelbeträge!$C:$C,'Ausgaben 2028'!$C287,Einzelbeträge!$E:$E,'Ausgaben 2028'!N$6)</f>
        <v>0</v>
      </c>
      <c r="O287" s="6"/>
    </row>
    <row r="288" spans="2:15" x14ac:dyDescent="0.35">
      <c r="B288" s="5"/>
      <c r="C288" s="30">
        <f t="shared" si="24"/>
        <v>47010</v>
      </c>
      <c r="D288" s="46">
        <f>SUMIFS(Einzelbeträge!$D:$D,Einzelbeträge!$C:$C,'Ausgaben 2028'!$C288)</f>
        <v>0</v>
      </c>
      <c r="E288" s="21">
        <f>SUMIFS(Einzelbeträge!$D:$D,Einzelbeträge!$C:$C,'Ausgaben 2028'!$C288,Einzelbeträge!$E:$E,'Ausgaben 2028'!E$6)</f>
        <v>0</v>
      </c>
      <c r="F288" s="21">
        <f>SUMIFS(Einzelbeträge!$D:$D,Einzelbeträge!$C:$C,'Ausgaben 2028'!$C288,Einzelbeträge!$E:$E,'Ausgaben 2028'!F$6)</f>
        <v>0</v>
      </c>
      <c r="G288" s="21">
        <f>SUMIFS(Einzelbeträge!$D:$D,Einzelbeträge!$C:$C,'Ausgaben 2028'!$C288,Einzelbeträge!$E:$E,'Ausgaben 2028'!G$6)</f>
        <v>0</v>
      </c>
      <c r="H288" s="21">
        <f>SUMIFS(Einzelbeträge!$D:$D,Einzelbeträge!$C:$C,'Ausgaben 2028'!$C288,Einzelbeträge!$E:$E,'Ausgaben 2028'!H$6)</f>
        <v>0</v>
      </c>
      <c r="I288" s="21">
        <f>SUMIFS(Einzelbeträge!$D:$D,Einzelbeträge!$C:$C,'Ausgaben 2028'!$C288,Einzelbeträge!$E:$E,'Ausgaben 2028'!I$6)</f>
        <v>0</v>
      </c>
      <c r="J288" s="21">
        <f>SUMIFS(Einzelbeträge!$D:$D,Einzelbeträge!$C:$C,'Ausgaben 2028'!$C288,Einzelbeträge!$E:$E,'Ausgaben 2028'!J$6)</f>
        <v>0</v>
      </c>
      <c r="K288" s="21">
        <f>SUMIFS(Einzelbeträge!$D:$D,Einzelbeträge!$C:$C,'Ausgaben 2028'!$C288,Einzelbeträge!$E:$E,'Ausgaben 2028'!K$6)</f>
        <v>0</v>
      </c>
      <c r="L288" s="21">
        <f>SUMIFS(Einzelbeträge!$D:$D,Einzelbeträge!$C:$C,'Ausgaben 2028'!$C288,Einzelbeträge!$E:$E,'Ausgaben 2028'!L$6)</f>
        <v>0</v>
      </c>
      <c r="M288" s="21">
        <f>SUMIFS(Einzelbeträge!$D:$D,Einzelbeträge!$C:$C,'Ausgaben 2028'!$C288,Einzelbeträge!$E:$E,'Ausgaben 2028'!M$6)</f>
        <v>0</v>
      </c>
      <c r="N288" s="35">
        <f>SUMIFS(Einzelbeträge!$D:$D,Einzelbeträge!$C:$C,'Ausgaben 2028'!$C288,Einzelbeträge!$E:$E,'Ausgaben 2028'!N$6)</f>
        <v>0</v>
      </c>
      <c r="O288" s="6"/>
    </row>
    <row r="289" spans="2:15" x14ac:dyDescent="0.35">
      <c r="B289" s="5"/>
      <c r="C289" s="30">
        <f t="shared" si="24"/>
        <v>47011</v>
      </c>
      <c r="D289" s="46">
        <f>SUMIFS(Einzelbeträge!$D:$D,Einzelbeträge!$C:$C,'Ausgaben 2028'!$C289)</f>
        <v>0</v>
      </c>
      <c r="E289" s="21">
        <f>SUMIFS(Einzelbeträge!$D:$D,Einzelbeträge!$C:$C,'Ausgaben 2028'!$C289,Einzelbeträge!$E:$E,'Ausgaben 2028'!E$6)</f>
        <v>0</v>
      </c>
      <c r="F289" s="21">
        <f>SUMIFS(Einzelbeträge!$D:$D,Einzelbeträge!$C:$C,'Ausgaben 2028'!$C289,Einzelbeträge!$E:$E,'Ausgaben 2028'!F$6)</f>
        <v>0</v>
      </c>
      <c r="G289" s="21">
        <f>SUMIFS(Einzelbeträge!$D:$D,Einzelbeträge!$C:$C,'Ausgaben 2028'!$C289,Einzelbeträge!$E:$E,'Ausgaben 2028'!G$6)</f>
        <v>0</v>
      </c>
      <c r="H289" s="21">
        <f>SUMIFS(Einzelbeträge!$D:$D,Einzelbeträge!$C:$C,'Ausgaben 2028'!$C289,Einzelbeträge!$E:$E,'Ausgaben 2028'!H$6)</f>
        <v>0</v>
      </c>
      <c r="I289" s="21">
        <f>SUMIFS(Einzelbeträge!$D:$D,Einzelbeträge!$C:$C,'Ausgaben 2028'!$C289,Einzelbeträge!$E:$E,'Ausgaben 2028'!I$6)</f>
        <v>0</v>
      </c>
      <c r="J289" s="21">
        <f>SUMIFS(Einzelbeträge!$D:$D,Einzelbeträge!$C:$C,'Ausgaben 2028'!$C289,Einzelbeträge!$E:$E,'Ausgaben 2028'!J$6)</f>
        <v>0</v>
      </c>
      <c r="K289" s="21">
        <f>SUMIFS(Einzelbeträge!$D:$D,Einzelbeträge!$C:$C,'Ausgaben 2028'!$C289,Einzelbeträge!$E:$E,'Ausgaben 2028'!K$6)</f>
        <v>0</v>
      </c>
      <c r="L289" s="21">
        <f>SUMIFS(Einzelbeträge!$D:$D,Einzelbeträge!$C:$C,'Ausgaben 2028'!$C289,Einzelbeträge!$E:$E,'Ausgaben 2028'!L$6)</f>
        <v>0</v>
      </c>
      <c r="M289" s="21">
        <f>SUMIFS(Einzelbeträge!$D:$D,Einzelbeträge!$C:$C,'Ausgaben 2028'!$C289,Einzelbeträge!$E:$E,'Ausgaben 2028'!M$6)</f>
        <v>0</v>
      </c>
      <c r="N289" s="35">
        <f>SUMIFS(Einzelbeträge!$D:$D,Einzelbeträge!$C:$C,'Ausgaben 2028'!$C289,Einzelbeträge!$E:$E,'Ausgaben 2028'!N$6)</f>
        <v>0</v>
      </c>
      <c r="O289" s="6"/>
    </row>
    <row r="290" spans="2:15" x14ac:dyDescent="0.35">
      <c r="B290" s="5"/>
      <c r="C290" s="30">
        <f t="shared" si="24"/>
        <v>47012</v>
      </c>
      <c r="D290" s="46">
        <f>SUMIFS(Einzelbeträge!$D:$D,Einzelbeträge!$C:$C,'Ausgaben 2028'!$C290)</f>
        <v>0</v>
      </c>
      <c r="E290" s="21">
        <f>SUMIFS(Einzelbeträge!$D:$D,Einzelbeträge!$C:$C,'Ausgaben 2028'!$C290,Einzelbeträge!$E:$E,'Ausgaben 2028'!E$6)</f>
        <v>0</v>
      </c>
      <c r="F290" s="21">
        <f>SUMIFS(Einzelbeträge!$D:$D,Einzelbeträge!$C:$C,'Ausgaben 2028'!$C290,Einzelbeträge!$E:$E,'Ausgaben 2028'!F$6)</f>
        <v>0</v>
      </c>
      <c r="G290" s="21">
        <f>SUMIFS(Einzelbeträge!$D:$D,Einzelbeträge!$C:$C,'Ausgaben 2028'!$C290,Einzelbeträge!$E:$E,'Ausgaben 2028'!G$6)</f>
        <v>0</v>
      </c>
      <c r="H290" s="21">
        <f>SUMIFS(Einzelbeträge!$D:$D,Einzelbeträge!$C:$C,'Ausgaben 2028'!$C290,Einzelbeträge!$E:$E,'Ausgaben 2028'!H$6)</f>
        <v>0</v>
      </c>
      <c r="I290" s="21">
        <f>SUMIFS(Einzelbeträge!$D:$D,Einzelbeträge!$C:$C,'Ausgaben 2028'!$C290,Einzelbeträge!$E:$E,'Ausgaben 2028'!I$6)</f>
        <v>0</v>
      </c>
      <c r="J290" s="21">
        <f>SUMIFS(Einzelbeträge!$D:$D,Einzelbeträge!$C:$C,'Ausgaben 2028'!$C290,Einzelbeträge!$E:$E,'Ausgaben 2028'!J$6)</f>
        <v>0</v>
      </c>
      <c r="K290" s="21">
        <f>SUMIFS(Einzelbeträge!$D:$D,Einzelbeträge!$C:$C,'Ausgaben 2028'!$C290,Einzelbeträge!$E:$E,'Ausgaben 2028'!K$6)</f>
        <v>0</v>
      </c>
      <c r="L290" s="21">
        <f>SUMIFS(Einzelbeträge!$D:$D,Einzelbeträge!$C:$C,'Ausgaben 2028'!$C290,Einzelbeträge!$E:$E,'Ausgaben 2028'!L$6)</f>
        <v>0</v>
      </c>
      <c r="M290" s="21">
        <f>SUMIFS(Einzelbeträge!$D:$D,Einzelbeträge!$C:$C,'Ausgaben 2028'!$C290,Einzelbeträge!$E:$E,'Ausgaben 2028'!M$6)</f>
        <v>0</v>
      </c>
      <c r="N290" s="35">
        <f>SUMIFS(Einzelbeträge!$D:$D,Einzelbeträge!$C:$C,'Ausgaben 2028'!$C290,Einzelbeträge!$E:$E,'Ausgaben 2028'!N$6)</f>
        <v>0</v>
      </c>
      <c r="O290" s="6"/>
    </row>
    <row r="291" spans="2:15" x14ac:dyDescent="0.35">
      <c r="B291" s="5"/>
      <c r="C291" s="30">
        <f t="shared" si="24"/>
        <v>47013</v>
      </c>
      <c r="D291" s="46">
        <f>SUMIFS(Einzelbeträge!$D:$D,Einzelbeträge!$C:$C,'Ausgaben 2028'!$C291)</f>
        <v>0</v>
      </c>
      <c r="E291" s="21">
        <f>SUMIFS(Einzelbeträge!$D:$D,Einzelbeträge!$C:$C,'Ausgaben 2028'!$C291,Einzelbeträge!$E:$E,'Ausgaben 2028'!E$6)</f>
        <v>0</v>
      </c>
      <c r="F291" s="21">
        <f>SUMIFS(Einzelbeträge!$D:$D,Einzelbeträge!$C:$C,'Ausgaben 2028'!$C291,Einzelbeträge!$E:$E,'Ausgaben 2028'!F$6)</f>
        <v>0</v>
      </c>
      <c r="G291" s="21">
        <f>SUMIFS(Einzelbeträge!$D:$D,Einzelbeträge!$C:$C,'Ausgaben 2028'!$C291,Einzelbeträge!$E:$E,'Ausgaben 2028'!G$6)</f>
        <v>0</v>
      </c>
      <c r="H291" s="21">
        <f>SUMIFS(Einzelbeträge!$D:$D,Einzelbeträge!$C:$C,'Ausgaben 2028'!$C291,Einzelbeträge!$E:$E,'Ausgaben 2028'!H$6)</f>
        <v>0</v>
      </c>
      <c r="I291" s="21">
        <f>SUMIFS(Einzelbeträge!$D:$D,Einzelbeträge!$C:$C,'Ausgaben 2028'!$C291,Einzelbeträge!$E:$E,'Ausgaben 2028'!I$6)</f>
        <v>0</v>
      </c>
      <c r="J291" s="21">
        <f>SUMIFS(Einzelbeträge!$D:$D,Einzelbeträge!$C:$C,'Ausgaben 2028'!$C291,Einzelbeträge!$E:$E,'Ausgaben 2028'!J$6)</f>
        <v>0</v>
      </c>
      <c r="K291" s="21">
        <f>SUMIFS(Einzelbeträge!$D:$D,Einzelbeträge!$C:$C,'Ausgaben 2028'!$C291,Einzelbeträge!$E:$E,'Ausgaben 2028'!K$6)</f>
        <v>0</v>
      </c>
      <c r="L291" s="21">
        <f>SUMIFS(Einzelbeträge!$D:$D,Einzelbeträge!$C:$C,'Ausgaben 2028'!$C291,Einzelbeträge!$E:$E,'Ausgaben 2028'!L$6)</f>
        <v>0</v>
      </c>
      <c r="M291" s="21">
        <f>SUMIFS(Einzelbeträge!$D:$D,Einzelbeträge!$C:$C,'Ausgaben 2028'!$C291,Einzelbeträge!$E:$E,'Ausgaben 2028'!M$6)</f>
        <v>0</v>
      </c>
      <c r="N291" s="35">
        <f>SUMIFS(Einzelbeträge!$D:$D,Einzelbeträge!$C:$C,'Ausgaben 2028'!$C291,Einzelbeträge!$E:$E,'Ausgaben 2028'!N$6)</f>
        <v>0</v>
      </c>
      <c r="O291" s="6"/>
    </row>
    <row r="292" spans="2:15" x14ac:dyDescent="0.35">
      <c r="B292" s="5"/>
      <c r="C292" s="30">
        <f t="shared" si="24"/>
        <v>47014</v>
      </c>
      <c r="D292" s="46">
        <f>SUMIFS(Einzelbeträge!$D:$D,Einzelbeträge!$C:$C,'Ausgaben 2028'!$C292)</f>
        <v>0</v>
      </c>
      <c r="E292" s="21">
        <f>SUMIFS(Einzelbeträge!$D:$D,Einzelbeträge!$C:$C,'Ausgaben 2028'!$C292,Einzelbeträge!$E:$E,'Ausgaben 2028'!E$6)</f>
        <v>0</v>
      </c>
      <c r="F292" s="21">
        <f>SUMIFS(Einzelbeträge!$D:$D,Einzelbeträge!$C:$C,'Ausgaben 2028'!$C292,Einzelbeträge!$E:$E,'Ausgaben 2028'!F$6)</f>
        <v>0</v>
      </c>
      <c r="G292" s="21">
        <f>SUMIFS(Einzelbeträge!$D:$D,Einzelbeträge!$C:$C,'Ausgaben 2028'!$C292,Einzelbeträge!$E:$E,'Ausgaben 2028'!G$6)</f>
        <v>0</v>
      </c>
      <c r="H292" s="21">
        <f>SUMIFS(Einzelbeträge!$D:$D,Einzelbeträge!$C:$C,'Ausgaben 2028'!$C292,Einzelbeträge!$E:$E,'Ausgaben 2028'!H$6)</f>
        <v>0</v>
      </c>
      <c r="I292" s="21">
        <f>SUMIFS(Einzelbeträge!$D:$D,Einzelbeträge!$C:$C,'Ausgaben 2028'!$C292,Einzelbeträge!$E:$E,'Ausgaben 2028'!I$6)</f>
        <v>0</v>
      </c>
      <c r="J292" s="21">
        <f>SUMIFS(Einzelbeträge!$D:$D,Einzelbeträge!$C:$C,'Ausgaben 2028'!$C292,Einzelbeträge!$E:$E,'Ausgaben 2028'!J$6)</f>
        <v>0</v>
      </c>
      <c r="K292" s="21">
        <f>SUMIFS(Einzelbeträge!$D:$D,Einzelbeträge!$C:$C,'Ausgaben 2028'!$C292,Einzelbeträge!$E:$E,'Ausgaben 2028'!K$6)</f>
        <v>0</v>
      </c>
      <c r="L292" s="21">
        <f>SUMIFS(Einzelbeträge!$D:$D,Einzelbeträge!$C:$C,'Ausgaben 2028'!$C292,Einzelbeträge!$E:$E,'Ausgaben 2028'!L$6)</f>
        <v>0</v>
      </c>
      <c r="M292" s="21">
        <f>SUMIFS(Einzelbeträge!$D:$D,Einzelbeträge!$C:$C,'Ausgaben 2028'!$C292,Einzelbeträge!$E:$E,'Ausgaben 2028'!M$6)</f>
        <v>0</v>
      </c>
      <c r="N292" s="35">
        <f>SUMIFS(Einzelbeträge!$D:$D,Einzelbeträge!$C:$C,'Ausgaben 2028'!$C292,Einzelbeträge!$E:$E,'Ausgaben 2028'!N$6)</f>
        <v>0</v>
      </c>
      <c r="O292" s="6"/>
    </row>
    <row r="293" spans="2:15" x14ac:dyDescent="0.35">
      <c r="B293" s="5"/>
      <c r="C293" s="30">
        <f t="shared" si="24"/>
        <v>47015</v>
      </c>
      <c r="D293" s="46">
        <f>SUMIFS(Einzelbeträge!$D:$D,Einzelbeträge!$C:$C,'Ausgaben 2028'!$C293)</f>
        <v>0</v>
      </c>
      <c r="E293" s="21">
        <f>SUMIFS(Einzelbeträge!$D:$D,Einzelbeträge!$C:$C,'Ausgaben 2028'!$C293,Einzelbeträge!$E:$E,'Ausgaben 2028'!E$6)</f>
        <v>0</v>
      </c>
      <c r="F293" s="21">
        <f>SUMIFS(Einzelbeträge!$D:$D,Einzelbeträge!$C:$C,'Ausgaben 2028'!$C293,Einzelbeträge!$E:$E,'Ausgaben 2028'!F$6)</f>
        <v>0</v>
      </c>
      <c r="G293" s="21">
        <f>SUMIFS(Einzelbeträge!$D:$D,Einzelbeträge!$C:$C,'Ausgaben 2028'!$C293,Einzelbeträge!$E:$E,'Ausgaben 2028'!G$6)</f>
        <v>0</v>
      </c>
      <c r="H293" s="21">
        <f>SUMIFS(Einzelbeträge!$D:$D,Einzelbeträge!$C:$C,'Ausgaben 2028'!$C293,Einzelbeträge!$E:$E,'Ausgaben 2028'!H$6)</f>
        <v>0</v>
      </c>
      <c r="I293" s="21">
        <f>SUMIFS(Einzelbeträge!$D:$D,Einzelbeträge!$C:$C,'Ausgaben 2028'!$C293,Einzelbeträge!$E:$E,'Ausgaben 2028'!I$6)</f>
        <v>0</v>
      </c>
      <c r="J293" s="21">
        <f>SUMIFS(Einzelbeträge!$D:$D,Einzelbeträge!$C:$C,'Ausgaben 2028'!$C293,Einzelbeträge!$E:$E,'Ausgaben 2028'!J$6)</f>
        <v>0</v>
      </c>
      <c r="K293" s="21">
        <f>SUMIFS(Einzelbeträge!$D:$D,Einzelbeträge!$C:$C,'Ausgaben 2028'!$C293,Einzelbeträge!$E:$E,'Ausgaben 2028'!K$6)</f>
        <v>0</v>
      </c>
      <c r="L293" s="21">
        <f>SUMIFS(Einzelbeträge!$D:$D,Einzelbeträge!$C:$C,'Ausgaben 2028'!$C293,Einzelbeträge!$E:$E,'Ausgaben 2028'!L$6)</f>
        <v>0</v>
      </c>
      <c r="M293" s="21">
        <f>SUMIFS(Einzelbeträge!$D:$D,Einzelbeträge!$C:$C,'Ausgaben 2028'!$C293,Einzelbeträge!$E:$E,'Ausgaben 2028'!M$6)</f>
        <v>0</v>
      </c>
      <c r="N293" s="35">
        <f>SUMIFS(Einzelbeträge!$D:$D,Einzelbeträge!$C:$C,'Ausgaben 2028'!$C293,Einzelbeträge!$E:$E,'Ausgaben 2028'!N$6)</f>
        <v>0</v>
      </c>
      <c r="O293" s="6"/>
    </row>
    <row r="294" spans="2:15" x14ac:dyDescent="0.35">
      <c r="B294" s="5"/>
      <c r="C294" s="30">
        <f t="shared" si="24"/>
        <v>47016</v>
      </c>
      <c r="D294" s="46">
        <f>SUMIFS(Einzelbeträge!$D:$D,Einzelbeträge!$C:$C,'Ausgaben 2028'!$C294)</f>
        <v>0</v>
      </c>
      <c r="E294" s="21">
        <f>SUMIFS(Einzelbeträge!$D:$D,Einzelbeträge!$C:$C,'Ausgaben 2028'!$C294,Einzelbeträge!$E:$E,'Ausgaben 2028'!E$6)</f>
        <v>0</v>
      </c>
      <c r="F294" s="21">
        <f>SUMIFS(Einzelbeträge!$D:$D,Einzelbeträge!$C:$C,'Ausgaben 2028'!$C294,Einzelbeträge!$E:$E,'Ausgaben 2028'!F$6)</f>
        <v>0</v>
      </c>
      <c r="G294" s="21">
        <f>SUMIFS(Einzelbeträge!$D:$D,Einzelbeträge!$C:$C,'Ausgaben 2028'!$C294,Einzelbeträge!$E:$E,'Ausgaben 2028'!G$6)</f>
        <v>0</v>
      </c>
      <c r="H294" s="21">
        <f>SUMIFS(Einzelbeträge!$D:$D,Einzelbeträge!$C:$C,'Ausgaben 2028'!$C294,Einzelbeträge!$E:$E,'Ausgaben 2028'!H$6)</f>
        <v>0</v>
      </c>
      <c r="I294" s="21">
        <f>SUMIFS(Einzelbeträge!$D:$D,Einzelbeträge!$C:$C,'Ausgaben 2028'!$C294,Einzelbeträge!$E:$E,'Ausgaben 2028'!I$6)</f>
        <v>0</v>
      </c>
      <c r="J294" s="21">
        <f>SUMIFS(Einzelbeträge!$D:$D,Einzelbeträge!$C:$C,'Ausgaben 2028'!$C294,Einzelbeträge!$E:$E,'Ausgaben 2028'!J$6)</f>
        <v>0</v>
      </c>
      <c r="K294" s="21">
        <f>SUMIFS(Einzelbeträge!$D:$D,Einzelbeträge!$C:$C,'Ausgaben 2028'!$C294,Einzelbeträge!$E:$E,'Ausgaben 2028'!K$6)</f>
        <v>0</v>
      </c>
      <c r="L294" s="21">
        <f>SUMIFS(Einzelbeträge!$D:$D,Einzelbeträge!$C:$C,'Ausgaben 2028'!$C294,Einzelbeträge!$E:$E,'Ausgaben 2028'!L$6)</f>
        <v>0</v>
      </c>
      <c r="M294" s="21">
        <f>SUMIFS(Einzelbeträge!$D:$D,Einzelbeträge!$C:$C,'Ausgaben 2028'!$C294,Einzelbeträge!$E:$E,'Ausgaben 2028'!M$6)</f>
        <v>0</v>
      </c>
      <c r="N294" s="35">
        <f>SUMIFS(Einzelbeträge!$D:$D,Einzelbeträge!$C:$C,'Ausgaben 2028'!$C294,Einzelbeträge!$E:$E,'Ausgaben 2028'!N$6)</f>
        <v>0</v>
      </c>
      <c r="O294" s="6"/>
    </row>
    <row r="295" spans="2:15" x14ac:dyDescent="0.35">
      <c r="B295" s="5"/>
      <c r="C295" s="30">
        <f t="shared" si="24"/>
        <v>47017</v>
      </c>
      <c r="D295" s="46">
        <f>SUMIFS(Einzelbeträge!$D:$D,Einzelbeträge!$C:$C,'Ausgaben 2028'!$C295)</f>
        <v>0</v>
      </c>
      <c r="E295" s="21">
        <f>SUMIFS(Einzelbeträge!$D:$D,Einzelbeträge!$C:$C,'Ausgaben 2028'!$C295,Einzelbeträge!$E:$E,'Ausgaben 2028'!E$6)</f>
        <v>0</v>
      </c>
      <c r="F295" s="21">
        <f>SUMIFS(Einzelbeträge!$D:$D,Einzelbeträge!$C:$C,'Ausgaben 2028'!$C295,Einzelbeträge!$E:$E,'Ausgaben 2028'!F$6)</f>
        <v>0</v>
      </c>
      <c r="G295" s="21">
        <f>SUMIFS(Einzelbeträge!$D:$D,Einzelbeträge!$C:$C,'Ausgaben 2028'!$C295,Einzelbeträge!$E:$E,'Ausgaben 2028'!G$6)</f>
        <v>0</v>
      </c>
      <c r="H295" s="21">
        <f>SUMIFS(Einzelbeträge!$D:$D,Einzelbeträge!$C:$C,'Ausgaben 2028'!$C295,Einzelbeträge!$E:$E,'Ausgaben 2028'!H$6)</f>
        <v>0</v>
      </c>
      <c r="I295" s="21">
        <f>SUMIFS(Einzelbeträge!$D:$D,Einzelbeträge!$C:$C,'Ausgaben 2028'!$C295,Einzelbeträge!$E:$E,'Ausgaben 2028'!I$6)</f>
        <v>0</v>
      </c>
      <c r="J295" s="21">
        <f>SUMIFS(Einzelbeträge!$D:$D,Einzelbeträge!$C:$C,'Ausgaben 2028'!$C295,Einzelbeträge!$E:$E,'Ausgaben 2028'!J$6)</f>
        <v>0</v>
      </c>
      <c r="K295" s="21">
        <f>SUMIFS(Einzelbeträge!$D:$D,Einzelbeträge!$C:$C,'Ausgaben 2028'!$C295,Einzelbeträge!$E:$E,'Ausgaben 2028'!K$6)</f>
        <v>0</v>
      </c>
      <c r="L295" s="21">
        <f>SUMIFS(Einzelbeträge!$D:$D,Einzelbeträge!$C:$C,'Ausgaben 2028'!$C295,Einzelbeträge!$E:$E,'Ausgaben 2028'!L$6)</f>
        <v>0</v>
      </c>
      <c r="M295" s="21">
        <f>SUMIFS(Einzelbeträge!$D:$D,Einzelbeträge!$C:$C,'Ausgaben 2028'!$C295,Einzelbeträge!$E:$E,'Ausgaben 2028'!M$6)</f>
        <v>0</v>
      </c>
      <c r="N295" s="35">
        <f>SUMIFS(Einzelbeträge!$D:$D,Einzelbeträge!$C:$C,'Ausgaben 2028'!$C295,Einzelbeträge!$E:$E,'Ausgaben 2028'!N$6)</f>
        <v>0</v>
      </c>
      <c r="O295" s="6"/>
    </row>
    <row r="296" spans="2:15" x14ac:dyDescent="0.35">
      <c r="B296" s="5"/>
      <c r="C296" s="30">
        <f t="shared" si="24"/>
        <v>47018</v>
      </c>
      <c r="D296" s="46">
        <f>SUMIFS(Einzelbeträge!$D:$D,Einzelbeträge!$C:$C,'Ausgaben 2028'!$C296)</f>
        <v>0</v>
      </c>
      <c r="E296" s="21">
        <f>SUMIFS(Einzelbeträge!$D:$D,Einzelbeträge!$C:$C,'Ausgaben 2028'!$C296,Einzelbeträge!$E:$E,'Ausgaben 2028'!E$6)</f>
        <v>0</v>
      </c>
      <c r="F296" s="21">
        <f>SUMIFS(Einzelbeträge!$D:$D,Einzelbeträge!$C:$C,'Ausgaben 2028'!$C296,Einzelbeträge!$E:$E,'Ausgaben 2028'!F$6)</f>
        <v>0</v>
      </c>
      <c r="G296" s="21">
        <f>SUMIFS(Einzelbeträge!$D:$D,Einzelbeträge!$C:$C,'Ausgaben 2028'!$C296,Einzelbeträge!$E:$E,'Ausgaben 2028'!G$6)</f>
        <v>0</v>
      </c>
      <c r="H296" s="21">
        <f>SUMIFS(Einzelbeträge!$D:$D,Einzelbeträge!$C:$C,'Ausgaben 2028'!$C296,Einzelbeträge!$E:$E,'Ausgaben 2028'!H$6)</f>
        <v>0</v>
      </c>
      <c r="I296" s="21">
        <f>SUMIFS(Einzelbeträge!$D:$D,Einzelbeträge!$C:$C,'Ausgaben 2028'!$C296,Einzelbeträge!$E:$E,'Ausgaben 2028'!I$6)</f>
        <v>0</v>
      </c>
      <c r="J296" s="21">
        <f>SUMIFS(Einzelbeträge!$D:$D,Einzelbeträge!$C:$C,'Ausgaben 2028'!$C296,Einzelbeträge!$E:$E,'Ausgaben 2028'!J$6)</f>
        <v>0</v>
      </c>
      <c r="K296" s="21">
        <f>SUMIFS(Einzelbeträge!$D:$D,Einzelbeträge!$C:$C,'Ausgaben 2028'!$C296,Einzelbeträge!$E:$E,'Ausgaben 2028'!K$6)</f>
        <v>0</v>
      </c>
      <c r="L296" s="21">
        <f>SUMIFS(Einzelbeträge!$D:$D,Einzelbeträge!$C:$C,'Ausgaben 2028'!$C296,Einzelbeträge!$E:$E,'Ausgaben 2028'!L$6)</f>
        <v>0</v>
      </c>
      <c r="M296" s="21">
        <f>SUMIFS(Einzelbeträge!$D:$D,Einzelbeträge!$C:$C,'Ausgaben 2028'!$C296,Einzelbeträge!$E:$E,'Ausgaben 2028'!M$6)</f>
        <v>0</v>
      </c>
      <c r="N296" s="35">
        <f>SUMIFS(Einzelbeträge!$D:$D,Einzelbeträge!$C:$C,'Ausgaben 2028'!$C296,Einzelbeträge!$E:$E,'Ausgaben 2028'!N$6)</f>
        <v>0</v>
      </c>
      <c r="O296" s="6"/>
    </row>
    <row r="297" spans="2:15" x14ac:dyDescent="0.35">
      <c r="B297" s="5"/>
      <c r="C297" s="30">
        <f t="shared" si="24"/>
        <v>47019</v>
      </c>
      <c r="D297" s="46">
        <f>SUMIFS(Einzelbeträge!$D:$D,Einzelbeträge!$C:$C,'Ausgaben 2028'!$C297)</f>
        <v>0</v>
      </c>
      <c r="E297" s="21">
        <f>SUMIFS(Einzelbeträge!$D:$D,Einzelbeträge!$C:$C,'Ausgaben 2028'!$C297,Einzelbeträge!$E:$E,'Ausgaben 2028'!E$6)</f>
        <v>0</v>
      </c>
      <c r="F297" s="21">
        <f>SUMIFS(Einzelbeträge!$D:$D,Einzelbeträge!$C:$C,'Ausgaben 2028'!$C297,Einzelbeträge!$E:$E,'Ausgaben 2028'!F$6)</f>
        <v>0</v>
      </c>
      <c r="G297" s="21">
        <f>SUMIFS(Einzelbeträge!$D:$D,Einzelbeträge!$C:$C,'Ausgaben 2028'!$C297,Einzelbeträge!$E:$E,'Ausgaben 2028'!G$6)</f>
        <v>0</v>
      </c>
      <c r="H297" s="21">
        <f>SUMIFS(Einzelbeträge!$D:$D,Einzelbeträge!$C:$C,'Ausgaben 2028'!$C297,Einzelbeträge!$E:$E,'Ausgaben 2028'!H$6)</f>
        <v>0</v>
      </c>
      <c r="I297" s="21">
        <f>SUMIFS(Einzelbeträge!$D:$D,Einzelbeträge!$C:$C,'Ausgaben 2028'!$C297,Einzelbeträge!$E:$E,'Ausgaben 2028'!I$6)</f>
        <v>0</v>
      </c>
      <c r="J297" s="21">
        <f>SUMIFS(Einzelbeträge!$D:$D,Einzelbeträge!$C:$C,'Ausgaben 2028'!$C297,Einzelbeträge!$E:$E,'Ausgaben 2028'!J$6)</f>
        <v>0</v>
      </c>
      <c r="K297" s="21">
        <f>SUMIFS(Einzelbeträge!$D:$D,Einzelbeträge!$C:$C,'Ausgaben 2028'!$C297,Einzelbeträge!$E:$E,'Ausgaben 2028'!K$6)</f>
        <v>0</v>
      </c>
      <c r="L297" s="21">
        <f>SUMIFS(Einzelbeträge!$D:$D,Einzelbeträge!$C:$C,'Ausgaben 2028'!$C297,Einzelbeträge!$E:$E,'Ausgaben 2028'!L$6)</f>
        <v>0</v>
      </c>
      <c r="M297" s="21">
        <f>SUMIFS(Einzelbeträge!$D:$D,Einzelbeträge!$C:$C,'Ausgaben 2028'!$C297,Einzelbeträge!$E:$E,'Ausgaben 2028'!M$6)</f>
        <v>0</v>
      </c>
      <c r="N297" s="35">
        <f>SUMIFS(Einzelbeträge!$D:$D,Einzelbeträge!$C:$C,'Ausgaben 2028'!$C297,Einzelbeträge!$E:$E,'Ausgaben 2028'!N$6)</f>
        <v>0</v>
      </c>
      <c r="O297" s="6"/>
    </row>
    <row r="298" spans="2:15" x14ac:dyDescent="0.35">
      <c r="B298" s="5"/>
      <c r="C298" s="30">
        <f t="shared" si="24"/>
        <v>47020</v>
      </c>
      <c r="D298" s="46">
        <f>SUMIFS(Einzelbeträge!$D:$D,Einzelbeträge!$C:$C,'Ausgaben 2028'!$C298)</f>
        <v>0</v>
      </c>
      <c r="E298" s="21">
        <f>SUMIFS(Einzelbeträge!$D:$D,Einzelbeträge!$C:$C,'Ausgaben 2028'!$C298,Einzelbeträge!$E:$E,'Ausgaben 2028'!E$6)</f>
        <v>0</v>
      </c>
      <c r="F298" s="21">
        <f>SUMIFS(Einzelbeträge!$D:$D,Einzelbeträge!$C:$C,'Ausgaben 2028'!$C298,Einzelbeträge!$E:$E,'Ausgaben 2028'!F$6)</f>
        <v>0</v>
      </c>
      <c r="G298" s="21">
        <f>SUMIFS(Einzelbeträge!$D:$D,Einzelbeträge!$C:$C,'Ausgaben 2028'!$C298,Einzelbeträge!$E:$E,'Ausgaben 2028'!G$6)</f>
        <v>0</v>
      </c>
      <c r="H298" s="21">
        <f>SUMIFS(Einzelbeträge!$D:$D,Einzelbeträge!$C:$C,'Ausgaben 2028'!$C298,Einzelbeträge!$E:$E,'Ausgaben 2028'!H$6)</f>
        <v>0</v>
      </c>
      <c r="I298" s="21">
        <f>SUMIFS(Einzelbeträge!$D:$D,Einzelbeträge!$C:$C,'Ausgaben 2028'!$C298,Einzelbeträge!$E:$E,'Ausgaben 2028'!I$6)</f>
        <v>0</v>
      </c>
      <c r="J298" s="21">
        <f>SUMIFS(Einzelbeträge!$D:$D,Einzelbeträge!$C:$C,'Ausgaben 2028'!$C298,Einzelbeträge!$E:$E,'Ausgaben 2028'!J$6)</f>
        <v>0</v>
      </c>
      <c r="K298" s="21">
        <f>SUMIFS(Einzelbeträge!$D:$D,Einzelbeträge!$C:$C,'Ausgaben 2028'!$C298,Einzelbeträge!$E:$E,'Ausgaben 2028'!K$6)</f>
        <v>0</v>
      </c>
      <c r="L298" s="21">
        <f>SUMIFS(Einzelbeträge!$D:$D,Einzelbeträge!$C:$C,'Ausgaben 2028'!$C298,Einzelbeträge!$E:$E,'Ausgaben 2028'!L$6)</f>
        <v>0</v>
      </c>
      <c r="M298" s="21">
        <f>SUMIFS(Einzelbeträge!$D:$D,Einzelbeträge!$C:$C,'Ausgaben 2028'!$C298,Einzelbeträge!$E:$E,'Ausgaben 2028'!M$6)</f>
        <v>0</v>
      </c>
      <c r="N298" s="35">
        <f>SUMIFS(Einzelbeträge!$D:$D,Einzelbeträge!$C:$C,'Ausgaben 2028'!$C298,Einzelbeträge!$E:$E,'Ausgaben 2028'!N$6)</f>
        <v>0</v>
      </c>
      <c r="O298" s="6"/>
    </row>
    <row r="299" spans="2:15" x14ac:dyDescent="0.35">
      <c r="B299" s="5"/>
      <c r="C299" s="30">
        <f t="shared" si="24"/>
        <v>47021</v>
      </c>
      <c r="D299" s="46">
        <f>SUMIFS(Einzelbeträge!$D:$D,Einzelbeträge!$C:$C,'Ausgaben 2028'!$C299)</f>
        <v>0</v>
      </c>
      <c r="E299" s="21">
        <f>SUMIFS(Einzelbeträge!$D:$D,Einzelbeträge!$C:$C,'Ausgaben 2028'!$C299,Einzelbeträge!$E:$E,'Ausgaben 2028'!E$6)</f>
        <v>0</v>
      </c>
      <c r="F299" s="21">
        <f>SUMIFS(Einzelbeträge!$D:$D,Einzelbeträge!$C:$C,'Ausgaben 2028'!$C299,Einzelbeträge!$E:$E,'Ausgaben 2028'!F$6)</f>
        <v>0</v>
      </c>
      <c r="G299" s="21">
        <f>SUMIFS(Einzelbeträge!$D:$D,Einzelbeträge!$C:$C,'Ausgaben 2028'!$C299,Einzelbeträge!$E:$E,'Ausgaben 2028'!G$6)</f>
        <v>0</v>
      </c>
      <c r="H299" s="21">
        <f>SUMIFS(Einzelbeträge!$D:$D,Einzelbeträge!$C:$C,'Ausgaben 2028'!$C299,Einzelbeträge!$E:$E,'Ausgaben 2028'!H$6)</f>
        <v>0</v>
      </c>
      <c r="I299" s="21">
        <f>SUMIFS(Einzelbeträge!$D:$D,Einzelbeträge!$C:$C,'Ausgaben 2028'!$C299,Einzelbeträge!$E:$E,'Ausgaben 2028'!I$6)</f>
        <v>0</v>
      </c>
      <c r="J299" s="21">
        <f>SUMIFS(Einzelbeträge!$D:$D,Einzelbeträge!$C:$C,'Ausgaben 2028'!$C299,Einzelbeträge!$E:$E,'Ausgaben 2028'!J$6)</f>
        <v>0</v>
      </c>
      <c r="K299" s="21">
        <f>SUMIFS(Einzelbeträge!$D:$D,Einzelbeträge!$C:$C,'Ausgaben 2028'!$C299,Einzelbeträge!$E:$E,'Ausgaben 2028'!K$6)</f>
        <v>0</v>
      </c>
      <c r="L299" s="21">
        <f>SUMIFS(Einzelbeträge!$D:$D,Einzelbeträge!$C:$C,'Ausgaben 2028'!$C299,Einzelbeträge!$E:$E,'Ausgaben 2028'!L$6)</f>
        <v>0</v>
      </c>
      <c r="M299" s="21">
        <f>SUMIFS(Einzelbeträge!$D:$D,Einzelbeträge!$C:$C,'Ausgaben 2028'!$C299,Einzelbeträge!$E:$E,'Ausgaben 2028'!M$6)</f>
        <v>0</v>
      </c>
      <c r="N299" s="35">
        <f>SUMIFS(Einzelbeträge!$D:$D,Einzelbeträge!$C:$C,'Ausgaben 2028'!$C299,Einzelbeträge!$E:$E,'Ausgaben 2028'!N$6)</f>
        <v>0</v>
      </c>
      <c r="O299" s="6"/>
    </row>
    <row r="300" spans="2:15" x14ac:dyDescent="0.35">
      <c r="B300" s="5"/>
      <c r="C300" s="30">
        <f t="shared" si="24"/>
        <v>47022</v>
      </c>
      <c r="D300" s="46">
        <f>SUMIFS(Einzelbeträge!$D:$D,Einzelbeträge!$C:$C,'Ausgaben 2028'!$C300)</f>
        <v>0</v>
      </c>
      <c r="E300" s="21">
        <f>SUMIFS(Einzelbeträge!$D:$D,Einzelbeträge!$C:$C,'Ausgaben 2028'!$C300,Einzelbeträge!$E:$E,'Ausgaben 2028'!E$6)</f>
        <v>0</v>
      </c>
      <c r="F300" s="21">
        <f>SUMIFS(Einzelbeträge!$D:$D,Einzelbeträge!$C:$C,'Ausgaben 2028'!$C300,Einzelbeträge!$E:$E,'Ausgaben 2028'!F$6)</f>
        <v>0</v>
      </c>
      <c r="G300" s="21">
        <f>SUMIFS(Einzelbeträge!$D:$D,Einzelbeträge!$C:$C,'Ausgaben 2028'!$C300,Einzelbeträge!$E:$E,'Ausgaben 2028'!G$6)</f>
        <v>0</v>
      </c>
      <c r="H300" s="21">
        <f>SUMIFS(Einzelbeträge!$D:$D,Einzelbeträge!$C:$C,'Ausgaben 2028'!$C300,Einzelbeträge!$E:$E,'Ausgaben 2028'!H$6)</f>
        <v>0</v>
      </c>
      <c r="I300" s="21">
        <f>SUMIFS(Einzelbeträge!$D:$D,Einzelbeträge!$C:$C,'Ausgaben 2028'!$C300,Einzelbeträge!$E:$E,'Ausgaben 2028'!I$6)</f>
        <v>0</v>
      </c>
      <c r="J300" s="21">
        <f>SUMIFS(Einzelbeträge!$D:$D,Einzelbeträge!$C:$C,'Ausgaben 2028'!$C300,Einzelbeträge!$E:$E,'Ausgaben 2028'!J$6)</f>
        <v>0</v>
      </c>
      <c r="K300" s="21">
        <f>SUMIFS(Einzelbeträge!$D:$D,Einzelbeträge!$C:$C,'Ausgaben 2028'!$C300,Einzelbeträge!$E:$E,'Ausgaben 2028'!K$6)</f>
        <v>0</v>
      </c>
      <c r="L300" s="21">
        <f>SUMIFS(Einzelbeträge!$D:$D,Einzelbeträge!$C:$C,'Ausgaben 2028'!$C300,Einzelbeträge!$E:$E,'Ausgaben 2028'!L$6)</f>
        <v>0</v>
      </c>
      <c r="M300" s="21">
        <f>SUMIFS(Einzelbeträge!$D:$D,Einzelbeträge!$C:$C,'Ausgaben 2028'!$C300,Einzelbeträge!$E:$E,'Ausgaben 2028'!M$6)</f>
        <v>0</v>
      </c>
      <c r="N300" s="35">
        <f>SUMIFS(Einzelbeträge!$D:$D,Einzelbeträge!$C:$C,'Ausgaben 2028'!$C300,Einzelbeträge!$E:$E,'Ausgaben 2028'!N$6)</f>
        <v>0</v>
      </c>
      <c r="O300" s="6"/>
    </row>
    <row r="301" spans="2:15" x14ac:dyDescent="0.35">
      <c r="B301" s="5"/>
      <c r="C301" s="30">
        <f t="shared" si="24"/>
        <v>47023</v>
      </c>
      <c r="D301" s="46">
        <f>SUMIFS(Einzelbeträge!$D:$D,Einzelbeträge!$C:$C,'Ausgaben 2028'!$C301)</f>
        <v>0</v>
      </c>
      <c r="E301" s="21">
        <f>SUMIFS(Einzelbeträge!$D:$D,Einzelbeträge!$C:$C,'Ausgaben 2028'!$C301,Einzelbeträge!$E:$E,'Ausgaben 2028'!E$6)</f>
        <v>0</v>
      </c>
      <c r="F301" s="21">
        <f>SUMIFS(Einzelbeträge!$D:$D,Einzelbeträge!$C:$C,'Ausgaben 2028'!$C301,Einzelbeträge!$E:$E,'Ausgaben 2028'!F$6)</f>
        <v>0</v>
      </c>
      <c r="G301" s="21">
        <f>SUMIFS(Einzelbeträge!$D:$D,Einzelbeträge!$C:$C,'Ausgaben 2028'!$C301,Einzelbeträge!$E:$E,'Ausgaben 2028'!G$6)</f>
        <v>0</v>
      </c>
      <c r="H301" s="21">
        <f>SUMIFS(Einzelbeträge!$D:$D,Einzelbeträge!$C:$C,'Ausgaben 2028'!$C301,Einzelbeträge!$E:$E,'Ausgaben 2028'!H$6)</f>
        <v>0</v>
      </c>
      <c r="I301" s="21">
        <f>SUMIFS(Einzelbeträge!$D:$D,Einzelbeträge!$C:$C,'Ausgaben 2028'!$C301,Einzelbeträge!$E:$E,'Ausgaben 2028'!I$6)</f>
        <v>0</v>
      </c>
      <c r="J301" s="21">
        <f>SUMIFS(Einzelbeträge!$D:$D,Einzelbeträge!$C:$C,'Ausgaben 2028'!$C301,Einzelbeträge!$E:$E,'Ausgaben 2028'!J$6)</f>
        <v>0</v>
      </c>
      <c r="K301" s="21">
        <f>SUMIFS(Einzelbeträge!$D:$D,Einzelbeträge!$C:$C,'Ausgaben 2028'!$C301,Einzelbeträge!$E:$E,'Ausgaben 2028'!K$6)</f>
        <v>0</v>
      </c>
      <c r="L301" s="21">
        <f>SUMIFS(Einzelbeträge!$D:$D,Einzelbeträge!$C:$C,'Ausgaben 2028'!$C301,Einzelbeträge!$E:$E,'Ausgaben 2028'!L$6)</f>
        <v>0</v>
      </c>
      <c r="M301" s="21">
        <f>SUMIFS(Einzelbeträge!$D:$D,Einzelbeträge!$C:$C,'Ausgaben 2028'!$C301,Einzelbeträge!$E:$E,'Ausgaben 2028'!M$6)</f>
        <v>0</v>
      </c>
      <c r="N301" s="35">
        <f>SUMIFS(Einzelbeträge!$D:$D,Einzelbeträge!$C:$C,'Ausgaben 2028'!$C301,Einzelbeträge!$E:$E,'Ausgaben 2028'!N$6)</f>
        <v>0</v>
      </c>
      <c r="O301" s="6"/>
    </row>
    <row r="302" spans="2:15" x14ac:dyDescent="0.35">
      <c r="B302" s="5"/>
      <c r="C302" s="30">
        <f t="shared" si="24"/>
        <v>47024</v>
      </c>
      <c r="D302" s="46">
        <f>SUMIFS(Einzelbeträge!$D:$D,Einzelbeträge!$C:$C,'Ausgaben 2028'!$C302)</f>
        <v>0</v>
      </c>
      <c r="E302" s="21">
        <f>SUMIFS(Einzelbeträge!$D:$D,Einzelbeträge!$C:$C,'Ausgaben 2028'!$C302,Einzelbeträge!$E:$E,'Ausgaben 2028'!E$6)</f>
        <v>0</v>
      </c>
      <c r="F302" s="21">
        <f>SUMIFS(Einzelbeträge!$D:$D,Einzelbeträge!$C:$C,'Ausgaben 2028'!$C302,Einzelbeträge!$E:$E,'Ausgaben 2028'!F$6)</f>
        <v>0</v>
      </c>
      <c r="G302" s="21">
        <f>SUMIFS(Einzelbeträge!$D:$D,Einzelbeträge!$C:$C,'Ausgaben 2028'!$C302,Einzelbeträge!$E:$E,'Ausgaben 2028'!G$6)</f>
        <v>0</v>
      </c>
      <c r="H302" s="21">
        <f>SUMIFS(Einzelbeträge!$D:$D,Einzelbeträge!$C:$C,'Ausgaben 2028'!$C302,Einzelbeträge!$E:$E,'Ausgaben 2028'!H$6)</f>
        <v>0</v>
      </c>
      <c r="I302" s="21">
        <f>SUMIFS(Einzelbeträge!$D:$D,Einzelbeträge!$C:$C,'Ausgaben 2028'!$C302,Einzelbeträge!$E:$E,'Ausgaben 2028'!I$6)</f>
        <v>0</v>
      </c>
      <c r="J302" s="21">
        <f>SUMIFS(Einzelbeträge!$D:$D,Einzelbeträge!$C:$C,'Ausgaben 2028'!$C302,Einzelbeträge!$E:$E,'Ausgaben 2028'!J$6)</f>
        <v>0</v>
      </c>
      <c r="K302" s="21">
        <f>SUMIFS(Einzelbeträge!$D:$D,Einzelbeträge!$C:$C,'Ausgaben 2028'!$C302,Einzelbeträge!$E:$E,'Ausgaben 2028'!K$6)</f>
        <v>0</v>
      </c>
      <c r="L302" s="21">
        <f>SUMIFS(Einzelbeträge!$D:$D,Einzelbeträge!$C:$C,'Ausgaben 2028'!$C302,Einzelbeträge!$E:$E,'Ausgaben 2028'!L$6)</f>
        <v>0</v>
      </c>
      <c r="M302" s="21">
        <f>SUMIFS(Einzelbeträge!$D:$D,Einzelbeträge!$C:$C,'Ausgaben 2028'!$C302,Einzelbeträge!$E:$E,'Ausgaben 2028'!M$6)</f>
        <v>0</v>
      </c>
      <c r="N302" s="35">
        <f>SUMIFS(Einzelbeträge!$D:$D,Einzelbeträge!$C:$C,'Ausgaben 2028'!$C302,Einzelbeträge!$E:$E,'Ausgaben 2028'!N$6)</f>
        <v>0</v>
      </c>
      <c r="O302" s="6"/>
    </row>
    <row r="303" spans="2:15" x14ac:dyDescent="0.35">
      <c r="B303" s="5"/>
      <c r="C303" s="30">
        <f t="shared" si="24"/>
        <v>47025</v>
      </c>
      <c r="D303" s="46">
        <f>SUMIFS(Einzelbeträge!$D:$D,Einzelbeträge!$C:$C,'Ausgaben 2028'!$C303)</f>
        <v>0</v>
      </c>
      <c r="E303" s="21">
        <f>SUMIFS(Einzelbeträge!$D:$D,Einzelbeträge!$C:$C,'Ausgaben 2028'!$C303,Einzelbeträge!$E:$E,'Ausgaben 2028'!E$6)</f>
        <v>0</v>
      </c>
      <c r="F303" s="21">
        <f>SUMIFS(Einzelbeträge!$D:$D,Einzelbeträge!$C:$C,'Ausgaben 2028'!$C303,Einzelbeträge!$E:$E,'Ausgaben 2028'!F$6)</f>
        <v>0</v>
      </c>
      <c r="G303" s="21">
        <f>SUMIFS(Einzelbeträge!$D:$D,Einzelbeträge!$C:$C,'Ausgaben 2028'!$C303,Einzelbeträge!$E:$E,'Ausgaben 2028'!G$6)</f>
        <v>0</v>
      </c>
      <c r="H303" s="21">
        <f>SUMIFS(Einzelbeträge!$D:$D,Einzelbeträge!$C:$C,'Ausgaben 2028'!$C303,Einzelbeträge!$E:$E,'Ausgaben 2028'!H$6)</f>
        <v>0</v>
      </c>
      <c r="I303" s="21">
        <f>SUMIFS(Einzelbeträge!$D:$D,Einzelbeträge!$C:$C,'Ausgaben 2028'!$C303,Einzelbeträge!$E:$E,'Ausgaben 2028'!I$6)</f>
        <v>0</v>
      </c>
      <c r="J303" s="21">
        <f>SUMIFS(Einzelbeträge!$D:$D,Einzelbeträge!$C:$C,'Ausgaben 2028'!$C303,Einzelbeträge!$E:$E,'Ausgaben 2028'!J$6)</f>
        <v>0</v>
      </c>
      <c r="K303" s="21">
        <f>SUMIFS(Einzelbeträge!$D:$D,Einzelbeträge!$C:$C,'Ausgaben 2028'!$C303,Einzelbeträge!$E:$E,'Ausgaben 2028'!K$6)</f>
        <v>0</v>
      </c>
      <c r="L303" s="21">
        <f>SUMIFS(Einzelbeträge!$D:$D,Einzelbeträge!$C:$C,'Ausgaben 2028'!$C303,Einzelbeträge!$E:$E,'Ausgaben 2028'!L$6)</f>
        <v>0</v>
      </c>
      <c r="M303" s="21">
        <f>SUMIFS(Einzelbeträge!$D:$D,Einzelbeträge!$C:$C,'Ausgaben 2028'!$C303,Einzelbeträge!$E:$E,'Ausgaben 2028'!M$6)</f>
        <v>0</v>
      </c>
      <c r="N303" s="35">
        <f>SUMIFS(Einzelbeträge!$D:$D,Einzelbeträge!$C:$C,'Ausgaben 2028'!$C303,Einzelbeträge!$E:$E,'Ausgaben 2028'!N$6)</f>
        <v>0</v>
      </c>
      <c r="O303" s="6"/>
    </row>
    <row r="304" spans="2:15" x14ac:dyDescent="0.35">
      <c r="B304" s="5"/>
      <c r="C304" s="31">
        <f t="shared" si="24"/>
        <v>47026</v>
      </c>
      <c r="D304" s="47">
        <f>SUMIFS(Einzelbeträge!$D:$D,Einzelbeträge!$C:$C,'Ausgaben 2028'!$C304)</f>
        <v>0</v>
      </c>
      <c r="E304" s="37">
        <f>SUMIFS(Einzelbeträge!$D:$D,Einzelbeträge!$C:$C,'Ausgaben 2028'!$C304,Einzelbeträge!$E:$E,'Ausgaben 2028'!E$6)</f>
        <v>0</v>
      </c>
      <c r="F304" s="37">
        <f>SUMIFS(Einzelbeträge!$D:$D,Einzelbeträge!$C:$C,'Ausgaben 2028'!$C304,Einzelbeträge!$E:$E,'Ausgaben 2028'!F$6)</f>
        <v>0</v>
      </c>
      <c r="G304" s="37">
        <f>SUMIFS(Einzelbeträge!$D:$D,Einzelbeträge!$C:$C,'Ausgaben 2028'!$C304,Einzelbeträge!$E:$E,'Ausgaben 2028'!G$6)</f>
        <v>0</v>
      </c>
      <c r="H304" s="37">
        <f>SUMIFS(Einzelbeträge!$D:$D,Einzelbeträge!$C:$C,'Ausgaben 2028'!$C304,Einzelbeträge!$E:$E,'Ausgaben 2028'!H$6)</f>
        <v>0</v>
      </c>
      <c r="I304" s="37">
        <f>SUMIFS(Einzelbeträge!$D:$D,Einzelbeträge!$C:$C,'Ausgaben 2028'!$C304,Einzelbeträge!$E:$E,'Ausgaben 2028'!I$6)</f>
        <v>0</v>
      </c>
      <c r="J304" s="37">
        <f>SUMIFS(Einzelbeträge!$D:$D,Einzelbeträge!$C:$C,'Ausgaben 2028'!$C304,Einzelbeträge!$E:$E,'Ausgaben 2028'!J$6)</f>
        <v>0</v>
      </c>
      <c r="K304" s="37">
        <f>SUMIFS(Einzelbeträge!$D:$D,Einzelbeträge!$C:$C,'Ausgaben 2028'!$C304,Einzelbeträge!$E:$E,'Ausgaben 2028'!K$6)</f>
        <v>0</v>
      </c>
      <c r="L304" s="37">
        <f>SUMIFS(Einzelbeträge!$D:$D,Einzelbeträge!$C:$C,'Ausgaben 2028'!$C304,Einzelbeträge!$E:$E,'Ausgaben 2028'!L$6)</f>
        <v>0</v>
      </c>
      <c r="M304" s="37">
        <f>SUMIFS(Einzelbeträge!$D:$D,Einzelbeträge!$C:$C,'Ausgaben 2028'!$C304,Einzelbeträge!$E:$E,'Ausgaben 2028'!M$6)</f>
        <v>0</v>
      </c>
      <c r="N304" s="38">
        <f>SUMIFS(Einzelbeträge!$D:$D,Einzelbeträge!$C:$C,'Ausgaben 2028'!$C304,Einzelbeträge!$E:$E,'Ausgaben 2028'!N$6)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47027</v>
      </c>
      <c r="D308" s="45">
        <f>SUMIFS(Einzelbeträge!$D:$D,Einzelbeträge!$C:$C,'Ausgaben 2028'!$C308)</f>
        <v>0</v>
      </c>
      <c r="E308" s="32">
        <f>SUMIFS(Einzelbeträge!$D:$D,Einzelbeträge!$C:$C,'Ausgaben 2028'!$C308,Einzelbeträge!$E:$E,'Ausgaben 2028'!E$6)</f>
        <v>0</v>
      </c>
      <c r="F308" s="32">
        <f>SUMIFS(Einzelbeträge!$D:$D,Einzelbeträge!$C:$C,'Ausgaben 2028'!$C308,Einzelbeträge!$E:$E,'Ausgaben 2028'!F$6)</f>
        <v>0</v>
      </c>
      <c r="G308" s="32">
        <f>SUMIFS(Einzelbeträge!$D:$D,Einzelbeträge!$C:$C,'Ausgaben 2028'!$C308,Einzelbeträge!$E:$E,'Ausgaben 2028'!G$6)</f>
        <v>0</v>
      </c>
      <c r="H308" s="32">
        <f>SUMIFS(Einzelbeträge!$D:$D,Einzelbeträge!$C:$C,'Ausgaben 2028'!$C308,Einzelbeträge!$E:$E,'Ausgaben 2028'!H$6)</f>
        <v>0</v>
      </c>
      <c r="I308" s="32">
        <f>SUMIFS(Einzelbeträge!$D:$D,Einzelbeträge!$C:$C,'Ausgaben 2028'!$C308,Einzelbeträge!$E:$E,'Ausgaben 2028'!I$6)</f>
        <v>0</v>
      </c>
      <c r="J308" s="32">
        <f>SUMIFS(Einzelbeträge!$D:$D,Einzelbeträge!$C:$C,'Ausgaben 2028'!$C308,Einzelbeträge!$E:$E,'Ausgaben 2028'!J$6)</f>
        <v>0</v>
      </c>
      <c r="K308" s="32">
        <f>SUMIFS(Einzelbeträge!$D:$D,Einzelbeträge!$C:$C,'Ausgaben 2028'!$C308,Einzelbeträge!$E:$E,'Ausgaben 2028'!K$6)</f>
        <v>0</v>
      </c>
      <c r="L308" s="32">
        <f>SUMIFS(Einzelbeträge!$D:$D,Einzelbeträge!$C:$C,'Ausgaben 2028'!$C308,Einzelbeträge!$E:$E,'Ausgaben 2028'!L$6)</f>
        <v>0</v>
      </c>
      <c r="M308" s="32">
        <f>SUMIFS(Einzelbeträge!$D:$D,Einzelbeträge!$C:$C,'Ausgaben 2028'!$C308,Einzelbeträge!$E:$E,'Ausgaben 2028'!M$6)</f>
        <v>0</v>
      </c>
      <c r="N308" s="33">
        <f>SUMIFS(Einzelbeträge!$D:$D,Einzelbeträge!$C:$C,'Ausgaben 2028'!$C308,Einzelbeträge!$E:$E,'Ausgaben 2028'!N$6)</f>
        <v>0</v>
      </c>
      <c r="O308" s="6"/>
    </row>
    <row r="309" spans="2:15" x14ac:dyDescent="0.35">
      <c r="B309" s="5"/>
      <c r="C309" s="40">
        <f>C308+1</f>
        <v>47028</v>
      </c>
      <c r="D309" s="46">
        <f>SUMIFS(Einzelbeträge!$D:$D,Einzelbeträge!$C:$C,'Ausgaben 2028'!$C309)</f>
        <v>0</v>
      </c>
      <c r="E309" s="21">
        <f>SUMIFS(Einzelbeträge!$D:$D,Einzelbeträge!$C:$C,'Ausgaben 2028'!$C309,Einzelbeträge!$E:$E,'Ausgaben 2028'!E$6)</f>
        <v>0</v>
      </c>
      <c r="F309" s="21">
        <f>SUMIFS(Einzelbeträge!$D:$D,Einzelbeträge!$C:$C,'Ausgaben 2028'!$C309,Einzelbeträge!$E:$E,'Ausgaben 2028'!F$6)</f>
        <v>0</v>
      </c>
      <c r="G309" s="21">
        <f>SUMIFS(Einzelbeträge!$D:$D,Einzelbeträge!$C:$C,'Ausgaben 2028'!$C309,Einzelbeträge!$E:$E,'Ausgaben 2028'!G$6)</f>
        <v>0</v>
      </c>
      <c r="H309" s="21">
        <f>SUMIFS(Einzelbeträge!$D:$D,Einzelbeträge!$C:$C,'Ausgaben 2028'!$C309,Einzelbeträge!$E:$E,'Ausgaben 2028'!H$6)</f>
        <v>0</v>
      </c>
      <c r="I309" s="21">
        <f>SUMIFS(Einzelbeträge!$D:$D,Einzelbeträge!$C:$C,'Ausgaben 2028'!$C309,Einzelbeträge!$E:$E,'Ausgaben 2028'!I$6)</f>
        <v>0</v>
      </c>
      <c r="J309" s="21">
        <f>SUMIFS(Einzelbeträge!$D:$D,Einzelbeträge!$C:$C,'Ausgaben 2028'!$C309,Einzelbeträge!$E:$E,'Ausgaben 2028'!J$6)</f>
        <v>0</v>
      </c>
      <c r="K309" s="21">
        <f>SUMIFS(Einzelbeträge!$D:$D,Einzelbeträge!$C:$C,'Ausgaben 2028'!$C309,Einzelbeträge!$E:$E,'Ausgaben 2028'!K$6)</f>
        <v>0</v>
      </c>
      <c r="L309" s="21">
        <f>SUMIFS(Einzelbeträge!$D:$D,Einzelbeträge!$C:$C,'Ausgaben 2028'!$C309,Einzelbeträge!$E:$E,'Ausgaben 2028'!L$6)</f>
        <v>0</v>
      </c>
      <c r="M309" s="21">
        <f>SUMIFS(Einzelbeträge!$D:$D,Einzelbeträge!$C:$C,'Ausgaben 2028'!$C309,Einzelbeträge!$E:$E,'Ausgaben 2028'!M$6)</f>
        <v>0</v>
      </c>
      <c r="N309" s="35">
        <f>SUMIFS(Einzelbeträge!$D:$D,Einzelbeträge!$C:$C,'Ausgaben 2028'!$C309,Einzelbeträge!$E:$E,'Ausgaben 2028'!N$6)</f>
        <v>0</v>
      </c>
      <c r="O309" s="6"/>
    </row>
    <row r="310" spans="2:15" x14ac:dyDescent="0.35">
      <c r="B310" s="5"/>
      <c r="C310" s="40">
        <f t="shared" ref="C310:C338" si="25">C309+1</f>
        <v>47029</v>
      </c>
      <c r="D310" s="46">
        <f>SUMIFS(Einzelbeträge!$D:$D,Einzelbeträge!$C:$C,'Ausgaben 2028'!$C310)</f>
        <v>0</v>
      </c>
      <c r="E310" s="21">
        <f>SUMIFS(Einzelbeträge!$D:$D,Einzelbeträge!$C:$C,'Ausgaben 2028'!$C310,Einzelbeträge!$E:$E,'Ausgaben 2028'!E$6)</f>
        <v>0</v>
      </c>
      <c r="F310" s="21">
        <f>SUMIFS(Einzelbeträge!$D:$D,Einzelbeträge!$C:$C,'Ausgaben 2028'!$C310,Einzelbeträge!$E:$E,'Ausgaben 2028'!F$6)</f>
        <v>0</v>
      </c>
      <c r="G310" s="21">
        <f>SUMIFS(Einzelbeträge!$D:$D,Einzelbeträge!$C:$C,'Ausgaben 2028'!$C310,Einzelbeträge!$E:$E,'Ausgaben 2028'!G$6)</f>
        <v>0</v>
      </c>
      <c r="H310" s="21">
        <f>SUMIFS(Einzelbeträge!$D:$D,Einzelbeträge!$C:$C,'Ausgaben 2028'!$C310,Einzelbeträge!$E:$E,'Ausgaben 2028'!H$6)</f>
        <v>0</v>
      </c>
      <c r="I310" s="21">
        <f>SUMIFS(Einzelbeträge!$D:$D,Einzelbeträge!$C:$C,'Ausgaben 2028'!$C310,Einzelbeträge!$E:$E,'Ausgaben 2028'!I$6)</f>
        <v>0</v>
      </c>
      <c r="J310" s="21">
        <f>SUMIFS(Einzelbeträge!$D:$D,Einzelbeträge!$C:$C,'Ausgaben 2028'!$C310,Einzelbeträge!$E:$E,'Ausgaben 2028'!J$6)</f>
        <v>0</v>
      </c>
      <c r="K310" s="21">
        <f>SUMIFS(Einzelbeträge!$D:$D,Einzelbeträge!$C:$C,'Ausgaben 2028'!$C310,Einzelbeträge!$E:$E,'Ausgaben 2028'!K$6)</f>
        <v>0</v>
      </c>
      <c r="L310" s="21">
        <f>SUMIFS(Einzelbeträge!$D:$D,Einzelbeträge!$C:$C,'Ausgaben 2028'!$C310,Einzelbeträge!$E:$E,'Ausgaben 2028'!L$6)</f>
        <v>0</v>
      </c>
      <c r="M310" s="21">
        <f>SUMIFS(Einzelbeträge!$D:$D,Einzelbeträge!$C:$C,'Ausgaben 2028'!$C310,Einzelbeträge!$E:$E,'Ausgaben 2028'!M$6)</f>
        <v>0</v>
      </c>
      <c r="N310" s="35">
        <f>SUMIFS(Einzelbeträge!$D:$D,Einzelbeträge!$C:$C,'Ausgaben 2028'!$C310,Einzelbeträge!$E:$E,'Ausgaben 2028'!N$6)</f>
        <v>0</v>
      </c>
      <c r="O310" s="6"/>
    </row>
    <row r="311" spans="2:15" x14ac:dyDescent="0.35">
      <c r="B311" s="5"/>
      <c r="C311" s="40">
        <f t="shared" si="25"/>
        <v>47030</v>
      </c>
      <c r="D311" s="46">
        <f>SUMIFS(Einzelbeträge!$D:$D,Einzelbeträge!$C:$C,'Ausgaben 2028'!$C311)</f>
        <v>0</v>
      </c>
      <c r="E311" s="21">
        <f>SUMIFS(Einzelbeträge!$D:$D,Einzelbeträge!$C:$C,'Ausgaben 2028'!$C311,Einzelbeträge!$E:$E,'Ausgaben 2028'!E$6)</f>
        <v>0</v>
      </c>
      <c r="F311" s="21">
        <f>SUMIFS(Einzelbeträge!$D:$D,Einzelbeträge!$C:$C,'Ausgaben 2028'!$C311,Einzelbeträge!$E:$E,'Ausgaben 2028'!F$6)</f>
        <v>0</v>
      </c>
      <c r="G311" s="21">
        <f>SUMIFS(Einzelbeträge!$D:$D,Einzelbeträge!$C:$C,'Ausgaben 2028'!$C311,Einzelbeträge!$E:$E,'Ausgaben 2028'!G$6)</f>
        <v>0</v>
      </c>
      <c r="H311" s="21">
        <f>SUMIFS(Einzelbeträge!$D:$D,Einzelbeträge!$C:$C,'Ausgaben 2028'!$C311,Einzelbeträge!$E:$E,'Ausgaben 2028'!H$6)</f>
        <v>0</v>
      </c>
      <c r="I311" s="21">
        <f>SUMIFS(Einzelbeträge!$D:$D,Einzelbeträge!$C:$C,'Ausgaben 2028'!$C311,Einzelbeträge!$E:$E,'Ausgaben 2028'!I$6)</f>
        <v>0</v>
      </c>
      <c r="J311" s="21">
        <f>SUMIFS(Einzelbeträge!$D:$D,Einzelbeträge!$C:$C,'Ausgaben 2028'!$C311,Einzelbeträge!$E:$E,'Ausgaben 2028'!J$6)</f>
        <v>0</v>
      </c>
      <c r="K311" s="21">
        <f>SUMIFS(Einzelbeträge!$D:$D,Einzelbeträge!$C:$C,'Ausgaben 2028'!$C311,Einzelbeträge!$E:$E,'Ausgaben 2028'!K$6)</f>
        <v>0</v>
      </c>
      <c r="L311" s="21">
        <f>SUMIFS(Einzelbeträge!$D:$D,Einzelbeträge!$C:$C,'Ausgaben 2028'!$C311,Einzelbeträge!$E:$E,'Ausgaben 2028'!L$6)</f>
        <v>0</v>
      </c>
      <c r="M311" s="21">
        <f>SUMIFS(Einzelbeträge!$D:$D,Einzelbeträge!$C:$C,'Ausgaben 2028'!$C311,Einzelbeträge!$E:$E,'Ausgaben 2028'!M$6)</f>
        <v>0</v>
      </c>
      <c r="N311" s="35">
        <f>SUMIFS(Einzelbeträge!$D:$D,Einzelbeträge!$C:$C,'Ausgaben 2028'!$C311,Einzelbeträge!$E:$E,'Ausgaben 2028'!N$6)</f>
        <v>0</v>
      </c>
      <c r="O311" s="6"/>
    </row>
    <row r="312" spans="2:15" x14ac:dyDescent="0.35">
      <c r="B312" s="5"/>
      <c r="C312" s="40">
        <f t="shared" si="25"/>
        <v>47031</v>
      </c>
      <c r="D312" s="46">
        <f>SUMIFS(Einzelbeträge!$D:$D,Einzelbeträge!$C:$C,'Ausgaben 2028'!$C312)</f>
        <v>0</v>
      </c>
      <c r="E312" s="21">
        <f>SUMIFS(Einzelbeträge!$D:$D,Einzelbeträge!$C:$C,'Ausgaben 2028'!$C312,Einzelbeträge!$E:$E,'Ausgaben 2028'!E$6)</f>
        <v>0</v>
      </c>
      <c r="F312" s="21">
        <f>SUMIFS(Einzelbeträge!$D:$D,Einzelbeträge!$C:$C,'Ausgaben 2028'!$C312,Einzelbeträge!$E:$E,'Ausgaben 2028'!F$6)</f>
        <v>0</v>
      </c>
      <c r="G312" s="21">
        <f>SUMIFS(Einzelbeträge!$D:$D,Einzelbeträge!$C:$C,'Ausgaben 2028'!$C312,Einzelbeträge!$E:$E,'Ausgaben 2028'!G$6)</f>
        <v>0</v>
      </c>
      <c r="H312" s="21">
        <f>SUMIFS(Einzelbeträge!$D:$D,Einzelbeträge!$C:$C,'Ausgaben 2028'!$C312,Einzelbeträge!$E:$E,'Ausgaben 2028'!H$6)</f>
        <v>0</v>
      </c>
      <c r="I312" s="21">
        <f>SUMIFS(Einzelbeträge!$D:$D,Einzelbeträge!$C:$C,'Ausgaben 2028'!$C312,Einzelbeträge!$E:$E,'Ausgaben 2028'!I$6)</f>
        <v>0</v>
      </c>
      <c r="J312" s="21">
        <f>SUMIFS(Einzelbeträge!$D:$D,Einzelbeträge!$C:$C,'Ausgaben 2028'!$C312,Einzelbeträge!$E:$E,'Ausgaben 2028'!J$6)</f>
        <v>0</v>
      </c>
      <c r="K312" s="21">
        <f>SUMIFS(Einzelbeträge!$D:$D,Einzelbeträge!$C:$C,'Ausgaben 2028'!$C312,Einzelbeträge!$E:$E,'Ausgaben 2028'!K$6)</f>
        <v>0</v>
      </c>
      <c r="L312" s="21">
        <f>SUMIFS(Einzelbeträge!$D:$D,Einzelbeträge!$C:$C,'Ausgaben 2028'!$C312,Einzelbeträge!$E:$E,'Ausgaben 2028'!L$6)</f>
        <v>0</v>
      </c>
      <c r="M312" s="21">
        <f>SUMIFS(Einzelbeträge!$D:$D,Einzelbeträge!$C:$C,'Ausgaben 2028'!$C312,Einzelbeträge!$E:$E,'Ausgaben 2028'!M$6)</f>
        <v>0</v>
      </c>
      <c r="N312" s="35">
        <f>SUMIFS(Einzelbeträge!$D:$D,Einzelbeträge!$C:$C,'Ausgaben 2028'!$C312,Einzelbeträge!$E:$E,'Ausgaben 2028'!N$6)</f>
        <v>0</v>
      </c>
      <c r="O312" s="6"/>
    </row>
    <row r="313" spans="2:15" x14ac:dyDescent="0.35">
      <c r="B313" s="5"/>
      <c r="C313" s="40">
        <f t="shared" si="25"/>
        <v>47032</v>
      </c>
      <c r="D313" s="46">
        <f>SUMIFS(Einzelbeträge!$D:$D,Einzelbeträge!$C:$C,'Ausgaben 2028'!$C313)</f>
        <v>0</v>
      </c>
      <c r="E313" s="21">
        <f>SUMIFS(Einzelbeträge!$D:$D,Einzelbeträge!$C:$C,'Ausgaben 2028'!$C313,Einzelbeträge!$E:$E,'Ausgaben 2028'!E$6)</f>
        <v>0</v>
      </c>
      <c r="F313" s="21">
        <f>SUMIFS(Einzelbeträge!$D:$D,Einzelbeträge!$C:$C,'Ausgaben 2028'!$C313,Einzelbeträge!$E:$E,'Ausgaben 2028'!F$6)</f>
        <v>0</v>
      </c>
      <c r="G313" s="21">
        <f>SUMIFS(Einzelbeträge!$D:$D,Einzelbeträge!$C:$C,'Ausgaben 2028'!$C313,Einzelbeträge!$E:$E,'Ausgaben 2028'!G$6)</f>
        <v>0</v>
      </c>
      <c r="H313" s="21">
        <f>SUMIFS(Einzelbeträge!$D:$D,Einzelbeträge!$C:$C,'Ausgaben 2028'!$C313,Einzelbeträge!$E:$E,'Ausgaben 2028'!H$6)</f>
        <v>0</v>
      </c>
      <c r="I313" s="21">
        <f>SUMIFS(Einzelbeträge!$D:$D,Einzelbeträge!$C:$C,'Ausgaben 2028'!$C313,Einzelbeträge!$E:$E,'Ausgaben 2028'!I$6)</f>
        <v>0</v>
      </c>
      <c r="J313" s="21">
        <f>SUMIFS(Einzelbeträge!$D:$D,Einzelbeträge!$C:$C,'Ausgaben 2028'!$C313,Einzelbeträge!$E:$E,'Ausgaben 2028'!J$6)</f>
        <v>0</v>
      </c>
      <c r="K313" s="21">
        <f>SUMIFS(Einzelbeträge!$D:$D,Einzelbeträge!$C:$C,'Ausgaben 2028'!$C313,Einzelbeträge!$E:$E,'Ausgaben 2028'!K$6)</f>
        <v>0</v>
      </c>
      <c r="L313" s="21">
        <f>SUMIFS(Einzelbeträge!$D:$D,Einzelbeträge!$C:$C,'Ausgaben 2028'!$C313,Einzelbeträge!$E:$E,'Ausgaben 2028'!L$6)</f>
        <v>0</v>
      </c>
      <c r="M313" s="21">
        <f>SUMIFS(Einzelbeträge!$D:$D,Einzelbeträge!$C:$C,'Ausgaben 2028'!$C313,Einzelbeträge!$E:$E,'Ausgaben 2028'!M$6)</f>
        <v>0</v>
      </c>
      <c r="N313" s="35">
        <f>SUMIFS(Einzelbeträge!$D:$D,Einzelbeträge!$C:$C,'Ausgaben 2028'!$C313,Einzelbeträge!$E:$E,'Ausgaben 2028'!N$6)</f>
        <v>0</v>
      </c>
      <c r="O313" s="6"/>
    </row>
    <row r="314" spans="2:15" x14ac:dyDescent="0.35">
      <c r="B314" s="5"/>
      <c r="C314" s="40">
        <f t="shared" si="25"/>
        <v>47033</v>
      </c>
      <c r="D314" s="46">
        <f>SUMIFS(Einzelbeträge!$D:$D,Einzelbeträge!$C:$C,'Ausgaben 2028'!$C314)</f>
        <v>0</v>
      </c>
      <c r="E314" s="21">
        <f>SUMIFS(Einzelbeträge!$D:$D,Einzelbeträge!$C:$C,'Ausgaben 2028'!$C314,Einzelbeträge!$E:$E,'Ausgaben 2028'!E$6)</f>
        <v>0</v>
      </c>
      <c r="F314" s="21">
        <f>SUMIFS(Einzelbeträge!$D:$D,Einzelbeträge!$C:$C,'Ausgaben 2028'!$C314,Einzelbeträge!$E:$E,'Ausgaben 2028'!F$6)</f>
        <v>0</v>
      </c>
      <c r="G314" s="21">
        <f>SUMIFS(Einzelbeträge!$D:$D,Einzelbeträge!$C:$C,'Ausgaben 2028'!$C314,Einzelbeträge!$E:$E,'Ausgaben 2028'!G$6)</f>
        <v>0</v>
      </c>
      <c r="H314" s="21">
        <f>SUMIFS(Einzelbeträge!$D:$D,Einzelbeträge!$C:$C,'Ausgaben 2028'!$C314,Einzelbeträge!$E:$E,'Ausgaben 2028'!H$6)</f>
        <v>0</v>
      </c>
      <c r="I314" s="21">
        <f>SUMIFS(Einzelbeträge!$D:$D,Einzelbeträge!$C:$C,'Ausgaben 2028'!$C314,Einzelbeträge!$E:$E,'Ausgaben 2028'!I$6)</f>
        <v>0</v>
      </c>
      <c r="J314" s="21">
        <f>SUMIFS(Einzelbeträge!$D:$D,Einzelbeträge!$C:$C,'Ausgaben 2028'!$C314,Einzelbeträge!$E:$E,'Ausgaben 2028'!J$6)</f>
        <v>0</v>
      </c>
      <c r="K314" s="21">
        <f>SUMIFS(Einzelbeträge!$D:$D,Einzelbeträge!$C:$C,'Ausgaben 2028'!$C314,Einzelbeträge!$E:$E,'Ausgaben 2028'!K$6)</f>
        <v>0</v>
      </c>
      <c r="L314" s="21">
        <f>SUMIFS(Einzelbeträge!$D:$D,Einzelbeträge!$C:$C,'Ausgaben 2028'!$C314,Einzelbeträge!$E:$E,'Ausgaben 2028'!L$6)</f>
        <v>0</v>
      </c>
      <c r="M314" s="21">
        <f>SUMIFS(Einzelbeträge!$D:$D,Einzelbeträge!$C:$C,'Ausgaben 2028'!$C314,Einzelbeträge!$E:$E,'Ausgaben 2028'!M$6)</f>
        <v>0</v>
      </c>
      <c r="N314" s="35">
        <f>SUMIFS(Einzelbeträge!$D:$D,Einzelbeträge!$C:$C,'Ausgaben 2028'!$C314,Einzelbeträge!$E:$E,'Ausgaben 2028'!N$6)</f>
        <v>0</v>
      </c>
      <c r="O314" s="6"/>
    </row>
    <row r="315" spans="2:15" x14ac:dyDescent="0.35">
      <c r="B315" s="5"/>
      <c r="C315" s="40">
        <f t="shared" si="25"/>
        <v>47034</v>
      </c>
      <c r="D315" s="46">
        <f>SUMIFS(Einzelbeträge!$D:$D,Einzelbeträge!$C:$C,'Ausgaben 2028'!$C315)</f>
        <v>0</v>
      </c>
      <c r="E315" s="21">
        <f>SUMIFS(Einzelbeträge!$D:$D,Einzelbeträge!$C:$C,'Ausgaben 2028'!$C315,Einzelbeträge!$E:$E,'Ausgaben 2028'!E$6)</f>
        <v>0</v>
      </c>
      <c r="F315" s="21">
        <f>SUMIFS(Einzelbeträge!$D:$D,Einzelbeträge!$C:$C,'Ausgaben 2028'!$C315,Einzelbeträge!$E:$E,'Ausgaben 2028'!F$6)</f>
        <v>0</v>
      </c>
      <c r="G315" s="21">
        <f>SUMIFS(Einzelbeträge!$D:$D,Einzelbeträge!$C:$C,'Ausgaben 2028'!$C315,Einzelbeträge!$E:$E,'Ausgaben 2028'!G$6)</f>
        <v>0</v>
      </c>
      <c r="H315" s="21">
        <f>SUMIFS(Einzelbeträge!$D:$D,Einzelbeträge!$C:$C,'Ausgaben 2028'!$C315,Einzelbeträge!$E:$E,'Ausgaben 2028'!H$6)</f>
        <v>0</v>
      </c>
      <c r="I315" s="21">
        <f>SUMIFS(Einzelbeträge!$D:$D,Einzelbeträge!$C:$C,'Ausgaben 2028'!$C315,Einzelbeträge!$E:$E,'Ausgaben 2028'!I$6)</f>
        <v>0</v>
      </c>
      <c r="J315" s="21">
        <f>SUMIFS(Einzelbeträge!$D:$D,Einzelbeträge!$C:$C,'Ausgaben 2028'!$C315,Einzelbeträge!$E:$E,'Ausgaben 2028'!J$6)</f>
        <v>0</v>
      </c>
      <c r="K315" s="21">
        <f>SUMIFS(Einzelbeträge!$D:$D,Einzelbeträge!$C:$C,'Ausgaben 2028'!$C315,Einzelbeträge!$E:$E,'Ausgaben 2028'!K$6)</f>
        <v>0</v>
      </c>
      <c r="L315" s="21">
        <f>SUMIFS(Einzelbeträge!$D:$D,Einzelbeträge!$C:$C,'Ausgaben 2028'!$C315,Einzelbeträge!$E:$E,'Ausgaben 2028'!L$6)</f>
        <v>0</v>
      </c>
      <c r="M315" s="21">
        <f>SUMIFS(Einzelbeträge!$D:$D,Einzelbeträge!$C:$C,'Ausgaben 2028'!$C315,Einzelbeträge!$E:$E,'Ausgaben 2028'!M$6)</f>
        <v>0</v>
      </c>
      <c r="N315" s="35">
        <f>SUMIFS(Einzelbeträge!$D:$D,Einzelbeträge!$C:$C,'Ausgaben 2028'!$C315,Einzelbeträge!$E:$E,'Ausgaben 2028'!N$6)</f>
        <v>0</v>
      </c>
      <c r="O315" s="6"/>
    </row>
    <row r="316" spans="2:15" x14ac:dyDescent="0.35">
      <c r="B316" s="5"/>
      <c r="C316" s="40">
        <f t="shared" si="25"/>
        <v>47035</v>
      </c>
      <c r="D316" s="46">
        <f>SUMIFS(Einzelbeträge!$D:$D,Einzelbeträge!$C:$C,'Ausgaben 2028'!$C316)</f>
        <v>0</v>
      </c>
      <c r="E316" s="21">
        <f>SUMIFS(Einzelbeträge!$D:$D,Einzelbeträge!$C:$C,'Ausgaben 2028'!$C316,Einzelbeträge!$E:$E,'Ausgaben 2028'!E$6)</f>
        <v>0</v>
      </c>
      <c r="F316" s="21">
        <f>SUMIFS(Einzelbeträge!$D:$D,Einzelbeträge!$C:$C,'Ausgaben 2028'!$C316,Einzelbeträge!$E:$E,'Ausgaben 2028'!F$6)</f>
        <v>0</v>
      </c>
      <c r="G316" s="21">
        <f>SUMIFS(Einzelbeträge!$D:$D,Einzelbeträge!$C:$C,'Ausgaben 2028'!$C316,Einzelbeträge!$E:$E,'Ausgaben 2028'!G$6)</f>
        <v>0</v>
      </c>
      <c r="H316" s="21">
        <f>SUMIFS(Einzelbeträge!$D:$D,Einzelbeträge!$C:$C,'Ausgaben 2028'!$C316,Einzelbeträge!$E:$E,'Ausgaben 2028'!H$6)</f>
        <v>0</v>
      </c>
      <c r="I316" s="21">
        <f>SUMIFS(Einzelbeträge!$D:$D,Einzelbeträge!$C:$C,'Ausgaben 2028'!$C316,Einzelbeträge!$E:$E,'Ausgaben 2028'!I$6)</f>
        <v>0</v>
      </c>
      <c r="J316" s="21">
        <f>SUMIFS(Einzelbeträge!$D:$D,Einzelbeträge!$C:$C,'Ausgaben 2028'!$C316,Einzelbeträge!$E:$E,'Ausgaben 2028'!J$6)</f>
        <v>0</v>
      </c>
      <c r="K316" s="21">
        <f>SUMIFS(Einzelbeträge!$D:$D,Einzelbeträge!$C:$C,'Ausgaben 2028'!$C316,Einzelbeträge!$E:$E,'Ausgaben 2028'!K$6)</f>
        <v>0</v>
      </c>
      <c r="L316" s="21">
        <f>SUMIFS(Einzelbeträge!$D:$D,Einzelbeträge!$C:$C,'Ausgaben 2028'!$C316,Einzelbeträge!$E:$E,'Ausgaben 2028'!L$6)</f>
        <v>0</v>
      </c>
      <c r="M316" s="21">
        <f>SUMIFS(Einzelbeträge!$D:$D,Einzelbeträge!$C:$C,'Ausgaben 2028'!$C316,Einzelbeträge!$E:$E,'Ausgaben 2028'!M$6)</f>
        <v>0</v>
      </c>
      <c r="N316" s="35">
        <f>SUMIFS(Einzelbeträge!$D:$D,Einzelbeträge!$C:$C,'Ausgaben 2028'!$C316,Einzelbeträge!$E:$E,'Ausgaben 2028'!N$6)</f>
        <v>0</v>
      </c>
      <c r="O316" s="6"/>
    </row>
    <row r="317" spans="2:15" x14ac:dyDescent="0.35">
      <c r="B317" s="5"/>
      <c r="C317" s="40">
        <f t="shared" si="25"/>
        <v>47036</v>
      </c>
      <c r="D317" s="46">
        <f>SUMIFS(Einzelbeträge!$D:$D,Einzelbeträge!$C:$C,'Ausgaben 2028'!$C317)</f>
        <v>0</v>
      </c>
      <c r="E317" s="21">
        <f>SUMIFS(Einzelbeträge!$D:$D,Einzelbeträge!$C:$C,'Ausgaben 2028'!$C317,Einzelbeträge!$E:$E,'Ausgaben 2028'!E$6)</f>
        <v>0</v>
      </c>
      <c r="F317" s="21">
        <f>SUMIFS(Einzelbeträge!$D:$D,Einzelbeträge!$C:$C,'Ausgaben 2028'!$C317,Einzelbeträge!$E:$E,'Ausgaben 2028'!F$6)</f>
        <v>0</v>
      </c>
      <c r="G317" s="21">
        <f>SUMIFS(Einzelbeträge!$D:$D,Einzelbeträge!$C:$C,'Ausgaben 2028'!$C317,Einzelbeträge!$E:$E,'Ausgaben 2028'!G$6)</f>
        <v>0</v>
      </c>
      <c r="H317" s="21">
        <f>SUMIFS(Einzelbeträge!$D:$D,Einzelbeträge!$C:$C,'Ausgaben 2028'!$C317,Einzelbeträge!$E:$E,'Ausgaben 2028'!H$6)</f>
        <v>0</v>
      </c>
      <c r="I317" s="21">
        <f>SUMIFS(Einzelbeträge!$D:$D,Einzelbeträge!$C:$C,'Ausgaben 2028'!$C317,Einzelbeträge!$E:$E,'Ausgaben 2028'!I$6)</f>
        <v>0</v>
      </c>
      <c r="J317" s="21">
        <f>SUMIFS(Einzelbeträge!$D:$D,Einzelbeträge!$C:$C,'Ausgaben 2028'!$C317,Einzelbeträge!$E:$E,'Ausgaben 2028'!J$6)</f>
        <v>0</v>
      </c>
      <c r="K317" s="21">
        <f>SUMIFS(Einzelbeträge!$D:$D,Einzelbeträge!$C:$C,'Ausgaben 2028'!$C317,Einzelbeträge!$E:$E,'Ausgaben 2028'!K$6)</f>
        <v>0</v>
      </c>
      <c r="L317" s="21">
        <f>SUMIFS(Einzelbeträge!$D:$D,Einzelbeträge!$C:$C,'Ausgaben 2028'!$C317,Einzelbeträge!$E:$E,'Ausgaben 2028'!L$6)</f>
        <v>0</v>
      </c>
      <c r="M317" s="21">
        <f>SUMIFS(Einzelbeträge!$D:$D,Einzelbeträge!$C:$C,'Ausgaben 2028'!$C317,Einzelbeträge!$E:$E,'Ausgaben 2028'!M$6)</f>
        <v>0</v>
      </c>
      <c r="N317" s="35">
        <f>SUMIFS(Einzelbeträge!$D:$D,Einzelbeträge!$C:$C,'Ausgaben 2028'!$C317,Einzelbeträge!$E:$E,'Ausgaben 2028'!N$6)</f>
        <v>0</v>
      </c>
      <c r="O317" s="6"/>
    </row>
    <row r="318" spans="2:15" x14ac:dyDescent="0.35">
      <c r="B318" s="5"/>
      <c r="C318" s="40">
        <f t="shared" si="25"/>
        <v>47037</v>
      </c>
      <c r="D318" s="46">
        <f>SUMIFS(Einzelbeträge!$D:$D,Einzelbeträge!$C:$C,'Ausgaben 2028'!$C318)</f>
        <v>0</v>
      </c>
      <c r="E318" s="21">
        <f>SUMIFS(Einzelbeträge!$D:$D,Einzelbeträge!$C:$C,'Ausgaben 2028'!$C318,Einzelbeträge!$E:$E,'Ausgaben 2028'!E$6)</f>
        <v>0</v>
      </c>
      <c r="F318" s="21">
        <f>SUMIFS(Einzelbeträge!$D:$D,Einzelbeträge!$C:$C,'Ausgaben 2028'!$C318,Einzelbeträge!$E:$E,'Ausgaben 2028'!F$6)</f>
        <v>0</v>
      </c>
      <c r="G318" s="21">
        <f>SUMIFS(Einzelbeträge!$D:$D,Einzelbeträge!$C:$C,'Ausgaben 2028'!$C318,Einzelbeträge!$E:$E,'Ausgaben 2028'!G$6)</f>
        <v>0</v>
      </c>
      <c r="H318" s="21">
        <f>SUMIFS(Einzelbeträge!$D:$D,Einzelbeträge!$C:$C,'Ausgaben 2028'!$C318,Einzelbeträge!$E:$E,'Ausgaben 2028'!H$6)</f>
        <v>0</v>
      </c>
      <c r="I318" s="21">
        <f>SUMIFS(Einzelbeträge!$D:$D,Einzelbeträge!$C:$C,'Ausgaben 2028'!$C318,Einzelbeträge!$E:$E,'Ausgaben 2028'!I$6)</f>
        <v>0</v>
      </c>
      <c r="J318" s="21">
        <f>SUMIFS(Einzelbeträge!$D:$D,Einzelbeträge!$C:$C,'Ausgaben 2028'!$C318,Einzelbeträge!$E:$E,'Ausgaben 2028'!J$6)</f>
        <v>0</v>
      </c>
      <c r="K318" s="21">
        <f>SUMIFS(Einzelbeträge!$D:$D,Einzelbeträge!$C:$C,'Ausgaben 2028'!$C318,Einzelbeträge!$E:$E,'Ausgaben 2028'!K$6)</f>
        <v>0</v>
      </c>
      <c r="L318" s="21">
        <f>SUMIFS(Einzelbeträge!$D:$D,Einzelbeträge!$C:$C,'Ausgaben 2028'!$C318,Einzelbeträge!$E:$E,'Ausgaben 2028'!L$6)</f>
        <v>0</v>
      </c>
      <c r="M318" s="21">
        <f>SUMIFS(Einzelbeträge!$D:$D,Einzelbeträge!$C:$C,'Ausgaben 2028'!$C318,Einzelbeträge!$E:$E,'Ausgaben 2028'!M$6)</f>
        <v>0</v>
      </c>
      <c r="N318" s="35">
        <f>SUMIFS(Einzelbeträge!$D:$D,Einzelbeträge!$C:$C,'Ausgaben 2028'!$C318,Einzelbeträge!$E:$E,'Ausgaben 2028'!N$6)</f>
        <v>0</v>
      </c>
      <c r="O318" s="6"/>
    </row>
    <row r="319" spans="2:15" x14ac:dyDescent="0.35">
      <c r="B319" s="5"/>
      <c r="C319" s="40">
        <f t="shared" si="25"/>
        <v>47038</v>
      </c>
      <c r="D319" s="46">
        <f>SUMIFS(Einzelbeträge!$D:$D,Einzelbeträge!$C:$C,'Ausgaben 2028'!$C319)</f>
        <v>0</v>
      </c>
      <c r="E319" s="21">
        <f>SUMIFS(Einzelbeträge!$D:$D,Einzelbeträge!$C:$C,'Ausgaben 2028'!$C319,Einzelbeträge!$E:$E,'Ausgaben 2028'!E$6)</f>
        <v>0</v>
      </c>
      <c r="F319" s="21">
        <f>SUMIFS(Einzelbeträge!$D:$D,Einzelbeträge!$C:$C,'Ausgaben 2028'!$C319,Einzelbeträge!$E:$E,'Ausgaben 2028'!F$6)</f>
        <v>0</v>
      </c>
      <c r="G319" s="21">
        <f>SUMIFS(Einzelbeträge!$D:$D,Einzelbeträge!$C:$C,'Ausgaben 2028'!$C319,Einzelbeträge!$E:$E,'Ausgaben 2028'!G$6)</f>
        <v>0</v>
      </c>
      <c r="H319" s="21">
        <f>SUMIFS(Einzelbeträge!$D:$D,Einzelbeträge!$C:$C,'Ausgaben 2028'!$C319,Einzelbeträge!$E:$E,'Ausgaben 2028'!H$6)</f>
        <v>0</v>
      </c>
      <c r="I319" s="21">
        <f>SUMIFS(Einzelbeträge!$D:$D,Einzelbeträge!$C:$C,'Ausgaben 2028'!$C319,Einzelbeträge!$E:$E,'Ausgaben 2028'!I$6)</f>
        <v>0</v>
      </c>
      <c r="J319" s="21">
        <f>SUMIFS(Einzelbeträge!$D:$D,Einzelbeträge!$C:$C,'Ausgaben 2028'!$C319,Einzelbeträge!$E:$E,'Ausgaben 2028'!J$6)</f>
        <v>0</v>
      </c>
      <c r="K319" s="21">
        <f>SUMIFS(Einzelbeträge!$D:$D,Einzelbeträge!$C:$C,'Ausgaben 2028'!$C319,Einzelbeträge!$E:$E,'Ausgaben 2028'!K$6)</f>
        <v>0</v>
      </c>
      <c r="L319" s="21">
        <f>SUMIFS(Einzelbeträge!$D:$D,Einzelbeträge!$C:$C,'Ausgaben 2028'!$C319,Einzelbeträge!$E:$E,'Ausgaben 2028'!L$6)</f>
        <v>0</v>
      </c>
      <c r="M319" s="21">
        <f>SUMIFS(Einzelbeträge!$D:$D,Einzelbeträge!$C:$C,'Ausgaben 2028'!$C319,Einzelbeträge!$E:$E,'Ausgaben 2028'!M$6)</f>
        <v>0</v>
      </c>
      <c r="N319" s="35">
        <f>SUMIFS(Einzelbeträge!$D:$D,Einzelbeträge!$C:$C,'Ausgaben 2028'!$C319,Einzelbeträge!$E:$E,'Ausgaben 2028'!N$6)</f>
        <v>0</v>
      </c>
      <c r="O319" s="6"/>
    </row>
    <row r="320" spans="2:15" x14ac:dyDescent="0.35">
      <c r="B320" s="5"/>
      <c r="C320" s="40">
        <f t="shared" si="25"/>
        <v>47039</v>
      </c>
      <c r="D320" s="46">
        <f>SUMIFS(Einzelbeträge!$D:$D,Einzelbeträge!$C:$C,'Ausgaben 2028'!$C320)</f>
        <v>0</v>
      </c>
      <c r="E320" s="21">
        <f>SUMIFS(Einzelbeträge!$D:$D,Einzelbeträge!$C:$C,'Ausgaben 2028'!$C320,Einzelbeträge!$E:$E,'Ausgaben 2028'!E$6)</f>
        <v>0</v>
      </c>
      <c r="F320" s="21">
        <f>SUMIFS(Einzelbeträge!$D:$D,Einzelbeträge!$C:$C,'Ausgaben 2028'!$C320,Einzelbeträge!$E:$E,'Ausgaben 2028'!F$6)</f>
        <v>0</v>
      </c>
      <c r="G320" s="21">
        <f>SUMIFS(Einzelbeträge!$D:$D,Einzelbeträge!$C:$C,'Ausgaben 2028'!$C320,Einzelbeträge!$E:$E,'Ausgaben 2028'!G$6)</f>
        <v>0</v>
      </c>
      <c r="H320" s="21">
        <f>SUMIFS(Einzelbeträge!$D:$D,Einzelbeträge!$C:$C,'Ausgaben 2028'!$C320,Einzelbeträge!$E:$E,'Ausgaben 2028'!H$6)</f>
        <v>0</v>
      </c>
      <c r="I320" s="21">
        <f>SUMIFS(Einzelbeträge!$D:$D,Einzelbeträge!$C:$C,'Ausgaben 2028'!$C320,Einzelbeträge!$E:$E,'Ausgaben 2028'!I$6)</f>
        <v>0</v>
      </c>
      <c r="J320" s="21">
        <f>SUMIFS(Einzelbeträge!$D:$D,Einzelbeträge!$C:$C,'Ausgaben 2028'!$C320,Einzelbeträge!$E:$E,'Ausgaben 2028'!J$6)</f>
        <v>0</v>
      </c>
      <c r="K320" s="21">
        <f>SUMIFS(Einzelbeträge!$D:$D,Einzelbeträge!$C:$C,'Ausgaben 2028'!$C320,Einzelbeträge!$E:$E,'Ausgaben 2028'!K$6)</f>
        <v>0</v>
      </c>
      <c r="L320" s="21">
        <f>SUMIFS(Einzelbeträge!$D:$D,Einzelbeträge!$C:$C,'Ausgaben 2028'!$C320,Einzelbeträge!$E:$E,'Ausgaben 2028'!L$6)</f>
        <v>0</v>
      </c>
      <c r="M320" s="21">
        <f>SUMIFS(Einzelbeträge!$D:$D,Einzelbeträge!$C:$C,'Ausgaben 2028'!$C320,Einzelbeträge!$E:$E,'Ausgaben 2028'!M$6)</f>
        <v>0</v>
      </c>
      <c r="N320" s="35">
        <f>SUMIFS(Einzelbeträge!$D:$D,Einzelbeträge!$C:$C,'Ausgaben 2028'!$C320,Einzelbeträge!$E:$E,'Ausgaben 2028'!N$6)</f>
        <v>0</v>
      </c>
      <c r="O320" s="6"/>
    </row>
    <row r="321" spans="2:15" x14ac:dyDescent="0.35">
      <c r="B321" s="5"/>
      <c r="C321" s="40">
        <f t="shared" si="25"/>
        <v>47040</v>
      </c>
      <c r="D321" s="46">
        <f>SUMIFS(Einzelbeträge!$D:$D,Einzelbeträge!$C:$C,'Ausgaben 2028'!$C321)</f>
        <v>0</v>
      </c>
      <c r="E321" s="21">
        <f>SUMIFS(Einzelbeträge!$D:$D,Einzelbeträge!$C:$C,'Ausgaben 2028'!$C321,Einzelbeträge!$E:$E,'Ausgaben 2028'!E$6)</f>
        <v>0</v>
      </c>
      <c r="F321" s="21">
        <f>SUMIFS(Einzelbeträge!$D:$D,Einzelbeträge!$C:$C,'Ausgaben 2028'!$C321,Einzelbeträge!$E:$E,'Ausgaben 2028'!F$6)</f>
        <v>0</v>
      </c>
      <c r="G321" s="21">
        <f>SUMIFS(Einzelbeträge!$D:$D,Einzelbeträge!$C:$C,'Ausgaben 2028'!$C321,Einzelbeträge!$E:$E,'Ausgaben 2028'!G$6)</f>
        <v>0</v>
      </c>
      <c r="H321" s="21">
        <f>SUMIFS(Einzelbeträge!$D:$D,Einzelbeträge!$C:$C,'Ausgaben 2028'!$C321,Einzelbeträge!$E:$E,'Ausgaben 2028'!H$6)</f>
        <v>0</v>
      </c>
      <c r="I321" s="21">
        <f>SUMIFS(Einzelbeträge!$D:$D,Einzelbeträge!$C:$C,'Ausgaben 2028'!$C321,Einzelbeträge!$E:$E,'Ausgaben 2028'!I$6)</f>
        <v>0</v>
      </c>
      <c r="J321" s="21">
        <f>SUMIFS(Einzelbeträge!$D:$D,Einzelbeträge!$C:$C,'Ausgaben 2028'!$C321,Einzelbeträge!$E:$E,'Ausgaben 2028'!J$6)</f>
        <v>0</v>
      </c>
      <c r="K321" s="21">
        <f>SUMIFS(Einzelbeträge!$D:$D,Einzelbeträge!$C:$C,'Ausgaben 2028'!$C321,Einzelbeträge!$E:$E,'Ausgaben 2028'!K$6)</f>
        <v>0</v>
      </c>
      <c r="L321" s="21">
        <f>SUMIFS(Einzelbeträge!$D:$D,Einzelbeträge!$C:$C,'Ausgaben 2028'!$C321,Einzelbeträge!$E:$E,'Ausgaben 2028'!L$6)</f>
        <v>0</v>
      </c>
      <c r="M321" s="21">
        <f>SUMIFS(Einzelbeträge!$D:$D,Einzelbeträge!$C:$C,'Ausgaben 2028'!$C321,Einzelbeträge!$E:$E,'Ausgaben 2028'!M$6)</f>
        <v>0</v>
      </c>
      <c r="N321" s="35">
        <f>SUMIFS(Einzelbeträge!$D:$D,Einzelbeträge!$C:$C,'Ausgaben 2028'!$C321,Einzelbeträge!$E:$E,'Ausgaben 2028'!N$6)</f>
        <v>0</v>
      </c>
      <c r="O321" s="6"/>
    </row>
    <row r="322" spans="2:15" x14ac:dyDescent="0.35">
      <c r="B322" s="5"/>
      <c r="C322" s="40">
        <f t="shared" si="25"/>
        <v>47041</v>
      </c>
      <c r="D322" s="46">
        <f>SUMIFS(Einzelbeträge!$D:$D,Einzelbeträge!$C:$C,'Ausgaben 2028'!$C322)</f>
        <v>0</v>
      </c>
      <c r="E322" s="21">
        <f>SUMIFS(Einzelbeträge!$D:$D,Einzelbeträge!$C:$C,'Ausgaben 2028'!$C322,Einzelbeträge!$E:$E,'Ausgaben 2028'!E$6)</f>
        <v>0</v>
      </c>
      <c r="F322" s="21">
        <f>SUMIFS(Einzelbeträge!$D:$D,Einzelbeträge!$C:$C,'Ausgaben 2028'!$C322,Einzelbeträge!$E:$E,'Ausgaben 2028'!F$6)</f>
        <v>0</v>
      </c>
      <c r="G322" s="21">
        <f>SUMIFS(Einzelbeträge!$D:$D,Einzelbeträge!$C:$C,'Ausgaben 2028'!$C322,Einzelbeträge!$E:$E,'Ausgaben 2028'!G$6)</f>
        <v>0</v>
      </c>
      <c r="H322" s="21">
        <f>SUMIFS(Einzelbeträge!$D:$D,Einzelbeträge!$C:$C,'Ausgaben 2028'!$C322,Einzelbeträge!$E:$E,'Ausgaben 2028'!H$6)</f>
        <v>0</v>
      </c>
      <c r="I322" s="21">
        <f>SUMIFS(Einzelbeträge!$D:$D,Einzelbeträge!$C:$C,'Ausgaben 2028'!$C322,Einzelbeträge!$E:$E,'Ausgaben 2028'!I$6)</f>
        <v>0</v>
      </c>
      <c r="J322" s="21">
        <f>SUMIFS(Einzelbeträge!$D:$D,Einzelbeträge!$C:$C,'Ausgaben 2028'!$C322,Einzelbeträge!$E:$E,'Ausgaben 2028'!J$6)</f>
        <v>0</v>
      </c>
      <c r="K322" s="21">
        <f>SUMIFS(Einzelbeträge!$D:$D,Einzelbeträge!$C:$C,'Ausgaben 2028'!$C322,Einzelbeträge!$E:$E,'Ausgaben 2028'!K$6)</f>
        <v>0</v>
      </c>
      <c r="L322" s="21">
        <f>SUMIFS(Einzelbeträge!$D:$D,Einzelbeträge!$C:$C,'Ausgaben 2028'!$C322,Einzelbeträge!$E:$E,'Ausgaben 2028'!L$6)</f>
        <v>0</v>
      </c>
      <c r="M322" s="21">
        <f>SUMIFS(Einzelbeträge!$D:$D,Einzelbeträge!$C:$C,'Ausgaben 2028'!$C322,Einzelbeträge!$E:$E,'Ausgaben 2028'!M$6)</f>
        <v>0</v>
      </c>
      <c r="N322" s="35">
        <f>SUMIFS(Einzelbeträge!$D:$D,Einzelbeträge!$C:$C,'Ausgaben 2028'!$C322,Einzelbeträge!$E:$E,'Ausgaben 2028'!N$6)</f>
        <v>0</v>
      </c>
      <c r="O322" s="6"/>
    </row>
    <row r="323" spans="2:15" x14ac:dyDescent="0.35">
      <c r="B323" s="5"/>
      <c r="C323" s="40">
        <f t="shared" si="25"/>
        <v>47042</v>
      </c>
      <c r="D323" s="46">
        <f>SUMIFS(Einzelbeträge!$D:$D,Einzelbeträge!$C:$C,'Ausgaben 2028'!$C323)</f>
        <v>0</v>
      </c>
      <c r="E323" s="21">
        <f>SUMIFS(Einzelbeträge!$D:$D,Einzelbeträge!$C:$C,'Ausgaben 2028'!$C323,Einzelbeträge!$E:$E,'Ausgaben 2028'!E$6)</f>
        <v>0</v>
      </c>
      <c r="F323" s="21">
        <f>SUMIFS(Einzelbeträge!$D:$D,Einzelbeträge!$C:$C,'Ausgaben 2028'!$C323,Einzelbeträge!$E:$E,'Ausgaben 2028'!F$6)</f>
        <v>0</v>
      </c>
      <c r="G323" s="21">
        <f>SUMIFS(Einzelbeträge!$D:$D,Einzelbeträge!$C:$C,'Ausgaben 2028'!$C323,Einzelbeträge!$E:$E,'Ausgaben 2028'!G$6)</f>
        <v>0</v>
      </c>
      <c r="H323" s="21">
        <f>SUMIFS(Einzelbeträge!$D:$D,Einzelbeträge!$C:$C,'Ausgaben 2028'!$C323,Einzelbeträge!$E:$E,'Ausgaben 2028'!H$6)</f>
        <v>0</v>
      </c>
      <c r="I323" s="21">
        <f>SUMIFS(Einzelbeträge!$D:$D,Einzelbeträge!$C:$C,'Ausgaben 2028'!$C323,Einzelbeträge!$E:$E,'Ausgaben 2028'!I$6)</f>
        <v>0</v>
      </c>
      <c r="J323" s="21">
        <f>SUMIFS(Einzelbeträge!$D:$D,Einzelbeträge!$C:$C,'Ausgaben 2028'!$C323,Einzelbeträge!$E:$E,'Ausgaben 2028'!J$6)</f>
        <v>0</v>
      </c>
      <c r="K323" s="21">
        <f>SUMIFS(Einzelbeträge!$D:$D,Einzelbeträge!$C:$C,'Ausgaben 2028'!$C323,Einzelbeträge!$E:$E,'Ausgaben 2028'!K$6)</f>
        <v>0</v>
      </c>
      <c r="L323" s="21">
        <f>SUMIFS(Einzelbeträge!$D:$D,Einzelbeträge!$C:$C,'Ausgaben 2028'!$C323,Einzelbeträge!$E:$E,'Ausgaben 2028'!L$6)</f>
        <v>0</v>
      </c>
      <c r="M323" s="21">
        <f>SUMIFS(Einzelbeträge!$D:$D,Einzelbeträge!$C:$C,'Ausgaben 2028'!$C323,Einzelbeträge!$E:$E,'Ausgaben 2028'!M$6)</f>
        <v>0</v>
      </c>
      <c r="N323" s="35">
        <f>SUMIFS(Einzelbeträge!$D:$D,Einzelbeträge!$C:$C,'Ausgaben 2028'!$C323,Einzelbeträge!$E:$E,'Ausgaben 2028'!N$6)</f>
        <v>0</v>
      </c>
      <c r="O323" s="6"/>
    </row>
    <row r="324" spans="2:15" x14ac:dyDescent="0.35">
      <c r="B324" s="5"/>
      <c r="C324" s="40">
        <f t="shared" si="25"/>
        <v>47043</v>
      </c>
      <c r="D324" s="46">
        <f>SUMIFS(Einzelbeträge!$D:$D,Einzelbeträge!$C:$C,'Ausgaben 2028'!$C324)</f>
        <v>0</v>
      </c>
      <c r="E324" s="21">
        <f>SUMIFS(Einzelbeträge!$D:$D,Einzelbeträge!$C:$C,'Ausgaben 2028'!$C324,Einzelbeträge!$E:$E,'Ausgaben 2028'!E$6)</f>
        <v>0</v>
      </c>
      <c r="F324" s="21">
        <f>SUMIFS(Einzelbeträge!$D:$D,Einzelbeträge!$C:$C,'Ausgaben 2028'!$C324,Einzelbeträge!$E:$E,'Ausgaben 2028'!F$6)</f>
        <v>0</v>
      </c>
      <c r="G324" s="21">
        <f>SUMIFS(Einzelbeträge!$D:$D,Einzelbeträge!$C:$C,'Ausgaben 2028'!$C324,Einzelbeträge!$E:$E,'Ausgaben 2028'!G$6)</f>
        <v>0</v>
      </c>
      <c r="H324" s="21">
        <f>SUMIFS(Einzelbeträge!$D:$D,Einzelbeträge!$C:$C,'Ausgaben 2028'!$C324,Einzelbeträge!$E:$E,'Ausgaben 2028'!H$6)</f>
        <v>0</v>
      </c>
      <c r="I324" s="21">
        <f>SUMIFS(Einzelbeträge!$D:$D,Einzelbeträge!$C:$C,'Ausgaben 2028'!$C324,Einzelbeträge!$E:$E,'Ausgaben 2028'!I$6)</f>
        <v>0</v>
      </c>
      <c r="J324" s="21">
        <f>SUMIFS(Einzelbeträge!$D:$D,Einzelbeträge!$C:$C,'Ausgaben 2028'!$C324,Einzelbeträge!$E:$E,'Ausgaben 2028'!J$6)</f>
        <v>0</v>
      </c>
      <c r="K324" s="21">
        <f>SUMIFS(Einzelbeträge!$D:$D,Einzelbeträge!$C:$C,'Ausgaben 2028'!$C324,Einzelbeträge!$E:$E,'Ausgaben 2028'!K$6)</f>
        <v>0</v>
      </c>
      <c r="L324" s="21">
        <f>SUMIFS(Einzelbeträge!$D:$D,Einzelbeträge!$C:$C,'Ausgaben 2028'!$C324,Einzelbeträge!$E:$E,'Ausgaben 2028'!L$6)</f>
        <v>0</v>
      </c>
      <c r="M324" s="21">
        <f>SUMIFS(Einzelbeträge!$D:$D,Einzelbeträge!$C:$C,'Ausgaben 2028'!$C324,Einzelbeträge!$E:$E,'Ausgaben 2028'!M$6)</f>
        <v>0</v>
      </c>
      <c r="N324" s="35">
        <f>SUMIFS(Einzelbeträge!$D:$D,Einzelbeträge!$C:$C,'Ausgaben 2028'!$C324,Einzelbeträge!$E:$E,'Ausgaben 2028'!N$6)</f>
        <v>0</v>
      </c>
      <c r="O324" s="6"/>
    </row>
    <row r="325" spans="2:15" x14ac:dyDescent="0.35">
      <c r="B325" s="5"/>
      <c r="C325" s="40">
        <f t="shared" si="25"/>
        <v>47044</v>
      </c>
      <c r="D325" s="46">
        <f>SUMIFS(Einzelbeträge!$D:$D,Einzelbeträge!$C:$C,'Ausgaben 2028'!$C325)</f>
        <v>0</v>
      </c>
      <c r="E325" s="21">
        <f>SUMIFS(Einzelbeträge!$D:$D,Einzelbeträge!$C:$C,'Ausgaben 2028'!$C325,Einzelbeträge!$E:$E,'Ausgaben 2028'!E$6)</f>
        <v>0</v>
      </c>
      <c r="F325" s="21">
        <f>SUMIFS(Einzelbeträge!$D:$D,Einzelbeträge!$C:$C,'Ausgaben 2028'!$C325,Einzelbeträge!$E:$E,'Ausgaben 2028'!F$6)</f>
        <v>0</v>
      </c>
      <c r="G325" s="21">
        <f>SUMIFS(Einzelbeträge!$D:$D,Einzelbeträge!$C:$C,'Ausgaben 2028'!$C325,Einzelbeträge!$E:$E,'Ausgaben 2028'!G$6)</f>
        <v>0</v>
      </c>
      <c r="H325" s="21">
        <f>SUMIFS(Einzelbeträge!$D:$D,Einzelbeträge!$C:$C,'Ausgaben 2028'!$C325,Einzelbeträge!$E:$E,'Ausgaben 2028'!H$6)</f>
        <v>0</v>
      </c>
      <c r="I325" s="21">
        <f>SUMIFS(Einzelbeträge!$D:$D,Einzelbeträge!$C:$C,'Ausgaben 2028'!$C325,Einzelbeträge!$E:$E,'Ausgaben 2028'!I$6)</f>
        <v>0</v>
      </c>
      <c r="J325" s="21">
        <f>SUMIFS(Einzelbeträge!$D:$D,Einzelbeträge!$C:$C,'Ausgaben 2028'!$C325,Einzelbeträge!$E:$E,'Ausgaben 2028'!J$6)</f>
        <v>0</v>
      </c>
      <c r="K325" s="21">
        <f>SUMIFS(Einzelbeträge!$D:$D,Einzelbeträge!$C:$C,'Ausgaben 2028'!$C325,Einzelbeträge!$E:$E,'Ausgaben 2028'!K$6)</f>
        <v>0</v>
      </c>
      <c r="L325" s="21">
        <f>SUMIFS(Einzelbeträge!$D:$D,Einzelbeträge!$C:$C,'Ausgaben 2028'!$C325,Einzelbeträge!$E:$E,'Ausgaben 2028'!L$6)</f>
        <v>0</v>
      </c>
      <c r="M325" s="21">
        <f>SUMIFS(Einzelbeträge!$D:$D,Einzelbeträge!$C:$C,'Ausgaben 2028'!$C325,Einzelbeträge!$E:$E,'Ausgaben 2028'!M$6)</f>
        <v>0</v>
      </c>
      <c r="N325" s="35">
        <f>SUMIFS(Einzelbeträge!$D:$D,Einzelbeträge!$C:$C,'Ausgaben 2028'!$C325,Einzelbeträge!$E:$E,'Ausgaben 2028'!N$6)</f>
        <v>0</v>
      </c>
      <c r="O325" s="6"/>
    </row>
    <row r="326" spans="2:15" x14ac:dyDescent="0.35">
      <c r="B326" s="5"/>
      <c r="C326" s="40">
        <f t="shared" si="25"/>
        <v>47045</v>
      </c>
      <c r="D326" s="46">
        <f>SUMIFS(Einzelbeträge!$D:$D,Einzelbeträge!$C:$C,'Ausgaben 2028'!$C326)</f>
        <v>0</v>
      </c>
      <c r="E326" s="21">
        <f>SUMIFS(Einzelbeträge!$D:$D,Einzelbeträge!$C:$C,'Ausgaben 2028'!$C326,Einzelbeträge!$E:$E,'Ausgaben 2028'!E$6)</f>
        <v>0</v>
      </c>
      <c r="F326" s="21">
        <f>SUMIFS(Einzelbeträge!$D:$D,Einzelbeträge!$C:$C,'Ausgaben 2028'!$C326,Einzelbeträge!$E:$E,'Ausgaben 2028'!F$6)</f>
        <v>0</v>
      </c>
      <c r="G326" s="21">
        <f>SUMIFS(Einzelbeträge!$D:$D,Einzelbeträge!$C:$C,'Ausgaben 2028'!$C326,Einzelbeträge!$E:$E,'Ausgaben 2028'!G$6)</f>
        <v>0</v>
      </c>
      <c r="H326" s="21">
        <f>SUMIFS(Einzelbeträge!$D:$D,Einzelbeträge!$C:$C,'Ausgaben 2028'!$C326,Einzelbeträge!$E:$E,'Ausgaben 2028'!H$6)</f>
        <v>0</v>
      </c>
      <c r="I326" s="21">
        <f>SUMIFS(Einzelbeträge!$D:$D,Einzelbeträge!$C:$C,'Ausgaben 2028'!$C326,Einzelbeträge!$E:$E,'Ausgaben 2028'!I$6)</f>
        <v>0</v>
      </c>
      <c r="J326" s="21">
        <f>SUMIFS(Einzelbeträge!$D:$D,Einzelbeträge!$C:$C,'Ausgaben 2028'!$C326,Einzelbeträge!$E:$E,'Ausgaben 2028'!J$6)</f>
        <v>0</v>
      </c>
      <c r="K326" s="21">
        <f>SUMIFS(Einzelbeträge!$D:$D,Einzelbeträge!$C:$C,'Ausgaben 2028'!$C326,Einzelbeträge!$E:$E,'Ausgaben 2028'!K$6)</f>
        <v>0</v>
      </c>
      <c r="L326" s="21">
        <f>SUMIFS(Einzelbeträge!$D:$D,Einzelbeträge!$C:$C,'Ausgaben 2028'!$C326,Einzelbeträge!$E:$E,'Ausgaben 2028'!L$6)</f>
        <v>0</v>
      </c>
      <c r="M326" s="21">
        <f>SUMIFS(Einzelbeträge!$D:$D,Einzelbeträge!$C:$C,'Ausgaben 2028'!$C326,Einzelbeträge!$E:$E,'Ausgaben 2028'!M$6)</f>
        <v>0</v>
      </c>
      <c r="N326" s="35">
        <f>SUMIFS(Einzelbeträge!$D:$D,Einzelbeträge!$C:$C,'Ausgaben 2028'!$C326,Einzelbeträge!$E:$E,'Ausgaben 2028'!N$6)</f>
        <v>0</v>
      </c>
      <c r="O326" s="6"/>
    </row>
    <row r="327" spans="2:15" x14ac:dyDescent="0.35">
      <c r="B327" s="5"/>
      <c r="C327" s="40">
        <f t="shared" si="25"/>
        <v>47046</v>
      </c>
      <c r="D327" s="46">
        <f>SUMIFS(Einzelbeträge!$D:$D,Einzelbeträge!$C:$C,'Ausgaben 2028'!$C327)</f>
        <v>0</v>
      </c>
      <c r="E327" s="21">
        <f>SUMIFS(Einzelbeträge!$D:$D,Einzelbeträge!$C:$C,'Ausgaben 2028'!$C327,Einzelbeträge!$E:$E,'Ausgaben 2028'!E$6)</f>
        <v>0</v>
      </c>
      <c r="F327" s="21">
        <f>SUMIFS(Einzelbeträge!$D:$D,Einzelbeträge!$C:$C,'Ausgaben 2028'!$C327,Einzelbeträge!$E:$E,'Ausgaben 2028'!F$6)</f>
        <v>0</v>
      </c>
      <c r="G327" s="21">
        <f>SUMIFS(Einzelbeträge!$D:$D,Einzelbeträge!$C:$C,'Ausgaben 2028'!$C327,Einzelbeträge!$E:$E,'Ausgaben 2028'!G$6)</f>
        <v>0</v>
      </c>
      <c r="H327" s="21">
        <f>SUMIFS(Einzelbeträge!$D:$D,Einzelbeträge!$C:$C,'Ausgaben 2028'!$C327,Einzelbeträge!$E:$E,'Ausgaben 2028'!H$6)</f>
        <v>0</v>
      </c>
      <c r="I327" s="21">
        <f>SUMIFS(Einzelbeträge!$D:$D,Einzelbeträge!$C:$C,'Ausgaben 2028'!$C327,Einzelbeträge!$E:$E,'Ausgaben 2028'!I$6)</f>
        <v>0</v>
      </c>
      <c r="J327" s="21">
        <f>SUMIFS(Einzelbeträge!$D:$D,Einzelbeträge!$C:$C,'Ausgaben 2028'!$C327,Einzelbeträge!$E:$E,'Ausgaben 2028'!J$6)</f>
        <v>0</v>
      </c>
      <c r="K327" s="21">
        <f>SUMIFS(Einzelbeträge!$D:$D,Einzelbeträge!$C:$C,'Ausgaben 2028'!$C327,Einzelbeträge!$E:$E,'Ausgaben 2028'!K$6)</f>
        <v>0</v>
      </c>
      <c r="L327" s="21">
        <f>SUMIFS(Einzelbeträge!$D:$D,Einzelbeträge!$C:$C,'Ausgaben 2028'!$C327,Einzelbeträge!$E:$E,'Ausgaben 2028'!L$6)</f>
        <v>0</v>
      </c>
      <c r="M327" s="21">
        <f>SUMIFS(Einzelbeträge!$D:$D,Einzelbeträge!$C:$C,'Ausgaben 2028'!$C327,Einzelbeträge!$E:$E,'Ausgaben 2028'!M$6)</f>
        <v>0</v>
      </c>
      <c r="N327" s="35">
        <f>SUMIFS(Einzelbeträge!$D:$D,Einzelbeträge!$C:$C,'Ausgaben 2028'!$C327,Einzelbeträge!$E:$E,'Ausgaben 2028'!N$6)</f>
        <v>0</v>
      </c>
      <c r="O327" s="6"/>
    </row>
    <row r="328" spans="2:15" x14ac:dyDescent="0.35">
      <c r="B328" s="5"/>
      <c r="C328" s="40">
        <f t="shared" si="25"/>
        <v>47047</v>
      </c>
      <c r="D328" s="46">
        <f>SUMIFS(Einzelbeträge!$D:$D,Einzelbeträge!$C:$C,'Ausgaben 2028'!$C328)</f>
        <v>0</v>
      </c>
      <c r="E328" s="21">
        <f>SUMIFS(Einzelbeträge!$D:$D,Einzelbeträge!$C:$C,'Ausgaben 2028'!$C328,Einzelbeträge!$E:$E,'Ausgaben 2028'!E$6)</f>
        <v>0</v>
      </c>
      <c r="F328" s="21">
        <f>SUMIFS(Einzelbeträge!$D:$D,Einzelbeträge!$C:$C,'Ausgaben 2028'!$C328,Einzelbeträge!$E:$E,'Ausgaben 2028'!F$6)</f>
        <v>0</v>
      </c>
      <c r="G328" s="21">
        <f>SUMIFS(Einzelbeträge!$D:$D,Einzelbeträge!$C:$C,'Ausgaben 2028'!$C328,Einzelbeträge!$E:$E,'Ausgaben 2028'!G$6)</f>
        <v>0</v>
      </c>
      <c r="H328" s="21">
        <f>SUMIFS(Einzelbeträge!$D:$D,Einzelbeträge!$C:$C,'Ausgaben 2028'!$C328,Einzelbeträge!$E:$E,'Ausgaben 2028'!H$6)</f>
        <v>0</v>
      </c>
      <c r="I328" s="21">
        <f>SUMIFS(Einzelbeträge!$D:$D,Einzelbeträge!$C:$C,'Ausgaben 2028'!$C328,Einzelbeträge!$E:$E,'Ausgaben 2028'!I$6)</f>
        <v>0</v>
      </c>
      <c r="J328" s="21">
        <f>SUMIFS(Einzelbeträge!$D:$D,Einzelbeträge!$C:$C,'Ausgaben 2028'!$C328,Einzelbeträge!$E:$E,'Ausgaben 2028'!J$6)</f>
        <v>0</v>
      </c>
      <c r="K328" s="21">
        <f>SUMIFS(Einzelbeträge!$D:$D,Einzelbeträge!$C:$C,'Ausgaben 2028'!$C328,Einzelbeträge!$E:$E,'Ausgaben 2028'!K$6)</f>
        <v>0</v>
      </c>
      <c r="L328" s="21">
        <f>SUMIFS(Einzelbeträge!$D:$D,Einzelbeträge!$C:$C,'Ausgaben 2028'!$C328,Einzelbeträge!$E:$E,'Ausgaben 2028'!L$6)</f>
        <v>0</v>
      </c>
      <c r="M328" s="21">
        <f>SUMIFS(Einzelbeträge!$D:$D,Einzelbeträge!$C:$C,'Ausgaben 2028'!$C328,Einzelbeträge!$E:$E,'Ausgaben 2028'!M$6)</f>
        <v>0</v>
      </c>
      <c r="N328" s="35">
        <f>SUMIFS(Einzelbeträge!$D:$D,Einzelbeträge!$C:$C,'Ausgaben 2028'!$C328,Einzelbeträge!$E:$E,'Ausgaben 2028'!N$6)</f>
        <v>0</v>
      </c>
      <c r="O328" s="6"/>
    </row>
    <row r="329" spans="2:15" x14ac:dyDescent="0.35">
      <c r="B329" s="5"/>
      <c r="C329" s="40">
        <f t="shared" si="25"/>
        <v>47048</v>
      </c>
      <c r="D329" s="46">
        <f>SUMIFS(Einzelbeträge!$D:$D,Einzelbeträge!$C:$C,'Ausgaben 2028'!$C329)</f>
        <v>0</v>
      </c>
      <c r="E329" s="21">
        <f>SUMIFS(Einzelbeträge!$D:$D,Einzelbeträge!$C:$C,'Ausgaben 2028'!$C329,Einzelbeträge!$E:$E,'Ausgaben 2028'!E$6)</f>
        <v>0</v>
      </c>
      <c r="F329" s="21">
        <f>SUMIFS(Einzelbeträge!$D:$D,Einzelbeträge!$C:$C,'Ausgaben 2028'!$C329,Einzelbeträge!$E:$E,'Ausgaben 2028'!F$6)</f>
        <v>0</v>
      </c>
      <c r="G329" s="21">
        <f>SUMIFS(Einzelbeträge!$D:$D,Einzelbeträge!$C:$C,'Ausgaben 2028'!$C329,Einzelbeträge!$E:$E,'Ausgaben 2028'!G$6)</f>
        <v>0</v>
      </c>
      <c r="H329" s="21">
        <f>SUMIFS(Einzelbeträge!$D:$D,Einzelbeträge!$C:$C,'Ausgaben 2028'!$C329,Einzelbeträge!$E:$E,'Ausgaben 2028'!H$6)</f>
        <v>0</v>
      </c>
      <c r="I329" s="21">
        <f>SUMIFS(Einzelbeträge!$D:$D,Einzelbeträge!$C:$C,'Ausgaben 2028'!$C329,Einzelbeträge!$E:$E,'Ausgaben 2028'!I$6)</f>
        <v>0</v>
      </c>
      <c r="J329" s="21">
        <f>SUMIFS(Einzelbeträge!$D:$D,Einzelbeträge!$C:$C,'Ausgaben 2028'!$C329,Einzelbeträge!$E:$E,'Ausgaben 2028'!J$6)</f>
        <v>0</v>
      </c>
      <c r="K329" s="21">
        <f>SUMIFS(Einzelbeträge!$D:$D,Einzelbeträge!$C:$C,'Ausgaben 2028'!$C329,Einzelbeträge!$E:$E,'Ausgaben 2028'!K$6)</f>
        <v>0</v>
      </c>
      <c r="L329" s="21">
        <f>SUMIFS(Einzelbeträge!$D:$D,Einzelbeträge!$C:$C,'Ausgaben 2028'!$C329,Einzelbeträge!$E:$E,'Ausgaben 2028'!L$6)</f>
        <v>0</v>
      </c>
      <c r="M329" s="21">
        <f>SUMIFS(Einzelbeträge!$D:$D,Einzelbeträge!$C:$C,'Ausgaben 2028'!$C329,Einzelbeträge!$E:$E,'Ausgaben 2028'!M$6)</f>
        <v>0</v>
      </c>
      <c r="N329" s="35">
        <f>SUMIFS(Einzelbeträge!$D:$D,Einzelbeträge!$C:$C,'Ausgaben 2028'!$C329,Einzelbeträge!$E:$E,'Ausgaben 2028'!N$6)</f>
        <v>0</v>
      </c>
      <c r="O329" s="6"/>
    </row>
    <row r="330" spans="2:15" x14ac:dyDescent="0.35">
      <c r="B330" s="5"/>
      <c r="C330" s="40">
        <f t="shared" si="25"/>
        <v>47049</v>
      </c>
      <c r="D330" s="46">
        <f>SUMIFS(Einzelbeträge!$D:$D,Einzelbeträge!$C:$C,'Ausgaben 2028'!$C330)</f>
        <v>0</v>
      </c>
      <c r="E330" s="21">
        <f>SUMIFS(Einzelbeträge!$D:$D,Einzelbeträge!$C:$C,'Ausgaben 2028'!$C330,Einzelbeträge!$E:$E,'Ausgaben 2028'!E$6)</f>
        <v>0</v>
      </c>
      <c r="F330" s="21">
        <f>SUMIFS(Einzelbeträge!$D:$D,Einzelbeträge!$C:$C,'Ausgaben 2028'!$C330,Einzelbeträge!$E:$E,'Ausgaben 2028'!F$6)</f>
        <v>0</v>
      </c>
      <c r="G330" s="21">
        <f>SUMIFS(Einzelbeträge!$D:$D,Einzelbeträge!$C:$C,'Ausgaben 2028'!$C330,Einzelbeträge!$E:$E,'Ausgaben 2028'!G$6)</f>
        <v>0</v>
      </c>
      <c r="H330" s="21">
        <f>SUMIFS(Einzelbeträge!$D:$D,Einzelbeträge!$C:$C,'Ausgaben 2028'!$C330,Einzelbeträge!$E:$E,'Ausgaben 2028'!H$6)</f>
        <v>0</v>
      </c>
      <c r="I330" s="21">
        <f>SUMIFS(Einzelbeträge!$D:$D,Einzelbeträge!$C:$C,'Ausgaben 2028'!$C330,Einzelbeträge!$E:$E,'Ausgaben 2028'!I$6)</f>
        <v>0</v>
      </c>
      <c r="J330" s="21">
        <f>SUMIFS(Einzelbeträge!$D:$D,Einzelbeträge!$C:$C,'Ausgaben 2028'!$C330,Einzelbeträge!$E:$E,'Ausgaben 2028'!J$6)</f>
        <v>0</v>
      </c>
      <c r="K330" s="21">
        <f>SUMIFS(Einzelbeträge!$D:$D,Einzelbeträge!$C:$C,'Ausgaben 2028'!$C330,Einzelbeträge!$E:$E,'Ausgaben 2028'!K$6)</f>
        <v>0</v>
      </c>
      <c r="L330" s="21">
        <f>SUMIFS(Einzelbeträge!$D:$D,Einzelbeträge!$C:$C,'Ausgaben 2028'!$C330,Einzelbeträge!$E:$E,'Ausgaben 2028'!L$6)</f>
        <v>0</v>
      </c>
      <c r="M330" s="21">
        <f>SUMIFS(Einzelbeträge!$D:$D,Einzelbeträge!$C:$C,'Ausgaben 2028'!$C330,Einzelbeträge!$E:$E,'Ausgaben 2028'!M$6)</f>
        <v>0</v>
      </c>
      <c r="N330" s="35">
        <f>SUMIFS(Einzelbeträge!$D:$D,Einzelbeträge!$C:$C,'Ausgaben 2028'!$C330,Einzelbeträge!$E:$E,'Ausgaben 2028'!N$6)</f>
        <v>0</v>
      </c>
      <c r="O330" s="6"/>
    </row>
    <row r="331" spans="2:15" x14ac:dyDescent="0.35">
      <c r="B331" s="5"/>
      <c r="C331" s="40">
        <f t="shared" si="25"/>
        <v>47050</v>
      </c>
      <c r="D331" s="46">
        <f>SUMIFS(Einzelbeträge!$D:$D,Einzelbeträge!$C:$C,'Ausgaben 2028'!$C331)</f>
        <v>0</v>
      </c>
      <c r="E331" s="21">
        <f>SUMIFS(Einzelbeträge!$D:$D,Einzelbeträge!$C:$C,'Ausgaben 2028'!$C331,Einzelbeträge!$E:$E,'Ausgaben 2028'!E$6)</f>
        <v>0</v>
      </c>
      <c r="F331" s="21">
        <f>SUMIFS(Einzelbeträge!$D:$D,Einzelbeträge!$C:$C,'Ausgaben 2028'!$C331,Einzelbeträge!$E:$E,'Ausgaben 2028'!F$6)</f>
        <v>0</v>
      </c>
      <c r="G331" s="21">
        <f>SUMIFS(Einzelbeträge!$D:$D,Einzelbeträge!$C:$C,'Ausgaben 2028'!$C331,Einzelbeträge!$E:$E,'Ausgaben 2028'!G$6)</f>
        <v>0</v>
      </c>
      <c r="H331" s="21">
        <f>SUMIFS(Einzelbeträge!$D:$D,Einzelbeträge!$C:$C,'Ausgaben 2028'!$C331,Einzelbeträge!$E:$E,'Ausgaben 2028'!H$6)</f>
        <v>0</v>
      </c>
      <c r="I331" s="21">
        <f>SUMIFS(Einzelbeträge!$D:$D,Einzelbeträge!$C:$C,'Ausgaben 2028'!$C331,Einzelbeträge!$E:$E,'Ausgaben 2028'!I$6)</f>
        <v>0</v>
      </c>
      <c r="J331" s="21">
        <f>SUMIFS(Einzelbeträge!$D:$D,Einzelbeträge!$C:$C,'Ausgaben 2028'!$C331,Einzelbeträge!$E:$E,'Ausgaben 2028'!J$6)</f>
        <v>0</v>
      </c>
      <c r="K331" s="21">
        <f>SUMIFS(Einzelbeträge!$D:$D,Einzelbeträge!$C:$C,'Ausgaben 2028'!$C331,Einzelbeträge!$E:$E,'Ausgaben 2028'!K$6)</f>
        <v>0</v>
      </c>
      <c r="L331" s="21">
        <f>SUMIFS(Einzelbeträge!$D:$D,Einzelbeträge!$C:$C,'Ausgaben 2028'!$C331,Einzelbeträge!$E:$E,'Ausgaben 2028'!L$6)</f>
        <v>0</v>
      </c>
      <c r="M331" s="21">
        <f>SUMIFS(Einzelbeträge!$D:$D,Einzelbeträge!$C:$C,'Ausgaben 2028'!$C331,Einzelbeträge!$E:$E,'Ausgaben 2028'!M$6)</f>
        <v>0</v>
      </c>
      <c r="N331" s="35">
        <f>SUMIFS(Einzelbeträge!$D:$D,Einzelbeträge!$C:$C,'Ausgaben 2028'!$C331,Einzelbeträge!$E:$E,'Ausgaben 2028'!N$6)</f>
        <v>0</v>
      </c>
      <c r="O331" s="6"/>
    </row>
    <row r="332" spans="2:15" x14ac:dyDescent="0.35">
      <c r="B332" s="5"/>
      <c r="C332" s="40">
        <f t="shared" si="25"/>
        <v>47051</v>
      </c>
      <c r="D332" s="46">
        <f>SUMIFS(Einzelbeträge!$D:$D,Einzelbeträge!$C:$C,'Ausgaben 2028'!$C332)</f>
        <v>0</v>
      </c>
      <c r="E332" s="21">
        <f>SUMIFS(Einzelbeträge!$D:$D,Einzelbeträge!$C:$C,'Ausgaben 2028'!$C332,Einzelbeträge!$E:$E,'Ausgaben 2028'!E$6)</f>
        <v>0</v>
      </c>
      <c r="F332" s="21">
        <f>SUMIFS(Einzelbeträge!$D:$D,Einzelbeträge!$C:$C,'Ausgaben 2028'!$C332,Einzelbeträge!$E:$E,'Ausgaben 2028'!F$6)</f>
        <v>0</v>
      </c>
      <c r="G332" s="21">
        <f>SUMIFS(Einzelbeträge!$D:$D,Einzelbeträge!$C:$C,'Ausgaben 2028'!$C332,Einzelbeträge!$E:$E,'Ausgaben 2028'!G$6)</f>
        <v>0</v>
      </c>
      <c r="H332" s="21">
        <f>SUMIFS(Einzelbeträge!$D:$D,Einzelbeträge!$C:$C,'Ausgaben 2028'!$C332,Einzelbeträge!$E:$E,'Ausgaben 2028'!H$6)</f>
        <v>0</v>
      </c>
      <c r="I332" s="21">
        <f>SUMIFS(Einzelbeträge!$D:$D,Einzelbeträge!$C:$C,'Ausgaben 2028'!$C332,Einzelbeträge!$E:$E,'Ausgaben 2028'!I$6)</f>
        <v>0</v>
      </c>
      <c r="J332" s="21">
        <f>SUMIFS(Einzelbeträge!$D:$D,Einzelbeträge!$C:$C,'Ausgaben 2028'!$C332,Einzelbeträge!$E:$E,'Ausgaben 2028'!J$6)</f>
        <v>0</v>
      </c>
      <c r="K332" s="21">
        <f>SUMIFS(Einzelbeträge!$D:$D,Einzelbeträge!$C:$C,'Ausgaben 2028'!$C332,Einzelbeträge!$E:$E,'Ausgaben 2028'!K$6)</f>
        <v>0</v>
      </c>
      <c r="L332" s="21">
        <f>SUMIFS(Einzelbeträge!$D:$D,Einzelbeträge!$C:$C,'Ausgaben 2028'!$C332,Einzelbeträge!$E:$E,'Ausgaben 2028'!L$6)</f>
        <v>0</v>
      </c>
      <c r="M332" s="21">
        <f>SUMIFS(Einzelbeträge!$D:$D,Einzelbeträge!$C:$C,'Ausgaben 2028'!$C332,Einzelbeträge!$E:$E,'Ausgaben 2028'!M$6)</f>
        <v>0</v>
      </c>
      <c r="N332" s="35">
        <f>SUMIFS(Einzelbeträge!$D:$D,Einzelbeträge!$C:$C,'Ausgaben 2028'!$C332,Einzelbeträge!$E:$E,'Ausgaben 2028'!N$6)</f>
        <v>0</v>
      </c>
      <c r="O332" s="6"/>
    </row>
    <row r="333" spans="2:15" x14ac:dyDescent="0.35">
      <c r="B333" s="5"/>
      <c r="C333" s="40">
        <f t="shared" si="25"/>
        <v>47052</v>
      </c>
      <c r="D333" s="46">
        <f>SUMIFS(Einzelbeträge!$D:$D,Einzelbeträge!$C:$C,'Ausgaben 2028'!$C333)</f>
        <v>0</v>
      </c>
      <c r="E333" s="21">
        <f>SUMIFS(Einzelbeträge!$D:$D,Einzelbeträge!$C:$C,'Ausgaben 2028'!$C333,Einzelbeträge!$E:$E,'Ausgaben 2028'!E$6)</f>
        <v>0</v>
      </c>
      <c r="F333" s="21">
        <f>SUMIFS(Einzelbeträge!$D:$D,Einzelbeträge!$C:$C,'Ausgaben 2028'!$C333,Einzelbeträge!$E:$E,'Ausgaben 2028'!F$6)</f>
        <v>0</v>
      </c>
      <c r="G333" s="21">
        <f>SUMIFS(Einzelbeträge!$D:$D,Einzelbeträge!$C:$C,'Ausgaben 2028'!$C333,Einzelbeträge!$E:$E,'Ausgaben 2028'!G$6)</f>
        <v>0</v>
      </c>
      <c r="H333" s="21">
        <f>SUMIFS(Einzelbeträge!$D:$D,Einzelbeträge!$C:$C,'Ausgaben 2028'!$C333,Einzelbeträge!$E:$E,'Ausgaben 2028'!H$6)</f>
        <v>0</v>
      </c>
      <c r="I333" s="21">
        <f>SUMIFS(Einzelbeträge!$D:$D,Einzelbeträge!$C:$C,'Ausgaben 2028'!$C333,Einzelbeträge!$E:$E,'Ausgaben 2028'!I$6)</f>
        <v>0</v>
      </c>
      <c r="J333" s="21">
        <f>SUMIFS(Einzelbeträge!$D:$D,Einzelbeträge!$C:$C,'Ausgaben 2028'!$C333,Einzelbeträge!$E:$E,'Ausgaben 2028'!J$6)</f>
        <v>0</v>
      </c>
      <c r="K333" s="21">
        <f>SUMIFS(Einzelbeträge!$D:$D,Einzelbeträge!$C:$C,'Ausgaben 2028'!$C333,Einzelbeträge!$E:$E,'Ausgaben 2028'!K$6)</f>
        <v>0</v>
      </c>
      <c r="L333" s="21">
        <f>SUMIFS(Einzelbeträge!$D:$D,Einzelbeträge!$C:$C,'Ausgaben 2028'!$C333,Einzelbeträge!$E:$E,'Ausgaben 2028'!L$6)</f>
        <v>0</v>
      </c>
      <c r="M333" s="21">
        <f>SUMIFS(Einzelbeträge!$D:$D,Einzelbeträge!$C:$C,'Ausgaben 2028'!$C333,Einzelbeträge!$E:$E,'Ausgaben 2028'!M$6)</f>
        <v>0</v>
      </c>
      <c r="N333" s="35">
        <f>SUMIFS(Einzelbeträge!$D:$D,Einzelbeträge!$C:$C,'Ausgaben 2028'!$C333,Einzelbeträge!$E:$E,'Ausgaben 2028'!N$6)</f>
        <v>0</v>
      </c>
      <c r="O333" s="6"/>
    </row>
    <row r="334" spans="2:15" x14ac:dyDescent="0.35">
      <c r="B334" s="5"/>
      <c r="C334" s="40">
        <f t="shared" si="25"/>
        <v>47053</v>
      </c>
      <c r="D334" s="46">
        <f>SUMIFS(Einzelbeträge!$D:$D,Einzelbeträge!$C:$C,'Ausgaben 2028'!$C334)</f>
        <v>0</v>
      </c>
      <c r="E334" s="21">
        <f>SUMIFS(Einzelbeträge!$D:$D,Einzelbeträge!$C:$C,'Ausgaben 2028'!$C334,Einzelbeträge!$E:$E,'Ausgaben 2028'!E$6)</f>
        <v>0</v>
      </c>
      <c r="F334" s="21">
        <f>SUMIFS(Einzelbeträge!$D:$D,Einzelbeträge!$C:$C,'Ausgaben 2028'!$C334,Einzelbeträge!$E:$E,'Ausgaben 2028'!F$6)</f>
        <v>0</v>
      </c>
      <c r="G334" s="21">
        <f>SUMIFS(Einzelbeträge!$D:$D,Einzelbeträge!$C:$C,'Ausgaben 2028'!$C334,Einzelbeträge!$E:$E,'Ausgaben 2028'!G$6)</f>
        <v>0</v>
      </c>
      <c r="H334" s="21">
        <f>SUMIFS(Einzelbeträge!$D:$D,Einzelbeträge!$C:$C,'Ausgaben 2028'!$C334,Einzelbeträge!$E:$E,'Ausgaben 2028'!H$6)</f>
        <v>0</v>
      </c>
      <c r="I334" s="21">
        <f>SUMIFS(Einzelbeträge!$D:$D,Einzelbeträge!$C:$C,'Ausgaben 2028'!$C334,Einzelbeträge!$E:$E,'Ausgaben 2028'!I$6)</f>
        <v>0</v>
      </c>
      <c r="J334" s="21">
        <f>SUMIFS(Einzelbeträge!$D:$D,Einzelbeträge!$C:$C,'Ausgaben 2028'!$C334,Einzelbeträge!$E:$E,'Ausgaben 2028'!J$6)</f>
        <v>0</v>
      </c>
      <c r="K334" s="21">
        <f>SUMIFS(Einzelbeträge!$D:$D,Einzelbeträge!$C:$C,'Ausgaben 2028'!$C334,Einzelbeträge!$E:$E,'Ausgaben 2028'!K$6)</f>
        <v>0</v>
      </c>
      <c r="L334" s="21">
        <f>SUMIFS(Einzelbeträge!$D:$D,Einzelbeträge!$C:$C,'Ausgaben 2028'!$C334,Einzelbeträge!$E:$E,'Ausgaben 2028'!L$6)</f>
        <v>0</v>
      </c>
      <c r="M334" s="21">
        <f>SUMIFS(Einzelbeträge!$D:$D,Einzelbeträge!$C:$C,'Ausgaben 2028'!$C334,Einzelbeträge!$E:$E,'Ausgaben 2028'!M$6)</f>
        <v>0</v>
      </c>
      <c r="N334" s="35">
        <f>SUMIFS(Einzelbeträge!$D:$D,Einzelbeträge!$C:$C,'Ausgaben 2028'!$C334,Einzelbeträge!$E:$E,'Ausgaben 2028'!N$6)</f>
        <v>0</v>
      </c>
      <c r="O334" s="6"/>
    </row>
    <row r="335" spans="2:15" x14ac:dyDescent="0.35">
      <c r="B335" s="5"/>
      <c r="C335" s="40">
        <f t="shared" si="25"/>
        <v>47054</v>
      </c>
      <c r="D335" s="46">
        <f>SUMIFS(Einzelbeträge!$D:$D,Einzelbeträge!$C:$C,'Ausgaben 2028'!$C335)</f>
        <v>0</v>
      </c>
      <c r="E335" s="21">
        <f>SUMIFS(Einzelbeträge!$D:$D,Einzelbeträge!$C:$C,'Ausgaben 2028'!$C335,Einzelbeträge!$E:$E,'Ausgaben 2028'!E$6)</f>
        <v>0</v>
      </c>
      <c r="F335" s="21">
        <f>SUMIFS(Einzelbeträge!$D:$D,Einzelbeträge!$C:$C,'Ausgaben 2028'!$C335,Einzelbeträge!$E:$E,'Ausgaben 2028'!F$6)</f>
        <v>0</v>
      </c>
      <c r="G335" s="21">
        <f>SUMIFS(Einzelbeträge!$D:$D,Einzelbeträge!$C:$C,'Ausgaben 2028'!$C335,Einzelbeträge!$E:$E,'Ausgaben 2028'!G$6)</f>
        <v>0</v>
      </c>
      <c r="H335" s="21">
        <f>SUMIFS(Einzelbeträge!$D:$D,Einzelbeträge!$C:$C,'Ausgaben 2028'!$C335,Einzelbeträge!$E:$E,'Ausgaben 2028'!H$6)</f>
        <v>0</v>
      </c>
      <c r="I335" s="21">
        <f>SUMIFS(Einzelbeträge!$D:$D,Einzelbeträge!$C:$C,'Ausgaben 2028'!$C335,Einzelbeträge!$E:$E,'Ausgaben 2028'!I$6)</f>
        <v>0</v>
      </c>
      <c r="J335" s="21">
        <f>SUMIFS(Einzelbeträge!$D:$D,Einzelbeträge!$C:$C,'Ausgaben 2028'!$C335,Einzelbeträge!$E:$E,'Ausgaben 2028'!J$6)</f>
        <v>0</v>
      </c>
      <c r="K335" s="21">
        <f>SUMIFS(Einzelbeträge!$D:$D,Einzelbeträge!$C:$C,'Ausgaben 2028'!$C335,Einzelbeträge!$E:$E,'Ausgaben 2028'!K$6)</f>
        <v>0</v>
      </c>
      <c r="L335" s="21">
        <f>SUMIFS(Einzelbeträge!$D:$D,Einzelbeträge!$C:$C,'Ausgaben 2028'!$C335,Einzelbeträge!$E:$E,'Ausgaben 2028'!L$6)</f>
        <v>0</v>
      </c>
      <c r="M335" s="21">
        <f>SUMIFS(Einzelbeträge!$D:$D,Einzelbeträge!$C:$C,'Ausgaben 2028'!$C335,Einzelbeträge!$E:$E,'Ausgaben 2028'!M$6)</f>
        <v>0</v>
      </c>
      <c r="N335" s="35">
        <f>SUMIFS(Einzelbeträge!$D:$D,Einzelbeträge!$C:$C,'Ausgaben 2028'!$C335,Einzelbeträge!$E:$E,'Ausgaben 2028'!N$6)</f>
        <v>0</v>
      </c>
      <c r="O335" s="6"/>
    </row>
    <row r="336" spans="2:15" x14ac:dyDescent="0.35">
      <c r="B336" s="5"/>
      <c r="C336" s="40">
        <f t="shared" si="25"/>
        <v>47055</v>
      </c>
      <c r="D336" s="46">
        <f>SUMIFS(Einzelbeträge!$D:$D,Einzelbeträge!$C:$C,'Ausgaben 2028'!$C336)</f>
        <v>0</v>
      </c>
      <c r="E336" s="21">
        <f>SUMIFS(Einzelbeträge!$D:$D,Einzelbeträge!$C:$C,'Ausgaben 2028'!$C336,Einzelbeträge!$E:$E,'Ausgaben 2028'!E$6)</f>
        <v>0</v>
      </c>
      <c r="F336" s="21">
        <f>SUMIFS(Einzelbeträge!$D:$D,Einzelbeträge!$C:$C,'Ausgaben 2028'!$C336,Einzelbeträge!$E:$E,'Ausgaben 2028'!F$6)</f>
        <v>0</v>
      </c>
      <c r="G336" s="21">
        <f>SUMIFS(Einzelbeträge!$D:$D,Einzelbeträge!$C:$C,'Ausgaben 2028'!$C336,Einzelbeträge!$E:$E,'Ausgaben 2028'!G$6)</f>
        <v>0</v>
      </c>
      <c r="H336" s="21">
        <f>SUMIFS(Einzelbeträge!$D:$D,Einzelbeträge!$C:$C,'Ausgaben 2028'!$C336,Einzelbeträge!$E:$E,'Ausgaben 2028'!H$6)</f>
        <v>0</v>
      </c>
      <c r="I336" s="21">
        <f>SUMIFS(Einzelbeträge!$D:$D,Einzelbeträge!$C:$C,'Ausgaben 2028'!$C336,Einzelbeträge!$E:$E,'Ausgaben 2028'!I$6)</f>
        <v>0</v>
      </c>
      <c r="J336" s="21">
        <f>SUMIFS(Einzelbeträge!$D:$D,Einzelbeträge!$C:$C,'Ausgaben 2028'!$C336,Einzelbeträge!$E:$E,'Ausgaben 2028'!J$6)</f>
        <v>0</v>
      </c>
      <c r="K336" s="21">
        <f>SUMIFS(Einzelbeträge!$D:$D,Einzelbeträge!$C:$C,'Ausgaben 2028'!$C336,Einzelbeträge!$E:$E,'Ausgaben 2028'!K$6)</f>
        <v>0</v>
      </c>
      <c r="L336" s="21">
        <f>SUMIFS(Einzelbeträge!$D:$D,Einzelbeträge!$C:$C,'Ausgaben 2028'!$C336,Einzelbeträge!$E:$E,'Ausgaben 2028'!L$6)</f>
        <v>0</v>
      </c>
      <c r="M336" s="21">
        <f>SUMIFS(Einzelbeträge!$D:$D,Einzelbeträge!$C:$C,'Ausgaben 2028'!$C336,Einzelbeträge!$E:$E,'Ausgaben 2028'!M$6)</f>
        <v>0</v>
      </c>
      <c r="N336" s="35">
        <f>SUMIFS(Einzelbeträge!$D:$D,Einzelbeträge!$C:$C,'Ausgaben 2028'!$C336,Einzelbeträge!$E:$E,'Ausgaben 2028'!N$6)</f>
        <v>0</v>
      </c>
      <c r="O336" s="6"/>
    </row>
    <row r="337" spans="2:15" x14ac:dyDescent="0.35">
      <c r="B337" s="5"/>
      <c r="C337" s="40">
        <f t="shared" si="25"/>
        <v>47056</v>
      </c>
      <c r="D337" s="46">
        <f>SUMIFS(Einzelbeträge!$D:$D,Einzelbeträge!$C:$C,'Ausgaben 2028'!$C337)</f>
        <v>0</v>
      </c>
      <c r="E337" s="21">
        <f>SUMIFS(Einzelbeträge!$D:$D,Einzelbeträge!$C:$C,'Ausgaben 2028'!$C337,Einzelbeträge!$E:$E,'Ausgaben 2028'!E$6)</f>
        <v>0</v>
      </c>
      <c r="F337" s="21">
        <f>SUMIFS(Einzelbeträge!$D:$D,Einzelbeträge!$C:$C,'Ausgaben 2028'!$C337,Einzelbeträge!$E:$E,'Ausgaben 2028'!F$6)</f>
        <v>0</v>
      </c>
      <c r="G337" s="21">
        <f>SUMIFS(Einzelbeträge!$D:$D,Einzelbeträge!$C:$C,'Ausgaben 2028'!$C337,Einzelbeträge!$E:$E,'Ausgaben 2028'!G$6)</f>
        <v>0</v>
      </c>
      <c r="H337" s="21">
        <f>SUMIFS(Einzelbeträge!$D:$D,Einzelbeträge!$C:$C,'Ausgaben 2028'!$C337,Einzelbeträge!$E:$E,'Ausgaben 2028'!H$6)</f>
        <v>0</v>
      </c>
      <c r="I337" s="21">
        <f>SUMIFS(Einzelbeträge!$D:$D,Einzelbeträge!$C:$C,'Ausgaben 2028'!$C337,Einzelbeträge!$E:$E,'Ausgaben 2028'!I$6)</f>
        <v>0</v>
      </c>
      <c r="J337" s="21">
        <f>SUMIFS(Einzelbeträge!$D:$D,Einzelbeträge!$C:$C,'Ausgaben 2028'!$C337,Einzelbeträge!$E:$E,'Ausgaben 2028'!J$6)</f>
        <v>0</v>
      </c>
      <c r="K337" s="21">
        <f>SUMIFS(Einzelbeträge!$D:$D,Einzelbeträge!$C:$C,'Ausgaben 2028'!$C337,Einzelbeträge!$E:$E,'Ausgaben 2028'!K$6)</f>
        <v>0</v>
      </c>
      <c r="L337" s="21">
        <f>SUMIFS(Einzelbeträge!$D:$D,Einzelbeträge!$C:$C,'Ausgaben 2028'!$C337,Einzelbeträge!$E:$E,'Ausgaben 2028'!L$6)</f>
        <v>0</v>
      </c>
      <c r="M337" s="21">
        <f>SUMIFS(Einzelbeträge!$D:$D,Einzelbeträge!$C:$C,'Ausgaben 2028'!$C337,Einzelbeträge!$E:$E,'Ausgaben 2028'!M$6)</f>
        <v>0</v>
      </c>
      <c r="N337" s="35">
        <f>SUMIFS(Einzelbeträge!$D:$D,Einzelbeträge!$C:$C,'Ausgaben 2028'!$C337,Einzelbeträge!$E:$E,'Ausgaben 2028'!N$6)</f>
        <v>0</v>
      </c>
      <c r="O337" s="6"/>
    </row>
    <row r="338" spans="2:15" x14ac:dyDescent="0.35">
      <c r="B338" s="5"/>
      <c r="C338" s="31">
        <f t="shared" si="25"/>
        <v>47057</v>
      </c>
      <c r="D338" s="47">
        <f>SUMIFS(Einzelbeträge!$D:$D,Einzelbeträge!$C:$C,'Ausgaben 2028'!$C338)</f>
        <v>0</v>
      </c>
      <c r="E338" s="37">
        <f>SUMIFS(Einzelbeträge!$D:$D,Einzelbeträge!$C:$C,'Ausgaben 2028'!$C338,Einzelbeträge!$E:$E,'Ausgaben 2028'!E$6)</f>
        <v>0</v>
      </c>
      <c r="F338" s="37">
        <f>SUMIFS(Einzelbeträge!$D:$D,Einzelbeträge!$C:$C,'Ausgaben 2028'!$C338,Einzelbeträge!$E:$E,'Ausgaben 2028'!F$6)</f>
        <v>0</v>
      </c>
      <c r="G338" s="37">
        <f>SUMIFS(Einzelbeträge!$D:$D,Einzelbeträge!$C:$C,'Ausgaben 2028'!$C338,Einzelbeträge!$E:$E,'Ausgaben 2028'!G$6)</f>
        <v>0</v>
      </c>
      <c r="H338" s="37">
        <f>SUMIFS(Einzelbeträge!$D:$D,Einzelbeträge!$C:$C,'Ausgaben 2028'!$C338,Einzelbeträge!$E:$E,'Ausgaben 2028'!H$6)</f>
        <v>0</v>
      </c>
      <c r="I338" s="37">
        <f>SUMIFS(Einzelbeträge!$D:$D,Einzelbeträge!$C:$C,'Ausgaben 2028'!$C338,Einzelbeträge!$E:$E,'Ausgaben 2028'!I$6)</f>
        <v>0</v>
      </c>
      <c r="J338" s="37">
        <f>SUMIFS(Einzelbeträge!$D:$D,Einzelbeträge!$C:$C,'Ausgaben 2028'!$C338,Einzelbeträge!$E:$E,'Ausgaben 2028'!J$6)</f>
        <v>0</v>
      </c>
      <c r="K338" s="37">
        <f>SUMIFS(Einzelbeträge!$D:$D,Einzelbeträge!$C:$C,'Ausgaben 2028'!$C338,Einzelbeträge!$E:$E,'Ausgaben 2028'!K$6)</f>
        <v>0</v>
      </c>
      <c r="L338" s="37">
        <f>SUMIFS(Einzelbeträge!$D:$D,Einzelbeträge!$C:$C,'Ausgaben 2028'!$C338,Einzelbeträge!$E:$E,'Ausgaben 2028'!L$6)</f>
        <v>0</v>
      </c>
      <c r="M338" s="37">
        <f>SUMIFS(Einzelbeträge!$D:$D,Einzelbeträge!$C:$C,'Ausgaben 2028'!$C338,Einzelbeträge!$E:$E,'Ausgaben 2028'!M$6)</f>
        <v>0</v>
      </c>
      <c r="N338" s="38">
        <f>SUMIFS(Einzelbeträge!$D:$D,Einzelbeträge!$C:$C,'Ausgaben 2028'!$C338,Einzelbeträge!$E:$E,'Ausgaben 2028'!N$6)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47058</v>
      </c>
      <c r="D342" s="45">
        <f>SUMIFS(Einzelbeträge!$D:$D,Einzelbeträge!$C:$C,'Ausgaben 2028'!$C342)</f>
        <v>0</v>
      </c>
      <c r="E342" s="32">
        <f>SUMIFS(Einzelbeträge!$D:$D,Einzelbeträge!$C:$C,'Ausgaben 2028'!$C342,Einzelbeträge!$E:$E,'Ausgaben 2028'!E$6)</f>
        <v>0</v>
      </c>
      <c r="F342" s="32">
        <f>SUMIFS(Einzelbeträge!$D:$D,Einzelbeträge!$C:$C,'Ausgaben 2028'!$C342,Einzelbeträge!$E:$E,'Ausgaben 2028'!F$6)</f>
        <v>0</v>
      </c>
      <c r="G342" s="32">
        <f>SUMIFS(Einzelbeträge!$D:$D,Einzelbeträge!$C:$C,'Ausgaben 2028'!$C342,Einzelbeträge!$E:$E,'Ausgaben 2028'!G$6)</f>
        <v>0</v>
      </c>
      <c r="H342" s="32">
        <f>SUMIFS(Einzelbeträge!$D:$D,Einzelbeträge!$C:$C,'Ausgaben 2028'!$C342,Einzelbeträge!$E:$E,'Ausgaben 2028'!H$6)</f>
        <v>0</v>
      </c>
      <c r="I342" s="32">
        <f>SUMIFS(Einzelbeträge!$D:$D,Einzelbeträge!$C:$C,'Ausgaben 2028'!$C342,Einzelbeträge!$E:$E,'Ausgaben 2028'!I$6)</f>
        <v>0</v>
      </c>
      <c r="J342" s="32">
        <f>SUMIFS(Einzelbeträge!$D:$D,Einzelbeträge!$C:$C,'Ausgaben 2028'!$C342,Einzelbeträge!$E:$E,'Ausgaben 2028'!J$6)</f>
        <v>0</v>
      </c>
      <c r="K342" s="32">
        <f>SUMIFS(Einzelbeträge!$D:$D,Einzelbeträge!$C:$C,'Ausgaben 2028'!$C342,Einzelbeträge!$E:$E,'Ausgaben 2028'!K$6)</f>
        <v>0</v>
      </c>
      <c r="L342" s="32">
        <f>SUMIFS(Einzelbeträge!$D:$D,Einzelbeträge!$C:$C,'Ausgaben 2028'!$C342,Einzelbeträge!$E:$E,'Ausgaben 2028'!L$6)</f>
        <v>0</v>
      </c>
      <c r="M342" s="32">
        <f>SUMIFS(Einzelbeträge!$D:$D,Einzelbeträge!$C:$C,'Ausgaben 2028'!$C342,Einzelbeträge!$E:$E,'Ausgaben 2028'!M$6)</f>
        <v>0</v>
      </c>
      <c r="N342" s="33">
        <f>SUMIFS(Einzelbeträge!$D:$D,Einzelbeträge!$C:$C,'Ausgaben 2028'!$C342,Einzelbeträge!$E:$E,'Ausgaben 2028'!N$6)</f>
        <v>0</v>
      </c>
      <c r="O342" s="6"/>
    </row>
    <row r="343" spans="2:15" x14ac:dyDescent="0.35">
      <c r="B343" s="5"/>
      <c r="C343" s="30">
        <f>C342+1</f>
        <v>47059</v>
      </c>
      <c r="D343" s="46">
        <f>SUMIFS(Einzelbeträge!$D:$D,Einzelbeträge!$C:$C,'Ausgaben 2028'!$C343)</f>
        <v>0</v>
      </c>
      <c r="E343" s="21">
        <f>SUMIFS(Einzelbeträge!$D:$D,Einzelbeträge!$C:$C,'Ausgaben 2028'!$C343,Einzelbeträge!$E:$E,'Ausgaben 2028'!E$6)</f>
        <v>0</v>
      </c>
      <c r="F343" s="21">
        <f>SUMIFS(Einzelbeträge!$D:$D,Einzelbeträge!$C:$C,'Ausgaben 2028'!$C343,Einzelbeträge!$E:$E,'Ausgaben 2028'!F$6)</f>
        <v>0</v>
      </c>
      <c r="G343" s="21">
        <f>SUMIFS(Einzelbeträge!$D:$D,Einzelbeträge!$C:$C,'Ausgaben 2028'!$C343,Einzelbeträge!$E:$E,'Ausgaben 2028'!G$6)</f>
        <v>0</v>
      </c>
      <c r="H343" s="21">
        <f>SUMIFS(Einzelbeträge!$D:$D,Einzelbeträge!$C:$C,'Ausgaben 2028'!$C343,Einzelbeträge!$E:$E,'Ausgaben 2028'!H$6)</f>
        <v>0</v>
      </c>
      <c r="I343" s="21">
        <f>SUMIFS(Einzelbeträge!$D:$D,Einzelbeträge!$C:$C,'Ausgaben 2028'!$C343,Einzelbeträge!$E:$E,'Ausgaben 2028'!I$6)</f>
        <v>0</v>
      </c>
      <c r="J343" s="21">
        <f>SUMIFS(Einzelbeträge!$D:$D,Einzelbeträge!$C:$C,'Ausgaben 2028'!$C343,Einzelbeträge!$E:$E,'Ausgaben 2028'!J$6)</f>
        <v>0</v>
      </c>
      <c r="K343" s="21">
        <f>SUMIFS(Einzelbeträge!$D:$D,Einzelbeträge!$C:$C,'Ausgaben 2028'!$C343,Einzelbeträge!$E:$E,'Ausgaben 2028'!K$6)</f>
        <v>0</v>
      </c>
      <c r="L343" s="21">
        <f>SUMIFS(Einzelbeträge!$D:$D,Einzelbeträge!$C:$C,'Ausgaben 2028'!$C343,Einzelbeträge!$E:$E,'Ausgaben 2028'!L$6)</f>
        <v>0</v>
      </c>
      <c r="M343" s="21">
        <f>SUMIFS(Einzelbeträge!$D:$D,Einzelbeträge!$C:$C,'Ausgaben 2028'!$C343,Einzelbeträge!$E:$E,'Ausgaben 2028'!M$6)</f>
        <v>0</v>
      </c>
      <c r="N343" s="35">
        <f>SUMIFS(Einzelbeträge!$D:$D,Einzelbeträge!$C:$C,'Ausgaben 2028'!$C343,Einzelbeträge!$E:$E,'Ausgaben 2028'!N$6)</f>
        <v>0</v>
      </c>
      <c r="O343" s="6"/>
    </row>
    <row r="344" spans="2:15" x14ac:dyDescent="0.35">
      <c r="B344" s="5"/>
      <c r="C344" s="30">
        <f t="shared" ref="C344:C371" si="26">C343+1</f>
        <v>47060</v>
      </c>
      <c r="D344" s="46">
        <f>SUMIFS(Einzelbeträge!$D:$D,Einzelbeträge!$C:$C,'Ausgaben 2028'!$C344)</f>
        <v>0</v>
      </c>
      <c r="E344" s="21">
        <f>SUMIFS(Einzelbeträge!$D:$D,Einzelbeträge!$C:$C,'Ausgaben 2028'!$C344,Einzelbeträge!$E:$E,'Ausgaben 2028'!E$6)</f>
        <v>0</v>
      </c>
      <c r="F344" s="21">
        <f>SUMIFS(Einzelbeträge!$D:$D,Einzelbeträge!$C:$C,'Ausgaben 2028'!$C344,Einzelbeträge!$E:$E,'Ausgaben 2028'!F$6)</f>
        <v>0</v>
      </c>
      <c r="G344" s="21">
        <f>SUMIFS(Einzelbeträge!$D:$D,Einzelbeträge!$C:$C,'Ausgaben 2028'!$C344,Einzelbeträge!$E:$E,'Ausgaben 2028'!G$6)</f>
        <v>0</v>
      </c>
      <c r="H344" s="21">
        <f>SUMIFS(Einzelbeträge!$D:$D,Einzelbeträge!$C:$C,'Ausgaben 2028'!$C344,Einzelbeträge!$E:$E,'Ausgaben 2028'!H$6)</f>
        <v>0</v>
      </c>
      <c r="I344" s="21">
        <f>SUMIFS(Einzelbeträge!$D:$D,Einzelbeträge!$C:$C,'Ausgaben 2028'!$C344,Einzelbeträge!$E:$E,'Ausgaben 2028'!I$6)</f>
        <v>0</v>
      </c>
      <c r="J344" s="21">
        <f>SUMIFS(Einzelbeträge!$D:$D,Einzelbeträge!$C:$C,'Ausgaben 2028'!$C344,Einzelbeträge!$E:$E,'Ausgaben 2028'!J$6)</f>
        <v>0</v>
      </c>
      <c r="K344" s="21">
        <f>SUMIFS(Einzelbeträge!$D:$D,Einzelbeträge!$C:$C,'Ausgaben 2028'!$C344,Einzelbeträge!$E:$E,'Ausgaben 2028'!K$6)</f>
        <v>0</v>
      </c>
      <c r="L344" s="21">
        <f>SUMIFS(Einzelbeträge!$D:$D,Einzelbeträge!$C:$C,'Ausgaben 2028'!$C344,Einzelbeträge!$E:$E,'Ausgaben 2028'!L$6)</f>
        <v>0</v>
      </c>
      <c r="M344" s="21">
        <f>SUMIFS(Einzelbeträge!$D:$D,Einzelbeträge!$C:$C,'Ausgaben 2028'!$C344,Einzelbeträge!$E:$E,'Ausgaben 2028'!M$6)</f>
        <v>0</v>
      </c>
      <c r="N344" s="35">
        <f>SUMIFS(Einzelbeträge!$D:$D,Einzelbeträge!$C:$C,'Ausgaben 2028'!$C344,Einzelbeträge!$E:$E,'Ausgaben 2028'!N$6)</f>
        <v>0</v>
      </c>
      <c r="O344" s="6"/>
    </row>
    <row r="345" spans="2:15" x14ac:dyDescent="0.35">
      <c r="B345" s="5"/>
      <c r="C345" s="30">
        <f t="shared" si="26"/>
        <v>47061</v>
      </c>
      <c r="D345" s="46">
        <f>SUMIFS(Einzelbeträge!$D:$D,Einzelbeträge!$C:$C,'Ausgaben 2028'!$C345)</f>
        <v>0</v>
      </c>
      <c r="E345" s="21">
        <f>SUMIFS(Einzelbeträge!$D:$D,Einzelbeträge!$C:$C,'Ausgaben 2028'!$C345,Einzelbeträge!$E:$E,'Ausgaben 2028'!E$6)</f>
        <v>0</v>
      </c>
      <c r="F345" s="21">
        <f>SUMIFS(Einzelbeträge!$D:$D,Einzelbeträge!$C:$C,'Ausgaben 2028'!$C345,Einzelbeträge!$E:$E,'Ausgaben 2028'!F$6)</f>
        <v>0</v>
      </c>
      <c r="G345" s="21">
        <f>SUMIFS(Einzelbeträge!$D:$D,Einzelbeträge!$C:$C,'Ausgaben 2028'!$C345,Einzelbeträge!$E:$E,'Ausgaben 2028'!G$6)</f>
        <v>0</v>
      </c>
      <c r="H345" s="21">
        <f>SUMIFS(Einzelbeträge!$D:$D,Einzelbeträge!$C:$C,'Ausgaben 2028'!$C345,Einzelbeträge!$E:$E,'Ausgaben 2028'!H$6)</f>
        <v>0</v>
      </c>
      <c r="I345" s="21">
        <f>SUMIFS(Einzelbeträge!$D:$D,Einzelbeträge!$C:$C,'Ausgaben 2028'!$C345,Einzelbeträge!$E:$E,'Ausgaben 2028'!I$6)</f>
        <v>0</v>
      </c>
      <c r="J345" s="21">
        <f>SUMIFS(Einzelbeträge!$D:$D,Einzelbeträge!$C:$C,'Ausgaben 2028'!$C345,Einzelbeträge!$E:$E,'Ausgaben 2028'!J$6)</f>
        <v>0</v>
      </c>
      <c r="K345" s="21">
        <f>SUMIFS(Einzelbeträge!$D:$D,Einzelbeträge!$C:$C,'Ausgaben 2028'!$C345,Einzelbeträge!$E:$E,'Ausgaben 2028'!K$6)</f>
        <v>0</v>
      </c>
      <c r="L345" s="21">
        <f>SUMIFS(Einzelbeträge!$D:$D,Einzelbeträge!$C:$C,'Ausgaben 2028'!$C345,Einzelbeträge!$E:$E,'Ausgaben 2028'!L$6)</f>
        <v>0</v>
      </c>
      <c r="M345" s="21">
        <f>SUMIFS(Einzelbeträge!$D:$D,Einzelbeträge!$C:$C,'Ausgaben 2028'!$C345,Einzelbeträge!$E:$E,'Ausgaben 2028'!M$6)</f>
        <v>0</v>
      </c>
      <c r="N345" s="35">
        <f>SUMIFS(Einzelbeträge!$D:$D,Einzelbeträge!$C:$C,'Ausgaben 2028'!$C345,Einzelbeträge!$E:$E,'Ausgaben 2028'!N$6)</f>
        <v>0</v>
      </c>
      <c r="O345" s="6"/>
    </row>
    <row r="346" spans="2:15" x14ac:dyDescent="0.35">
      <c r="B346" s="5"/>
      <c r="C346" s="30">
        <f t="shared" si="26"/>
        <v>47062</v>
      </c>
      <c r="D346" s="46">
        <f>SUMIFS(Einzelbeträge!$D:$D,Einzelbeträge!$C:$C,'Ausgaben 2028'!$C346)</f>
        <v>0</v>
      </c>
      <c r="E346" s="21">
        <f>SUMIFS(Einzelbeträge!$D:$D,Einzelbeträge!$C:$C,'Ausgaben 2028'!$C346,Einzelbeträge!$E:$E,'Ausgaben 2028'!E$6)</f>
        <v>0</v>
      </c>
      <c r="F346" s="21">
        <f>SUMIFS(Einzelbeträge!$D:$D,Einzelbeträge!$C:$C,'Ausgaben 2028'!$C346,Einzelbeträge!$E:$E,'Ausgaben 2028'!F$6)</f>
        <v>0</v>
      </c>
      <c r="G346" s="21">
        <f>SUMIFS(Einzelbeträge!$D:$D,Einzelbeträge!$C:$C,'Ausgaben 2028'!$C346,Einzelbeträge!$E:$E,'Ausgaben 2028'!G$6)</f>
        <v>0</v>
      </c>
      <c r="H346" s="21">
        <f>SUMIFS(Einzelbeträge!$D:$D,Einzelbeträge!$C:$C,'Ausgaben 2028'!$C346,Einzelbeträge!$E:$E,'Ausgaben 2028'!H$6)</f>
        <v>0</v>
      </c>
      <c r="I346" s="21">
        <f>SUMIFS(Einzelbeträge!$D:$D,Einzelbeträge!$C:$C,'Ausgaben 2028'!$C346,Einzelbeträge!$E:$E,'Ausgaben 2028'!I$6)</f>
        <v>0</v>
      </c>
      <c r="J346" s="21">
        <f>SUMIFS(Einzelbeträge!$D:$D,Einzelbeträge!$C:$C,'Ausgaben 2028'!$C346,Einzelbeträge!$E:$E,'Ausgaben 2028'!J$6)</f>
        <v>0</v>
      </c>
      <c r="K346" s="21">
        <f>SUMIFS(Einzelbeträge!$D:$D,Einzelbeträge!$C:$C,'Ausgaben 2028'!$C346,Einzelbeträge!$E:$E,'Ausgaben 2028'!K$6)</f>
        <v>0</v>
      </c>
      <c r="L346" s="21">
        <f>SUMIFS(Einzelbeträge!$D:$D,Einzelbeträge!$C:$C,'Ausgaben 2028'!$C346,Einzelbeträge!$E:$E,'Ausgaben 2028'!L$6)</f>
        <v>0</v>
      </c>
      <c r="M346" s="21">
        <f>SUMIFS(Einzelbeträge!$D:$D,Einzelbeträge!$C:$C,'Ausgaben 2028'!$C346,Einzelbeträge!$E:$E,'Ausgaben 2028'!M$6)</f>
        <v>0</v>
      </c>
      <c r="N346" s="35">
        <f>SUMIFS(Einzelbeträge!$D:$D,Einzelbeträge!$C:$C,'Ausgaben 2028'!$C346,Einzelbeträge!$E:$E,'Ausgaben 2028'!N$6)</f>
        <v>0</v>
      </c>
      <c r="O346" s="6"/>
    </row>
    <row r="347" spans="2:15" x14ac:dyDescent="0.35">
      <c r="B347" s="5"/>
      <c r="C347" s="30">
        <f t="shared" si="26"/>
        <v>47063</v>
      </c>
      <c r="D347" s="46">
        <f>SUMIFS(Einzelbeträge!$D:$D,Einzelbeträge!$C:$C,'Ausgaben 2028'!$C347)</f>
        <v>0</v>
      </c>
      <c r="E347" s="21">
        <f>SUMIFS(Einzelbeträge!$D:$D,Einzelbeträge!$C:$C,'Ausgaben 2028'!$C347,Einzelbeträge!$E:$E,'Ausgaben 2028'!E$6)</f>
        <v>0</v>
      </c>
      <c r="F347" s="21">
        <f>SUMIFS(Einzelbeträge!$D:$D,Einzelbeträge!$C:$C,'Ausgaben 2028'!$C347,Einzelbeträge!$E:$E,'Ausgaben 2028'!F$6)</f>
        <v>0</v>
      </c>
      <c r="G347" s="21">
        <f>SUMIFS(Einzelbeträge!$D:$D,Einzelbeträge!$C:$C,'Ausgaben 2028'!$C347,Einzelbeträge!$E:$E,'Ausgaben 2028'!G$6)</f>
        <v>0</v>
      </c>
      <c r="H347" s="21">
        <f>SUMIFS(Einzelbeträge!$D:$D,Einzelbeträge!$C:$C,'Ausgaben 2028'!$C347,Einzelbeträge!$E:$E,'Ausgaben 2028'!H$6)</f>
        <v>0</v>
      </c>
      <c r="I347" s="21">
        <f>SUMIFS(Einzelbeträge!$D:$D,Einzelbeträge!$C:$C,'Ausgaben 2028'!$C347,Einzelbeträge!$E:$E,'Ausgaben 2028'!I$6)</f>
        <v>0</v>
      </c>
      <c r="J347" s="21">
        <f>SUMIFS(Einzelbeträge!$D:$D,Einzelbeträge!$C:$C,'Ausgaben 2028'!$C347,Einzelbeträge!$E:$E,'Ausgaben 2028'!J$6)</f>
        <v>0</v>
      </c>
      <c r="K347" s="21">
        <f>SUMIFS(Einzelbeträge!$D:$D,Einzelbeträge!$C:$C,'Ausgaben 2028'!$C347,Einzelbeträge!$E:$E,'Ausgaben 2028'!K$6)</f>
        <v>0</v>
      </c>
      <c r="L347" s="21">
        <f>SUMIFS(Einzelbeträge!$D:$D,Einzelbeträge!$C:$C,'Ausgaben 2028'!$C347,Einzelbeträge!$E:$E,'Ausgaben 2028'!L$6)</f>
        <v>0</v>
      </c>
      <c r="M347" s="21">
        <f>SUMIFS(Einzelbeträge!$D:$D,Einzelbeträge!$C:$C,'Ausgaben 2028'!$C347,Einzelbeträge!$E:$E,'Ausgaben 2028'!M$6)</f>
        <v>0</v>
      </c>
      <c r="N347" s="35">
        <f>SUMIFS(Einzelbeträge!$D:$D,Einzelbeträge!$C:$C,'Ausgaben 2028'!$C347,Einzelbeträge!$E:$E,'Ausgaben 2028'!N$6)</f>
        <v>0</v>
      </c>
      <c r="O347" s="6"/>
    </row>
    <row r="348" spans="2:15" x14ac:dyDescent="0.35">
      <c r="B348" s="5"/>
      <c r="C348" s="30">
        <f t="shared" si="26"/>
        <v>47064</v>
      </c>
      <c r="D348" s="46">
        <f>SUMIFS(Einzelbeträge!$D:$D,Einzelbeträge!$C:$C,'Ausgaben 2028'!$C348)</f>
        <v>0</v>
      </c>
      <c r="E348" s="21">
        <f>SUMIFS(Einzelbeträge!$D:$D,Einzelbeträge!$C:$C,'Ausgaben 2028'!$C348,Einzelbeträge!$E:$E,'Ausgaben 2028'!E$6)</f>
        <v>0</v>
      </c>
      <c r="F348" s="21">
        <f>SUMIFS(Einzelbeträge!$D:$D,Einzelbeträge!$C:$C,'Ausgaben 2028'!$C348,Einzelbeträge!$E:$E,'Ausgaben 2028'!F$6)</f>
        <v>0</v>
      </c>
      <c r="G348" s="21">
        <f>SUMIFS(Einzelbeträge!$D:$D,Einzelbeträge!$C:$C,'Ausgaben 2028'!$C348,Einzelbeträge!$E:$E,'Ausgaben 2028'!G$6)</f>
        <v>0</v>
      </c>
      <c r="H348" s="21">
        <f>SUMIFS(Einzelbeträge!$D:$D,Einzelbeträge!$C:$C,'Ausgaben 2028'!$C348,Einzelbeträge!$E:$E,'Ausgaben 2028'!H$6)</f>
        <v>0</v>
      </c>
      <c r="I348" s="21">
        <f>SUMIFS(Einzelbeträge!$D:$D,Einzelbeträge!$C:$C,'Ausgaben 2028'!$C348,Einzelbeträge!$E:$E,'Ausgaben 2028'!I$6)</f>
        <v>0</v>
      </c>
      <c r="J348" s="21">
        <f>SUMIFS(Einzelbeträge!$D:$D,Einzelbeträge!$C:$C,'Ausgaben 2028'!$C348,Einzelbeträge!$E:$E,'Ausgaben 2028'!J$6)</f>
        <v>0</v>
      </c>
      <c r="K348" s="21">
        <f>SUMIFS(Einzelbeträge!$D:$D,Einzelbeträge!$C:$C,'Ausgaben 2028'!$C348,Einzelbeträge!$E:$E,'Ausgaben 2028'!K$6)</f>
        <v>0</v>
      </c>
      <c r="L348" s="21">
        <f>SUMIFS(Einzelbeträge!$D:$D,Einzelbeträge!$C:$C,'Ausgaben 2028'!$C348,Einzelbeträge!$E:$E,'Ausgaben 2028'!L$6)</f>
        <v>0</v>
      </c>
      <c r="M348" s="21">
        <f>SUMIFS(Einzelbeträge!$D:$D,Einzelbeträge!$C:$C,'Ausgaben 2028'!$C348,Einzelbeträge!$E:$E,'Ausgaben 2028'!M$6)</f>
        <v>0</v>
      </c>
      <c r="N348" s="35">
        <f>SUMIFS(Einzelbeträge!$D:$D,Einzelbeträge!$C:$C,'Ausgaben 2028'!$C348,Einzelbeträge!$E:$E,'Ausgaben 2028'!N$6)</f>
        <v>0</v>
      </c>
      <c r="O348" s="6"/>
    </row>
    <row r="349" spans="2:15" x14ac:dyDescent="0.35">
      <c r="B349" s="5"/>
      <c r="C349" s="30">
        <f t="shared" si="26"/>
        <v>47065</v>
      </c>
      <c r="D349" s="46">
        <f>SUMIFS(Einzelbeträge!$D:$D,Einzelbeträge!$C:$C,'Ausgaben 2028'!$C349)</f>
        <v>0</v>
      </c>
      <c r="E349" s="21">
        <f>SUMIFS(Einzelbeträge!$D:$D,Einzelbeträge!$C:$C,'Ausgaben 2028'!$C349,Einzelbeträge!$E:$E,'Ausgaben 2028'!E$6)</f>
        <v>0</v>
      </c>
      <c r="F349" s="21">
        <f>SUMIFS(Einzelbeträge!$D:$D,Einzelbeträge!$C:$C,'Ausgaben 2028'!$C349,Einzelbeträge!$E:$E,'Ausgaben 2028'!F$6)</f>
        <v>0</v>
      </c>
      <c r="G349" s="21">
        <f>SUMIFS(Einzelbeträge!$D:$D,Einzelbeträge!$C:$C,'Ausgaben 2028'!$C349,Einzelbeträge!$E:$E,'Ausgaben 2028'!G$6)</f>
        <v>0</v>
      </c>
      <c r="H349" s="21">
        <f>SUMIFS(Einzelbeträge!$D:$D,Einzelbeträge!$C:$C,'Ausgaben 2028'!$C349,Einzelbeträge!$E:$E,'Ausgaben 2028'!H$6)</f>
        <v>0</v>
      </c>
      <c r="I349" s="21">
        <f>SUMIFS(Einzelbeträge!$D:$D,Einzelbeträge!$C:$C,'Ausgaben 2028'!$C349,Einzelbeträge!$E:$E,'Ausgaben 2028'!I$6)</f>
        <v>0</v>
      </c>
      <c r="J349" s="21">
        <f>SUMIFS(Einzelbeträge!$D:$D,Einzelbeträge!$C:$C,'Ausgaben 2028'!$C349,Einzelbeträge!$E:$E,'Ausgaben 2028'!J$6)</f>
        <v>0</v>
      </c>
      <c r="K349" s="21">
        <f>SUMIFS(Einzelbeträge!$D:$D,Einzelbeträge!$C:$C,'Ausgaben 2028'!$C349,Einzelbeträge!$E:$E,'Ausgaben 2028'!K$6)</f>
        <v>0</v>
      </c>
      <c r="L349" s="21">
        <f>SUMIFS(Einzelbeträge!$D:$D,Einzelbeträge!$C:$C,'Ausgaben 2028'!$C349,Einzelbeträge!$E:$E,'Ausgaben 2028'!L$6)</f>
        <v>0</v>
      </c>
      <c r="M349" s="21">
        <f>SUMIFS(Einzelbeträge!$D:$D,Einzelbeträge!$C:$C,'Ausgaben 2028'!$C349,Einzelbeträge!$E:$E,'Ausgaben 2028'!M$6)</f>
        <v>0</v>
      </c>
      <c r="N349" s="35">
        <f>SUMIFS(Einzelbeträge!$D:$D,Einzelbeträge!$C:$C,'Ausgaben 2028'!$C349,Einzelbeträge!$E:$E,'Ausgaben 2028'!N$6)</f>
        <v>0</v>
      </c>
      <c r="O349" s="6"/>
    </row>
    <row r="350" spans="2:15" x14ac:dyDescent="0.35">
      <c r="B350" s="5"/>
      <c r="C350" s="30">
        <f t="shared" si="26"/>
        <v>47066</v>
      </c>
      <c r="D350" s="46">
        <f>SUMIFS(Einzelbeträge!$D:$D,Einzelbeträge!$C:$C,'Ausgaben 2028'!$C350)</f>
        <v>0</v>
      </c>
      <c r="E350" s="21">
        <f>SUMIFS(Einzelbeträge!$D:$D,Einzelbeträge!$C:$C,'Ausgaben 2028'!$C350,Einzelbeträge!$E:$E,'Ausgaben 2028'!E$6)</f>
        <v>0</v>
      </c>
      <c r="F350" s="21">
        <f>SUMIFS(Einzelbeträge!$D:$D,Einzelbeträge!$C:$C,'Ausgaben 2028'!$C350,Einzelbeträge!$E:$E,'Ausgaben 2028'!F$6)</f>
        <v>0</v>
      </c>
      <c r="G350" s="21">
        <f>SUMIFS(Einzelbeträge!$D:$D,Einzelbeträge!$C:$C,'Ausgaben 2028'!$C350,Einzelbeträge!$E:$E,'Ausgaben 2028'!G$6)</f>
        <v>0</v>
      </c>
      <c r="H350" s="21">
        <f>SUMIFS(Einzelbeträge!$D:$D,Einzelbeträge!$C:$C,'Ausgaben 2028'!$C350,Einzelbeträge!$E:$E,'Ausgaben 2028'!H$6)</f>
        <v>0</v>
      </c>
      <c r="I350" s="21">
        <f>SUMIFS(Einzelbeträge!$D:$D,Einzelbeträge!$C:$C,'Ausgaben 2028'!$C350,Einzelbeträge!$E:$E,'Ausgaben 2028'!I$6)</f>
        <v>0</v>
      </c>
      <c r="J350" s="21">
        <f>SUMIFS(Einzelbeträge!$D:$D,Einzelbeträge!$C:$C,'Ausgaben 2028'!$C350,Einzelbeträge!$E:$E,'Ausgaben 2028'!J$6)</f>
        <v>0</v>
      </c>
      <c r="K350" s="21">
        <f>SUMIFS(Einzelbeträge!$D:$D,Einzelbeträge!$C:$C,'Ausgaben 2028'!$C350,Einzelbeträge!$E:$E,'Ausgaben 2028'!K$6)</f>
        <v>0</v>
      </c>
      <c r="L350" s="21">
        <f>SUMIFS(Einzelbeträge!$D:$D,Einzelbeträge!$C:$C,'Ausgaben 2028'!$C350,Einzelbeträge!$E:$E,'Ausgaben 2028'!L$6)</f>
        <v>0</v>
      </c>
      <c r="M350" s="21">
        <f>SUMIFS(Einzelbeträge!$D:$D,Einzelbeträge!$C:$C,'Ausgaben 2028'!$C350,Einzelbeträge!$E:$E,'Ausgaben 2028'!M$6)</f>
        <v>0</v>
      </c>
      <c r="N350" s="35">
        <f>SUMIFS(Einzelbeträge!$D:$D,Einzelbeträge!$C:$C,'Ausgaben 2028'!$C350,Einzelbeträge!$E:$E,'Ausgaben 2028'!N$6)</f>
        <v>0</v>
      </c>
      <c r="O350" s="6"/>
    </row>
    <row r="351" spans="2:15" x14ac:dyDescent="0.35">
      <c r="B351" s="5"/>
      <c r="C351" s="30">
        <f t="shared" si="26"/>
        <v>47067</v>
      </c>
      <c r="D351" s="46">
        <f>SUMIFS(Einzelbeträge!$D:$D,Einzelbeträge!$C:$C,'Ausgaben 2028'!$C351)</f>
        <v>0</v>
      </c>
      <c r="E351" s="21">
        <f>SUMIFS(Einzelbeträge!$D:$D,Einzelbeträge!$C:$C,'Ausgaben 2028'!$C351,Einzelbeträge!$E:$E,'Ausgaben 2028'!E$6)</f>
        <v>0</v>
      </c>
      <c r="F351" s="21">
        <f>SUMIFS(Einzelbeträge!$D:$D,Einzelbeträge!$C:$C,'Ausgaben 2028'!$C351,Einzelbeträge!$E:$E,'Ausgaben 2028'!F$6)</f>
        <v>0</v>
      </c>
      <c r="G351" s="21">
        <f>SUMIFS(Einzelbeträge!$D:$D,Einzelbeträge!$C:$C,'Ausgaben 2028'!$C351,Einzelbeträge!$E:$E,'Ausgaben 2028'!G$6)</f>
        <v>0</v>
      </c>
      <c r="H351" s="21">
        <f>SUMIFS(Einzelbeträge!$D:$D,Einzelbeträge!$C:$C,'Ausgaben 2028'!$C351,Einzelbeträge!$E:$E,'Ausgaben 2028'!H$6)</f>
        <v>0</v>
      </c>
      <c r="I351" s="21">
        <f>SUMIFS(Einzelbeträge!$D:$D,Einzelbeträge!$C:$C,'Ausgaben 2028'!$C351,Einzelbeträge!$E:$E,'Ausgaben 2028'!I$6)</f>
        <v>0</v>
      </c>
      <c r="J351" s="21">
        <f>SUMIFS(Einzelbeträge!$D:$D,Einzelbeträge!$C:$C,'Ausgaben 2028'!$C351,Einzelbeträge!$E:$E,'Ausgaben 2028'!J$6)</f>
        <v>0</v>
      </c>
      <c r="K351" s="21">
        <f>SUMIFS(Einzelbeträge!$D:$D,Einzelbeträge!$C:$C,'Ausgaben 2028'!$C351,Einzelbeträge!$E:$E,'Ausgaben 2028'!K$6)</f>
        <v>0</v>
      </c>
      <c r="L351" s="21">
        <f>SUMIFS(Einzelbeträge!$D:$D,Einzelbeträge!$C:$C,'Ausgaben 2028'!$C351,Einzelbeträge!$E:$E,'Ausgaben 2028'!L$6)</f>
        <v>0</v>
      </c>
      <c r="M351" s="21">
        <f>SUMIFS(Einzelbeträge!$D:$D,Einzelbeträge!$C:$C,'Ausgaben 2028'!$C351,Einzelbeträge!$E:$E,'Ausgaben 2028'!M$6)</f>
        <v>0</v>
      </c>
      <c r="N351" s="35">
        <f>SUMIFS(Einzelbeträge!$D:$D,Einzelbeträge!$C:$C,'Ausgaben 2028'!$C351,Einzelbeträge!$E:$E,'Ausgaben 2028'!N$6)</f>
        <v>0</v>
      </c>
      <c r="O351" s="6"/>
    </row>
    <row r="352" spans="2:15" x14ac:dyDescent="0.35">
      <c r="B352" s="5"/>
      <c r="C352" s="30">
        <f t="shared" si="26"/>
        <v>47068</v>
      </c>
      <c r="D352" s="46">
        <f>SUMIFS(Einzelbeträge!$D:$D,Einzelbeträge!$C:$C,'Ausgaben 2028'!$C352)</f>
        <v>0</v>
      </c>
      <c r="E352" s="21">
        <f>SUMIFS(Einzelbeträge!$D:$D,Einzelbeträge!$C:$C,'Ausgaben 2028'!$C352,Einzelbeträge!$E:$E,'Ausgaben 2028'!E$6)</f>
        <v>0</v>
      </c>
      <c r="F352" s="21">
        <f>SUMIFS(Einzelbeträge!$D:$D,Einzelbeträge!$C:$C,'Ausgaben 2028'!$C352,Einzelbeträge!$E:$E,'Ausgaben 2028'!F$6)</f>
        <v>0</v>
      </c>
      <c r="G352" s="21">
        <f>SUMIFS(Einzelbeträge!$D:$D,Einzelbeträge!$C:$C,'Ausgaben 2028'!$C352,Einzelbeträge!$E:$E,'Ausgaben 2028'!G$6)</f>
        <v>0</v>
      </c>
      <c r="H352" s="21">
        <f>SUMIFS(Einzelbeträge!$D:$D,Einzelbeträge!$C:$C,'Ausgaben 2028'!$C352,Einzelbeträge!$E:$E,'Ausgaben 2028'!H$6)</f>
        <v>0</v>
      </c>
      <c r="I352" s="21">
        <f>SUMIFS(Einzelbeträge!$D:$D,Einzelbeträge!$C:$C,'Ausgaben 2028'!$C352,Einzelbeträge!$E:$E,'Ausgaben 2028'!I$6)</f>
        <v>0</v>
      </c>
      <c r="J352" s="21">
        <f>SUMIFS(Einzelbeträge!$D:$D,Einzelbeträge!$C:$C,'Ausgaben 2028'!$C352,Einzelbeträge!$E:$E,'Ausgaben 2028'!J$6)</f>
        <v>0</v>
      </c>
      <c r="K352" s="21">
        <f>SUMIFS(Einzelbeträge!$D:$D,Einzelbeträge!$C:$C,'Ausgaben 2028'!$C352,Einzelbeträge!$E:$E,'Ausgaben 2028'!K$6)</f>
        <v>0</v>
      </c>
      <c r="L352" s="21">
        <f>SUMIFS(Einzelbeträge!$D:$D,Einzelbeträge!$C:$C,'Ausgaben 2028'!$C352,Einzelbeträge!$E:$E,'Ausgaben 2028'!L$6)</f>
        <v>0</v>
      </c>
      <c r="M352" s="21">
        <f>SUMIFS(Einzelbeträge!$D:$D,Einzelbeträge!$C:$C,'Ausgaben 2028'!$C352,Einzelbeträge!$E:$E,'Ausgaben 2028'!M$6)</f>
        <v>0</v>
      </c>
      <c r="N352" s="35">
        <f>SUMIFS(Einzelbeträge!$D:$D,Einzelbeträge!$C:$C,'Ausgaben 2028'!$C352,Einzelbeträge!$E:$E,'Ausgaben 2028'!N$6)</f>
        <v>0</v>
      </c>
      <c r="O352" s="6"/>
    </row>
    <row r="353" spans="2:15" x14ac:dyDescent="0.35">
      <c r="B353" s="5"/>
      <c r="C353" s="30">
        <f t="shared" si="26"/>
        <v>47069</v>
      </c>
      <c r="D353" s="46">
        <f>SUMIFS(Einzelbeträge!$D:$D,Einzelbeträge!$C:$C,'Ausgaben 2028'!$C353)</f>
        <v>0</v>
      </c>
      <c r="E353" s="21">
        <f>SUMIFS(Einzelbeträge!$D:$D,Einzelbeträge!$C:$C,'Ausgaben 2028'!$C353,Einzelbeträge!$E:$E,'Ausgaben 2028'!E$6)</f>
        <v>0</v>
      </c>
      <c r="F353" s="21">
        <f>SUMIFS(Einzelbeträge!$D:$D,Einzelbeträge!$C:$C,'Ausgaben 2028'!$C353,Einzelbeträge!$E:$E,'Ausgaben 2028'!F$6)</f>
        <v>0</v>
      </c>
      <c r="G353" s="21">
        <f>SUMIFS(Einzelbeträge!$D:$D,Einzelbeträge!$C:$C,'Ausgaben 2028'!$C353,Einzelbeträge!$E:$E,'Ausgaben 2028'!G$6)</f>
        <v>0</v>
      </c>
      <c r="H353" s="21">
        <f>SUMIFS(Einzelbeträge!$D:$D,Einzelbeträge!$C:$C,'Ausgaben 2028'!$C353,Einzelbeträge!$E:$E,'Ausgaben 2028'!H$6)</f>
        <v>0</v>
      </c>
      <c r="I353" s="21">
        <f>SUMIFS(Einzelbeträge!$D:$D,Einzelbeträge!$C:$C,'Ausgaben 2028'!$C353,Einzelbeträge!$E:$E,'Ausgaben 2028'!I$6)</f>
        <v>0</v>
      </c>
      <c r="J353" s="21">
        <f>SUMIFS(Einzelbeträge!$D:$D,Einzelbeträge!$C:$C,'Ausgaben 2028'!$C353,Einzelbeträge!$E:$E,'Ausgaben 2028'!J$6)</f>
        <v>0</v>
      </c>
      <c r="K353" s="21">
        <f>SUMIFS(Einzelbeträge!$D:$D,Einzelbeträge!$C:$C,'Ausgaben 2028'!$C353,Einzelbeträge!$E:$E,'Ausgaben 2028'!K$6)</f>
        <v>0</v>
      </c>
      <c r="L353" s="21">
        <f>SUMIFS(Einzelbeträge!$D:$D,Einzelbeträge!$C:$C,'Ausgaben 2028'!$C353,Einzelbeträge!$E:$E,'Ausgaben 2028'!L$6)</f>
        <v>0</v>
      </c>
      <c r="M353" s="21">
        <f>SUMIFS(Einzelbeträge!$D:$D,Einzelbeträge!$C:$C,'Ausgaben 2028'!$C353,Einzelbeträge!$E:$E,'Ausgaben 2028'!M$6)</f>
        <v>0</v>
      </c>
      <c r="N353" s="35">
        <f>SUMIFS(Einzelbeträge!$D:$D,Einzelbeträge!$C:$C,'Ausgaben 2028'!$C353,Einzelbeträge!$E:$E,'Ausgaben 2028'!N$6)</f>
        <v>0</v>
      </c>
      <c r="O353" s="6"/>
    </row>
    <row r="354" spans="2:15" x14ac:dyDescent="0.35">
      <c r="B354" s="5"/>
      <c r="C354" s="30">
        <f t="shared" si="26"/>
        <v>47070</v>
      </c>
      <c r="D354" s="46">
        <f>SUMIFS(Einzelbeträge!$D:$D,Einzelbeträge!$C:$C,'Ausgaben 2028'!$C354)</f>
        <v>0</v>
      </c>
      <c r="E354" s="21">
        <f>SUMIFS(Einzelbeträge!$D:$D,Einzelbeträge!$C:$C,'Ausgaben 2028'!$C354,Einzelbeträge!$E:$E,'Ausgaben 2028'!E$6)</f>
        <v>0</v>
      </c>
      <c r="F354" s="21">
        <f>SUMIFS(Einzelbeträge!$D:$D,Einzelbeträge!$C:$C,'Ausgaben 2028'!$C354,Einzelbeträge!$E:$E,'Ausgaben 2028'!F$6)</f>
        <v>0</v>
      </c>
      <c r="G354" s="21">
        <f>SUMIFS(Einzelbeträge!$D:$D,Einzelbeträge!$C:$C,'Ausgaben 2028'!$C354,Einzelbeträge!$E:$E,'Ausgaben 2028'!G$6)</f>
        <v>0</v>
      </c>
      <c r="H354" s="21">
        <f>SUMIFS(Einzelbeträge!$D:$D,Einzelbeträge!$C:$C,'Ausgaben 2028'!$C354,Einzelbeträge!$E:$E,'Ausgaben 2028'!H$6)</f>
        <v>0</v>
      </c>
      <c r="I354" s="21">
        <f>SUMIFS(Einzelbeträge!$D:$D,Einzelbeträge!$C:$C,'Ausgaben 2028'!$C354,Einzelbeträge!$E:$E,'Ausgaben 2028'!I$6)</f>
        <v>0</v>
      </c>
      <c r="J354" s="21">
        <f>SUMIFS(Einzelbeträge!$D:$D,Einzelbeträge!$C:$C,'Ausgaben 2028'!$C354,Einzelbeträge!$E:$E,'Ausgaben 2028'!J$6)</f>
        <v>0</v>
      </c>
      <c r="K354" s="21">
        <f>SUMIFS(Einzelbeträge!$D:$D,Einzelbeträge!$C:$C,'Ausgaben 2028'!$C354,Einzelbeträge!$E:$E,'Ausgaben 2028'!K$6)</f>
        <v>0</v>
      </c>
      <c r="L354" s="21">
        <f>SUMIFS(Einzelbeträge!$D:$D,Einzelbeträge!$C:$C,'Ausgaben 2028'!$C354,Einzelbeträge!$E:$E,'Ausgaben 2028'!L$6)</f>
        <v>0</v>
      </c>
      <c r="M354" s="21">
        <f>SUMIFS(Einzelbeträge!$D:$D,Einzelbeträge!$C:$C,'Ausgaben 2028'!$C354,Einzelbeträge!$E:$E,'Ausgaben 2028'!M$6)</f>
        <v>0</v>
      </c>
      <c r="N354" s="35">
        <f>SUMIFS(Einzelbeträge!$D:$D,Einzelbeträge!$C:$C,'Ausgaben 2028'!$C354,Einzelbeträge!$E:$E,'Ausgaben 2028'!N$6)</f>
        <v>0</v>
      </c>
      <c r="O354" s="6"/>
    </row>
    <row r="355" spans="2:15" x14ac:dyDescent="0.35">
      <c r="B355" s="5"/>
      <c r="C355" s="30">
        <f t="shared" si="26"/>
        <v>47071</v>
      </c>
      <c r="D355" s="46">
        <f>SUMIFS(Einzelbeträge!$D:$D,Einzelbeträge!$C:$C,'Ausgaben 2028'!$C355)</f>
        <v>0</v>
      </c>
      <c r="E355" s="21">
        <f>SUMIFS(Einzelbeträge!$D:$D,Einzelbeträge!$C:$C,'Ausgaben 2028'!$C355,Einzelbeträge!$E:$E,'Ausgaben 2028'!E$6)</f>
        <v>0</v>
      </c>
      <c r="F355" s="21">
        <f>SUMIFS(Einzelbeträge!$D:$D,Einzelbeträge!$C:$C,'Ausgaben 2028'!$C355,Einzelbeträge!$E:$E,'Ausgaben 2028'!F$6)</f>
        <v>0</v>
      </c>
      <c r="G355" s="21">
        <f>SUMIFS(Einzelbeträge!$D:$D,Einzelbeträge!$C:$C,'Ausgaben 2028'!$C355,Einzelbeträge!$E:$E,'Ausgaben 2028'!G$6)</f>
        <v>0</v>
      </c>
      <c r="H355" s="21">
        <f>SUMIFS(Einzelbeträge!$D:$D,Einzelbeträge!$C:$C,'Ausgaben 2028'!$C355,Einzelbeträge!$E:$E,'Ausgaben 2028'!H$6)</f>
        <v>0</v>
      </c>
      <c r="I355" s="21">
        <f>SUMIFS(Einzelbeträge!$D:$D,Einzelbeträge!$C:$C,'Ausgaben 2028'!$C355,Einzelbeträge!$E:$E,'Ausgaben 2028'!I$6)</f>
        <v>0</v>
      </c>
      <c r="J355" s="21">
        <f>SUMIFS(Einzelbeträge!$D:$D,Einzelbeträge!$C:$C,'Ausgaben 2028'!$C355,Einzelbeträge!$E:$E,'Ausgaben 2028'!J$6)</f>
        <v>0</v>
      </c>
      <c r="K355" s="21">
        <f>SUMIFS(Einzelbeträge!$D:$D,Einzelbeträge!$C:$C,'Ausgaben 2028'!$C355,Einzelbeträge!$E:$E,'Ausgaben 2028'!K$6)</f>
        <v>0</v>
      </c>
      <c r="L355" s="21">
        <f>SUMIFS(Einzelbeträge!$D:$D,Einzelbeträge!$C:$C,'Ausgaben 2028'!$C355,Einzelbeträge!$E:$E,'Ausgaben 2028'!L$6)</f>
        <v>0</v>
      </c>
      <c r="M355" s="21">
        <f>SUMIFS(Einzelbeträge!$D:$D,Einzelbeträge!$C:$C,'Ausgaben 2028'!$C355,Einzelbeträge!$E:$E,'Ausgaben 2028'!M$6)</f>
        <v>0</v>
      </c>
      <c r="N355" s="35">
        <f>SUMIFS(Einzelbeträge!$D:$D,Einzelbeträge!$C:$C,'Ausgaben 2028'!$C355,Einzelbeträge!$E:$E,'Ausgaben 2028'!N$6)</f>
        <v>0</v>
      </c>
      <c r="O355" s="6"/>
    </row>
    <row r="356" spans="2:15" x14ac:dyDescent="0.35">
      <c r="B356" s="5"/>
      <c r="C356" s="30">
        <f t="shared" si="26"/>
        <v>47072</v>
      </c>
      <c r="D356" s="46">
        <f>SUMIFS(Einzelbeträge!$D:$D,Einzelbeträge!$C:$C,'Ausgaben 2028'!$C356)</f>
        <v>0</v>
      </c>
      <c r="E356" s="21">
        <f>SUMIFS(Einzelbeträge!$D:$D,Einzelbeträge!$C:$C,'Ausgaben 2028'!$C356,Einzelbeträge!$E:$E,'Ausgaben 2028'!E$6)</f>
        <v>0</v>
      </c>
      <c r="F356" s="21">
        <f>SUMIFS(Einzelbeträge!$D:$D,Einzelbeträge!$C:$C,'Ausgaben 2028'!$C356,Einzelbeträge!$E:$E,'Ausgaben 2028'!F$6)</f>
        <v>0</v>
      </c>
      <c r="G356" s="21">
        <f>SUMIFS(Einzelbeträge!$D:$D,Einzelbeträge!$C:$C,'Ausgaben 2028'!$C356,Einzelbeträge!$E:$E,'Ausgaben 2028'!G$6)</f>
        <v>0</v>
      </c>
      <c r="H356" s="21">
        <f>SUMIFS(Einzelbeträge!$D:$D,Einzelbeträge!$C:$C,'Ausgaben 2028'!$C356,Einzelbeträge!$E:$E,'Ausgaben 2028'!H$6)</f>
        <v>0</v>
      </c>
      <c r="I356" s="21">
        <f>SUMIFS(Einzelbeträge!$D:$D,Einzelbeträge!$C:$C,'Ausgaben 2028'!$C356,Einzelbeträge!$E:$E,'Ausgaben 2028'!I$6)</f>
        <v>0</v>
      </c>
      <c r="J356" s="21">
        <f>SUMIFS(Einzelbeträge!$D:$D,Einzelbeträge!$C:$C,'Ausgaben 2028'!$C356,Einzelbeträge!$E:$E,'Ausgaben 2028'!J$6)</f>
        <v>0</v>
      </c>
      <c r="K356" s="21">
        <f>SUMIFS(Einzelbeträge!$D:$D,Einzelbeträge!$C:$C,'Ausgaben 2028'!$C356,Einzelbeträge!$E:$E,'Ausgaben 2028'!K$6)</f>
        <v>0</v>
      </c>
      <c r="L356" s="21">
        <f>SUMIFS(Einzelbeträge!$D:$D,Einzelbeträge!$C:$C,'Ausgaben 2028'!$C356,Einzelbeträge!$E:$E,'Ausgaben 2028'!L$6)</f>
        <v>0</v>
      </c>
      <c r="M356" s="21">
        <f>SUMIFS(Einzelbeträge!$D:$D,Einzelbeträge!$C:$C,'Ausgaben 2028'!$C356,Einzelbeträge!$E:$E,'Ausgaben 2028'!M$6)</f>
        <v>0</v>
      </c>
      <c r="N356" s="35">
        <f>SUMIFS(Einzelbeträge!$D:$D,Einzelbeträge!$C:$C,'Ausgaben 2028'!$C356,Einzelbeträge!$E:$E,'Ausgaben 2028'!N$6)</f>
        <v>0</v>
      </c>
      <c r="O356" s="6"/>
    </row>
    <row r="357" spans="2:15" x14ac:dyDescent="0.35">
      <c r="B357" s="5"/>
      <c r="C357" s="30">
        <f t="shared" si="26"/>
        <v>47073</v>
      </c>
      <c r="D357" s="46">
        <f>SUMIFS(Einzelbeträge!$D:$D,Einzelbeträge!$C:$C,'Ausgaben 2028'!$C357)</f>
        <v>0</v>
      </c>
      <c r="E357" s="21">
        <f>SUMIFS(Einzelbeträge!$D:$D,Einzelbeträge!$C:$C,'Ausgaben 2028'!$C357,Einzelbeträge!$E:$E,'Ausgaben 2028'!E$6)</f>
        <v>0</v>
      </c>
      <c r="F357" s="21">
        <f>SUMIFS(Einzelbeträge!$D:$D,Einzelbeträge!$C:$C,'Ausgaben 2028'!$C357,Einzelbeträge!$E:$E,'Ausgaben 2028'!F$6)</f>
        <v>0</v>
      </c>
      <c r="G357" s="21">
        <f>SUMIFS(Einzelbeträge!$D:$D,Einzelbeträge!$C:$C,'Ausgaben 2028'!$C357,Einzelbeträge!$E:$E,'Ausgaben 2028'!G$6)</f>
        <v>0</v>
      </c>
      <c r="H357" s="21">
        <f>SUMIFS(Einzelbeträge!$D:$D,Einzelbeträge!$C:$C,'Ausgaben 2028'!$C357,Einzelbeträge!$E:$E,'Ausgaben 2028'!H$6)</f>
        <v>0</v>
      </c>
      <c r="I357" s="21">
        <f>SUMIFS(Einzelbeträge!$D:$D,Einzelbeträge!$C:$C,'Ausgaben 2028'!$C357,Einzelbeträge!$E:$E,'Ausgaben 2028'!I$6)</f>
        <v>0</v>
      </c>
      <c r="J357" s="21">
        <f>SUMIFS(Einzelbeträge!$D:$D,Einzelbeträge!$C:$C,'Ausgaben 2028'!$C357,Einzelbeträge!$E:$E,'Ausgaben 2028'!J$6)</f>
        <v>0</v>
      </c>
      <c r="K357" s="21">
        <f>SUMIFS(Einzelbeträge!$D:$D,Einzelbeträge!$C:$C,'Ausgaben 2028'!$C357,Einzelbeträge!$E:$E,'Ausgaben 2028'!K$6)</f>
        <v>0</v>
      </c>
      <c r="L357" s="21">
        <f>SUMIFS(Einzelbeträge!$D:$D,Einzelbeträge!$C:$C,'Ausgaben 2028'!$C357,Einzelbeträge!$E:$E,'Ausgaben 2028'!L$6)</f>
        <v>0</v>
      </c>
      <c r="M357" s="21">
        <f>SUMIFS(Einzelbeträge!$D:$D,Einzelbeträge!$C:$C,'Ausgaben 2028'!$C357,Einzelbeträge!$E:$E,'Ausgaben 2028'!M$6)</f>
        <v>0</v>
      </c>
      <c r="N357" s="35">
        <f>SUMIFS(Einzelbeträge!$D:$D,Einzelbeträge!$C:$C,'Ausgaben 2028'!$C357,Einzelbeträge!$E:$E,'Ausgaben 2028'!N$6)</f>
        <v>0</v>
      </c>
      <c r="O357" s="6"/>
    </row>
    <row r="358" spans="2:15" x14ac:dyDescent="0.35">
      <c r="B358" s="5"/>
      <c r="C358" s="30">
        <f t="shared" si="26"/>
        <v>47074</v>
      </c>
      <c r="D358" s="46">
        <f>SUMIFS(Einzelbeträge!$D:$D,Einzelbeträge!$C:$C,'Ausgaben 2028'!$C358)</f>
        <v>0</v>
      </c>
      <c r="E358" s="21">
        <f>SUMIFS(Einzelbeträge!$D:$D,Einzelbeträge!$C:$C,'Ausgaben 2028'!$C358,Einzelbeträge!$E:$E,'Ausgaben 2028'!E$6)</f>
        <v>0</v>
      </c>
      <c r="F358" s="21">
        <f>SUMIFS(Einzelbeträge!$D:$D,Einzelbeträge!$C:$C,'Ausgaben 2028'!$C358,Einzelbeträge!$E:$E,'Ausgaben 2028'!F$6)</f>
        <v>0</v>
      </c>
      <c r="G358" s="21">
        <f>SUMIFS(Einzelbeträge!$D:$D,Einzelbeträge!$C:$C,'Ausgaben 2028'!$C358,Einzelbeträge!$E:$E,'Ausgaben 2028'!G$6)</f>
        <v>0</v>
      </c>
      <c r="H358" s="21">
        <f>SUMIFS(Einzelbeträge!$D:$D,Einzelbeträge!$C:$C,'Ausgaben 2028'!$C358,Einzelbeträge!$E:$E,'Ausgaben 2028'!H$6)</f>
        <v>0</v>
      </c>
      <c r="I358" s="21">
        <f>SUMIFS(Einzelbeträge!$D:$D,Einzelbeträge!$C:$C,'Ausgaben 2028'!$C358,Einzelbeträge!$E:$E,'Ausgaben 2028'!I$6)</f>
        <v>0</v>
      </c>
      <c r="J358" s="21">
        <f>SUMIFS(Einzelbeträge!$D:$D,Einzelbeträge!$C:$C,'Ausgaben 2028'!$C358,Einzelbeträge!$E:$E,'Ausgaben 2028'!J$6)</f>
        <v>0</v>
      </c>
      <c r="K358" s="21">
        <f>SUMIFS(Einzelbeträge!$D:$D,Einzelbeträge!$C:$C,'Ausgaben 2028'!$C358,Einzelbeträge!$E:$E,'Ausgaben 2028'!K$6)</f>
        <v>0</v>
      </c>
      <c r="L358" s="21">
        <f>SUMIFS(Einzelbeträge!$D:$D,Einzelbeträge!$C:$C,'Ausgaben 2028'!$C358,Einzelbeträge!$E:$E,'Ausgaben 2028'!L$6)</f>
        <v>0</v>
      </c>
      <c r="M358" s="21">
        <f>SUMIFS(Einzelbeträge!$D:$D,Einzelbeträge!$C:$C,'Ausgaben 2028'!$C358,Einzelbeträge!$E:$E,'Ausgaben 2028'!M$6)</f>
        <v>0</v>
      </c>
      <c r="N358" s="35">
        <f>SUMIFS(Einzelbeträge!$D:$D,Einzelbeträge!$C:$C,'Ausgaben 2028'!$C358,Einzelbeträge!$E:$E,'Ausgaben 2028'!N$6)</f>
        <v>0</v>
      </c>
      <c r="O358" s="6"/>
    </row>
    <row r="359" spans="2:15" x14ac:dyDescent="0.35">
      <c r="B359" s="5"/>
      <c r="C359" s="30">
        <f t="shared" si="26"/>
        <v>47075</v>
      </c>
      <c r="D359" s="46">
        <f>SUMIFS(Einzelbeträge!$D:$D,Einzelbeträge!$C:$C,'Ausgaben 2028'!$C359)</f>
        <v>0</v>
      </c>
      <c r="E359" s="21">
        <f>SUMIFS(Einzelbeträge!$D:$D,Einzelbeträge!$C:$C,'Ausgaben 2028'!$C359,Einzelbeträge!$E:$E,'Ausgaben 2028'!E$6)</f>
        <v>0</v>
      </c>
      <c r="F359" s="21">
        <f>SUMIFS(Einzelbeträge!$D:$D,Einzelbeträge!$C:$C,'Ausgaben 2028'!$C359,Einzelbeträge!$E:$E,'Ausgaben 2028'!F$6)</f>
        <v>0</v>
      </c>
      <c r="G359" s="21">
        <f>SUMIFS(Einzelbeträge!$D:$D,Einzelbeträge!$C:$C,'Ausgaben 2028'!$C359,Einzelbeträge!$E:$E,'Ausgaben 2028'!G$6)</f>
        <v>0</v>
      </c>
      <c r="H359" s="21">
        <f>SUMIFS(Einzelbeträge!$D:$D,Einzelbeträge!$C:$C,'Ausgaben 2028'!$C359,Einzelbeträge!$E:$E,'Ausgaben 2028'!H$6)</f>
        <v>0</v>
      </c>
      <c r="I359" s="21">
        <f>SUMIFS(Einzelbeträge!$D:$D,Einzelbeträge!$C:$C,'Ausgaben 2028'!$C359,Einzelbeträge!$E:$E,'Ausgaben 2028'!I$6)</f>
        <v>0</v>
      </c>
      <c r="J359" s="21">
        <f>SUMIFS(Einzelbeträge!$D:$D,Einzelbeträge!$C:$C,'Ausgaben 2028'!$C359,Einzelbeträge!$E:$E,'Ausgaben 2028'!J$6)</f>
        <v>0</v>
      </c>
      <c r="K359" s="21">
        <f>SUMIFS(Einzelbeträge!$D:$D,Einzelbeträge!$C:$C,'Ausgaben 2028'!$C359,Einzelbeträge!$E:$E,'Ausgaben 2028'!K$6)</f>
        <v>0</v>
      </c>
      <c r="L359" s="21">
        <f>SUMIFS(Einzelbeträge!$D:$D,Einzelbeträge!$C:$C,'Ausgaben 2028'!$C359,Einzelbeträge!$E:$E,'Ausgaben 2028'!L$6)</f>
        <v>0</v>
      </c>
      <c r="M359" s="21">
        <f>SUMIFS(Einzelbeträge!$D:$D,Einzelbeträge!$C:$C,'Ausgaben 2028'!$C359,Einzelbeträge!$E:$E,'Ausgaben 2028'!M$6)</f>
        <v>0</v>
      </c>
      <c r="N359" s="35">
        <f>SUMIFS(Einzelbeträge!$D:$D,Einzelbeträge!$C:$C,'Ausgaben 2028'!$C359,Einzelbeträge!$E:$E,'Ausgaben 2028'!N$6)</f>
        <v>0</v>
      </c>
      <c r="O359" s="6"/>
    </row>
    <row r="360" spans="2:15" x14ac:dyDescent="0.35">
      <c r="B360" s="5"/>
      <c r="C360" s="30">
        <f t="shared" si="26"/>
        <v>47076</v>
      </c>
      <c r="D360" s="46">
        <f>SUMIFS(Einzelbeträge!$D:$D,Einzelbeträge!$C:$C,'Ausgaben 2028'!$C360)</f>
        <v>0</v>
      </c>
      <c r="E360" s="21">
        <f>SUMIFS(Einzelbeträge!$D:$D,Einzelbeträge!$C:$C,'Ausgaben 2028'!$C360,Einzelbeträge!$E:$E,'Ausgaben 2028'!E$6)</f>
        <v>0</v>
      </c>
      <c r="F360" s="21">
        <f>SUMIFS(Einzelbeträge!$D:$D,Einzelbeträge!$C:$C,'Ausgaben 2028'!$C360,Einzelbeträge!$E:$E,'Ausgaben 2028'!F$6)</f>
        <v>0</v>
      </c>
      <c r="G360" s="21">
        <f>SUMIFS(Einzelbeträge!$D:$D,Einzelbeträge!$C:$C,'Ausgaben 2028'!$C360,Einzelbeträge!$E:$E,'Ausgaben 2028'!G$6)</f>
        <v>0</v>
      </c>
      <c r="H360" s="21">
        <f>SUMIFS(Einzelbeträge!$D:$D,Einzelbeträge!$C:$C,'Ausgaben 2028'!$C360,Einzelbeträge!$E:$E,'Ausgaben 2028'!H$6)</f>
        <v>0</v>
      </c>
      <c r="I360" s="21">
        <f>SUMIFS(Einzelbeträge!$D:$D,Einzelbeträge!$C:$C,'Ausgaben 2028'!$C360,Einzelbeträge!$E:$E,'Ausgaben 2028'!I$6)</f>
        <v>0</v>
      </c>
      <c r="J360" s="21">
        <f>SUMIFS(Einzelbeträge!$D:$D,Einzelbeträge!$C:$C,'Ausgaben 2028'!$C360,Einzelbeträge!$E:$E,'Ausgaben 2028'!J$6)</f>
        <v>0</v>
      </c>
      <c r="K360" s="21">
        <f>SUMIFS(Einzelbeträge!$D:$D,Einzelbeträge!$C:$C,'Ausgaben 2028'!$C360,Einzelbeträge!$E:$E,'Ausgaben 2028'!K$6)</f>
        <v>0</v>
      </c>
      <c r="L360" s="21">
        <f>SUMIFS(Einzelbeträge!$D:$D,Einzelbeträge!$C:$C,'Ausgaben 2028'!$C360,Einzelbeträge!$E:$E,'Ausgaben 2028'!L$6)</f>
        <v>0</v>
      </c>
      <c r="M360" s="21">
        <f>SUMIFS(Einzelbeträge!$D:$D,Einzelbeträge!$C:$C,'Ausgaben 2028'!$C360,Einzelbeträge!$E:$E,'Ausgaben 2028'!M$6)</f>
        <v>0</v>
      </c>
      <c r="N360" s="35">
        <f>SUMIFS(Einzelbeträge!$D:$D,Einzelbeträge!$C:$C,'Ausgaben 2028'!$C360,Einzelbeträge!$E:$E,'Ausgaben 2028'!N$6)</f>
        <v>0</v>
      </c>
      <c r="O360" s="6"/>
    </row>
    <row r="361" spans="2:15" x14ac:dyDescent="0.35">
      <c r="B361" s="5"/>
      <c r="C361" s="30">
        <f t="shared" si="26"/>
        <v>47077</v>
      </c>
      <c r="D361" s="46">
        <f>SUMIFS(Einzelbeträge!$D:$D,Einzelbeträge!$C:$C,'Ausgaben 2028'!$C361)</f>
        <v>0</v>
      </c>
      <c r="E361" s="21">
        <f>SUMIFS(Einzelbeträge!$D:$D,Einzelbeträge!$C:$C,'Ausgaben 2028'!$C361,Einzelbeträge!$E:$E,'Ausgaben 2028'!E$6)</f>
        <v>0</v>
      </c>
      <c r="F361" s="21">
        <f>SUMIFS(Einzelbeträge!$D:$D,Einzelbeträge!$C:$C,'Ausgaben 2028'!$C361,Einzelbeträge!$E:$E,'Ausgaben 2028'!F$6)</f>
        <v>0</v>
      </c>
      <c r="G361" s="21">
        <f>SUMIFS(Einzelbeträge!$D:$D,Einzelbeträge!$C:$C,'Ausgaben 2028'!$C361,Einzelbeträge!$E:$E,'Ausgaben 2028'!G$6)</f>
        <v>0</v>
      </c>
      <c r="H361" s="21">
        <f>SUMIFS(Einzelbeträge!$D:$D,Einzelbeträge!$C:$C,'Ausgaben 2028'!$C361,Einzelbeträge!$E:$E,'Ausgaben 2028'!H$6)</f>
        <v>0</v>
      </c>
      <c r="I361" s="21">
        <f>SUMIFS(Einzelbeträge!$D:$D,Einzelbeträge!$C:$C,'Ausgaben 2028'!$C361,Einzelbeträge!$E:$E,'Ausgaben 2028'!I$6)</f>
        <v>0</v>
      </c>
      <c r="J361" s="21">
        <f>SUMIFS(Einzelbeträge!$D:$D,Einzelbeträge!$C:$C,'Ausgaben 2028'!$C361,Einzelbeträge!$E:$E,'Ausgaben 2028'!J$6)</f>
        <v>0</v>
      </c>
      <c r="K361" s="21">
        <f>SUMIFS(Einzelbeträge!$D:$D,Einzelbeträge!$C:$C,'Ausgaben 2028'!$C361,Einzelbeträge!$E:$E,'Ausgaben 2028'!K$6)</f>
        <v>0</v>
      </c>
      <c r="L361" s="21">
        <f>SUMIFS(Einzelbeträge!$D:$D,Einzelbeträge!$C:$C,'Ausgaben 2028'!$C361,Einzelbeträge!$E:$E,'Ausgaben 2028'!L$6)</f>
        <v>0</v>
      </c>
      <c r="M361" s="21">
        <f>SUMIFS(Einzelbeträge!$D:$D,Einzelbeträge!$C:$C,'Ausgaben 2028'!$C361,Einzelbeträge!$E:$E,'Ausgaben 2028'!M$6)</f>
        <v>0</v>
      </c>
      <c r="N361" s="35">
        <f>SUMIFS(Einzelbeträge!$D:$D,Einzelbeträge!$C:$C,'Ausgaben 2028'!$C361,Einzelbeträge!$E:$E,'Ausgaben 2028'!N$6)</f>
        <v>0</v>
      </c>
      <c r="O361" s="6"/>
    </row>
    <row r="362" spans="2:15" x14ac:dyDescent="0.35">
      <c r="B362" s="5"/>
      <c r="C362" s="30">
        <f t="shared" si="26"/>
        <v>47078</v>
      </c>
      <c r="D362" s="46">
        <f>SUMIFS(Einzelbeträge!$D:$D,Einzelbeträge!$C:$C,'Ausgaben 2028'!$C362)</f>
        <v>0</v>
      </c>
      <c r="E362" s="21">
        <f>SUMIFS(Einzelbeträge!$D:$D,Einzelbeträge!$C:$C,'Ausgaben 2028'!$C362,Einzelbeträge!$E:$E,'Ausgaben 2028'!E$6)</f>
        <v>0</v>
      </c>
      <c r="F362" s="21">
        <f>SUMIFS(Einzelbeträge!$D:$D,Einzelbeträge!$C:$C,'Ausgaben 2028'!$C362,Einzelbeträge!$E:$E,'Ausgaben 2028'!F$6)</f>
        <v>0</v>
      </c>
      <c r="G362" s="21">
        <f>SUMIFS(Einzelbeträge!$D:$D,Einzelbeträge!$C:$C,'Ausgaben 2028'!$C362,Einzelbeträge!$E:$E,'Ausgaben 2028'!G$6)</f>
        <v>0</v>
      </c>
      <c r="H362" s="21">
        <f>SUMIFS(Einzelbeträge!$D:$D,Einzelbeträge!$C:$C,'Ausgaben 2028'!$C362,Einzelbeträge!$E:$E,'Ausgaben 2028'!H$6)</f>
        <v>0</v>
      </c>
      <c r="I362" s="21">
        <f>SUMIFS(Einzelbeträge!$D:$D,Einzelbeträge!$C:$C,'Ausgaben 2028'!$C362,Einzelbeträge!$E:$E,'Ausgaben 2028'!I$6)</f>
        <v>0</v>
      </c>
      <c r="J362" s="21">
        <f>SUMIFS(Einzelbeträge!$D:$D,Einzelbeträge!$C:$C,'Ausgaben 2028'!$C362,Einzelbeträge!$E:$E,'Ausgaben 2028'!J$6)</f>
        <v>0</v>
      </c>
      <c r="K362" s="21">
        <f>SUMIFS(Einzelbeträge!$D:$D,Einzelbeträge!$C:$C,'Ausgaben 2028'!$C362,Einzelbeträge!$E:$E,'Ausgaben 2028'!K$6)</f>
        <v>0</v>
      </c>
      <c r="L362" s="21">
        <f>SUMIFS(Einzelbeträge!$D:$D,Einzelbeträge!$C:$C,'Ausgaben 2028'!$C362,Einzelbeträge!$E:$E,'Ausgaben 2028'!L$6)</f>
        <v>0</v>
      </c>
      <c r="M362" s="21">
        <f>SUMIFS(Einzelbeträge!$D:$D,Einzelbeträge!$C:$C,'Ausgaben 2028'!$C362,Einzelbeträge!$E:$E,'Ausgaben 2028'!M$6)</f>
        <v>0</v>
      </c>
      <c r="N362" s="35">
        <f>SUMIFS(Einzelbeträge!$D:$D,Einzelbeträge!$C:$C,'Ausgaben 2028'!$C362,Einzelbeträge!$E:$E,'Ausgaben 2028'!N$6)</f>
        <v>0</v>
      </c>
      <c r="O362" s="6"/>
    </row>
    <row r="363" spans="2:15" x14ac:dyDescent="0.35">
      <c r="B363" s="5"/>
      <c r="C363" s="30">
        <f t="shared" si="26"/>
        <v>47079</v>
      </c>
      <c r="D363" s="46">
        <f>SUMIFS(Einzelbeträge!$D:$D,Einzelbeträge!$C:$C,'Ausgaben 2028'!$C363)</f>
        <v>0</v>
      </c>
      <c r="E363" s="21">
        <f>SUMIFS(Einzelbeträge!$D:$D,Einzelbeträge!$C:$C,'Ausgaben 2028'!$C363,Einzelbeträge!$E:$E,'Ausgaben 2028'!E$6)</f>
        <v>0</v>
      </c>
      <c r="F363" s="21">
        <f>SUMIFS(Einzelbeträge!$D:$D,Einzelbeträge!$C:$C,'Ausgaben 2028'!$C363,Einzelbeträge!$E:$E,'Ausgaben 2028'!F$6)</f>
        <v>0</v>
      </c>
      <c r="G363" s="21">
        <f>SUMIFS(Einzelbeträge!$D:$D,Einzelbeträge!$C:$C,'Ausgaben 2028'!$C363,Einzelbeträge!$E:$E,'Ausgaben 2028'!G$6)</f>
        <v>0</v>
      </c>
      <c r="H363" s="21">
        <f>SUMIFS(Einzelbeträge!$D:$D,Einzelbeträge!$C:$C,'Ausgaben 2028'!$C363,Einzelbeträge!$E:$E,'Ausgaben 2028'!H$6)</f>
        <v>0</v>
      </c>
      <c r="I363" s="21">
        <f>SUMIFS(Einzelbeträge!$D:$D,Einzelbeträge!$C:$C,'Ausgaben 2028'!$C363,Einzelbeträge!$E:$E,'Ausgaben 2028'!I$6)</f>
        <v>0</v>
      </c>
      <c r="J363" s="21">
        <f>SUMIFS(Einzelbeträge!$D:$D,Einzelbeträge!$C:$C,'Ausgaben 2028'!$C363,Einzelbeträge!$E:$E,'Ausgaben 2028'!J$6)</f>
        <v>0</v>
      </c>
      <c r="K363" s="21">
        <f>SUMIFS(Einzelbeträge!$D:$D,Einzelbeträge!$C:$C,'Ausgaben 2028'!$C363,Einzelbeträge!$E:$E,'Ausgaben 2028'!K$6)</f>
        <v>0</v>
      </c>
      <c r="L363" s="21">
        <f>SUMIFS(Einzelbeträge!$D:$D,Einzelbeträge!$C:$C,'Ausgaben 2028'!$C363,Einzelbeträge!$E:$E,'Ausgaben 2028'!L$6)</f>
        <v>0</v>
      </c>
      <c r="M363" s="21">
        <f>SUMIFS(Einzelbeträge!$D:$D,Einzelbeträge!$C:$C,'Ausgaben 2028'!$C363,Einzelbeträge!$E:$E,'Ausgaben 2028'!M$6)</f>
        <v>0</v>
      </c>
      <c r="N363" s="35">
        <f>SUMIFS(Einzelbeträge!$D:$D,Einzelbeträge!$C:$C,'Ausgaben 2028'!$C363,Einzelbeträge!$E:$E,'Ausgaben 2028'!N$6)</f>
        <v>0</v>
      </c>
      <c r="O363" s="6"/>
    </row>
    <row r="364" spans="2:15" x14ac:dyDescent="0.35">
      <c r="B364" s="5"/>
      <c r="C364" s="30">
        <f t="shared" si="26"/>
        <v>47080</v>
      </c>
      <c r="D364" s="46">
        <f>SUMIFS(Einzelbeträge!$D:$D,Einzelbeträge!$C:$C,'Ausgaben 2028'!$C364)</f>
        <v>0</v>
      </c>
      <c r="E364" s="21">
        <f>SUMIFS(Einzelbeträge!$D:$D,Einzelbeträge!$C:$C,'Ausgaben 2028'!$C364,Einzelbeträge!$E:$E,'Ausgaben 2028'!E$6)</f>
        <v>0</v>
      </c>
      <c r="F364" s="21">
        <f>SUMIFS(Einzelbeträge!$D:$D,Einzelbeträge!$C:$C,'Ausgaben 2028'!$C364,Einzelbeträge!$E:$E,'Ausgaben 2028'!F$6)</f>
        <v>0</v>
      </c>
      <c r="G364" s="21">
        <f>SUMIFS(Einzelbeträge!$D:$D,Einzelbeträge!$C:$C,'Ausgaben 2028'!$C364,Einzelbeträge!$E:$E,'Ausgaben 2028'!G$6)</f>
        <v>0</v>
      </c>
      <c r="H364" s="21">
        <f>SUMIFS(Einzelbeträge!$D:$D,Einzelbeträge!$C:$C,'Ausgaben 2028'!$C364,Einzelbeträge!$E:$E,'Ausgaben 2028'!H$6)</f>
        <v>0</v>
      </c>
      <c r="I364" s="21">
        <f>SUMIFS(Einzelbeträge!$D:$D,Einzelbeträge!$C:$C,'Ausgaben 2028'!$C364,Einzelbeträge!$E:$E,'Ausgaben 2028'!I$6)</f>
        <v>0</v>
      </c>
      <c r="J364" s="21">
        <f>SUMIFS(Einzelbeträge!$D:$D,Einzelbeträge!$C:$C,'Ausgaben 2028'!$C364,Einzelbeträge!$E:$E,'Ausgaben 2028'!J$6)</f>
        <v>0</v>
      </c>
      <c r="K364" s="21">
        <f>SUMIFS(Einzelbeträge!$D:$D,Einzelbeträge!$C:$C,'Ausgaben 2028'!$C364,Einzelbeträge!$E:$E,'Ausgaben 2028'!K$6)</f>
        <v>0</v>
      </c>
      <c r="L364" s="21">
        <f>SUMIFS(Einzelbeträge!$D:$D,Einzelbeträge!$C:$C,'Ausgaben 2028'!$C364,Einzelbeträge!$E:$E,'Ausgaben 2028'!L$6)</f>
        <v>0</v>
      </c>
      <c r="M364" s="21">
        <f>SUMIFS(Einzelbeträge!$D:$D,Einzelbeträge!$C:$C,'Ausgaben 2028'!$C364,Einzelbeträge!$E:$E,'Ausgaben 2028'!M$6)</f>
        <v>0</v>
      </c>
      <c r="N364" s="35">
        <f>SUMIFS(Einzelbeträge!$D:$D,Einzelbeträge!$C:$C,'Ausgaben 2028'!$C364,Einzelbeträge!$E:$E,'Ausgaben 2028'!N$6)</f>
        <v>0</v>
      </c>
      <c r="O364" s="6"/>
    </row>
    <row r="365" spans="2:15" x14ac:dyDescent="0.35">
      <c r="B365" s="5"/>
      <c r="C365" s="30">
        <f t="shared" si="26"/>
        <v>47081</v>
      </c>
      <c r="D365" s="46">
        <f>SUMIFS(Einzelbeträge!$D:$D,Einzelbeträge!$C:$C,'Ausgaben 2028'!$C365)</f>
        <v>0</v>
      </c>
      <c r="E365" s="21">
        <f>SUMIFS(Einzelbeträge!$D:$D,Einzelbeträge!$C:$C,'Ausgaben 2028'!$C365,Einzelbeträge!$E:$E,'Ausgaben 2028'!E$6)</f>
        <v>0</v>
      </c>
      <c r="F365" s="21">
        <f>SUMIFS(Einzelbeträge!$D:$D,Einzelbeträge!$C:$C,'Ausgaben 2028'!$C365,Einzelbeträge!$E:$E,'Ausgaben 2028'!F$6)</f>
        <v>0</v>
      </c>
      <c r="G365" s="21">
        <f>SUMIFS(Einzelbeträge!$D:$D,Einzelbeträge!$C:$C,'Ausgaben 2028'!$C365,Einzelbeträge!$E:$E,'Ausgaben 2028'!G$6)</f>
        <v>0</v>
      </c>
      <c r="H365" s="21">
        <f>SUMIFS(Einzelbeträge!$D:$D,Einzelbeträge!$C:$C,'Ausgaben 2028'!$C365,Einzelbeträge!$E:$E,'Ausgaben 2028'!H$6)</f>
        <v>0</v>
      </c>
      <c r="I365" s="21">
        <f>SUMIFS(Einzelbeträge!$D:$D,Einzelbeträge!$C:$C,'Ausgaben 2028'!$C365,Einzelbeträge!$E:$E,'Ausgaben 2028'!I$6)</f>
        <v>0</v>
      </c>
      <c r="J365" s="21">
        <f>SUMIFS(Einzelbeträge!$D:$D,Einzelbeträge!$C:$C,'Ausgaben 2028'!$C365,Einzelbeträge!$E:$E,'Ausgaben 2028'!J$6)</f>
        <v>0</v>
      </c>
      <c r="K365" s="21">
        <f>SUMIFS(Einzelbeträge!$D:$D,Einzelbeträge!$C:$C,'Ausgaben 2028'!$C365,Einzelbeträge!$E:$E,'Ausgaben 2028'!K$6)</f>
        <v>0</v>
      </c>
      <c r="L365" s="21">
        <f>SUMIFS(Einzelbeträge!$D:$D,Einzelbeträge!$C:$C,'Ausgaben 2028'!$C365,Einzelbeträge!$E:$E,'Ausgaben 2028'!L$6)</f>
        <v>0</v>
      </c>
      <c r="M365" s="21">
        <f>SUMIFS(Einzelbeträge!$D:$D,Einzelbeträge!$C:$C,'Ausgaben 2028'!$C365,Einzelbeträge!$E:$E,'Ausgaben 2028'!M$6)</f>
        <v>0</v>
      </c>
      <c r="N365" s="35">
        <f>SUMIFS(Einzelbeträge!$D:$D,Einzelbeträge!$C:$C,'Ausgaben 2028'!$C365,Einzelbeträge!$E:$E,'Ausgaben 2028'!N$6)</f>
        <v>0</v>
      </c>
      <c r="O365" s="6"/>
    </row>
    <row r="366" spans="2:15" x14ac:dyDescent="0.35">
      <c r="B366" s="5"/>
      <c r="C366" s="30">
        <f t="shared" si="26"/>
        <v>47082</v>
      </c>
      <c r="D366" s="46">
        <f>SUMIFS(Einzelbeträge!$D:$D,Einzelbeträge!$C:$C,'Ausgaben 2028'!$C366)</f>
        <v>0</v>
      </c>
      <c r="E366" s="21">
        <f>SUMIFS(Einzelbeträge!$D:$D,Einzelbeträge!$C:$C,'Ausgaben 2028'!$C366,Einzelbeträge!$E:$E,'Ausgaben 2028'!E$6)</f>
        <v>0</v>
      </c>
      <c r="F366" s="21">
        <f>SUMIFS(Einzelbeträge!$D:$D,Einzelbeträge!$C:$C,'Ausgaben 2028'!$C366,Einzelbeträge!$E:$E,'Ausgaben 2028'!F$6)</f>
        <v>0</v>
      </c>
      <c r="G366" s="21">
        <f>SUMIFS(Einzelbeträge!$D:$D,Einzelbeträge!$C:$C,'Ausgaben 2028'!$C366,Einzelbeträge!$E:$E,'Ausgaben 2028'!G$6)</f>
        <v>0</v>
      </c>
      <c r="H366" s="21">
        <f>SUMIFS(Einzelbeträge!$D:$D,Einzelbeträge!$C:$C,'Ausgaben 2028'!$C366,Einzelbeträge!$E:$E,'Ausgaben 2028'!H$6)</f>
        <v>0</v>
      </c>
      <c r="I366" s="21">
        <f>SUMIFS(Einzelbeträge!$D:$D,Einzelbeträge!$C:$C,'Ausgaben 2028'!$C366,Einzelbeträge!$E:$E,'Ausgaben 2028'!I$6)</f>
        <v>0</v>
      </c>
      <c r="J366" s="21">
        <f>SUMIFS(Einzelbeträge!$D:$D,Einzelbeträge!$C:$C,'Ausgaben 2028'!$C366,Einzelbeträge!$E:$E,'Ausgaben 2028'!J$6)</f>
        <v>0</v>
      </c>
      <c r="K366" s="21">
        <f>SUMIFS(Einzelbeträge!$D:$D,Einzelbeträge!$C:$C,'Ausgaben 2028'!$C366,Einzelbeträge!$E:$E,'Ausgaben 2028'!K$6)</f>
        <v>0</v>
      </c>
      <c r="L366" s="21">
        <f>SUMIFS(Einzelbeträge!$D:$D,Einzelbeträge!$C:$C,'Ausgaben 2028'!$C366,Einzelbeträge!$E:$E,'Ausgaben 2028'!L$6)</f>
        <v>0</v>
      </c>
      <c r="M366" s="21">
        <f>SUMIFS(Einzelbeträge!$D:$D,Einzelbeträge!$C:$C,'Ausgaben 2028'!$C366,Einzelbeträge!$E:$E,'Ausgaben 2028'!M$6)</f>
        <v>0</v>
      </c>
      <c r="N366" s="35">
        <f>SUMIFS(Einzelbeträge!$D:$D,Einzelbeträge!$C:$C,'Ausgaben 2028'!$C366,Einzelbeträge!$E:$E,'Ausgaben 2028'!N$6)</f>
        <v>0</v>
      </c>
      <c r="O366" s="6"/>
    </row>
    <row r="367" spans="2:15" x14ac:dyDescent="0.35">
      <c r="B367" s="5"/>
      <c r="C367" s="30">
        <f t="shared" si="26"/>
        <v>47083</v>
      </c>
      <c r="D367" s="46">
        <f>SUMIFS(Einzelbeträge!$D:$D,Einzelbeträge!$C:$C,'Ausgaben 2028'!$C367)</f>
        <v>0</v>
      </c>
      <c r="E367" s="21">
        <f>SUMIFS(Einzelbeträge!$D:$D,Einzelbeträge!$C:$C,'Ausgaben 2028'!$C367,Einzelbeträge!$E:$E,'Ausgaben 2028'!E$6)</f>
        <v>0</v>
      </c>
      <c r="F367" s="21">
        <f>SUMIFS(Einzelbeträge!$D:$D,Einzelbeträge!$C:$C,'Ausgaben 2028'!$C367,Einzelbeträge!$E:$E,'Ausgaben 2028'!F$6)</f>
        <v>0</v>
      </c>
      <c r="G367" s="21">
        <f>SUMIFS(Einzelbeträge!$D:$D,Einzelbeträge!$C:$C,'Ausgaben 2028'!$C367,Einzelbeträge!$E:$E,'Ausgaben 2028'!G$6)</f>
        <v>0</v>
      </c>
      <c r="H367" s="21">
        <f>SUMIFS(Einzelbeträge!$D:$D,Einzelbeträge!$C:$C,'Ausgaben 2028'!$C367,Einzelbeträge!$E:$E,'Ausgaben 2028'!H$6)</f>
        <v>0</v>
      </c>
      <c r="I367" s="21">
        <f>SUMIFS(Einzelbeträge!$D:$D,Einzelbeträge!$C:$C,'Ausgaben 2028'!$C367,Einzelbeträge!$E:$E,'Ausgaben 2028'!I$6)</f>
        <v>0</v>
      </c>
      <c r="J367" s="21">
        <f>SUMIFS(Einzelbeträge!$D:$D,Einzelbeträge!$C:$C,'Ausgaben 2028'!$C367,Einzelbeträge!$E:$E,'Ausgaben 2028'!J$6)</f>
        <v>0</v>
      </c>
      <c r="K367" s="21">
        <f>SUMIFS(Einzelbeträge!$D:$D,Einzelbeträge!$C:$C,'Ausgaben 2028'!$C367,Einzelbeträge!$E:$E,'Ausgaben 2028'!K$6)</f>
        <v>0</v>
      </c>
      <c r="L367" s="21">
        <f>SUMIFS(Einzelbeträge!$D:$D,Einzelbeträge!$C:$C,'Ausgaben 2028'!$C367,Einzelbeträge!$E:$E,'Ausgaben 2028'!L$6)</f>
        <v>0</v>
      </c>
      <c r="M367" s="21">
        <f>SUMIFS(Einzelbeträge!$D:$D,Einzelbeträge!$C:$C,'Ausgaben 2028'!$C367,Einzelbeträge!$E:$E,'Ausgaben 2028'!M$6)</f>
        <v>0</v>
      </c>
      <c r="N367" s="35">
        <f>SUMIFS(Einzelbeträge!$D:$D,Einzelbeträge!$C:$C,'Ausgaben 2028'!$C367,Einzelbeträge!$E:$E,'Ausgaben 2028'!N$6)</f>
        <v>0</v>
      </c>
      <c r="O367" s="6"/>
    </row>
    <row r="368" spans="2:15" x14ac:dyDescent="0.35">
      <c r="B368" s="5"/>
      <c r="C368" s="30">
        <f t="shared" si="26"/>
        <v>47084</v>
      </c>
      <c r="D368" s="46">
        <f>SUMIFS(Einzelbeträge!$D:$D,Einzelbeträge!$C:$C,'Ausgaben 2028'!$C368)</f>
        <v>0</v>
      </c>
      <c r="E368" s="21">
        <f>SUMIFS(Einzelbeträge!$D:$D,Einzelbeträge!$C:$C,'Ausgaben 2028'!$C368,Einzelbeträge!$E:$E,'Ausgaben 2028'!E$6)</f>
        <v>0</v>
      </c>
      <c r="F368" s="21">
        <f>SUMIFS(Einzelbeträge!$D:$D,Einzelbeträge!$C:$C,'Ausgaben 2028'!$C368,Einzelbeträge!$E:$E,'Ausgaben 2028'!F$6)</f>
        <v>0</v>
      </c>
      <c r="G368" s="21">
        <f>SUMIFS(Einzelbeträge!$D:$D,Einzelbeträge!$C:$C,'Ausgaben 2028'!$C368,Einzelbeträge!$E:$E,'Ausgaben 2028'!G$6)</f>
        <v>0</v>
      </c>
      <c r="H368" s="21">
        <f>SUMIFS(Einzelbeträge!$D:$D,Einzelbeträge!$C:$C,'Ausgaben 2028'!$C368,Einzelbeträge!$E:$E,'Ausgaben 2028'!H$6)</f>
        <v>0</v>
      </c>
      <c r="I368" s="21">
        <f>SUMIFS(Einzelbeträge!$D:$D,Einzelbeträge!$C:$C,'Ausgaben 2028'!$C368,Einzelbeträge!$E:$E,'Ausgaben 2028'!I$6)</f>
        <v>0</v>
      </c>
      <c r="J368" s="21">
        <f>SUMIFS(Einzelbeträge!$D:$D,Einzelbeträge!$C:$C,'Ausgaben 2028'!$C368,Einzelbeträge!$E:$E,'Ausgaben 2028'!J$6)</f>
        <v>0</v>
      </c>
      <c r="K368" s="21">
        <f>SUMIFS(Einzelbeträge!$D:$D,Einzelbeträge!$C:$C,'Ausgaben 2028'!$C368,Einzelbeträge!$E:$E,'Ausgaben 2028'!K$6)</f>
        <v>0</v>
      </c>
      <c r="L368" s="21">
        <f>SUMIFS(Einzelbeträge!$D:$D,Einzelbeträge!$C:$C,'Ausgaben 2028'!$C368,Einzelbeträge!$E:$E,'Ausgaben 2028'!L$6)</f>
        <v>0</v>
      </c>
      <c r="M368" s="21">
        <f>SUMIFS(Einzelbeträge!$D:$D,Einzelbeträge!$C:$C,'Ausgaben 2028'!$C368,Einzelbeträge!$E:$E,'Ausgaben 2028'!M$6)</f>
        <v>0</v>
      </c>
      <c r="N368" s="35">
        <f>SUMIFS(Einzelbeträge!$D:$D,Einzelbeträge!$C:$C,'Ausgaben 2028'!$C368,Einzelbeträge!$E:$E,'Ausgaben 2028'!N$6)</f>
        <v>0</v>
      </c>
      <c r="O368" s="6"/>
    </row>
    <row r="369" spans="2:15" x14ac:dyDescent="0.35">
      <c r="B369" s="5"/>
      <c r="C369" s="30">
        <f t="shared" si="26"/>
        <v>47085</v>
      </c>
      <c r="D369" s="46">
        <f>SUMIFS(Einzelbeträge!$D:$D,Einzelbeträge!$C:$C,'Ausgaben 2028'!$C369)</f>
        <v>0</v>
      </c>
      <c r="E369" s="21">
        <f>SUMIFS(Einzelbeträge!$D:$D,Einzelbeträge!$C:$C,'Ausgaben 2028'!$C369,Einzelbeträge!$E:$E,'Ausgaben 2028'!E$6)</f>
        <v>0</v>
      </c>
      <c r="F369" s="21">
        <f>SUMIFS(Einzelbeträge!$D:$D,Einzelbeträge!$C:$C,'Ausgaben 2028'!$C369,Einzelbeträge!$E:$E,'Ausgaben 2028'!F$6)</f>
        <v>0</v>
      </c>
      <c r="G369" s="21">
        <f>SUMIFS(Einzelbeträge!$D:$D,Einzelbeträge!$C:$C,'Ausgaben 2028'!$C369,Einzelbeträge!$E:$E,'Ausgaben 2028'!G$6)</f>
        <v>0</v>
      </c>
      <c r="H369" s="21">
        <f>SUMIFS(Einzelbeträge!$D:$D,Einzelbeträge!$C:$C,'Ausgaben 2028'!$C369,Einzelbeträge!$E:$E,'Ausgaben 2028'!H$6)</f>
        <v>0</v>
      </c>
      <c r="I369" s="21">
        <f>SUMIFS(Einzelbeträge!$D:$D,Einzelbeträge!$C:$C,'Ausgaben 2028'!$C369,Einzelbeträge!$E:$E,'Ausgaben 2028'!I$6)</f>
        <v>0</v>
      </c>
      <c r="J369" s="21">
        <f>SUMIFS(Einzelbeträge!$D:$D,Einzelbeträge!$C:$C,'Ausgaben 2028'!$C369,Einzelbeträge!$E:$E,'Ausgaben 2028'!J$6)</f>
        <v>0</v>
      </c>
      <c r="K369" s="21">
        <f>SUMIFS(Einzelbeträge!$D:$D,Einzelbeträge!$C:$C,'Ausgaben 2028'!$C369,Einzelbeträge!$E:$E,'Ausgaben 2028'!K$6)</f>
        <v>0</v>
      </c>
      <c r="L369" s="21">
        <f>SUMIFS(Einzelbeträge!$D:$D,Einzelbeträge!$C:$C,'Ausgaben 2028'!$C369,Einzelbeträge!$E:$E,'Ausgaben 2028'!L$6)</f>
        <v>0</v>
      </c>
      <c r="M369" s="21">
        <f>SUMIFS(Einzelbeträge!$D:$D,Einzelbeträge!$C:$C,'Ausgaben 2028'!$C369,Einzelbeträge!$E:$E,'Ausgaben 2028'!M$6)</f>
        <v>0</v>
      </c>
      <c r="N369" s="35">
        <f>SUMIFS(Einzelbeträge!$D:$D,Einzelbeträge!$C:$C,'Ausgaben 2028'!$C369,Einzelbeträge!$E:$E,'Ausgaben 2028'!N$6)</f>
        <v>0</v>
      </c>
      <c r="O369" s="6"/>
    </row>
    <row r="370" spans="2:15" x14ac:dyDescent="0.35">
      <c r="B370" s="5"/>
      <c r="C370" s="30">
        <f t="shared" si="26"/>
        <v>47086</v>
      </c>
      <c r="D370" s="46">
        <f>SUMIFS(Einzelbeträge!$D:$D,Einzelbeträge!$C:$C,'Ausgaben 2028'!$C370)</f>
        <v>0</v>
      </c>
      <c r="E370" s="21">
        <f>SUMIFS(Einzelbeträge!$D:$D,Einzelbeträge!$C:$C,'Ausgaben 2028'!$C370,Einzelbeträge!$E:$E,'Ausgaben 2028'!E$6)</f>
        <v>0</v>
      </c>
      <c r="F370" s="21">
        <f>SUMIFS(Einzelbeträge!$D:$D,Einzelbeträge!$C:$C,'Ausgaben 2028'!$C370,Einzelbeträge!$E:$E,'Ausgaben 2028'!F$6)</f>
        <v>0</v>
      </c>
      <c r="G370" s="21">
        <f>SUMIFS(Einzelbeträge!$D:$D,Einzelbeträge!$C:$C,'Ausgaben 2028'!$C370,Einzelbeträge!$E:$E,'Ausgaben 2028'!G$6)</f>
        <v>0</v>
      </c>
      <c r="H370" s="21">
        <f>SUMIFS(Einzelbeträge!$D:$D,Einzelbeträge!$C:$C,'Ausgaben 2028'!$C370,Einzelbeträge!$E:$E,'Ausgaben 2028'!H$6)</f>
        <v>0</v>
      </c>
      <c r="I370" s="21">
        <f>SUMIFS(Einzelbeträge!$D:$D,Einzelbeträge!$C:$C,'Ausgaben 2028'!$C370,Einzelbeträge!$E:$E,'Ausgaben 2028'!I$6)</f>
        <v>0</v>
      </c>
      <c r="J370" s="21">
        <f>SUMIFS(Einzelbeträge!$D:$D,Einzelbeträge!$C:$C,'Ausgaben 2028'!$C370,Einzelbeträge!$E:$E,'Ausgaben 2028'!J$6)</f>
        <v>0</v>
      </c>
      <c r="K370" s="21">
        <f>SUMIFS(Einzelbeträge!$D:$D,Einzelbeträge!$C:$C,'Ausgaben 2028'!$C370,Einzelbeträge!$E:$E,'Ausgaben 2028'!K$6)</f>
        <v>0</v>
      </c>
      <c r="L370" s="21">
        <f>SUMIFS(Einzelbeträge!$D:$D,Einzelbeträge!$C:$C,'Ausgaben 2028'!$C370,Einzelbeträge!$E:$E,'Ausgaben 2028'!L$6)</f>
        <v>0</v>
      </c>
      <c r="M370" s="21">
        <f>SUMIFS(Einzelbeträge!$D:$D,Einzelbeträge!$C:$C,'Ausgaben 2028'!$C370,Einzelbeträge!$E:$E,'Ausgaben 2028'!M$6)</f>
        <v>0</v>
      </c>
      <c r="N370" s="35">
        <f>SUMIFS(Einzelbeträge!$D:$D,Einzelbeträge!$C:$C,'Ausgaben 2028'!$C370,Einzelbeträge!$E:$E,'Ausgaben 2028'!N$6)</f>
        <v>0</v>
      </c>
      <c r="O370" s="6"/>
    </row>
    <row r="371" spans="2:15" x14ac:dyDescent="0.35">
      <c r="B371" s="5"/>
      <c r="C371" s="31">
        <f t="shared" si="26"/>
        <v>47087</v>
      </c>
      <c r="D371" s="47">
        <f>SUMIFS(Einzelbeträge!$D:$D,Einzelbeträge!$C:$C,'Ausgaben 2028'!$C371)</f>
        <v>0</v>
      </c>
      <c r="E371" s="37">
        <f>SUMIFS(Einzelbeträge!$D:$D,Einzelbeträge!$C:$C,'Ausgaben 2028'!$C371,Einzelbeträge!$E:$E,'Ausgaben 2028'!E$6)</f>
        <v>0</v>
      </c>
      <c r="F371" s="37">
        <f>SUMIFS(Einzelbeträge!$D:$D,Einzelbeträge!$C:$C,'Ausgaben 2028'!$C371,Einzelbeträge!$E:$E,'Ausgaben 2028'!F$6)</f>
        <v>0</v>
      </c>
      <c r="G371" s="37">
        <f>SUMIFS(Einzelbeträge!$D:$D,Einzelbeträge!$C:$C,'Ausgaben 2028'!$C371,Einzelbeträge!$E:$E,'Ausgaben 2028'!G$6)</f>
        <v>0</v>
      </c>
      <c r="H371" s="37">
        <f>SUMIFS(Einzelbeträge!$D:$D,Einzelbeträge!$C:$C,'Ausgaben 2028'!$C371,Einzelbeträge!$E:$E,'Ausgaben 2028'!H$6)</f>
        <v>0</v>
      </c>
      <c r="I371" s="37">
        <f>SUMIFS(Einzelbeträge!$D:$D,Einzelbeträge!$C:$C,'Ausgaben 2028'!$C371,Einzelbeträge!$E:$E,'Ausgaben 2028'!I$6)</f>
        <v>0</v>
      </c>
      <c r="J371" s="37">
        <f>SUMIFS(Einzelbeträge!$D:$D,Einzelbeträge!$C:$C,'Ausgaben 2028'!$C371,Einzelbeträge!$E:$E,'Ausgaben 2028'!J$6)</f>
        <v>0</v>
      </c>
      <c r="K371" s="37">
        <f>SUMIFS(Einzelbeträge!$D:$D,Einzelbeträge!$C:$C,'Ausgaben 2028'!$C371,Einzelbeträge!$E:$E,'Ausgaben 2028'!K$6)</f>
        <v>0</v>
      </c>
      <c r="L371" s="37">
        <f>SUMIFS(Einzelbeträge!$D:$D,Einzelbeträge!$C:$C,'Ausgaben 2028'!$C371,Einzelbeträge!$E:$E,'Ausgaben 2028'!L$6)</f>
        <v>0</v>
      </c>
      <c r="M371" s="37">
        <f>SUMIFS(Einzelbeträge!$D:$D,Einzelbeträge!$C:$C,'Ausgaben 2028'!$C371,Einzelbeträge!$E:$E,'Ausgaben 2028'!M$6)</f>
        <v>0</v>
      </c>
      <c r="N371" s="38">
        <f>SUMIFS(Einzelbeträge!$D:$D,Einzelbeträge!$C:$C,'Ausgaben 2028'!$C371,Einzelbeträge!$E:$E,'Ausgaben 2028'!N$6)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47088</v>
      </c>
      <c r="D375" s="45">
        <f>SUMIFS(Einzelbeträge!$D:$D,Einzelbeträge!$C:$C,'Ausgaben 2028'!$C375)</f>
        <v>0</v>
      </c>
      <c r="E375" s="32">
        <f>SUMIFS(Einzelbeträge!$D:$D,Einzelbeträge!$C:$C,'Ausgaben 2028'!$C375,Einzelbeträge!$E:$E,'Ausgaben 2028'!E$6)</f>
        <v>0</v>
      </c>
      <c r="F375" s="32">
        <f>SUMIFS(Einzelbeträge!$D:$D,Einzelbeträge!$C:$C,'Ausgaben 2028'!$C375,Einzelbeträge!$E:$E,'Ausgaben 2028'!F$6)</f>
        <v>0</v>
      </c>
      <c r="G375" s="32">
        <f>SUMIFS(Einzelbeträge!$D:$D,Einzelbeträge!$C:$C,'Ausgaben 2028'!$C375,Einzelbeträge!$E:$E,'Ausgaben 2028'!G$6)</f>
        <v>0</v>
      </c>
      <c r="H375" s="32">
        <f>SUMIFS(Einzelbeträge!$D:$D,Einzelbeträge!$C:$C,'Ausgaben 2028'!$C375,Einzelbeträge!$E:$E,'Ausgaben 2028'!H$6)</f>
        <v>0</v>
      </c>
      <c r="I375" s="32">
        <f>SUMIFS(Einzelbeträge!$D:$D,Einzelbeträge!$C:$C,'Ausgaben 2028'!$C375,Einzelbeträge!$E:$E,'Ausgaben 2028'!I$6)</f>
        <v>0</v>
      </c>
      <c r="J375" s="32">
        <f>SUMIFS(Einzelbeträge!$D:$D,Einzelbeträge!$C:$C,'Ausgaben 2028'!$C375,Einzelbeträge!$E:$E,'Ausgaben 2028'!J$6)</f>
        <v>0</v>
      </c>
      <c r="K375" s="32">
        <f>SUMIFS(Einzelbeträge!$D:$D,Einzelbeträge!$C:$C,'Ausgaben 2028'!$C375,Einzelbeträge!$E:$E,'Ausgaben 2028'!K$6)</f>
        <v>0</v>
      </c>
      <c r="L375" s="32">
        <f>SUMIFS(Einzelbeträge!$D:$D,Einzelbeträge!$C:$C,'Ausgaben 2028'!$C375,Einzelbeträge!$E:$E,'Ausgaben 2028'!L$6)</f>
        <v>0</v>
      </c>
      <c r="M375" s="32">
        <f>SUMIFS(Einzelbeträge!$D:$D,Einzelbeträge!$C:$C,'Ausgaben 2028'!$C375,Einzelbeträge!$E:$E,'Ausgaben 2028'!M$6)</f>
        <v>0</v>
      </c>
      <c r="N375" s="33">
        <f>SUMIFS(Einzelbeträge!$D:$D,Einzelbeträge!$C:$C,'Ausgaben 2028'!$C375,Einzelbeträge!$E:$E,'Ausgaben 2028'!N$6)</f>
        <v>0</v>
      </c>
      <c r="O375" s="6"/>
    </row>
    <row r="376" spans="2:15" x14ac:dyDescent="0.35">
      <c r="B376" s="5"/>
      <c r="C376" s="40">
        <f>C375+1</f>
        <v>47089</v>
      </c>
      <c r="D376" s="46">
        <f>SUMIFS(Einzelbeträge!$D:$D,Einzelbeträge!$C:$C,'Ausgaben 2028'!$C376)</f>
        <v>0</v>
      </c>
      <c r="E376" s="21">
        <f>SUMIFS(Einzelbeträge!$D:$D,Einzelbeträge!$C:$C,'Ausgaben 2028'!$C376,Einzelbeträge!$E:$E,'Ausgaben 2028'!E$6)</f>
        <v>0</v>
      </c>
      <c r="F376" s="21">
        <f>SUMIFS(Einzelbeträge!$D:$D,Einzelbeträge!$C:$C,'Ausgaben 2028'!$C376,Einzelbeträge!$E:$E,'Ausgaben 2028'!F$6)</f>
        <v>0</v>
      </c>
      <c r="G376" s="21">
        <f>SUMIFS(Einzelbeträge!$D:$D,Einzelbeträge!$C:$C,'Ausgaben 2028'!$C376,Einzelbeträge!$E:$E,'Ausgaben 2028'!G$6)</f>
        <v>0</v>
      </c>
      <c r="H376" s="21">
        <f>SUMIFS(Einzelbeträge!$D:$D,Einzelbeträge!$C:$C,'Ausgaben 2028'!$C376,Einzelbeträge!$E:$E,'Ausgaben 2028'!H$6)</f>
        <v>0</v>
      </c>
      <c r="I376" s="21">
        <f>SUMIFS(Einzelbeträge!$D:$D,Einzelbeträge!$C:$C,'Ausgaben 2028'!$C376,Einzelbeträge!$E:$E,'Ausgaben 2028'!I$6)</f>
        <v>0</v>
      </c>
      <c r="J376" s="21">
        <f>SUMIFS(Einzelbeträge!$D:$D,Einzelbeträge!$C:$C,'Ausgaben 2028'!$C376,Einzelbeträge!$E:$E,'Ausgaben 2028'!J$6)</f>
        <v>0</v>
      </c>
      <c r="K376" s="21">
        <f>SUMIFS(Einzelbeträge!$D:$D,Einzelbeträge!$C:$C,'Ausgaben 2028'!$C376,Einzelbeträge!$E:$E,'Ausgaben 2028'!K$6)</f>
        <v>0</v>
      </c>
      <c r="L376" s="21">
        <f>SUMIFS(Einzelbeträge!$D:$D,Einzelbeträge!$C:$C,'Ausgaben 2028'!$C376,Einzelbeträge!$E:$E,'Ausgaben 2028'!L$6)</f>
        <v>0</v>
      </c>
      <c r="M376" s="21">
        <f>SUMIFS(Einzelbeträge!$D:$D,Einzelbeträge!$C:$C,'Ausgaben 2028'!$C376,Einzelbeträge!$E:$E,'Ausgaben 2028'!M$6)</f>
        <v>0</v>
      </c>
      <c r="N376" s="35">
        <f>SUMIFS(Einzelbeträge!$D:$D,Einzelbeträge!$C:$C,'Ausgaben 2028'!$C376,Einzelbeträge!$E:$E,'Ausgaben 2028'!N$6)</f>
        <v>0</v>
      </c>
      <c r="O376" s="6"/>
    </row>
    <row r="377" spans="2:15" x14ac:dyDescent="0.35">
      <c r="B377" s="5"/>
      <c r="C377" s="40">
        <f t="shared" ref="C377:C405" si="27">C376+1</f>
        <v>47090</v>
      </c>
      <c r="D377" s="46">
        <f>SUMIFS(Einzelbeträge!$D:$D,Einzelbeträge!$C:$C,'Ausgaben 2028'!$C377)</f>
        <v>0</v>
      </c>
      <c r="E377" s="21">
        <f>SUMIFS(Einzelbeträge!$D:$D,Einzelbeträge!$C:$C,'Ausgaben 2028'!$C377,Einzelbeträge!$E:$E,'Ausgaben 2028'!E$6)</f>
        <v>0</v>
      </c>
      <c r="F377" s="21">
        <f>SUMIFS(Einzelbeträge!$D:$D,Einzelbeträge!$C:$C,'Ausgaben 2028'!$C377,Einzelbeträge!$E:$E,'Ausgaben 2028'!F$6)</f>
        <v>0</v>
      </c>
      <c r="G377" s="21">
        <f>SUMIFS(Einzelbeträge!$D:$D,Einzelbeträge!$C:$C,'Ausgaben 2028'!$C377,Einzelbeträge!$E:$E,'Ausgaben 2028'!G$6)</f>
        <v>0</v>
      </c>
      <c r="H377" s="21">
        <f>SUMIFS(Einzelbeträge!$D:$D,Einzelbeträge!$C:$C,'Ausgaben 2028'!$C377,Einzelbeträge!$E:$E,'Ausgaben 2028'!H$6)</f>
        <v>0</v>
      </c>
      <c r="I377" s="21">
        <f>SUMIFS(Einzelbeträge!$D:$D,Einzelbeträge!$C:$C,'Ausgaben 2028'!$C377,Einzelbeträge!$E:$E,'Ausgaben 2028'!I$6)</f>
        <v>0</v>
      </c>
      <c r="J377" s="21">
        <f>SUMIFS(Einzelbeträge!$D:$D,Einzelbeträge!$C:$C,'Ausgaben 2028'!$C377,Einzelbeträge!$E:$E,'Ausgaben 2028'!J$6)</f>
        <v>0</v>
      </c>
      <c r="K377" s="21">
        <f>SUMIFS(Einzelbeträge!$D:$D,Einzelbeträge!$C:$C,'Ausgaben 2028'!$C377,Einzelbeträge!$E:$E,'Ausgaben 2028'!K$6)</f>
        <v>0</v>
      </c>
      <c r="L377" s="21">
        <f>SUMIFS(Einzelbeträge!$D:$D,Einzelbeträge!$C:$C,'Ausgaben 2028'!$C377,Einzelbeträge!$E:$E,'Ausgaben 2028'!L$6)</f>
        <v>0</v>
      </c>
      <c r="M377" s="21">
        <f>SUMIFS(Einzelbeträge!$D:$D,Einzelbeträge!$C:$C,'Ausgaben 2028'!$C377,Einzelbeträge!$E:$E,'Ausgaben 2028'!M$6)</f>
        <v>0</v>
      </c>
      <c r="N377" s="35">
        <f>SUMIFS(Einzelbeträge!$D:$D,Einzelbeträge!$C:$C,'Ausgaben 2028'!$C377,Einzelbeträge!$E:$E,'Ausgaben 2028'!N$6)</f>
        <v>0</v>
      </c>
      <c r="O377" s="6"/>
    </row>
    <row r="378" spans="2:15" x14ac:dyDescent="0.35">
      <c r="B378" s="5"/>
      <c r="C378" s="40">
        <f t="shared" si="27"/>
        <v>47091</v>
      </c>
      <c r="D378" s="46">
        <f>SUMIFS(Einzelbeträge!$D:$D,Einzelbeträge!$C:$C,'Ausgaben 2028'!$C378)</f>
        <v>0</v>
      </c>
      <c r="E378" s="21">
        <f>SUMIFS(Einzelbeträge!$D:$D,Einzelbeträge!$C:$C,'Ausgaben 2028'!$C378,Einzelbeträge!$E:$E,'Ausgaben 2028'!E$6)</f>
        <v>0</v>
      </c>
      <c r="F378" s="21">
        <f>SUMIFS(Einzelbeträge!$D:$D,Einzelbeträge!$C:$C,'Ausgaben 2028'!$C378,Einzelbeträge!$E:$E,'Ausgaben 2028'!F$6)</f>
        <v>0</v>
      </c>
      <c r="G378" s="21">
        <f>SUMIFS(Einzelbeträge!$D:$D,Einzelbeträge!$C:$C,'Ausgaben 2028'!$C378,Einzelbeträge!$E:$E,'Ausgaben 2028'!G$6)</f>
        <v>0</v>
      </c>
      <c r="H378" s="21">
        <f>SUMIFS(Einzelbeträge!$D:$D,Einzelbeträge!$C:$C,'Ausgaben 2028'!$C378,Einzelbeträge!$E:$E,'Ausgaben 2028'!H$6)</f>
        <v>0</v>
      </c>
      <c r="I378" s="21">
        <f>SUMIFS(Einzelbeträge!$D:$D,Einzelbeträge!$C:$C,'Ausgaben 2028'!$C378,Einzelbeträge!$E:$E,'Ausgaben 2028'!I$6)</f>
        <v>0</v>
      </c>
      <c r="J378" s="21">
        <f>SUMIFS(Einzelbeträge!$D:$D,Einzelbeträge!$C:$C,'Ausgaben 2028'!$C378,Einzelbeträge!$E:$E,'Ausgaben 2028'!J$6)</f>
        <v>0</v>
      </c>
      <c r="K378" s="21">
        <f>SUMIFS(Einzelbeträge!$D:$D,Einzelbeträge!$C:$C,'Ausgaben 2028'!$C378,Einzelbeträge!$E:$E,'Ausgaben 2028'!K$6)</f>
        <v>0</v>
      </c>
      <c r="L378" s="21">
        <f>SUMIFS(Einzelbeträge!$D:$D,Einzelbeträge!$C:$C,'Ausgaben 2028'!$C378,Einzelbeträge!$E:$E,'Ausgaben 2028'!L$6)</f>
        <v>0</v>
      </c>
      <c r="M378" s="21">
        <f>SUMIFS(Einzelbeträge!$D:$D,Einzelbeträge!$C:$C,'Ausgaben 2028'!$C378,Einzelbeträge!$E:$E,'Ausgaben 2028'!M$6)</f>
        <v>0</v>
      </c>
      <c r="N378" s="35">
        <f>SUMIFS(Einzelbeträge!$D:$D,Einzelbeträge!$C:$C,'Ausgaben 2028'!$C378,Einzelbeträge!$E:$E,'Ausgaben 2028'!N$6)</f>
        <v>0</v>
      </c>
      <c r="O378" s="6"/>
    </row>
    <row r="379" spans="2:15" x14ac:dyDescent="0.35">
      <c r="B379" s="5"/>
      <c r="C379" s="40">
        <f t="shared" si="27"/>
        <v>47092</v>
      </c>
      <c r="D379" s="46">
        <f>SUMIFS(Einzelbeträge!$D:$D,Einzelbeträge!$C:$C,'Ausgaben 2028'!$C379)</f>
        <v>0</v>
      </c>
      <c r="E379" s="21">
        <f>SUMIFS(Einzelbeträge!$D:$D,Einzelbeträge!$C:$C,'Ausgaben 2028'!$C379,Einzelbeträge!$E:$E,'Ausgaben 2028'!E$6)</f>
        <v>0</v>
      </c>
      <c r="F379" s="21">
        <f>SUMIFS(Einzelbeträge!$D:$D,Einzelbeträge!$C:$C,'Ausgaben 2028'!$C379,Einzelbeträge!$E:$E,'Ausgaben 2028'!F$6)</f>
        <v>0</v>
      </c>
      <c r="G379" s="21">
        <f>SUMIFS(Einzelbeträge!$D:$D,Einzelbeträge!$C:$C,'Ausgaben 2028'!$C379,Einzelbeträge!$E:$E,'Ausgaben 2028'!G$6)</f>
        <v>0</v>
      </c>
      <c r="H379" s="21">
        <f>SUMIFS(Einzelbeträge!$D:$D,Einzelbeträge!$C:$C,'Ausgaben 2028'!$C379,Einzelbeträge!$E:$E,'Ausgaben 2028'!H$6)</f>
        <v>0</v>
      </c>
      <c r="I379" s="21">
        <f>SUMIFS(Einzelbeträge!$D:$D,Einzelbeträge!$C:$C,'Ausgaben 2028'!$C379,Einzelbeträge!$E:$E,'Ausgaben 2028'!I$6)</f>
        <v>0</v>
      </c>
      <c r="J379" s="21">
        <f>SUMIFS(Einzelbeträge!$D:$D,Einzelbeträge!$C:$C,'Ausgaben 2028'!$C379,Einzelbeträge!$E:$E,'Ausgaben 2028'!J$6)</f>
        <v>0</v>
      </c>
      <c r="K379" s="21">
        <f>SUMIFS(Einzelbeträge!$D:$D,Einzelbeträge!$C:$C,'Ausgaben 2028'!$C379,Einzelbeträge!$E:$E,'Ausgaben 2028'!K$6)</f>
        <v>0</v>
      </c>
      <c r="L379" s="21">
        <f>SUMIFS(Einzelbeträge!$D:$D,Einzelbeträge!$C:$C,'Ausgaben 2028'!$C379,Einzelbeträge!$E:$E,'Ausgaben 2028'!L$6)</f>
        <v>0</v>
      </c>
      <c r="M379" s="21">
        <f>SUMIFS(Einzelbeträge!$D:$D,Einzelbeträge!$C:$C,'Ausgaben 2028'!$C379,Einzelbeträge!$E:$E,'Ausgaben 2028'!M$6)</f>
        <v>0</v>
      </c>
      <c r="N379" s="35">
        <f>SUMIFS(Einzelbeträge!$D:$D,Einzelbeträge!$C:$C,'Ausgaben 2028'!$C379,Einzelbeträge!$E:$E,'Ausgaben 2028'!N$6)</f>
        <v>0</v>
      </c>
      <c r="O379" s="6"/>
    </row>
    <row r="380" spans="2:15" x14ac:dyDescent="0.35">
      <c r="B380" s="5"/>
      <c r="C380" s="40">
        <f t="shared" si="27"/>
        <v>47093</v>
      </c>
      <c r="D380" s="46">
        <f>SUMIFS(Einzelbeträge!$D:$D,Einzelbeträge!$C:$C,'Ausgaben 2028'!$C380)</f>
        <v>0</v>
      </c>
      <c r="E380" s="21">
        <f>SUMIFS(Einzelbeträge!$D:$D,Einzelbeträge!$C:$C,'Ausgaben 2028'!$C380,Einzelbeträge!$E:$E,'Ausgaben 2028'!E$6)</f>
        <v>0</v>
      </c>
      <c r="F380" s="21">
        <f>SUMIFS(Einzelbeträge!$D:$D,Einzelbeträge!$C:$C,'Ausgaben 2028'!$C380,Einzelbeträge!$E:$E,'Ausgaben 2028'!F$6)</f>
        <v>0</v>
      </c>
      <c r="G380" s="21">
        <f>SUMIFS(Einzelbeträge!$D:$D,Einzelbeträge!$C:$C,'Ausgaben 2028'!$C380,Einzelbeträge!$E:$E,'Ausgaben 2028'!G$6)</f>
        <v>0</v>
      </c>
      <c r="H380" s="21">
        <f>SUMIFS(Einzelbeträge!$D:$D,Einzelbeträge!$C:$C,'Ausgaben 2028'!$C380,Einzelbeträge!$E:$E,'Ausgaben 2028'!H$6)</f>
        <v>0</v>
      </c>
      <c r="I380" s="21">
        <f>SUMIFS(Einzelbeträge!$D:$D,Einzelbeträge!$C:$C,'Ausgaben 2028'!$C380,Einzelbeträge!$E:$E,'Ausgaben 2028'!I$6)</f>
        <v>0</v>
      </c>
      <c r="J380" s="21">
        <f>SUMIFS(Einzelbeträge!$D:$D,Einzelbeträge!$C:$C,'Ausgaben 2028'!$C380,Einzelbeträge!$E:$E,'Ausgaben 2028'!J$6)</f>
        <v>0</v>
      </c>
      <c r="K380" s="21">
        <f>SUMIFS(Einzelbeträge!$D:$D,Einzelbeträge!$C:$C,'Ausgaben 2028'!$C380,Einzelbeträge!$E:$E,'Ausgaben 2028'!K$6)</f>
        <v>0</v>
      </c>
      <c r="L380" s="21">
        <f>SUMIFS(Einzelbeträge!$D:$D,Einzelbeträge!$C:$C,'Ausgaben 2028'!$C380,Einzelbeträge!$E:$E,'Ausgaben 2028'!L$6)</f>
        <v>0</v>
      </c>
      <c r="M380" s="21">
        <f>SUMIFS(Einzelbeträge!$D:$D,Einzelbeträge!$C:$C,'Ausgaben 2028'!$C380,Einzelbeträge!$E:$E,'Ausgaben 2028'!M$6)</f>
        <v>0</v>
      </c>
      <c r="N380" s="35">
        <f>SUMIFS(Einzelbeträge!$D:$D,Einzelbeträge!$C:$C,'Ausgaben 2028'!$C380,Einzelbeträge!$E:$E,'Ausgaben 2028'!N$6)</f>
        <v>0</v>
      </c>
      <c r="O380" s="6"/>
    </row>
    <row r="381" spans="2:15" x14ac:dyDescent="0.35">
      <c r="B381" s="5"/>
      <c r="C381" s="40">
        <f t="shared" si="27"/>
        <v>47094</v>
      </c>
      <c r="D381" s="46">
        <f>SUMIFS(Einzelbeträge!$D:$D,Einzelbeträge!$C:$C,'Ausgaben 2028'!$C381)</f>
        <v>0</v>
      </c>
      <c r="E381" s="21">
        <f>SUMIFS(Einzelbeträge!$D:$D,Einzelbeträge!$C:$C,'Ausgaben 2028'!$C381,Einzelbeträge!$E:$E,'Ausgaben 2028'!E$6)</f>
        <v>0</v>
      </c>
      <c r="F381" s="21">
        <f>SUMIFS(Einzelbeträge!$D:$D,Einzelbeträge!$C:$C,'Ausgaben 2028'!$C381,Einzelbeträge!$E:$E,'Ausgaben 2028'!F$6)</f>
        <v>0</v>
      </c>
      <c r="G381" s="21">
        <f>SUMIFS(Einzelbeträge!$D:$D,Einzelbeträge!$C:$C,'Ausgaben 2028'!$C381,Einzelbeträge!$E:$E,'Ausgaben 2028'!G$6)</f>
        <v>0</v>
      </c>
      <c r="H381" s="21">
        <f>SUMIFS(Einzelbeträge!$D:$D,Einzelbeträge!$C:$C,'Ausgaben 2028'!$C381,Einzelbeträge!$E:$E,'Ausgaben 2028'!H$6)</f>
        <v>0</v>
      </c>
      <c r="I381" s="21">
        <f>SUMIFS(Einzelbeträge!$D:$D,Einzelbeträge!$C:$C,'Ausgaben 2028'!$C381,Einzelbeträge!$E:$E,'Ausgaben 2028'!I$6)</f>
        <v>0</v>
      </c>
      <c r="J381" s="21">
        <f>SUMIFS(Einzelbeträge!$D:$D,Einzelbeträge!$C:$C,'Ausgaben 2028'!$C381,Einzelbeträge!$E:$E,'Ausgaben 2028'!J$6)</f>
        <v>0</v>
      </c>
      <c r="K381" s="21">
        <f>SUMIFS(Einzelbeträge!$D:$D,Einzelbeträge!$C:$C,'Ausgaben 2028'!$C381,Einzelbeträge!$E:$E,'Ausgaben 2028'!K$6)</f>
        <v>0</v>
      </c>
      <c r="L381" s="21">
        <f>SUMIFS(Einzelbeträge!$D:$D,Einzelbeträge!$C:$C,'Ausgaben 2028'!$C381,Einzelbeträge!$E:$E,'Ausgaben 2028'!L$6)</f>
        <v>0</v>
      </c>
      <c r="M381" s="21">
        <f>SUMIFS(Einzelbeträge!$D:$D,Einzelbeträge!$C:$C,'Ausgaben 2028'!$C381,Einzelbeträge!$E:$E,'Ausgaben 2028'!M$6)</f>
        <v>0</v>
      </c>
      <c r="N381" s="35">
        <f>SUMIFS(Einzelbeträge!$D:$D,Einzelbeträge!$C:$C,'Ausgaben 2028'!$C381,Einzelbeträge!$E:$E,'Ausgaben 2028'!N$6)</f>
        <v>0</v>
      </c>
      <c r="O381" s="6"/>
    </row>
    <row r="382" spans="2:15" x14ac:dyDescent="0.35">
      <c r="B382" s="5"/>
      <c r="C382" s="40">
        <f t="shared" si="27"/>
        <v>47095</v>
      </c>
      <c r="D382" s="46">
        <f>SUMIFS(Einzelbeträge!$D:$D,Einzelbeträge!$C:$C,'Ausgaben 2028'!$C382)</f>
        <v>0</v>
      </c>
      <c r="E382" s="21">
        <f>SUMIFS(Einzelbeträge!$D:$D,Einzelbeträge!$C:$C,'Ausgaben 2028'!$C382,Einzelbeträge!$E:$E,'Ausgaben 2028'!E$6)</f>
        <v>0</v>
      </c>
      <c r="F382" s="21">
        <f>SUMIFS(Einzelbeträge!$D:$D,Einzelbeträge!$C:$C,'Ausgaben 2028'!$C382,Einzelbeträge!$E:$E,'Ausgaben 2028'!F$6)</f>
        <v>0</v>
      </c>
      <c r="G382" s="21">
        <f>SUMIFS(Einzelbeträge!$D:$D,Einzelbeträge!$C:$C,'Ausgaben 2028'!$C382,Einzelbeträge!$E:$E,'Ausgaben 2028'!G$6)</f>
        <v>0</v>
      </c>
      <c r="H382" s="21">
        <f>SUMIFS(Einzelbeträge!$D:$D,Einzelbeträge!$C:$C,'Ausgaben 2028'!$C382,Einzelbeträge!$E:$E,'Ausgaben 2028'!H$6)</f>
        <v>0</v>
      </c>
      <c r="I382" s="21">
        <f>SUMIFS(Einzelbeträge!$D:$D,Einzelbeträge!$C:$C,'Ausgaben 2028'!$C382,Einzelbeträge!$E:$E,'Ausgaben 2028'!I$6)</f>
        <v>0</v>
      </c>
      <c r="J382" s="21">
        <f>SUMIFS(Einzelbeträge!$D:$D,Einzelbeträge!$C:$C,'Ausgaben 2028'!$C382,Einzelbeträge!$E:$E,'Ausgaben 2028'!J$6)</f>
        <v>0</v>
      </c>
      <c r="K382" s="21">
        <f>SUMIFS(Einzelbeträge!$D:$D,Einzelbeträge!$C:$C,'Ausgaben 2028'!$C382,Einzelbeträge!$E:$E,'Ausgaben 2028'!K$6)</f>
        <v>0</v>
      </c>
      <c r="L382" s="21">
        <f>SUMIFS(Einzelbeträge!$D:$D,Einzelbeträge!$C:$C,'Ausgaben 2028'!$C382,Einzelbeträge!$E:$E,'Ausgaben 2028'!L$6)</f>
        <v>0</v>
      </c>
      <c r="M382" s="21">
        <f>SUMIFS(Einzelbeträge!$D:$D,Einzelbeträge!$C:$C,'Ausgaben 2028'!$C382,Einzelbeträge!$E:$E,'Ausgaben 2028'!M$6)</f>
        <v>0</v>
      </c>
      <c r="N382" s="35">
        <f>SUMIFS(Einzelbeträge!$D:$D,Einzelbeträge!$C:$C,'Ausgaben 2028'!$C382,Einzelbeträge!$E:$E,'Ausgaben 2028'!N$6)</f>
        <v>0</v>
      </c>
      <c r="O382" s="6"/>
    </row>
    <row r="383" spans="2:15" x14ac:dyDescent="0.35">
      <c r="B383" s="5"/>
      <c r="C383" s="40">
        <f t="shared" si="27"/>
        <v>47096</v>
      </c>
      <c r="D383" s="46">
        <f>SUMIFS(Einzelbeträge!$D:$D,Einzelbeträge!$C:$C,'Ausgaben 2028'!$C383)</f>
        <v>0</v>
      </c>
      <c r="E383" s="21">
        <f>SUMIFS(Einzelbeträge!$D:$D,Einzelbeträge!$C:$C,'Ausgaben 2028'!$C383,Einzelbeträge!$E:$E,'Ausgaben 2028'!E$6)</f>
        <v>0</v>
      </c>
      <c r="F383" s="21">
        <f>SUMIFS(Einzelbeträge!$D:$D,Einzelbeträge!$C:$C,'Ausgaben 2028'!$C383,Einzelbeträge!$E:$E,'Ausgaben 2028'!F$6)</f>
        <v>0</v>
      </c>
      <c r="G383" s="21">
        <f>SUMIFS(Einzelbeträge!$D:$D,Einzelbeträge!$C:$C,'Ausgaben 2028'!$C383,Einzelbeträge!$E:$E,'Ausgaben 2028'!G$6)</f>
        <v>0</v>
      </c>
      <c r="H383" s="21">
        <f>SUMIFS(Einzelbeträge!$D:$D,Einzelbeträge!$C:$C,'Ausgaben 2028'!$C383,Einzelbeträge!$E:$E,'Ausgaben 2028'!H$6)</f>
        <v>0</v>
      </c>
      <c r="I383" s="21">
        <f>SUMIFS(Einzelbeträge!$D:$D,Einzelbeträge!$C:$C,'Ausgaben 2028'!$C383,Einzelbeträge!$E:$E,'Ausgaben 2028'!I$6)</f>
        <v>0</v>
      </c>
      <c r="J383" s="21">
        <f>SUMIFS(Einzelbeträge!$D:$D,Einzelbeträge!$C:$C,'Ausgaben 2028'!$C383,Einzelbeträge!$E:$E,'Ausgaben 2028'!J$6)</f>
        <v>0</v>
      </c>
      <c r="K383" s="21">
        <f>SUMIFS(Einzelbeträge!$D:$D,Einzelbeträge!$C:$C,'Ausgaben 2028'!$C383,Einzelbeträge!$E:$E,'Ausgaben 2028'!K$6)</f>
        <v>0</v>
      </c>
      <c r="L383" s="21">
        <f>SUMIFS(Einzelbeträge!$D:$D,Einzelbeträge!$C:$C,'Ausgaben 2028'!$C383,Einzelbeträge!$E:$E,'Ausgaben 2028'!L$6)</f>
        <v>0</v>
      </c>
      <c r="M383" s="21">
        <f>SUMIFS(Einzelbeträge!$D:$D,Einzelbeträge!$C:$C,'Ausgaben 2028'!$C383,Einzelbeträge!$E:$E,'Ausgaben 2028'!M$6)</f>
        <v>0</v>
      </c>
      <c r="N383" s="35">
        <f>SUMIFS(Einzelbeträge!$D:$D,Einzelbeträge!$C:$C,'Ausgaben 2028'!$C383,Einzelbeträge!$E:$E,'Ausgaben 2028'!N$6)</f>
        <v>0</v>
      </c>
      <c r="O383" s="6"/>
    </row>
    <row r="384" spans="2:15" x14ac:dyDescent="0.35">
      <c r="B384" s="5"/>
      <c r="C384" s="40">
        <f t="shared" si="27"/>
        <v>47097</v>
      </c>
      <c r="D384" s="46">
        <f>SUMIFS(Einzelbeträge!$D:$D,Einzelbeträge!$C:$C,'Ausgaben 2028'!$C384)</f>
        <v>0</v>
      </c>
      <c r="E384" s="21">
        <f>SUMIFS(Einzelbeträge!$D:$D,Einzelbeträge!$C:$C,'Ausgaben 2028'!$C384,Einzelbeträge!$E:$E,'Ausgaben 2028'!E$6)</f>
        <v>0</v>
      </c>
      <c r="F384" s="21">
        <f>SUMIFS(Einzelbeträge!$D:$D,Einzelbeträge!$C:$C,'Ausgaben 2028'!$C384,Einzelbeträge!$E:$E,'Ausgaben 2028'!F$6)</f>
        <v>0</v>
      </c>
      <c r="G384" s="21">
        <f>SUMIFS(Einzelbeträge!$D:$D,Einzelbeträge!$C:$C,'Ausgaben 2028'!$C384,Einzelbeträge!$E:$E,'Ausgaben 2028'!G$6)</f>
        <v>0</v>
      </c>
      <c r="H384" s="21">
        <f>SUMIFS(Einzelbeträge!$D:$D,Einzelbeträge!$C:$C,'Ausgaben 2028'!$C384,Einzelbeträge!$E:$E,'Ausgaben 2028'!H$6)</f>
        <v>0</v>
      </c>
      <c r="I384" s="21">
        <f>SUMIFS(Einzelbeträge!$D:$D,Einzelbeträge!$C:$C,'Ausgaben 2028'!$C384,Einzelbeträge!$E:$E,'Ausgaben 2028'!I$6)</f>
        <v>0</v>
      </c>
      <c r="J384" s="21">
        <f>SUMIFS(Einzelbeträge!$D:$D,Einzelbeträge!$C:$C,'Ausgaben 2028'!$C384,Einzelbeträge!$E:$E,'Ausgaben 2028'!J$6)</f>
        <v>0</v>
      </c>
      <c r="K384" s="21">
        <f>SUMIFS(Einzelbeträge!$D:$D,Einzelbeträge!$C:$C,'Ausgaben 2028'!$C384,Einzelbeträge!$E:$E,'Ausgaben 2028'!K$6)</f>
        <v>0</v>
      </c>
      <c r="L384" s="21">
        <f>SUMIFS(Einzelbeträge!$D:$D,Einzelbeträge!$C:$C,'Ausgaben 2028'!$C384,Einzelbeträge!$E:$E,'Ausgaben 2028'!L$6)</f>
        <v>0</v>
      </c>
      <c r="M384" s="21">
        <f>SUMIFS(Einzelbeträge!$D:$D,Einzelbeträge!$C:$C,'Ausgaben 2028'!$C384,Einzelbeträge!$E:$E,'Ausgaben 2028'!M$6)</f>
        <v>0</v>
      </c>
      <c r="N384" s="35">
        <f>SUMIFS(Einzelbeträge!$D:$D,Einzelbeträge!$C:$C,'Ausgaben 2028'!$C384,Einzelbeträge!$E:$E,'Ausgaben 2028'!N$6)</f>
        <v>0</v>
      </c>
      <c r="O384" s="6"/>
    </row>
    <row r="385" spans="2:15" x14ac:dyDescent="0.35">
      <c r="B385" s="5"/>
      <c r="C385" s="40">
        <f t="shared" si="27"/>
        <v>47098</v>
      </c>
      <c r="D385" s="46">
        <f>SUMIFS(Einzelbeträge!$D:$D,Einzelbeträge!$C:$C,'Ausgaben 2028'!$C385)</f>
        <v>0</v>
      </c>
      <c r="E385" s="21">
        <f>SUMIFS(Einzelbeträge!$D:$D,Einzelbeträge!$C:$C,'Ausgaben 2028'!$C385,Einzelbeträge!$E:$E,'Ausgaben 2028'!E$6)</f>
        <v>0</v>
      </c>
      <c r="F385" s="21">
        <f>SUMIFS(Einzelbeträge!$D:$D,Einzelbeträge!$C:$C,'Ausgaben 2028'!$C385,Einzelbeträge!$E:$E,'Ausgaben 2028'!F$6)</f>
        <v>0</v>
      </c>
      <c r="G385" s="21">
        <f>SUMIFS(Einzelbeträge!$D:$D,Einzelbeträge!$C:$C,'Ausgaben 2028'!$C385,Einzelbeträge!$E:$E,'Ausgaben 2028'!G$6)</f>
        <v>0</v>
      </c>
      <c r="H385" s="21">
        <f>SUMIFS(Einzelbeträge!$D:$D,Einzelbeträge!$C:$C,'Ausgaben 2028'!$C385,Einzelbeträge!$E:$E,'Ausgaben 2028'!H$6)</f>
        <v>0</v>
      </c>
      <c r="I385" s="21">
        <f>SUMIFS(Einzelbeträge!$D:$D,Einzelbeträge!$C:$C,'Ausgaben 2028'!$C385,Einzelbeträge!$E:$E,'Ausgaben 2028'!I$6)</f>
        <v>0</v>
      </c>
      <c r="J385" s="21">
        <f>SUMIFS(Einzelbeträge!$D:$D,Einzelbeträge!$C:$C,'Ausgaben 2028'!$C385,Einzelbeträge!$E:$E,'Ausgaben 2028'!J$6)</f>
        <v>0</v>
      </c>
      <c r="K385" s="21">
        <f>SUMIFS(Einzelbeträge!$D:$D,Einzelbeträge!$C:$C,'Ausgaben 2028'!$C385,Einzelbeträge!$E:$E,'Ausgaben 2028'!K$6)</f>
        <v>0</v>
      </c>
      <c r="L385" s="21">
        <f>SUMIFS(Einzelbeträge!$D:$D,Einzelbeträge!$C:$C,'Ausgaben 2028'!$C385,Einzelbeträge!$E:$E,'Ausgaben 2028'!L$6)</f>
        <v>0</v>
      </c>
      <c r="M385" s="21">
        <f>SUMIFS(Einzelbeträge!$D:$D,Einzelbeträge!$C:$C,'Ausgaben 2028'!$C385,Einzelbeträge!$E:$E,'Ausgaben 2028'!M$6)</f>
        <v>0</v>
      </c>
      <c r="N385" s="35">
        <f>SUMIFS(Einzelbeträge!$D:$D,Einzelbeträge!$C:$C,'Ausgaben 2028'!$C385,Einzelbeträge!$E:$E,'Ausgaben 2028'!N$6)</f>
        <v>0</v>
      </c>
      <c r="O385" s="6"/>
    </row>
    <row r="386" spans="2:15" x14ac:dyDescent="0.35">
      <c r="B386" s="5"/>
      <c r="C386" s="40">
        <f t="shared" si="27"/>
        <v>47099</v>
      </c>
      <c r="D386" s="46">
        <f>SUMIFS(Einzelbeträge!$D:$D,Einzelbeträge!$C:$C,'Ausgaben 2028'!$C386)</f>
        <v>0</v>
      </c>
      <c r="E386" s="21">
        <f>SUMIFS(Einzelbeträge!$D:$D,Einzelbeträge!$C:$C,'Ausgaben 2028'!$C386,Einzelbeträge!$E:$E,'Ausgaben 2028'!E$6)</f>
        <v>0</v>
      </c>
      <c r="F386" s="21">
        <f>SUMIFS(Einzelbeträge!$D:$D,Einzelbeträge!$C:$C,'Ausgaben 2028'!$C386,Einzelbeträge!$E:$E,'Ausgaben 2028'!F$6)</f>
        <v>0</v>
      </c>
      <c r="G386" s="21">
        <f>SUMIFS(Einzelbeträge!$D:$D,Einzelbeträge!$C:$C,'Ausgaben 2028'!$C386,Einzelbeträge!$E:$E,'Ausgaben 2028'!G$6)</f>
        <v>0</v>
      </c>
      <c r="H386" s="21">
        <f>SUMIFS(Einzelbeträge!$D:$D,Einzelbeträge!$C:$C,'Ausgaben 2028'!$C386,Einzelbeträge!$E:$E,'Ausgaben 2028'!H$6)</f>
        <v>0</v>
      </c>
      <c r="I386" s="21">
        <f>SUMIFS(Einzelbeträge!$D:$D,Einzelbeträge!$C:$C,'Ausgaben 2028'!$C386,Einzelbeträge!$E:$E,'Ausgaben 2028'!I$6)</f>
        <v>0</v>
      </c>
      <c r="J386" s="21">
        <f>SUMIFS(Einzelbeträge!$D:$D,Einzelbeträge!$C:$C,'Ausgaben 2028'!$C386,Einzelbeträge!$E:$E,'Ausgaben 2028'!J$6)</f>
        <v>0</v>
      </c>
      <c r="K386" s="21">
        <f>SUMIFS(Einzelbeträge!$D:$D,Einzelbeträge!$C:$C,'Ausgaben 2028'!$C386,Einzelbeträge!$E:$E,'Ausgaben 2028'!K$6)</f>
        <v>0</v>
      </c>
      <c r="L386" s="21">
        <f>SUMIFS(Einzelbeträge!$D:$D,Einzelbeträge!$C:$C,'Ausgaben 2028'!$C386,Einzelbeträge!$E:$E,'Ausgaben 2028'!L$6)</f>
        <v>0</v>
      </c>
      <c r="M386" s="21">
        <f>SUMIFS(Einzelbeträge!$D:$D,Einzelbeträge!$C:$C,'Ausgaben 2028'!$C386,Einzelbeträge!$E:$E,'Ausgaben 2028'!M$6)</f>
        <v>0</v>
      </c>
      <c r="N386" s="35">
        <f>SUMIFS(Einzelbeträge!$D:$D,Einzelbeträge!$C:$C,'Ausgaben 2028'!$C386,Einzelbeträge!$E:$E,'Ausgaben 2028'!N$6)</f>
        <v>0</v>
      </c>
      <c r="O386" s="6"/>
    </row>
    <row r="387" spans="2:15" x14ac:dyDescent="0.35">
      <c r="B387" s="5"/>
      <c r="C387" s="40">
        <f t="shared" si="27"/>
        <v>47100</v>
      </c>
      <c r="D387" s="46">
        <f>SUMIFS(Einzelbeträge!$D:$D,Einzelbeträge!$C:$C,'Ausgaben 2028'!$C387)</f>
        <v>0</v>
      </c>
      <c r="E387" s="21">
        <f>SUMIFS(Einzelbeträge!$D:$D,Einzelbeträge!$C:$C,'Ausgaben 2028'!$C387,Einzelbeträge!$E:$E,'Ausgaben 2028'!E$6)</f>
        <v>0</v>
      </c>
      <c r="F387" s="21">
        <f>SUMIFS(Einzelbeträge!$D:$D,Einzelbeträge!$C:$C,'Ausgaben 2028'!$C387,Einzelbeträge!$E:$E,'Ausgaben 2028'!F$6)</f>
        <v>0</v>
      </c>
      <c r="G387" s="21">
        <f>SUMIFS(Einzelbeträge!$D:$D,Einzelbeträge!$C:$C,'Ausgaben 2028'!$C387,Einzelbeträge!$E:$E,'Ausgaben 2028'!G$6)</f>
        <v>0</v>
      </c>
      <c r="H387" s="21">
        <f>SUMIFS(Einzelbeträge!$D:$D,Einzelbeträge!$C:$C,'Ausgaben 2028'!$C387,Einzelbeträge!$E:$E,'Ausgaben 2028'!H$6)</f>
        <v>0</v>
      </c>
      <c r="I387" s="21">
        <f>SUMIFS(Einzelbeträge!$D:$D,Einzelbeträge!$C:$C,'Ausgaben 2028'!$C387,Einzelbeträge!$E:$E,'Ausgaben 2028'!I$6)</f>
        <v>0</v>
      </c>
      <c r="J387" s="21">
        <f>SUMIFS(Einzelbeträge!$D:$D,Einzelbeträge!$C:$C,'Ausgaben 2028'!$C387,Einzelbeträge!$E:$E,'Ausgaben 2028'!J$6)</f>
        <v>0</v>
      </c>
      <c r="K387" s="21">
        <f>SUMIFS(Einzelbeträge!$D:$D,Einzelbeträge!$C:$C,'Ausgaben 2028'!$C387,Einzelbeträge!$E:$E,'Ausgaben 2028'!K$6)</f>
        <v>0</v>
      </c>
      <c r="L387" s="21">
        <f>SUMIFS(Einzelbeträge!$D:$D,Einzelbeträge!$C:$C,'Ausgaben 2028'!$C387,Einzelbeträge!$E:$E,'Ausgaben 2028'!L$6)</f>
        <v>0</v>
      </c>
      <c r="M387" s="21">
        <f>SUMIFS(Einzelbeträge!$D:$D,Einzelbeträge!$C:$C,'Ausgaben 2028'!$C387,Einzelbeträge!$E:$E,'Ausgaben 2028'!M$6)</f>
        <v>0</v>
      </c>
      <c r="N387" s="35">
        <f>SUMIFS(Einzelbeträge!$D:$D,Einzelbeträge!$C:$C,'Ausgaben 2028'!$C387,Einzelbeträge!$E:$E,'Ausgaben 2028'!N$6)</f>
        <v>0</v>
      </c>
      <c r="O387" s="6"/>
    </row>
    <row r="388" spans="2:15" x14ac:dyDescent="0.35">
      <c r="B388" s="5"/>
      <c r="C388" s="40">
        <f t="shared" si="27"/>
        <v>47101</v>
      </c>
      <c r="D388" s="46">
        <f>SUMIFS(Einzelbeträge!$D:$D,Einzelbeträge!$C:$C,'Ausgaben 2028'!$C388)</f>
        <v>0</v>
      </c>
      <c r="E388" s="21">
        <f>SUMIFS(Einzelbeträge!$D:$D,Einzelbeträge!$C:$C,'Ausgaben 2028'!$C388,Einzelbeträge!$E:$E,'Ausgaben 2028'!E$6)</f>
        <v>0</v>
      </c>
      <c r="F388" s="21">
        <f>SUMIFS(Einzelbeträge!$D:$D,Einzelbeträge!$C:$C,'Ausgaben 2028'!$C388,Einzelbeträge!$E:$E,'Ausgaben 2028'!F$6)</f>
        <v>0</v>
      </c>
      <c r="G388" s="21">
        <f>SUMIFS(Einzelbeträge!$D:$D,Einzelbeträge!$C:$C,'Ausgaben 2028'!$C388,Einzelbeträge!$E:$E,'Ausgaben 2028'!G$6)</f>
        <v>0</v>
      </c>
      <c r="H388" s="21">
        <f>SUMIFS(Einzelbeträge!$D:$D,Einzelbeträge!$C:$C,'Ausgaben 2028'!$C388,Einzelbeträge!$E:$E,'Ausgaben 2028'!H$6)</f>
        <v>0</v>
      </c>
      <c r="I388" s="21">
        <f>SUMIFS(Einzelbeträge!$D:$D,Einzelbeträge!$C:$C,'Ausgaben 2028'!$C388,Einzelbeträge!$E:$E,'Ausgaben 2028'!I$6)</f>
        <v>0</v>
      </c>
      <c r="J388" s="21">
        <f>SUMIFS(Einzelbeträge!$D:$D,Einzelbeträge!$C:$C,'Ausgaben 2028'!$C388,Einzelbeträge!$E:$E,'Ausgaben 2028'!J$6)</f>
        <v>0</v>
      </c>
      <c r="K388" s="21">
        <f>SUMIFS(Einzelbeträge!$D:$D,Einzelbeträge!$C:$C,'Ausgaben 2028'!$C388,Einzelbeträge!$E:$E,'Ausgaben 2028'!K$6)</f>
        <v>0</v>
      </c>
      <c r="L388" s="21">
        <f>SUMIFS(Einzelbeträge!$D:$D,Einzelbeträge!$C:$C,'Ausgaben 2028'!$C388,Einzelbeträge!$E:$E,'Ausgaben 2028'!L$6)</f>
        <v>0</v>
      </c>
      <c r="M388" s="21">
        <f>SUMIFS(Einzelbeträge!$D:$D,Einzelbeträge!$C:$C,'Ausgaben 2028'!$C388,Einzelbeträge!$E:$E,'Ausgaben 2028'!M$6)</f>
        <v>0</v>
      </c>
      <c r="N388" s="35">
        <f>SUMIFS(Einzelbeträge!$D:$D,Einzelbeträge!$C:$C,'Ausgaben 2028'!$C388,Einzelbeträge!$E:$E,'Ausgaben 2028'!N$6)</f>
        <v>0</v>
      </c>
      <c r="O388" s="6"/>
    </row>
    <row r="389" spans="2:15" x14ac:dyDescent="0.35">
      <c r="B389" s="5"/>
      <c r="C389" s="40">
        <f t="shared" si="27"/>
        <v>47102</v>
      </c>
      <c r="D389" s="46">
        <f>SUMIFS(Einzelbeträge!$D:$D,Einzelbeträge!$C:$C,'Ausgaben 2028'!$C389)</f>
        <v>0</v>
      </c>
      <c r="E389" s="21">
        <f>SUMIFS(Einzelbeträge!$D:$D,Einzelbeträge!$C:$C,'Ausgaben 2028'!$C389,Einzelbeträge!$E:$E,'Ausgaben 2028'!E$6)</f>
        <v>0</v>
      </c>
      <c r="F389" s="21">
        <f>SUMIFS(Einzelbeträge!$D:$D,Einzelbeträge!$C:$C,'Ausgaben 2028'!$C389,Einzelbeträge!$E:$E,'Ausgaben 2028'!F$6)</f>
        <v>0</v>
      </c>
      <c r="G389" s="21">
        <f>SUMIFS(Einzelbeträge!$D:$D,Einzelbeträge!$C:$C,'Ausgaben 2028'!$C389,Einzelbeträge!$E:$E,'Ausgaben 2028'!G$6)</f>
        <v>0</v>
      </c>
      <c r="H389" s="21">
        <f>SUMIFS(Einzelbeträge!$D:$D,Einzelbeträge!$C:$C,'Ausgaben 2028'!$C389,Einzelbeträge!$E:$E,'Ausgaben 2028'!H$6)</f>
        <v>0</v>
      </c>
      <c r="I389" s="21">
        <f>SUMIFS(Einzelbeträge!$D:$D,Einzelbeträge!$C:$C,'Ausgaben 2028'!$C389,Einzelbeträge!$E:$E,'Ausgaben 2028'!I$6)</f>
        <v>0</v>
      </c>
      <c r="J389" s="21">
        <f>SUMIFS(Einzelbeträge!$D:$D,Einzelbeträge!$C:$C,'Ausgaben 2028'!$C389,Einzelbeträge!$E:$E,'Ausgaben 2028'!J$6)</f>
        <v>0</v>
      </c>
      <c r="K389" s="21">
        <f>SUMIFS(Einzelbeträge!$D:$D,Einzelbeträge!$C:$C,'Ausgaben 2028'!$C389,Einzelbeträge!$E:$E,'Ausgaben 2028'!K$6)</f>
        <v>0</v>
      </c>
      <c r="L389" s="21">
        <f>SUMIFS(Einzelbeträge!$D:$D,Einzelbeträge!$C:$C,'Ausgaben 2028'!$C389,Einzelbeträge!$E:$E,'Ausgaben 2028'!L$6)</f>
        <v>0</v>
      </c>
      <c r="M389" s="21">
        <f>SUMIFS(Einzelbeträge!$D:$D,Einzelbeträge!$C:$C,'Ausgaben 2028'!$C389,Einzelbeträge!$E:$E,'Ausgaben 2028'!M$6)</f>
        <v>0</v>
      </c>
      <c r="N389" s="35">
        <f>SUMIFS(Einzelbeträge!$D:$D,Einzelbeträge!$C:$C,'Ausgaben 2028'!$C389,Einzelbeträge!$E:$E,'Ausgaben 2028'!N$6)</f>
        <v>0</v>
      </c>
      <c r="O389" s="6"/>
    </row>
    <row r="390" spans="2:15" x14ac:dyDescent="0.35">
      <c r="B390" s="5"/>
      <c r="C390" s="40">
        <f t="shared" si="27"/>
        <v>47103</v>
      </c>
      <c r="D390" s="46">
        <f>SUMIFS(Einzelbeträge!$D:$D,Einzelbeträge!$C:$C,'Ausgaben 2028'!$C390)</f>
        <v>0</v>
      </c>
      <c r="E390" s="21">
        <f>SUMIFS(Einzelbeträge!$D:$D,Einzelbeträge!$C:$C,'Ausgaben 2028'!$C390,Einzelbeträge!$E:$E,'Ausgaben 2028'!E$6)</f>
        <v>0</v>
      </c>
      <c r="F390" s="21">
        <f>SUMIFS(Einzelbeträge!$D:$D,Einzelbeträge!$C:$C,'Ausgaben 2028'!$C390,Einzelbeträge!$E:$E,'Ausgaben 2028'!F$6)</f>
        <v>0</v>
      </c>
      <c r="G390" s="21">
        <f>SUMIFS(Einzelbeträge!$D:$D,Einzelbeträge!$C:$C,'Ausgaben 2028'!$C390,Einzelbeträge!$E:$E,'Ausgaben 2028'!G$6)</f>
        <v>0</v>
      </c>
      <c r="H390" s="21">
        <f>SUMIFS(Einzelbeträge!$D:$D,Einzelbeträge!$C:$C,'Ausgaben 2028'!$C390,Einzelbeträge!$E:$E,'Ausgaben 2028'!H$6)</f>
        <v>0</v>
      </c>
      <c r="I390" s="21">
        <f>SUMIFS(Einzelbeträge!$D:$D,Einzelbeträge!$C:$C,'Ausgaben 2028'!$C390,Einzelbeträge!$E:$E,'Ausgaben 2028'!I$6)</f>
        <v>0</v>
      </c>
      <c r="J390" s="21">
        <f>SUMIFS(Einzelbeträge!$D:$D,Einzelbeträge!$C:$C,'Ausgaben 2028'!$C390,Einzelbeträge!$E:$E,'Ausgaben 2028'!J$6)</f>
        <v>0</v>
      </c>
      <c r="K390" s="21">
        <f>SUMIFS(Einzelbeträge!$D:$D,Einzelbeträge!$C:$C,'Ausgaben 2028'!$C390,Einzelbeträge!$E:$E,'Ausgaben 2028'!K$6)</f>
        <v>0</v>
      </c>
      <c r="L390" s="21">
        <f>SUMIFS(Einzelbeträge!$D:$D,Einzelbeträge!$C:$C,'Ausgaben 2028'!$C390,Einzelbeträge!$E:$E,'Ausgaben 2028'!L$6)</f>
        <v>0</v>
      </c>
      <c r="M390" s="21">
        <f>SUMIFS(Einzelbeträge!$D:$D,Einzelbeträge!$C:$C,'Ausgaben 2028'!$C390,Einzelbeträge!$E:$E,'Ausgaben 2028'!M$6)</f>
        <v>0</v>
      </c>
      <c r="N390" s="35">
        <f>SUMIFS(Einzelbeträge!$D:$D,Einzelbeträge!$C:$C,'Ausgaben 2028'!$C390,Einzelbeträge!$E:$E,'Ausgaben 2028'!N$6)</f>
        <v>0</v>
      </c>
      <c r="O390" s="6"/>
    </row>
    <row r="391" spans="2:15" x14ac:dyDescent="0.35">
      <c r="B391" s="5"/>
      <c r="C391" s="40">
        <f t="shared" si="27"/>
        <v>47104</v>
      </c>
      <c r="D391" s="46">
        <f>SUMIFS(Einzelbeträge!$D:$D,Einzelbeträge!$C:$C,'Ausgaben 2028'!$C391)</f>
        <v>0</v>
      </c>
      <c r="E391" s="21">
        <f>SUMIFS(Einzelbeträge!$D:$D,Einzelbeträge!$C:$C,'Ausgaben 2028'!$C391,Einzelbeträge!$E:$E,'Ausgaben 2028'!E$6)</f>
        <v>0</v>
      </c>
      <c r="F391" s="21">
        <f>SUMIFS(Einzelbeträge!$D:$D,Einzelbeträge!$C:$C,'Ausgaben 2028'!$C391,Einzelbeträge!$E:$E,'Ausgaben 2028'!F$6)</f>
        <v>0</v>
      </c>
      <c r="G391" s="21">
        <f>SUMIFS(Einzelbeträge!$D:$D,Einzelbeträge!$C:$C,'Ausgaben 2028'!$C391,Einzelbeträge!$E:$E,'Ausgaben 2028'!G$6)</f>
        <v>0</v>
      </c>
      <c r="H391" s="21">
        <f>SUMIFS(Einzelbeträge!$D:$D,Einzelbeträge!$C:$C,'Ausgaben 2028'!$C391,Einzelbeträge!$E:$E,'Ausgaben 2028'!H$6)</f>
        <v>0</v>
      </c>
      <c r="I391" s="21">
        <f>SUMIFS(Einzelbeträge!$D:$D,Einzelbeträge!$C:$C,'Ausgaben 2028'!$C391,Einzelbeträge!$E:$E,'Ausgaben 2028'!I$6)</f>
        <v>0</v>
      </c>
      <c r="J391" s="21">
        <f>SUMIFS(Einzelbeträge!$D:$D,Einzelbeträge!$C:$C,'Ausgaben 2028'!$C391,Einzelbeträge!$E:$E,'Ausgaben 2028'!J$6)</f>
        <v>0</v>
      </c>
      <c r="K391" s="21">
        <f>SUMIFS(Einzelbeträge!$D:$D,Einzelbeträge!$C:$C,'Ausgaben 2028'!$C391,Einzelbeträge!$E:$E,'Ausgaben 2028'!K$6)</f>
        <v>0</v>
      </c>
      <c r="L391" s="21">
        <f>SUMIFS(Einzelbeträge!$D:$D,Einzelbeträge!$C:$C,'Ausgaben 2028'!$C391,Einzelbeträge!$E:$E,'Ausgaben 2028'!L$6)</f>
        <v>0</v>
      </c>
      <c r="M391" s="21">
        <f>SUMIFS(Einzelbeträge!$D:$D,Einzelbeträge!$C:$C,'Ausgaben 2028'!$C391,Einzelbeträge!$E:$E,'Ausgaben 2028'!M$6)</f>
        <v>0</v>
      </c>
      <c r="N391" s="35">
        <f>SUMIFS(Einzelbeträge!$D:$D,Einzelbeträge!$C:$C,'Ausgaben 2028'!$C391,Einzelbeträge!$E:$E,'Ausgaben 2028'!N$6)</f>
        <v>0</v>
      </c>
      <c r="O391" s="6"/>
    </row>
    <row r="392" spans="2:15" x14ac:dyDescent="0.35">
      <c r="B392" s="5"/>
      <c r="C392" s="40">
        <f t="shared" si="27"/>
        <v>47105</v>
      </c>
      <c r="D392" s="46">
        <f>SUMIFS(Einzelbeträge!$D:$D,Einzelbeträge!$C:$C,'Ausgaben 2028'!$C392)</f>
        <v>0</v>
      </c>
      <c r="E392" s="21">
        <f>SUMIFS(Einzelbeträge!$D:$D,Einzelbeträge!$C:$C,'Ausgaben 2028'!$C392,Einzelbeträge!$E:$E,'Ausgaben 2028'!E$6)</f>
        <v>0</v>
      </c>
      <c r="F392" s="21">
        <f>SUMIFS(Einzelbeträge!$D:$D,Einzelbeträge!$C:$C,'Ausgaben 2028'!$C392,Einzelbeträge!$E:$E,'Ausgaben 2028'!F$6)</f>
        <v>0</v>
      </c>
      <c r="G392" s="21">
        <f>SUMIFS(Einzelbeträge!$D:$D,Einzelbeträge!$C:$C,'Ausgaben 2028'!$C392,Einzelbeträge!$E:$E,'Ausgaben 2028'!G$6)</f>
        <v>0</v>
      </c>
      <c r="H392" s="21">
        <f>SUMIFS(Einzelbeträge!$D:$D,Einzelbeträge!$C:$C,'Ausgaben 2028'!$C392,Einzelbeträge!$E:$E,'Ausgaben 2028'!H$6)</f>
        <v>0</v>
      </c>
      <c r="I392" s="21">
        <f>SUMIFS(Einzelbeträge!$D:$D,Einzelbeträge!$C:$C,'Ausgaben 2028'!$C392,Einzelbeträge!$E:$E,'Ausgaben 2028'!I$6)</f>
        <v>0</v>
      </c>
      <c r="J392" s="21">
        <f>SUMIFS(Einzelbeträge!$D:$D,Einzelbeträge!$C:$C,'Ausgaben 2028'!$C392,Einzelbeträge!$E:$E,'Ausgaben 2028'!J$6)</f>
        <v>0</v>
      </c>
      <c r="K392" s="21">
        <f>SUMIFS(Einzelbeträge!$D:$D,Einzelbeträge!$C:$C,'Ausgaben 2028'!$C392,Einzelbeträge!$E:$E,'Ausgaben 2028'!K$6)</f>
        <v>0</v>
      </c>
      <c r="L392" s="21">
        <f>SUMIFS(Einzelbeträge!$D:$D,Einzelbeträge!$C:$C,'Ausgaben 2028'!$C392,Einzelbeträge!$E:$E,'Ausgaben 2028'!L$6)</f>
        <v>0</v>
      </c>
      <c r="M392" s="21">
        <f>SUMIFS(Einzelbeträge!$D:$D,Einzelbeträge!$C:$C,'Ausgaben 2028'!$C392,Einzelbeträge!$E:$E,'Ausgaben 2028'!M$6)</f>
        <v>0</v>
      </c>
      <c r="N392" s="35">
        <f>SUMIFS(Einzelbeträge!$D:$D,Einzelbeträge!$C:$C,'Ausgaben 2028'!$C392,Einzelbeträge!$E:$E,'Ausgaben 2028'!N$6)</f>
        <v>0</v>
      </c>
      <c r="O392" s="6"/>
    </row>
    <row r="393" spans="2:15" x14ac:dyDescent="0.35">
      <c r="B393" s="5"/>
      <c r="C393" s="40">
        <f t="shared" si="27"/>
        <v>47106</v>
      </c>
      <c r="D393" s="46">
        <f>SUMIFS(Einzelbeträge!$D:$D,Einzelbeträge!$C:$C,'Ausgaben 2028'!$C393)</f>
        <v>0</v>
      </c>
      <c r="E393" s="21">
        <f>SUMIFS(Einzelbeträge!$D:$D,Einzelbeträge!$C:$C,'Ausgaben 2028'!$C393,Einzelbeträge!$E:$E,'Ausgaben 2028'!E$6)</f>
        <v>0</v>
      </c>
      <c r="F393" s="21">
        <f>SUMIFS(Einzelbeträge!$D:$D,Einzelbeträge!$C:$C,'Ausgaben 2028'!$C393,Einzelbeträge!$E:$E,'Ausgaben 2028'!F$6)</f>
        <v>0</v>
      </c>
      <c r="G393" s="21">
        <f>SUMIFS(Einzelbeträge!$D:$D,Einzelbeträge!$C:$C,'Ausgaben 2028'!$C393,Einzelbeträge!$E:$E,'Ausgaben 2028'!G$6)</f>
        <v>0</v>
      </c>
      <c r="H393" s="21">
        <f>SUMIFS(Einzelbeträge!$D:$D,Einzelbeträge!$C:$C,'Ausgaben 2028'!$C393,Einzelbeträge!$E:$E,'Ausgaben 2028'!H$6)</f>
        <v>0</v>
      </c>
      <c r="I393" s="21">
        <f>SUMIFS(Einzelbeträge!$D:$D,Einzelbeträge!$C:$C,'Ausgaben 2028'!$C393,Einzelbeträge!$E:$E,'Ausgaben 2028'!I$6)</f>
        <v>0</v>
      </c>
      <c r="J393" s="21">
        <f>SUMIFS(Einzelbeträge!$D:$D,Einzelbeträge!$C:$C,'Ausgaben 2028'!$C393,Einzelbeträge!$E:$E,'Ausgaben 2028'!J$6)</f>
        <v>0</v>
      </c>
      <c r="K393" s="21">
        <f>SUMIFS(Einzelbeträge!$D:$D,Einzelbeträge!$C:$C,'Ausgaben 2028'!$C393,Einzelbeträge!$E:$E,'Ausgaben 2028'!K$6)</f>
        <v>0</v>
      </c>
      <c r="L393" s="21">
        <f>SUMIFS(Einzelbeträge!$D:$D,Einzelbeträge!$C:$C,'Ausgaben 2028'!$C393,Einzelbeträge!$E:$E,'Ausgaben 2028'!L$6)</f>
        <v>0</v>
      </c>
      <c r="M393" s="21">
        <f>SUMIFS(Einzelbeträge!$D:$D,Einzelbeträge!$C:$C,'Ausgaben 2028'!$C393,Einzelbeträge!$E:$E,'Ausgaben 2028'!M$6)</f>
        <v>0</v>
      </c>
      <c r="N393" s="35">
        <f>SUMIFS(Einzelbeträge!$D:$D,Einzelbeträge!$C:$C,'Ausgaben 2028'!$C393,Einzelbeträge!$E:$E,'Ausgaben 2028'!N$6)</f>
        <v>0</v>
      </c>
      <c r="O393" s="6"/>
    </row>
    <row r="394" spans="2:15" x14ac:dyDescent="0.35">
      <c r="B394" s="5"/>
      <c r="C394" s="40">
        <f t="shared" si="27"/>
        <v>47107</v>
      </c>
      <c r="D394" s="46">
        <f>SUMIFS(Einzelbeträge!$D:$D,Einzelbeträge!$C:$C,'Ausgaben 2028'!$C394)</f>
        <v>0</v>
      </c>
      <c r="E394" s="21">
        <f>SUMIFS(Einzelbeträge!$D:$D,Einzelbeträge!$C:$C,'Ausgaben 2028'!$C394,Einzelbeträge!$E:$E,'Ausgaben 2028'!E$6)</f>
        <v>0</v>
      </c>
      <c r="F394" s="21">
        <f>SUMIFS(Einzelbeträge!$D:$D,Einzelbeträge!$C:$C,'Ausgaben 2028'!$C394,Einzelbeträge!$E:$E,'Ausgaben 2028'!F$6)</f>
        <v>0</v>
      </c>
      <c r="G394" s="21">
        <f>SUMIFS(Einzelbeträge!$D:$D,Einzelbeträge!$C:$C,'Ausgaben 2028'!$C394,Einzelbeträge!$E:$E,'Ausgaben 2028'!G$6)</f>
        <v>0</v>
      </c>
      <c r="H394" s="21">
        <f>SUMIFS(Einzelbeträge!$D:$D,Einzelbeträge!$C:$C,'Ausgaben 2028'!$C394,Einzelbeträge!$E:$E,'Ausgaben 2028'!H$6)</f>
        <v>0</v>
      </c>
      <c r="I394" s="21">
        <f>SUMIFS(Einzelbeträge!$D:$D,Einzelbeträge!$C:$C,'Ausgaben 2028'!$C394,Einzelbeträge!$E:$E,'Ausgaben 2028'!I$6)</f>
        <v>0</v>
      </c>
      <c r="J394" s="21">
        <f>SUMIFS(Einzelbeträge!$D:$D,Einzelbeträge!$C:$C,'Ausgaben 2028'!$C394,Einzelbeträge!$E:$E,'Ausgaben 2028'!J$6)</f>
        <v>0</v>
      </c>
      <c r="K394" s="21">
        <f>SUMIFS(Einzelbeträge!$D:$D,Einzelbeträge!$C:$C,'Ausgaben 2028'!$C394,Einzelbeträge!$E:$E,'Ausgaben 2028'!K$6)</f>
        <v>0</v>
      </c>
      <c r="L394" s="21">
        <f>SUMIFS(Einzelbeträge!$D:$D,Einzelbeträge!$C:$C,'Ausgaben 2028'!$C394,Einzelbeträge!$E:$E,'Ausgaben 2028'!L$6)</f>
        <v>0</v>
      </c>
      <c r="M394" s="21">
        <f>SUMIFS(Einzelbeträge!$D:$D,Einzelbeträge!$C:$C,'Ausgaben 2028'!$C394,Einzelbeträge!$E:$E,'Ausgaben 2028'!M$6)</f>
        <v>0</v>
      </c>
      <c r="N394" s="35">
        <f>SUMIFS(Einzelbeträge!$D:$D,Einzelbeträge!$C:$C,'Ausgaben 2028'!$C394,Einzelbeträge!$E:$E,'Ausgaben 2028'!N$6)</f>
        <v>0</v>
      </c>
      <c r="O394" s="6"/>
    </row>
    <row r="395" spans="2:15" x14ac:dyDescent="0.35">
      <c r="B395" s="5"/>
      <c r="C395" s="40">
        <f t="shared" si="27"/>
        <v>47108</v>
      </c>
      <c r="D395" s="46">
        <f>SUMIFS(Einzelbeträge!$D:$D,Einzelbeträge!$C:$C,'Ausgaben 2028'!$C395)</f>
        <v>0</v>
      </c>
      <c r="E395" s="21">
        <f>SUMIFS(Einzelbeträge!$D:$D,Einzelbeträge!$C:$C,'Ausgaben 2028'!$C395,Einzelbeträge!$E:$E,'Ausgaben 2028'!E$6)</f>
        <v>0</v>
      </c>
      <c r="F395" s="21">
        <f>SUMIFS(Einzelbeträge!$D:$D,Einzelbeträge!$C:$C,'Ausgaben 2028'!$C395,Einzelbeträge!$E:$E,'Ausgaben 2028'!F$6)</f>
        <v>0</v>
      </c>
      <c r="G395" s="21">
        <f>SUMIFS(Einzelbeträge!$D:$D,Einzelbeträge!$C:$C,'Ausgaben 2028'!$C395,Einzelbeträge!$E:$E,'Ausgaben 2028'!G$6)</f>
        <v>0</v>
      </c>
      <c r="H395" s="21">
        <f>SUMIFS(Einzelbeträge!$D:$D,Einzelbeträge!$C:$C,'Ausgaben 2028'!$C395,Einzelbeträge!$E:$E,'Ausgaben 2028'!H$6)</f>
        <v>0</v>
      </c>
      <c r="I395" s="21">
        <f>SUMIFS(Einzelbeträge!$D:$D,Einzelbeträge!$C:$C,'Ausgaben 2028'!$C395,Einzelbeträge!$E:$E,'Ausgaben 2028'!I$6)</f>
        <v>0</v>
      </c>
      <c r="J395" s="21">
        <f>SUMIFS(Einzelbeträge!$D:$D,Einzelbeträge!$C:$C,'Ausgaben 2028'!$C395,Einzelbeträge!$E:$E,'Ausgaben 2028'!J$6)</f>
        <v>0</v>
      </c>
      <c r="K395" s="21">
        <f>SUMIFS(Einzelbeträge!$D:$D,Einzelbeträge!$C:$C,'Ausgaben 2028'!$C395,Einzelbeträge!$E:$E,'Ausgaben 2028'!K$6)</f>
        <v>0</v>
      </c>
      <c r="L395" s="21">
        <f>SUMIFS(Einzelbeträge!$D:$D,Einzelbeträge!$C:$C,'Ausgaben 2028'!$C395,Einzelbeträge!$E:$E,'Ausgaben 2028'!L$6)</f>
        <v>0</v>
      </c>
      <c r="M395" s="21">
        <f>SUMIFS(Einzelbeträge!$D:$D,Einzelbeträge!$C:$C,'Ausgaben 2028'!$C395,Einzelbeträge!$E:$E,'Ausgaben 2028'!M$6)</f>
        <v>0</v>
      </c>
      <c r="N395" s="35">
        <f>SUMIFS(Einzelbeträge!$D:$D,Einzelbeträge!$C:$C,'Ausgaben 2028'!$C395,Einzelbeträge!$E:$E,'Ausgaben 2028'!N$6)</f>
        <v>0</v>
      </c>
      <c r="O395" s="6"/>
    </row>
    <row r="396" spans="2:15" x14ac:dyDescent="0.35">
      <c r="B396" s="5"/>
      <c r="C396" s="40">
        <f t="shared" si="27"/>
        <v>47109</v>
      </c>
      <c r="D396" s="46">
        <f>SUMIFS(Einzelbeträge!$D:$D,Einzelbeträge!$C:$C,'Ausgaben 2028'!$C396)</f>
        <v>0</v>
      </c>
      <c r="E396" s="21">
        <f>SUMIFS(Einzelbeträge!$D:$D,Einzelbeträge!$C:$C,'Ausgaben 2028'!$C396,Einzelbeträge!$E:$E,'Ausgaben 2028'!E$6)</f>
        <v>0</v>
      </c>
      <c r="F396" s="21">
        <f>SUMIFS(Einzelbeträge!$D:$D,Einzelbeträge!$C:$C,'Ausgaben 2028'!$C396,Einzelbeträge!$E:$E,'Ausgaben 2028'!F$6)</f>
        <v>0</v>
      </c>
      <c r="G396" s="21">
        <f>SUMIFS(Einzelbeträge!$D:$D,Einzelbeträge!$C:$C,'Ausgaben 2028'!$C396,Einzelbeträge!$E:$E,'Ausgaben 2028'!G$6)</f>
        <v>0</v>
      </c>
      <c r="H396" s="21">
        <f>SUMIFS(Einzelbeträge!$D:$D,Einzelbeträge!$C:$C,'Ausgaben 2028'!$C396,Einzelbeträge!$E:$E,'Ausgaben 2028'!H$6)</f>
        <v>0</v>
      </c>
      <c r="I396" s="21">
        <f>SUMIFS(Einzelbeträge!$D:$D,Einzelbeträge!$C:$C,'Ausgaben 2028'!$C396,Einzelbeträge!$E:$E,'Ausgaben 2028'!I$6)</f>
        <v>0</v>
      </c>
      <c r="J396" s="21">
        <f>SUMIFS(Einzelbeträge!$D:$D,Einzelbeträge!$C:$C,'Ausgaben 2028'!$C396,Einzelbeträge!$E:$E,'Ausgaben 2028'!J$6)</f>
        <v>0</v>
      </c>
      <c r="K396" s="21">
        <f>SUMIFS(Einzelbeträge!$D:$D,Einzelbeträge!$C:$C,'Ausgaben 2028'!$C396,Einzelbeträge!$E:$E,'Ausgaben 2028'!K$6)</f>
        <v>0</v>
      </c>
      <c r="L396" s="21">
        <f>SUMIFS(Einzelbeträge!$D:$D,Einzelbeträge!$C:$C,'Ausgaben 2028'!$C396,Einzelbeträge!$E:$E,'Ausgaben 2028'!L$6)</f>
        <v>0</v>
      </c>
      <c r="M396" s="21">
        <f>SUMIFS(Einzelbeträge!$D:$D,Einzelbeträge!$C:$C,'Ausgaben 2028'!$C396,Einzelbeträge!$E:$E,'Ausgaben 2028'!M$6)</f>
        <v>0</v>
      </c>
      <c r="N396" s="35">
        <f>SUMIFS(Einzelbeträge!$D:$D,Einzelbeträge!$C:$C,'Ausgaben 2028'!$C396,Einzelbeträge!$E:$E,'Ausgaben 2028'!N$6)</f>
        <v>0</v>
      </c>
      <c r="O396" s="6"/>
    </row>
    <row r="397" spans="2:15" x14ac:dyDescent="0.35">
      <c r="B397" s="5"/>
      <c r="C397" s="40">
        <f t="shared" si="27"/>
        <v>47110</v>
      </c>
      <c r="D397" s="46">
        <f>SUMIFS(Einzelbeträge!$D:$D,Einzelbeträge!$C:$C,'Ausgaben 2028'!$C397)</f>
        <v>0</v>
      </c>
      <c r="E397" s="21">
        <f>SUMIFS(Einzelbeträge!$D:$D,Einzelbeträge!$C:$C,'Ausgaben 2028'!$C397,Einzelbeträge!$E:$E,'Ausgaben 2028'!E$6)</f>
        <v>0</v>
      </c>
      <c r="F397" s="21">
        <f>SUMIFS(Einzelbeträge!$D:$D,Einzelbeträge!$C:$C,'Ausgaben 2028'!$C397,Einzelbeträge!$E:$E,'Ausgaben 2028'!F$6)</f>
        <v>0</v>
      </c>
      <c r="G397" s="21">
        <f>SUMIFS(Einzelbeträge!$D:$D,Einzelbeträge!$C:$C,'Ausgaben 2028'!$C397,Einzelbeträge!$E:$E,'Ausgaben 2028'!G$6)</f>
        <v>0</v>
      </c>
      <c r="H397" s="21">
        <f>SUMIFS(Einzelbeträge!$D:$D,Einzelbeträge!$C:$C,'Ausgaben 2028'!$C397,Einzelbeträge!$E:$E,'Ausgaben 2028'!H$6)</f>
        <v>0</v>
      </c>
      <c r="I397" s="21">
        <f>SUMIFS(Einzelbeträge!$D:$D,Einzelbeträge!$C:$C,'Ausgaben 2028'!$C397,Einzelbeträge!$E:$E,'Ausgaben 2028'!I$6)</f>
        <v>0</v>
      </c>
      <c r="J397" s="21">
        <f>SUMIFS(Einzelbeträge!$D:$D,Einzelbeträge!$C:$C,'Ausgaben 2028'!$C397,Einzelbeträge!$E:$E,'Ausgaben 2028'!J$6)</f>
        <v>0</v>
      </c>
      <c r="K397" s="21">
        <f>SUMIFS(Einzelbeträge!$D:$D,Einzelbeträge!$C:$C,'Ausgaben 2028'!$C397,Einzelbeträge!$E:$E,'Ausgaben 2028'!K$6)</f>
        <v>0</v>
      </c>
      <c r="L397" s="21">
        <f>SUMIFS(Einzelbeträge!$D:$D,Einzelbeträge!$C:$C,'Ausgaben 2028'!$C397,Einzelbeträge!$E:$E,'Ausgaben 2028'!L$6)</f>
        <v>0</v>
      </c>
      <c r="M397" s="21">
        <f>SUMIFS(Einzelbeträge!$D:$D,Einzelbeträge!$C:$C,'Ausgaben 2028'!$C397,Einzelbeträge!$E:$E,'Ausgaben 2028'!M$6)</f>
        <v>0</v>
      </c>
      <c r="N397" s="35">
        <f>SUMIFS(Einzelbeträge!$D:$D,Einzelbeträge!$C:$C,'Ausgaben 2028'!$C397,Einzelbeträge!$E:$E,'Ausgaben 2028'!N$6)</f>
        <v>0</v>
      </c>
      <c r="O397" s="6"/>
    </row>
    <row r="398" spans="2:15" x14ac:dyDescent="0.35">
      <c r="B398" s="5"/>
      <c r="C398" s="40">
        <f t="shared" si="27"/>
        <v>47111</v>
      </c>
      <c r="D398" s="46">
        <f>SUMIFS(Einzelbeträge!$D:$D,Einzelbeträge!$C:$C,'Ausgaben 2028'!$C398)</f>
        <v>0</v>
      </c>
      <c r="E398" s="21">
        <f>SUMIFS(Einzelbeträge!$D:$D,Einzelbeträge!$C:$C,'Ausgaben 2028'!$C398,Einzelbeträge!$E:$E,'Ausgaben 2028'!E$6)</f>
        <v>0</v>
      </c>
      <c r="F398" s="21">
        <f>SUMIFS(Einzelbeträge!$D:$D,Einzelbeträge!$C:$C,'Ausgaben 2028'!$C398,Einzelbeträge!$E:$E,'Ausgaben 2028'!F$6)</f>
        <v>0</v>
      </c>
      <c r="G398" s="21">
        <f>SUMIFS(Einzelbeträge!$D:$D,Einzelbeträge!$C:$C,'Ausgaben 2028'!$C398,Einzelbeträge!$E:$E,'Ausgaben 2028'!G$6)</f>
        <v>0</v>
      </c>
      <c r="H398" s="21">
        <f>SUMIFS(Einzelbeträge!$D:$D,Einzelbeträge!$C:$C,'Ausgaben 2028'!$C398,Einzelbeträge!$E:$E,'Ausgaben 2028'!H$6)</f>
        <v>0</v>
      </c>
      <c r="I398" s="21">
        <f>SUMIFS(Einzelbeträge!$D:$D,Einzelbeträge!$C:$C,'Ausgaben 2028'!$C398,Einzelbeträge!$E:$E,'Ausgaben 2028'!I$6)</f>
        <v>0</v>
      </c>
      <c r="J398" s="21">
        <f>SUMIFS(Einzelbeträge!$D:$D,Einzelbeträge!$C:$C,'Ausgaben 2028'!$C398,Einzelbeträge!$E:$E,'Ausgaben 2028'!J$6)</f>
        <v>0</v>
      </c>
      <c r="K398" s="21">
        <f>SUMIFS(Einzelbeträge!$D:$D,Einzelbeträge!$C:$C,'Ausgaben 2028'!$C398,Einzelbeträge!$E:$E,'Ausgaben 2028'!K$6)</f>
        <v>0</v>
      </c>
      <c r="L398" s="21">
        <f>SUMIFS(Einzelbeträge!$D:$D,Einzelbeträge!$C:$C,'Ausgaben 2028'!$C398,Einzelbeträge!$E:$E,'Ausgaben 2028'!L$6)</f>
        <v>0</v>
      </c>
      <c r="M398" s="21">
        <f>SUMIFS(Einzelbeträge!$D:$D,Einzelbeträge!$C:$C,'Ausgaben 2028'!$C398,Einzelbeträge!$E:$E,'Ausgaben 2028'!M$6)</f>
        <v>0</v>
      </c>
      <c r="N398" s="35">
        <f>SUMIFS(Einzelbeträge!$D:$D,Einzelbeträge!$C:$C,'Ausgaben 2028'!$C398,Einzelbeträge!$E:$E,'Ausgaben 2028'!N$6)</f>
        <v>0</v>
      </c>
      <c r="O398" s="6"/>
    </row>
    <row r="399" spans="2:15" x14ac:dyDescent="0.35">
      <c r="B399" s="5"/>
      <c r="C399" s="40">
        <f t="shared" si="27"/>
        <v>47112</v>
      </c>
      <c r="D399" s="46">
        <f>SUMIFS(Einzelbeträge!$D:$D,Einzelbeträge!$C:$C,'Ausgaben 2028'!$C399)</f>
        <v>0</v>
      </c>
      <c r="E399" s="21">
        <f>SUMIFS(Einzelbeträge!$D:$D,Einzelbeträge!$C:$C,'Ausgaben 2028'!$C399,Einzelbeträge!$E:$E,'Ausgaben 2028'!E$6)</f>
        <v>0</v>
      </c>
      <c r="F399" s="21">
        <f>SUMIFS(Einzelbeträge!$D:$D,Einzelbeträge!$C:$C,'Ausgaben 2028'!$C399,Einzelbeträge!$E:$E,'Ausgaben 2028'!F$6)</f>
        <v>0</v>
      </c>
      <c r="G399" s="21">
        <f>SUMIFS(Einzelbeträge!$D:$D,Einzelbeträge!$C:$C,'Ausgaben 2028'!$C399,Einzelbeträge!$E:$E,'Ausgaben 2028'!G$6)</f>
        <v>0</v>
      </c>
      <c r="H399" s="21">
        <f>SUMIFS(Einzelbeträge!$D:$D,Einzelbeträge!$C:$C,'Ausgaben 2028'!$C399,Einzelbeträge!$E:$E,'Ausgaben 2028'!H$6)</f>
        <v>0</v>
      </c>
      <c r="I399" s="21">
        <f>SUMIFS(Einzelbeträge!$D:$D,Einzelbeträge!$C:$C,'Ausgaben 2028'!$C399,Einzelbeträge!$E:$E,'Ausgaben 2028'!I$6)</f>
        <v>0</v>
      </c>
      <c r="J399" s="21">
        <f>SUMIFS(Einzelbeträge!$D:$D,Einzelbeträge!$C:$C,'Ausgaben 2028'!$C399,Einzelbeträge!$E:$E,'Ausgaben 2028'!J$6)</f>
        <v>0</v>
      </c>
      <c r="K399" s="21">
        <f>SUMIFS(Einzelbeträge!$D:$D,Einzelbeträge!$C:$C,'Ausgaben 2028'!$C399,Einzelbeträge!$E:$E,'Ausgaben 2028'!K$6)</f>
        <v>0</v>
      </c>
      <c r="L399" s="21">
        <f>SUMIFS(Einzelbeträge!$D:$D,Einzelbeträge!$C:$C,'Ausgaben 2028'!$C399,Einzelbeträge!$E:$E,'Ausgaben 2028'!L$6)</f>
        <v>0</v>
      </c>
      <c r="M399" s="21">
        <f>SUMIFS(Einzelbeträge!$D:$D,Einzelbeträge!$C:$C,'Ausgaben 2028'!$C399,Einzelbeträge!$E:$E,'Ausgaben 2028'!M$6)</f>
        <v>0</v>
      </c>
      <c r="N399" s="35">
        <f>SUMIFS(Einzelbeträge!$D:$D,Einzelbeträge!$C:$C,'Ausgaben 2028'!$C399,Einzelbeträge!$E:$E,'Ausgaben 2028'!N$6)</f>
        <v>0</v>
      </c>
      <c r="O399" s="6"/>
    </row>
    <row r="400" spans="2:15" x14ac:dyDescent="0.35">
      <c r="B400" s="5"/>
      <c r="C400" s="40">
        <f t="shared" si="27"/>
        <v>47113</v>
      </c>
      <c r="D400" s="46">
        <f>SUMIFS(Einzelbeträge!$D:$D,Einzelbeträge!$C:$C,'Ausgaben 2028'!$C400)</f>
        <v>0</v>
      </c>
      <c r="E400" s="21">
        <f>SUMIFS(Einzelbeträge!$D:$D,Einzelbeträge!$C:$C,'Ausgaben 2028'!$C400,Einzelbeträge!$E:$E,'Ausgaben 2028'!E$6)</f>
        <v>0</v>
      </c>
      <c r="F400" s="21">
        <f>SUMIFS(Einzelbeträge!$D:$D,Einzelbeträge!$C:$C,'Ausgaben 2028'!$C400,Einzelbeträge!$E:$E,'Ausgaben 2028'!F$6)</f>
        <v>0</v>
      </c>
      <c r="G400" s="21">
        <f>SUMIFS(Einzelbeträge!$D:$D,Einzelbeträge!$C:$C,'Ausgaben 2028'!$C400,Einzelbeträge!$E:$E,'Ausgaben 2028'!G$6)</f>
        <v>0</v>
      </c>
      <c r="H400" s="21">
        <f>SUMIFS(Einzelbeträge!$D:$D,Einzelbeträge!$C:$C,'Ausgaben 2028'!$C400,Einzelbeträge!$E:$E,'Ausgaben 2028'!H$6)</f>
        <v>0</v>
      </c>
      <c r="I400" s="21">
        <f>SUMIFS(Einzelbeträge!$D:$D,Einzelbeträge!$C:$C,'Ausgaben 2028'!$C400,Einzelbeträge!$E:$E,'Ausgaben 2028'!I$6)</f>
        <v>0</v>
      </c>
      <c r="J400" s="21">
        <f>SUMIFS(Einzelbeträge!$D:$D,Einzelbeträge!$C:$C,'Ausgaben 2028'!$C400,Einzelbeträge!$E:$E,'Ausgaben 2028'!J$6)</f>
        <v>0</v>
      </c>
      <c r="K400" s="21">
        <f>SUMIFS(Einzelbeträge!$D:$D,Einzelbeträge!$C:$C,'Ausgaben 2028'!$C400,Einzelbeträge!$E:$E,'Ausgaben 2028'!K$6)</f>
        <v>0</v>
      </c>
      <c r="L400" s="21">
        <f>SUMIFS(Einzelbeträge!$D:$D,Einzelbeträge!$C:$C,'Ausgaben 2028'!$C400,Einzelbeträge!$E:$E,'Ausgaben 2028'!L$6)</f>
        <v>0</v>
      </c>
      <c r="M400" s="21">
        <f>SUMIFS(Einzelbeträge!$D:$D,Einzelbeträge!$C:$C,'Ausgaben 2028'!$C400,Einzelbeträge!$E:$E,'Ausgaben 2028'!M$6)</f>
        <v>0</v>
      </c>
      <c r="N400" s="35">
        <f>SUMIFS(Einzelbeträge!$D:$D,Einzelbeträge!$C:$C,'Ausgaben 2028'!$C400,Einzelbeträge!$E:$E,'Ausgaben 2028'!N$6)</f>
        <v>0</v>
      </c>
      <c r="O400" s="6"/>
    </row>
    <row r="401" spans="2:15" x14ac:dyDescent="0.35">
      <c r="B401" s="5"/>
      <c r="C401" s="40">
        <f t="shared" si="27"/>
        <v>47114</v>
      </c>
      <c r="D401" s="46">
        <f>SUMIFS(Einzelbeträge!$D:$D,Einzelbeträge!$C:$C,'Ausgaben 2028'!$C401)</f>
        <v>0</v>
      </c>
      <c r="E401" s="21">
        <f>SUMIFS(Einzelbeträge!$D:$D,Einzelbeträge!$C:$C,'Ausgaben 2028'!$C401,Einzelbeträge!$E:$E,'Ausgaben 2028'!E$6)</f>
        <v>0</v>
      </c>
      <c r="F401" s="21">
        <f>SUMIFS(Einzelbeträge!$D:$D,Einzelbeträge!$C:$C,'Ausgaben 2028'!$C401,Einzelbeträge!$E:$E,'Ausgaben 2028'!F$6)</f>
        <v>0</v>
      </c>
      <c r="G401" s="21">
        <f>SUMIFS(Einzelbeträge!$D:$D,Einzelbeträge!$C:$C,'Ausgaben 2028'!$C401,Einzelbeträge!$E:$E,'Ausgaben 2028'!G$6)</f>
        <v>0</v>
      </c>
      <c r="H401" s="21">
        <f>SUMIFS(Einzelbeträge!$D:$D,Einzelbeträge!$C:$C,'Ausgaben 2028'!$C401,Einzelbeträge!$E:$E,'Ausgaben 2028'!H$6)</f>
        <v>0</v>
      </c>
      <c r="I401" s="21">
        <f>SUMIFS(Einzelbeträge!$D:$D,Einzelbeträge!$C:$C,'Ausgaben 2028'!$C401,Einzelbeträge!$E:$E,'Ausgaben 2028'!I$6)</f>
        <v>0</v>
      </c>
      <c r="J401" s="21">
        <f>SUMIFS(Einzelbeträge!$D:$D,Einzelbeträge!$C:$C,'Ausgaben 2028'!$C401,Einzelbeträge!$E:$E,'Ausgaben 2028'!J$6)</f>
        <v>0</v>
      </c>
      <c r="K401" s="21">
        <f>SUMIFS(Einzelbeträge!$D:$D,Einzelbeträge!$C:$C,'Ausgaben 2028'!$C401,Einzelbeträge!$E:$E,'Ausgaben 2028'!K$6)</f>
        <v>0</v>
      </c>
      <c r="L401" s="21">
        <f>SUMIFS(Einzelbeträge!$D:$D,Einzelbeträge!$C:$C,'Ausgaben 2028'!$C401,Einzelbeträge!$E:$E,'Ausgaben 2028'!L$6)</f>
        <v>0</v>
      </c>
      <c r="M401" s="21">
        <f>SUMIFS(Einzelbeträge!$D:$D,Einzelbeträge!$C:$C,'Ausgaben 2028'!$C401,Einzelbeträge!$E:$E,'Ausgaben 2028'!M$6)</f>
        <v>0</v>
      </c>
      <c r="N401" s="35">
        <f>SUMIFS(Einzelbeträge!$D:$D,Einzelbeträge!$C:$C,'Ausgaben 2028'!$C401,Einzelbeträge!$E:$E,'Ausgaben 2028'!N$6)</f>
        <v>0</v>
      </c>
      <c r="O401" s="6"/>
    </row>
    <row r="402" spans="2:15" x14ac:dyDescent="0.35">
      <c r="B402" s="5"/>
      <c r="C402" s="40">
        <f t="shared" si="27"/>
        <v>47115</v>
      </c>
      <c r="D402" s="46">
        <f>SUMIFS(Einzelbeträge!$D:$D,Einzelbeträge!$C:$C,'Ausgaben 2028'!$C402)</f>
        <v>0</v>
      </c>
      <c r="E402" s="21">
        <f>SUMIFS(Einzelbeträge!$D:$D,Einzelbeträge!$C:$C,'Ausgaben 2028'!$C402,Einzelbeträge!$E:$E,'Ausgaben 2028'!E$6)</f>
        <v>0</v>
      </c>
      <c r="F402" s="21">
        <f>SUMIFS(Einzelbeträge!$D:$D,Einzelbeträge!$C:$C,'Ausgaben 2028'!$C402,Einzelbeträge!$E:$E,'Ausgaben 2028'!F$6)</f>
        <v>0</v>
      </c>
      <c r="G402" s="21">
        <f>SUMIFS(Einzelbeträge!$D:$D,Einzelbeträge!$C:$C,'Ausgaben 2028'!$C402,Einzelbeträge!$E:$E,'Ausgaben 2028'!G$6)</f>
        <v>0</v>
      </c>
      <c r="H402" s="21">
        <f>SUMIFS(Einzelbeträge!$D:$D,Einzelbeträge!$C:$C,'Ausgaben 2028'!$C402,Einzelbeträge!$E:$E,'Ausgaben 2028'!H$6)</f>
        <v>0</v>
      </c>
      <c r="I402" s="21">
        <f>SUMIFS(Einzelbeträge!$D:$D,Einzelbeträge!$C:$C,'Ausgaben 2028'!$C402,Einzelbeträge!$E:$E,'Ausgaben 2028'!I$6)</f>
        <v>0</v>
      </c>
      <c r="J402" s="21">
        <f>SUMIFS(Einzelbeträge!$D:$D,Einzelbeträge!$C:$C,'Ausgaben 2028'!$C402,Einzelbeträge!$E:$E,'Ausgaben 2028'!J$6)</f>
        <v>0</v>
      </c>
      <c r="K402" s="21">
        <f>SUMIFS(Einzelbeträge!$D:$D,Einzelbeträge!$C:$C,'Ausgaben 2028'!$C402,Einzelbeträge!$E:$E,'Ausgaben 2028'!K$6)</f>
        <v>0</v>
      </c>
      <c r="L402" s="21">
        <f>SUMIFS(Einzelbeträge!$D:$D,Einzelbeträge!$C:$C,'Ausgaben 2028'!$C402,Einzelbeträge!$E:$E,'Ausgaben 2028'!L$6)</f>
        <v>0</v>
      </c>
      <c r="M402" s="21">
        <f>SUMIFS(Einzelbeträge!$D:$D,Einzelbeträge!$C:$C,'Ausgaben 2028'!$C402,Einzelbeträge!$E:$E,'Ausgaben 2028'!M$6)</f>
        <v>0</v>
      </c>
      <c r="N402" s="35">
        <f>SUMIFS(Einzelbeträge!$D:$D,Einzelbeträge!$C:$C,'Ausgaben 2028'!$C402,Einzelbeträge!$E:$E,'Ausgaben 2028'!N$6)</f>
        <v>0</v>
      </c>
      <c r="O402" s="6"/>
    </row>
    <row r="403" spans="2:15" x14ac:dyDescent="0.35">
      <c r="B403" s="5"/>
      <c r="C403" s="40">
        <f t="shared" si="27"/>
        <v>47116</v>
      </c>
      <c r="D403" s="46">
        <f>SUMIFS(Einzelbeträge!$D:$D,Einzelbeträge!$C:$C,'Ausgaben 2028'!$C403)</f>
        <v>0</v>
      </c>
      <c r="E403" s="21">
        <f>SUMIFS(Einzelbeträge!$D:$D,Einzelbeträge!$C:$C,'Ausgaben 2028'!$C403,Einzelbeträge!$E:$E,'Ausgaben 2028'!E$6)</f>
        <v>0</v>
      </c>
      <c r="F403" s="21">
        <f>SUMIFS(Einzelbeträge!$D:$D,Einzelbeträge!$C:$C,'Ausgaben 2028'!$C403,Einzelbeträge!$E:$E,'Ausgaben 2028'!F$6)</f>
        <v>0</v>
      </c>
      <c r="G403" s="21">
        <f>SUMIFS(Einzelbeträge!$D:$D,Einzelbeträge!$C:$C,'Ausgaben 2028'!$C403,Einzelbeträge!$E:$E,'Ausgaben 2028'!G$6)</f>
        <v>0</v>
      </c>
      <c r="H403" s="21">
        <f>SUMIFS(Einzelbeträge!$D:$D,Einzelbeträge!$C:$C,'Ausgaben 2028'!$C403,Einzelbeträge!$E:$E,'Ausgaben 2028'!H$6)</f>
        <v>0</v>
      </c>
      <c r="I403" s="21">
        <f>SUMIFS(Einzelbeträge!$D:$D,Einzelbeträge!$C:$C,'Ausgaben 2028'!$C403,Einzelbeträge!$E:$E,'Ausgaben 2028'!I$6)</f>
        <v>0</v>
      </c>
      <c r="J403" s="21">
        <f>SUMIFS(Einzelbeträge!$D:$D,Einzelbeträge!$C:$C,'Ausgaben 2028'!$C403,Einzelbeträge!$E:$E,'Ausgaben 2028'!J$6)</f>
        <v>0</v>
      </c>
      <c r="K403" s="21">
        <f>SUMIFS(Einzelbeträge!$D:$D,Einzelbeträge!$C:$C,'Ausgaben 2028'!$C403,Einzelbeträge!$E:$E,'Ausgaben 2028'!K$6)</f>
        <v>0</v>
      </c>
      <c r="L403" s="21">
        <f>SUMIFS(Einzelbeträge!$D:$D,Einzelbeträge!$C:$C,'Ausgaben 2028'!$C403,Einzelbeträge!$E:$E,'Ausgaben 2028'!L$6)</f>
        <v>0</v>
      </c>
      <c r="M403" s="21">
        <f>SUMIFS(Einzelbeträge!$D:$D,Einzelbeträge!$C:$C,'Ausgaben 2028'!$C403,Einzelbeträge!$E:$E,'Ausgaben 2028'!M$6)</f>
        <v>0</v>
      </c>
      <c r="N403" s="35">
        <f>SUMIFS(Einzelbeträge!$D:$D,Einzelbeträge!$C:$C,'Ausgaben 2028'!$C403,Einzelbeträge!$E:$E,'Ausgaben 2028'!N$6)</f>
        <v>0</v>
      </c>
      <c r="O403" s="6"/>
    </row>
    <row r="404" spans="2:15" x14ac:dyDescent="0.35">
      <c r="B404" s="5"/>
      <c r="C404" s="40">
        <f t="shared" si="27"/>
        <v>47117</v>
      </c>
      <c r="D404" s="46">
        <f>SUMIFS(Einzelbeträge!$D:$D,Einzelbeträge!$C:$C,'Ausgaben 2028'!$C404)</f>
        <v>0</v>
      </c>
      <c r="E404" s="21">
        <f>SUMIFS(Einzelbeträge!$D:$D,Einzelbeträge!$C:$C,'Ausgaben 2028'!$C404,Einzelbeträge!$E:$E,'Ausgaben 2028'!E$6)</f>
        <v>0</v>
      </c>
      <c r="F404" s="21">
        <f>SUMIFS(Einzelbeträge!$D:$D,Einzelbeträge!$C:$C,'Ausgaben 2028'!$C404,Einzelbeträge!$E:$E,'Ausgaben 2028'!F$6)</f>
        <v>0</v>
      </c>
      <c r="G404" s="21">
        <f>SUMIFS(Einzelbeträge!$D:$D,Einzelbeträge!$C:$C,'Ausgaben 2028'!$C404,Einzelbeträge!$E:$E,'Ausgaben 2028'!G$6)</f>
        <v>0</v>
      </c>
      <c r="H404" s="21">
        <f>SUMIFS(Einzelbeträge!$D:$D,Einzelbeträge!$C:$C,'Ausgaben 2028'!$C404,Einzelbeträge!$E:$E,'Ausgaben 2028'!H$6)</f>
        <v>0</v>
      </c>
      <c r="I404" s="21">
        <f>SUMIFS(Einzelbeträge!$D:$D,Einzelbeträge!$C:$C,'Ausgaben 2028'!$C404,Einzelbeträge!$E:$E,'Ausgaben 2028'!I$6)</f>
        <v>0</v>
      </c>
      <c r="J404" s="21">
        <f>SUMIFS(Einzelbeträge!$D:$D,Einzelbeträge!$C:$C,'Ausgaben 2028'!$C404,Einzelbeträge!$E:$E,'Ausgaben 2028'!J$6)</f>
        <v>0</v>
      </c>
      <c r="K404" s="21">
        <f>SUMIFS(Einzelbeträge!$D:$D,Einzelbeträge!$C:$C,'Ausgaben 2028'!$C404,Einzelbeträge!$E:$E,'Ausgaben 2028'!K$6)</f>
        <v>0</v>
      </c>
      <c r="L404" s="21">
        <f>SUMIFS(Einzelbeträge!$D:$D,Einzelbeträge!$C:$C,'Ausgaben 2028'!$C404,Einzelbeträge!$E:$E,'Ausgaben 2028'!L$6)</f>
        <v>0</v>
      </c>
      <c r="M404" s="21">
        <f>SUMIFS(Einzelbeträge!$D:$D,Einzelbeträge!$C:$C,'Ausgaben 2028'!$C404,Einzelbeträge!$E:$E,'Ausgaben 2028'!M$6)</f>
        <v>0</v>
      </c>
      <c r="N404" s="35">
        <f>SUMIFS(Einzelbeträge!$D:$D,Einzelbeträge!$C:$C,'Ausgaben 2028'!$C404,Einzelbeträge!$E:$E,'Ausgaben 2028'!N$6)</f>
        <v>0</v>
      </c>
      <c r="O404" s="6"/>
    </row>
    <row r="405" spans="2:15" x14ac:dyDescent="0.35">
      <c r="B405" s="5"/>
      <c r="C405" s="31">
        <f t="shared" si="27"/>
        <v>47118</v>
      </c>
      <c r="D405" s="47">
        <f>SUMIFS(Einzelbeträge!$D:$D,Einzelbeträge!$C:$C,'Ausgaben 2028'!$C405)</f>
        <v>0</v>
      </c>
      <c r="E405" s="37">
        <f>SUMIFS(Einzelbeträge!$D:$D,Einzelbeträge!$C:$C,'Ausgaben 2028'!$C405,Einzelbeträge!$E:$E,'Ausgaben 2028'!E$6)</f>
        <v>0</v>
      </c>
      <c r="F405" s="37">
        <f>SUMIFS(Einzelbeträge!$D:$D,Einzelbeträge!$C:$C,'Ausgaben 2028'!$C405,Einzelbeträge!$E:$E,'Ausgaben 2028'!F$6)</f>
        <v>0</v>
      </c>
      <c r="G405" s="37">
        <f>SUMIFS(Einzelbeträge!$D:$D,Einzelbeträge!$C:$C,'Ausgaben 2028'!$C405,Einzelbeträge!$E:$E,'Ausgaben 2028'!G$6)</f>
        <v>0</v>
      </c>
      <c r="H405" s="37">
        <f>SUMIFS(Einzelbeträge!$D:$D,Einzelbeträge!$C:$C,'Ausgaben 2028'!$C405,Einzelbeträge!$E:$E,'Ausgaben 2028'!H$6)</f>
        <v>0</v>
      </c>
      <c r="I405" s="37">
        <f>SUMIFS(Einzelbeträge!$D:$D,Einzelbeträge!$C:$C,'Ausgaben 2028'!$C405,Einzelbeträge!$E:$E,'Ausgaben 2028'!I$6)</f>
        <v>0</v>
      </c>
      <c r="J405" s="37">
        <f>SUMIFS(Einzelbeträge!$D:$D,Einzelbeträge!$C:$C,'Ausgaben 2028'!$C405,Einzelbeträge!$E:$E,'Ausgaben 2028'!J$6)</f>
        <v>0</v>
      </c>
      <c r="K405" s="37">
        <f>SUMIFS(Einzelbeträge!$D:$D,Einzelbeträge!$C:$C,'Ausgaben 2028'!$C405,Einzelbeträge!$E:$E,'Ausgaben 2028'!K$6)</f>
        <v>0</v>
      </c>
      <c r="L405" s="37">
        <f>SUMIFS(Einzelbeträge!$D:$D,Einzelbeträge!$C:$C,'Ausgaben 2028'!$C405,Einzelbeträge!$E:$E,'Ausgaben 2028'!L$6)</f>
        <v>0</v>
      </c>
      <c r="M405" s="37">
        <f>SUMIFS(Einzelbeträge!$D:$D,Einzelbeträge!$C:$C,'Ausgaben 2028'!$C405,Einzelbeträge!$E:$E,'Ausgaben 2028'!M$6)</f>
        <v>0</v>
      </c>
      <c r="N405" s="38">
        <f>SUMIFS(Einzelbeträge!$D:$D,Einzelbeträge!$C:$C,'Ausgaben 2028'!$C405,Einzelbeträge!$E:$E,'Ausgaben 2028'!N$6)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45" priority="2">
      <formula>LEN(TRIM(C69))=0</formula>
    </cfRule>
  </conditionalFormatting>
  <conditionalFormatting sqref="D69:N69">
    <cfRule type="expression" dxfId="44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7A18AC56-5285-46DE-8862-768E087CEFBD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25887160-0F96-4990-B5A5-A6613B03982E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E784ACCF-29D0-439D-87A1-5525706CF22D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71DEA23E-BBD2-4DBE-8498-CD0D0192F7F4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A7881FFB-93FE-414A-9B99-04B4F8226C7E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D059C0CC-9EF7-443A-BB85-F876AE8C026C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BEBF6233-E1C9-4E0C-A7E8-14E0A7480DE0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87B51555-AC9C-4487-AA43-CE1A5195BA82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4598BDD8-A91E-42F6-AF33-21591881AF1D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18E6BEA1-33A9-4905-AFDD-E5B1D125260F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F2959F92-8058-48D8-8580-D372E63B2DC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8F81FC01-82F6-458A-9FAE-1A05BE1EEAA8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F56E6218-27A4-438B-B87A-D03D1035C300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1D6B6F2F-58E2-45C5-BE42-40848E49B01B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8F411EDF-33B6-4D72-90EB-49CE27669147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D33A014E-A73B-41E4-8431-D2DA6D4B407A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3335E4B8-2187-4EAF-A674-F3CE5B07B736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B3B509D0-A2CE-45EE-B766-936650B6870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E0C4340E-A1ED-4C30-9FC4-8D2F0013BB00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5194F52E-A3B1-4211-A063-C7FCD199CAF9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73A0619F-E537-40AF-B361-33BC6BE0CB86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FAA9-F9BD-4148-B7A2-DB78507F9718}">
  <sheetPr codeName="Sheet10"/>
  <dimension ref="B1:AD87"/>
  <sheetViews>
    <sheetView zoomScale="53" workbookViewId="0">
      <selection activeCell="D9" sqref="D9"/>
    </sheetView>
  </sheetViews>
  <sheetFormatPr defaultRowHeight="14.5" x14ac:dyDescent="0.35"/>
  <cols>
    <col min="1" max="2" width="2.81640625" customWidth="1"/>
    <col min="3" max="3" width="20.1796875" bestFit="1" customWidth="1"/>
    <col min="4" max="4" width="8.7265625" style="63"/>
    <col min="5" max="7" width="2.81640625" customWidth="1"/>
    <col min="8" max="8" width="20.1796875" bestFit="1" customWidth="1"/>
    <col min="9" max="9" width="8.7265625" style="63"/>
    <col min="10" max="12" width="2.81640625" customWidth="1"/>
    <col min="13" max="13" width="20.1796875" bestFit="1" customWidth="1"/>
    <col min="14" max="14" width="8.7265625" style="63"/>
    <col min="15" max="17" width="2.81640625" customWidth="1"/>
    <col min="18" max="18" width="20.1796875" bestFit="1" customWidth="1"/>
    <col min="19" max="19" width="8.7265625" style="63"/>
    <col min="20" max="22" width="2.81640625" customWidth="1"/>
    <col min="23" max="23" width="20.1796875" bestFit="1" customWidth="1"/>
    <col min="24" max="24" width="8.7265625" style="63"/>
    <col min="25" max="27" width="2.81640625" customWidth="1"/>
    <col min="28" max="28" width="20.1796875" bestFit="1" customWidth="1"/>
    <col min="29" max="29" width="8.7265625" style="63"/>
    <col min="30" max="30" width="2.81640625" customWidth="1"/>
  </cols>
  <sheetData>
    <row r="1" spans="2:5" ht="15" thickBot="1" x14ac:dyDescent="0.4"/>
    <row r="2" spans="2:5" x14ac:dyDescent="0.35">
      <c r="B2" s="2"/>
      <c r="C2" s="3"/>
      <c r="D2" s="64"/>
      <c r="E2" s="4"/>
    </row>
    <row r="3" spans="2:5" x14ac:dyDescent="0.35">
      <c r="B3" s="5"/>
      <c r="C3" s="60" t="s">
        <v>39</v>
      </c>
      <c r="D3" s="65"/>
      <c r="E3" s="6"/>
    </row>
    <row r="4" spans="2:5" x14ac:dyDescent="0.35">
      <c r="B4" s="5"/>
      <c r="C4" s="7"/>
      <c r="D4" s="65"/>
      <c r="E4" s="6"/>
    </row>
    <row r="5" spans="2:5" x14ac:dyDescent="0.35">
      <c r="B5" s="5"/>
      <c r="C5" s="16" t="s">
        <v>16</v>
      </c>
      <c r="D5" s="65"/>
      <c r="E5" s="6"/>
    </row>
    <row r="6" spans="2:5" x14ac:dyDescent="0.35">
      <c r="B6" s="5"/>
      <c r="C6" s="17" t="s">
        <v>29</v>
      </c>
      <c r="D6" s="66">
        <f>SUM(D35:AC35,D64:AC64)</f>
        <v>0</v>
      </c>
      <c r="E6" s="6"/>
    </row>
    <row r="7" spans="2:5" x14ac:dyDescent="0.35">
      <c r="B7" s="5"/>
      <c r="C7" s="13" t="s">
        <v>30</v>
      </c>
      <c r="D7" s="67">
        <f t="shared" ref="D7" si="0">SUM(D36:AC36,D65:AC65)</f>
        <v>0</v>
      </c>
      <c r="E7" s="6"/>
    </row>
    <row r="8" spans="2:5" x14ac:dyDescent="0.35">
      <c r="B8" s="5"/>
      <c r="C8" s="13" t="s">
        <v>49</v>
      </c>
      <c r="D8" s="67">
        <f>SUM(D37:AC37,D66:AC66)</f>
        <v>0</v>
      </c>
      <c r="E8" s="6"/>
    </row>
    <row r="9" spans="2:5" x14ac:dyDescent="0.35">
      <c r="B9" s="5"/>
      <c r="C9" s="13" t="s">
        <v>31</v>
      </c>
      <c r="D9" s="67">
        <f>SUM(D38:AC38,D67:AC67)</f>
        <v>0</v>
      </c>
      <c r="E9" s="6"/>
    </row>
    <row r="10" spans="2:5" x14ac:dyDescent="0.35">
      <c r="B10" s="5"/>
      <c r="C10" s="18" t="s">
        <v>6</v>
      </c>
      <c r="D10" s="68">
        <f>SUM(D6:D9)</f>
        <v>0</v>
      </c>
      <c r="E10" s="6"/>
    </row>
    <row r="11" spans="2:5" x14ac:dyDescent="0.35">
      <c r="B11" s="5"/>
      <c r="C11" s="7"/>
      <c r="D11" s="65"/>
      <c r="E11" s="6"/>
    </row>
    <row r="12" spans="2:5" x14ac:dyDescent="0.35">
      <c r="B12" s="5"/>
      <c r="C12" s="16" t="s">
        <v>15</v>
      </c>
      <c r="D12" s="65"/>
      <c r="E12" s="6"/>
    </row>
    <row r="13" spans="2:5" x14ac:dyDescent="0.35">
      <c r="B13" s="5"/>
      <c r="C13" s="17" t="s">
        <v>32</v>
      </c>
      <c r="D13" s="66">
        <f t="shared" ref="D13:D25" si="1">SUM(D42:AC42,D71:AC71)</f>
        <v>0</v>
      </c>
      <c r="E13" s="6"/>
    </row>
    <row r="14" spans="2:5" x14ac:dyDescent="0.35">
      <c r="B14" s="5"/>
      <c r="C14" s="13" t="s">
        <v>33</v>
      </c>
      <c r="D14" s="67">
        <f t="shared" si="1"/>
        <v>0</v>
      </c>
      <c r="E14" s="6"/>
    </row>
    <row r="15" spans="2:5" x14ac:dyDescent="0.35">
      <c r="B15" s="5"/>
      <c r="C15" s="13" t="s">
        <v>34</v>
      </c>
      <c r="D15" s="67">
        <f t="shared" si="1"/>
        <v>0</v>
      </c>
      <c r="E15" s="6"/>
    </row>
    <row r="16" spans="2:5" x14ac:dyDescent="0.35">
      <c r="B16" s="5"/>
      <c r="C16" s="13" t="s">
        <v>0</v>
      </c>
      <c r="D16" s="67">
        <f t="shared" si="1"/>
        <v>0</v>
      </c>
      <c r="E16" s="6"/>
    </row>
    <row r="17" spans="2:30" x14ac:dyDescent="0.35">
      <c r="B17" s="5"/>
      <c r="C17" s="13" t="s">
        <v>1</v>
      </c>
      <c r="D17" s="67">
        <f t="shared" si="1"/>
        <v>0</v>
      </c>
      <c r="E17" s="6"/>
    </row>
    <row r="18" spans="2:30" x14ac:dyDescent="0.35">
      <c r="B18" s="5"/>
      <c r="C18" s="13" t="s">
        <v>3</v>
      </c>
      <c r="D18" s="67">
        <f t="shared" si="1"/>
        <v>0</v>
      </c>
      <c r="E18" s="6"/>
    </row>
    <row r="19" spans="2:30" x14ac:dyDescent="0.35">
      <c r="B19" s="5"/>
      <c r="C19" s="13" t="s">
        <v>2</v>
      </c>
      <c r="D19" s="67">
        <f t="shared" si="1"/>
        <v>0</v>
      </c>
      <c r="E19" s="6"/>
    </row>
    <row r="20" spans="2:30" x14ac:dyDescent="0.35">
      <c r="B20" s="5"/>
      <c r="C20" s="13" t="s">
        <v>42</v>
      </c>
      <c r="D20" s="67">
        <f t="shared" si="1"/>
        <v>0</v>
      </c>
      <c r="E20" s="6"/>
    </row>
    <row r="21" spans="2:30" x14ac:dyDescent="0.35">
      <c r="B21" s="5"/>
      <c r="C21" s="13" t="s">
        <v>65</v>
      </c>
      <c r="D21" s="67">
        <f t="shared" si="1"/>
        <v>0</v>
      </c>
      <c r="E21" s="6"/>
    </row>
    <row r="22" spans="2:30" x14ac:dyDescent="0.35">
      <c r="B22" s="5"/>
      <c r="C22" s="13" t="s">
        <v>64</v>
      </c>
      <c r="D22" s="67">
        <f t="shared" si="1"/>
        <v>0</v>
      </c>
      <c r="E22" s="6"/>
    </row>
    <row r="23" spans="2:30" x14ac:dyDescent="0.35">
      <c r="B23" s="5"/>
      <c r="C23" s="13" t="s">
        <v>63</v>
      </c>
      <c r="D23" s="67">
        <f t="shared" si="1"/>
        <v>0</v>
      </c>
      <c r="E23" s="6"/>
    </row>
    <row r="24" spans="2:30" x14ac:dyDescent="0.35">
      <c r="B24" s="5"/>
      <c r="C24" s="13" t="s">
        <v>62</v>
      </c>
      <c r="D24" s="67">
        <f t="shared" si="1"/>
        <v>0</v>
      </c>
      <c r="E24" s="6"/>
    </row>
    <row r="25" spans="2:30" x14ac:dyDescent="0.35">
      <c r="B25" s="5"/>
      <c r="C25" s="13" t="s">
        <v>61</v>
      </c>
      <c r="D25" s="67">
        <f t="shared" si="1"/>
        <v>0</v>
      </c>
      <c r="E25" s="6"/>
    </row>
    <row r="26" spans="2:30" x14ac:dyDescent="0.35">
      <c r="B26" s="5"/>
      <c r="C26" s="18" t="s">
        <v>6</v>
      </c>
      <c r="D26" s="68">
        <f>SUM(D13:D25)</f>
        <v>0</v>
      </c>
      <c r="E26" s="6"/>
    </row>
    <row r="27" spans="2:30" x14ac:dyDescent="0.35">
      <c r="B27" s="5"/>
      <c r="C27" s="14"/>
      <c r="D27" s="69"/>
      <c r="E27" s="6"/>
    </row>
    <row r="28" spans="2:30" x14ac:dyDescent="0.35">
      <c r="B28" s="5"/>
      <c r="C28" s="19" t="s">
        <v>17</v>
      </c>
      <c r="D28" s="70">
        <f>D10-D26</f>
        <v>0</v>
      </c>
      <c r="E28" s="6"/>
    </row>
    <row r="29" spans="2:30" ht="15" thickBot="1" x14ac:dyDescent="0.4">
      <c r="B29" s="8"/>
      <c r="C29" s="9"/>
      <c r="D29" s="71"/>
      <c r="E29" s="10"/>
    </row>
    <row r="30" spans="2:30" ht="15" thickBot="1" x14ac:dyDescent="0.4"/>
    <row r="31" spans="2:30" x14ac:dyDescent="0.35">
      <c r="B31" s="2"/>
      <c r="C31" s="3"/>
      <c r="D31" s="64"/>
      <c r="E31" s="4"/>
      <c r="G31" s="2"/>
      <c r="H31" s="3"/>
      <c r="I31" s="64"/>
      <c r="J31" s="4"/>
      <c r="L31" s="2"/>
      <c r="M31" s="3"/>
      <c r="N31" s="64"/>
      <c r="O31" s="4"/>
      <c r="Q31" s="2"/>
      <c r="R31" s="3"/>
      <c r="S31" s="64"/>
      <c r="T31" s="4"/>
      <c r="V31" s="2"/>
      <c r="W31" s="3"/>
      <c r="X31" s="64"/>
      <c r="Y31" s="4"/>
      <c r="AA31" s="2"/>
      <c r="AB31" s="3"/>
      <c r="AC31" s="64"/>
      <c r="AD31" s="4"/>
    </row>
    <row r="32" spans="2:30" x14ac:dyDescent="0.35">
      <c r="B32" s="5"/>
      <c r="C32" s="15" t="s">
        <v>5</v>
      </c>
      <c r="D32" s="65"/>
      <c r="E32" s="6"/>
      <c r="G32" s="5"/>
      <c r="H32" s="15" t="s">
        <v>18</v>
      </c>
      <c r="I32" s="65"/>
      <c r="J32" s="6"/>
      <c r="L32" s="5"/>
      <c r="M32" s="15" t="s">
        <v>19</v>
      </c>
      <c r="N32" s="65"/>
      <c r="O32" s="6"/>
      <c r="Q32" s="5"/>
      <c r="R32" s="15" t="s">
        <v>20</v>
      </c>
      <c r="S32" s="65"/>
      <c r="T32" s="6"/>
      <c r="V32" s="5"/>
      <c r="W32" s="15" t="s">
        <v>21</v>
      </c>
      <c r="X32" s="65"/>
      <c r="Y32" s="6"/>
      <c r="AA32" s="5"/>
      <c r="AB32" s="15" t="s">
        <v>22</v>
      </c>
      <c r="AC32" s="65"/>
      <c r="AD32" s="6"/>
    </row>
    <row r="33" spans="2:30" x14ac:dyDescent="0.35">
      <c r="B33" s="5"/>
      <c r="C33" s="7"/>
      <c r="D33" s="65"/>
      <c r="E33" s="6"/>
      <c r="G33" s="5"/>
      <c r="H33" s="7"/>
      <c r="I33" s="65"/>
      <c r="J33" s="6"/>
      <c r="L33" s="5"/>
      <c r="M33" s="7"/>
      <c r="N33" s="65"/>
      <c r="O33" s="6"/>
      <c r="Q33" s="5"/>
      <c r="R33" s="7"/>
      <c r="S33" s="65"/>
      <c r="T33" s="6"/>
      <c r="V33" s="5"/>
      <c r="W33" s="7"/>
      <c r="X33" s="65"/>
      <c r="Y33" s="6"/>
      <c r="AA33" s="5"/>
      <c r="AB33" s="7"/>
      <c r="AC33" s="65"/>
      <c r="AD33" s="6"/>
    </row>
    <row r="34" spans="2:30" x14ac:dyDescent="0.35">
      <c r="B34" s="5"/>
      <c r="C34" s="16" t="s">
        <v>16</v>
      </c>
      <c r="D34" s="65"/>
      <c r="E34" s="6"/>
      <c r="G34" s="5"/>
      <c r="H34" s="16" t="s">
        <v>16</v>
      </c>
      <c r="I34" s="65"/>
      <c r="J34" s="6"/>
      <c r="L34" s="5"/>
      <c r="M34" s="16" t="s">
        <v>16</v>
      </c>
      <c r="N34" s="65"/>
      <c r="O34" s="6"/>
      <c r="Q34" s="5"/>
      <c r="R34" s="16" t="s">
        <v>16</v>
      </c>
      <c r="S34" s="65"/>
      <c r="T34" s="6"/>
      <c r="V34" s="5"/>
      <c r="W34" s="16" t="s">
        <v>16</v>
      </c>
      <c r="X34" s="65"/>
      <c r="Y34" s="6"/>
      <c r="AA34" s="5"/>
      <c r="AB34" s="16" t="s">
        <v>16</v>
      </c>
      <c r="AC34" s="65"/>
      <c r="AD34" s="6"/>
    </row>
    <row r="35" spans="2:30" x14ac:dyDescent="0.35">
      <c r="B35" s="5"/>
      <c r="C35" s="17" t="s">
        <v>29</v>
      </c>
      <c r="D35" s="66"/>
      <c r="E35" s="6"/>
      <c r="G35" s="5"/>
      <c r="H35" s="17" t="s">
        <v>29</v>
      </c>
      <c r="I35" s="66"/>
      <c r="J35" s="6"/>
      <c r="L35" s="5"/>
      <c r="M35" s="17" t="s">
        <v>29</v>
      </c>
      <c r="N35" s="66"/>
      <c r="O35" s="6"/>
      <c r="Q35" s="5"/>
      <c r="R35" s="17" t="s">
        <v>29</v>
      </c>
      <c r="S35" s="66"/>
      <c r="T35" s="6"/>
      <c r="V35" s="5"/>
      <c r="W35" s="17" t="s">
        <v>29</v>
      </c>
      <c r="X35" s="66"/>
      <c r="Y35" s="6"/>
      <c r="AA35" s="5"/>
      <c r="AB35" s="17" t="s">
        <v>29</v>
      </c>
      <c r="AC35" s="66"/>
      <c r="AD35" s="6"/>
    </row>
    <row r="36" spans="2:30" x14ac:dyDescent="0.35">
      <c r="B36" s="5"/>
      <c r="C36" s="13" t="s">
        <v>30</v>
      </c>
      <c r="D36" s="67"/>
      <c r="E36" s="6"/>
      <c r="G36" s="5"/>
      <c r="H36" s="13" t="s">
        <v>30</v>
      </c>
      <c r="I36" s="67"/>
      <c r="J36" s="6"/>
      <c r="L36" s="5"/>
      <c r="M36" s="13" t="s">
        <v>30</v>
      </c>
      <c r="N36" s="67"/>
      <c r="O36" s="6"/>
      <c r="Q36" s="5"/>
      <c r="R36" s="13" t="s">
        <v>30</v>
      </c>
      <c r="S36" s="67"/>
      <c r="T36" s="6"/>
      <c r="V36" s="5"/>
      <c r="W36" s="13" t="s">
        <v>30</v>
      </c>
      <c r="X36" s="67"/>
      <c r="Y36" s="6"/>
      <c r="AA36" s="5"/>
      <c r="AB36" s="13" t="s">
        <v>30</v>
      </c>
      <c r="AC36" s="67"/>
      <c r="AD36" s="6"/>
    </row>
    <row r="37" spans="2:30" x14ac:dyDescent="0.35">
      <c r="B37" s="5"/>
      <c r="C37" s="13" t="s">
        <v>49</v>
      </c>
      <c r="D37" s="67"/>
      <c r="E37" s="6"/>
      <c r="G37" s="5"/>
      <c r="H37" s="13" t="s">
        <v>49</v>
      </c>
      <c r="I37" s="67"/>
      <c r="J37" s="6"/>
      <c r="L37" s="5"/>
      <c r="M37" s="13" t="s">
        <v>49</v>
      </c>
      <c r="N37" s="67"/>
      <c r="O37" s="6"/>
      <c r="Q37" s="5"/>
      <c r="R37" s="13" t="s">
        <v>49</v>
      </c>
      <c r="S37" s="67"/>
      <c r="T37" s="6"/>
      <c r="V37" s="5"/>
      <c r="W37" s="13" t="s">
        <v>49</v>
      </c>
      <c r="X37" s="67"/>
      <c r="Y37" s="6"/>
      <c r="AA37" s="5"/>
      <c r="AB37" s="13" t="s">
        <v>49</v>
      </c>
      <c r="AC37" s="67"/>
      <c r="AD37" s="6"/>
    </row>
    <row r="38" spans="2:30" x14ac:dyDescent="0.35">
      <c r="B38" s="5"/>
      <c r="C38" s="13" t="s">
        <v>31</v>
      </c>
      <c r="D38" s="67"/>
      <c r="E38" s="6"/>
      <c r="G38" s="5"/>
      <c r="H38" s="13" t="s">
        <v>31</v>
      </c>
      <c r="I38" s="67"/>
      <c r="J38" s="6"/>
      <c r="L38" s="5"/>
      <c r="M38" s="13" t="s">
        <v>31</v>
      </c>
      <c r="N38" s="67"/>
      <c r="O38" s="6"/>
      <c r="Q38" s="5"/>
      <c r="R38" s="13" t="s">
        <v>31</v>
      </c>
      <c r="S38" s="67"/>
      <c r="T38" s="6"/>
      <c r="V38" s="5"/>
      <c r="W38" s="13" t="s">
        <v>31</v>
      </c>
      <c r="X38" s="67"/>
      <c r="Y38" s="6"/>
      <c r="AA38" s="5"/>
      <c r="AB38" s="13" t="s">
        <v>31</v>
      </c>
      <c r="AC38" s="67"/>
      <c r="AD38" s="6"/>
    </row>
    <row r="39" spans="2:30" x14ac:dyDescent="0.35">
      <c r="B39" s="5"/>
      <c r="C39" s="18" t="s">
        <v>6</v>
      </c>
      <c r="D39" s="68">
        <f>SUM(D35:D38)</f>
        <v>0</v>
      </c>
      <c r="E39" s="6"/>
      <c r="G39" s="5"/>
      <c r="H39" s="18" t="s">
        <v>6</v>
      </c>
      <c r="I39" s="68">
        <f>SUM(I35:I38)</f>
        <v>0</v>
      </c>
      <c r="J39" s="6"/>
      <c r="L39" s="5"/>
      <c r="M39" s="18" t="s">
        <v>6</v>
      </c>
      <c r="N39" s="68">
        <f>SUM(N35:N38)</f>
        <v>0</v>
      </c>
      <c r="O39" s="6"/>
      <c r="Q39" s="5"/>
      <c r="R39" s="18" t="s">
        <v>6</v>
      </c>
      <c r="S39" s="68">
        <f>SUM(S35:S38)</f>
        <v>0</v>
      </c>
      <c r="T39" s="6"/>
      <c r="V39" s="5"/>
      <c r="W39" s="18" t="s">
        <v>6</v>
      </c>
      <c r="X39" s="68">
        <f>SUM(X35:X38)</f>
        <v>0</v>
      </c>
      <c r="Y39" s="6"/>
      <c r="AA39" s="5"/>
      <c r="AB39" s="18" t="s">
        <v>6</v>
      </c>
      <c r="AC39" s="68">
        <f>SUM(AC35:AC38)</f>
        <v>0</v>
      </c>
      <c r="AD39" s="6"/>
    </row>
    <row r="40" spans="2:30" x14ac:dyDescent="0.35">
      <c r="B40" s="5"/>
      <c r="C40" s="7"/>
      <c r="D40" s="65"/>
      <c r="E40" s="6"/>
      <c r="G40" s="5"/>
      <c r="H40" s="7"/>
      <c r="I40" s="65"/>
      <c r="J40" s="6"/>
      <c r="L40" s="5"/>
      <c r="M40" s="7"/>
      <c r="N40" s="65"/>
      <c r="O40" s="6"/>
      <c r="Q40" s="5"/>
      <c r="R40" s="7"/>
      <c r="S40" s="65"/>
      <c r="T40" s="6"/>
      <c r="V40" s="5"/>
      <c r="W40" s="7"/>
      <c r="X40" s="65"/>
      <c r="Y40" s="6"/>
      <c r="AA40" s="5"/>
      <c r="AB40" s="7"/>
      <c r="AC40" s="65"/>
      <c r="AD40" s="6"/>
    </row>
    <row r="41" spans="2:30" x14ac:dyDescent="0.35">
      <c r="B41" s="5"/>
      <c r="C41" s="16" t="s">
        <v>15</v>
      </c>
      <c r="D41" s="65"/>
      <c r="E41" s="6"/>
      <c r="G41" s="5"/>
      <c r="H41" s="16" t="s">
        <v>15</v>
      </c>
      <c r="I41" s="65"/>
      <c r="J41" s="6"/>
      <c r="L41" s="5"/>
      <c r="M41" s="16" t="s">
        <v>15</v>
      </c>
      <c r="N41" s="65"/>
      <c r="O41" s="6"/>
      <c r="Q41" s="5"/>
      <c r="R41" s="16" t="s">
        <v>15</v>
      </c>
      <c r="S41" s="65"/>
      <c r="T41" s="6"/>
      <c r="V41" s="5"/>
      <c r="W41" s="16" t="s">
        <v>15</v>
      </c>
      <c r="X41" s="65"/>
      <c r="Y41" s="6"/>
      <c r="AA41" s="5"/>
      <c r="AB41" s="16" t="s">
        <v>15</v>
      </c>
      <c r="AC41" s="65"/>
      <c r="AD41" s="6"/>
    </row>
    <row r="42" spans="2:30" x14ac:dyDescent="0.35">
      <c r="B42" s="5"/>
      <c r="C42" s="17" t="s">
        <v>32</v>
      </c>
      <c r="D42" s="66"/>
      <c r="E42" s="6"/>
      <c r="G42" s="5"/>
      <c r="H42" s="17" t="s">
        <v>32</v>
      </c>
      <c r="I42" s="66"/>
      <c r="J42" s="6"/>
      <c r="L42" s="5"/>
      <c r="M42" s="17" t="s">
        <v>32</v>
      </c>
      <c r="N42" s="66"/>
      <c r="O42" s="6"/>
      <c r="Q42" s="5"/>
      <c r="R42" s="17" t="s">
        <v>32</v>
      </c>
      <c r="S42" s="66"/>
      <c r="T42" s="6"/>
      <c r="V42" s="5"/>
      <c r="W42" s="17" t="s">
        <v>32</v>
      </c>
      <c r="X42" s="66"/>
      <c r="Y42" s="6"/>
      <c r="AA42" s="5"/>
      <c r="AB42" s="17" t="s">
        <v>32</v>
      </c>
      <c r="AC42" s="66"/>
      <c r="AD42" s="6"/>
    </row>
    <row r="43" spans="2:30" x14ac:dyDescent="0.35">
      <c r="B43" s="5"/>
      <c r="C43" s="13" t="s">
        <v>33</v>
      </c>
      <c r="D43" s="67"/>
      <c r="E43" s="6"/>
      <c r="G43" s="5"/>
      <c r="H43" s="13" t="s">
        <v>33</v>
      </c>
      <c r="I43" s="67"/>
      <c r="J43" s="6"/>
      <c r="L43" s="5"/>
      <c r="M43" s="13" t="s">
        <v>33</v>
      </c>
      <c r="N43" s="67"/>
      <c r="O43" s="6"/>
      <c r="Q43" s="5"/>
      <c r="R43" s="13" t="s">
        <v>33</v>
      </c>
      <c r="S43" s="67"/>
      <c r="T43" s="6"/>
      <c r="V43" s="5"/>
      <c r="W43" s="13" t="s">
        <v>33</v>
      </c>
      <c r="X43" s="67"/>
      <c r="Y43" s="6"/>
      <c r="AA43" s="5"/>
      <c r="AB43" s="13" t="s">
        <v>33</v>
      </c>
      <c r="AC43" s="67"/>
      <c r="AD43" s="6"/>
    </row>
    <row r="44" spans="2:30" x14ac:dyDescent="0.35">
      <c r="B44" s="5"/>
      <c r="C44" s="13" t="s">
        <v>34</v>
      </c>
      <c r="D44" s="67"/>
      <c r="E44" s="6"/>
      <c r="G44" s="5"/>
      <c r="H44" s="13" t="s">
        <v>34</v>
      </c>
      <c r="I44" s="67"/>
      <c r="J44" s="6"/>
      <c r="L44" s="5"/>
      <c r="M44" s="13" t="s">
        <v>34</v>
      </c>
      <c r="N44" s="67"/>
      <c r="O44" s="6"/>
      <c r="Q44" s="5"/>
      <c r="R44" s="13" t="s">
        <v>34</v>
      </c>
      <c r="S44" s="67"/>
      <c r="T44" s="6"/>
      <c r="V44" s="5"/>
      <c r="W44" s="13" t="s">
        <v>34</v>
      </c>
      <c r="X44" s="67"/>
      <c r="Y44" s="6"/>
      <c r="AA44" s="5"/>
      <c r="AB44" s="13" t="s">
        <v>34</v>
      </c>
      <c r="AC44" s="67"/>
      <c r="AD44" s="6"/>
    </row>
    <row r="45" spans="2:30" x14ac:dyDescent="0.35">
      <c r="B45" s="5"/>
      <c r="C45" s="13" t="s">
        <v>0</v>
      </c>
      <c r="D45" s="67"/>
      <c r="E45" s="6"/>
      <c r="G45" s="5"/>
      <c r="H45" s="13" t="s">
        <v>0</v>
      </c>
      <c r="I45" s="67"/>
      <c r="J45" s="6"/>
      <c r="L45" s="5"/>
      <c r="M45" s="13" t="s">
        <v>0</v>
      </c>
      <c r="N45" s="67"/>
      <c r="O45" s="6"/>
      <c r="Q45" s="5"/>
      <c r="R45" s="13" t="s">
        <v>0</v>
      </c>
      <c r="S45" s="67"/>
      <c r="T45" s="6"/>
      <c r="V45" s="5"/>
      <c r="W45" s="13" t="s">
        <v>0</v>
      </c>
      <c r="X45" s="67"/>
      <c r="Y45" s="6"/>
      <c r="AA45" s="5"/>
      <c r="AB45" s="13" t="s">
        <v>0</v>
      </c>
      <c r="AC45" s="67"/>
      <c r="AD45" s="6"/>
    </row>
    <row r="46" spans="2:30" x14ac:dyDescent="0.35">
      <c r="B46" s="5"/>
      <c r="C46" s="13" t="s">
        <v>1</v>
      </c>
      <c r="D46" s="67"/>
      <c r="E46" s="6"/>
      <c r="G46" s="5"/>
      <c r="H46" s="13" t="s">
        <v>1</v>
      </c>
      <c r="I46" s="67"/>
      <c r="J46" s="6"/>
      <c r="L46" s="5"/>
      <c r="M46" s="13" t="s">
        <v>1</v>
      </c>
      <c r="N46" s="67"/>
      <c r="O46" s="6"/>
      <c r="Q46" s="5"/>
      <c r="R46" s="13" t="s">
        <v>1</v>
      </c>
      <c r="S46" s="67"/>
      <c r="T46" s="6"/>
      <c r="V46" s="5"/>
      <c r="W46" s="13" t="s">
        <v>1</v>
      </c>
      <c r="X46" s="67"/>
      <c r="Y46" s="6"/>
      <c r="AA46" s="5"/>
      <c r="AB46" s="13" t="s">
        <v>1</v>
      </c>
      <c r="AC46" s="67"/>
      <c r="AD46" s="6"/>
    </row>
    <row r="47" spans="2:30" x14ac:dyDescent="0.35">
      <c r="B47" s="5"/>
      <c r="C47" s="13" t="s">
        <v>3</v>
      </c>
      <c r="D47" s="67"/>
      <c r="E47" s="6"/>
      <c r="G47" s="5"/>
      <c r="H47" s="13" t="s">
        <v>3</v>
      </c>
      <c r="I47" s="67"/>
      <c r="J47" s="6"/>
      <c r="L47" s="5"/>
      <c r="M47" s="13" t="s">
        <v>3</v>
      </c>
      <c r="N47" s="67"/>
      <c r="O47" s="6"/>
      <c r="Q47" s="5"/>
      <c r="R47" s="13" t="s">
        <v>3</v>
      </c>
      <c r="S47" s="67"/>
      <c r="T47" s="6"/>
      <c r="V47" s="5"/>
      <c r="W47" s="13" t="s">
        <v>3</v>
      </c>
      <c r="X47" s="67"/>
      <c r="Y47" s="6"/>
      <c r="AA47" s="5"/>
      <c r="AB47" s="13" t="s">
        <v>3</v>
      </c>
      <c r="AC47" s="67"/>
      <c r="AD47" s="6"/>
    </row>
    <row r="48" spans="2:30" x14ac:dyDescent="0.35">
      <c r="B48" s="5"/>
      <c r="C48" s="13" t="s">
        <v>2</v>
      </c>
      <c r="D48" s="67"/>
      <c r="E48" s="6"/>
      <c r="G48" s="5"/>
      <c r="H48" s="13" t="s">
        <v>2</v>
      </c>
      <c r="I48" s="67"/>
      <c r="J48" s="6"/>
      <c r="L48" s="5"/>
      <c r="M48" s="13" t="s">
        <v>2</v>
      </c>
      <c r="N48" s="67"/>
      <c r="O48" s="6"/>
      <c r="Q48" s="5"/>
      <c r="R48" s="13" t="s">
        <v>2</v>
      </c>
      <c r="S48" s="67"/>
      <c r="T48" s="6"/>
      <c r="V48" s="5"/>
      <c r="W48" s="13" t="s">
        <v>2</v>
      </c>
      <c r="X48" s="67"/>
      <c r="Y48" s="6"/>
      <c r="AA48" s="5"/>
      <c r="AB48" s="13" t="s">
        <v>2</v>
      </c>
      <c r="AC48" s="67"/>
      <c r="AD48" s="6"/>
    </row>
    <row r="49" spans="2:30" x14ac:dyDescent="0.35">
      <c r="B49" s="5"/>
      <c r="C49" s="13" t="s">
        <v>42</v>
      </c>
      <c r="D49" s="67"/>
      <c r="E49" s="6"/>
      <c r="G49" s="5"/>
      <c r="H49" s="13" t="s">
        <v>42</v>
      </c>
      <c r="I49" s="67"/>
      <c r="J49" s="6"/>
      <c r="L49" s="5"/>
      <c r="M49" s="13" t="s">
        <v>42</v>
      </c>
      <c r="N49" s="67"/>
      <c r="O49" s="6"/>
      <c r="Q49" s="5"/>
      <c r="R49" s="13" t="s">
        <v>42</v>
      </c>
      <c r="S49" s="67"/>
      <c r="T49" s="6"/>
      <c r="V49" s="5"/>
      <c r="W49" s="13" t="s">
        <v>42</v>
      </c>
      <c r="X49" s="67"/>
      <c r="Y49" s="6"/>
      <c r="AA49" s="5"/>
      <c r="AB49" s="13" t="s">
        <v>42</v>
      </c>
      <c r="AC49" s="67"/>
      <c r="AD49" s="6"/>
    </row>
    <row r="50" spans="2:30" x14ac:dyDescent="0.35">
      <c r="B50" s="5"/>
      <c r="C50" s="13" t="s">
        <v>65</v>
      </c>
      <c r="D50" s="67"/>
      <c r="E50" s="6"/>
      <c r="G50" s="5"/>
      <c r="H50" s="13" t="s">
        <v>65</v>
      </c>
      <c r="I50" s="67"/>
      <c r="J50" s="6"/>
      <c r="L50" s="5"/>
      <c r="M50" s="13" t="s">
        <v>65</v>
      </c>
      <c r="N50" s="67"/>
      <c r="O50" s="6"/>
      <c r="Q50" s="5"/>
      <c r="R50" s="13" t="s">
        <v>65</v>
      </c>
      <c r="S50" s="67"/>
      <c r="T50" s="6"/>
      <c r="V50" s="5"/>
      <c r="W50" s="13" t="s">
        <v>65</v>
      </c>
      <c r="X50" s="67"/>
      <c r="Y50" s="6"/>
      <c r="AA50" s="5"/>
      <c r="AB50" s="13" t="s">
        <v>65</v>
      </c>
      <c r="AC50" s="67"/>
      <c r="AD50" s="6"/>
    </row>
    <row r="51" spans="2:30" x14ac:dyDescent="0.35">
      <c r="B51" s="5"/>
      <c r="C51" s="13" t="s">
        <v>64</v>
      </c>
      <c r="D51" s="67"/>
      <c r="E51" s="6"/>
      <c r="G51" s="5"/>
      <c r="H51" s="13" t="s">
        <v>64</v>
      </c>
      <c r="I51" s="67"/>
      <c r="J51" s="6"/>
      <c r="L51" s="5"/>
      <c r="M51" s="13" t="s">
        <v>64</v>
      </c>
      <c r="N51" s="67"/>
      <c r="O51" s="6"/>
      <c r="Q51" s="5"/>
      <c r="R51" s="13" t="s">
        <v>64</v>
      </c>
      <c r="S51" s="67"/>
      <c r="T51" s="6"/>
      <c r="V51" s="5"/>
      <c r="W51" s="13" t="s">
        <v>64</v>
      </c>
      <c r="X51" s="67"/>
      <c r="Y51" s="6"/>
      <c r="AA51" s="5"/>
      <c r="AB51" s="13" t="s">
        <v>64</v>
      </c>
      <c r="AC51" s="67"/>
      <c r="AD51" s="6"/>
    </row>
    <row r="52" spans="2:30" x14ac:dyDescent="0.35">
      <c r="B52" s="5"/>
      <c r="C52" s="13" t="s">
        <v>63</v>
      </c>
      <c r="D52" s="67"/>
      <c r="E52" s="6"/>
      <c r="G52" s="5"/>
      <c r="H52" s="13" t="s">
        <v>63</v>
      </c>
      <c r="I52" s="67"/>
      <c r="J52" s="6"/>
      <c r="L52" s="5"/>
      <c r="M52" s="13" t="s">
        <v>63</v>
      </c>
      <c r="N52" s="67"/>
      <c r="O52" s="6"/>
      <c r="Q52" s="5"/>
      <c r="R52" s="13" t="s">
        <v>63</v>
      </c>
      <c r="S52" s="67"/>
      <c r="T52" s="6"/>
      <c r="V52" s="5"/>
      <c r="W52" s="13" t="s">
        <v>63</v>
      </c>
      <c r="X52" s="67"/>
      <c r="Y52" s="6"/>
      <c r="AA52" s="5"/>
      <c r="AB52" s="13" t="s">
        <v>63</v>
      </c>
      <c r="AC52" s="67"/>
      <c r="AD52" s="6"/>
    </row>
    <row r="53" spans="2:30" x14ac:dyDescent="0.35">
      <c r="B53" s="5"/>
      <c r="C53" s="13" t="s">
        <v>62</v>
      </c>
      <c r="D53" s="67"/>
      <c r="E53" s="6"/>
      <c r="G53" s="5"/>
      <c r="H53" s="13" t="s">
        <v>62</v>
      </c>
      <c r="I53" s="67"/>
      <c r="J53" s="6"/>
      <c r="L53" s="5"/>
      <c r="M53" s="13" t="s">
        <v>62</v>
      </c>
      <c r="N53" s="67"/>
      <c r="O53" s="6"/>
      <c r="Q53" s="5"/>
      <c r="R53" s="13" t="s">
        <v>62</v>
      </c>
      <c r="S53" s="67"/>
      <c r="T53" s="6"/>
      <c r="V53" s="5"/>
      <c r="W53" s="13" t="s">
        <v>62</v>
      </c>
      <c r="X53" s="67"/>
      <c r="Y53" s="6"/>
      <c r="AA53" s="5"/>
      <c r="AB53" s="13" t="s">
        <v>62</v>
      </c>
      <c r="AC53" s="67"/>
      <c r="AD53" s="6"/>
    </row>
    <row r="54" spans="2:30" x14ac:dyDescent="0.35">
      <c r="B54" s="5"/>
      <c r="C54" s="13" t="s">
        <v>61</v>
      </c>
      <c r="D54" s="67"/>
      <c r="E54" s="6"/>
      <c r="G54" s="5"/>
      <c r="H54" s="13" t="s">
        <v>61</v>
      </c>
      <c r="I54" s="67"/>
      <c r="J54" s="6"/>
      <c r="L54" s="5"/>
      <c r="M54" s="13" t="s">
        <v>61</v>
      </c>
      <c r="N54" s="67"/>
      <c r="O54" s="6"/>
      <c r="Q54" s="5"/>
      <c r="R54" s="13" t="s">
        <v>61</v>
      </c>
      <c r="S54" s="67"/>
      <c r="T54" s="6"/>
      <c r="V54" s="5"/>
      <c r="W54" s="13" t="s">
        <v>61</v>
      </c>
      <c r="X54" s="67"/>
      <c r="Y54" s="6"/>
      <c r="AA54" s="5"/>
      <c r="AB54" s="13" t="s">
        <v>61</v>
      </c>
      <c r="AC54" s="67"/>
      <c r="AD54" s="6"/>
    </row>
    <row r="55" spans="2:30" x14ac:dyDescent="0.35">
      <c r="B55" s="5"/>
      <c r="C55" s="18" t="s">
        <v>6</v>
      </c>
      <c r="D55" s="68">
        <f>SUM(D42:D54)</f>
        <v>0</v>
      </c>
      <c r="E55" s="6"/>
      <c r="G55" s="5"/>
      <c r="H55" s="18" t="s">
        <v>6</v>
      </c>
      <c r="I55" s="68">
        <f>SUM(I42:I54)</f>
        <v>0</v>
      </c>
      <c r="J55" s="6"/>
      <c r="L55" s="5"/>
      <c r="M55" s="18" t="s">
        <v>6</v>
      </c>
      <c r="N55" s="68">
        <f>SUM(N42:N54)</f>
        <v>0</v>
      </c>
      <c r="O55" s="6"/>
      <c r="Q55" s="5"/>
      <c r="R55" s="18" t="s">
        <v>6</v>
      </c>
      <c r="S55" s="68">
        <f>SUM(S42:S54)</f>
        <v>0</v>
      </c>
      <c r="T55" s="6"/>
      <c r="V55" s="5"/>
      <c r="W55" s="18" t="s">
        <v>6</v>
      </c>
      <c r="X55" s="68">
        <f>SUM(X42:X54)</f>
        <v>0</v>
      </c>
      <c r="Y55" s="6"/>
      <c r="AA55" s="5"/>
      <c r="AB55" s="18" t="s">
        <v>6</v>
      </c>
      <c r="AC55" s="68">
        <f>SUM(AC42:AC54)</f>
        <v>0</v>
      </c>
      <c r="AD55" s="6"/>
    </row>
    <row r="56" spans="2:30" x14ac:dyDescent="0.35">
      <c r="B56" s="5"/>
      <c r="C56" s="14"/>
      <c r="D56" s="69"/>
      <c r="E56" s="6"/>
      <c r="G56" s="5"/>
      <c r="H56" s="14"/>
      <c r="I56" s="69"/>
      <c r="J56" s="6"/>
      <c r="L56" s="5"/>
      <c r="M56" s="14"/>
      <c r="N56" s="69"/>
      <c r="O56" s="6"/>
      <c r="Q56" s="5"/>
      <c r="R56" s="14"/>
      <c r="S56" s="69"/>
      <c r="T56" s="6"/>
      <c r="V56" s="5"/>
      <c r="W56" s="14"/>
      <c r="X56" s="69"/>
      <c r="Y56" s="6"/>
      <c r="AA56" s="5"/>
      <c r="AB56" s="14"/>
      <c r="AC56" s="69"/>
      <c r="AD56" s="6"/>
    </row>
    <row r="57" spans="2:30" x14ac:dyDescent="0.35">
      <c r="B57" s="5"/>
      <c r="C57" s="19" t="s">
        <v>17</v>
      </c>
      <c r="D57" s="70">
        <f>D39-D55</f>
        <v>0</v>
      </c>
      <c r="E57" s="6"/>
      <c r="G57" s="5"/>
      <c r="H57" s="19" t="s">
        <v>17</v>
      </c>
      <c r="I57" s="70">
        <f>I39-I55</f>
        <v>0</v>
      </c>
      <c r="J57" s="6"/>
      <c r="L57" s="5"/>
      <c r="M57" s="19" t="s">
        <v>17</v>
      </c>
      <c r="N57" s="70">
        <f>N39-N55</f>
        <v>0</v>
      </c>
      <c r="O57" s="6"/>
      <c r="Q57" s="5"/>
      <c r="R57" s="19" t="s">
        <v>17</v>
      </c>
      <c r="S57" s="70">
        <f>S39-S55</f>
        <v>0</v>
      </c>
      <c r="T57" s="6"/>
      <c r="V57" s="5"/>
      <c r="W57" s="19" t="s">
        <v>17</v>
      </c>
      <c r="X57" s="70">
        <f>X39-X55</f>
        <v>0</v>
      </c>
      <c r="Y57" s="6"/>
      <c r="AA57" s="5"/>
      <c r="AB57" s="19" t="s">
        <v>17</v>
      </c>
      <c r="AC57" s="70">
        <f>AC39-AC55</f>
        <v>0</v>
      </c>
      <c r="AD57" s="6"/>
    </row>
    <row r="58" spans="2:30" ht="15" thickBot="1" x14ac:dyDescent="0.4">
      <c r="B58" s="8"/>
      <c r="C58" s="9"/>
      <c r="D58" s="71"/>
      <c r="E58" s="10"/>
      <c r="G58" s="8"/>
      <c r="H58" s="9"/>
      <c r="I58" s="71"/>
      <c r="J58" s="10"/>
      <c r="L58" s="8"/>
      <c r="M58" s="9"/>
      <c r="N58" s="71"/>
      <c r="O58" s="10"/>
      <c r="Q58" s="8"/>
      <c r="R58" s="9"/>
      <c r="S58" s="71"/>
      <c r="T58" s="10"/>
      <c r="V58" s="8"/>
      <c r="W58" s="9"/>
      <c r="X58" s="71"/>
      <c r="Y58" s="10"/>
      <c r="AA58" s="8"/>
      <c r="AB58" s="9"/>
      <c r="AC58" s="71"/>
      <c r="AD58" s="10"/>
    </row>
    <row r="59" spans="2:30" ht="15" thickBot="1" x14ac:dyDescent="0.4"/>
    <row r="60" spans="2:30" x14ac:dyDescent="0.35">
      <c r="B60" s="2"/>
      <c r="C60" s="3"/>
      <c r="D60" s="64"/>
      <c r="E60" s="4"/>
      <c r="G60" s="2"/>
      <c r="H60" s="3"/>
      <c r="I60" s="64"/>
      <c r="J60" s="4"/>
      <c r="L60" s="2"/>
      <c r="M60" s="3"/>
      <c r="N60" s="64"/>
      <c r="O60" s="4"/>
      <c r="Q60" s="2"/>
      <c r="R60" s="3"/>
      <c r="S60" s="64"/>
      <c r="T60" s="4"/>
      <c r="V60" s="2"/>
      <c r="W60" s="3"/>
      <c r="X60" s="64"/>
      <c r="Y60" s="4"/>
      <c r="AA60" s="2"/>
      <c r="AB60" s="3"/>
      <c r="AC60" s="64"/>
      <c r="AD60" s="4"/>
    </row>
    <row r="61" spans="2:30" x14ac:dyDescent="0.35">
      <c r="B61" s="5"/>
      <c r="C61" s="15" t="s">
        <v>23</v>
      </c>
      <c r="D61" s="65"/>
      <c r="E61" s="6"/>
      <c r="G61" s="5"/>
      <c r="H61" s="15" t="s">
        <v>24</v>
      </c>
      <c r="I61" s="65"/>
      <c r="J61" s="6"/>
      <c r="L61" s="5"/>
      <c r="M61" s="15" t="s">
        <v>25</v>
      </c>
      <c r="N61" s="65"/>
      <c r="O61" s="6"/>
      <c r="Q61" s="5"/>
      <c r="R61" s="15" t="s">
        <v>26</v>
      </c>
      <c r="S61" s="65"/>
      <c r="T61" s="6"/>
      <c r="V61" s="5"/>
      <c r="W61" s="15" t="s">
        <v>27</v>
      </c>
      <c r="X61" s="65"/>
      <c r="Y61" s="6"/>
      <c r="AA61" s="5"/>
      <c r="AB61" s="15" t="s">
        <v>28</v>
      </c>
      <c r="AC61" s="65"/>
      <c r="AD61" s="6"/>
    </row>
    <row r="62" spans="2:30" x14ac:dyDescent="0.35">
      <c r="B62" s="5"/>
      <c r="C62" s="7"/>
      <c r="D62" s="65"/>
      <c r="E62" s="6"/>
      <c r="G62" s="5"/>
      <c r="H62" s="7"/>
      <c r="I62" s="65"/>
      <c r="J62" s="6"/>
      <c r="L62" s="5"/>
      <c r="M62" s="7"/>
      <c r="N62" s="65"/>
      <c r="O62" s="6"/>
      <c r="Q62" s="5"/>
      <c r="R62" s="7"/>
      <c r="S62" s="65"/>
      <c r="T62" s="6"/>
      <c r="V62" s="5"/>
      <c r="W62" s="7"/>
      <c r="X62" s="65"/>
      <c r="Y62" s="6"/>
      <c r="AA62" s="5"/>
      <c r="AB62" s="7"/>
      <c r="AC62" s="65"/>
      <c r="AD62" s="6"/>
    </row>
    <row r="63" spans="2:30" x14ac:dyDescent="0.35">
      <c r="B63" s="5"/>
      <c r="C63" s="16" t="s">
        <v>16</v>
      </c>
      <c r="D63" s="65"/>
      <c r="E63" s="6"/>
      <c r="G63" s="5"/>
      <c r="H63" s="16" t="s">
        <v>16</v>
      </c>
      <c r="I63" s="65"/>
      <c r="J63" s="6"/>
      <c r="L63" s="5"/>
      <c r="M63" s="16" t="s">
        <v>16</v>
      </c>
      <c r="N63" s="65"/>
      <c r="O63" s="6"/>
      <c r="Q63" s="5"/>
      <c r="R63" s="16" t="s">
        <v>16</v>
      </c>
      <c r="S63" s="65"/>
      <c r="T63" s="6"/>
      <c r="V63" s="5"/>
      <c r="W63" s="16" t="s">
        <v>16</v>
      </c>
      <c r="X63" s="65"/>
      <c r="Y63" s="6"/>
      <c r="AA63" s="5"/>
      <c r="AB63" s="16" t="s">
        <v>16</v>
      </c>
      <c r="AC63" s="65"/>
      <c r="AD63" s="6"/>
    </row>
    <row r="64" spans="2:30" x14ac:dyDescent="0.35">
      <c r="B64" s="5"/>
      <c r="C64" s="17" t="s">
        <v>29</v>
      </c>
      <c r="D64" s="66"/>
      <c r="E64" s="6"/>
      <c r="G64" s="5"/>
      <c r="H64" s="17" t="s">
        <v>29</v>
      </c>
      <c r="I64" s="66"/>
      <c r="J64" s="6"/>
      <c r="L64" s="5"/>
      <c r="M64" s="17" t="s">
        <v>29</v>
      </c>
      <c r="N64" s="66"/>
      <c r="O64" s="6"/>
      <c r="Q64" s="5"/>
      <c r="R64" s="17" t="s">
        <v>29</v>
      </c>
      <c r="S64" s="66"/>
      <c r="T64" s="6"/>
      <c r="V64" s="5"/>
      <c r="W64" s="17" t="s">
        <v>29</v>
      </c>
      <c r="X64" s="66"/>
      <c r="Y64" s="6"/>
      <c r="AA64" s="5"/>
      <c r="AB64" s="17" t="s">
        <v>29</v>
      </c>
      <c r="AC64" s="66"/>
      <c r="AD64" s="6"/>
    </row>
    <row r="65" spans="2:30" x14ac:dyDescent="0.35">
      <c r="B65" s="5"/>
      <c r="C65" s="13" t="s">
        <v>30</v>
      </c>
      <c r="D65" s="67"/>
      <c r="E65" s="6"/>
      <c r="G65" s="5"/>
      <c r="H65" s="13" t="s">
        <v>30</v>
      </c>
      <c r="I65" s="67"/>
      <c r="J65" s="6"/>
      <c r="L65" s="5"/>
      <c r="M65" s="13" t="s">
        <v>30</v>
      </c>
      <c r="N65" s="67"/>
      <c r="O65" s="6"/>
      <c r="Q65" s="5"/>
      <c r="R65" s="13" t="s">
        <v>30</v>
      </c>
      <c r="S65" s="67"/>
      <c r="T65" s="6"/>
      <c r="V65" s="5"/>
      <c r="W65" s="13" t="s">
        <v>30</v>
      </c>
      <c r="X65" s="67"/>
      <c r="Y65" s="6"/>
      <c r="AA65" s="5"/>
      <c r="AB65" s="13" t="s">
        <v>30</v>
      </c>
      <c r="AC65" s="67"/>
      <c r="AD65" s="6"/>
    </row>
    <row r="66" spans="2:30" x14ac:dyDescent="0.35">
      <c r="B66" s="5"/>
      <c r="C66" s="13" t="s">
        <v>49</v>
      </c>
      <c r="D66" s="67"/>
      <c r="E66" s="6"/>
      <c r="G66" s="5"/>
      <c r="H66" s="13" t="s">
        <v>49</v>
      </c>
      <c r="I66" s="67"/>
      <c r="J66" s="6"/>
      <c r="L66" s="5"/>
      <c r="M66" s="13" t="s">
        <v>49</v>
      </c>
      <c r="N66" s="67"/>
      <c r="O66" s="6"/>
      <c r="Q66" s="5"/>
      <c r="R66" s="13" t="s">
        <v>49</v>
      </c>
      <c r="S66" s="67"/>
      <c r="T66" s="6"/>
      <c r="V66" s="5"/>
      <c r="W66" s="13" t="s">
        <v>49</v>
      </c>
      <c r="X66" s="67"/>
      <c r="Y66" s="6"/>
      <c r="AA66" s="5"/>
      <c r="AB66" s="13" t="s">
        <v>49</v>
      </c>
      <c r="AC66" s="67"/>
      <c r="AD66" s="6"/>
    </row>
    <row r="67" spans="2:30" x14ac:dyDescent="0.35">
      <c r="B67" s="5"/>
      <c r="C67" s="13" t="s">
        <v>31</v>
      </c>
      <c r="D67" s="67"/>
      <c r="E67" s="6"/>
      <c r="G67" s="5"/>
      <c r="H67" s="13" t="s">
        <v>31</v>
      </c>
      <c r="I67" s="67"/>
      <c r="J67" s="6"/>
      <c r="L67" s="5"/>
      <c r="M67" s="13" t="s">
        <v>31</v>
      </c>
      <c r="N67" s="67"/>
      <c r="O67" s="6"/>
      <c r="Q67" s="5"/>
      <c r="R67" s="13" t="s">
        <v>31</v>
      </c>
      <c r="S67" s="67"/>
      <c r="T67" s="6"/>
      <c r="V67" s="5"/>
      <c r="W67" s="13" t="s">
        <v>31</v>
      </c>
      <c r="X67" s="67"/>
      <c r="Y67" s="6"/>
      <c r="AA67" s="5"/>
      <c r="AB67" s="13" t="s">
        <v>31</v>
      </c>
      <c r="AC67" s="67"/>
      <c r="AD67" s="6"/>
    </row>
    <row r="68" spans="2:30" x14ac:dyDescent="0.35">
      <c r="B68" s="5"/>
      <c r="C68" s="18" t="s">
        <v>6</v>
      </c>
      <c r="D68" s="68">
        <f>SUM(D64:D67)</f>
        <v>0</v>
      </c>
      <c r="E68" s="6"/>
      <c r="G68" s="5"/>
      <c r="H68" s="18" t="s">
        <v>6</v>
      </c>
      <c r="I68" s="68">
        <f>SUM(I64:I67)</f>
        <v>0</v>
      </c>
      <c r="J68" s="6"/>
      <c r="L68" s="5"/>
      <c r="M68" s="18" t="s">
        <v>6</v>
      </c>
      <c r="N68" s="68">
        <f>SUM(N64:N67)</f>
        <v>0</v>
      </c>
      <c r="O68" s="6"/>
      <c r="Q68" s="5"/>
      <c r="R68" s="18" t="s">
        <v>6</v>
      </c>
      <c r="S68" s="68">
        <f>SUM(S64:S67)</f>
        <v>0</v>
      </c>
      <c r="T68" s="6"/>
      <c r="V68" s="5"/>
      <c r="W68" s="18" t="s">
        <v>6</v>
      </c>
      <c r="X68" s="68">
        <f>SUM(X64:X67)</f>
        <v>0</v>
      </c>
      <c r="Y68" s="6"/>
      <c r="AA68" s="5"/>
      <c r="AB68" s="18" t="s">
        <v>6</v>
      </c>
      <c r="AC68" s="68">
        <f>SUM(AC64:AC67)</f>
        <v>0</v>
      </c>
      <c r="AD68" s="6"/>
    </row>
    <row r="69" spans="2:30" x14ac:dyDescent="0.35">
      <c r="B69" s="5"/>
      <c r="C69" s="7"/>
      <c r="D69" s="65"/>
      <c r="E69" s="6"/>
      <c r="G69" s="5"/>
      <c r="H69" s="7"/>
      <c r="I69" s="65"/>
      <c r="J69" s="6"/>
      <c r="L69" s="5"/>
      <c r="M69" s="7"/>
      <c r="N69" s="65"/>
      <c r="O69" s="6"/>
      <c r="Q69" s="5"/>
      <c r="R69" s="7"/>
      <c r="S69" s="65"/>
      <c r="T69" s="6"/>
      <c r="V69" s="5"/>
      <c r="W69" s="7"/>
      <c r="X69" s="65"/>
      <c r="Y69" s="6"/>
      <c r="AA69" s="5"/>
      <c r="AB69" s="7"/>
      <c r="AC69" s="65"/>
      <c r="AD69" s="6"/>
    </row>
    <row r="70" spans="2:30" x14ac:dyDescent="0.35">
      <c r="B70" s="5"/>
      <c r="C70" s="16" t="s">
        <v>15</v>
      </c>
      <c r="D70" s="65"/>
      <c r="E70" s="6"/>
      <c r="G70" s="5"/>
      <c r="H70" s="16" t="s">
        <v>15</v>
      </c>
      <c r="I70" s="65"/>
      <c r="J70" s="6"/>
      <c r="L70" s="5"/>
      <c r="M70" s="16" t="s">
        <v>15</v>
      </c>
      <c r="N70" s="65"/>
      <c r="O70" s="6"/>
      <c r="Q70" s="5"/>
      <c r="R70" s="16" t="s">
        <v>15</v>
      </c>
      <c r="S70" s="65"/>
      <c r="T70" s="6"/>
      <c r="V70" s="5"/>
      <c r="W70" s="16" t="s">
        <v>15</v>
      </c>
      <c r="X70" s="65"/>
      <c r="Y70" s="6"/>
      <c r="AA70" s="5"/>
      <c r="AB70" s="16" t="s">
        <v>15</v>
      </c>
      <c r="AC70" s="65"/>
      <c r="AD70" s="6"/>
    </row>
    <row r="71" spans="2:30" x14ac:dyDescent="0.35">
      <c r="B71" s="5"/>
      <c r="C71" s="17" t="s">
        <v>32</v>
      </c>
      <c r="D71" s="66"/>
      <c r="E71" s="6"/>
      <c r="G71" s="5"/>
      <c r="H71" s="17" t="s">
        <v>32</v>
      </c>
      <c r="I71" s="66"/>
      <c r="J71" s="6"/>
      <c r="L71" s="5"/>
      <c r="M71" s="17" t="s">
        <v>32</v>
      </c>
      <c r="N71" s="66"/>
      <c r="O71" s="6"/>
      <c r="Q71" s="5"/>
      <c r="R71" s="17" t="s">
        <v>32</v>
      </c>
      <c r="S71" s="66"/>
      <c r="T71" s="6"/>
      <c r="V71" s="5"/>
      <c r="W71" s="17" t="s">
        <v>32</v>
      </c>
      <c r="X71" s="66"/>
      <c r="Y71" s="6"/>
      <c r="AA71" s="5"/>
      <c r="AB71" s="17" t="s">
        <v>32</v>
      </c>
      <c r="AC71" s="66"/>
      <c r="AD71" s="6"/>
    </row>
    <row r="72" spans="2:30" x14ac:dyDescent="0.35">
      <c r="B72" s="5"/>
      <c r="C72" s="13" t="s">
        <v>33</v>
      </c>
      <c r="D72" s="67"/>
      <c r="E72" s="6"/>
      <c r="G72" s="5"/>
      <c r="H72" s="13" t="s">
        <v>33</v>
      </c>
      <c r="I72" s="67"/>
      <c r="J72" s="6"/>
      <c r="L72" s="5"/>
      <c r="M72" s="13" t="s">
        <v>33</v>
      </c>
      <c r="N72" s="67"/>
      <c r="O72" s="6"/>
      <c r="Q72" s="5"/>
      <c r="R72" s="13" t="s">
        <v>33</v>
      </c>
      <c r="S72" s="67"/>
      <c r="T72" s="6"/>
      <c r="V72" s="5"/>
      <c r="W72" s="13" t="s">
        <v>33</v>
      </c>
      <c r="X72" s="67"/>
      <c r="Y72" s="6"/>
      <c r="AA72" s="5"/>
      <c r="AB72" s="13" t="s">
        <v>33</v>
      </c>
      <c r="AC72" s="67"/>
      <c r="AD72" s="6"/>
    </row>
    <row r="73" spans="2:30" x14ac:dyDescent="0.35">
      <c r="B73" s="5"/>
      <c r="C73" s="13" t="s">
        <v>34</v>
      </c>
      <c r="D73" s="67"/>
      <c r="E73" s="6"/>
      <c r="G73" s="5"/>
      <c r="H73" s="13" t="s">
        <v>34</v>
      </c>
      <c r="I73" s="67"/>
      <c r="J73" s="6"/>
      <c r="L73" s="5"/>
      <c r="M73" s="13" t="s">
        <v>34</v>
      </c>
      <c r="N73" s="67"/>
      <c r="O73" s="6"/>
      <c r="Q73" s="5"/>
      <c r="R73" s="13" t="s">
        <v>34</v>
      </c>
      <c r="S73" s="67"/>
      <c r="T73" s="6"/>
      <c r="V73" s="5"/>
      <c r="W73" s="13" t="s">
        <v>34</v>
      </c>
      <c r="X73" s="67"/>
      <c r="Y73" s="6"/>
      <c r="AA73" s="5"/>
      <c r="AB73" s="13" t="s">
        <v>34</v>
      </c>
      <c r="AC73" s="67"/>
      <c r="AD73" s="6"/>
    </row>
    <row r="74" spans="2:30" x14ac:dyDescent="0.35">
      <c r="B74" s="5"/>
      <c r="C74" s="13" t="s">
        <v>0</v>
      </c>
      <c r="D74" s="67"/>
      <c r="E74" s="6"/>
      <c r="G74" s="5"/>
      <c r="H74" s="13" t="s">
        <v>0</v>
      </c>
      <c r="I74" s="67"/>
      <c r="J74" s="6"/>
      <c r="L74" s="5"/>
      <c r="M74" s="13" t="s">
        <v>0</v>
      </c>
      <c r="N74" s="67"/>
      <c r="O74" s="6"/>
      <c r="Q74" s="5"/>
      <c r="R74" s="13" t="s">
        <v>0</v>
      </c>
      <c r="S74" s="67"/>
      <c r="T74" s="6"/>
      <c r="V74" s="5"/>
      <c r="W74" s="13" t="s">
        <v>0</v>
      </c>
      <c r="X74" s="67"/>
      <c r="Y74" s="6"/>
      <c r="AA74" s="5"/>
      <c r="AB74" s="13" t="s">
        <v>0</v>
      </c>
      <c r="AC74" s="67"/>
      <c r="AD74" s="6"/>
    </row>
    <row r="75" spans="2:30" x14ac:dyDescent="0.35">
      <c r="B75" s="5"/>
      <c r="C75" s="13" t="s">
        <v>1</v>
      </c>
      <c r="D75" s="67"/>
      <c r="E75" s="6"/>
      <c r="G75" s="5"/>
      <c r="H75" s="13" t="s">
        <v>1</v>
      </c>
      <c r="I75" s="67"/>
      <c r="J75" s="6"/>
      <c r="L75" s="5"/>
      <c r="M75" s="13" t="s">
        <v>1</v>
      </c>
      <c r="N75" s="67"/>
      <c r="O75" s="6"/>
      <c r="Q75" s="5"/>
      <c r="R75" s="13" t="s">
        <v>1</v>
      </c>
      <c r="S75" s="67"/>
      <c r="T75" s="6"/>
      <c r="V75" s="5"/>
      <c r="W75" s="13" t="s">
        <v>1</v>
      </c>
      <c r="X75" s="67"/>
      <c r="Y75" s="6"/>
      <c r="AA75" s="5"/>
      <c r="AB75" s="13" t="s">
        <v>1</v>
      </c>
      <c r="AC75" s="67"/>
      <c r="AD75" s="6"/>
    </row>
    <row r="76" spans="2:30" x14ac:dyDescent="0.35">
      <c r="B76" s="5"/>
      <c r="C76" s="13" t="s">
        <v>3</v>
      </c>
      <c r="D76" s="67"/>
      <c r="E76" s="6"/>
      <c r="G76" s="5"/>
      <c r="H76" s="13" t="s">
        <v>3</v>
      </c>
      <c r="I76" s="67"/>
      <c r="J76" s="6"/>
      <c r="L76" s="5"/>
      <c r="M76" s="13" t="s">
        <v>3</v>
      </c>
      <c r="N76" s="67"/>
      <c r="O76" s="6"/>
      <c r="Q76" s="5"/>
      <c r="R76" s="13" t="s">
        <v>3</v>
      </c>
      <c r="S76" s="67"/>
      <c r="T76" s="6"/>
      <c r="V76" s="5"/>
      <c r="W76" s="13" t="s">
        <v>3</v>
      </c>
      <c r="X76" s="67"/>
      <c r="Y76" s="6"/>
      <c r="AA76" s="5"/>
      <c r="AB76" s="13" t="s">
        <v>3</v>
      </c>
      <c r="AC76" s="67"/>
      <c r="AD76" s="6"/>
    </row>
    <row r="77" spans="2:30" x14ac:dyDescent="0.35">
      <c r="B77" s="5"/>
      <c r="C77" s="13" t="s">
        <v>2</v>
      </c>
      <c r="D77" s="67"/>
      <c r="E77" s="6"/>
      <c r="G77" s="5"/>
      <c r="H77" s="13" t="s">
        <v>2</v>
      </c>
      <c r="I77" s="67"/>
      <c r="J77" s="6"/>
      <c r="L77" s="5"/>
      <c r="M77" s="13" t="s">
        <v>2</v>
      </c>
      <c r="N77" s="67"/>
      <c r="O77" s="6"/>
      <c r="Q77" s="5"/>
      <c r="R77" s="13" t="s">
        <v>2</v>
      </c>
      <c r="S77" s="67"/>
      <c r="T77" s="6"/>
      <c r="V77" s="5"/>
      <c r="W77" s="13" t="s">
        <v>2</v>
      </c>
      <c r="X77" s="67"/>
      <c r="Y77" s="6"/>
      <c r="AA77" s="5"/>
      <c r="AB77" s="13" t="s">
        <v>2</v>
      </c>
      <c r="AC77" s="67"/>
      <c r="AD77" s="6"/>
    </row>
    <row r="78" spans="2:30" x14ac:dyDescent="0.35">
      <c r="B78" s="5"/>
      <c r="C78" s="13" t="s">
        <v>42</v>
      </c>
      <c r="D78" s="67"/>
      <c r="E78" s="6"/>
      <c r="G78" s="5"/>
      <c r="H78" s="13" t="s">
        <v>42</v>
      </c>
      <c r="I78" s="67"/>
      <c r="J78" s="6"/>
      <c r="L78" s="5"/>
      <c r="M78" s="13" t="s">
        <v>42</v>
      </c>
      <c r="N78" s="67"/>
      <c r="O78" s="6"/>
      <c r="Q78" s="5"/>
      <c r="R78" s="13" t="s">
        <v>42</v>
      </c>
      <c r="S78" s="67"/>
      <c r="T78" s="6"/>
      <c r="V78" s="5"/>
      <c r="W78" s="13" t="s">
        <v>42</v>
      </c>
      <c r="X78" s="67"/>
      <c r="Y78" s="6"/>
      <c r="AA78" s="5"/>
      <c r="AB78" s="13" t="s">
        <v>42</v>
      </c>
      <c r="AC78" s="67"/>
      <c r="AD78" s="6"/>
    </row>
    <row r="79" spans="2:30" x14ac:dyDescent="0.35">
      <c r="B79" s="5"/>
      <c r="C79" s="13" t="s">
        <v>65</v>
      </c>
      <c r="D79" s="67"/>
      <c r="E79" s="6"/>
      <c r="G79" s="5"/>
      <c r="H79" s="13" t="s">
        <v>65</v>
      </c>
      <c r="I79" s="67"/>
      <c r="J79" s="6"/>
      <c r="L79" s="5"/>
      <c r="M79" s="13" t="s">
        <v>65</v>
      </c>
      <c r="N79" s="67"/>
      <c r="O79" s="6"/>
      <c r="Q79" s="5"/>
      <c r="R79" s="13" t="s">
        <v>65</v>
      </c>
      <c r="S79" s="67"/>
      <c r="T79" s="6"/>
      <c r="V79" s="5"/>
      <c r="W79" s="13" t="s">
        <v>65</v>
      </c>
      <c r="X79" s="67"/>
      <c r="Y79" s="6"/>
      <c r="AA79" s="5"/>
      <c r="AB79" s="13" t="s">
        <v>65</v>
      </c>
      <c r="AC79" s="67"/>
      <c r="AD79" s="6"/>
    </row>
    <row r="80" spans="2:30" x14ac:dyDescent="0.35">
      <c r="B80" s="5"/>
      <c r="C80" s="13" t="s">
        <v>64</v>
      </c>
      <c r="D80" s="67"/>
      <c r="E80" s="6"/>
      <c r="G80" s="5"/>
      <c r="H80" s="13" t="s">
        <v>64</v>
      </c>
      <c r="I80" s="67"/>
      <c r="J80" s="6"/>
      <c r="L80" s="5"/>
      <c r="M80" s="13" t="s">
        <v>64</v>
      </c>
      <c r="N80" s="67"/>
      <c r="O80" s="6"/>
      <c r="Q80" s="5"/>
      <c r="R80" s="13" t="s">
        <v>64</v>
      </c>
      <c r="S80" s="67"/>
      <c r="T80" s="6"/>
      <c r="V80" s="5"/>
      <c r="W80" s="13" t="s">
        <v>64</v>
      </c>
      <c r="X80" s="67"/>
      <c r="Y80" s="6"/>
      <c r="AA80" s="5"/>
      <c r="AB80" s="13" t="s">
        <v>64</v>
      </c>
      <c r="AC80" s="67"/>
      <c r="AD80" s="6"/>
    </row>
    <row r="81" spans="2:30" x14ac:dyDescent="0.35">
      <c r="B81" s="5"/>
      <c r="C81" s="13" t="s">
        <v>63</v>
      </c>
      <c r="D81" s="67"/>
      <c r="E81" s="6"/>
      <c r="G81" s="5"/>
      <c r="H81" s="13" t="s">
        <v>63</v>
      </c>
      <c r="I81" s="67"/>
      <c r="J81" s="6"/>
      <c r="L81" s="5"/>
      <c r="M81" s="13" t="s">
        <v>63</v>
      </c>
      <c r="N81" s="67"/>
      <c r="O81" s="6"/>
      <c r="Q81" s="5"/>
      <c r="R81" s="13" t="s">
        <v>63</v>
      </c>
      <c r="S81" s="67"/>
      <c r="T81" s="6"/>
      <c r="V81" s="5"/>
      <c r="W81" s="13" t="s">
        <v>63</v>
      </c>
      <c r="X81" s="67"/>
      <c r="Y81" s="6"/>
      <c r="AA81" s="5"/>
      <c r="AB81" s="13" t="s">
        <v>63</v>
      </c>
      <c r="AC81" s="67"/>
      <c r="AD81" s="6"/>
    </row>
    <row r="82" spans="2:30" x14ac:dyDescent="0.35">
      <c r="B82" s="5"/>
      <c r="C82" s="13" t="s">
        <v>62</v>
      </c>
      <c r="D82" s="67"/>
      <c r="E82" s="6"/>
      <c r="G82" s="5"/>
      <c r="H82" s="13" t="s">
        <v>62</v>
      </c>
      <c r="I82" s="67"/>
      <c r="J82" s="6"/>
      <c r="L82" s="5"/>
      <c r="M82" s="13" t="s">
        <v>62</v>
      </c>
      <c r="N82" s="67"/>
      <c r="O82" s="6"/>
      <c r="Q82" s="5"/>
      <c r="R82" s="13" t="s">
        <v>62</v>
      </c>
      <c r="S82" s="67"/>
      <c r="T82" s="6"/>
      <c r="V82" s="5"/>
      <c r="W82" s="13" t="s">
        <v>62</v>
      </c>
      <c r="X82" s="67"/>
      <c r="Y82" s="6"/>
      <c r="AA82" s="5"/>
      <c r="AB82" s="13" t="s">
        <v>62</v>
      </c>
      <c r="AC82" s="67"/>
      <c r="AD82" s="6"/>
    </row>
    <row r="83" spans="2:30" x14ac:dyDescent="0.35">
      <c r="B83" s="5"/>
      <c r="C83" s="13" t="s">
        <v>61</v>
      </c>
      <c r="D83" s="67"/>
      <c r="E83" s="6"/>
      <c r="G83" s="5"/>
      <c r="H83" s="13" t="s">
        <v>61</v>
      </c>
      <c r="I83" s="67"/>
      <c r="J83" s="6"/>
      <c r="L83" s="5"/>
      <c r="M83" s="13" t="s">
        <v>61</v>
      </c>
      <c r="N83" s="67"/>
      <c r="O83" s="6"/>
      <c r="Q83" s="5"/>
      <c r="R83" s="13" t="s">
        <v>61</v>
      </c>
      <c r="S83" s="67"/>
      <c r="T83" s="6"/>
      <c r="V83" s="5"/>
      <c r="W83" s="13" t="s">
        <v>61</v>
      </c>
      <c r="X83" s="67"/>
      <c r="Y83" s="6"/>
      <c r="AA83" s="5"/>
      <c r="AB83" s="13" t="s">
        <v>61</v>
      </c>
      <c r="AC83" s="67"/>
      <c r="AD83" s="6"/>
    </row>
    <row r="84" spans="2:30" x14ac:dyDescent="0.35">
      <c r="B84" s="5"/>
      <c r="C84" s="18" t="s">
        <v>6</v>
      </c>
      <c r="D84" s="68">
        <f>SUM(D71:D83)</f>
        <v>0</v>
      </c>
      <c r="E84" s="6"/>
      <c r="G84" s="5"/>
      <c r="H84" s="18" t="s">
        <v>6</v>
      </c>
      <c r="I84" s="68">
        <f>SUM(I71:I83)</f>
        <v>0</v>
      </c>
      <c r="J84" s="6"/>
      <c r="L84" s="5"/>
      <c r="M84" s="18" t="s">
        <v>6</v>
      </c>
      <c r="N84" s="68">
        <f>SUM(N71:N83)</f>
        <v>0</v>
      </c>
      <c r="O84" s="6"/>
      <c r="Q84" s="5"/>
      <c r="R84" s="18" t="s">
        <v>6</v>
      </c>
      <c r="S84" s="68">
        <f>SUM(S71:S83)</f>
        <v>0</v>
      </c>
      <c r="T84" s="6"/>
      <c r="V84" s="5"/>
      <c r="W84" s="18" t="s">
        <v>6</v>
      </c>
      <c r="X84" s="68">
        <f>SUM(X71:X83)</f>
        <v>0</v>
      </c>
      <c r="Y84" s="6"/>
      <c r="AA84" s="5"/>
      <c r="AB84" s="18" t="s">
        <v>6</v>
      </c>
      <c r="AC84" s="68">
        <f>SUM(AC71:AC83)</f>
        <v>0</v>
      </c>
      <c r="AD84" s="6"/>
    </row>
    <row r="85" spans="2:30" x14ac:dyDescent="0.35">
      <c r="B85" s="5"/>
      <c r="C85" s="14"/>
      <c r="D85" s="69"/>
      <c r="E85" s="6"/>
      <c r="G85" s="5"/>
      <c r="H85" s="14"/>
      <c r="I85" s="69"/>
      <c r="J85" s="6"/>
      <c r="L85" s="5"/>
      <c r="M85" s="14"/>
      <c r="N85" s="69"/>
      <c r="O85" s="6"/>
      <c r="Q85" s="5"/>
      <c r="R85" s="14"/>
      <c r="S85" s="69"/>
      <c r="T85" s="6"/>
      <c r="V85" s="5"/>
      <c r="W85" s="14"/>
      <c r="X85" s="69"/>
      <c r="Y85" s="6"/>
      <c r="AA85" s="5"/>
      <c r="AB85" s="14"/>
      <c r="AC85" s="69"/>
      <c r="AD85" s="6"/>
    </row>
    <row r="86" spans="2:30" x14ac:dyDescent="0.35">
      <c r="B86" s="5"/>
      <c r="C86" s="19" t="s">
        <v>17</v>
      </c>
      <c r="D86" s="70">
        <f>D68-D84</f>
        <v>0</v>
      </c>
      <c r="E86" s="6"/>
      <c r="G86" s="5"/>
      <c r="H86" s="19" t="s">
        <v>17</v>
      </c>
      <c r="I86" s="70">
        <f>I68-I84</f>
        <v>0</v>
      </c>
      <c r="J86" s="6"/>
      <c r="L86" s="5"/>
      <c r="M86" s="19" t="s">
        <v>17</v>
      </c>
      <c r="N86" s="70">
        <f>N68-N84</f>
        <v>0</v>
      </c>
      <c r="O86" s="6"/>
      <c r="Q86" s="5"/>
      <c r="R86" s="19" t="s">
        <v>17</v>
      </c>
      <c r="S86" s="70">
        <f>S68-S84</f>
        <v>0</v>
      </c>
      <c r="T86" s="6"/>
      <c r="V86" s="5"/>
      <c r="W86" s="19" t="s">
        <v>17</v>
      </c>
      <c r="X86" s="70">
        <f>X68-X84</f>
        <v>0</v>
      </c>
      <c r="Y86" s="6"/>
      <c r="AA86" s="5"/>
      <c r="AB86" s="19" t="s">
        <v>17</v>
      </c>
      <c r="AC86" s="70">
        <f>AC68-AC84</f>
        <v>0</v>
      </c>
      <c r="AD86" s="6"/>
    </row>
    <row r="87" spans="2:30" ht="15" thickBot="1" x14ac:dyDescent="0.4">
      <c r="B87" s="8"/>
      <c r="C87" s="9"/>
      <c r="D87" s="71"/>
      <c r="E87" s="10"/>
      <c r="G87" s="8"/>
      <c r="H87" s="9"/>
      <c r="I87" s="71"/>
      <c r="J87" s="10"/>
      <c r="L87" s="8"/>
      <c r="M87" s="9"/>
      <c r="N87" s="71"/>
      <c r="O87" s="10"/>
      <c r="Q87" s="8"/>
      <c r="R87" s="9"/>
      <c r="S87" s="71"/>
      <c r="T87" s="10"/>
      <c r="V87" s="8"/>
      <c r="W87" s="9"/>
      <c r="X87" s="71"/>
      <c r="Y87" s="10"/>
      <c r="AA87" s="8"/>
      <c r="AB87" s="9"/>
      <c r="AC87" s="71"/>
      <c r="AD87" s="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C5C14-5B92-43B4-B1E4-04E5B2B0E13F}">
  <sheetPr codeName="Sheet12"/>
  <dimension ref="B1:AS406"/>
  <sheetViews>
    <sheetView zoomScale="27" workbookViewId="0">
      <selection activeCell="AH1" activeCellId="2" sqref="D1:N1048576 S1:AC1048576 AH1:AR1048576"/>
    </sheetView>
  </sheetViews>
  <sheetFormatPr defaultRowHeight="14.5" x14ac:dyDescent="0.35"/>
  <cols>
    <col min="1" max="2" width="2.81640625" customWidth="1"/>
    <col min="3" max="3" width="14" bestFit="1" customWidth="1"/>
    <col min="4" max="4" width="10.54296875" bestFit="1" customWidth="1"/>
    <col min="5" max="5" width="17.6328125" bestFit="1" customWidth="1"/>
    <col min="6" max="6" width="12.54296875" bestFit="1" customWidth="1"/>
    <col min="7" max="7" width="14.54296875" bestFit="1" customWidth="1"/>
    <col min="8" max="8" width="8.54296875" bestFit="1" customWidth="1"/>
    <col min="9" max="9" width="11.90625" bestFit="1" customWidth="1"/>
    <col min="10" max="14" width="14.90625" bestFit="1" customWidth="1"/>
    <col min="15" max="17" width="2.81640625" customWidth="1"/>
    <col min="18" max="18" width="22.1796875" bestFit="1" customWidth="1"/>
    <col min="19" max="19" width="10.54296875" bestFit="1" customWidth="1"/>
    <col min="20" max="20" width="17.6328125" bestFit="1" customWidth="1"/>
    <col min="21" max="21" width="12.54296875" bestFit="1" customWidth="1"/>
    <col min="22" max="22" width="14.54296875" bestFit="1" customWidth="1"/>
    <col min="23" max="23" width="8.54296875" bestFit="1" customWidth="1"/>
    <col min="24" max="24" width="11.90625" bestFit="1" customWidth="1"/>
    <col min="25" max="29" width="14.90625" bestFit="1" customWidth="1"/>
    <col min="30" max="32" width="2.81640625" customWidth="1"/>
    <col min="33" max="33" width="15.6328125" bestFit="1" customWidth="1"/>
    <col min="34" max="34" width="10.54296875" bestFit="1" customWidth="1"/>
    <col min="35" max="35" width="17.6328125" bestFit="1" customWidth="1"/>
    <col min="36" max="36" width="12.54296875" bestFit="1" customWidth="1"/>
    <col min="37" max="37" width="14.54296875" bestFit="1" customWidth="1"/>
    <col min="38" max="38" width="8.54296875" bestFit="1" customWidth="1"/>
    <col min="39" max="39" width="11.90625" bestFit="1" customWidth="1"/>
    <col min="40" max="44" width="14.90625" bestFit="1" customWidth="1"/>
    <col min="45" max="45" width="2.81640625" customWidth="1"/>
  </cols>
  <sheetData>
    <row r="1" spans="2:45" ht="15" thickBot="1" x14ac:dyDescent="0.4"/>
    <row r="2" spans="2:45" x14ac:dyDescent="0.3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4"/>
      <c r="Q2" s="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4"/>
      <c r="AF2" s="2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4"/>
    </row>
    <row r="3" spans="2:45" x14ac:dyDescent="0.35">
      <c r="B3" s="5"/>
      <c r="C3" s="1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6"/>
      <c r="Q3" s="5"/>
      <c r="R3" s="1" t="s">
        <v>8</v>
      </c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6"/>
      <c r="AF3" s="5"/>
      <c r="AG3" s="1" t="s">
        <v>9</v>
      </c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6"/>
    </row>
    <row r="4" spans="2:45" x14ac:dyDescent="0.35">
      <c r="B4" s="5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6"/>
      <c r="Q4" s="5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6"/>
      <c r="AF4" s="5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6"/>
    </row>
    <row r="5" spans="2:45" x14ac:dyDescent="0.35">
      <c r="B5" s="5"/>
      <c r="C5" s="16" t="s">
        <v>5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6"/>
      <c r="Q5" s="5"/>
      <c r="R5" s="1" t="s">
        <v>7</v>
      </c>
      <c r="S5" s="16" t="s">
        <v>6</v>
      </c>
      <c r="T5" s="42" t="s">
        <v>0</v>
      </c>
      <c r="U5" s="42" t="s">
        <v>1</v>
      </c>
      <c r="V5" s="42" t="s">
        <v>3</v>
      </c>
      <c r="W5" s="42" t="s">
        <v>2</v>
      </c>
      <c r="X5" s="42" t="s">
        <v>42</v>
      </c>
      <c r="Y5" s="42" t="s">
        <v>65</v>
      </c>
      <c r="Z5" s="42" t="s">
        <v>64</v>
      </c>
      <c r="AA5" s="42" t="s">
        <v>63</v>
      </c>
      <c r="AB5" s="42" t="s">
        <v>62</v>
      </c>
      <c r="AC5" s="43" t="s">
        <v>61</v>
      </c>
      <c r="AD5" s="6"/>
      <c r="AF5" s="5"/>
      <c r="AG5" s="1" t="s">
        <v>36</v>
      </c>
      <c r="AH5" s="16" t="s">
        <v>6</v>
      </c>
      <c r="AI5" s="42" t="s">
        <v>0</v>
      </c>
      <c r="AJ5" s="42" t="s">
        <v>1</v>
      </c>
      <c r="AK5" s="42" t="s">
        <v>3</v>
      </c>
      <c r="AL5" s="42" t="s">
        <v>2</v>
      </c>
      <c r="AM5" s="42" t="s">
        <v>42</v>
      </c>
      <c r="AN5" s="42" t="s">
        <v>65</v>
      </c>
      <c r="AO5" s="42" t="s">
        <v>64</v>
      </c>
      <c r="AP5" s="42" t="s">
        <v>63</v>
      </c>
      <c r="AQ5" s="42" t="s">
        <v>62</v>
      </c>
      <c r="AR5" s="43" t="s">
        <v>61</v>
      </c>
      <c r="AS5" s="6"/>
    </row>
    <row r="6" spans="2:45" x14ac:dyDescent="0.35">
      <c r="B6" s="5"/>
      <c r="C6" s="1" t="s">
        <v>7</v>
      </c>
      <c r="D6" s="16" t="s">
        <v>6</v>
      </c>
      <c r="E6" s="42" t="s">
        <v>0</v>
      </c>
      <c r="F6" s="42" t="s">
        <v>1</v>
      </c>
      <c r="G6" s="42" t="s">
        <v>3</v>
      </c>
      <c r="H6" s="42" t="s">
        <v>2</v>
      </c>
      <c r="I6" s="42" t="s">
        <v>42</v>
      </c>
      <c r="J6" s="42" t="s">
        <v>65</v>
      </c>
      <c r="K6" s="42" t="s">
        <v>64</v>
      </c>
      <c r="L6" s="42" t="s">
        <v>63</v>
      </c>
      <c r="M6" s="42" t="s">
        <v>62</v>
      </c>
      <c r="N6" s="43" t="s">
        <v>61</v>
      </c>
      <c r="O6" s="6"/>
      <c r="Q6" s="5"/>
      <c r="R6" s="48" t="str">
        <f>TEXT($C$7-WEEKDAY($C$7,3),"TT.MM.JJJJ")&amp;" - "&amp;TEXT($C$7-WEEKDAY($C$7,3)+6,"TT.MM.JJJJ")</f>
        <v>30.12.2024 - 05.01.2025</v>
      </c>
      <c r="S6" s="45">
        <f>SUMIFS(D$7:D$405,$C$7:$C$405,"&gt;="&amp;DATEVALUE(LEFT($R6,10)),$C$7:$C$405,"&lt;="&amp;DATEVALUE(RIGHT($R6,10)))</f>
        <v>0</v>
      </c>
      <c r="T6" s="52">
        <f t="shared" ref="T6:AC21" si="0">SUMIFS(E$7:E$405,$C$7:$C$405,"&gt;="&amp;DATEVALUE(LEFT($R6,10)),$C$7:$C$405,"&lt;="&amp;DATEVALUE(RIGHT($R6,10)))</f>
        <v>0</v>
      </c>
      <c r="U6" s="52">
        <f t="shared" si="0"/>
        <v>0</v>
      </c>
      <c r="V6" s="52">
        <f t="shared" si="0"/>
        <v>0</v>
      </c>
      <c r="W6" s="52">
        <f t="shared" si="0"/>
        <v>0</v>
      </c>
      <c r="X6" s="52">
        <f t="shared" si="0"/>
        <v>0</v>
      </c>
      <c r="Y6" s="52">
        <f t="shared" si="0"/>
        <v>0</v>
      </c>
      <c r="Z6" s="52">
        <f t="shared" si="0"/>
        <v>0</v>
      </c>
      <c r="AA6" s="52">
        <f t="shared" si="0"/>
        <v>0</v>
      </c>
      <c r="AB6" s="52">
        <f t="shared" si="0"/>
        <v>0</v>
      </c>
      <c r="AC6" s="53">
        <f t="shared" si="0"/>
        <v>0</v>
      </c>
      <c r="AD6" s="6"/>
      <c r="AF6" s="5"/>
      <c r="AG6" s="49" t="s">
        <v>5</v>
      </c>
      <c r="AH6" s="39">
        <f>SUM(D7:D37)</f>
        <v>0</v>
      </c>
      <c r="AI6" s="51">
        <f t="shared" ref="AI6:AR6" si="1">SUM(E7:E37)</f>
        <v>0</v>
      </c>
      <c r="AJ6" s="52">
        <f t="shared" si="1"/>
        <v>0</v>
      </c>
      <c r="AK6" s="52">
        <f t="shared" si="1"/>
        <v>0</v>
      </c>
      <c r="AL6" s="52">
        <f t="shared" si="1"/>
        <v>0</v>
      </c>
      <c r="AM6" s="52">
        <f t="shared" si="1"/>
        <v>0</v>
      </c>
      <c r="AN6" s="52">
        <f t="shared" si="1"/>
        <v>0</v>
      </c>
      <c r="AO6" s="52">
        <f t="shared" si="1"/>
        <v>0</v>
      </c>
      <c r="AP6" s="52">
        <f t="shared" si="1"/>
        <v>0</v>
      </c>
      <c r="AQ6" s="52">
        <f t="shared" si="1"/>
        <v>0</v>
      </c>
      <c r="AR6" s="53">
        <f t="shared" si="1"/>
        <v>0</v>
      </c>
      <c r="AS6" s="6"/>
    </row>
    <row r="7" spans="2:45" x14ac:dyDescent="0.35">
      <c r="B7" s="5"/>
      <c r="C7" s="40">
        <v>45658</v>
      </c>
      <c r="D7" s="45">
        <f>SUMIFS(Einzelbeträge!$D:$D,Einzelbeträge!$C:$C,'Ausgaben Vorlage'!$C7)</f>
        <v>0</v>
      </c>
      <c r="E7" s="32">
        <f>SUMIFS(Einzelbeträge!$D:$D,Einzelbeträge!$C:$C,'Ausgaben Vorlage'!$C7,Einzelbeträge!$E:$E,'Ausgaben Vorlage'!E$6)</f>
        <v>0</v>
      </c>
      <c r="F7" s="32">
        <f>SUMIFS(Einzelbeträge!$D:$D,Einzelbeträge!$C:$C,'Ausgaben Vorlage'!$C7,Einzelbeträge!$E:$E,'Ausgaben Vorlage'!F$6)</f>
        <v>0</v>
      </c>
      <c r="G7" s="32">
        <f>SUMIFS(Einzelbeträge!$D:$D,Einzelbeträge!$C:$C,'Ausgaben Vorlage'!$C7,Einzelbeträge!$E:$E,'Ausgaben Vorlage'!G$6)</f>
        <v>0</v>
      </c>
      <c r="H7" s="32">
        <f>SUMIFS(Einzelbeträge!$D:$D,Einzelbeträge!$C:$C,'Ausgaben Vorlage'!$C7,Einzelbeträge!$E:$E,'Ausgaben Vorlage'!H$6)</f>
        <v>0</v>
      </c>
      <c r="I7" s="32">
        <f>SUMIFS(Einzelbeträge!$D:$D,Einzelbeträge!$C:$C,'Ausgaben Vorlage'!$C7,Einzelbeträge!$E:$E,'Ausgaben Vorlage'!I$6)</f>
        <v>0</v>
      </c>
      <c r="J7" s="32">
        <f>SUMIFS(Einzelbeträge!$D:$D,Einzelbeträge!$C:$C,'Ausgaben Vorlage'!$C7,Einzelbeträge!$E:$E,'Ausgaben Vorlage'!J$6)</f>
        <v>0</v>
      </c>
      <c r="K7" s="32">
        <f>SUMIFS(Einzelbeträge!$D:$D,Einzelbeträge!$C:$C,'Ausgaben Vorlage'!$C7,Einzelbeträge!$E:$E,'Ausgaben Vorlage'!K$6)</f>
        <v>0</v>
      </c>
      <c r="L7" s="32">
        <f>SUMIFS(Einzelbeträge!$D:$D,Einzelbeträge!$C:$C,'Ausgaben Vorlage'!$C7,Einzelbeträge!$E:$E,'Ausgaben Vorlage'!L$6)</f>
        <v>0</v>
      </c>
      <c r="M7" s="32">
        <f>SUMIFS(Einzelbeträge!$D:$D,Einzelbeträge!$C:$C,'Ausgaben Vorlage'!$C7,Einzelbeträge!$E:$E,'Ausgaben Vorlage'!M$6)</f>
        <v>0</v>
      </c>
      <c r="N7" s="33">
        <f>SUMIFS(Einzelbeträge!$D:$D,Einzelbeträge!$C:$C,'Ausgaben Vorlage'!$C7,Einzelbeträge!$E:$E,'Ausgaben Vorlage'!N$6)</f>
        <v>0</v>
      </c>
      <c r="O7" s="6"/>
      <c r="Q7" s="5"/>
      <c r="R7" s="30" t="str">
        <f>TEXT(($C$7+7*COUNTA($C$7:$C7))-WEEKDAY($C$7+7*COUNTA($C$7:$C7),3),"TT.MM.JJJJ")&amp;" - "&amp;TEXT(($C$7+7*COUNTA($C$7:$C7))-WEEKDAY($C$7+7*COUNTA($C$7:$C7),3)+6,"TT.MM.JJJJ")</f>
        <v>06.01.2025 - 12.01.2025</v>
      </c>
      <c r="S7" s="46">
        <f t="shared" ref="S7:AC43" si="2">SUMIFS(D$7:D$405,$C$7:$C$405,"&gt;="&amp;DATEVALUE(LEFT($R7,10)),$C$7:$C$405,"&lt;="&amp;DATEVALUE(RIGHT($R7,10)))</f>
        <v>0</v>
      </c>
      <c r="T7" s="55">
        <f t="shared" si="0"/>
        <v>0</v>
      </c>
      <c r="U7" s="55">
        <f t="shared" si="0"/>
        <v>0</v>
      </c>
      <c r="V7" s="55">
        <f t="shared" si="0"/>
        <v>0</v>
      </c>
      <c r="W7" s="55">
        <f t="shared" si="0"/>
        <v>0</v>
      </c>
      <c r="X7" s="55">
        <f t="shared" si="0"/>
        <v>0</v>
      </c>
      <c r="Y7" s="55">
        <f t="shared" si="0"/>
        <v>0</v>
      </c>
      <c r="Z7" s="55">
        <f t="shared" si="0"/>
        <v>0</v>
      </c>
      <c r="AA7" s="55">
        <f t="shared" si="0"/>
        <v>0</v>
      </c>
      <c r="AB7" s="55">
        <f t="shared" si="0"/>
        <v>0</v>
      </c>
      <c r="AC7" s="56">
        <f t="shared" si="0"/>
        <v>0</v>
      </c>
      <c r="AD7" s="6"/>
      <c r="AF7" s="5"/>
      <c r="AG7" s="40" t="s">
        <v>18</v>
      </c>
      <c r="AH7" s="44">
        <f>SUM(D41:D69)</f>
        <v>0</v>
      </c>
      <c r="AI7" s="54">
        <f t="shared" ref="AI7:AR7" si="3">SUM(E41:E69)</f>
        <v>0</v>
      </c>
      <c r="AJ7" s="55">
        <f t="shared" si="3"/>
        <v>0</v>
      </c>
      <c r="AK7" s="55">
        <f t="shared" si="3"/>
        <v>0</v>
      </c>
      <c r="AL7" s="55">
        <f t="shared" si="3"/>
        <v>0</v>
      </c>
      <c r="AM7" s="55">
        <f t="shared" si="3"/>
        <v>0</v>
      </c>
      <c r="AN7" s="55">
        <f t="shared" si="3"/>
        <v>0</v>
      </c>
      <c r="AO7" s="55">
        <f t="shared" si="3"/>
        <v>0</v>
      </c>
      <c r="AP7" s="55">
        <f t="shared" si="3"/>
        <v>0</v>
      </c>
      <c r="AQ7" s="55">
        <f t="shared" si="3"/>
        <v>0</v>
      </c>
      <c r="AR7" s="56">
        <f t="shared" si="3"/>
        <v>0</v>
      </c>
      <c r="AS7" s="6"/>
    </row>
    <row r="8" spans="2:45" x14ac:dyDescent="0.35">
      <c r="B8" s="5"/>
      <c r="C8" s="40">
        <f>C7+1</f>
        <v>45659</v>
      </c>
      <c r="D8" s="46">
        <f>SUMIFS(Einzelbeträge!$D:$D,Einzelbeträge!$C:$C,'Ausgaben Vorlage'!$C8)</f>
        <v>0</v>
      </c>
      <c r="E8" s="21">
        <f>SUMIFS(Einzelbeträge!$D:$D,Einzelbeträge!$C:$C,'Ausgaben Vorlage'!$C8,Einzelbeträge!$E:$E,'Ausgaben Vorlage'!E$6)</f>
        <v>0</v>
      </c>
      <c r="F8" s="21">
        <f>SUMIFS(Einzelbeträge!$D:$D,Einzelbeträge!$C:$C,'Ausgaben Vorlage'!$C8,Einzelbeträge!$E:$E,'Ausgaben Vorlage'!F$6)</f>
        <v>0</v>
      </c>
      <c r="G8" s="21">
        <f>SUMIFS(Einzelbeträge!$D:$D,Einzelbeträge!$C:$C,'Ausgaben Vorlage'!$C8,Einzelbeträge!$E:$E,'Ausgaben Vorlage'!G$6)</f>
        <v>0</v>
      </c>
      <c r="H8" s="21">
        <f>SUMIFS(Einzelbeträge!$D:$D,Einzelbeträge!$C:$C,'Ausgaben Vorlage'!$C8,Einzelbeträge!$E:$E,'Ausgaben Vorlage'!H$6)</f>
        <v>0</v>
      </c>
      <c r="I8" s="21">
        <f>SUMIFS(Einzelbeträge!$D:$D,Einzelbeträge!$C:$C,'Ausgaben Vorlage'!$C8,Einzelbeträge!$E:$E,'Ausgaben Vorlage'!I$6)</f>
        <v>0</v>
      </c>
      <c r="J8" s="21">
        <f>SUMIFS(Einzelbeträge!$D:$D,Einzelbeträge!$C:$C,'Ausgaben Vorlage'!$C8,Einzelbeträge!$E:$E,'Ausgaben Vorlage'!J$6)</f>
        <v>0</v>
      </c>
      <c r="K8" s="21">
        <f>SUMIFS(Einzelbeträge!$D:$D,Einzelbeträge!$C:$C,'Ausgaben Vorlage'!$C8,Einzelbeträge!$E:$E,'Ausgaben Vorlage'!K$6)</f>
        <v>0</v>
      </c>
      <c r="L8" s="21">
        <f>SUMIFS(Einzelbeträge!$D:$D,Einzelbeträge!$C:$C,'Ausgaben Vorlage'!$C8,Einzelbeträge!$E:$E,'Ausgaben Vorlage'!L$6)</f>
        <v>0</v>
      </c>
      <c r="M8" s="21">
        <f>SUMIFS(Einzelbeträge!$D:$D,Einzelbeträge!$C:$C,'Ausgaben Vorlage'!$C8,Einzelbeträge!$E:$E,'Ausgaben Vorlage'!M$6)</f>
        <v>0</v>
      </c>
      <c r="N8" s="35">
        <f>SUMIFS(Einzelbeträge!$D:$D,Einzelbeträge!$C:$C,'Ausgaben Vorlage'!$C8,Einzelbeträge!$E:$E,'Ausgaben Vorlage'!N$6)</f>
        <v>0</v>
      </c>
      <c r="O8" s="6"/>
      <c r="Q8" s="5"/>
      <c r="R8" s="30" t="str">
        <f>TEXT(($C$7+7*COUNTA($C$7:$C8))-WEEKDAY($C$7+7*COUNTA($C$7:$C8),3),"TT.MM.JJJJ")&amp;" - "&amp;TEXT(($C$7+7*COUNTA($C$7:$C8))-WEEKDAY($C$7+7*COUNTA($C$7:$C8),3)+6,"TT.MM.JJJJ")</f>
        <v>13.01.2025 - 19.01.2025</v>
      </c>
      <c r="S8" s="46">
        <f t="shared" si="2"/>
        <v>0</v>
      </c>
      <c r="T8" s="55">
        <f t="shared" si="0"/>
        <v>0</v>
      </c>
      <c r="U8" s="55">
        <f t="shared" si="0"/>
        <v>0</v>
      </c>
      <c r="V8" s="55">
        <f t="shared" si="0"/>
        <v>0</v>
      </c>
      <c r="W8" s="55">
        <f>SUMIFS(H$7:H$405,$C$7:$C$405,"&gt;="&amp;DATEVALUE(LEFT($R8,10)),$C$7:$C$405,"&lt;="&amp;DATEVALUE(RIGHT($R8,10)))</f>
        <v>0</v>
      </c>
      <c r="X8" s="55">
        <f t="shared" si="0"/>
        <v>0</v>
      </c>
      <c r="Y8" s="55">
        <f t="shared" si="0"/>
        <v>0</v>
      </c>
      <c r="Z8" s="55">
        <f t="shared" si="0"/>
        <v>0</v>
      </c>
      <c r="AA8" s="55">
        <f t="shared" si="0"/>
        <v>0</v>
      </c>
      <c r="AB8" s="55">
        <f t="shared" si="0"/>
        <v>0</v>
      </c>
      <c r="AC8" s="56">
        <f t="shared" si="0"/>
        <v>0</v>
      </c>
      <c r="AD8" s="6"/>
      <c r="AF8" s="5"/>
      <c r="AG8" s="40" t="s">
        <v>19</v>
      </c>
      <c r="AH8" s="44">
        <f>SUM(D73:D103)</f>
        <v>0</v>
      </c>
      <c r="AI8" s="54">
        <f t="shared" ref="AI8:AR8" si="4">SUM(E73:E103)</f>
        <v>0</v>
      </c>
      <c r="AJ8" s="55">
        <f t="shared" si="4"/>
        <v>0</v>
      </c>
      <c r="AK8" s="55">
        <f t="shared" si="4"/>
        <v>0</v>
      </c>
      <c r="AL8" s="55">
        <f t="shared" si="4"/>
        <v>0</v>
      </c>
      <c r="AM8" s="55">
        <f t="shared" si="4"/>
        <v>0</v>
      </c>
      <c r="AN8" s="55">
        <f t="shared" si="4"/>
        <v>0</v>
      </c>
      <c r="AO8" s="55">
        <f t="shared" si="4"/>
        <v>0</v>
      </c>
      <c r="AP8" s="55">
        <f t="shared" si="4"/>
        <v>0</v>
      </c>
      <c r="AQ8" s="55">
        <f t="shared" si="4"/>
        <v>0</v>
      </c>
      <c r="AR8" s="56">
        <f t="shared" si="4"/>
        <v>0</v>
      </c>
      <c r="AS8" s="6"/>
    </row>
    <row r="9" spans="2:45" x14ac:dyDescent="0.35">
      <c r="B9" s="5"/>
      <c r="C9" s="40">
        <f t="shared" ref="C9:C37" si="5">C8+1</f>
        <v>45660</v>
      </c>
      <c r="D9" s="46">
        <f>SUMIFS(Einzelbeträge!$D:$D,Einzelbeträge!$C:$C,'Ausgaben Vorlage'!$C9)</f>
        <v>0</v>
      </c>
      <c r="E9" s="21">
        <f>SUMIFS(Einzelbeträge!$D:$D,Einzelbeträge!$C:$C,'Ausgaben Vorlage'!$C9,Einzelbeträge!$E:$E,'Ausgaben Vorlage'!E$6)</f>
        <v>0</v>
      </c>
      <c r="F9" s="21">
        <f>SUMIFS(Einzelbeträge!$D:$D,Einzelbeträge!$C:$C,'Ausgaben Vorlage'!$C9,Einzelbeträge!$E:$E,'Ausgaben Vorlage'!F$6)</f>
        <v>0</v>
      </c>
      <c r="G9" s="21">
        <f>SUMIFS(Einzelbeträge!$D:$D,Einzelbeträge!$C:$C,'Ausgaben Vorlage'!$C9,Einzelbeträge!$E:$E,'Ausgaben Vorlage'!G$6)</f>
        <v>0</v>
      </c>
      <c r="H9" s="21">
        <f>SUMIFS(Einzelbeträge!$D:$D,Einzelbeträge!$C:$C,'Ausgaben Vorlage'!$C9,Einzelbeträge!$E:$E,'Ausgaben Vorlage'!H$6)</f>
        <v>0</v>
      </c>
      <c r="I9" s="21">
        <f>SUMIFS(Einzelbeträge!$D:$D,Einzelbeträge!$C:$C,'Ausgaben Vorlage'!$C9,Einzelbeträge!$E:$E,'Ausgaben Vorlage'!I$6)</f>
        <v>0</v>
      </c>
      <c r="J9" s="21">
        <f>SUMIFS(Einzelbeträge!$D:$D,Einzelbeträge!$C:$C,'Ausgaben Vorlage'!$C9,Einzelbeträge!$E:$E,'Ausgaben Vorlage'!J$6)</f>
        <v>0</v>
      </c>
      <c r="K9" s="21">
        <f>SUMIFS(Einzelbeträge!$D:$D,Einzelbeträge!$C:$C,'Ausgaben Vorlage'!$C9,Einzelbeträge!$E:$E,'Ausgaben Vorlage'!K$6)</f>
        <v>0</v>
      </c>
      <c r="L9" s="21">
        <f>SUMIFS(Einzelbeträge!$D:$D,Einzelbeträge!$C:$C,'Ausgaben Vorlage'!$C9,Einzelbeträge!$E:$E,'Ausgaben Vorlage'!L$6)</f>
        <v>0</v>
      </c>
      <c r="M9" s="21">
        <f>SUMIFS(Einzelbeträge!$D:$D,Einzelbeträge!$C:$C,'Ausgaben Vorlage'!$C9,Einzelbeträge!$E:$E,'Ausgaben Vorlage'!M$6)</f>
        <v>0</v>
      </c>
      <c r="N9" s="35">
        <f>SUMIFS(Einzelbeträge!$D:$D,Einzelbeträge!$C:$C,'Ausgaben Vorlage'!$C9,Einzelbeträge!$E:$E,'Ausgaben Vorlage'!N$6)</f>
        <v>0</v>
      </c>
      <c r="O9" s="6"/>
      <c r="Q9" s="5"/>
      <c r="R9" s="30" t="str">
        <f>TEXT(($C$7+7*COUNTA($C$7:$C9))-WEEKDAY($C$7+7*COUNTA($C$7:$C9),3),"TT.MM.JJJJ")&amp;" - "&amp;TEXT(($C$7+7*COUNTA($C$7:$C9))-WEEKDAY($C$7+7*COUNTA($C$7:$C9),3)+6,"TT.MM.JJJJ")</f>
        <v>20.01.2025 - 26.01.2025</v>
      </c>
      <c r="S9" s="46">
        <f t="shared" si="2"/>
        <v>0</v>
      </c>
      <c r="T9" s="55">
        <f t="shared" si="0"/>
        <v>0</v>
      </c>
      <c r="U9" s="55">
        <f t="shared" si="0"/>
        <v>0</v>
      </c>
      <c r="V9" s="55">
        <f t="shared" si="0"/>
        <v>0</v>
      </c>
      <c r="W9" s="55">
        <f t="shared" si="0"/>
        <v>0</v>
      </c>
      <c r="X9" s="55">
        <f t="shared" si="0"/>
        <v>0</v>
      </c>
      <c r="Y9" s="55">
        <f t="shared" si="0"/>
        <v>0</v>
      </c>
      <c r="Z9" s="55">
        <f t="shared" si="0"/>
        <v>0</v>
      </c>
      <c r="AA9" s="55">
        <f t="shared" si="0"/>
        <v>0</v>
      </c>
      <c r="AB9" s="55">
        <f t="shared" si="0"/>
        <v>0</v>
      </c>
      <c r="AC9" s="56">
        <f t="shared" si="0"/>
        <v>0</v>
      </c>
      <c r="AD9" s="6"/>
      <c r="AF9" s="5"/>
      <c r="AG9" s="40" t="s">
        <v>20</v>
      </c>
      <c r="AH9" s="44">
        <f>SUM(D107:D136)</f>
        <v>0</v>
      </c>
      <c r="AI9" s="54">
        <f t="shared" ref="AI9:AR9" si="6">SUM(E107:E136)</f>
        <v>0</v>
      </c>
      <c r="AJ9" s="55">
        <f t="shared" si="6"/>
        <v>0</v>
      </c>
      <c r="AK9" s="55">
        <f t="shared" si="6"/>
        <v>0</v>
      </c>
      <c r="AL9" s="55">
        <f t="shared" si="6"/>
        <v>0</v>
      </c>
      <c r="AM9" s="55">
        <f t="shared" si="6"/>
        <v>0</v>
      </c>
      <c r="AN9" s="55">
        <f t="shared" si="6"/>
        <v>0</v>
      </c>
      <c r="AO9" s="55">
        <f t="shared" si="6"/>
        <v>0</v>
      </c>
      <c r="AP9" s="55">
        <f t="shared" si="6"/>
        <v>0</v>
      </c>
      <c r="AQ9" s="55">
        <f t="shared" si="6"/>
        <v>0</v>
      </c>
      <c r="AR9" s="56">
        <f t="shared" si="6"/>
        <v>0</v>
      </c>
      <c r="AS9" s="6"/>
    </row>
    <row r="10" spans="2:45" x14ac:dyDescent="0.35">
      <c r="B10" s="5"/>
      <c r="C10" s="40">
        <f t="shared" si="5"/>
        <v>45661</v>
      </c>
      <c r="D10" s="46">
        <f>SUMIFS(Einzelbeträge!$D:$D,Einzelbeträge!$C:$C,'Ausgaben Vorlage'!$C10)</f>
        <v>0</v>
      </c>
      <c r="E10" s="21">
        <f>SUMIFS(Einzelbeträge!$D:$D,Einzelbeträge!$C:$C,'Ausgaben Vorlage'!$C10,Einzelbeträge!$E:$E,'Ausgaben Vorlage'!E$6)</f>
        <v>0</v>
      </c>
      <c r="F10" s="21">
        <f>SUMIFS(Einzelbeträge!$D:$D,Einzelbeträge!$C:$C,'Ausgaben Vorlage'!$C10,Einzelbeträge!$E:$E,'Ausgaben Vorlage'!F$6)</f>
        <v>0</v>
      </c>
      <c r="G10" s="21">
        <f>SUMIFS(Einzelbeträge!$D:$D,Einzelbeträge!$C:$C,'Ausgaben Vorlage'!$C10,Einzelbeträge!$E:$E,'Ausgaben Vorlage'!G$6)</f>
        <v>0</v>
      </c>
      <c r="H10" s="21">
        <f>SUMIFS(Einzelbeträge!$D:$D,Einzelbeträge!$C:$C,'Ausgaben Vorlage'!$C10,Einzelbeträge!$E:$E,'Ausgaben Vorlage'!H$6)</f>
        <v>0</v>
      </c>
      <c r="I10" s="21">
        <f>SUMIFS(Einzelbeträge!$D:$D,Einzelbeträge!$C:$C,'Ausgaben Vorlage'!$C10,Einzelbeträge!$E:$E,'Ausgaben Vorlage'!I$6)</f>
        <v>0</v>
      </c>
      <c r="J10" s="21">
        <f>SUMIFS(Einzelbeträge!$D:$D,Einzelbeträge!$C:$C,'Ausgaben Vorlage'!$C10,Einzelbeträge!$E:$E,'Ausgaben Vorlage'!J$6)</f>
        <v>0</v>
      </c>
      <c r="K10" s="21">
        <f>SUMIFS(Einzelbeträge!$D:$D,Einzelbeträge!$C:$C,'Ausgaben Vorlage'!$C10,Einzelbeträge!$E:$E,'Ausgaben Vorlage'!K$6)</f>
        <v>0</v>
      </c>
      <c r="L10" s="21">
        <f>SUMIFS(Einzelbeträge!$D:$D,Einzelbeträge!$C:$C,'Ausgaben Vorlage'!$C10,Einzelbeträge!$E:$E,'Ausgaben Vorlage'!L$6)</f>
        <v>0</v>
      </c>
      <c r="M10" s="21">
        <f>SUMIFS(Einzelbeträge!$D:$D,Einzelbeträge!$C:$C,'Ausgaben Vorlage'!$C10,Einzelbeträge!$E:$E,'Ausgaben Vorlage'!M$6)</f>
        <v>0</v>
      </c>
      <c r="N10" s="35">
        <f>SUMIFS(Einzelbeträge!$D:$D,Einzelbeträge!$C:$C,'Ausgaben Vorlage'!$C10,Einzelbeträge!$E:$E,'Ausgaben Vorlage'!N$6)</f>
        <v>0</v>
      </c>
      <c r="O10" s="6"/>
      <c r="Q10" s="5"/>
      <c r="R10" s="30" t="str">
        <f>TEXT(($C$7+7*COUNTA($C$7:$C10))-WEEKDAY($C$7+7*COUNTA($C$7:$C10),3),"TT.MM.JJJJ")&amp;" - "&amp;TEXT(($C$7+7*COUNTA($C$7:$C10))-WEEKDAY($C$7+7*COUNTA($C$7:$C10),3)+6,"TT.MM.JJJJ")</f>
        <v>27.01.2025 - 02.02.2025</v>
      </c>
      <c r="S10" s="46">
        <f t="shared" si="2"/>
        <v>0</v>
      </c>
      <c r="T10" s="55">
        <f t="shared" si="0"/>
        <v>0</v>
      </c>
      <c r="U10" s="55">
        <f t="shared" si="0"/>
        <v>0</v>
      </c>
      <c r="V10" s="55">
        <f t="shared" si="0"/>
        <v>0</v>
      </c>
      <c r="W10" s="55">
        <f t="shared" si="0"/>
        <v>0</v>
      </c>
      <c r="X10" s="55">
        <f t="shared" si="0"/>
        <v>0</v>
      </c>
      <c r="Y10" s="55">
        <f t="shared" si="0"/>
        <v>0</v>
      </c>
      <c r="Z10" s="55">
        <f t="shared" si="0"/>
        <v>0</v>
      </c>
      <c r="AA10" s="55">
        <f t="shared" si="0"/>
        <v>0</v>
      </c>
      <c r="AB10" s="55">
        <f t="shared" si="0"/>
        <v>0</v>
      </c>
      <c r="AC10" s="56">
        <f t="shared" si="0"/>
        <v>0</v>
      </c>
      <c r="AD10" s="6"/>
      <c r="AF10" s="5"/>
      <c r="AG10" s="40" t="s">
        <v>21</v>
      </c>
      <c r="AH10" s="44">
        <f>SUM(D140:D170)</f>
        <v>0</v>
      </c>
      <c r="AI10" s="54">
        <f t="shared" ref="AI10:AR10" si="7">SUM(E140:E170)</f>
        <v>0</v>
      </c>
      <c r="AJ10" s="55">
        <f t="shared" si="7"/>
        <v>0</v>
      </c>
      <c r="AK10" s="55">
        <f t="shared" si="7"/>
        <v>0</v>
      </c>
      <c r="AL10" s="55">
        <f t="shared" si="7"/>
        <v>0</v>
      </c>
      <c r="AM10" s="55">
        <f t="shared" si="7"/>
        <v>0</v>
      </c>
      <c r="AN10" s="55">
        <f t="shared" si="7"/>
        <v>0</v>
      </c>
      <c r="AO10" s="55">
        <f t="shared" si="7"/>
        <v>0</v>
      </c>
      <c r="AP10" s="55">
        <f t="shared" si="7"/>
        <v>0</v>
      </c>
      <c r="AQ10" s="55">
        <f t="shared" si="7"/>
        <v>0</v>
      </c>
      <c r="AR10" s="56">
        <f t="shared" si="7"/>
        <v>0</v>
      </c>
      <c r="AS10" s="6"/>
    </row>
    <row r="11" spans="2:45" x14ac:dyDescent="0.35">
      <c r="B11" s="5"/>
      <c r="C11" s="40">
        <f t="shared" si="5"/>
        <v>45662</v>
      </c>
      <c r="D11" s="46">
        <f>SUMIFS(Einzelbeträge!$D:$D,Einzelbeträge!$C:$C,'Ausgaben Vorlage'!$C11)</f>
        <v>0</v>
      </c>
      <c r="E11" s="21">
        <f>SUMIFS(Einzelbeträge!$D:$D,Einzelbeträge!$C:$C,'Ausgaben Vorlage'!$C11,Einzelbeträge!$E:$E,'Ausgaben Vorlage'!E$6)</f>
        <v>0</v>
      </c>
      <c r="F11" s="21">
        <f>SUMIFS(Einzelbeträge!$D:$D,Einzelbeträge!$C:$C,'Ausgaben Vorlage'!$C11,Einzelbeträge!$E:$E,'Ausgaben Vorlage'!F$6)</f>
        <v>0</v>
      </c>
      <c r="G11" s="21">
        <f>SUMIFS(Einzelbeträge!$D:$D,Einzelbeträge!$C:$C,'Ausgaben Vorlage'!$C11,Einzelbeträge!$E:$E,'Ausgaben Vorlage'!G$6)</f>
        <v>0</v>
      </c>
      <c r="H11" s="21">
        <f>SUMIFS(Einzelbeträge!$D:$D,Einzelbeträge!$C:$C,'Ausgaben Vorlage'!$C11,Einzelbeträge!$E:$E,'Ausgaben Vorlage'!H$6)</f>
        <v>0</v>
      </c>
      <c r="I11" s="21">
        <f>SUMIFS(Einzelbeträge!$D:$D,Einzelbeträge!$C:$C,'Ausgaben Vorlage'!$C11,Einzelbeträge!$E:$E,'Ausgaben Vorlage'!I$6)</f>
        <v>0</v>
      </c>
      <c r="J11" s="21">
        <f>SUMIFS(Einzelbeträge!$D:$D,Einzelbeträge!$C:$C,'Ausgaben Vorlage'!$C11,Einzelbeträge!$E:$E,'Ausgaben Vorlage'!J$6)</f>
        <v>0</v>
      </c>
      <c r="K11" s="21">
        <f>SUMIFS(Einzelbeträge!$D:$D,Einzelbeträge!$C:$C,'Ausgaben Vorlage'!$C11,Einzelbeträge!$E:$E,'Ausgaben Vorlage'!K$6)</f>
        <v>0</v>
      </c>
      <c r="L11" s="21">
        <f>SUMIFS(Einzelbeträge!$D:$D,Einzelbeträge!$C:$C,'Ausgaben Vorlage'!$C11,Einzelbeträge!$E:$E,'Ausgaben Vorlage'!L$6)</f>
        <v>0</v>
      </c>
      <c r="M11" s="21">
        <f>SUMIFS(Einzelbeträge!$D:$D,Einzelbeträge!$C:$C,'Ausgaben Vorlage'!$C11,Einzelbeträge!$E:$E,'Ausgaben Vorlage'!M$6)</f>
        <v>0</v>
      </c>
      <c r="N11" s="35">
        <f>SUMIFS(Einzelbeträge!$D:$D,Einzelbeträge!$C:$C,'Ausgaben Vorlage'!$C11,Einzelbeträge!$E:$E,'Ausgaben Vorlage'!N$6)</f>
        <v>0</v>
      </c>
      <c r="O11" s="6"/>
      <c r="Q11" s="5"/>
      <c r="R11" s="30" t="str">
        <f>TEXT(($C$7+7*COUNTA($C$7:$C11))-WEEKDAY($C$7+7*COUNTA($C$7:$C11),3),"TT.MM.JJJJ")&amp;" - "&amp;TEXT(($C$7+7*COUNTA($C$7:$C11))-WEEKDAY($C$7+7*COUNTA($C$7:$C11),3)+6,"TT.MM.JJJJ")</f>
        <v>03.02.2025 - 09.02.2025</v>
      </c>
      <c r="S11" s="46">
        <f t="shared" si="2"/>
        <v>0</v>
      </c>
      <c r="T11" s="55">
        <f t="shared" si="0"/>
        <v>0</v>
      </c>
      <c r="U11" s="55">
        <f t="shared" si="0"/>
        <v>0</v>
      </c>
      <c r="V11" s="55">
        <f t="shared" si="0"/>
        <v>0</v>
      </c>
      <c r="W11" s="55">
        <f t="shared" si="0"/>
        <v>0</v>
      </c>
      <c r="X11" s="55">
        <f t="shared" si="0"/>
        <v>0</v>
      </c>
      <c r="Y11" s="55">
        <f t="shared" si="0"/>
        <v>0</v>
      </c>
      <c r="Z11" s="55">
        <f t="shared" si="0"/>
        <v>0</v>
      </c>
      <c r="AA11" s="55">
        <f t="shared" si="0"/>
        <v>0</v>
      </c>
      <c r="AB11" s="55">
        <f t="shared" si="0"/>
        <v>0</v>
      </c>
      <c r="AC11" s="56">
        <f t="shared" si="0"/>
        <v>0</v>
      </c>
      <c r="AD11" s="6"/>
      <c r="AF11" s="5"/>
      <c r="AG11" s="40" t="s">
        <v>22</v>
      </c>
      <c r="AH11" s="44">
        <f>SUM(D174:D203)</f>
        <v>0</v>
      </c>
      <c r="AI11" s="54">
        <f t="shared" ref="AI11:AR11" si="8">SUM(E174:E203)</f>
        <v>0</v>
      </c>
      <c r="AJ11" s="55">
        <f t="shared" si="8"/>
        <v>0</v>
      </c>
      <c r="AK11" s="55">
        <f t="shared" si="8"/>
        <v>0</v>
      </c>
      <c r="AL11" s="55">
        <f t="shared" si="8"/>
        <v>0</v>
      </c>
      <c r="AM11" s="55">
        <f t="shared" si="8"/>
        <v>0</v>
      </c>
      <c r="AN11" s="55">
        <f t="shared" si="8"/>
        <v>0</v>
      </c>
      <c r="AO11" s="55">
        <f t="shared" si="8"/>
        <v>0</v>
      </c>
      <c r="AP11" s="55">
        <f t="shared" si="8"/>
        <v>0</v>
      </c>
      <c r="AQ11" s="55">
        <f t="shared" si="8"/>
        <v>0</v>
      </c>
      <c r="AR11" s="56">
        <f t="shared" si="8"/>
        <v>0</v>
      </c>
      <c r="AS11" s="6"/>
    </row>
    <row r="12" spans="2:45" x14ac:dyDescent="0.35">
      <c r="B12" s="5"/>
      <c r="C12" s="40">
        <f t="shared" si="5"/>
        <v>45663</v>
      </c>
      <c r="D12" s="46">
        <f>SUMIFS(Einzelbeträge!$D:$D,Einzelbeträge!$C:$C,'Ausgaben Vorlage'!$C12)</f>
        <v>0</v>
      </c>
      <c r="E12" s="21">
        <f>SUMIFS(Einzelbeträge!$D:$D,Einzelbeträge!$C:$C,'Ausgaben Vorlage'!$C12,Einzelbeträge!$E:$E,'Ausgaben Vorlage'!E$6)</f>
        <v>0</v>
      </c>
      <c r="F12" s="21">
        <f>SUMIFS(Einzelbeträge!$D:$D,Einzelbeträge!$C:$C,'Ausgaben Vorlage'!$C12,Einzelbeträge!$E:$E,'Ausgaben Vorlage'!F$6)</f>
        <v>0</v>
      </c>
      <c r="G12" s="21">
        <f>SUMIFS(Einzelbeträge!$D:$D,Einzelbeträge!$C:$C,'Ausgaben Vorlage'!$C12,Einzelbeträge!$E:$E,'Ausgaben Vorlage'!G$6)</f>
        <v>0</v>
      </c>
      <c r="H12" s="21">
        <f>SUMIFS(Einzelbeträge!$D:$D,Einzelbeträge!$C:$C,'Ausgaben Vorlage'!$C12,Einzelbeträge!$E:$E,'Ausgaben Vorlage'!H$6)</f>
        <v>0</v>
      </c>
      <c r="I12" s="21">
        <f>SUMIFS(Einzelbeträge!$D:$D,Einzelbeträge!$C:$C,'Ausgaben Vorlage'!$C12,Einzelbeträge!$E:$E,'Ausgaben Vorlage'!I$6)</f>
        <v>0</v>
      </c>
      <c r="J12" s="21">
        <f>SUMIFS(Einzelbeträge!$D:$D,Einzelbeträge!$C:$C,'Ausgaben Vorlage'!$C12,Einzelbeträge!$E:$E,'Ausgaben Vorlage'!J$6)</f>
        <v>0</v>
      </c>
      <c r="K12" s="21">
        <f>SUMIFS(Einzelbeträge!$D:$D,Einzelbeträge!$C:$C,'Ausgaben Vorlage'!$C12,Einzelbeträge!$E:$E,'Ausgaben Vorlage'!K$6)</f>
        <v>0</v>
      </c>
      <c r="L12" s="21">
        <f>SUMIFS(Einzelbeträge!$D:$D,Einzelbeträge!$C:$C,'Ausgaben Vorlage'!$C12,Einzelbeträge!$E:$E,'Ausgaben Vorlage'!L$6)</f>
        <v>0</v>
      </c>
      <c r="M12" s="21">
        <f>SUMIFS(Einzelbeträge!$D:$D,Einzelbeträge!$C:$C,'Ausgaben Vorlage'!$C12,Einzelbeträge!$E:$E,'Ausgaben Vorlage'!M$6)</f>
        <v>0</v>
      </c>
      <c r="N12" s="35">
        <f>SUMIFS(Einzelbeträge!$D:$D,Einzelbeträge!$C:$C,'Ausgaben Vorlage'!$C12,Einzelbeträge!$E:$E,'Ausgaben Vorlage'!N$6)</f>
        <v>0</v>
      </c>
      <c r="O12" s="6"/>
      <c r="Q12" s="5"/>
      <c r="R12" s="30" t="str">
        <f>TEXT(($C$7+7*COUNTA($C$7:$C12))-WEEKDAY($C$7+7*COUNTA($C$7:$C12),3),"TT.MM.JJJJ")&amp;" - "&amp;TEXT(($C$7+7*COUNTA($C$7:$C12))-WEEKDAY($C$7+7*COUNTA($C$7:$C12),3)+6,"TT.MM.JJJJ")</f>
        <v>10.02.2025 - 16.02.2025</v>
      </c>
      <c r="S12" s="46">
        <f t="shared" si="2"/>
        <v>0</v>
      </c>
      <c r="T12" s="55">
        <f t="shared" si="0"/>
        <v>0</v>
      </c>
      <c r="U12" s="55">
        <f t="shared" si="0"/>
        <v>0</v>
      </c>
      <c r="V12" s="55">
        <f t="shared" si="0"/>
        <v>0</v>
      </c>
      <c r="W12" s="55">
        <f t="shared" si="0"/>
        <v>0</v>
      </c>
      <c r="X12" s="55">
        <f t="shared" si="0"/>
        <v>0</v>
      </c>
      <c r="Y12" s="55">
        <f t="shared" si="0"/>
        <v>0</v>
      </c>
      <c r="Z12" s="55">
        <f t="shared" si="0"/>
        <v>0</v>
      </c>
      <c r="AA12" s="55">
        <f t="shared" si="0"/>
        <v>0</v>
      </c>
      <c r="AB12" s="55">
        <f t="shared" si="0"/>
        <v>0</v>
      </c>
      <c r="AC12" s="56">
        <f t="shared" si="0"/>
        <v>0</v>
      </c>
      <c r="AD12" s="6"/>
      <c r="AF12" s="5"/>
      <c r="AG12" s="40" t="s">
        <v>23</v>
      </c>
      <c r="AH12" s="44">
        <f>SUM(D207:D237)</f>
        <v>0</v>
      </c>
      <c r="AI12" s="54">
        <f t="shared" ref="AI12:AR12" si="9">SUM(E207:E237)</f>
        <v>0</v>
      </c>
      <c r="AJ12" s="55">
        <f t="shared" si="9"/>
        <v>0</v>
      </c>
      <c r="AK12" s="55">
        <f t="shared" si="9"/>
        <v>0</v>
      </c>
      <c r="AL12" s="55">
        <f t="shared" si="9"/>
        <v>0</v>
      </c>
      <c r="AM12" s="55">
        <f t="shared" si="9"/>
        <v>0</v>
      </c>
      <c r="AN12" s="55">
        <f t="shared" si="9"/>
        <v>0</v>
      </c>
      <c r="AO12" s="55">
        <f t="shared" si="9"/>
        <v>0</v>
      </c>
      <c r="AP12" s="55">
        <f t="shared" si="9"/>
        <v>0</v>
      </c>
      <c r="AQ12" s="55">
        <f t="shared" si="9"/>
        <v>0</v>
      </c>
      <c r="AR12" s="56">
        <f t="shared" si="9"/>
        <v>0</v>
      </c>
      <c r="AS12" s="6"/>
    </row>
    <row r="13" spans="2:45" x14ac:dyDescent="0.35">
      <c r="B13" s="5"/>
      <c r="C13" s="40">
        <f t="shared" si="5"/>
        <v>45664</v>
      </c>
      <c r="D13" s="46">
        <f>SUMIFS(Einzelbeträge!$D:$D,Einzelbeträge!$C:$C,'Ausgaben Vorlage'!$C13)</f>
        <v>0</v>
      </c>
      <c r="E13" s="21">
        <f>SUMIFS(Einzelbeträge!$D:$D,Einzelbeträge!$C:$C,'Ausgaben Vorlage'!$C13,Einzelbeträge!$E:$E,'Ausgaben Vorlage'!E$6)</f>
        <v>0</v>
      </c>
      <c r="F13" s="21">
        <f>SUMIFS(Einzelbeträge!$D:$D,Einzelbeträge!$C:$C,'Ausgaben Vorlage'!$C13,Einzelbeträge!$E:$E,'Ausgaben Vorlage'!F$6)</f>
        <v>0</v>
      </c>
      <c r="G13" s="21">
        <f>SUMIFS(Einzelbeträge!$D:$D,Einzelbeträge!$C:$C,'Ausgaben Vorlage'!$C13,Einzelbeträge!$E:$E,'Ausgaben Vorlage'!G$6)</f>
        <v>0</v>
      </c>
      <c r="H13" s="21">
        <f>SUMIFS(Einzelbeträge!$D:$D,Einzelbeträge!$C:$C,'Ausgaben Vorlage'!$C13,Einzelbeträge!$E:$E,'Ausgaben Vorlage'!H$6)</f>
        <v>0</v>
      </c>
      <c r="I13" s="21">
        <f>SUMIFS(Einzelbeträge!$D:$D,Einzelbeträge!$C:$C,'Ausgaben Vorlage'!$C13,Einzelbeträge!$E:$E,'Ausgaben Vorlage'!I$6)</f>
        <v>0</v>
      </c>
      <c r="J13" s="21">
        <f>SUMIFS(Einzelbeträge!$D:$D,Einzelbeträge!$C:$C,'Ausgaben Vorlage'!$C13,Einzelbeträge!$E:$E,'Ausgaben Vorlage'!J$6)</f>
        <v>0</v>
      </c>
      <c r="K13" s="21">
        <f>SUMIFS(Einzelbeträge!$D:$D,Einzelbeträge!$C:$C,'Ausgaben Vorlage'!$C13,Einzelbeträge!$E:$E,'Ausgaben Vorlage'!K$6)</f>
        <v>0</v>
      </c>
      <c r="L13" s="21">
        <f>SUMIFS(Einzelbeträge!$D:$D,Einzelbeträge!$C:$C,'Ausgaben Vorlage'!$C13,Einzelbeträge!$E:$E,'Ausgaben Vorlage'!L$6)</f>
        <v>0</v>
      </c>
      <c r="M13" s="21">
        <f>SUMIFS(Einzelbeträge!$D:$D,Einzelbeträge!$C:$C,'Ausgaben Vorlage'!$C13,Einzelbeträge!$E:$E,'Ausgaben Vorlage'!M$6)</f>
        <v>0</v>
      </c>
      <c r="N13" s="35">
        <f>SUMIFS(Einzelbeträge!$D:$D,Einzelbeträge!$C:$C,'Ausgaben Vorlage'!$C13,Einzelbeträge!$E:$E,'Ausgaben Vorlage'!N$6)</f>
        <v>0</v>
      </c>
      <c r="O13" s="6"/>
      <c r="Q13" s="5"/>
      <c r="R13" s="30" t="str">
        <f>TEXT(($C$7+7*COUNTA($C$7:$C13))-WEEKDAY($C$7+7*COUNTA($C$7:$C13),3),"TT.MM.JJJJ")&amp;" - "&amp;TEXT(($C$7+7*COUNTA($C$7:$C13))-WEEKDAY($C$7+7*COUNTA($C$7:$C13),3)+6,"TT.MM.JJJJ")</f>
        <v>17.02.2025 - 23.02.2025</v>
      </c>
      <c r="S13" s="46">
        <f t="shared" si="2"/>
        <v>0</v>
      </c>
      <c r="T13" s="55">
        <f t="shared" si="0"/>
        <v>0</v>
      </c>
      <c r="U13" s="55">
        <f t="shared" si="0"/>
        <v>0</v>
      </c>
      <c r="V13" s="55">
        <f t="shared" si="0"/>
        <v>0</v>
      </c>
      <c r="W13" s="55">
        <f t="shared" si="0"/>
        <v>0</v>
      </c>
      <c r="X13" s="55">
        <f t="shared" si="0"/>
        <v>0</v>
      </c>
      <c r="Y13" s="55">
        <f t="shared" si="0"/>
        <v>0</v>
      </c>
      <c r="Z13" s="55">
        <f t="shared" si="0"/>
        <v>0</v>
      </c>
      <c r="AA13" s="55">
        <f t="shared" si="0"/>
        <v>0</v>
      </c>
      <c r="AB13" s="55">
        <f t="shared" si="0"/>
        <v>0</v>
      </c>
      <c r="AC13" s="56">
        <f t="shared" si="0"/>
        <v>0</v>
      </c>
      <c r="AD13" s="6"/>
      <c r="AF13" s="5"/>
      <c r="AG13" s="40" t="s">
        <v>24</v>
      </c>
      <c r="AH13" s="44">
        <f>SUM(D241:D271)</f>
        <v>0</v>
      </c>
      <c r="AI13" s="54">
        <f t="shared" ref="AI13:AR13" si="10">SUM(E241:E271)</f>
        <v>0</v>
      </c>
      <c r="AJ13" s="55">
        <f t="shared" si="10"/>
        <v>0</v>
      </c>
      <c r="AK13" s="55">
        <f t="shared" si="10"/>
        <v>0</v>
      </c>
      <c r="AL13" s="55">
        <f t="shared" si="10"/>
        <v>0</v>
      </c>
      <c r="AM13" s="55">
        <f t="shared" si="10"/>
        <v>0</v>
      </c>
      <c r="AN13" s="55">
        <f t="shared" si="10"/>
        <v>0</v>
      </c>
      <c r="AO13" s="55">
        <f t="shared" si="10"/>
        <v>0</v>
      </c>
      <c r="AP13" s="55">
        <f t="shared" si="10"/>
        <v>0</v>
      </c>
      <c r="AQ13" s="55">
        <f t="shared" si="10"/>
        <v>0</v>
      </c>
      <c r="AR13" s="56">
        <f t="shared" si="10"/>
        <v>0</v>
      </c>
      <c r="AS13" s="6"/>
    </row>
    <row r="14" spans="2:45" x14ac:dyDescent="0.35">
      <c r="B14" s="5"/>
      <c r="C14" s="40">
        <f t="shared" si="5"/>
        <v>45665</v>
      </c>
      <c r="D14" s="46">
        <f>SUMIFS(Einzelbeträge!$D:$D,Einzelbeträge!$C:$C,'Ausgaben Vorlage'!$C14)</f>
        <v>0</v>
      </c>
      <c r="E14" s="21">
        <f>SUMIFS(Einzelbeträge!$D:$D,Einzelbeträge!$C:$C,'Ausgaben Vorlage'!$C14,Einzelbeträge!$E:$E,'Ausgaben Vorlage'!E$6)</f>
        <v>0</v>
      </c>
      <c r="F14" s="21">
        <f>SUMIFS(Einzelbeträge!$D:$D,Einzelbeträge!$C:$C,'Ausgaben Vorlage'!$C14,Einzelbeträge!$E:$E,'Ausgaben Vorlage'!F$6)</f>
        <v>0</v>
      </c>
      <c r="G14" s="21">
        <f>SUMIFS(Einzelbeträge!$D:$D,Einzelbeträge!$C:$C,'Ausgaben Vorlage'!$C14,Einzelbeträge!$E:$E,'Ausgaben Vorlage'!G$6)</f>
        <v>0</v>
      </c>
      <c r="H14" s="21">
        <f>SUMIFS(Einzelbeträge!$D:$D,Einzelbeträge!$C:$C,'Ausgaben Vorlage'!$C14,Einzelbeträge!$E:$E,'Ausgaben Vorlage'!H$6)</f>
        <v>0</v>
      </c>
      <c r="I14" s="21">
        <f>SUMIFS(Einzelbeträge!$D:$D,Einzelbeträge!$C:$C,'Ausgaben Vorlage'!$C14,Einzelbeträge!$E:$E,'Ausgaben Vorlage'!I$6)</f>
        <v>0</v>
      </c>
      <c r="J14" s="21">
        <f>SUMIFS(Einzelbeträge!$D:$D,Einzelbeträge!$C:$C,'Ausgaben Vorlage'!$C14,Einzelbeträge!$E:$E,'Ausgaben Vorlage'!J$6)</f>
        <v>0</v>
      </c>
      <c r="K14" s="21">
        <f>SUMIFS(Einzelbeträge!$D:$D,Einzelbeträge!$C:$C,'Ausgaben Vorlage'!$C14,Einzelbeträge!$E:$E,'Ausgaben Vorlage'!K$6)</f>
        <v>0</v>
      </c>
      <c r="L14" s="21">
        <f>SUMIFS(Einzelbeträge!$D:$D,Einzelbeträge!$C:$C,'Ausgaben Vorlage'!$C14,Einzelbeträge!$E:$E,'Ausgaben Vorlage'!L$6)</f>
        <v>0</v>
      </c>
      <c r="M14" s="21">
        <f>SUMIFS(Einzelbeträge!$D:$D,Einzelbeträge!$C:$C,'Ausgaben Vorlage'!$C14,Einzelbeträge!$E:$E,'Ausgaben Vorlage'!M$6)</f>
        <v>0</v>
      </c>
      <c r="N14" s="35">
        <f>SUMIFS(Einzelbeträge!$D:$D,Einzelbeträge!$C:$C,'Ausgaben Vorlage'!$C14,Einzelbeträge!$E:$E,'Ausgaben Vorlage'!N$6)</f>
        <v>0</v>
      </c>
      <c r="O14" s="6"/>
      <c r="Q14" s="5"/>
      <c r="R14" s="30" t="str">
        <f>TEXT(($C$7+7*COUNTA($C$7:$C14))-WEEKDAY($C$7+7*COUNTA($C$7:$C14),3),"TT.MM.JJJJ")&amp;" - "&amp;TEXT(($C$7+7*COUNTA($C$7:$C14))-WEEKDAY($C$7+7*COUNTA($C$7:$C14),3)+6,"TT.MM.JJJJ")</f>
        <v>24.02.2025 - 02.03.2025</v>
      </c>
      <c r="S14" s="46">
        <f t="shared" si="2"/>
        <v>0</v>
      </c>
      <c r="T14" s="55">
        <f t="shared" si="0"/>
        <v>0</v>
      </c>
      <c r="U14" s="55">
        <f t="shared" si="0"/>
        <v>0</v>
      </c>
      <c r="V14" s="55">
        <f t="shared" si="0"/>
        <v>0</v>
      </c>
      <c r="W14" s="55">
        <f t="shared" si="0"/>
        <v>0</v>
      </c>
      <c r="X14" s="55">
        <f t="shared" si="0"/>
        <v>0</v>
      </c>
      <c r="Y14" s="55">
        <f t="shared" si="0"/>
        <v>0</v>
      </c>
      <c r="Z14" s="55">
        <f t="shared" si="0"/>
        <v>0</v>
      </c>
      <c r="AA14" s="55">
        <f t="shared" si="0"/>
        <v>0</v>
      </c>
      <c r="AB14" s="55">
        <f t="shared" si="0"/>
        <v>0</v>
      </c>
      <c r="AC14" s="56">
        <f t="shared" si="0"/>
        <v>0</v>
      </c>
      <c r="AD14" s="6"/>
      <c r="AF14" s="5"/>
      <c r="AG14" s="40" t="s">
        <v>25</v>
      </c>
      <c r="AH14" s="44">
        <f>SUM(D275:D304)</f>
        <v>0</v>
      </c>
      <c r="AI14" s="34">
        <f t="shared" ref="AI14:AR14" si="11">SUM(E275:E304)</f>
        <v>0</v>
      </c>
      <c r="AJ14" s="21">
        <f t="shared" si="11"/>
        <v>0</v>
      </c>
      <c r="AK14" s="21">
        <f t="shared" si="11"/>
        <v>0</v>
      </c>
      <c r="AL14" s="21">
        <f t="shared" si="11"/>
        <v>0</v>
      </c>
      <c r="AM14" s="21">
        <f t="shared" si="11"/>
        <v>0</v>
      </c>
      <c r="AN14" s="21">
        <f t="shared" si="11"/>
        <v>0</v>
      </c>
      <c r="AO14" s="21">
        <f t="shared" si="11"/>
        <v>0</v>
      </c>
      <c r="AP14" s="21">
        <f t="shared" si="11"/>
        <v>0</v>
      </c>
      <c r="AQ14" s="21">
        <f t="shared" si="11"/>
        <v>0</v>
      </c>
      <c r="AR14" s="35">
        <f t="shared" si="11"/>
        <v>0</v>
      </c>
      <c r="AS14" s="6"/>
    </row>
    <row r="15" spans="2:45" x14ac:dyDescent="0.35">
      <c r="B15" s="5"/>
      <c r="C15" s="40">
        <f t="shared" si="5"/>
        <v>45666</v>
      </c>
      <c r="D15" s="46">
        <f>SUMIFS(Einzelbeträge!$D:$D,Einzelbeträge!$C:$C,'Ausgaben Vorlage'!$C15)</f>
        <v>0</v>
      </c>
      <c r="E15" s="21">
        <f>SUMIFS(Einzelbeträge!$D:$D,Einzelbeträge!$C:$C,'Ausgaben Vorlage'!$C15,Einzelbeträge!$E:$E,'Ausgaben Vorlage'!E$6)</f>
        <v>0</v>
      </c>
      <c r="F15" s="21">
        <f>SUMIFS(Einzelbeträge!$D:$D,Einzelbeträge!$C:$C,'Ausgaben Vorlage'!$C15,Einzelbeträge!$E:$E,'Ausgaben Vorlage'!F$6)</f>
        <v>0</v>
      </c>
      <c r="G15" s="21">
        <f>SUMIFS(Einzelbeträge!$D:$D,Einzelbeträge!$C:$C,'Ausgaben Vorlage'!$C15,Einzelbeträge!$E:$E,'Ausgaben Vorlage'!G$6)</f>
        <v>0</v>
      </c>
      <c r="H15" s="21">
        <f>SUMIFS(Einzelbeträge!$D:$D,Einzelbeträge!$C:$C,'Ausgaben Vorlage'!$C15,Einzelbeträge!$E:$E,'Ausgaben Vorlage'!H$6)</f>
        <v>0</v>
      </c>
      <c r="I15" s="21">
        <f>SUMIFS(Einzelbeträge!$D:$D,Einzelbeträge!$C:$C,'Ausgaben Vorlage'!$C15,Einzelbeträge!$E:$E,'Ausgaben Vorlage'!I$6)</f>
        <v>0</v>
      </c>
      <c r="J15" s="21">
        <f>SUMIFS(Einzelbeträge!$D:$D,Einzelbeträge!$C:$C,'Ausgaben Vorlage'!$C15,Einzelbeträge!$E:$E,'Ausgaben Vorlage'!J$6)</f>
        <v>0</v>
      </c>
      <c r="K15" s="21">
        <f>SUMIFS(Einzelbeträge!$D:$D,Einzelbeträge!$C:$C,'Ausgaben Vorlage'!$C15,Einzelbeträge!$E:$E,'Ausgaben Vorlage'!K$6)</f>
        <v>0</v>
      </c>
      <c r="L15" s="21">
        <f>SUMIFS(Einzelbeträge!$D:$D,Einzelbeträge!$C:$C,'Ausgaben Vorlage'!$C15,Einzelbeträge!$E:$E,'Ausgaben Vorlage'!L$6)</f>
        <v>0</v>
      </c>
      <c r="M15" s="21">
        <f>SUMIFS(Einzelbeträge!$D:$D,Einzelbeträge!$C:$C,'Ausgaben Vorlage'!$C15,Einzelbeträge!$E:$E,'Ausgaben Vorlage'!M$6)</f>
        <v>0</v>
      </c>
      <c r="N15" s="35">
        <f>SUMIFS(Einzelbeträge!$D:$D,Einzelbeträge!$C:$C,'Ausgaben Vorlage'!$C15,Einzelbeträge!$E:$E,'Ausgaben Vorlage'!N$6)</f>
        <v>0</v>
      </c>
      <c r="O15" s="6"/>
      <c r="Q15" s="5"/>
      <c r="R15" s="30" t="str">
        <f>TEXT(($C$7+7*COUNTA($C$7:$C15))-WEEKDAY($C$7+7*COUNTA($C$7:$C15),3),"TT.MM.JJJJ")&amp;" - "&amp;TEXT(($C$7+7*COUNTA($C$7:$C15))-WEEKDAY($C$7+7*COUNTA($C$7:$C15),3)+6,"TT.MM.JJJJ")</f>
        <v>03.03.2025 - 09.03.2025</v>
      </c>
      <c r="S15" s="46">
        <f t="shared" si="2"/>
        <v>0</v>
      </c>
      <c r="T15" s="55">
        <f t="shared" si="0"/>
        <v>0</v>
      </c>
      <c r="U15" s="55">
        <f t="shared" si="0"/>
        <v>0</v>
      </c>
      <c r="V15" s="55">
        <f t="shared" si="0"/>
        <v>0</v>
      </c>
      <c r="W15" s="55">
        <f t="shared" si="0"/>
        <v>0</v>
      </c>
      <c r="X15" s="55">
        <f t="shared" si="0"/>
        <v>0</v>
      </c>
      <c r="Y15" s="55">
        <f t="shared" si="0"/>
        <v>0</v>
      </c>
      <c r="Z15" s="55">
        <f t="shared" si="0"/>
        <v>0</v>
      </c>
      <c r="AA15" s="55">
        <f t="shared" si="0"/>
        <v>0</v>
      </c>
      <c r="AB15" s="55">
        <f t="shared" si="0"/>
        <v>0</v>
      </c>
      <c r="AC15" s="56">
        <f t="shared" si="0"/>
        <v>0</v>
      </c>
      <c r="AD15" s="6"/>
      <c r="AF15" s="5"/>
      <c r="AG15" s="40" t="s">
        <v>26</v>
      </c>
      <c r="AH15" s="44">
        <f>SUM(D308:D338)</f>
        <v>0</v>
      </c>
      <c r="AI15" s="34">
        <f t="shared" ref="AI15:AR15" si="12">SUM(E308:E338)</f>
        <v>0</v>
      </c>
      <c r="AJ15" s="21">
        <f t="shared" si="12"/>
        <v>0</v>
      </c>
      <c r="AK15" s="21">
        <f t="shared" si="12"/>
        <v>0</v>
      </c>
      <c r="AL15" s="21">
        <f t="shared" si="12"/>
        <v>0</v>
      </c>
      <c r="AM15" s="21">
        <f t="shared" si="12"/>
        <v>0</v>
      </c>
      <c r="AN15" s="21">
        <f t="shared" si="12"/>
        <v>0</v>
      </c>
      <c r="AO15" s="21">
        <f t="shared" si="12"/>
        <v>0</v>
      </c>
      <c r="AP15" s="21">
        <f t="shared" si="12"/>
        <v>0</v>
      </c>
      <c r="AQ15" s="21">
        <f t="shared" si="12"/>
        <v>0</v>
      </c>
      <c r="AR15" s="35">
        <f t="shared" si="12"/>
        <v>0</v>
      </c>
      <c r="AS15" s="6"/>
    </row>
    <row r="16" spans="2:45" x14ac:dyDescent="0.35">
      <c r="B16" s="5"/>
      <c r="C16" s="40">
        <f t="shared" si="5"/>
        <v>45667</v>
      </c>
      <c r="D16" s="46">
        <f>SUMIFS(Einzelbeträge!$D:$D,Einzelbeträge!$C:$C,'Ausgaben Vorlage'!$C16)</f>
        <v>0</v>
      </c>
      <c r="E16" s="21">
        <f>SUMIFS(Einzelbeträge!$D:$D,Einzelbeträge!$C:$C,'Ausgaben Vorlage'!$C16,Einzelbeträge!$E:$E,'Ausgaben Vorlage'!E$6)</f>
        <v>0</v>
      </c>
      <c r="F16" s="21">
        <f>SUMIFS(Einzelbeträge!$D:$D,Einzelbeträge!$C:$C,'Ausgaben Vorlage'!$C16,Einzelbeträge!$E:$E,'Ausgaben Vorlage'!F$6)</f>
        <v>0</v>
      </c>
      <c r="G16" s="21">
        <f>SUMIFS(Einzelbeträge!$D:$D,Einzelbeträge!$C:$C,'Ausgaben Vorlage'!$C16,Einzelbeträge!$E:$E,'Ausgaben Vorlage'!G$6)</f>
        <v>0</v>
      </c>
      <c r="H16" s="21">
        <f>SUMIFS(Einzelbeträge!$D:$D,Einzelbeträge!$C:$C,'Ausgaben Vorlage'!$C16,Einzelbeträge!$E:$E,'Ausgaben Vorlage'!H$6)</f>
        <v>0</v>
      </c>
      <c r="I16" s="21">
        <f>SUMIFS(Einzelbeträge!$D:$D,Einzelbeträge!$C:$C,'Ausgaben Vorlage'!$C16,Einzelbeträge!$E:$E,'Ausgaben Vorlage'!I$6)</f>
        <v>0</v>
      </c>
      <c r="J16" s="21">
        <f>SUMIFS(Einzelbeträge!$D:$D,Einzelbeträge!$C:$C,'Ausgaben Vorlage'!$C16,Einzelbeträge!$E:$E,'Ausgaben Vorlage'!J$6)</f>
        <v>0</v>
      </c>
      <c r="K16" s="21">
        <f>SUMIFS(Einzelbeträge!$D:$D,Einzelbeträge!$C:$C,'Ausgaben Vorlage'!$C16,Einzelbeträge!$E:$E,'Ausgaben Vorlage'!K$6)</f>
        <v>0</v>
      </c>
      <c r="L16" s="21">
        <f>SUMIFS(Einzelbeträge!$D:$D,Einzelbeträge!$C:$C,'Ausgaben Vorlage'!$C16,Einzelbeträge!$E:$E,'Ausgaben Vorlage'!L$6)</f>
        <v>0</v>
      </c>
      <c r="M16" s="21">
        <f>SUMIFS(Einzelbeträge!$D:$D,Einzelbeträge!$C:$C,'Ausgaben Vorlage'!$C16,Einzelbeträge!$E:$E,'Ausgaben Vorlage'!M$6)</f>
        <v>0</v>
      </c>
      <c r="N16" s="35">
        <f>SUMIFS(Einzelbeträge!$D:$D,Einzelbeträge!$C:$C,'Ausgaben Vorlage'!$C16,Einzelbeträge!$E:$E,'Ausgaben Vorlage'!N$6)</f>
        <v>0</v>
      </c>
      <c r="O16" s="6"/>
      <c r="Q16" s="5"/>
      <c r="R16" s="30" t="str">
        <f>TEXT(($C$7+7*COUNTA($C$7:$C16))-WEEKDAY($C$7+7*COUNTA($C$7:$C16),3),"TT.MM.JJJJ")&amp;" - "&amp;TEXT(($C$7+7*COUNTA($C$7:$C16))-WEEKDAY($C$7+7*COUNTA($C$7:$C16),3)+6,"TT.MM.JJJJ")</f>
        <v>10.03.2025 - 16.03.2025</v>
      </c>
      <c r="S16" s="46">
        <f t="shared" si="2"/>
        <v>0</v>
      </c>
      <c r="T16" s="55">
        <f t="shared" si="0"/>
        <v>0</v>
      </c>
      <c r="U16" s="55">
        <f t="shared" si="0"/>
        <v>0</v>
      </c>
      <c r="V16" s="55">
        <f t="shared" si="0"/>
        <v>0</v>
      </c>
      <c r="W16" s="55">
        <f t="shared" si="0"/>
        <v>0</v>
      </c>
      <c r="X16" s="55">
        <f t="shared" si="0"/>
        <v>0</v>
      </c>
      <c r="Y16" s="55">
        <f t="shared" si="0"/>
        <v>0</v>
      </c>
      <c r="Z16" s="55">
        <f t="shared" si="0"/>
        <v>0</v>
      </c>
      <c r="AA16" s="55">
        <f t="shared" si="0"/>
        <v>0</v>
      </c>
      <c r="AB16" s="55">
        <f t="shared" si="0"/>
        <v>0</v>
      </c>
      <c r="AC16" s="56">
        <f t="shared" si="0"/>
        <v>0</v>
      </c>
      <c r="AD16" s="6"/>
      <c r="AF16" s="5"/>
      <c r="AG16" s="40" t="s">
        <v>27</v>
      </c>
      <c r="AH16" s="44">
        <f>SUM(D342:D371)</f>
        <v>0</v>
      </c>
      <c r="AI16" s="34">
        <f t="shared" ref="AI16:AR16" si="13">SUM(E342:E371)</f>
        <v>0</v>
      </c>
      <c r="AJ16" s="21">
        <f t="shared" si="13"/>
        <v>0</v>
      </c>
      <c r="AK16" s="21">
        <f t="shared" si="13"/>
        <v>0</v>
      </c>
      <c r="AL16" s="21">
        <f t="shared" si="13"/>
        <v>0</v>
      </c>
      <c r="AM16" s="21">
        <f t="shared" si="13"/>
        <v>0</v>
      </c>
      <c r="AN16" s="21">
        <f t="shared" si="13"/>
        <v>0</v>
      </c>
      <c r="AO16" s="21">
        <f t="shared" si="13"/>
        <v>0</v>
      </c>
      <c r="AP16" s="21">
        <f t="shared" si="13"/>
        <v>0</v>
      </c>
      <c r="AQ16" s="21">
        <f t="shared" si="13"/>
        <v>0</v>
      </c>
      <c r="AR16" s="35">
        <f t="shared" si="13"/>
        <v>0</v>
      </c>
      <c r="AS16" s="6"/>
    </row>
    <row r="17" spans="2:45" x14ac:dyDescent="0.35">
      <c r="B17" s="5"/>
      <c r="C17" s="40">
        <f t="shared" si="5"/>
        <v>45668</v>
      </c>
      <c r="D17" s="46">
        <f>SUMIFS(Einzelbeträge!$D:$D,Einzelbeträge!$C:$C,'Ausgaben Vorlage'!$C17)</f>
        <v>0</v>
      </c>
      <c r="E17" s="21">
        <f>SUMIFS(Einzelbeträge!$D:$D,Einzelbeträge!$C:$C,'Ausgaben Vorlage'!$C17,Einzelbeträge!$E:$E,'Ausgaben Vorlage'!E$6)</f>
        <v>0</v>
      </c>
      <c r="F17" s="21">
        <f>SUMIFS(Einzelbeträge!$D:$D,Einzelbeträge!$C:$C,'Ausgaben Vorlage'!$C17,Einzelbeträge!$E:$E,'Ausgaben Vorlage'!F$6)</f>
        <v>0</v>
      </c>
      <c r="G17" s="21">
        <f>SUMIFS(Einzelbeträge!$D:$D,Einzelbeträge!$C:$C,'Ausgaben Vorlage'!$C17,Einzelbeträge!$E:$E,'Ausgaben Vorlage'!G$6)</f>
        <v>0</v>
      </c>
      <c r="H17" s="21">
        <f>SUMIFS(Einzelbeträge!$D:$D,Einzelbeträge!$C:$C,'Ausgaben Vorlage'!$C17,Einzelbeträge!$E:$E,'Ausgaben Vorlage'!H$6)</f>
        <v>0</v>
      </c>
      <c r="I17" s="21">
        <f>SUMIFS(Einzelbeträge!$D:$D,Einzelbeträge!$C:$C,'Ausgaben Vorlage'!$C17,Einzelbeträge!$E:$E,'Ausgaben Vorlage'!I$6)</f>
        <v>0</v>
      </c>
      <c r="J17" s="21">
        <f>SUMIFS(Einzelbeträge!$D:$D,Einzelbeträge!$C:$C,'Ausgaben Vorlage'!$C17,Einzelbeträge!$E:$E,'Ausgaben Vorlage'!J$6)</f>
        <v>0</v>
      </c>
      <c r="K17" s="21">
        <f>SUMIFS(Einzelbeträge!$D:$D,Einzelbeträge!$C:$C,'Ausgaben Vorlage'!$C17,Einzelbeträge!$E:$E,'Ausgaben Vorlage'!K$6)</f>
        <v>0</v>
      </c>
      <c r="L17" s="21">
        <f>SUMIFS(Einzelbeträge!$D:$D,Einzelbeträge!$C:$C,'Ausgaben Vorlage'!$C17,Einzelbeträge!$E:$E,'Ausgaben Vorlage'!L$6)</f>
        <v>0</v>
      </c>
      <c r="M17" s="21">
        <f>SUMIFS(Einzelbeträge!$D:$D,Einzelbeträge!$C:$C,'Ausgaben Vorlage'!$C17,Einzelbeträge!$E:$E,'Ausgaben Vorlage'!M$6)</f>
        <v>0</v>
      </c>
      <c r="N17" s="35">
        <f>SUMIFS(Einzelbeträge!$D:$D,Einzelbeträge!$C:$C,'Ausgaben Vorlage'!$C17,Einzelbeträge!$E:$E,'Ausgaben Vorlage'!N$6)</f>
        <v>0</v>
      </c>
      <c r="O17" s="6"/>
      <c r="Q17" s="5"/>
      <c r="R17" s="30" t="str">
        <f>TEXT(($C$7+7*COUNTA($C$7:$C17))-WEEKDAY($C$7+7*COUNTA($C$7:$C17),3),"TT.MM.JJJJ")&amp;" - "&amp;TEXT(($C$7+7*COUNTA($C$7:$C17))-WEEKDAY($C$7+7*COUNTA($C$7:$C17),3)+6,"TT.MM.JJJJ")</f>
        <v>17.03.2025 - 23.03.2025</v>
      </c>
      <c r="S17" s="46">
        <f t="shared" si="2"/>
        <v>0</v>
      </c>
      <c r="T17" s="55">
        <f t="shared" si="0"/>
        <v>0</v>
      </c>
      <c r="U17" s="55">
        <f t="shared" si="0"/>
        <v>0</v>
      </c>
      <c r="V17" s="55">
        <f t="shared" si="0"/>
        <v>0</v>
      </c>
      <c r="W17" s="55">
        <f t="shared" si="0"/>
        <v>0</v>
      </c>
      <c r="X17" s="55">
        <f t="shared" si="0"/>
        <v>0</v>
      </c>
      <c r="Y17" s="55">
        <f t="shared" si="0"/>
        <v>0</v>
      </c>
      <c r="Z17" s="55">
        <f t="shared" si="0"/>
        <v>0</v>
      </c>
      <c r="AA17" s="55">
        <f t="shared" si="0"/>
        <v>0</v>
      </c>
      <c r="AB17" s="55">
        <f t="shared" si="0"/>
        <v>0</v>
      </c>
      <c r="AC17" s="56">
        <f t="shared" si="0"/>
        <v>0</v>
      </c>
      <c r="AD17" s="6"/>
      <c r="AF17" s="5"/>
      <c r="AG17" s="41" t="s">
        <v>28</v>
      </c>
      <c r="AH17" s="73">
        <f>SUM(D375:D405)</f>
        <v>0</v>
      </c>
      <c r="AI17" s="36">
        <f t="shared" ref="AI17:AR17" si="14">SUM(E375:E405)</f>
        <v>0</v>
      </c>
      <c r="AJ17" s="37">
        <f t="shared" si="14"/>
        <v>0</v>
      </c>
      <c r="AK17" s="37">
        <f t="shared" si="14"/>
        <v>0</v>
      </c>
      <c r="AL17" s="37">
        <f t="shared" si="14"/>
        <v>0</v>
      </c>
      <c r="AM17" s="37">
        <f t="shared" si="14"/>
        <v>0</v>
      </c>
      <c r="AN17" s="37">
        <f t="shared" si="14"/>
        <v>0</v>
      </c>
      <c r="AO17" s="37">
        <f t="shared" si="14"/>
        <v>0</v>
      </c>
      <c r="AP17" s="37">
        <f t="shared" si="14"/>
        <v>0</v>
      </c>
      <c r="AQ17" s="37">
        <f t="shared" si="14"/>
        <v>0</v>
      </c>
      <c r="AR17" s="38">
        <f t="shared" si="14"/>
        <v>0</v>
      </c>
      <c r="AS17" s="6"/>
    </row>
    <row r="18" spans="2:45" ht="15" thickBot="1" x14ac:dyDescent="0.4">
      <c r="B18" s="5"/>
      <c r="C18" s="40">
        <f t="shared" si="5"/>
        <v>45669</v>
      </c>
      <c r="D18" s="46">
        <f>SUMIFS(Einzelbeträge!$D:$D,Einzelbeträge!$C:$C,'Ausgaben Vorlage'!$C18)</f>
        <v>0</v>
      </c>
      <c r="E18" s="21">
        <f>SUMIFS(Einzelbeträge!$D:$D,Einzelbeträge!$C:$C,'Ausgaben Vorlage'!$C18,Einzelbeträge!$E:$E,'Ausgaben Vorlage'!E$6)</f>
        <v>0</v>
      </c>
      <c r="F18" s="21">
        <f>SUMIFS(Einzelbeträge!$D:$D,Einzelbeträge!$C:$C,'Ausgaben Vorlage'!$C18,Einzelbeträge!$E:$E,'Ausgaben Vorlage'!F$6)</f>
        <v>0</v>
      </c>
      <c r="G18" s="21">
        <f>SUMIFS(Einzelbeträge!$D:$D,Einzelbeträge!$C:$C,'Ausgaben Vorlage'!$C18,Einzelbeträge!$E:$E,'Ausgaben Vorlage'!G$6)</f>
        <v>0</v>
      </c>
      <c r="H18" s="21">
        <f>SUMIFS(Einzelbeträge!$D:$D,Einzelbeträge!$C:$C,'Ausgaben Vorlage'!$C18,Einzelbeträge!$E:$E,'Ausgaben Vorlage'!H$6)</f>
        <v>0</v>
      </c>
      <c r="I18" s="21">
        <f>SUMIFS(Einzelbeträge!$D:$D,Einzelbeträge!$C:$C,'Ausgaben Vorlage'!$C18,Einzelbeträge!$E:$E,'Ausgaben Vorlage'!I$6)</f>
        <v>0</v>
      </c>
      <c r="J18" s="21">
        <f>SUMIFS(Einzelbeträge!$D:$D,Einzelbeträge!$C:$C,'Ausgaben Vorlage'!$C18,Einzelbeträge!$E:$E,'Ausgaben Vorlage'!J$6)</f>
        <v>0</v>
      </c>
      <c r="K18" s="21">
        <f>SUMIFS(Einzelbeträge!$D:$D,Einzelbeträge!$C:$C,'Ausgaben Vorlage'!$C18,Einzelbeträge!$E:$E,'Ausgaben Vorlage'!K$6)</f>
        <v>0</v>
      </c>
      <c r="L18" s="21">
        <f>SUMIFS(Einzelbeträge!$D:$D,Einzelbeträge!$C:$C,'Ausgaben Vorlage'!$C18,Einzelbeträge!$E:$E,'Ausgaben Vorlage'!L$6)</f>
        <v>0</v>
      </c>
      <c r="M18" s="21">
        <f>SUMIFS(Einzelbeträge!$D:$D,Einzelbeträge!$C:$C,'Ausgaben Vorlage'!$C18,Einzelbeträge!$E:$E,'Ausgaben Vorlage'!M$6)</f>
        <v>0</v>
      </c>
      <c r="N18" s="35">
        <f>SUMIFS(Einzelbeträge!$D:$D,Einzelbeträge!$C:$C,'Ausgaben Vorlage'!$C18,Einzelbeträge!$E:$E,'Ausgaben Vorlage'!N$6)</f>
        <v>0</v>
      </c>
      <c r="O18" s="6"/>
      <c r="Q18" s="5"/>
      <c r="R18" s="30" t="str">
        <f>TEXT(($C$7+7*COUNTA($C$7:$C18))-WEEKDAY($C$7+7*COUNTA($C$7:$C18),3),"TT.MM.JJJJ")&amp;" - "&amp;TEXT(($C$7+7*COUNTA($C$7:$C18))-WEEKDAY($C$7+7*COUNTA($C$7:$C18),3)+6,"TT.MM.JJJJ")</f>
        <v>24.03.2025 - 30.03.2025</v>
      </c>
      <c r="S18" s="46">
        <f t="shared" si="2"/>
        <v>0</v>
      </c>
      <c r="T18" s="55">
        <f t="shared" si="0"/>
        <v>0</v>
      </c>
      <c r="U18" s="55">
        <f t="shared" si="0"/>
        <v>0</v>
      </c>
      <c r="V18" s="55">
        <f t="shared" si="0"/>
        <v>0</v>
      </c>
      <c r="W18" s="55">
        <f t="shared" si="0"/>
        <v>0</v>
      </c>
      <c r="X18" s="55">
        <f t="shared" si="0"/>
        <v>0</v>
      </c>
      <c r="Y18" s="55">
        <f t="shared" si="0"/>
        <v>0</v>
      </c>
      <c r="Z18" s="55">
        <f t="shared" si="0"/>
        <v>0</v>
      </c>
      <c r="AA18" s="55">
        <f t="shared" si="0"/>
        <v>0</v>
      </c>
      <c r="AB18" s="55">
        <f t="shared" si="0"/>
        <v>0</v>
      </c>
      <c r="AC18" s="56">
        <f t="shared" si="0"/>
        <v>0</v>
      </c>
      <c r="AD18" s="6"/>
      <c r="AF18" s="8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10"/>
    </row>
    <row r="19" spans="2:45" x14ac:dyDescent="0.35">
      <c r="B19" s="5"/>
      <c r="C19" s="40">
        <f t="shared" si="5"/>
        <v>45670</v>
      </c>
      <c r="D19" s="46">
        <f>SUMIFS(Einzelbeträge!$D:$D,Einzelbeträge!$C:$C,'Ausgaben Vorlage'!$C19)</f>
        <v>0</v>
      </c>
      <c r="E19" s="21">
        <f>SUMIFS(Einzelbeträge!$D:$D,Einzelbeträge!$C:$C,'Ausgaben Vorlage'!$C19,Einzelbeträge!$E:$E,'Ausgaben Vorlage'!E$6)</f>
        <v>0</v>
      </c>
      <c r="F19" s="21">
        <f>SUMIFS(Einzelbeträge!$D:$D,Einzelbeträge!$C:$C,'Ausgaben Vorlage'!$C19,Einzelbeträge!$E:$E,'Ausgaben Vorlage'!F$6)</f>
        <v>0</v>
      </c>
      <c r="G19" s="21">
        <f>SUMIFS(Einzelbeträge!$D:$D,Einzelbeträge!$C:$C,'Ausgaben Vorlage'!$C19,Einzelbeträge!$E:$E,'Ausgaben Vorlage'!G$6)</f>
        <v>0</v>
      </c>
      <c r="H19" s="21">
        <f>SUMIFS(Einzelbeträge!$D:$D,Einzelbeträge!$C:$C,'Ausgaben Vorlage'!$C19,Einzelbeträge!$E:$E,'Ausgaben Vorlage'!H$6)</f>
        <v>0</v>
      </c>
      <c r="I19" s="21">
        <f>SUMIFS(Einzelbeträge!$D:$D,Einzelbeträge!$C:$C,'Ausgaben Vorlage'!$C19,Einzelbeträge!$E:$E,'Ausgaben Vorlage'!I$6)</f>
        <v>0</v>
      </c>
      <c r="J19" s="21">
        <f>SUMIFS(Einzelbeträge!$D:$D,Einzelbeträge!$C:$C,'Ausgaben Vorlage'!$C19,Einzelbeträge!$E:$E,'Ausgaben Vorlage'!J$6)</f>
        <v>0</v>
      </c>
      <c r="K19" s="21">
        <f>SUMIFS(Einzelbeträge!$D:$D,Einzelbeträge!$C:$C,'Ausgaben Vorlage'!$C19,Einzelbeträge!$E:$E,'Ausgaben Vorlage'!K$6)</f>
        <v>0</v>
      </c>
      <c r="L19" s="21">
        <f>SUMIFS(Einzelbeträge!$D:$D,Einzelbeträge!$C:$C,'Ausgaben Vorlage'!$C19,Einzelbeträge!$E:$E,'Ausgaben Vorlage'!L$6)</f>
        <v>0</v>
      </c>
      <c r="M19" s="21">
        <f>SUMIFS(Einzelbeträge!$D:$D,Einzelbeträge!$C:$C,'Ausgaben Vorlage'!$C19,Einzelbeträge!$E:$E,'Ausgaben Vorlage'!M$6)</f>
        <v>0</v>
      </c>
      <c r="N19" s="35">
        <f>SUMIFS(Einzelbeträge!$D:$D,Einzelbeträge!$C:$C,'Ausgaben Vorlage'!$C19,Einzelbeträge!$E:$E,'Ausgaben Vorlage'!N$6)</f>
        <v>0</v>
      </c>
      <c r="O19" s="6"/>
      <c r="Q19" s="5"/>
      <c r="R19" s="30" t="str">
        <f>TEXT(($C$7+7*COUNTA($C$7:$C19))-WEEKDAY($C$7+7*COUNTA($C$7:$C19),3),"TT.MM.JJJJ")&amp;" - "&amp;TEXT(($C$7+7*COUNTA($C$7:$C19))-WEEKDAY($C$7+7*COUNTA($C$7:$C19),3)+6,"TT.MM.JJJJ")</f>
        <v>31.03.2025 - 06.04.2025</v>
      </c>
      <c r="S19" s="46">
        <f t="shared" si="2"/>
        <v>0</v>
      </c>
      <c r="T19" s="55">
        <f t="shared" si="0"/>
        <v>0</v>
      </c>
      <c r="U19" s="55">
        <f t="shared" si="0"/>
        <v>0</v>
      </c>
      <c r="V19" s="55">
        <f t="shared" si="0"/>
        <v>0</v>
      </c>
      <c r="W19" s="55">
        <f t="shared" si="0"/>
        <v>0</v>
      </c>
      <c r="X19" s="55">
        <f t="shared" si="0"/>
        <v>0</v>
      </c>
      <c r="Y19" s="55">
        <f t="shared" si="0"/>
        <v>0</v>
      </c>
      <c r="Z19" s="55">
        <f t="shared" si="0"/>
        <v>0</v>
      </c>
      <c r="AA19" s="55">
        <f t="shared" si="0"/>
        <v>0</v>
      </c>
      <c r="AB19" s="55">
        <f t="shared" si="0"/>
        <v>0</v>
      </c>
      <c r="AC19" s="56">
        <f t="shared" si="0"/>
        <v>0</v>
      </c>
      <c r="AD19" s="6"/>
    </row>
    <row r="20" spans="2:45" x14ac:dyDescent="0.35">
      <c r="B20" s="5"/>
      <c r="C20" s="40">
        <f t="shared" si="5"/>
        <v>45671</v>
      </c>
      <c r="D20" s="46">
        <f>SUMIFS(Einzelbeträge!$D:$D,Einzelbeträge!$C:$C,'Ausgaben Vorlage'!$C20)</f>
        <v>0</v>
      </c>
      <c r="E20" s="21">
        <f>SUMIFS(Einzelbeträge!$D:$D,Einzelbeträge!$C:$C,'Ausgaben Vorlage'!$C20,Einzelbeträge!$E:$E,'Ausgaben Vorlage'!E$6)</f>
        <v>0</v>
      </c>
      <c r="F20" s="21">
        <f>SUMIFS(Einzelbeträge!$D:$D,Einzelbeträge!$C:$C,'Ausgaben Vorlage'!$C20,Einzelbeträge!$E:$E,'Ausgaben Vorlage'!F$6)</f>
        <v>0</v>
      </c>
      <c r="G20" s="21">
        <f>SUMIFS(Einzelbeträge!$D:$D,Einzelbeträge!$C:$C,'Ausgaben Vorlage'!$C20,Einzelbeträge!$E:$E,'Ausgaben Vorlage'!G$6)</f>
        <v>0</v>
      </c>
      <c r="H20" s="21">
        <f>SUMIFS(Einzelbeträge!$D:$D,Einzelbeträge!$C:$C,'Ausgaben Vorlage'!$C20,Einzelbeträge!$E:$E,'Ausgaben Vorlage'!H$6)</f>
        <v>0</v>
      </c>
      <c r="I20" s="21">
        <f>SUMIFS(Einzelbeträge!$D:$D,Einzelbeträge!$C:$C,'Ausgaben Vorlage'!$C20,Einzelbeträge!$E:$E,'Ausgaben Vorlage'!I$6)</f>
        <v>0</v>
      </c>
      <c r="J20" s="21">
        <f>SUMIFS(Einzelbeträge!$D:$D,Einzelbeträge!$C:$C,'Ausgaben Vorlage'!$C20,Einzelbeträge!$E:$E,'Ausgaben Vorlage'!J$6)</f>
        <v>0</v>
      </c>
      <c r="K20" s="21">
        <f>SUMIFS(Einzelbeträge!$D:$D,Einzelbeträge!$C:$C,'Ausgaben Vorlage'!$C20,Einzelbeträge!$E:$E,'Ausgaben Vorlage'!K$6)</f>
        <v>0</v>
      </c>
      <c r="L20" s="21">
        <f>SUMIFS(Einzelbeträge!$D:$D,Einzelbeträge!$C:$C,'Ausgaben Vorlage'!$C20,Einzelbeträge!$E:$E,'Ausgaben Vorlage'!L$6)</f>
        <v>0</v>
      </c>
      <c r="M20" s="21">
        <f>SUMIFS(Einzelbeträge!$D:$D,Einzelbeträge!$C:$C,'Ausgaben Vorlage'!$C20,Einzelbeträge!$E:$E,'Ausgaben Vorlage'!M$6)</f>
        <v>0</v>
      </c>
      <c r="N20" s="35">
        <f>SUMIFS(Einzelbeträge!$D:$D,Einzelbeträge!$C:$C,'Ausgaben Vorlage'!$C20,Einzelbeträge!$E:$E,'Ausgaben Vorlage'!N$6)</f>
        <v>0</v>
      </c>
      <c r="O20" s="6"/>
      <c r="Q20" s="5"/>
      <c r="R20" s="30" t="str">
        <f>TEXT(($C$7+7*COUNTA($C$7:$C20))-WEEKDAY($C$7+7*COUNTA($C$7:$C20),3),"TT.MM.JJJJ")&amp;" - "&amp;TEXT(($C$7+7*COUNTA($C$7:$C20))-WEEKDAY($C$7+7*COUNTA($C$7:$C20),3)+6,"TT.MM.JJJJ")</f>
        <v>07.04.2025 - 13.04.2025</v>
      </c>
      <c r="S20" s="46">
        <f t="shared" si="2"/>
        <v>0</v>
      </c>
      <c r="T20" s="55">
        <f t="shared" si="0"/>
        <v>0</v>
      </c>
      <c r="U20" s="55">
        <f t="shared" si="0"/>
        <v>0</v>
      </c>
      <c r="V20" s="55">
        <f t="shared" si="0"/>
        <v>0</v>
      </c>
      <c r="W20" s="55">
        <f t="shared" si="0"/>
        <v>0</v>
      </c>
      <c r="X20" s="55">
        <f t="shared" si="0"/>
        <v>0</v>
      </c>
      <c r="Y20" s="55">
        <f t="shared" si="0"/>
        <v>0</v>
      </c>
      <c r="Z20" s="55">
        <f t="shared" si="0"/>
        <v>0</v>
      </c>
      <c r="AA20" s="55">
        <f t="shared" si="0"/>
        <v>0</v>
      </c>
      <c r="AB20" s="55">
        <f t="shared" si="0"/>
        <v>0</v>
      </c>
      <c r="AC20" s="56">
        <f t="shared" si="0"/>
        <v>0</v>
      </c>
      <c r="AD20" s="6"/>
    </row>
    <row r="21" spans="2:45" x14ac:dyDescent="0.35">
      <c r="B21" s="5"/>
      <c r="C21" s="40">
        <f t="shared" si="5"/>
        <v>45672</v>
      </c>
      <c r="D21" s="46">
        <f>SUMIFS(Einzelbeträge!$D:$D,Einzelbeträge!$C:$C,'Ausgaben Vorlage'!$C21)</f>
        <v>0</v>
      </c>
      <c r="E21" s="21">
        <f>SUMIFS(Einzelbeträge!$D:$D,Einzelbeträge!$C:$C,'Ausgaben Vorlage'!$C21,Einzelbeträge!$E:$E,'Ausgaben Vorlage'!E$6)</f>
        <v>0</v>
      </c>
      <c r="F21" s="21">
        <f>SUMIFS(Einzelbeträge!$D:$D,Einzelbeträge!$C:$C,'Ausgaben Vorlage'!$C21,Einzelbeträge!$E:$E,'Ausgaben Vorlage'!F$6)</f>
        <v>0</v>
      </c>
      <c r="G21" s="21">
        <f>SUMIFS(Einzelbeträge!$D:$D,Einzelbeträge!$C:$C,'Ausgaben Vorlage'!$C21,Einzelbeträge!$E:$E,'Ausgaben Vorlage'!G$6)</f>
        <v>0</v>
      </c>
      <c r="H21" s="21">
        <f>SUMIFS(Einzelbeträge!$D:$D,Einzelbeträge!$C:$C,'Ausgaben Vorlage'!$C21,Einzelbeträge!$E:$E,'Ausgaben Vorlage'!H$6)</f>
        <v>0</v>
      </c>
      <c r="I21" s="21">
        <f>SUMIFS(Einzelbeträge!$D:$D,Einzelbeträge!$C:$C,'Ausgaben Vorlage'!$C21,Einzelbeträge!$E:$E,'Ausgaben Vorlage'!I$6)</f>
        <v>0</v>
      </c>
      <c r="J21" s="21">
        <f>SUMIFS(Einzelbeträge!$D:$D,Einzelbeträge!$C:$C,'Ausgaben Vorlage'!$C21,Einzelbeträge!$E:$E,'Ausgaben Vorlage'!J$6)</f>
        <v>0</v>
      </c>
      <c r="K21" s="21">
        <f>SUMIFS(Einzelbeträge!$D:$D,Einzelbeträge!$C:$C,'Ausgaben Vorlage'!$C21,Einzelbeträge!$E:$E,'Ausgaben Vorlage'!K$6)</f>
        <v>0</v>
      </c>
      <c r="L21" s="21">
        <f>SUMIFS(Einzelbeträge!$D:$D,Einzelbeträge!$C:$C,'Ausgaben Vorlage'!$C21,Einzelbeträge!$E:$E,'Ausgaben Vorlage'!L$6)</f>
        <v>0</v>
      </c>
      <c r="M21" s="21">
        <f>SUMIFS(Einzelbeträge!$D:$D,Einzelbeträge!$C:$C,'Ausgaben Vorlage'!$C21,Einzelbeträge!$E:$E,'Ausgaben Vorlage'!M$6)</f>
        <v>0</v>
      </c>
      <c r="N21" s="35">
        <f>SUMIFS(Einzelbeträge!$D:$D,Einzelbeträge!$C:$C,'Ausgaben Vorlage'!$C21,Einzelbeträge!$E:$E,'Ausgaben Vorlage'!N$6)</f>
        <v>0</v>
      </c>
      <c r="O21" s="6"/>
      <c r="Q21" s="5"/>
      <c r="R21" s="30" t="str">
        <f>TEXT(($C$7+7*COUNTA($C$7:$C21))-WEEKDAY($C$7+7*COUNTA($C$7:$C21),3),"TT.MM.JJJJ")&amp;" - "&amp;TEXT(($C$7+7*COUNTA($C$7:$C21))-WEEKDAY($C$7+7*COUNTA($C$7:$C21),3)+6,"TT.MM.JJJJ")</f>
        <v>14.04.2025 - 20.04.2025</v>
      </c>
      <c r="S21" s="46">
        <f t="shared" si="2"/>
        <v>0</v>
      </c>
      <c r="T21" s="55">
        <f t="shared" si="0"/>
        <v>0</v>
      </c>
      <c r="U21" s="55">
        <f t="shared" si="0"/>
        <v>0</v>
      </c>
      <c r="V21" s="55">
        <f t="shared" si="0"/>
        <v>0</v>
      </c>
      <c r="W21" s="55">
        <f t="shared" si="0"/>
        <v>0</v>
      </c>
      <c r="X21" s="55">
        <f t="shared" si="0"/>
        <v>0</v>
      </c>
      <c r="Y21" s="55">
        <f t="shared" si="0"/>
        <v>0</v>
      </c>
      <c r="Z21" s="55">
        <f t="shared" si="0"/>
        <v>0</v>
      </c>
      <c r="AA21" s="55">
        <f t="shared" si="0"/>
        <v>0</v>
      </c>
      <c r="AB21" s="55">
        <f t="shared" si="0"/>
        <v>0</v>
      </c>
      <c r="AC21" s="56">
        <f t="shared" si="0"/>
        <v>0</v>
      </c>
      <c r="AD21" s="6"/>
    </row>
    <row r="22" spans="2:45" x14ac:dyDescent="0.35">
      <c r="B22" s="5"/>
      <c r="C22" s="40">
        <f t="shared" si="5"/>
        <v>45673</v>
      </c>
      <c r="D22" s="46">
        <f>SUMIFS(Einzelbeträge!$D:$D,Einzelbeträge!$C:$C,'Ausgaben Vorlage'!$C22)</f>
        <v>0</v>
      </c>
      <c r="E22" s="21">
        <f>SUMIFS(Einzelbeträge!$D:$D,Einzelbeträge!$C:$C,'Ausgaben Vorlage'!$C22,Einzelbeträge!$E:$E,'Ausgaben Vorlage'!E$6)</f>
        <v>0</v>
      </c>
      <c r="F22" s="21">
        <f>SUMIFS(Einzelbeträge!$D:$D,Einzelbeträge!$C:$C,'Ausgaben Vorlage'!$C22,Einzelbeträge!$E:$E,'Ausgaben Vorlage'!F$6)</f>
        <v>0</v>
      </c>
      <c r="G22" s="21">
        <f>SUMIFS(Einzelbeträge!$D:$D,Einzelbeträge!$C:$C,'Ausgaben Vorlage'!$C22,Einzelbeträge!$E:$E,'Ausgaben Vorlage'!G$6)</f>
        <v>0</v>
      </c>
      <c r="H22" s="21">
        <f>SUMIFS(Einzelbeträge!$D:$D,Einzelbeträge!$C:$C,'Ausgaben Vorlage'!$C22,Einzelbeträge!$E:$E,'Ausgaben Vorlage'!H$6)</f>
        <v>0</v>
      </c>
      <c r="I22" s="21">
        <f>SUMIFS(Einzelbeträge!$D:$D,Einzelbeträge!$C:$C,'Ausgaben Vorlage'!$C22,Einzelbeträge!$E:$E,'Ausgaben Vorlage'!I$6)</f>
        <v>0</v>
      </c>
      <c r="J22" s="21">
        <f>SUMIFS(Einzelbeträge!$D:$D,Einzelbeträge!$C:$C,'Ausgaben Vorlage'!$C22,Einzelbeträge!$E:$E,'Ausgaben Vorlage'!J$6)</f>
        <v>0</v>
      </c>
      <c r="K22" s="21">
        <f>SUMIFS(Einzelbeträge!$D:$D,Einzelbeträge!$C:$C,'Ausgaben Vorlage'!$C22,Einzelbeträge!$E:$E,'Ausgaben Vorlage'!K$6)</f>
        <v>0</v>
      </c>
      <c r="L22" s="21">
        <f>SUMIFS(Einzelbeträge!$D:$D,Einzelbeträge!$C:$C,'Ausgaben Vorlage'!$C22,Einzelbeträge!$E:$E,'Ausgaben Vorlage'!L$6)</f>
        <v>0</v>
      </c>
      <c r="M22" s="21">
        <f>SUMIFS(Einzelbeträge!$D:$D,Einzelbeträge!$C:$C,'Ausgaben Vorlage'!$C22,Einzelbeträge!$E:$E,'Ausgaben Vorlage'!M$6)</f>
        <v>0</v>
      </c>
      <c r="N22" s="35">
        <f>SUMIFS(Einzelbeträge!$D:$D,Einzelbeträge!$C:$C,'Ausgaben Vorlage'!$C22,Einzelbeträge!$E:$E,'Ausgaben Vorlage'!N$6)</f>
        <v>0</v>
      </c>
      <c r="O22" s="6"/>
      <c r="Q22" s="5"/>
      <c r="R22" s="30" t="str">
        <f>TEXT(($C$7+7*COUNTA($C$7:$C22))-WEEKDAY($C$7+7*COUNTA($C$7:$C22),3),"TT.MM.JJJJ")&amp;" - "&amp;TEXT(($C$7+7*COUNTA($C$7:$C22))-WEEKDAY($C$7+7*COUNTA($C$7:$C22),3)+6,"TT.MM.JJJJ")</f>
        <v>21.04.2025 - 27.04.2025</v>
      </c>
      <c r="S22" s="46">
        <f t="shared" si="2"/>
        <v>0</v>
      </c>
      <c r="T22" s="55">
        <f t="shared" si="2"/>
        <v>0</v>
      </c>
      <c r="U22" s="55">
        <f t="shared" si="2"/>
        <v>0</v>
      </c>
      <c r="V22" s="55">
        <f t="shared" si="2"/>
        <v>0</v>
      </c>
      <c r="W22" s="55">
        <f t="shared" si="2"/>
        <v>0</v>
      </c>
      <c r="X22" s="55">
        <f t="shared" si="2"/>
        <v>0</v>
      </c>
      <c r="Y22" s="55">
        <f t="shared" si="2"/>
        <v>0</v>
      </c>
      <c r="Z22" s="55">
        <f t="shared" si="2"/>
        <v>0</v>
      </c>
      <c r="AA22" s="55">
        <f t="shared" si="2"/>
        <v>0</v>
      </c>
      <c r="AB22" s="55">
        <f t="shared" si="2"/>
        <v>0</v>
      </c>
      <c r="AC22" s="56">
        <f t="shared" si="2"/>
        <v>0</v>
      </c>
      <c r="AD22" s="6"/>
    </row>
    <row r="23" spans="2:45" x14ac:dyDescent="0.35">
      <c r="B23" s="5"/>
      <c r="C23" s="40">
        <f t="shared" si="5"/>
        <v>45674</v>
      </c>
      <c r="D23" s="46">
        <f>SUMIFS(Einzelbeträge!$D:$D,Einzelbeträge!$C:$C,'Ausgaben Vorlage'!$C23)</f>
        <v>0</v>
      </c>
      <c r="E23" s="21">
        <f>SUMIFS(Einzelbeträge!$D:$D,Einzelbeträge!$C:$C,'Ausgaben Vorlage'!$C23,Einzelbeträge!$E:$E,'Ausgaben Vorlage'!E$6)</f>
        <v>0</v>
      </c>
      <c r="F23" s="21">
        <f>SUMIFS(Einzelbeträge!$D:$D,Einzelbeträge!$C:$C,'Ausgaben Vorlage'!$C23,Einzelbeträge!$E:$E,'Ausgaben Vorlage'!F$6)</f>
        <v>0</v>
      </c>
      <c r="G23" s="21">
        <f>SUMIFS(Einzelbeträge!$D:$D,Einzelbeträge!$C:$C,'Ausgaben Vorlage'!$C23,Einzelbeträge!$E:$E,'Ausgaben Vorlage'!G$6)</f>
        <v>0</v>
      </c>
      <c r="H23" s="21">
        <f>SUMIFS(Einzelbeträge!$D:$D,Einzelbeträge!$C:$C,'Ausgaben Vorlage'!$C23,Einzelbeträge!$E:$E,'Ausgaben Vorlage'!H$6)</f>
        <v>0</v>
      </c>
      <c r="I23" s="21">
        <f>SUMIFS(Einzelbeträge!$D:$D,Einzelbeträge!$C:$C,'Ausgaben Vorlage'!$C23,Einzelbeträge!$E:$E,'Ausgaben Vorlage'!I$6)</f>
        <v>0</v>
      </c>
      <c r="J23" s="21">
        <f>SUMIFS(Einzelbeträge!$D:$D,Einzelbeträge!$C:$C,'Ausgaben Vorlage'!$C23,Einzelbeträge!$E:$E,'Ausgaben Vorlage'!J$6)</f>
        <v>0</v>
      </c>
      <c r="K23" s="21">
        <f>SUMIFS(Einzelbeträge!$D:$D,Einzelbeträge!$C:$C,'Ausgaben Vorlage'!$C23,Einzelbeträge!$E:$E,'Ausgaben Vorlage'!K$6)</f>
        <v>0</v>
      </c>
      <c r="L23" s="21">
        <f>SUMIFS(Einzelbeträge!$D:$D,Einzelbeträge!$C:$C,'Ausgaben Vorlage'!$C23,Einzelbeträge!$E:$E,'Ausgaben Vorlage'!L$6)</f>
        <v>0</v>
      </c>
      <c r="M23" s="21">
        <f>SUMIFS(Einzelbeträge!$D:$D,Einzelbeträge!$C:$C,'Ausgaben Vorlage'!$C23,Einzelbeträge!$E:$E,'Ausgaben Vorlage'!M$6)</f>
        <v>0</v>
      </c>
      <c r="N23" s="35">
        <f>SUMIFS(Einzelbeträge!$D:$D,Einzelbeträge!$C:$C,'Ausgaben Vorlage'!$C23,Einzelbeträge!$E:$E,'Ausgaben Vorlage'!N$6)</f>
        <v>0</v>
      </c>
      <c r="O23" s="6"/>
      <c r="Q23" s="5"/>
      <c r="R23" s="30" t="str">
        <f>TEXT(($C$7+7*COUNTA($C$7:$C23))-WEEKDAY($C$7+7*COUNTA($C$7:$C23),3),"TT.MM.JJJJ")&amp;" - "&amp;TEXT(($C$7+7*COUNTA($C$7:$C23))-WEEKDAY($C$7+7*COUNTA($C$7:$C23),3)+6,"TT.MM.JJJJ")</f>
        <v>28.04.2025 - 04.05.2025</v>
      </c>
      <c r="S23" s="46">
        <f t="shared" si="2"/>
        <v>0</v>
      </c>
      <c r="T23" s="55">
        <f t="shared" si="2"/>
        <v>0</v>
      </c>
      <c r="U23" s="55">
        <f t="shared" si="2"/>
        <v>0</v>
      </c>
      <c r="V23" s="55">
        <f t="shared" si="2"/>
        <v>0</v>
      </c>
      <c r="W23" s="55">
        <f t="shared" si="2"/>
        <v>0</v>
      </c>
      <c r="X23" s="55">
        <f t="shared" si="2"/>
        <v>0</v>
      </c>
      <c r="Y23" s="55">
        <f t="shared" si="2"/>
        <v>0</v>
      </c>
      <c r="Z23" s="55">
        <f t="shared" si="2"/>
        <v>0</v>
      </c>
      <c r="AA23" s="55">
        <f t="shared" si="2"/>
        <v>0</v>
      </c>
      <c r="AB23" s="55">
        <f t="shared" si="2"/>
        <v>0</v>
      </c>
      <c r="AC23" s="56">
        <f t="shared" si="2"/>
        <v>0</v>
      </c>
      <c r="AD23" s="6"/>
    </row>
    <row r="24" spans="2:45" x14ac:dyDescent="0.35">
      <c r="B24" s="5"/>
      <c r="C24" s="40">
        <f t="shared" si="5"/>
        <v>45675</v>
      </c>
      <c r="D24" s="46">
        <f>SUMIFS(Einzelbeträge!$D:$D,Einzelbeträge!$C:$C,'Ausgaben Vorlage'!$C24)</f>
        <v>0</v>
      </c>
      <c r="E24" s="21">
        <f>SUMIFS(Einzelbeträge!$D:$D,Einzelbeträge!$C:$C,'Ausgaben Vorlage'!$C24,Einzelbeträge!$E:$E,'Ausgaben Vorlage'!E$6)</f>
        <v>0</v>
      </c>
      <c r="F24" s="21">
        <f>SUMIFS(Einzelbeträge!$D:$D,Einzelbeträge!$C:$C,'Ausgaben Vorlage'!$C24,Einzelbeträge!$E:$E,'Ausgaben Vorlage'!F$6)</f>
        <v>0</v>
      </c>
      <c r="G24" s="21">
        <f>SUMIFS(Einzelbeträge!$D:$D,Einzelbeträge!$C:$C,'Ausgaben Vorlage'!$C24,Einzelbeträge!$E:$E,'Ausgaben Vorlage'!G$6)</f>
        <v>0</v>
      </c>
      <c r="H24" s="21">
        <f>SUMIFS(Einzelbeträge!$D:$D,Einzelbeträge!$C:$C,'Ausgaben Vorlage'!$C24,Einzelbeträge!$E:$E,'Ausgaben Vorlage'!H$6)</f>
        <v>0</v>
      </c>
      <c r="I24" s="21">
        <f>SUMIFS(Einzelbeträge!$D:$D,Einzelbeträge!$C:$C,'Ausgaben Vorlage'!$C24,Einzelbeträge!$E:$E,'Ausgaben Vorlage'!I$6)</f>
        <v>0</v>
      </c>
      <c r="J24" s="21">
        <f>SUMIFS(Einzelbeträge!$D:$D,Einzelbeträge!$C:$C,'Ausgaben Vorlage'!$C24,Einzelbeträge!$E:$E,'Ausgaben Vorlage'!J$6)</f>
        <v>0</v>
      </c>
      <c r="K24" s="21">
        <f>SUMIFS(Einzelbeträge!$D:$D,Einzelbeträge!$C:$C,'Ausgaben Vorlage'!$C24,Einzelbeträge!$E:$E,'Ausgaben Vorlage'!K$6)</f>
        <v>0</v>
      </c>
      <c r="L24" s="21">
        <f>SUMIFS(Einzelbeträge!$D:$D,Einzelbeträge!$C:$C,'Ausgaben Vorlage'!$C24,Einzelbeträge!$E:$E,'Ausgaben Vorlage'!L$6)</f>
        <v>0</v>
      </c>
      <c r="M24" s="21">
        <f>SUMIFS(Einzelbeträge!$D:$D,Einzelbeträge!$C:$C,'Ausgaben Vorlage'!$C24,Einzelbeträge!$E:$E,'Ausgaben Vorlage'!M$6)</f>
        <v>0</v>
      </c>
      <c r="N24" s="35">
        <f>SUMIFS(Einzelbeträge!$D:$D,Einzelbeträge!$C:$C,'Ausgaben Vorlage'!$C24,Einzelbeträge!$E:$E,'Ausgaben Vorlage'!N$6)</f>
        <v>0</v>
      </c>
      <c r="O24" s="6"/>
      <c r="Q24" s="5"/>
      <c r="R24" s="30" t="str">
        <f>TEXT(($C$7+7*COUNTA($C$7:$C24))-WEEKDAY($C$7+7*COUNTA($C$7:$C24),3),"TT.MM.JJJJ")&amp;" - "&amp;TEXT(($C$7+7*COUNTA($C$7:$C24))-WEEKDAY($C$7+7*COUNTA($C$7:$C24),3)+6,"TT.MM.JJJJ")</f>
        <v>05.05.2025 - 11.05.2025</v>
      </c>
      <c r="S24" s="46">
        <f t="shared" si="2"/>
        <v>0</v>
      </c>
      <c r="T24" s="55">
        <f t="shared" si="2"/>
        <v>0</v>
      </c>
      <c r="U24" s="55">
        <f t="shared" si="2"/>
        <v>0</v>
      </c>
      <c r="V24" s="55">
        <f t="shared" si="2"/>
        <v>0</v>
      </c>
      <c r="W24" s="55">
        <f t="shared" si="2"/>
        <v>0</v>
      </c>
      <c r="X24" s="55">
        <f t="shared" si="2"/>
        <v>0</v>
      </c>
      <c r="Y24" s="55">
        <f t="shared" si="2"/>
        <v>0</v>
      </c>
      <c r="Z24" s="55">
        <f t="shared" si="2"/>
        <v>0</v>
      </c>
      <c r="AA24" s="55">
        <f t="shared" si="2"/>
        <v>0</v>
      </c>
      <c r="AB24" s="55">
        <f t="shared" si="2"/>
        <v>0</v>
      </c>
      <c r="AC24" s="56">
        <f t="shared" si="2"/>
        <v>0</v>
      </c>
      <c r="AD24" s="6"/>
    </row>
    <row r="25" spans="2:45" x14ac:dyDescent="0.35">
      <c r="B25" s="5"/>
      <c r="C25" s="40">
        <f t="shared" si="5"/>
        <v>45676</v>
      </c>
      <c r="D25" s="46">
        <f>SUMIFS(Einzelbeträge!$D:$D,Einzelbeträge!$C:$C,'Ausgaben Vorlage'!$C25)</f>
        <v>0</v>
      </c>
      <c r="E25" s="21">
        <f>SUMIFS(Einzelbeträge!$D:$D,Einzelbeträge!$C:$C,'Ausgaben Vorlage'!$C25,Einzelbeträge!$E:$E,'Ausgaben Vorlage'!E$6)</f>
        <v>0</v>
      </c>
      <c r="F25" s="21">
        <f>SUMIFS(Einzelbeträge!$D:$D,Einzelbeträge!$C:$C,'Ausgaben Vorlage'!$C25,Einzelbeträge!$E:$E,'Ausgaben Vorlage'!F$6)</f>
        <v>0</v>
      </c>
      <c r="G25" s="21">
        <f>SUMIFS(Einzelbeträge!$D:$D,Einzelbeträge!$C:$C,'Ausgaben Vorlage'!$C25,Einzelbeträge!$E:$E,'Ausgaben Vorlage'!G$6)</f>
        <v>0</v>
      </c>
      <c r="H25" s="21">
        <f>SUMIFS(Einzelbeträge!$D:$D,Einzelbeträge!$C:$C,'Ausgaben Vorlage'!$C25,Einzelbeträge!$E:$E,'Ausgaben Vorlage'!H$6)</f>
        <v>0</v>
      </c>
      <c r="I25" s="21">
        <f>SUMIFS(Einzelbeträge!$D:$D,Einzelbeträge!$C:$C,'Ausgaben Vorlage'!$C25,Einzelbeträge!$E:$E,'Ausgaben Vorlage'!I$6)</f>
        <v>0</v>
      </c>
      <c r="J25" s="21">
        <f>SUMIFS(Einzelbeträge!$D:$D,Einzelbeträge!$C:$C,'Ausgaben Vorlage'!$C25,Einzelbeträge!$E:$E,'Ausgaben Vorlage'!J$6)</f>
        <v>0</v>
      </c>
      <c r="K25" s="21">
        <f>SUMIFS(Einzelbeträge!$D:$D,Einzelbeträge!$C:$C,'Ausgaben Vorlage'!$C25,Einzelbeträge!$E:$E,'Ausgaben Vorlage'!K$6)</f>
        <v>0</v>
      </c>
      <c r="L25" s="21">
        <f>SUMIFS(Einzelbeträge!$D:$D,Einzelbeträge!$C:$C,'Ausgaben Vorlage'!$C25,Einzelbeträge!$E:$E,'Ausgaben Vorlage'!L$6)</f>
        <v>0</v>
      </c>
      <c r="M25" s="21">
        <f>SUMIFS(Einzelbeträge!$D:$D,Einzelbeträge!$C:$C,'Ausgaben Vorlage'!$C25,Einzelbeträge!$E:$E,'Ausgaben Vorlage'!M$6)</f>
        <v>0</v>
      </c>
      <c r="N25" s="35">
        <f>SUMIFS(Einzelbeträge!$D:$D,Einzelbeträge!$C:$C,'Ausgaben Vorlage'!$C25,Einzelbeträge!$E:$E,'Ausgaben Vorlage'!N$6)</f>
        <v>0</v>
      </c>
      <c r="O25" s="6"/>
      <c r="Q25" s="5"/>
      <c r="R25" s="30" t="str">
        <f>TEXT(($C$7+7*COUNTA($C$7:$C25))-WEEKDAY($C$7+7*COUNTA($C$7:$C25),3),"TT.MM.JJJJ")&amp;" - "&amp;TEXT(($C$7+7*COUNTA($C$7:$C25))-WEEKDAY($C$7+7*COUNTA($C$7:$C25),3)+6,"TT.MM.JJJJ")</f>
        <v>12.05.2025 - 18.05.2025</v>
      </c>
      <c r="S25" s="46">
        <f t="shared" si="2"/>
        <v>0</v>
      </c>
      <c r="T25" s="55">
        <f t="shared" si="2"/>
        <v>0</v>
      </c>
      <c r="U25" s="55">
        <f t="shared" si="2"/>
        <v>0</v>
      </c>
      <c r="V25" s="55">
        <f t="shared" si="2"/>
        <v>0</v>
      </c>
      <c r="W25" s="55">
        <f t="shared" si="2"/>
        <v>0</v>
      </c>
      <c r="X25" s="55">
        <f t="shared" si="2"/>
        <v>0</v>
      </c>
      <c r="Y25" s="55">
        <f t="shared" si="2"/>
        <v>0</v>
      </c>
      <c r="Z25" s="55">
        <f t="shared" si="2"/>
        <v>0</v>
      </c>
      <c r="AA25" s="55">
        <f t="shared" si="2"/>
        <v>0</v>
      </c>
      <c r="AB25" s="55">
        <f t="shared" si="2"/>
        <v>0</v>
      </c>
      <c r="AC25" s="56">
        <f t="shared" si="2"/>
        <v>0</v>
      </c>
      <c r="AD25" s="6"/>
    </row>
    <row r="26" spans="2:45" x14ac:dyDescent="0.35">
      <c r="B26" s="5"/>
      <c r="C26" s="40">
        <f t="shared" si="5"/>
        <v>45677</v>
      </c>
      <c r="D26" s="46">
        <f>SUMIFS(Einzelbeträge!$D:$D,Einzelbeträge!$C:$C,'Ausgaben Vorlage'!$C26)</f>
        <v>0</v>
      </c>
      <c r="E26" s="21">
        <f>SUMIFS(Einzelbeträge!$D:$D,Einzelbeträge!$C:$C,'Ausgaben Vorlage'!$C26,Einzelbeträge!$E:$E,'Ausgaben Vorlage'!E$6)</f>
        <v>0</v>
      </c>
      <c r="F26" s="21">
        <f>SUMIFS(Einzelbeträge!$D:$D,Einzelbeträge!$C:$C,'Ausgaben Vorlage'!$C26,Einzelbeträge!$E:$E,'Ausgaben Vorlage'!F$6)</f>
        <v>0</v>
      </c>
      <c r="G26" s="21">
        <f>SUMIFS(Einzelbeträge!$D:$D,Einzelbeträge!$C:$C,'Ausgaben Vorlage'!$C26,Einzelbeträge!$E:$E,'Ausgaben Vorlage'!G$6)</f>
        <v>0</v>
      </c>
      <c r="H26" s="21">
        <f>SUMIFS(Einzelbeträge!$D:$D,Einzelbeträge!$C:$C,'Ausgaben Vorlage'!$C26,Einzelbeträge!$E:$E,'Ausgaben Vorlage'!H$6)</f>
        <v>0</v>
      </c>
      <c r="I26" s="21">
        <f>SUMIFS(Einzelbeträge!$D:$D,Einzelbeträge!$C:$C,'Ausgaben Vorlage'!$C26,Einzelbeträge!$E:$E,'Ausgaben Vorlage'!I$6)</f>
        <v>0</v>
      </c>
      <c r="J26" s="21">
        <f>SUMIFS(Einzelbeträge!$D:$D,Einzelbeträge!$C:$C,'Ausgaben Vorlage'!$C26,Einzelbeträge!$E:$E,'Ausgaben Vorlage'!J$6)</f>
        <v>0</v>
      </c>
      <c r="K26" s="21">
        <f>SUMIFS(Einzelbeträge!$D:$D,Einzelbeträge!$C:$C,'Ausgaben Vorlage'!$C26,Einzelbeträge!$E:$E,'Ausgaben Vorlage'!K$6)</f>
        <v>0</v>
      </c>
      <c r="L26" s="21">
        <f>SUMIFS(Einzelbeträge!$D:$D,Einzelbeträge!$C:$C,'Ausgaben Vorlage'!$C26,Einzelbeträge!$E:$E,'Ausgaben Vorlage'!L$6)</f>
        <v>0</v>
      </c>
      <c r="M26" s="21">
        <f>SUMIFS(Einzelbeträge!$D:$D,Einzelbeträge!$C:$C,'Ausgaben Vorlage'!$C26,Einzelbeträge!$E:$E,'Ausgaben Vorlage'!M$6)</f>
        <v>0</v>
      </c>
      <c r="N26" s="35">
        <f>SUMIFS(Einzelbeträge!$D:$D,Einzelbeträge!$C:$C,'Ausgaben Vorlage'!$C26,Einzelbeträge!$E:$E,'Ausgaben Vorlage'!N$6)</f>
        <v>0</v>
      </c>
      <c r="O26" s="6"/>
      <c r="Q26" s="5"/>
      <c r="R26" s="30" t="str">
        <f>TEXT(($C$7+7*COUNTA($C$7:$C26))-WEEKDAY($C$7+7*COUNTA($C$7:$C26),3),"TT.MM.JJJJ")&amp;" - "&amp;TEXT(($C$7+7*COUNTA($C$7:$C26))-WEEKDAY($C$7+7*COUNTA($C$7:$C26),3)+6,"TT.MM.JJJJ")</f>
        <v>19.05.2025 - 25.05.2025</v>
      </c>
      <c r="S26" s="46">
        <f t="shared" si="2"/>
        <v>0</v>
      </c>
      <c r="T26" s="55">
        <f t="shared" si="2"/>
        <v>0</v>
      </c>
      <c r="U26" s="55">
        <f t="shared" si="2"/>
        <v>0</v>
      </c>
      <c r="V26" s="55">
        <f t="shared" si="2"/>
        <v>0</v>
      </c>
      <c r="W26" s="55">
        <f t="shared" si="2"/>
        <v>0</v>
      </c>
      <c r="X26" s="55">
        <f t="shared" si="2"/>
        <v>0</v>
      </c>
      <c r="Y26" s="55">
        <f t="shared" si="2"/>
        <v>0</v>
      </c>
      <c r="Z26" s="55">
        <f t="shared" si="2"/>
        <v>0</v>
      </c>
      <c r="AA26" s="55">
        <f t="shared" si="2"/>
        <v>0</v>
      </c>
      <c r="AB26" s="55">
        <f t="shared" si="2"/>
        <v>0</v>
      </c>
      <c r="AC26" s="56">
        <f t="shared" si="2"/>
        <v>0</v>
      </c>
      <c r="AD26" s="6"/>
    </row>
    <row r="27" spans="2:45" x14ac:dyDescent="0.35">
      <c r="B27" s="5"/>
      <c r="C27" s="40">
        <f t="shared" si="5"/>
        <v>45678</v>
      </c>
      <c r="D27" s="46">
        <f>SUMIFS(Einzelbeträge!$D:$D,Einzelbeträge!$C:$C,'Ausgaben Vorlage'!$C27)</f>
        <v>0</v>
      </c>
      <c r="E27" s="21">
        <f>SUMIFS(Einzelbeträge!$D:$D,Einzelbeträge!$C:$C,'Ausgaben Vorlage'!$C27,Einzelbeträge!$E:$E,'Ausgaben Vorlage'!E$6)</f>
        <v>0</v>
      </c>
      <c r="F27" s="21">
        <f>SUMIFS(Einzelbeträge!$D:$D,Einzelbeträge!$C:$C,'Ausgaben Vorlage'!$C27,Einzelbeträge!$E:$E,'Ausgaben Vorlage'!F$6)</f>
        <v>0</v>
      </c>
      <c r="G27" s="21">
        <f>SUMIFS(Einzelbeträge!$D:$D,Einzelbeträge!$C:$C,'Ausgaben Vorlage'!$C27,Einzelbeträge!$E:$E,'Ausgaben Vorlage'!G$6)</f>
        <v>0</v>
      </c>
      <c r="H27" s="21">
        <f>SUMIFS(Einzelbeträge!$D:$D,Einzelbeträge!$C:$C,'Ausgaben Vorlage'!$C27,Einzelbeträge!$E:$E,'Ausgaben Vorlage'!H$6)</f>
        <v>0</v>
      </c>
      <c r="I27" s="21">
        <f>SUMIFS(Einzelbeträge!$D:$D,Einzelbeträge!$C:$C,'Ausgaben Vorlage'!$C27,Einzelbeträge!$E:$E,'Ausgaben Vorlage'!I$6)</f>
        <v>0</v>
      </c>
      <c r="J27" s="21">
        <f>SUMIFS(Einzelbeträge!$D:$D,Einzelbeträge!$C:$C,'Ausgaben Vorlage'!$C27,Einzelbeträge!$E:$E,'Ausgaben Vorlage'!J$6)</f>
        <v>0</v>
      </c>
      <c r="K27" s="21">
        <f>SUMIFS(Einzelbeträge!$D:$D,Einzelbeträge!$C:$C,'Ausgaben Vorlage'!$C27,Einzelbeträge!$E:$E,'Ausgaben Vorlage'!K$6)</f>
        <v>0</v>
      </c>
      <c r="L27" s="21">
        <f>SUMIFS(Einzelbeträge!$D:$D,Einzelbeträge!$C:$C,'Ausgaben Vorlage'!$C27,Einzelbeträge!$E:$E,'Ausgaben Vorlage'!L$6)</f>
        <v>0</v>
      </c>
      <c r="M27" s="21">
        <f>SUMIFS(Einzelbeträge!$D:$D,Einzelbeträge!$C:$C,'Ausgaben Vorlage'!$C27,Einzelbeträge!$E:$E,'Ausgaben Vorlage'!M$6)</f>
        <v>0</v>
      </c>
      <c r="N27" s="35">
        <f>SUMIFS(Einzelbeträge!$D:$D,Einzelbeträge!$C:$C,'Ausgaben Vorlage'!$C27,Einzelbeträge!$E:$E,'Ausgaben Vorlage'!N$6)</f>
        <v>0</v>
      </c>
      <c r="O27" s="6"/>
      <c r="Q27" s="5"/>
      <c r="R27" s="30" t="str">
        <f>TEXT(($C$7+7*COUNTA($C$7:$C27))-WEEKDAY($C$7+7*COUNTA($C$7:$C27),3),"TT.MM.JJJJ")&amp;" - "&amp;TEXT(($C$7+7*COUNTA($C$7:$C27))-WEEKDAY($C$7+7*COUNTA($C$7:$C27),3)+6,"TT.MM.JJJJ")</f>
        <v>26.05.2025 - 01.06.2025</v>
      </c>
      <c r="S27" s="46">
        <f t="shared" si="2"/>
        <v>0</v>
      </c>
      <c r="T27" s="55">
        <f t="shared" si="2"/>
        <v>0</v>
      </c>
      <c r="U27" s="55">
        <f t="shared" si="2"/>
        <v>0</v>
      </c>
      <c r="V27" s="55">
        <f t="shared" si="2"/>
        <v>0</v>
      </c>
      <c r="W27" s="55">
        <f t="shared" si="2"/>
        <v>0</v>
      </c>
      <c r="X27" s="55">
        <f t="shared" si="2"/>
        <v>0</v>
      </c>
      <c r="Y27" s="55">
        <f t="shared" si="2"/>
        <v>0</v>
      </c>
      <c r="Z27" s="55">
        <f t="shared" si="2"/>
        <v>0</v>
      </c>
      <c r="AA27" s="55">
        <f t="shared" si="2"/>
        <v>0</v>
      </c>
      <c r="AB27" s="55">
        <f t="shared" si="2"/>
        <v>0</v>
      </c>
      <c r="AC27" s="56">
        <f t="shared" si="2"/>
        <v>0</v>
      </c>
      <c r="AD27" s="6"/>
    </row>
    <row r="28" spans="2:45" x14ac:dyDescent="0.35">
      <c r="B28" s="5"/>
      <c r="C28" s="40">
        <f t="shared" si="5"/>
        <v>45679</v>
      </c>
      <c r="D28" s="46">
        <f>SUMIFS(Einzelbeträge!$D:$D,Einzelbeträge!$C:$C,'Ausgaben Vorlage'!$C28)</f>
        <v>0</v>
      </c>
      <c r="E28" s="21">
        <f>SUMIFS(Einzelbeträge!$D:$D,Einzelbeträge!$C:$C,'Ausgaben Vorlage'!$C28,Einzelbeträge!$E:$E,'Ausgaben Vorlage'!E$6)</f>
        <v>0</v>
      </c>
      <c r="F28" s="21">
        <f>SUMIFS(Einzelbeträge!$D:$D,Einzelbeträge!$C:$C,'Ausgaben Vorlage'!$C28,Einzelbeträge!$E:$E,'Ausgaben Vorlage'!F$6)</f>
        <v>0</v>
      </c>
      <c r="G28" s="21">
        <f>SUMIFS(Einzelbeträge!$D:$D,Einzelbeträge!$C:$C,'Ausgaben Vorlage'!$C28,Einzelbeträge!$E:$E,'Ausgaben Vorlage'!G$6)</f>
        <v>0</v>
      </c>
      <c r="H28" s="21">
        <f>SUMIFS(Einzelbeträge!$D:$D,Einzelbeträge!$C:$C,'Ausgaben Vorlage'!$C28,Einzelbeträge!$E:$E,'Ausgaben Vorlage'!H$6)</f>
        <v>0</v>
      </c>
      <c r="I28" s="21">
        <f>SUMIFS(Einzelbeträge!$D:$D,Einzelbeträge!$C:$C,'Ausgaben Vorlage'!$C28,Einzelbeträge!$E:$E,'Ausgaben Vorlage'!I$6)</f>
        <v>0</v>
      </c>
      <c r="J28" s="21">
        <f>SUMIFS(Einzelbeträge!$D:$D,Einzelbeträge!$C:$C,'Ausgaben Vorlage'!$C28,Einzelbeträge!$E:$E,'Ausgaben Vorlage'!J$6)</f>
        <v>0</v>
      </c>
      <c r="K28" s="21">
        <f>SUMIFS(Einzelbeträge!$D:$D,Einzelbeträge!$C:$C,'Ausgaben Vorlage'!$C28,Einzelbeträge!$E:$E,'Ausgaben Vorlage'!K$6)</f>
        <v>0</v>
      </c>
      <c r="L28" s="21">
        <f>SUMIFS(Einzelbeträge!$D:$D,Einzelbeträge!$C:$C,'Ausgaben Vorlage'!$C28,Einzelbeträge!$E:$E,'Ausgaben Vorlage'!L$6)</f>
        <v>0</v>
      </c>
      <c r="M28" s="21">
        <f>SUMIFS(Einzelbeträge!$D:$D,Einzelbeträge!$C:$C,'Ausgaben Vorlage'!$C28,Einzelbeträge!$E:$E,'Ausgaben Vorlage'!M$6)</f>
        <v>0</v>
      </c>
      <c r="N28" s="35">
        <f>SUMIFS(Einzelbeträge!$D:$D,Einzelbeträge!$C:$C,'Ausgaben Vorlage'!$C28,Einzelbeträge!$E:$E,'Ausgaben Vorlage'!N$6)</f>
        <v>0</v>
      </c>
      <c r="O28" s="6"/>
      <c r="Q28" s="5"/>
      <c r="R28" s="30" t="str">
        <f>TEXT(($C$7+7*COUNTA($C$7:$C28))-WEEKDAY($C$7+7*COUNTA($C$7:$C28),3),"TT.MM.JJJJ")&amp;" - "&amp;TEXT(($C$7+7*COUNTA($C$7:$C28))-WEEKDAY($C$7+7*COUNTA($C$7:$C28),3)+6,"TT.MM.JJJJ")</f>
        <v>02.06.2025 - 08.06.2025</v>
      </c>
      <c r="S28" s="46">
        <f t="shared" si="2"/>
        <v>0</v>
      </c>
      <c r="T28" s="55">
        <f t="shared" si="2"/>
        <v>0</v>
      </c>
      <c r="U28" s="55">
        <f t="shared" si="2"/>
        <v>0</v>
      </c>
      <c r="V28" s="55">
        <f t="shared" si="2"/>
        <v>0</v>
      </c>
      <c r="W28" s="55">
        <f t="shared" si="2"/>
        <v>0</v>
      </c>
      <c r="X28" s="55">
        <f t="shared" si="2"/>
        <v>0</v>
      </c>
      <c r="Y28" s="55">
        <f t="shared" si="2"/>
        <v>0</v>
      </c>
      <c r="Z28" s="55">
        <f t="shared" si="2"/>
        <v>0</v>
      </c>
      <c r="AA28" s="55">
        <f t="shared" si="2"/>
        <v>0</v>
      </c>
      <c r="AB28" s="55">
        <f t="shared" si="2"/>
        <v>0</v>
      </c>
      <c r="AC28" s="56">
        <f t="shared" si="2"/>
        <v>0</v>
      </c>
      <c r="AD28" s="6"/>
    </row>
    <row r="29" spans="2:45" x14ac:dyDescent="0.35">
      <c r="B29" s="5"/>
      <c r="C29" s="40">
        <f t="shared" si="5"/>
        <v>45680</v>
      </c>
      <c r="D29" s="46">
        <f>SUMIFS(Einzelbeträge!$D:$D,Einzelbeträge!$C:$C,'Ausgaben Vorlage'!$C29)</f>
        <v>0</v>
      </c>
      <c r="E29" s="21">
        <f>SUMIFS(Einzelbeträge!$D:$D,Einzelbeträge!$C:$C,'Ausgaben Vorlage'!$C29,Einzelbeträge!$E:$E,'Ausgaben Vorlage'!E$6)</f>
        <v>0</v>
      </c>
      <c r="F29" s="21">
        <f>SUMIFS(Einzelbeträge!$D:$D,Einzelbeträge!$C:$C,'Ausgaben Vorlage'!$C29,Einzelbeträge!$E:$E,'Ausgaben Vorlage'!F$6)</f>
        <v>0</v>
      </c>
      <c r="G29" s="21">
        <f>SUMIFS(Einzelbeträge!$D:$D,Einzelbeträge!$C:$C,'Ausgaben Vorlage'!$C29,Einzelbeträge!$E:$E,'Ausgaben Vorlage'!G$6)</f>
        <v>0</v>
      </c>
      <c r="H29" s="21">
        <f>SUMIFS(Einzelbeträge!$D:$D,Einzelbeträge!$C:$C,'Ausgaben Vorlage'!$C29,Einzelbeträge!$E:$E,'Ausgaben Vorlage'!H$6)</f>
        <v>0</v>
      </c>
      <c r="I29" s="21">
        <f>SUMIFS(Einzelbeträge!$D:$D,Einzelbeträge!$C:$C,'Ausgaben Vorlage'!$C29,Einzelbeträge!$E:$E,'Ausgaben Vorlage'!I$6)</f>
        <v>0</v>
      </c>
      <c r="J29" s="21">
        <f>SUMIFS(Einzelbeträge!$D:$D,Einzelbeträge!$C:$C,'Ausgaben Vorlage'!$C29,Einzelbeträge!$E:$E,'Ausgaben Vorlage'!J$6)</f>
        <v>0</v>
      </c>
      <c r="K29" s="21">
        <f>SUMIFS(Einzelbeträge!$D:$D,Einzelbeträge!$C:$C,'Ausgaben Vorlage'!$C29,Einzelbeträge!$E:$E,'Ausgaben Vorlage'!K$6)</f>
        <v>0</v>
      </c>
      <c r="L29" s="21">
        <f>SUMIFS(Einzelbeträge!$D:$D,Einzelbeträge!$C:$C,'Ausgaben Vorlage'!$C29,Einzelbeträge!$E:$E,'Ausgaben Vorlage'!L$6)</f>
        <v>0</v>
      </c>
      <c r="M29" s="21">
        <f>SUMIFS(Einzelbeträge!$D:$D,Einzelbeträge!$C:$C,'Ausgaben Vorlage'!$C29,Einzelbeträge!$E:$E,'Ausgaben Vorlage'!M$6)</f>
        <v>0</v>
      </c>
      <c r="N29" s="35">
        <f>SUMIFS(Einzelbeträge!$D:$D,Einzelbeträge!$C:$C,'Ausgaben Vorlage'!$C29,Einzelbeträge!$E:$E,'Ausgaben Vorlage'!N$6)</f>
        <v>0</v>
      </c>
      <c r="O29" s="6"/>
      <c r="Q29" s="5"/>
      <c r="R29" s="30" t="str">
        <f>TEXT(($C$7+7*COUNTA($C$7:$C29))-WEEKDAY($C$7+7*COUNTA($C$7:$C29),3),"TT.MM.JJJJ")&amp;" - "&amp;TEXT(($C$7+7*COUNTA($C$7:$C29))-WEEKDAY($C$7+7*COUNTA($C$7:$C29),3)+6,"TT.MM.JJJJ")</f>
        <v>09.06.2025 - 15.06.2025</v>
      </c>
      <c r="S29" s="46">
        <f t="shared" si="2"/>
        <v>0</v>
      </c>
      <c r="T29" s="55">
        <f t="shared" si="2"/>
        <v>0</v>
      </c>
      <c r="U29" s="55">
        <f t="shared" si="2"/>
        <v>0</v>
      </c>
      <c r="V29" s="55">
        <f t="shared" si="2"/>
        <v>0</v>
      </c>
      <c r="W29" s="55">
        <f t="shared" si="2"/>
        <v>0</v>
      </c>
      <c r="X29" s="55">
        <f t="shared" si="2"/>
        <v>0</v>
      </c>
      <c r="Y29" s="55">
        <f t="shared" si="2"/>
        <v>0</v>
      </c>
      <c r="Z29" s="55">
        <f t="shared" si="2"/>
        <v>0</v>
      </c>
      <c r="AA29" s="55">
        <f t="shared" si="2"/>
        <v>0</v>
      </c>
      <c r="AB29" s="55">
        <f t="shared" si="2"/>
        <v>0</v>
      </c>
      <c r="AC29" s="56">
        <f t="shared" si="2"/>
        <v>0</v>
      </c>
      <c r="AD29" s="6"/>
    </row>
    <row r="30" spans="2:45" x14ac:dyDescent="0.35">
      <c r="B30" s="5"/>
      <c r="C30" s="40">
        <f t="shared" si="5"/>
        <v>45681</v>
      </c>
      <c r="D30" s="46">
        <f>SUMIFS(Einzelbeträge!$D:$D,Einzelbeträge!$C:$C,'Ausgaben Vorlage'!$C30)</f>
        <v>0</v>
      </c>
      <c r="E30" s="21">
        <f>SUMIFS(Einzelbeträge!$D:$D,Einzelbeträge!$C:$C,'Ausgaben Vorlage'!$C30,Einzelbeträge!$E:$E,'Ausgaben Vorlage'!E$6)</f>
        <v>0</v>
      </c>
      <c r="F30" s="21">
        <f>SUMIFS(Einzelbeträge!$D:$D,Einzelbeträge!$C:$C,'Ausgaben Vorlage'!$C30,Einzelbeträge!$E:$E,'Ausgaben Vorlage'!F$6)</f>
        <v>0</v>
      </c>
      <c r="G30" s="21">
        <f>SUMIFS(Einzelbeträge!$D:$D,Einzelbeträge!$C:$C,'Ausgaben Vorlage'!$C30,Einzelbeträge!$E:$E,'Ausgaben Vorlage'!G$6)</f>
        <v>0</v>
      </c>
      <c r="H30" s="21">
        <f>SUMIFS(Einzelbeträge!$D:$D,Einzelbeträge!$C:$C,'Ausgaben Vorlage'!$C30,Einzelbeträge!$E:$E,'Ausgaben Vorlage'!H$6)</f>
        <v>0</v>
      </c>
      <c r="I30" s="21">
        <f>SUMIFS(Einzelbeträge!$D:$D,Einzelbeträge!$C:$C,'Ausgaben Vorlage'!$C30,Einzelbeträge!$E:$E,'Ausgaben Vorlage'!I$6)</f>
        <v>0</v>
      </c>
      <c r="J30" s="21">
        <f>SUMIFS(Einzelbeträge!$D:$D,Einzelbeträge!$C:$C,'Ausgaben Vorlage'!$C30,Einzelbeträge!$E:$E,'Ausgaben Vorlage'!J$6)</f>
        <v>0</v>
      </c>
      <c r="K30" s="21">
        <f>SUMIFS(Einzelbeträge!$D:$D,Einzelbeträge!$C:$C,'Ausgaben Vorlage'!$C30,Einzelbeträge!$E:$E,'Ausgaben Vorlage'!K$6)</f>
        <v>0</v>
      </c>
      <c r="L30" s="21">
        <f>SUMIFS(Einzelbeträge!$D:$D,Einzelbeträge!$C:$C,'Ausgaben Vorlage'!$C30,Einzelbeträge!$E:$E,'Ausgaben Vorlage'!L$6)</f>
        <v>0</v>
      </c>
      <c r="M30" s="21">
        <f>SUMIFS(Einzelbeträge!$D:$D,Einzelbeträge!$C:$C,'Ausgaben Vorlage'!$C30,Einzelbeträge!$E:$E,'Ausgaben Vorlage'!M$6)</f>
        <v>0</v>
      </c>
      <c r="N30" s="35">
        <f>SUMIFS(Einzelbeträge!$D:$D,Einzelbeträge!$C:$C,'Ausgaben Vorlage'!$C30,Einzelbeträge!$E:$E,'Ausgaben Vorlage'!N$6)</f>
        <v>0</v>
      </c>
      <c r="O30" s="6"/>
      <c r="Q30" s="5"/>
      <c r="R30" s="30" t="str">
        <f>TEXT(($C$7+7*COUNTA($C$7:$C30))-WEEKDAY($C$7+7*COUNTA($C$7:$C30),3),"TT.MM.JJJJ")&amp;" - "&amp;TEXT(($C$7+7*COUNTA($C$7:$C30))-WEEKDAY($C$7+7*COUNTA($C$7:$C30),3)+6,"TT.MM.JJJJ")</f>
        <v>16.06.2025 - 22.06.2025</v>
      </c>
      <c r="S30" s="46">
        <f t="shared" si="2"/>
        <v>0</v>
      </c>
      <c r="T30" s="55">
        <f t="shared" si="2"/>
        <v>0</v>
      </c>
      <c r="U30" s="55">
        <f t="shared" si="2"/>
        <v>0</v>
      </c>
      <c r="V30" s="55">
        <f t="shared" si="2"/>
        <v>0</v>
      </c>
      <c r="W30" s="55">
        <f t="shared" si="2"/>
        <v>0</v>
      </c>
      <c r="X30" s="55">
        <f t="shared" si="2"/>
        <v>0</v>
      </c>
      <c r="Y30" s="55">
        <f t="shared" si="2"/>
        <v>0</v>
      </c>
      <c r="Z30" s="55">
        <f t="shared" si="2"/>
        <v>0</v>
      </c>
      <c r="AA30" s="55">
        <f t="shared" si="2"/>
        <v>0</v>
      </c>
      <c r="AB30" s="55">
        <f t="shared" si="2"/>
        <v>0</v>
      </c>
      <c r="AC30" s="56">
        <f t="shared" si="2"/>
        <v>0</v>
      </c>
      <c r="AD30" s="6"/>
    </row>
    <row r="31" spans="2:45" x14ac:dyDescent="0.35">
      <c r="B31" s="5"/>
      <c r="C31" s="40">
        <f t="shared" si="5"/>
        <v>45682</v>
      </c>
      <c r="D31" s="46">
        <f>SUMIFS(Einzelbeträge!$D:$D,Einzelbeträge!$C:$C,'Ausgaben Vorlage'!$C31)</f>
        <v>0</v>
      </c>
      <c r="E31" s="21">
        <f>SUMIFS(Einzelbeträge!$D:$D,Einzelbeträge!$C:$C,'Ausgaben Vorlage'!$C31,Einzelbeträge!$E:$E,'Ausgaben Vorlage'!E$6)</f>
        <v>0</v>
      </c>
      <c r="F31" s="21">
        <f>SUMIFS(Einzelbeträge!$D:$D,Einzelbeträge!$C:$C,'Ausgaben Vorlage'!$C31,Einzelbeträge!$E:$E,'Ausgaben Vorlage'!F$6)</f>
        <v>0</v>
      </c>
      <c r="G31" s="21">
        <f>SUMIFS(Einzelbeträge!$D:$D,Einzelbeträge!$C:$C,'Ausgaben Vorlage'!$C31,Einzelbeträge!$E:$E,'Ausgaben Vorlage'!G$6)</f>
        <v>0</v>
      </c>
      <c r="H31" s="21">
        <f>SUMIFS(Einzelbeträge!$D:$D,Einzelbeträge!$C:$C,'Ausgaben Vorlage'!$C31,Einzelbeträge!$E:$E,'Ausgaben Vorlage'!H$6)</f>
        <v>0</v>
      </c>
      <c r="I31" s="21">
        <f>SUMIFS(Einzelbeträge!$D:$D,Einzelbeträge!$C:$C,'Ausgaben Vorlage'!$C31,Einzelbeträge!$E:$E,'Ausgaben Vorlage'!I$6)</f>
        <v>0</v>
      </c>
      <c r="J31" s="21">
        <f>SUMIFS(Einzelbeträge!$D:$D,Einzelbeträge!$C:$C,'Ausgaben Vorlage'!$C31,Einzelbeträge!$E:$E,'Ausgaben Vorlage'!J$6)</f>
        <v>0</v>
      </c>
      <c r="K31" s="21">
        <f>SUMIFS(Einzelbeträge!$D:$D,Einzelbeträge!$C:$C,'Ausgaben Vorlage'!$C31,Einzelbeträge!$E:$E,'Ausgaben Vorlage'!K$6)</f>
        <v>0</v>
      </c>
      <c r="L31" s="21">
        <f>SUMIFS(Einzelbeträge!$D:$D,Einzelbeträge!$C:$C,'Ausgaben Vorlage'!$C31,Einzelbeträge!$E:$E,'Ausgaben Vorlage'!L$6)</f>
        <v>0</v>
      </c>
      <c r="M31" s="21">
        <f>SUMIFS(Einzelbeträge!$D:$D,Einzelbeträge!$C:$C,'Ausgaben Vorlage'!$C31,Einzelbeträge!$E:$E,'Ausgaben Vorlage'!M$6)</f>
        <v>0</v>
      </c>
      <c r="N31" s="35">
        <f>SUMIFS(Einzelbeträge!$D:$D,Einzelbeträge!$C:$C,'Ausgaben Vorlage'!$C31,Einzelbeträge!$E:$E,'Ausgaben Vorlage'!N$6)</f>
        <v>0</v>
      </c>
      <c r="O31" s="6"/>
      <c r="Q31" s="5"/>
      <c r="R31" s="30" t="str">
        <f>TEXT(($C$7+7*COUNTA($C$7:$C31))-WEEKDAY($C$7+7*COUNTA($C$7:$C31),3),"TT.MM.JJJJ")&amp;" - "&amp;TEXT(($C$7+7*COUNTA($C$7:$C31))-WEEKDAY($C$7+7*COUNTA($C$7:$C31),3)+6,"TT.MM.JJJJ")</f>
        <v>23.06.2025 - 29.06.2025</v>
      </c>
      <c r="S31" s="46">
        <f t="shared" si="2"/>
        <v>0</v>
      </c>
      <c r="T31" s="55">
        <f t="shared" si="2"/>
        <v>0</v>
      </c>
      <c r="U31" s="55">
        <f t="shared" si="2"/>
        <v>0</v>
      </c>
      <c r="V31" s="55">
        <f t="shared" si="2"/>
        <v>0</v>
      </c>
      <c r="W31" s="55">
        <f t="shared" si="2"/>
        <v>0</v>
      </c>
      <c r="X31" s="55">
        <f t="shared" si="2"/>
        <v>0</v>
      </c>
      <c r="Y31" s="55">
        <f t="shared" si="2"/>
        <v>0</v>
      </c>
      <c r="Z31" s="55">
        <f t="shared" si="2"/>
        <v>0</v>
      </c>
      <c r="AA31" s="55">
        <f t="shared" si="2"/>
        <v>0</v>
      </c>
      <c r="AB31" s="55">
        <f t="shared" si="2"/>
        <v>0</v>
      </c>
      <c r="AC31" s="56">
        <f t="shared" si="2"/>
        <v>0</v>
      </c>
      <c r="AD31" s="6"/>
    </row>
    <row r="32" spans="2:45" x14ac:dyDescent="0.35">
      <c r="B32" s="5"/>
      <c r="C32" s="40">
        <f t="shared" si="5"/>
        <v>45683</v>
      </c>
      <c r="D32" s="46">
        <f>SUMIFS(Einzelbeträge!$D:$D,Einzelbeträge!$C:$C,'Ausgaben Vorlage'!$C32)</f>
        <v>0</v>
      </c>
      <c r="E32" s="21">
        <f>SUMIFS(Einzelbeträge!$D:$D,Einzelbeträge!$C:$C,'Ausgaben Vorlage'!$C32,Einzelbeträge!$E:$E,'Ausgaben Vorlage'!E$6)</f>
        <v>0</v>
      </c>
      <c r="F32" s="21">
        <f>SUMIFS(Einzelbeträge!$D:$D,Einzelbeträge!$C:$C,'Ausgaben Vorlage'!$C32,Einzelbeträge!$E:$E,'Ausgaben Vorlage'!F$6)</f>
        <v>0</v>
      </c>
      <c r="G32" s="21">
        <f>SUMIFS(Einzelbeträge!$D:$D,Einzelbeträge!$C:$C,'Ausgaben Vorlage'!$C32,Einzelbeträge!$E:$E,'Ausgaben Vorlage'!G$6)</f>
        <v>0</v>
      </c>
      <c r="H32" s="21">
        <f>SUMIFS(Einzelbeträge!$D:$D,Einzelbeträge!$C:$C,'Ausgaben Vorlage'!$C32,Einzelbeträge!$E:$E,'Ausgaben Vorlage'!H$6)</f>
        <v>0</v>
      </c>
      <c r="I32" s="21">
        <f>SUMIFS(Einzelbeträge!$D:$D,Einzelbeträge!$C:$C,'Ausgaben Vorlage'!$C32,Einzelbeträge!$E:$E,'Ausgaben Vorlage'!I$6)</f>
        <v>0</v>
      </c>
      <c r="J32" s="21">
        <f>SUMIFS(Einzelbeträge!$D:$D,Einzelbeträge!$C:$C,'Ausgaben Vorlage'!$C32,Einzelbeträge!$E:$E,'Ausgaben Vorlage'!J$6)</f>
        <v>0</v>
      </c>
      <c r="K32" s="21">
        <f>SUMIFS(Einzelbeträge!$D:$D,Einzelbeträge!$C:$C,'Ausgaben Vorlage'!$C32,Einzelbeträge!$E:$E,'Ausgaben Vorlage'!K$6)</f>
        <v>0</v>
      </c>
      <c r="L32" s="21">
        <f>SUMIFS(Einzelbeträge!$D:$D,Einzelbeträge!$C:$C,'Ausgaben Vorlage'!$C32,Einzelbeträge!$E:$E,'Ausgaben Vorlage'!L$6)</f>
        <v>0</v>
      </c>
      <c r="M32" s="21">
        <f>SUMIFS(Einzelbeträge!$D:$D,Einzelbeträge!$C:$C,'Ausgaben Vorlage'!$C32,Einzelbeträge!$E:$E,'Ausgaben Vorlage'!M$6)</f>
        <v>0</v>
      </c>
      <c r="N32" s="35">
        <f>SUMIFS(Einzelbeträge!$D:$D,Einzelbeträge!$C:$C,'Ausgaben Vorlage'!$C32,Einzelbeträge!$E:$E,'Ausgaben Vorlage'!N$6)</f>
        <v>0</v>
      </c>
      <c r="O32" s="6"/>
      <c r="Q32" s="5"/>
      <c r="R32" s="30" t="str">
        <f>TEXT(($C$7+7*COUNTA($C$7:$C32))-WEEKDAY($C$7+7*COUNTA($C$7:$C32),3),"TT.MM.JJJJ")&amp;" - "&amp;TEXT(($C$7+7*COUNTA($C$7:$C32))-WEEKDAY($C$7+7*COUNTA($C$7:$C32),3)+6,"TT.MM.JJJJ")</f>
        <v>30.06.2025 - 06.07.2025</v>
      </c>
      <c r="S32" s="46">
        <f t="shared" si="2"/>
        <v>0</v>
      </c>
      <c r="T32" s="55">
        <f t="shared" si="2"/>
        <v>0</v>
      </c>
      <c r="U32" s="55">
        <f t="shared" si="2"/>
        <v>0</v>
      </c>
      <c r="V32" s="55">
        <f t="shared" si="2"/>
        <v>0</v>
      </c>
      <c r="W32" s="55">
        <f t="shared" si="2"/>
        <v>0</v>
      </c>
      <c r="X32" s="55">
        <f t="shared" si="2"/>
        <v>0</v>
      </c>
      <c r="Y32" s="55">
        <f t="shared" si="2"/>
        <v>0</v>
      </c>
      <c r="Z32" s="55">
        <f t="shared" si="2"/>
        <v>0</v>
      </c>
      <c r="AA32" s="55">
        <f t="shared" si="2"/>
        <v>0</v>
      </c>
      <c r="AB32" s="55">
        <f t="shared" si="2"/>
        <v>0</v>
      </c>
      <c r="AC32" s="56">
        <f t="shared" si="2"/>
        <v>0</v>
      </c>
      <c r="AD32" s="6"/>
    </row>
    <row r="33" spans="2:30" x14ac:dyDescent="0.35">
      <c r="B33" s="5"/>
      <c r="C33" s="40">
        <f t="shared" si="5"/>
        <v>45684</v>
      </c>
      <c r="D33" s="46">
        <f>SUMIFS(Einzelbeträge!$D:$D,Einzelbeträge!$C:$C,'Ausgaben Vorlage'!$C33)</f>
        <v>0</v>
      </c>
      <c r="E33" s="21">
        <f>SUMIFS(Einzelbeträge!$D:$D,Einzelbeträge!$C:$C,'Ausgaben Vorlage'!$C33,Einzelbeträge!$E:$E,'Ausgaben Vorlage'!E$6)</f>
        <v>0</v>
      </c>
      <c r="F33" s="21">
        <f>SUMIFS(Einzelbeträge!$D:$D,Einzelbeträge!$C:$C,'Ausgaben Vorlage'!$C33,Einzelbeträge!$E:$E,'Ausgaben Vorlage'!F$6)</f>
        <v>0</v>
      </c>
      <c r="G33" s="21">
        <f>SUMIFS(Einzelbeträge!$D:$D,Einzelbeträge!$C:$C,'Ausgaben Vorlage'!$C33,Einzelbeträge!$E:$E,'Ausgaben Vorlage'!G$6)</f>
        <v>0</v>
      </c>
      <c r="H33" s="21">
        <f>SUMIFS(Einzelbeträge!$D:$D,Einzelbeträge!$C:$C,'Ausgaben Vorlage'!$C33,Einzelbeträge!$E:$E,'Ausgaben Vorlage'!H$6)</f>
        <v>0</v>
      </c>
      <c r="I33" s="21">
        <f>SUMIFS(Einzelbeträge!$D:$D,Einzelbeträge!$C:$C,'Ausgaben Vorlage'!$C33,Einzelbeträge!$E:$E,'Ausgaben Vorlage'!I$6)</f>
        <v>0</v>
      </c>
      <c r="J33" s="21">
        <f>SUMIFS(Einzelbeträge!$D:$D,Einzelbeträge!$C:$C,'Ausgaben Vorlage'!$C33,Einzelbeträge!$E:$E,'Ausgaben Vorlage'!J$6)</f>
        <v>0</v>
      </c>
      <c r="K33" s="21">
        <f>SUMIFS(Einzelbeträge!$D:$D,Einzelbeträge!$C:$C,'Ausgaben Vorlage'!$C33,Einzelbeträge!$E:$E,'Ausgaben Vorlage'!K$6)</f>
        <v>0</v>
      </c>
      <c r="L33" s="21">
        <f>SUMIFS(Einzelbeträge!$D:$D,Einzelbeträge!$C:$C,'Ausgaben Vorlage'!$C33,Einzelbeträge!$E:$E,'Ausgaben Vorlage'!L$6)</f>
        <v>0</v>
      </c>
      <c r="M33" s="21">
        <f>SUMIFS(Einzelbeträge!$D:$D,Einzelbeträge!$C:$C,'Ausgaben Vorlage'!$C33,Einzelbeträge!$E:$E,'Ausgaben Vorlage'!M$6)</f>
        <v>0</v>
      </c>
      <c r="N33" s="35">
        <f>SUMIFS(Einzelbeträge!$D:$D,Einzelbeträge!$C:$C,'Ausgaben Vorlage'!$C33,Einzelbeträge!$E:$E,'Ausgaben Vorlage'!N$6)</f>
        <v>0</v>
      </c>
      <c r="O33" s="6"/>
      <c r="Q33" s="5"/>
      <c r="R33" s="30" t="str">
        <f>TEXT(($C$7+7*COUNTA($C$7:$C33))-WEEKDAY($C$7+7*COUNTA($C$7:$C33),3),"TT.MM.JJJJ")&amp;" - "&amp;TEXT(($C$7+7*COUNTA($C$7:$C33))-WEEKDAY($C$7+7*COUNTA($C$7:$C33),3)+6,"TT.MM.JJJJ")</f>
        <v>07.07.2025 - 13.07.2025</v>
      </c>
      <c r="S33" s="46">
        <f t="shared" si="2"/>
        <v>0</v>
      </c>
      <c r="T33" s="55">
        <f t="shared" si="2"/>
        <v>0</v>
      </c>
      <c r="U33" s="55">
        <f t="shared" si="2"/>
        <v>0</v>
      </c>
      <c r="V33" s="55">
        <f t="shared" si="2"/>
        <v>0</v>
      </c>
      <c r="W33" s="55">
        <f t="shared" si="2"/>
        <v>0</v>
      </c>
      <c r="X33" s="55">
        <f t="shared" si="2"/>
        <v>0</v>
      </c>
      <c r="Y33" s="55">
        <f t="shared" si="2"/>
        <v>0</v>
      </c>
      <c r="Z33" s="55">
        <f t="shared" si="2"/>
        <v>0</v>
      </c>
      <c r="AA33" s="55">
        <f t="shared" si="2"/>
        <v>0</v>
      </c>
      <c r="AB33" s="55">
        <f t="shared" si="2"/>
        <v>0</v>
      </c>
      <c r="AC33" s="56">
        <f t="shared" si="2"/>
        <v>0</v>
      </c>
      <c r="AD33" s="6"/>
    </row>
    <row r="34" spans="2:30" x14ac:dyDescent="0.35">
      <c r="B34" s="5"/>
      <c r="C34" s="40">
        <f t="shared" si="5"/>
        <v>45685</v>
      </c>
      <c r="D34" s="46">
        <f>SUMIFS(Einzelbeträge!$D:$D,Einzelbeträge!$C:$C,'Ausgaben Vorlage'!$C34)</f>
        <v>0</v>
      </c>
      <c r="E34" s="21">
        <f>SUMIFS(Einzelbeträge!$D:$D,Einzelbeträge!$C:$C,'Ausgaben Vorlage'!$C34,Einzelbeträge!$E:$E,'Ausgaben Vorlage'!E$6)</f>
        <v>0</v>
      </c>
      <c r="F34" s="21">
        <f>SUMIFS(Einzelbeträge!$D:$D,Einzelbeträge!$C:$C,'Ausgaben Vorlage'!$C34,Einzelbeträge!$E:$E,'Ausgaben Vorlage'!F$6)</f>
        <v>0</v>
      </c>
      <c r="G34" s="21">
        <f>SUMIFS(Einzelbeträge!$D:$D,Einzelbeträge!$C:$C,'Ausgaben Vorlage'!$C34,Einzelbeträge!$E:$E,'Ausgaben Vorlage'!G$6)</f>
        <v>0</v>
      </c>
      <c r="H34" s="21">
        <f>SUMIFS(Einzelbeträge!$D:$D,Einzelbeträge!$C:$C,'Ausgaben Vorlage'!$C34,Einzelbeträge!$E:$E,'Ausgaben Vorlage'!H$6)</f>
        <v>0</v>
      </c>
      <c r="I34" s="21">
        <f>SUMIFS(Einzelbeträge!$D:$D,Einzelbeträge!$C:$C,'Ausgaben Vorlage'!$C34,Einzelbeträge!$E:$E,'Ausgaben Vorlage'!I$6)</f>
        <v>0</v>
      </c>
      <c r="J34" s="21">
        <f>SUMIFS(Einzelbeträge!$D:$D,Einzelbeträge!$C:$C,'Ausgaben Vorlage'!$C34,Einzelbeträge!$E:$E,'Ausgaben Vorlage'!J$6)</f>
        <v>0</v>
      </c>
      <c r="K34" s="21">
        <f>SUMIFS(Einzelbeträge!$D:$D,Einzelbeträge!$C:$C,'Ausgaben Vorlage'!$C34,Einzelbeträge!$E:$E,'Ausgaben Vorlage'!K$6)</f>
        <v>0</v>
      </c>
      <c r="L34" s="21">
        <f>SUMIFS(Einzelbeträge!$D:$D,Einzelbeträge!$C:$C,'Ausgaben Vorlage'!$C34,Einzelbeträge!$E:$E,'Ausgaben Vorlage'!L$6)</f>
        <v>0</v>
      </c>
      <c r="M34" s="21">
        <f>SUMIFS(Einzelbeträge!$D:$D,Einzelbeträge!$C:$C,'Ausgaben Vorlage'!$C34,Einzelbeträge!$E:$E,'Ausgaben Vorlage'!M$6)</f>
        <v>0</v>
      </c>
      <c r="N34" s="35">
        <f>SUMIFS(Einzelbeträge!$D:$D,Einzelbeträge!$C:$C,'Ausgaben Vorlage'!$C34,Einzelbeträge!$E:$E,'Ausgaben Vorlage'!N$6)</f>
        <v>0</v>
      </c>
      <c r="O34" s="6"/>
      <c r="Q34" s="5"/>
      <c r="R34" s="30" t="str">
        <f>TEXT(($C$7+7*COUNTA($C$7:$C34))-WEEKDAY($C$7+7*COUNTA($C$7:$C34),3),"TT.MM.JJJJ")&amp;" - "&amp;TEXT(($C$7+7*COUNTA($C$7:$C34))-WEEKDAY($C$7+7*COUNTA($C$7:$C34),3)+6,"TT.MM.JJJJ")</f>
        <v>14.07.2025 - 20.07.2025</v>
      </c>
      <c r="S34" s="46">
        <f t="shared" si="2"/>
        <v>0</v>
      </c>
      <c r="T34" s="55">
        <f t="shared" si="2"/>
        <v>0</v>
      </c>
      <c r="U34" s="55">
        <f t="shared" si="2"/>
        <v>0</v>
      </c>
      <c r="V34" s="55">
        <f t="shared" si="2"/>
        <v>0</v>
      </c>
      <c r="W34" s="55">
        <f t="shared" si="2"/>
        <v>0</v>
      </c>
      <c r="X34" s="55">
        <f t="shared" si="2"/>
        <v>0</v>
      </c>
      <c r="Y34" s="55">
        <f t="shared" si="2"/>
        <v>0</v>
      </c>
      <c r="Z34" s="55">
        <f t="shared" si="2"/>
        <v>0</v>
      </c>
      <c r="AA34" s="55">
        <f t="shared" si="2"/>
        <v>0</v>
      </c>
      <c r="AB34" s="55">
        <f t="shared" si="2"/>
        <v>0</v>
      </c>
      <c r="AC34" s="56">
        <f t="shared" si="2"/>
        <v>0</v>
      </c>
      <c r="AD34" s="6"/>
    </row>
    <row r="35" spans="2:30" x14ac:dyDescent="0.35">
      <c r="B35" s="5"/>
      <c r="C35" s="40">
        <f t="shared" si="5"/>
        <v>45686</v>
      </c>
      <c r="D35" s="46">
        <f>SUMIFS(Einzelbeträge!$D:$D,Einzelbeträge!$C:$C,'Ausgaben Vorlage'!$C35)</f>
        <v>0</v>
      </c>
      <c r="E35" s="21">
        <f>SUMIFS(Einzelbeträge!$D:$D,Einzelbeträge!$C:$C,'Ausgaben Vorlage'!$C35,Einzelbeträge!$E:$E,'Ausgaben Vorlage'!E$6)</f>
        <v>0</v>
      </c>
      <c r="F35" s="21">
        <f>SUMIFS(Einzelbeträge!$D:$D,Einzelbeträge!$C:$C,'Ausgaben Vorlage'!$C35,Einzelbeträge!$E:$E,'Ausgaben Vorlage'!F$6)</f>
        <v>0</v>
      </c>
      <c r="G35" s="21">
        <f>SUMIFS(Einzelbeträge!$D:$D,Einzelbeträge!$C:$C,'Ausgaben Vorlage'!$C35,Einzelbeträge!$E:$E,'Ausgaben Vorlage'!G$6)</f>
        <v>0</v>
      </c>
      <c r="H35" s="21">
        <f>SUMIFS(Einzelbeträge!$D:$D,Einzelbeträge!$C:$C,'Ausgaben Vorlage'!$C35,Einzelbeträge!$E:$E,'Ausgaben Vorlage'!H$6)</f>
        <v>0</v>
      </c>
      <c r="I35" s="21">
        <f>SUMIFS(Einzelbeträge!$D:$D,Einzelbeträge!$C:$C,'Ausgaben Vorlage'!$C35,Einzelbeträge!$E:$E,'Ausgaben Vorlage'!I$6)</f>
        <v>0</v>
      </c>
      <c r="J35" s="21">
        <f>SUMIFS(Einzelbeträge!$D:$D,Einzelbeträge!$C:$C,'Ausgaben Vorlage'!$C35,Einzelbeträge!$E:$E,'Ausgaben Vorlage'!J$6)</f>
        <v>0</v>
      </c>
      <c r="K35" s="21">
        <f>SUMIFS(Einzelbeträge!$D:$D,Einzelbeträge!$C:$C,'Ausgaben Vorlage'!$C35,Einzelbeträge!$E:$E,'Ausgaben Vorlage'!K$6)</f>
        <v>0</v>
      </c>
      <c r="L35" s="21">
        <f>SUMIFS(Einzelbeträge!$D:$D,Einzelbeträge!$C:$C,'Ausgaben Vorlage'!$C35,Einzelbeträge!$E:$E,'Ausgaben Vorlage'!L$6)</f>
        <v>0</v>
      </c>
      <c r="M35" s="21">
        <f>SUMIFS(Einzelbeträge!$D:$D,Einzelbeträge!$C:$C,'Ausgaben Vorlage'!$C35,Einzelbeträge!$E:$E,'Ausgaben Vorlage'!M$6)</f>
        <v>0</v>
      </c>
      <c r="N35" s="35">
        <f>SUMIFS(Einzelbeträge!$D:$D,Einzelbeträge!$C:$C,'Ausgaben Vorlage'!$C35,Einzelbeträge!$E:$E,'Ausgaben Vorlage'!N$6)</f>
        <v>0</v>
      </c>
      <c r="O35" s="6"/>
      <c r="Q35" s="5"/>
      <c r="R35" s="30" t="str">
        <f>TEXT(($C$7+7*COUNTA($C$7:$C35))-WEEKDAY($C$7+7*COUNTA($C$7:$C35),3),"TT.MM.JJJJ")&amp;" - "&amp;TEXT(($C$7+7*COUNTA($C$7:$C35))-WEEKDAY($C$7+7*COUNTA($C$7:$C35),3)+6,"TT.MM.JJJJ")</f>
        <v>21.07.2025 - 27.07.2025</v>
      </c>
      <c r="S35" s="46">
        <f t="shared" si="2"/>
        <v>0</v>
      </c>
      <c r="T35" s="55">
        <f t="shared" si="2"/>
        <v>0</v>
      </c>
      <c r="U35" s="55">
        <f t="shared" si="2"/>
        <v>0</v>
      </c>
      <c r="V35" s="55">
        <f t="shared" si="2"/>
        <v>0</v>
      </c>
      <c r="W35" s="55">
        <f t="shared" si="2"/>
        <v>0</v>
      </c>
      <c r="X35" s="55">
        <f t="shared" si="2"/>
        <v>0</v>
      </c>
      <c r="Y35" s="55">
        <f t="shared" si="2"/>
        <v>0</v>
      </c>
      <c r="Z35" s="55">
        <f t="shared" si="2"/>
        <v>0</v>
      </c>
      <c r="AA35" s="55">
        <f t="shared" si="2"/>
        <v>0</v>
      </c>
      <c r="AB35" s="55">
        <f t="shared" si="2"/>
        <v>0</v>
      </c>
      <c r="AC35" s="56">
        <f t="shared" si="2"/>
        <v>0</v>
      </c>
      <c r="AD35" s="6"/>
    </row>
    <row r="36" spans="2:30" x14ac:dyDescent="0.35">
      <c r="B36" s="5"/>
      <c r="C36" s="40">
        <f t="shared" si="5"/>
        <v>45687</v>
      </c>
      <c r="D36" s="46">
        <f>SUMIFS(Einzelbeträge!$D:$D,Einzelbeträge!$C:$C,'Ausgaben Vorlage'!$C36)</f>
        <v>0</v>
      </c>
      <c r="E36" s="21">
        <f>SUMIFS(Einzelbeträge!$D:$D,Einzelbeträge!$C:$C,'Ausgaben Vorlage'!$C36,Einzelbeträge!$E:$E,'Ausgaben Vorlage'!E$6)</f>
        <v>0</v>
      </c>
      <c r="F36" s="21">
        <f>SUMIFS(Einzelbeträge!$D:$D,Einzelbeträge!$C:$C,'Ausgaben Vorlage'!$C36,Einzelbeträge!$E:$E,'Ausgaben Vorlage'!F$6)</f>
        <v>0</v>
      </c>
      <c r="G36" s="21">
        <f>SUMIFS(Einzelbeträge!$D:$D,Einzelbeträge!$C:$C,'Ausgaben Vorlage'!$C36,Einzelbeträge!$E:$E,'Ausgaben Vorlage'!G$6)</f>
        <v>0</v>
      </c>
      <c r="H36" s="21">
        <f>SUMIFS(Einzelbeträge!$D:$D,Einzelbeträge!$C:$C,'Ausgaben Vorlage'!$C36,Einzelbeträge!$E:$E,'Ausgaben Vorlage'!H$6)</f>
        <v>0</v>
      </c>
      <c r="I36" s="21">
        <f>SUMIFS(Einzelbeträge!$D:$D,Einzelbeträge!$C:$C,'Ausgaben Vorlage'!$C36,Einzelbeträge!$E:$E,'Ausgaben Vorlage'!I$6)</f>
        <v>0</v>
      </c>
      <c r="J36" s="21">
        <f>SUMIFS(Einzelbeträge!$D:$D,Einzelbeträge!$C:$C,'Ausgaben Vorlage'!$C36,Einzelbeträge!$E:$E,'Ausgaben Vorlage'!J$6)</f>
        <v>0</v>
      </c>
      <c r="K36" s="21">
        <f>SUMIFS(Einzelbeträge!$D:$D,Einzelbeträge!$C:$C,'Ausgaben Vorlage'!$C36,Einzelbeträge!$E:$E,'Ausgaben Vorlage'!K$6)</f>
        <v>0</v>
      </c>
      <c r="L36" s="21">
        <f>SUMIFS(Einzelbeträge!$D:$D,Einzelbeträge!$C:$C,'Ausgaben Vorlage'!$C36,Einzelbeträge!$E:$E,'Ausgaben Vorlage'!L$6)</f>
        <v>0</v>
      </c>
      <c r="M36" s="21">
        <f>SUMIFS(Einzelbeträge!$D:$D,Einzelbeträge!$C:$C,'Ausgaben Vorlage'!$C36,Einzelbeträge!$E:$E,'Ausgaben Vorlage'!M$6)</f>
        <v>0</v>
      </c>
      <c r="N36" s="35">
        <f>SUMIFS(Einzelbeträge!$D:$D,Einzelbeträge!$C:$C,'Ausgaben Vorlage'!$C36,Einzelbeträge!$E:$E,'Ausgaben Vorlage'!N$6)</f>
        <v>0</v>
      </c>
      <c r="O36" s="6"/>
      <c r="Q36" s="5"/>
      <c r="R36" s="30" t="str">
        <f>TEXT(($C$7+7*COUNTA($C$7:$C36))-WEEKDAY($C$7+7*COUNTA($C$7:$C36),3),"TT.MM.JJJJ")&amp;" - "&amp;TEXT(($C$7+7*COUNTA($C$7:$C36))-WEEKDAY($C$7+7*COUNTA($C$7:$C36),3)+6,"TT.MM.JJJJ")</f>
        <v>28.07.2025 - 03.08.2025</v>
      </c>
      <c r="S36" s="46">
        <f t="shared" si="2"/>
        <v>0</v>
      </c>
      <c r="T36" s="55">
        <f t="shared" si="2"/>
        <v>0</v>
      </c>
      <c r="U36" s="55">
        <f t="shared" si="2"/>
        <v>0</v>
      </c>
      <c r="V36" s="55">
        <f t="shared" si="2"/>
        <v>0</v>
      </c>
      <c r="W36" s="55">
        <f t="shared" si="2"/>
        <v>0</v>
      </c>
      <c r="X36" s="55">
        <f t="shared" si="2"/>
        <v>0</v>
      </c>
      <c r="Y36" s="55">
        <f t="shared" si="2"/>
        <v>0</v>
      </c>
      <c r="Z36" s="55">
        <f t="shared" si="2"/>
        <v>0</v>
      </c>
      <c r="AA36" s="55">
        <f t="shared" si="2"/>
        <v>0</v>
      </c>
      <c r="AB36" s="55">
        <f t="shared" si="2"/>
        <v>0</v>
      </c>
      <c r="AC36" s="56">
        <f t="shared" si="2"/>
        <v>0</v>
      </c>
      <c r="AD36" s="6"/>
    </row>
    <row r="37" spans="2:30" x14ac:dyDescent="0.35">
      <c r="B37" s="5"/>
      <c r="C37" s="31">
        <f t="shared" si="5"/>
        <v>45688</v>
      </c>
      <c r="D37" s="47">
        <f>SUMIFS(Einzelbeträge!$D:$D,Einzelbeträge!$C:$C,'Ausgaben Vorlage'!$C37)</f>
        <v>0</v>
      </c>
      <c r="E37" s="37">
        <f>SUMIFS(Einzelbeträge!$D:$D,Einzelbeträge!$C:$C,'Ausgaben Vorlage'!$C37,Einzelbeträge!$E:$E,'Ausgaben Vorlage'!E$6)</f>
        <v>0</v>
      </c>
      <c r="F37" s="37">
        <f>SUMIFS(Einzelbeträge!$D:$D,Einzelbeträge!$C:$C,'Ausgaben Vorlage'!$C37,Einzelbeträge!$E:$E,'Ausgaben Vorlage'!F$6)</f>
        <v>0</v>
      </c>
      <c r="G37" s="37">
        <f>SUMIFS(Einzelbeträge!$D:$D,Einzelbeträge!$C:$C,'Ausgaben Vorlage'!$C37,Einzelbeträge!$E:$E,'Ausgaben Vorlage'!G$6)</f>
        <v>0</v>
      </c>
      <c r="H37" s="37">
        <f>SUMIFS(Einzelbeträge!$D:$D,Einzelbeträge!$C:$C,'Ausgaben Vorlage'!$C37,Einzelbeträge!$E:$E,'Ausgaben Vorlage'!H$6)</f>
        <v>0</v>
      </c>
      <c r="I37" s="37">
        <f>SUMIFS(Einzelbeträge!$D:$D,Einzelbeträge!$C:$C,'Ausgaben Vorlage'!$C37,Einzelbeträge!$E:$E,'Ausgaben Vorlage'!I$6)</f>
        <v>0</v>
      </c>
      <c r="J37" s="37">
        <f>SUMIFS(Einzelbeträge!$D:$D,Einzelbeträge!$C:$C,'Ausgaben Vorlage'!$C37,Einzelbeträge!$E:$E,'Ausgaben Vorlage'!J$6)</f>
        <v>0</v>
      </c>
      <c r="K37" s="37">
        <f>SUMIFS(Einzelbeträge!$D:$D,Einzelbeträge!$C:$C,'Ausgaben Vorlage'!$C37,Einzelbeträge!$E:$E,'Ausgaben Vorlage'!K$6)</f>
        <v>0</v>
      </c>
      <c r="L37" s="37">
        <f>SUMIFS(Einzelbeträge!$D:$D,Einzelbeträge!$C:$C,'Ausgaben Vorlage'!$C37,Einzelbeträge!$E:$E,'Ausgaben Vorlage'!L$6)</f>
        <v>0</v>
      </c>
      <c r="M37" s="37">
        <f>SUMIFS(Einzelbeträge!$D:$D,Einzelbeträge!$C:$C,'Ausgaben Vorlage'!$C37,Einzelbeträge!$E:$E,'Ausgaben Vorlage'!M$6)</f>
        <v>0</v>
      </c>
      <c r="N37" s="38">
        <f>SUMIFS(Einzelbeträge!$D:$D,Einzelbeträge!$C:$C,'Ausgaben Vorlage'!$C37,Einzelbeträge!$E:$E,'Ausgaben Vorlage'!N$6)</f>
        <v>0</v>
      </c>
      <c r="O37" s="6"/>
      <c r="Q37" s="5"/>
      <c r="R37" s="30" t="str">
        <f>TEXT(($C$7+7*COUNTA($C$7:$C37))-WEEKDAY($C$7+7*COUNTA($C$7:$C37),3),"TT.MM.JJJJ")&amp;" - "&amp;TEXT(($C$7+7*COUNTA($C$7:$C37))-WEEKDAY($C$7+7*COUNTA($C$7:$C37),3)+6,"TT.MM.JJJJ")</f>
        <v>04.08.2025 - 10.08.2025</v>
      </c>
      <c r="S37" s="46">
        <f t="shared" si="2"/>
        <v>0</v>
      </c>
      <c r="T37" s="55">
        <f t="shared" si="2"/>
        <v>0</v>
      </c>
      <c r="U37" s="55">
        <f t="shared" si="2"/>
        <v>0</v>
      </c>
      <c r="V37" s="55">
        <f t="shared" si="2"/>
        <v>0</v>
      </c>
      <c r="W37" s="55">
        <f t="shared" si="2"/>
        <v>0</v>
      </c>
      <c r="X37" s="55">
        <f t="shared" si="2"/>
        <v>0</v>
      </c>
      <c r="Y37" s="55">
        <f t="shared" si="2"/>
        <v>0</v>
      </c>
      <c r="Z37" s="55">
        <f t="shared" si="2"/>
        <v>0</v>
      </c>
      <c r="AA37" s="55">
        <f t="shared" si="2"/>
        <v>0</v>
      </c>
      <c r="AB37" s="55">
        <f t="shared" si="2"/>
        <v>0</v>
      </c>
      <c r="AC37" s="56">
        <f t="shared" si="2"/>
        <v>0</v>
      </c>
      <c r="AD37" s="6"/>
    </row>
    <row r="38" spans="2:30" x14ac:dyDescent="0.35">
      <c r="B38" s="5"/>
      <c r="C38" s="92" t="s">
        <v>55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6"/>
      <c r="Q38" s="5"/>
      <c r="R38" s="30" t="str">
        <f>TEXT(($C$7+7*COUNTA($C$7:$C38))-WEEKDAY($C$7+7*COUNTA($C$7:$C38),3),"TT.MM.JJJJ")&amp;" - "&amp;TEXT(($C$7+7*COUNTA($C$7:$C38))-WEEKDAY($C$7+7*COUNTA($C$7:$C38),3)+6,"TT.MM.JJJJ")</f>
        <v>11.08.2025 - 17.08.2025</v>
      </c>
      <c r="S38" s="46">
        <f t="shared" si="2"/>
        <v>0</v>
      </c>
      <c r="T38" s="55">
        <f t="shared" si="2"/>
        <v>0</v>
      </c>
      <c r="U38" s="55">
        <f t="shared" si="2"/>
        <v>0</v>
      </c>
      <c r="V38" s="55">
        <f t="shared" si="2"/>
        <v>0</v>
      </c>
      <c r="W38" s="55">
        <f t="shared" si="2"/>
        <v>0</v>
      </c>
      <c r="X38" s="55">
        <f t="shared" si="2"/>
        <v>0</v>
      </c>
      <c r="Y38" s="55">
        <f t="shared" si="2"/>
        <v>0</v>
      </c>
      <c r="Z38" s="55">
        <f t="shared" si="2"/>
        <v>0</v>
      </c>
      <c r="AA38" s="55">
        <f t="shared" si="2"/>
        <v>0</v>
      </c>
      <c r="AB38" s="55">
        <f t="shared" si="2"/>
        <v>0</v>
      </c>
      <c r="AC38" s="56">
        <f t="shared" si="2"/>
        <v>0</v>
      </c>
      <c r="AD38" s="6"/>
    </row>
    <row r="39" spans="2:30" x14ac:dyDescent="0.35">
      <c r="B39" s="5"/>
      <c r="C39" s="16" t="s">
        <v>18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6"/>
      <c r="Q39" s="5"/>
      <c r="R39" s="30" t="str">
        <f>TEXT(($C$7+7*COUNTA($C$7:$C39))-WEEKDAY($C$7+7*COUNTA($C$7:$C39),3),"TT.MM.JJJJ")&amp;" - "&amp;TEXT(($C$7+7*COUNTA($C$7:$C39))-WEEKDAY($C$7+7*COUNTA($C$7:$C39),3)+6,"TT.MM.JJJJ")</f>
        <v>18.08.2025 - 24.08.2025</v>
      </c>
      <c r="S39" s="46">
        <f t="shared" si="2"/>
        <v>0</v>
      </c>
      <c r="T39" s="55">
        <f t="shared" si="2"/>
        <v>0</v>
      </c>
      <c r="U39" s="55">
        <f t="shared" si="2"/>
        <v>0</v>
      </c>
      <c r="V39" s="55">
        <f t="shared" si="2"/>
        <v>0</v>
      </c>
      <c r="W39" s="55">
        <f t="shared" si="2"/>
        <v>0</v>
      </c>
      <c r="X39" s="55">
        <f t="shared" si="2"/>
        <v>0</v>
      </c>
      <c r="Y39" s="55">
        <f t="shared" si="2"/>
        <v>0</v>
      </c>
      <c r="Z39" s="55">
        <f t="shared" si="2"/>
        <v>0</v>
      </c>
      <c r="AA39" s="55">
        <f t="shared" si="2"/>
        <v>0</v>
      </c>
      <c r="AB39" s="55">
        <f t="shared" si="2"/>
        <v>0</v>
      </c>
      <c r="AC39" s="56">
        <f t="shared" si="2"/>
        <v>0</v>
      </c>
      <c r="AD39" s="6"/>
    </row>
    <row r="40" spans="2:30" x14ac:dyDescent="0.35">
      <c r="B40" s="5"/>
      <c r="C40" s="1" t="s">
        <v>7</v>
      </c>
      <c r="D40" s="16" t="s">
        <v>6</v>
      </c>
      <c r="E40" s="42" t="s">
        <v>0</v>
      </c>
      <c r="F40" s="42" t="s">
        <v>1</v>
      </c>
      <c r="G40" s="42" t="s">
        <v>3</v>
      </c>
      <c r="H40" s="42" t="s">
        <v>2</v>
      </c>
      <c r="I40" s="42" t="s">
        <v>42</v>
      </c>
      <c r="J40" s="42" t="s">
        <v>65</v>
      </c>
      <c r="K40" s="42" t="s">
        <v>64</v>
      </c>
      <c r="L40" s="42" t="s">
        <v>63</v>
      </c>
      <c r="M40" s="42" t="s">
        <v>62</v>
      </c>
      <c r="N40" s="43" t="s">
        <v>61</v>
      </c>
      <c r="O40" s="6"/>
      <c r="Q40" s="5"/>
      <c r="R40" s="30" t="str">
        <f>TEXT(($C$7+7*COUNTA($C$7:$C40))-WEEKDAY($C$7+7*COUNTA($C$7:$C40),3),"TT.MM.JJJJ")&amp;" - "&amp;TEXT(($C$7+7*COUNTA($C$7:$C40))-WEEKDAY($C$7+7*COUNTA($C$7:$C40),3)+6,"TT.MM.JJJJ")</f>
        <v>25.08.2025 - 31.08.2025</v>
      </c>
      <c r="S40" s="46">
        <f t="shared" si="2"/>
        <v>0</v>
      </c>
      <c r="T40" s="55">
        <f t="shared" si="2"/>
        <v>0</v>
      </c>
      <c r="U40" s="55">
        <f t="shared" si="2"/>
        <v>0</v>
      </c>
      <c r="V40" s="55">
        <f t="shared" si="2"/>
        <v>0</v>
      </c>
      <c r="W40" s="55">
        <f t="shared" si="2"/>
        <v>0</v>
      </c>
      <c r="X40" s="55">
        <f t="shared" si="2"/>
        <v>0</v>
      </c>
      <c r="Y40" s="55">
        <f t="shared" si="2"/>
        <v>0</v>
      </c>
      <c r="Z40" s="55">
        <f t="shared" si="2"/>
        <v>0</v>
      </c>
      <c r="AA40" s="55">
        <f t="shared" si="2"/>
        <v>0</v>
      </c>
      <c r="AB40" s="55">
        <f t="shared" si="2"/>
        <v>0</v>
      </c>
      <c r="AC40" s="56">
        <f t="shared" si="2"/>
        <v>0</v>
      </c>
      <c r="AD40" s="6"/>
    </row>
    <row r="41" spans="2:30" x14ac:dyDescent="0.35">
      <c r="B41" s="5"/>
      <c r="C41" s="40">
        <f>C37+1</f>
        <v>45689</v>
      </c>
      <c r="D41" s="39">
        <f>SUMIFS(Einzelbeträge!$D:$D,Einzelbeträge!$C:$C,'Ausgaben Vorlage'!$C41)</f>
        <v>0</v>
      </c>
      <c r="E41" s="88">
        <f>SUMIFS(Einzelbeträge!$D:$D,Einzelbeträge!$C:$C,'Ausgaben Vorlage'!$C41,Einzelbeträge!$E:$E,'Ausgaben Vorlage'!E$6)</f>
        <v>0</v>
      </c>
      <c r="F41" s="32">
        <f>SUMIFS(Einzelbeträge!$D:$D,Einzelbeträge!$C:$C,'Ausgaben Vorlage'!$C41,Einzelbeträge!$E:$E,'Ausgaben Vorlage'!F$6)</f>
        <v>0</v>
      </c>
      <c r="G41" s="32">
        <f>SUMIFS(Einzelbeträge!$D:$D,Einzelbeträge!$C:$C,'Ausgaben Vorlage'!$C41,Einzelbeträge!$E:$E,'Ausgaben Vorlage'!G$6)</f>
        <v>0</v>
      </c>
      <c r="H41" s="32">
        <f>SUMIFS(Einzelbeträge!$D:$D,Einzelbeträge!$C:$C,'Ausgaben Vorlage'!$C41,Einzelbeträge!$E:$E,'Ausgaben Vorlage'!H$6)</f>
        <v>0</v>
      </c>
      <c r="I41" s="32">
        <f>SUMIFS(Einzelbeträge!$D:$D,Einzelbeträge!$C:$C,'Ausgaben Vorlage'!$C41,Einzelbeträge!$E:$E,'Ausgaben Vorlage'!I$6)</f>
        <v>0</v>
      </c>
      <c r="J41" s="32">
        <f>SUMIFS(Einzelbeträge!$D:$D,Einzelbeträge!$C:$C,'Ausgaben Vorlage'!$C41,Einzelbeträge!$E:$E,'Ausgaben Vorlage'!J$6)</f>
        <v>0</v>
      </c>
      <c r="K41" s="32">
        <f>SUMIFS(Einzelbeträge!$D:$D,Einzelbeträge!$C:$C,'Ausgaben Vorlage'!$C41,Einzelbeträge!$E:$E,'Ausgaben Vorlage'!K$6)</f>
        <v>0</v>
      </c>
      <c r="L41" s="32">
        <f>SUMIFS(Einzelbeträge!$D:$D,Einzelbeträge!$C:$C,'Ausgaben Vorlage'!$C41,Einzelbeträge!$E:$E,'Ausgaben Vorlage'!L$6)</f>
        <v>0</v>
      </c>
      <c r="M41" s="32">
        <f>SUMIFS(Einzelbeträge!$D:$D,Einzelbeträge!$C:$C,'Ausgaben Vorlage'!$C41,Einzelbeträge!$E:$E,'Ausgaben Vorlage'!M$6)</f>
        <v>0</v>
      </c>
      <c r="N41" s="33">
        <f>SUMIFS(Einzelbeträge!$D:$D,Einzelbeträge!$C:$C,'Ausgaben Vorlage'!$C41,Einzelbeträge!$E:$E,'Ausgaben Vorlage'!N$6)</f>
        <v>0</v>
      </c>
      <c r="O41" s="6"/>
      <c r="Q41" s="5"/>
      <c r="R41" s="30" t="str">
        <f>TEXT(($C$7+7*COUNTA($C$7:$C41))-WEEKDAY($C$7+7*COUNTA($C$7:$C41),3),"TT.MM.JJJJ")&amp;" - "&amp;TEXT(($C$7+7*COUNTA($C$7:$C41))-WEEKDAY($C$7+7*COUNTA($C$7:$C41),3)+6,"TT.MM.JJJJ")</f>
        <v>01.09.2025 - 07.09.2025</v>
      </c>
      <c r="S41" s="46">
        <f t="shared" si="2"/>
        <v>0</v>
      </c>
      <c r="T41" s="55">
        <f t="shared" si="2"/>
        <v>0</v>
      </c>
      <c r="U41" s="55">
        <f t="shared" si="2"/>
        <v>0</v>
      </c>
      <c r="V41" s="55">
        <f t="shared" si="2"/>
        <v>0</v>
      </c>
      <c r="W41" s="55">
        <f t="shared" si="2"/>
        <v>0</v>
      </c>
      <c r="X41" s="55">
        <f t="shared" si="2"/>
        <v>0</v>
      </c>
      <c r="Y41" s="55">
        <f t="shared" si="2"/>
        <v>0</v>
      </c>
      <c r="Z41" s="55">
        <f t="shared" si="2"/>
        <v>0</v>
      </c>
      <c r="AA41" s="55">
        <f t="shared" si="2"/>
        <v>0</v>
      </c>
      <c r="AB41" s="55">
        <f t="shared" si="2"/>
        <v>0</v>
      </c>
      <c r="AC41" s="56">
        <f t="shared" si="2"/>
        <v>0</v>
      </c>
      <c r="AD41" s="6"/>
    </row>
    <row r="42" spans="2:30" x14ac:dyDescent="0.35">
      <c r="B42" s="5"/>
      <c r="C42" s="40">
        <f>C41+1</f>
        <v>45690</v>
      </c>
      <c r="D42" s="44">
        <f>SUMIFS(Einzelbeträge!$D:$D,Einzelbeträge!$C:$C,'Ausgaben Vorlage'!$C42)</f>
        <v>0</v>
      </c>
      <c r="E42" s="34">
        <f>SUMIFS(Einzelbeträge!$D:$D,Einzelbeträge!$C:$C,'Ausgaben Vorlage'!$C42,Einzelbeträge!$E:$E,'Ausgaben Vorlage'!E$6)</f>
        <v>0</v>
      </c>
      <c r="F42" s="21">
        <f>SUMIFS(Einzelbeträge!$D:$D,Einzelbeträge!$C:$C,'Ausgaben Vorlage'!$C42,Einzelbeträge!$E:$E,'Ausgaben Vorlage'!F$6)</f>
        <v>0</v>
      </c>
      <c r="G42" s="21">
        <f>SUMIFS(Einzelbeträge!$D:$D,Einzelbeträge!$C:$C,'Ausgaben Vorlage'!$C42,Einzelbeträge!$E:$E,'Ausgaben Vorlage'!G$6)</f>
        <v>0</v>
      </c>
      <c r="H42" s="21">
        <f>SUMIFS(Einzelbeträge!$D:$D,Einzelbeträge!$C:$C,'Ausgaben Vorlage'!$C42,Einzelbeträge!$E:$E,'Ausgaben Vorlage'!H$6)</f>
        <v>0</v>
      </c>
      <c r="I42" s="21">
        <f>SUMIFS(Einzelbeträge!$D:$D,Einzelbeträge!$C:$C,'Ausgaben Vorlage'!$C42,Einzelbeträge!$E:$E,'Ausgaben Vorlage'!I$6)</f>
        <v>0</v>
      </c>
      <c r="J42" s="21">
        <f>SUMIFS(Einzelbeträge!$D:$D,Einzelbeträge!$C:$C,'Ausgaben Vorlage'!$C42,Einzelbeträge!$E:$E,'Ausgaben Vorlage'!J$6)</f>
        <v>0</v>
      </c>
      <c r="K42" s="21">
        <f>SUMIFS(Einzelbeträge!$D:$D,Einzelbeträge!$C:$C,'Ausgaben Vorlage'!$C42,Einzelbeträge!$E:$E,'Ausgaben Vorlage'!K$6)</f>
        <v>0</v>
      </c>
      <c r="L42" s="21">
        <f>SUMIFS(Einzelbeträge!$D:$D,Einzelbeträge!$C:$C,'Ausgaben Vorlage'!$C42,Einzelbeträge!$E:$E,'Ausgaben Vorlage'!L$6)</f>
        <v>0</v>
      </c>
      <c r="M42" s="21">
        <f>SUMIFS(Einzelbeträge!$D:$D,Einzelbeträge!$C:$C,'Ausgaben Vorlage'!$C42,Einzelbeträge!$E:$E,'Ausgaben Vorlage'!M$6)</f>
        <v>0</v>
      </c>
      <c r="N42" s="35">
        <f>SUMIFS(Einzelbeträge!$D:$D,Einzelbeträge!$C:$C,'Ausgaben Vorlage'!$C42,Einzelbeträge!$E:$E,'Ausgaben Vorlage'!N$6)</f>
        <v>0</v>
      </c>
      <c r="O42" s="6"/>
      <c r="Q42" s="5"/>
      <c r="R42" s="30" t="str">
        <f>TEXT(($C$7+7*COUNTA($C$7:$C42))-WEEKDAY($C$7+7*COUNTA($C$7:$C42),3),"TT.MM.JJJJ")&amp;" - "&amp;TEXT(($C$7+7*COUNTA($C$7:$C42))-WEEKDAY($C$7+7*COUNTA($C$7:$C42),3)+6,"TT.MM.JJJJ")</f>
        <v>08.09.2025 - 14.09.2025</v>
      </c>
      <c r="S42" s="46">
        <f t="shared" si="2"/>
        <v>0</v>
      </c>
      <c r="T42" s="55">
        <f t="shared" si="2"/>
        <v>0</v>
      </c>
      <c r="U42" s="55">
        <f t="shared" si="2"/>
        <v>0</v>
      </c>
      <c r="V42" s="55">
        <f t="shared" si="2"/>
        <v>0</v>
      </c>
      <c r="W42" s="55">
        <f t="shared" si="2"/>
        <v>0</v>
      </c>
      <c r="X42" s="55">
        <f t="shared" si="2"/>
        <v>0</v>
      </c>
      <c r="Y42" s="55">
        <f t="shared" si="2"/>
        <v>0</v>
      </c>
      <c r="Z42" s="55">
        <f t="shared" si="2"/>
        <v>0</v>
      </c>
      <c r="AA42" s="55">
        <f t="shared" si="2"/>
        <v>0</v>
      </c>
      <c r="AB42" s="55">
        <f t="shared" si="2"/>
        <v>0</v>
      </c>
      <c r="AC42" s="56">
        <f t="shared" si="2"/>
        <v>0</v>
      </c>
      <c r="AD42" s="6"/>
    </row>
    <row r="43" spans="2:30" x14ac:dyDescent="0.35">
      <c r="B43" s="5"/>
      <c r="C43" s="40">
        <f t="shared" ref="C43:C68" si="15">C42+1</f>
        <v>45691</v>
      </c>
      <c r="D43" s="44">
        <f>SUMIFS(Einzelbeträge!$D:$D,Einzelbeträge!$C:$C,'Ausgaben Vorlage'!$C43)</f>
        <v>0</v>
      </c>
      <c r="E43" s="34">
        <f>SUMIFS(Einzelbeträge!$D:$D,Einzelbeträge!$C:$C,'Ausgaben Vorlage'!$C43,Einzelbeträge!$E:$E,'Ausgaben Vorlage'!E$6)</f>
        <v>0</v>
      </c>
      <c r="F43" s="21">
        <f>SUMIFS(Einzelbeträge!$D:$D,Einzelbeträge!$C:$C,'Ausgaben Vorlage'!$C43,Einzelbeträge!$E:$E,'Ausgaben Vorlage'!F$6)</f>
        <v>0</v>
      </c>
      <c r="G43" s="21">
        <f>SUMIFS(Einzelbeträge!$D:$D,Einzelbeträge!$C:$C,'Ausgaben Vorlage'!$C43,Einzelbeträge!$E:$E,'Ausgaben Vorlage'!G$6)</f>
        <v>0</v>
      </c>
      <c r="H43" s="21">
        <f>SUMIFS(Einzelbeträge!$D:$D,Einzelbeträge!$C:$C,'Ausgaben Vorlage'!$C43,Einzelbeträge!$E:$E,'Ausgaben Vorlage'!H$6)</f>
        <v>0</v>
      </c>
      <c r="I43" s="21">
        <f>SUMIFS(Einzelbeträge!$D:$D,Einzelbeträge!$C:$C,'Ausgaben Vorlage'!$C43,Einzelbeträge!$E:$E,'Ausgaben Vorlage'!I$6)</f>
        <v>0</v>
      </c>
      <c r="J43" s="21">
        <f>SUMIFS(Einzelbeträge!$D:$D,Einzelbeträge!$C:$C,'Ausgaben Vorlage'!$C43,Einzelbeträge!$E:$E,'Ausgaben Vorlage'!J$6)</f>
        <v>0</v>
      </c>
      <c r="K43" s="21">
        <f>SUMIFS(Einzelbeträge!$D:$D,Einzelbeträge!$C:$C,'Ausgaben Vorlage'!$C43,Einzelbeträge!$E:$E,'Ausgaben Vorlage'!K$6)</f>
        <v>0</v>
      </c>
      <c r="L43" s="21">
        <f>SUMIFS(Einzelbeträge!$D:$D,Einzelbeträge!$C:$C,'Ausgaben Vorlage'!$C43,Einzelbeträge!$E:$E,'Ausgaben Vorlage'!L$6)</f>
        <v>0</v>
      </c>
      <c r="M43" s="21">
        <f>SUMIFS(Einzelbeträge!$D:$D,Einzelbeträge!$C:$C,'Ausgaben Vorlage'!$C43,Einzelbeträge!$E:$E,'Ausgaben Vorlage'!M$6)</f>
        <v>0</v>
      </c>
      <c r="N43" s="35">
        <f>SUMIFS(Einzelbeträge!$D:$D,Einzelbeträge!$C:$C,'Ausgaben Vorlage'!$C43,Einzelbeträge!$E:$E,'Ausgaben Vorlage'!N$6)</f>
        <v>0</v>
      </c>
      <c r="O43" s="6"/>
      <c r="Q43" s="5"/>
      <c r="R43" s="30" t="str">
        <f>TEXT(($C$7+7*COUNTA($C$7:$C43))-WEEKDAY($C$7+7*COUNTA($C$7:$C43),3),"TT.MM.JJJJ")&amp;" - "&amp;TEXT(($C$7+7*COUNTA($C$7:$C43))-WEEKDAY($C$7+7*COUNTA($C$7:$C43),3)+6,"TT.MM.JJJJ")</f>
        <v>15.09.2025 - 21.09.2025</v>
      </c>
      <c r="S43" s="46">
        <f t="shared" si="2"/>
        <v>0</v>
      </c>
      <c r="T43" s="55">
        <f t="shared" si="2"/>
        <v>0</v>
      </c>
      <c r="U43" s="55">
        <f t="shared" si="2"/>
        <v>0</v>
      </c>
      <c r="V43" s="55">
        <f t="shared" si="2"/>
        <v>0</v>
      </c>
      <c r="W43" s="55">
        <f t="shared" si="2"/>
        <v>0</v>
      </c>
      <c r="X43" s="55">
        <f t="shared" si="2"/>
        <v>0</v>
      </c>
      <c r="Y43" s="55">
        <f t="shared" si="2"/>
        <v>0</v>
      </c>
      <c r="Z43" s="55">
        <f t="shared" si="2"/>
        <v>0</v>
      </c>
      <c r="AA43" s="55">
        <f t="shared" si="2"/>
        <v>0</v>
      </c>
      <c r="AB43" s="55">
        <f t="shared" ref="AB43:AC58" si="16">SUMIFS(M$7:M$405,$C$7:$C$405,"&gt;="&amp;DATEVALUE(LEFT($R43,10)),$C$7:$C$405,"&lt;="&amp;DATEVALUE(RIGHT($R43,10)))</f>
        <v>0</v>
      </c>
      <c r="AC43" s="56">
        <f t="shared" si="16"/>
        <v>0</v>
      </c>
      <c r="AD43" s="6"/>
    </row>
    <row r="44" spans="2:30" x14ac:dyDescent="0.35">
      <c r="B44" s="5"/>
      <c r="C44" s="40">
        <f t="shared" si="15"/>
        <v>45692</v>
      </c>
      <c r="D44" s="44">
        <f>SUMIFS(Einzelbeträge!$D:$D,Einzelbeträge!$C:$C,'Ausgaben Vorlage'!$C44)</f>
        <v>0</v>
      </c>
      <c r="E44" s="34">
        <f>SUMIFS(Einzelbeträge!$D:$D,Einzelbeträge!$C:$C,'Ausgaben Vorlage'!$C44,Einzelbeträge!$E:$E,'Ausgaben Vorlage'!E$6)</f>
        <v>0</v>
      </c>
      <c r="F44" s="21">
        <f>SUMIFS(Einzelbeträge!$D:$D,Einzelbeträge!$C:$C,'Ausgaben Vorlage'!$C44,Einzelbeträge!$E:$E,'Ausgaben Vorlage'!F$6)</f>
        <v>0</v>
      </c>
      <c r="G44" s="21">
        <f>SUMIFS(Einzelbeträge!$D:$D,Einzelbeträge!$C:$C,'Ausgaben Vorlage'!$C44,Einzelbeträge!$E:$E,'Ausgaben Vorlage'!G$6)</f>
        <v>0</v>
      </c>
      <c r="H44" s="21">
        <f>SUMIFS(Einzelbeträge!$D:$D,Einzelbeträge!$C:$C,'Ausgaben Vorlage'!$C44,Einzelbeträge!$E:$E,'Ausgaben Vorlage'!H$6)</f>
        <v>0</v>
      </c>
      <c r="I44" s="21">
        <f>SUMIFS(Einzelbeträge!$D:$D,Einzelbeträge!$C:$C,'Ausgaben Vorlage'!$C44,Einzelbeträge!$E:$E,'Ausgaben Vorlage'!I$6)</f>
        <v>0</v>
      </c>
      <c r="J44" s="21">
        <f>SUMIFS(Einzelbeträge!$D:$D,Einzelbeträge!$C:$C,'Ausgaben Vorlage'!$C44,Einzelbeträge!$E:$E,'Ausgaben Vorlage'!J$6)</f>
        <v>0</v>
      </c>
      <c r="K44" s="21">
        <f>SUMIFS(Einzelbeträge!$D:$D,Einzelbeträge!$C:$C,'Ausgaben Vorlage'!$C44,Einzelbeträge!$E:$E,'Ausgaben Vorlage'!K$6)</f>
        <v>0</v>
      </c>
      <c r="L44" s="21">
        <f>SUMIFS(Einzelbeträge!$D:$D,Einzelbeträge!$C:$C,'Ausgaben Vorlage'!$C44,Einzelbeträge!$E:$E,'Ausgaben Vorlage'!L$6)</f>
        <v>0</v>
      </c>
      <c r="M44" s="21">
        <f>SUMIFS(Einzelbeträge!$D:$D,Einzelbeträge!$C:$C,'Ausgaben Vorlage'!$C44,Einzelbeträge!$E:$E,'Ausgaben Vorlage'!M$6)</f>
        <v>0</v>
      </c>
      <c r="N44" s="35">
        <f>SUMIFS(Einzelbeträge!$D:$D,Einzelbeträge!$C:$C,'Ausgaben Vorlage'!$C44,Einzelbeträge!$E:$E,'Ausgaben Vorlage'!N$6)</f>
        <v>0</v>
      </c>
      <c r="O44" s="6"/>
      <c r="Q44" s="5"/>
      <c r="R44" s="30" t="str">
        <f>TEXT(($C$7+7*COUNTA($C$7:$C44))-WEEKDAY($C$7+7*COUNTA($C$7:$C44),3),"TT.MM.JJJJ")&amp;" - "&amp;TEXT(($C$7+7*COUNTA($C$7:$C44))-WEEKDAY($C$7+7*COUNTA($C$7:$C44),3)+6,"TT.MM.JJJJ")</f>
        <v>22.09.2025 - 28.09.2025</v>
      </c>
      <c r="S44" s="46">
        <f t="shared" ref="S44:AA58" si="17">SUMIFS(D$7:D$405,$C$7:$C$405,"&gt;="&amp;DATEVALUE(LEFT($R44,10)),$C$7:$C$405,"&lt;="&amp;DATEVALUE(RIGHT($R44,10)))</f>
        <v>0</v>
      </c>
      <c r="T44" s="55">
        <f t="shared" si="17"/>
        <v>0</v>
      </c>
      <c r="U44" s="55">
        <f t="shared" si="17"/>
        <v>0</v>
      </c>
      <c r="V44" s="55">
        <f t="shared" si="17"/>
        <v>0</v>
      </c>
      <c r="W44" s="55">
        <f t="shared" si="17"/>
        <v>0</v>
      </c>
      <c r="X44" s="55">
        <f t="shared" si="17"/>
        <v>0</v>
      </c>
      <c r="Y44" s="55">
        <f t="shared" si="17"/>
        <v>0</v>
      </c>
      <c r="Z44" s="55">
        <f t="shared" si="17"/>
        <v>0</v>
      </c>
      <c r="AA44" s="55">
        <f t="shared" si="17"/>
        <v>0</v>
      </c>
      <c r="AB44" s="55">
        <f t="shared" si="16"/>
        <v>0</v>
      </c>
      <c r="AC44" s="56">
        <f t="shared" si="16"/>
        <v>0</v>
      </c>
      <c r="AD44" s="6"/>
    </row>
    <row r="45" spans="2:30" x14ac:dyDescent="0.35">
      <c r="B45" s="5"/>
      <c r="C45" s="40">
        <f t="shared" si="15"/>
        <v>45693</v>
      </c>
      <c r="D45" s="44">
        <f>SUMIFS(Einzelbeträge!$D:$D,Einzelbeträge!$C:$C,'Ausgaben Vorlage'!$C45)</f>
        <v>0</v>
      </c>
      <c r="E45" s="34">
        <f>SUMIFS(Einzelbeträge!$D:$D,Einzelbeträge!$C:$C,'Ausgaben Vorlage'!$C45,Einzelbeträge!$E:$E,'Ausgaben Vorlage'!E$6)</f>
        <v>0</v>
      </c>
      <c r="F45" s="21">
        <f>SUMIFS(Einzelbeträge!$D:$D,Einzelbeträge!$C:$C,'Ausgaben Vorlage'!$C45,Einzelbeträge!$E:$E,'Ausgaben Vorlage'!F$6)</f>
        <v>0</v>
      </c>
      <c r="G45" s="21">
        <f>SUMIFS(Einzelbeträge!$D:$D,Einzelbeträge!$C:$C,'Ausgaben Vorlage'!$C45,Einzelbeträge!$E:$E,'Ausgaben Vorlage'!G$6)</f>
        <v>0</v>
      </c>
      <c r="H45" s="21">
        <f>SUMIFS(Einzelbeträge!$D:$D,Einzelbeträge!$C:$C,'Ausgaben Vorlage'!$C45,Einzelbeträge!$E:$E,'Ausgaben Vorlage'!H$6)</f>
        <v>0</v>
      </c>
      <c r="I45" s="21">
        <f>SUMIFS(Einzelbeträge!$D:$D,Einzelbeträge!$C:$C,'Ausgaben Vorlage'!$C45,Einzelbeträge!$E:$E,'Ausgaben Vorlage'!I$6)</f>
        <v>0</v>
      </c>
      <c r="J45" s="21">
        <f>SUMIFS(Einzelbeträge!$D:$D,Einzelbeträge!$C:$C,'Ausgaben Vorlage'!$C45,Einzelbeträge!$E:$E,'Ausgaben Vorlage'!J$6)</f>
        <v>0</v>
      </c>
      <c r="K45" s="21">
        <f>SUMIFS(Einzelbeträge!$D:$D,Einzelbeträge!$C:$C,'Ausgaben Vorlage'!$C45,Einzelbeträge!$E:$E,'Ausgaben Vorlage'!K$6)</f>
        <v>0</v>
      </c>
      <c r="L45" s="21">
        <f>SUMIFS(Einzelbeträge!$D:$D,Einzelbeträge!$C:$C,'Ausgaben Vorlage'!$C45,Einzelbeträge!$E:$E,'Ausgaben Vorlage'!L$6)</f>
        <v>0</v>
      </c>
      <c r="M45" s="21">
        <f>SUMIFS(Einzelbeträge!$D:$D,Einzelbeträge!$C:$C,'Ausgaben Vorlage'!$C45,Einzelbeträge!$E:$E,'Ausgaben Vorlage'!M$6)</f>
        <v>0</v>
      </c>
      <c r="N45" s="35">
        <f>SUMIFS(Einzelbeträge!$D:$D,Einzelbeträge!$C:$C,'Ausgaben Vorlage'!$C45,Einzelbeträge!$E:$E,'Ausgaben Vorlage'!N$6)</f>
        <v>0</v>
      </c>
      <c r="O45" s="6"/>
      <c r="Q45" s="5"/>
      <c r="R45" s="30" t="str">
        <f>TEXT(($C$7+7*COUNTA($C$7:$C45))-WEEKDAY($C$7+7*COUNTA($C$7:$C45),3),"TT.MM.JJJJ")&amp;" - "&amp;TEXT(($C$7+7*COUNTA($C$7:$C45))-WEEKDAY($C$7+7*COUNTA($C$7:$C45),3)+6,"TT.MM.JJJJ")</f>
        <v>29.09.2025 - 05.10.2025</v>
      </c>
      <c r="S45" s="46">
        <f t="shared" si="17"/>
        <v>0</v>
      </c>
      <c r="T45" s="55">
        <f t="shared" si="17"/>
        <v>0</v>
      </c>
      <c r="U45" s="55">
        <f t="shared" si="17"/>
        <v>0</v>
      </c>
      <c r="V45" s="55">
        <f t="shared" si="17"/>
        <v>0</v>
      </c>
      <c r="W45" s="55">
        <f t="shared" si="17"/>
        <v>0</v>
      </c>
      <c r="X45" s="55">
        <f t="shared" si="17"/>
        <v>0</v>
      </c>
      <c r="Y45" s="55">
        <f t="shared" si="17"/>
        <v>0</v>
      </c>
      <c r="Z45" s="55">
        <f t="shared" si="17"/>
        <v>0</v>
      </c>
      <c r="AA45" s="55">
        <f t="shared" si="17"/>
        <v>0</v>
      </c>
      <c r="AB45" s="55">
        <f t="shared" si="16"/>
        <v>0</v>
      </c>
      <c r="AC45" s="56">
        <f t="shared" si="16"/>
        <v>0</v>
      </c>
      <c r="AD45" s="6"/>
    </row>
    <row r="46" spans="2:30" x14ac:dyDescent="0.35">
      <c r="B46" s="5"/>
      <c r="C46" s="40">
        <f t="shared" si="15"/>
        <v>45694</v>
      </c>
      <c r="D46" s="44">
        <f>SUMIFS(Einzelbeträge!$D:$D,Einzelbeträge!$C:$C,'Ausgaben Vorlage'!$C46)</f>
        <v>0</v>
      </c>
      <c r="E46" s="34">
        <f>SUMIFS(Einzelbeträge!$D:$D,Einzelbeträge!$C:$C,'Ausgaben Vorlage'!$C46,Einzelbeträge!$E:$E,'Ausgaben Vorlage'!E$6)</f>
        <v>0</v>
      </c>
      <c r="F46" s="21">
        <f>SUMIFS(Einzelbeträge!$D:$D,Einzelbeträge!$C:$C,'Ausgaben Vorlage'!$C46,Einzelbeträge!$E:$E,'Ausgaben Vorlage'!F$6)</f>
        <v>0</v>
      </c>
      <c r="G46" s="21">
        <f>SUMIFS(Einzelbeträge!$D:$D,Einzelbeträge!$C:$C,'Ausgaben Vorlage'!$C46,Einzelbeträge!$E:$E,'Ausgaben Vorlage'!G$6)</f>
        <v>0</v>
      </c>
      <c r="H46" s="21">
        <f>SUMIFS(Einzelbeträge!$D:$D,Einzelbeträge!$C:$C,'Ausgaben Vorlage'!$C46,Einzelbeträge!$E:$E,'Ausgaben Vorlage'!H$6)</f>
        <v>0</v>
      </c>
      <c r="I46" s="21">
        <f>SUMIFS(Einzelbeträge!$D:$D,Einzelbeträge!$C:$C,'Ausgaben Vorlage'!$C46,Einzelbeträge!$E:$E,'Ausgaben Vorlage'!I$6)</f>
        <v>0</v>
      </c>
      <c r="J46" s="21">
        <f>SUMIFS(Einzelbeträge!$D:$D,Einzelbeträge!$C:$C,'Ausgaben Vorlage'!$C46,Einzelbeträge!$E:$E,'Ausgaben Vorlage'!J$6)</f>
        <v>0</v>
      </c>
      <c r="K46" s="21">
        <f>SUMIFS(Einzelbeträge!$D:$D,Einzelbeträge!$C:$C,'Ausgaben Vorlage'!$C46,Einzelbeträge!$E:$E,'Ausgaben Vorlage'!K$6)</f>
        <v>0</v>
      </c>
      <c r="L46" s="21">
        <f>SUMIFS(Einzelbeträge!$D:$D,Einzelbeträge!$C:$C,'Ausgaben Vorlage'!$C46,Einzelbeträge!$E:$E,'Ausgaben Vorlage'!L$6)</f>
        <v>0</v>
      </c>
      <c r="M46" s="21">
        <f>SUMIFS(Einzelbeträge!$D:$D,Einzelbeträge!$C:$C,'Ausgaben Vorlage'!$C46,Einzelbeträge!$E:$E,'Ausgaben Vorlage'!M$6)</f>
        <v>0</v>
      </c>
      <c r="N46" s="35">
        <f>SUMIFS(Einzelbeträge!$D:$D,Einzelbeträge!$C:$C,'Ausgaben Vorlage'!$C46,Einzelbeträge!$E:$E,'Ausgaben Vorlage'!N$6)</f>
        <v>0</v>
      </c>
      <c r="O46" s="6"/>
      <c r="Q46" s="5"/>
      <c r="R46" s="30" t="str">
        <f>TEXT(($C$7+7*COUNTA($C$7:$C46))-WEEKDAY($C$7+7*COUNTA($C$7:$C46),3),"TT.MM.JJJJ")&amp;" - "&amp;TEXT(($C$7+7*COUNTA($C$7:$C46))-WEEKDAY($C$7+7*COUNTA($C$7:$C46),3)+6,"TT.MM.JJJJ")</f>
        <v>06.10.2025 - 12.10.2025</v>
      </c>
      <c r="S46" s="46">
        <f t="shared" si="17"/>
        <v>0</v>
      </c>
      <c r="T46" s="55">
        <f t="shared" si="17"/>
        <v>0</v>
      </c>
      <c r="U46" s="55">
        <f t="shared" si="17"/>
        <v>0</v>
      </c>
      <c r="V46" s="55">
        <f t="shared" si="17"/>
        <v>0</v>
      </c>
      <c r="W46" s="55">
        <f t="shared" si="17"/>
        <v>0</v>
      </c>
      <c r="X46" s="55">
        <f t="shared" si="17"/>
        <v>0</v>
      </c>
      <c r="Y46" s="55">
        <f t="shared" si="17"/>
        <v>0</v>
      </c>
      <c r="Z46" s="55">
        <f t="shared" si="17"/>
        <v>0</v>
      </c>
      <c r="AA46" s="55">
        <f t="shared" si="17"/>
        <v>0</v>
      </c>
      <c r="AB46" s="55">
        <f t="shared" si="16"/>
        <v>0</v>
      </c>
      <c r="AC46" s="56">
        <f t="shared" si="16"/>
        <v>0</v>
      </c>
      <c r="AD46" s="6"/>
    </row>
    <row r="47" spans="2:30" x14ac:dyDescent="0.35">
      <c r="B47" s="5"/>
      <c r="C47" s="40">
        <f t="shared" si="15"/>
        <v>45695</v>
      </c>
      <c r="D47" s="44">
        <f>SUMIFS(Einzelbeträge!$D:$D,Einzelbeträge!$C:$C,'Ausgaben Vorlage'!$C47)</f>
        <v>0</v>
      </c>
      <c r="E47" s="34">
        <f>SUMIFS(Einzelbeträge!$D:$D,Einzelbeträge!$C:$C,'Ausgaben Vorlage'!$C47,Einzelbeträge!$E:$E,'Ausgaben Vorlage'!E$6)</f>
        <v>0</v>
      </c>
      <c r="F47" s="21">
        <f>SUMIFS(Einzelbeträge!$D:$D,Einzelbeträge!$C:$C,'Ausgaben Vorlage'!$C47,Einzelbeträge!$E:$E,'Ausgaben Vorlage'!F$6)</f>
        <v>0</v>
      </c>
      <c r="G47" s="21">
        <f>SUMIFS(Einzelbeträge!$D:$D,Einzelbeträge!$C:$C,'Ausgaben Vorlage'!$C47,Einzelbeträge!$E:$E,'Ausgaben Vorlage'!G$6)</f>
        <v>0</v>
      </c>
      <c r="H47" s="21">
        <f>SUMIFS(Einzelbeträge!$D:$D,Einzelbeträge!$C:$C,'Ausgaben Vorlage'!$C47,Einzelbeträge!$E:$E,'Ausgaben Vorlage'!H$6)</f>
        <v>0</v>
      </c>
      <c r="I47" s="21">
        <f>SUMIFS(Einzelbeträge!$D:$D,Einzelbeträge!$C:$C,'Ausgaben Vorlage'!$C47,Einzelbeträge!$E:$E,'Ausgaben Vorlage'!I$6)</f>
        <v>0</v>
      </c>
      <c r="J47" s="21">
        <f>SUMIFS(Einzelbeträge!$D:$D,Einzelbeträge!$C:$C,'Ausgaben Vorlage'!$C47,Einzelbeträge!$E:$E,'Ausgaben Vorlage'!J$6)</f>
        <v>0</v>
      </c>
      <c r="K47" s="21">
        <f>SUMIFS(Einzelbeträge!$D:$D,Einzelbeträge!$C:$C,'Ausgaben Vorlage'!$C47,Einzelbeträge!$E:$E,'Ausgaben Vorlage'!K$6)</f>
        <v>0</v>
      </c>
      <c r="L47" s="21">
        <f>SUMIFS(Einzelbeträge!$D:$D,Einzelbeträge!$C:$C,'Ausgaben Vorlage'!$C47,Einzelbeträge!$E:$E,'Ausgaben Vorlage'!L$6)</f>
        <v>0</v>
      </c>
      <c r="M47" s="21">
        <f>SUMIFS(Einzelbeträge!$D:$D,Einzelbeträge!$C:$C,'Ausgaben Vorlage'!$C47,Einzelbeträge!$E:$E,'Ausgaben Vorlage'!M$6)</f>
        <v>0</v>
      </c>
      <c r="N47" s="35">
        <f>SUMIFS(Einzelbeträge!$D:$D,Einzelbeträge!$C:$C,'Ausgaben Vorlage'!$C47,Einzelbeträge!$E:$E,'Ausgaben Vorlage'!N$6)</f>
        <v>0</v>
      </c>
      <c r="O47" s="6"/>
      <c r="Q47" s="5"/>
      <c r="R47" s="30" t="str">
        <f>TEXT(($C$7+7*COUNTA($C$7:$C47))-WEEKDAY($C$7+7*COUNTA($C$7:$C47),3),"TT.MM.JJJJ")&amp;" - "&amp;TEXT(($C$7+7*COUNTA($C$7:$C47))-WEEKDAY($C$7+7*COUNTA($C$7:$C47),3)+6,"TT.MM.JJJJ")</f>
        <v>13.10.2025 - 19.10.2025</v>
      </c>
      <c r="S47" s="46">
        <f t="shared" si="17"/>
        <v>0</v>
      </c>
      <c r="T47" s="55">
        <f t="shared" si="17"/>
        <v>0</v>
      </c>
      <c r="U47" s="55">
        <f t="shared" si="17"/>
        <v>0</v>
      </c>
      <c r="V47" s="55">
        <f t="shared" si="17"/>
        <v>0</v>
      </c>
      <c r="W47" s="55">
        <f t="shared" si="17"/>
        <v>0</v>
      </c>
      <c r="X47" s="55">
        <f t="shared" si="17"/>
        <v>0</v>
      </c>
      <c r="Y47" s="55">
        <f t="shared" si="17"/>
        <v>0</v>
      </c>
      <c r="Z47" s="55">
        <f t="shared" si="17"/>
        <v>0</v>
      </c>
      <c r="AA47" s="55">
        <f t="shared" si="17"/>
        <v>0</v>
      </c>
      <c r="AB47" s="55">
        <f t="shared" si="16"/>
        <v>0</v>
      </c>
      <c r="AC47" s="56">
        <f t="shared" si="16"/>
        <v>0</v>
      </c>
      <c r="AD47" s="6"/>
    </row>
    <row r="48" spans="2:30" x14ac:dyDescent="0.35">
      <c r="B48" s="5"/>
      <c r="C48" s="40">
        <f t="shared" si="15"/>
        <v>45696</v>
      </c>
      <c r="D48" s="44">
        <f>SUMIFS(Einzelbeträge!$D:$D,Einzelbeträge!$C:$C,'Ausgaben Vorlage'!$C48)</f>
        <v>0</v>
      </c>
      <c r="E48" s="34">
        <f>SUMIFS(Einzelbeträge!$D:$D,Einzelbeträge!$C:$C,'Ausgaben Vorlage'!$C48,Einzelbeträge!$E:$E,'Ausgaben Vorlage'!E$6)</f>
        <v>0</v>
      </c>
      <c r="F48" s="21">
        <f>SUMIFS(Einzelbeträge!$D:$D,Einzelbeträge!$C:$C,'Ausgaben Vorlage'!$C48,Einzelbeträge!$E:$E,'Ausgaben Vorlage'!F$6)</f>
        <v>0</v>
      </c>
      <c r="G48" s="21">
        <f>SUMIFS(Einzelbeträge!$D:$D,Einzelbeträge!$C:$C,'Ausgaben Vorlage'!$C48,Einzelbeträge!$E:$E,'Ausgaben Vorlage'!G$6)</f>
        <v>0</v>
      </c>
      <c r="H48" s="21">
        <f>SUMIFS(Einzelbeträge!$D:$D,Einzelbeträge!$C:$C,'Ausgaben Vorlage'!$C48,Einzelbeträge!$E:$E,'Ausgaben Vorlage'!H$6)</f>
        <v>0</v>
      </c>
      <c r="I48" s="21">
        <f>SUMIFS(Einzelbeträge!$D:$D,Einzelbeträge!$C:$C,'Ausgaben Vorlage'!$C48,Einzelbeträge!$E:$E,'Ausgaben Vorlage'!I$6)</f>
        <v>0</v>
      </c>
      <c r="J48" s="21">
        <f>SUMIFS(Einzelbeträge!$D:$D,Einzelbeträge!$C:$C,'Ausgaben Vorlage'!$C48,Einzelbeträge!$E:$E,'Ausgaben Vorlage'!J$6)</f>
        <v>0</v>
      </c>
      <c r="K48" s="21">
        <f>SUMIFS(Einzelbeträge!$D:$D,Einzelbeträge!$C:$C,'Ausgaben Vorlage'!$C48,Einzelbeträge!$E:$E,'Ausgaben Vorlage'!K$6)</f>
        <v>0</v>
      </c>
      <c r="L48" s="21">
        <f>SUMIFS(Einzelbeträge!$D:$D,Einzelbeträge!$C:$C,'Ausgaben Vorlage'!$C48,Einzelbeträge!$E:$E,'Ausgaben Vorlage'!L$6)</f>
        <v>0</v>
      </c>
      <c r="M48" s="21">
        <f>SUMIFS(Einzelbeträge!$D:$D,Einzelbeträge!$C:$C,'Ausgaben Vorlage'!$C48,Einzelbeträge!$E:$E,'Ausgaben Vorlage'!M$6)</f>
        <v>0</v>
      </c>
      <c r="N48" s="35">
        <f>SUMIFS(Einzelbeträge!$D:$D,Einzelbeträge!$C:$C,'Ausgaben Vorlage'!$C48,Einzelbeträge!$E:$E,'Ausgaben Vorlage'!N$6)</f>
        <v>0</v>
      </c>
      <c r="O48" s="6"/>
      <c r="Q48" s="5"/>
      <c r="R48" s="30" t="str">
        <f>TEXT(($C$7+7*COUNTA($C$7:$C48))-WEEKDAY($C$7+7*COUNTA($C$7:$C48),3),"TT.MM.JJJJ")&amp;" - "&amp;TEXT(($C$7+7*COUNTA($C$7:$C48))-WEEKDAY($C$7+7*COUNTA($C$7:$C48),3)+6,"TT.MM.JJJJ")</f>
        <v>20.10.2025 - 26.10.2025</v>
      </c>
      <c r="S48" s="46">
        <f t="shared" si="17"/>
        <v>0</v>
      </c>
      <c r="T48" s="55">
        <f t="shared" si="17"/>
        <v>0</v>
      </c>
      <c r="U48" s="55">
        <f t="shared" si="17"/>
        <v>0</v>
      </c>
      <c r="V48" s="55">
        <f t="shared" si="17"/>
        <v>0</v>
      </c>
      <c r="W48" s="55">
        <f t="shared" si="17"/>
        <v>0</v>
      </c>
      <c r="X48" s="55">
        <f t="shared" si="17"/>
        <v>0</v>
      </c>
      <c r="Y48" s="55">
        <f t="shared" si="17"/>
        <v>0</v>
      </c>
      <c r="Z48" s="55">
        <f t="shared" si="17"/>
        <v>0</v>
      </c>
      <c r="AA48" s="55">
        <f t="shared" si="17"/>
        <v>0</v>
      </c>
      <c r="AB48" s="55">
        <f t="shared" si="16"/>
        <v>0</v>
      </c>
      <c r="AC48" s="56">
        <f t="shared" si="16"/>
        <v>0</v>
      </c>
      <c r="AD48" s="6"/>
    </row>
    <row r="49" spans="2:30" x14ac:dyDescent="0.35">
      <c r="B49" s="5"/>
      <c r="C49" s="40">
        <f t="shared" si="15"/>
        <v>45697</v>
      </c>
      <c r="D49" s="44">
        <f>SUMIFS(Einzelbeträge!$D:$D,Einzelbeträge!$C:$C,'Ausgaben Vorlage'!$C49)</f>
        <v>0</v>
      </c>
      <c r="E49" s="34">
        <f>SUMIFS(Einzelbeträge!$D:$D,Einzelbeträge!$C:$C,'Ausgaben Vorlage'!$C49,Einzelbeträge!$E:$E,'Ausgaben Vorlage'!E$6)</f>
        <v>0</v>
      </c>
      <c r="F49" s="21">
        <f>SUMIFS(Einzelbeträge!$D:$D,Einzelbeträge!$C:$C,'Ausgaben Vorlage'!$C49,Einzelbeträge!$E:$E,'Ausgaben Vorlage'!F$6)</f>
        <v>0</v>
      </c>
      <c r="G49" s="21">
        <f>SUMIFS(Einzelbeträge!$D:$D,Einzelbeträge!$C:$C,'Ausgaben Vorlage'!$C49,Einzelbeträge!$E:$E,'Ausgaben Vorlage'!G$6)</f>
        <v>0</v>
      </c>
      <c r="H49" s="21">
        <f>SUMIFS(Einzelbeträge!$D:$D,Einzelbeträge!$C:$C,'Ausgaben Vorlage'!$C49,Einzelbeträge!$E:$E,'Ausgaben Vorlage'!H$6)</f>
        <v>0</v>
      </c>
      <c r="I49" s="21">
        <f>SUMIFS(Einzelbeträge!$D:$D,Einzelbeträge!$C:$C,'Ausgaben Vorlage'!$C49,Einzelbeträge!$E:$E,'Ausgaben Vorlage'!I$6)</f>
        <v>0</v>
      </c>
      <c r="J49" s="21">
        <f>SUMIFS(Einzelbeträge!$D:$D,Einzelbeträge!$C:$C,'Ausgaben Vorlage'!$C49,Einzelbeträge!$E:$E,'Ausgaben Vorlage'!J$6)</f>
        <v>0</v>
      </c>
      <c r="K49" s="21">
        <f>SUMIFS(Einzelbeträge!$D:$D,Einzelbeträge!$C:$C,'Ausgaben Vorlage'!$C49,Einzelbeträge!$E:$E,'Ausgaben Vorlage'!K$6)</f>
        <v>0</v>
      </c>
      <c r="L49" s="21">
        <f>SUMIFS(Einzelbeträge!$D:$D,Einzelbeträge!$C:$C,'Ausgaben Vorlage'!$C49,Einzelbeträge!$E:$E,'Ausgaben Vorlage'!L$6)</f>
        <v>0</v>
      </c>
      <c r="M49" s="21">
        <f>SUMIFS(Einzelbeträge!$D:$D,Einzelbeträge!$C:$C,'Ausgaben Vorlage'!$C49,Einzelbeträge!$E:$E,'Ausgaben Vorlage'!M$6)</f>
        <v>0</v>
      </c>
      <c r="N49" s="35">
        <f>SUMIFS(Einzelbeträge!$D:$D,Einzelbeträge!$C:$C,'Ausgaben Vorlage'!$C49,Einzelbeträge!$E:$E,'Ausgaben Vorlage'!N$6)</f>
        <v>0</v>
      </c>
      <c r="O49" s="6"/>
      <c r="Q49" s="5"/>
      <c r="R49" s="30" t="str">
        <f>TEXT(($C$7+7*COUNTA($C$7:$C49))-WEEKDAY($C$7+7*COUNTA($C$7:$C49),3),"TT.MM.JJJJ")&amp;" - "&amp;TEXT(($C$7+7*COUNTA($C$7:$C49))-WEEKDAY($C$7+7*COUNTA($C$7:$C49),3)+6,"TT.MM.JJJJ")</f>
        <v>27.10.2025 - 02.11.2025</v>
      </c>
      <c r="S49" s="46">
        <f t="shared" si="17"/>
        <v>0</v>
      </c>
      <c r="T49" s="55">
        <f t="shared" si="17"/>
        <v>0</v>
      </c>
      <c r="U49" s="55">
        <f t="shared" si="17"/>
        <v>0</v>
      </c>
      <c r="V49" s="55">
        <f t="shared" si="17"/>
        <v>0</v>
      </c>
      <c r="W49" s="55">
        <f t="shared" si="17"/>
        <v>0</v>
      </c>
      <c r="X49" s="55">
        <f t="shared" si="17"/>
        <v>0</v>
      </c>
      <c r="Y49" s="55">
        <f t="shared" si="17"/>
        <v>0</v>
      </c>
      <c r="Z49" s="55">
        <f t="shared" si="17"/>
        <v>0</v>
      </c>
      <c r="AA49" s="55">
        <f t="shared" si="17"/>
        <v>0</v>
      </c>
      <c r="AB49" s="55">
        <f t="shared" si="16"/>
        <v>0</v>
      </c>
      <c r="AC49" s="56">
        <f t="shared" si="16"/>
        <v>0</v>
      </c>
      <c r="AD49" s="6"/>
    </row>
    <row r="50" spans="2:30" x14ac:dyDescent="0.35">
      <c r="B50" s="5"/>
      <c r="C50" s="40">
        <f t="shared" si="15"/>
        <v>45698</v>
      </c>
      <c r="D50" s="44">
        <f>SUMIFS(Einzelbeträge!$D:$D,Einzelbeträge!$C:$C,'Ausgaben Vorlage'!$C50)</f>
        <v>0</v>
      </c>
      <c r="E50" s="34">
        <f>SUMIFS(Einzelbeträge!$D:$D,Einzelbeträge!$C:$C,'Ausgaben Vorlage'!$C50,Einzelbeträge!$E:$E,'Ausgaben Vorlage'!E$6)</f>
        <v>0</v>
      </c>
      <c r="F50" s="21">
        <f>SUMIFS(Einzelbeträge!$D:$D,Einzelbeträge!$C:$C,'Ausgaben Vorlage'!$C50,Einzelbeträge!$E:$E,'Ausgaben Vorlage'!F$6)</f>
        <v>0</v>
      </c>
      <c r="G50" s="21">
        <f>SUMIFS(Einzelbeträge!$D:$D,Einzelbeträge!$C:$C,'Ausgaben Vorlage'!$C50,Einzelbeträge!$E:$E,'Ausgaben Vorlage'!G$6)</f>
        <v>0</v>
      </c>
      <c r="H50" s="21">
        <f>SUMIFS(Einzelbeträge!$D:$D,Einzelbeträge!$C:$C,'Ausgaben Vorlage'!$C50,Einzelbeträge!$E:$E,'Ausgaben Vorlage'!H$6)</f>
        <v>0</v>
      </c>
      <c r="I50" s="21">
        <f>SUMIFS(Einzelbeträge!$D:$D,Einzelbeträge!$C:$C,'Ausgaben Vorlage'!$C50,Einzelbeträge!$E:$E,'Ausgaben Vorlage'!I$6)</f>
        <v>0</v>
      </c>
      <c r="J50" s="21">
        <f>SUMIFS(Einzelbeträge!$D:$D,Einzelbeträge!$C:$C,'Ausgaben Vorlage'!$C50,Einzelbeträge!$E:$E,'Ausgaben Vorlage'!J$6)</f>
        <v>0</v>
      </c>
      <c r="K50" s="21">
        <f>SUMIFS(Einzelbeträge!$D:$D,Einzelbeträge!$C:$C,'Ausgaben Vorlage'!$C50,Einzelbeträge!$E:$E,'Ausgaben Vorlage'!K$6)</f>
        <v>0</v>
      </c>
      <c r="L50" s="21">
        <f>SUMIFS(Einzelbeträge!$D:$D,Einzelbeträge!$C:$C,'Ausgaben Vorlage'!$C50,Einzelbeträge!$E:$E,'Ausgaben Vorlage'!L$6)</f>
        <v>0</v>
      </c>
      <c r="M50" s="21">
        <f>SUMIFS(Einzelbeträge!$D:$D,Einzelbeträge!$C:$C,'Ausgaben Vorlage'!$C50,Einzelbeträge!$E:$E,'Ausgaben Vorlage'!M$6)</f>
        <v>0</v>
      </c>
      <c r="N50" s="35">
        <f>SUMIFS(Einzelbeträge!$D:$D,Einzelbeträge!$C:$C,'Ausgaben Vorlage'!$C50,Einzelbeträge!$E:$E,'Ausgaben Vorlage'!N$6)</f>
        <v>0</v>
      </c>
      <c r="O50" s="6"/>
      <c r="Q50" s="5"/>
      <c r="R50" s="30" t="str">
        <f>TEXT(($C$7+7*COUNTA($C$7:$C50))-WEEKDAY($C$7+7*COUNTA($C$7:$C50),3),"TT.MM.JJJJ")&amp;" - "&amp;TEXT(($C$7+7*COUNTA($C$7:$C50))-WEEKDAY($C$7+7*COUNTA($C$7:$C50),3)+6,"TT.MM.JJJJ")</f>
        <v>03.11.2025 - 09.11.2025</v>
      </c>
      <c r="S50" s="46">
        <f t="shared" si="17"/>
        <v>0</v>
      </c>
      <c r="T50" s="55">
        <f t="shared" si="17"/>
        <v>0</v>
      </c>
      <c r="U50" s="55">
        <f t="shared" si="17"/>
        <v>0</v>
      </c>
      <c r="V50" s="55">
        <f t="shared" si="17"/>
        <v>0</v>
      </c>
      <c r="W50" s="55">
        <f t="shared" si="17"/>
        <v>0</v>
      </c>
      <c r="X50" s="55">
        <f t="shared" si="17"/>
        <v>0</v>
      </c>
      <c r="Y50" s="55">
        <f t="shared" si="17"/>
        <v>0</v>
      </c>
      <c r="Z50" s="55">
        <f t="shared" si="17"/>
        <v>0</v>
      </c>
      <c r="AA50" s="55">
        <f t="shared" si="17"/>
        <v>0</v>
      </c>
      <c r="AB50" s="55">
        <f t="shared" si="16"/>
        <v>0</v>
      </c>
      <c r="AC50" s="56">
        <f t="shared" si="16"/>
        <v>0</v>
      </c>
      <c r="AD50" s="6"/>
    </row>
    <row r="51" spans="2:30" x14ac:dyDescent="0.35">
      <c r="B51" s="5"/>
      <c r="C51" s="40">
        <f t="shared" si="15"/>
        <v>45699</v>
      </c>
      <c r="D51" s="44">
        <f>SUMIFS(Einzelbeträge!$D:$D,Einzelbeträge!$C:$C,'Ausgaben Vorlage'!$C51)</f>
        <v>0</v>
      </c>
      <c r="E51" s="34">
        <f>SUMIFS(Einzelbeträge!$D:$D,Einzelbeträge!$C:$C,'Ausgaben Vorlage'!$C51,Einzelbeträge!$E:$E,'Ausgaben Vorlage'!E$6)</f>
        <v>0</v>
      </c>
      <c r="F51" s="21">
        <f>SUMIFS(Einzelbeträge!$D:$D,Einzelbeträge!$C:$C,'Ausgaben Vorlage'!$C51,Einzelbeträge!$E:$E,'Ausgaben Vorlage'!F$6)</f>
        <v>0</v>
      </c>
      <c r="G51" s="21">
        <f>SUMIFS(Einzelbeträge!$D:$D,Einzelbeträge!$C:$C,'Ausgaben Vorlage'!$C51,Einzelbeträge!$E:$E,'Ausgaben Vorlage'!G$6)</f>
        <v>0</v>
      </c>
      <c r="H51" s="21">
        <f>SUMIFS(Einzelbeträge!$D:$D,Einzelbeträge!$C:$C,'Ausgaben Vorlage'!$C51,Einzelbeträge!$E:$E,'Ausgaben Vorlage'!H$6)</f>
        <v>0</v>
      </c>
      <c r="I51" s="21">
        <f>SUMIFS(Einzelbeträge!$D:$D,Einzelbeträge!$C:$C,'Ausgaben Vorlage'!$C51,Einzelbeträge!$E:$E,'Ausgaben Vorlage'!I$6)</f>
        <v>0</v>
      </c>
      <c r="J51" s="21">
        <f>SUMIFS(Einzelbeträge!$D:$D,Einzelbeträge!$C:$C,'Ausgaben Vorlage'!$C51,Einzelbeträge!$E:$E,'Ausgaben Vorlage'!J$6)</f>
        <v>0</v>
      </c>
      <c r="K51" s="21">
        <f>SUMIFS(Einzelbeträge!$D:$D,Einzelbeträge!$C:$C,'Ausgaben Vorlage'!$C51,Einzelbeträge!$E:$E,'Ausgaben Vorlage'!K$6)</f>
        <v>0</v>
      </c>
      <c r="L51" s="21">
        <f>SUMIFS(Einzelbeträge!$D:$D,Einzelbeträge!$C:$C,'Ausgaben Vorlage'!$C51,Einzelbeträge!$E:$E,'Ausgaben Vorlage'!L$6)</f>
        <v>0</v>
      </c>
      <c r="M51" s="21">
        <f>SUMIFS(Einzelbeträge!$D:$D,Einzelbeträge!$C:$C,'Ausgaben Vorlage'!$C51,Einzelbeträge!$E:$E,'Ausgaben Vorlage'!M$6)</f>
        <v>0</v>
      </c>
      <c r="N51" s="35">
        <f>SUMIFS(Einzelbeträge!$D:$D,Einzelbeträge!$C:$C,'Ausgaben Vorlage'!$C51,Einzelbeträge!$E:$E,'Ausgaben Vorlage'!N$6)</f>
        <v>0</v>
      </c>
      <c r="O51" s="6"/>
      <c r="Q51" s="5"/>
      <c r="R51" s="30" t="str">
        <f>TEXT(($C$7+7*COUNTA($C$7:$C51))-WEEKDAY($C$7+7*COUNTA($C$7:$C51),3),"TT.MM.JJJJ")&amp;" - "&amp;TEXT(($C$7+7*COUNTA($C$7:$C51))-WEEKDAY($C$7+7*COUNTA($C$7:$C51),3)+6,"TT.MM.JJJJ")</f>
        <v>10.11.2025 - 16.11.2025</v>
      </c>
      <c r="S51" s="46">
        <f t="shared" si="17"/>
        <v>0</v>
      </c>
      <c r="T51" s="55">
        <f t="shared" si="17"/>
        <v>0</v>
      </c>
      <c r="U51" s="55">
        <f t="shared" si="17"/>
        <v>0</v>
      </c>
      <c r="V51" s="55">
        <f t="shared" si="17"/>
        <v>0</v>
      </c>
      <c r="W51" s="55">
        <f t="shared" si="17"/>
        <v>0</v>
      </c>
      <c r="X51" s="55">
        <f t="shared" si="17"/>
        <v>0</v>
      </c>
      <c r="Y51" s="55">
        <f t="shared" si="17"/>
        <v>0</v>
      </c>
      <c r="Z51" s="55">
        <f t="shared" si="17"/>
        <v>0</v>
      </c>
      <c r="AA51" s="55">
        <f t="shared" si="17"/>
        <v>0</v>
      </c>
      <c r="AB51" s="55">
        <f t="shared" si="16"/>
        <v>0</v>
      </c>
      <c r="AC51" s="56">
        <f t="shared" si="16"/>
        <v>0</v>
      </c>
      <c r="AD51" s="6"/>
    </row>
    <row r="52" spans="2:30" x14ac:dyDescent="0.35">
      <c r="B52" s="5"/>
      <c r="C52" s="40">
        <f t="shared" si="15"/>
        <v>45700</v>
      </c>
      <c r="D52" s="44">
        <f>SUMIFS(Einzelbeträge!$D:$D,Einzelbeträge!$C:$C,'Ausgaben Vorlage'!$C52)</f>
        <v>0</v>
      </c>
      <c r="E52" s="34">
        <f>SUMIFS(Einzelbeträge!$D:$D,Einzelbeträge!$C:$C,'Ausgaben Vorlage'!$C52,Einzelbeträge!$E:$E,'Ausgaben Vorlage'!E$6)</f>
        <v>0</v>
      </c>
      <c r="F52" s="21">
        <f>SUMIFS(Einzelbeträge!$D:$D,Einzelbeträge!$C:$C,'Ausgaben Vorlage'!$C52,Einzelbeträge!$E:$E,'Ausgaben Vorlage'!F$6)</f>
        <v>0</v>
      </c>
      <c r="G52" s="21">
        <f>SUMIFS(Einzelbeträge!$D:$D,Einzelbeträge!$C:$C,'Ausgaben Vorlage'!$C52,Einzelbeträge!$E:$E,'Ausgaben Vorlage'!G$6)</f>
        <v>0</v>
      </c>
      <c r="H52" s="21">
        <f>SUMIFS(Einzelbeträge!$D:$D,Einzelbeträge!$C:$C,'Ausgaben Vorlage'!$C52,Einzelbeträge!$E:$E,'Ausgaben Vorlage'!H$6)</f>
        <v>0</v>
      </c>
      <c r="I52" s="21">
        <f>SUMIFS(Einzelbeträge!$D:$D,Einzelbeträge!$C:$C,'Ausgaben Vorlage'!$C52,Einzelbeträge!$E:$E,'Ausgaben Vorlage'!I$6)</f>
        <v>0</v>
      </c>
      <c r="J52" s="21">
        <f>SUMIFS(Einzelbeträge!$D:$D,Einzelbeträge!$C:$C,'Ausgaben Vorlage'!$C52,Einzelbeträge!$E:$E,'Ausgaben Vorlage'!J$6)</f>
        <v>0</v>
      </c>
      <c r="K52" s="21">
        <f>SUMIFS(Einzelbeträge!$D:$D,Einzelbeträge!$C:$C,'Ausgaben Vorlage'!$C52,Einzelbeträge!$E:$E,'Ausgaben Vorlage'!K$6)</f>
        <v>0</v>
      </c>
      <c r="L52" s="21">
        <f>SUMIFS(Einzelbeträge!$D:$D,Einzelbeträge!$C:$C,'Ausgaben Vorlage'!$C52,Einzelbeträge!$E:$E,'Ausgaben Vorlage'!L$6)</f>
        <v>0</v>
      </c>
      <c r="M52" s="21">
        <f>SUMIFS(Einzelbeträge!$D:$D,Einzelbeträge!$C:$C,'Ausgaben Vorlage'!$C52,Einzelbeträge!$E:$E,'Ausgaben Vorlage'!M$6)</f>
        <v>0</v>
      </c>
      <c r="N52" s="35">
        <f>SUMIFS(Einzelbeträge!$D:$D,Einzelbeträge!$C:$C,'Ausgaben Vorlage'!$C52,Einzelbeträge!$E:$E,'Ausgaben Vorlage'!N$6)</f>
        <v>0</v>
      </c>
      <c r="O52" s="6"/>
      <c r="Q52" s="5"/>
      <c r="R52" s="30" t="str">
        <f>TEXT(($C$7+7*COUNTA($C$7:$C52))-WEEKDAY($C$7+7*COUNTA($C$7:$C52),3),"TT.MM.JJJJ")&amp;" - "&amp;TEXT(($C$7+7*COUNTA($C$7:$C52))-WEEKDAY($C$7+7*COUNTA($C$7:$C52),3)+6,"TT.MM.JJJJ")</f>
        <v>17.11.2025 - 23.11.2025</v>
      </c>
      <c r="S52" s="46">
        <f t="shared" si="17"/>
        <v>0</v>
      </c>
      <c r="T52" s="55">
        <f t="shared" si="17"/>
        <v>0</v>
      </c>
      <c r="U52" s="55">
        <f t="shared" si="17"/>
        <v>0</v>
      </c>
      <c r="V52" s="55">
        <f t="shared" si="17"/>
        <v>0</v>
      </c>
      <c r="W52" s="55">
        <f t="shared" si="17"/>
        <v>0</v>
      </c>
      <c r="X52" s="55">
        <f t="shared" si="17"/>
        <v>0</v>
      </c>
      <c r="Y52" s="55">
        <f t="shared" si="17"/>
        <v>0</v>
      </c>
      <c r="Z52" s="55">
        <f t="shared" si="17"/>
        <v>0</v>
      </c>
      <c r="AA52" s="55">
        <f t="shared" si="17"/>
        <v>0</v>
      </c>
      <c r="AB52" s="55">
        <f t="shared" si="16"/>
        <v>0</v>
      </c>
      <c r="AC52" s="56">
        <f t="shared" si="16"/>
        <v>0</v>
      </c>
      <c r="AD52" s="6"/>
    </row>
    <row r="53" spans="2:30" x14ac:dyDescent="0.35">
      <c r="B53" s="5"/>
      <c r="C53" s="40">
        <f t="shared" si="15"/>
        <v>45701</v>
      </c>
      <c r="D53" s="44">
        <f>SUMIFS(Einzelbeträge!$D:$D,Einzelbeträge!$C:$C,'Ausgaben Vorlage'!$C53)</f>
        <v>0</v>
      </c>
      <c r="E53" s="34">
        <f>SUMIFS(Einzelbeträge!$D:$D,Einzelbeträge!$C:$C,'Ausgaben Vorlage'!$C53,Einzelbeträge!$E:$E,'Ausgaben Vorlage'!E$6)</f>
        <v>0</v>
      </c>
      <c r="F53" s="21">
        <f>SUMIFS(Einzelbeträge!$D:$D,Einzelbeträge!$C:$C,'Ausgaben Vorlage'!$C53,Einzelbeträge!$E:$E,'Ausgaben Vorlage'!F$6)</f>
        <v>0</v>
      </c>
      <c r="G53" s="21">
        <f>SUMIFS(Einzelbeträge!$D:$D,Einzelbeträge!$C:$C,'Ausgaben Vorlage'!$C53,Einzelbeträge!$E:$E,'Ausgaben Vorlage'!G$6)</f>
        <v>0</v>
      </c>
      <c r="H53" s="21">
        <f>SUMIFS(Einzelbeträge!$D:$D,Einzelbeträge!$C:$C,'Ausgaben Vorlage'!$C53,Einzelbeträge!$E:$E,'Ausgaben Vorlage'!H$6)</f>
        <v>0</v>
      </c>
      <c r="I53" s="21">
        <f>SUMIFS(Einzelbeträge!$D:$D,Einzelbeträge!$C:$C,'Ausgaben Vorlage'!$C53,Einzelbeträge!$E:$E,'Ausgaben Vorlage'!I$6)</f>
        <v>0</v>
      </c>
      <c r="J53" s="21">
        <f>SUMIFS(Einzelbeträge!$D:$D,Einzelbeträge!$C:$C,'Ausgaben Vorlage'!$C53,Einzelbeträge!$E:$E,'Ausgaben Vorlage'!J$6)</f>
        <v>0</v>
      </c>
      <c r="K53" s="21">
        <f>SUMIFS(Einzelbeträge!$D:$D,Einzelbeträge!$C:$C,'Ausgaben Vorlage'!$C53,Einzelbeträge!$E:$E,'Ausgaben Vorlage'!K$6)</f>
        <v>0</v>
      </c>
      <c r="L53" s="21">
        <f>SUMIFS(Einzelbeträge!$D:$D,Einzelbeträge!$C:$C,'Ausgaben Vorlage'!$C53,Einzelbeträge!$E:$E,'Ausgaben Vorlage'!L$6)</f>
        <v>0</v>
      </c>
      <c r="M53" s="21">
        <f>SUMIFS(Einzelbeträge!$D:$D,Einzelbeträge!$C:$C,'Ausgaben Vorlage'!$C53,Einzelbeträge!$E:$E,'Ausgaben Vorlage'!M$6)</f>
        <v>0</v>
      </c>
      <c r="N53" s="35">
        <f>SUMIFS(Einzelbeträge!$D:$D,Einzelbeträge!$C:$C,'Ausgaben Vorlage'!$C53,Einzelbeträge!$E:$E,'Ausgaben Vorlage'!N$6)</f>
        <v>0</v>
      </c>
      <c r="O53" s="6"/>
      <c r="Q53" s="5"/>
      <c r="R53" s="30" t="str">
        <f>TEXT(($C$7+7*COUNTA($C$7:$C53))-WEEKDAY($C$7+7*COUNTA($C$7:$C53),3),"TT.MM.JJJJ")&amp;" - "&amp;TEXT(($C$7+7*COUNTA($C$7:$C53))-WEEKDAY($C$7+7*COUNTA($C$7:$C53),3)+6,"TT.MM.JJJJ")</f>
        <v>24.11.2025 - 30.11.2025</v>
      </c>
      <c r="S53" s="46">
        <f t="shared" si="17"/>
        <v>0</v>
      </c>
      <c r="T53" s="55">
        <f t="shared" si="17"/>
        <v>0</v>
      </c>
      <c r="U53" s="55">
        <f t="shared" si="17"/>
        <v>0</v>
      </c>
      <c r="V53" s="55">
        <f t="shared" si="17"/>
        <v>0</v>
      </c>
      <c r="W53" s="55">
        <f t="shared" si="17"/>
        <v>0</v>
      </c>
      <c r="X53" s="55">
        <f t="shared" si="17"/>
        <v>0</v>
      </c>
      <c r="Y53" s="55">
        <f t="shared" si="17"/>
        <v>0</v>
      </c>
      <c r="Z53" s="55">
        <f t="shared" si="17"/>
        <v>0</v>
      </c>
      <c r="AA53" s="55">
        <f t="shared" si="17"/>
        <v>0</v>
      </c>
      <c r="AB53" s="55">
        <f t="shared" si="16"/>
        <v>0</v>
      </c>
      <c r="AC53" s="56">
        <f t="shared" si="16"/>
        <v>0</v>
      </c>
      <c r="AD53" s="6"/>
    </row>
    <row r="54" spans="2:30" x14ac:dyDescent="0.35">
      <c r="B54" s="5"/>
      <c r="C54" s="40">
        <f t="shared" si="15"/>
        <v>45702</v>
      </c>
      <c r="D54" s="44">
        <f>SUMIFS(Einzelbeträge!$D:$D,Einzelbeträge!$C:$C,'Ausgaben Vorlage'!$C54)</f>
        <v>0</v>
      </c>
      <c r="E54" s="34">
        <f>SUMIFS(Einzelbeträge!$D:$D,Einzelbeträge!$C:$C,'Ausgaben Vorlage'!$C54,Einzelbeträge!$E:$E,'Ausgaben Vorlage'!E$6)</f>
        <v>0</v>
      </c>
      <c r="F54" s="21">
        <f>SUMIFS(Einzelbeträge!$D:$D,Einzelbeträge!$C:$C,'Ausgaben Vorlage'!$C54,Einzelbeträge!$E:$E,'Ausgaben Vorlage'!F$6)</f>
        <v>0</v>
      </c>
      <c r="G54" s="21">
        <f>SUMIFS(Einzelbeträge!$D:$D,Einzelbeträge!$C:$C,'Ausgaben Vorlage'!$C54,Einzelbeträge!$E:$E,'Ausgaben Vorlage'!G$6)</f>
        <v>0</v>
      </c>
      <c r="H54" s="21">
        <f>SUMIFS(Einzelbeträge!$D:$D,Einzelbeträge!$C:$C,'Ausgaben Vorlage'!$C54,Einzelbeträge!$E:$E,'Ausgaben Vorlage'!H$6)</f>
        <v>0</v>
      </c>
      <c r="I54" s="21">
        <f>SUMIFS(Einzelbeträge!$D:$D,Einzelbeträge!$C:$C,'Ausgaben Vorlage'!$C54,Einzelbeträge!$E:$E,'Ausgaben Vorlage'!I$6)</f>
        <v>0</v>
      </c>
      <c r="J54" s="21">
        <f>SUMIFS(Einzelbeträge!$D:$D,Einzelbeträge!$C:$C,'Ausgaben Vorlage'!$C54,Einzelbeträge!$E:$E,'Ausgaben Vorlage'!J$6)</f>
        <v>0</v>
      </c>
      <c r="K54" s="21">
        <f>SUMIFS(Einzelbeträge!$D:$D,Einzelbeträge!$C:$C,'Ausgaben Vorlage'!$C54,Einzelbeträge!$E:$E,'Ausgaben Vorlage'!K$6)</f>
        <v>0</v>
      </c>
      <c r="L54" s="21">
        <f>SUMIFS(Einzelbeträge!$D:$D,Einzelbeträge!$C:$C,'Ausgaben Vorlage'!$C54,Einzelbeträge!$E:$E,'Ausgaben Vorlage'!L$6)</f>
        <v>0</v>
      </c>
      <c r="M54" s="21">
        <f>SUMIFS(Einzelbeträge!$D:$D,Einzelbeträge!$C:$C,'Ausgaben Vorlage'!$C54,Einzelbeträge!$E:$E,'Ausgaben Vorlage'!M$6)</f>
        <v>0</v>
      </c>
      <c r="N54" s="35">
        <f>SUMIFS(Einzelbeträge!$D:$D,Einzelbeträge!$C:$C,'Ausgaben Vorlage'!$C54,Einzelbeträge!$E:$E,'Ausgaben Vorlage'!N$6)</f>
        <v>0</v>
      </c>
      <c r="O54" s="6"/>
      <c r="Q54" s="5"/>
      <c r="R54" s="30" t="str">
        <f>TEXT(($C$7+7*COUNTA($C$7:$C54))-WEEKDAY($C$7+7*COUNTA($C$7:$C54),3),"TT.MM.JJJJ")&amp;" - "&amp;TEXT(($C$7+7*COUNTA($C$7:$C54))-WEEKDAY($C$7+7*COUNTA($C$7:$C54),3)+6,"TT.MM.JJJJ")</f>
        <v>01.12.2025 - 07.12.2025</v>
      </c>
      <c r="S54" s="46">
        <f t="shared" si="17"/>
        <v>0</v>
      </c>
      <c r="T54" s="55">
        <f t="shared" si="17"/>
        <v>0</v>
      </c>
      <c r="U54" s="55">
        <f t="shared" si="17"/>
        <v>0</v>
      </c>
      <c r="V54" s="55">
        <f t="shared" si="17"/>
        <v>0</v>
      </c>
      <c r="W54" s="55">
        <f t="shared" si="17"/>
        <v>0</v>
      </c>
      <c r="X54" s="55">
        <f t="shared" si="17"/>
        <v>0</v>
      </c>
      <c r="Y54" s="55">
        <f t="shared" si="17"/>
        <v>0</v>
      </c>
      <c r="Z54" s="55">
        <f t="shared" si="17"/>
        <v>0</v>
      </c>
      <c r="AA54" s="55">
        <f t="shared" si="17"/>
        <v>0</v>
      </c>
      <c r="AB54" s="55">
        <f t="shared" si="16"/>
        <v>0</v>
      </c>
      <c r="AC54" s="56">
        <f t="shared" si="16"/>
        <v>0</v>
      </c>
      <c r="AD54" s="6"/>
    </row>
    <row r="55" spans="2:30" x14ac:dyDescent="0.35">
      <c r="B55" s="5"/>
      <c r="C55" s="40">
        <f t="shared" si="15"/>
        <v>45703</v>
      </c>
      <c r="D55" s="44">
        <f>SUMIFS(Einzelbeträge!$D:$D,Einzelbeträge!$C:$C,'Ausgaben Vorlage'!$C55)</f>
        <v>0</v>
      </c>
      <c r="E55" s="34">
        <f>SUMIFS(Einzelbeträge!$D:$D,Einzelbeträge!$C:$C,'Ausgaben Vorlage'!$C55,Einzelbeträge!$E:$E,'Ausgaben Vorlage'!E$6)</f>
        <v>0</v>
      </c>
      <c r="F55" s="21">
        <f>SUMIFS(Einzelbeträge!$D:$D,Einzelbeträge!$C:$C,'Ausgaben Vorlage'!$C55,Einzelbeträge!$E:$E,'Ausgaben Vorlage'!F$6)</f>
        <v>0</v>
      </c>
      <c r="G55" s="21">
        <f>SUMIFS(Einzelbeträge!$D:$D,Einzelbeträge!$C:$C,'Ausgaben Vorlage'!$C55,Einzelbeträge!$E:$E,'Ausgaben Vorlage'!G$6)</f>
        <v>0</v>
      </c>
      <c r="H55" s="21">
        <f>SUMIFS(Einzelbeträge!$D:$D,Einzelbeträge!$C:$C,'Ausgaben Vorlage'!$C55,Einzelbeträge!$E:$E,'Ausgaben Vorlage'!H$6)</f>
        <v>0</v>
      </c>
      <c r="I55" s="21">
        <f>SUMIFS(Einzelbeträge!$D:$D,Einzelbeträge!$C:$C,'Ausgaben Vorlage'!$C55,Einzelbeträge!$E:$E,'Ausgaben Vorlage'!I$6)</f>
        <v>0</v>
      </c>
      <c r="J55" s="21">
        <f>SUMIFS(Einzelbeträge!$D:$D,Einzelbeträge!$C:$C,'Ausgaben Vorlage'!$C55,Einzelbeträge!$E:$E,'Ausgaben Vorlage'!J$6)</f>
        <v>0</v>
      </c>
      <c r="K55" s="21">
        <f>SUMIFS(Einzelbeträge!$D:$D,Einzelbeträge!$C:$C,'Ausgaben Vorlage'!$C55,Einzelbeträge!$E:$E,'Ausgaben Vorlage'!K$6)</f>
        <v>0</v>
      </c>
      <c r="L55" s="21">
        <f>SUMIFS(Einzelbeträge!$D:$D,Einzelbeträge!$C:$C,'Ausgaben Vorlage'!$C55,Einzelbeträge!$E:$E,'Ausgaben Vorlage'!L$6)</f>
        <v>0</v>
      </c>
      <c r="M55" s="21">
        <f>SUMIFS(Einzelbeträge!$D:$D,Einzelbeträge!$C:$C,'Ausgaben Vorlage'!$C55,Einzelbeträge!$E:$E,'Ausgaben Vorlage'!M$6)</f>
        <v>0</v>
      </c>
      <c r="N55" s="35">
        <f>SUMIFS(Einzelbeträge!$D:$D,Einzelbeträge!$C:$C,'Ausgaben Vorlage'!$C55,Einzelbeträge!$E:$E,'Ausgaben Vorlage'!N$6)</f>
        <v>0</v>
      </c>
      <c r="O55" s="6"/>
      <c r="Q55" s="5"/>
      <c r="R55" s="30" t="str">
        <f>TEXT(($C$7+7*COUNTA($C$7:$C55))-WEEKDAY($C$7+7*COUNTA($C$7:$C55),3),"TT.MM.JJJJ")&amp;" - "&amp;TEXT(($C$7+7*COUNTA($C$7:$C55))-WEEKDAY($C$7+7*COUNTA($C$7:$C55),3)+6,"TT.MM.JJJJ")</f>
        <v>08.12.2025 - 14.12.2025</v>
      </c>
      <c r="S55" s="46">
        <f t="shared" si="17"/>
        <v>0</v>
      </c>
      <c r="T55" s="55">
        <f t="shared" si="17"/>
        <v>0</v>
      </c>
      <c r="U55" s="55">
        <f t="shared" si="17"/>
        <v>0</v>
      </c>
      <c r="V55" s="55">
        <f t="shared" si="17"/>
        <v>0</v>
      </c>
      <c r="W55" s="55">
        <f t="shared" si="17"/>
        <v>0</v>
      </c>
      <c r="X55" s="55">
        <f t="shared" si="17"/>
        <v>0</v>
      </c>
      <c r="Y55" s="55">
        <f t="shared" si="17"/>
        <v>0</v>
      </c>
      <c r="Z55" s="55">
        <f t="shared" si="17"/>
        <v>0</v>
      </c>
      <c r="AA55" s="55">
        <f t="shared" si="17"/>
        <v>0</v>
      </c>
      <c r="AB55" s="55">
        <f t="shared" si="16"/>
        <v>0</v>
      </c>
      <c r="AC55" s="56">
        <f t="shared" si="16"/>
        <v>0</v>
      </c>
      <c r="AD55" s="6"/>
    </row>
    <row r="56" spans="2:30" x14ac:dyDescent="0.35">
      <c r="B56" s="5"/>
      <c r="C56" s="40">
        <f t="shared" si="15"/>
        <v>45704</v>
      </c>
      <c r="D56" s="44">
        <f>SUMIFS(Einzelbeträge!$D:$D,Einzelbeträge!$C:$C,'Ausgaben Vorlage'!$C56)</f>
        <v>0</v>
      </c>
      <c r="E56" s="34">
        <f>SUMIFS(Einzelbeträge!$D:$D,Einzelbeträge!$C:$C,'Ausgaben Vorlage'!$C56,Einzelbeträge!$E:$E,'Ausgaben Vorlage'!E$6)</f>
        <v>0</v>
      </c>
      <c r="F56" s="21">
        <f>SUMIFS(Einzelbeträge!$D:$D,Einzelbeträge!$C:$C,'Ausgaben Vorlage'!$C56,Einzelbeträge!$E:$E,'Ausgaben Vorlage'!F$6)</f>
        <v>0</v>
      </c>
      <c r="G56" s="21">
        <f>SUMIFS(Einzelbeträge!$D:$D,Einzelbeträge!$C:$C,'Ausgaben Vorlage'!$C56,Einzelbeträge!$E:$E,'Ausgaben Vorlage'!G$6)</f>
        <v>0</v>
      </c>
      <c r="H56" s="21">
        <f>SUMIFS(Einzelbeträge!$D:$D,Einzelbeträge!$C:$C,'Ausgaben Vorlage'!$C56,Einzelbeträge!$E:$E,'Ausgaben Vorlage'!H$6)</f>
        <v>0</v>
      </c>
      <c r="I56" s="21">
        <f>SUMIFS(Einzelbeträge!$D:$D,Einzelbeträge!$C:$C,'Ausgaben Vorlage'!$C56,Einzelbeträge!$E:$E,'Ausgaben Vorlage'!I$6)</f>
        <v>0</v>
      </c>
      <c r="J56" s="21">
        <f>SUMIFS(Einzelbeträge!$D:$D,Einzelbeträge!$C:$C,'Ausgaben Vorlage'!$C56,Einzelbeträge!$E:$E,'Ausgaben Vorlage'!J$6)</f>
        <v>0</v>
      </c>
      <c r="K56" s="21">
        <f>SUMIFS(Einzelbeträge!$D:$D,Einzelbeträge!$C:$C,'Ausgaben Vorlage'!$C56,Einzelbeträge!$E:$E,'Ausgaben Vorlage'!K$6)</f>
        <v>0</v>
      </c>
      <c r="L56" s="21">
        <f>SUMIFS(Einzelbeträge!$D:$D,Einzelbeträge!$C:$C,'Ausgaben Vorlage'!$C56,Einzelbeträge!$E:$E,'Ausgaben Vorlage'!L$6)</f>
        <v>0</v>
      </c>
      <c r="M56" s="21">
        <f>SUMIFS(Einzelbeträge!$D:$D,Einzelbeträge!$C:$C,'Ausgaben Vorlage'!$C56,Einzelbeträge!$E:$E,'Ausgaben Vorlage'!M$6)</f>
        <v>0</v>
      </c>
      <c r="N56" s="35">
        <f>SUMIFS(Einzelbeträge!$D:$D,Einzelbeträge!$C:$C,'Ausgaben Vorlage'!$C56,Einzelbeträge!$E:$E,'Ausgaben Vorlage'!N$6)</f>
        <v>0</v>
      </c>
      <c r="O56" s="6"/>
      <c r="Q56" s="5"/>
      <c r="R56" s="30" t="str">
        <f>TEXT(($C$7+7*COUNTA($C$7:$C56))-WEEKDAY($C$7+7*COUNTA($C$7:$C56),3),"TT.MM.JJJJ")&amp;" - "&amp;TEXT(($C$7+7*COUNTA($C$7:$C56))-WEEKDAY($C$7+7*COUNTA($C$7:$C56),3)+6,"TT.MM.JJJJ")</f>
        <v>15.12.2025 - 21.12.2025</v>
      </c>
      <c r="S56" s="46">
        <f t="shared" si="17"/>
        <v>0</v>
      </c>
      <c r="T56" s="55">
        <f t="shared" si="17"/>
        <v>0</v>
      </c>
      <c r="U56" s="55">
        <f t="shared" si="17"/>
        <v>0</v>
      </c>
      <c r="V56" s="55">
        <f t="shared" si="17"/>
        <v>0</v>
      </c>
      <c r="W56" s="55">
        <f t="shared" si="17"/>
        <v>0</v>
      </c>
      <c r="X56" s="55">
        <f t="shared" si="17"/>
        <v>0</v>
      </c>
      <c r="Y56" s="55">
        <f t="shared" si="17"/>
        <v>0</v>
      </c>
      <c r="Z56" s="55">
        <f t="shared" si="17"/>
        <v>0</v>
      </c>
      <c r="AA56" s="55">
        <f t="shared" si="17"/>
        <v>0</v>
      </c>
      <c r="AB56" s="55">
        <f t="shared" si="16"/>
        <v>0</v>
      </c>
      <c r="AC56" s="56">
        <f t="shared" si="16"/>
        <v>0</v>
      </c>
      <c r="AD56" s="6"/>
    </row>
    <row r="57" spans="2:30" x14ac:dyDescent="0.35">
      <c r="B57" s="5"/>
      <c r="C57" s="40">
        <f t="shared" si="15"/>
        <v>45705</v>
      </c>
      <c r="D57" s="44">
        <f>SUMIFS(Einzelbeträge!$D:$D,Einzelbeträge!$C:$C,'Ausgaben Vorlage'!$C57)</f>
        <v>0</v>
      </c>
      <c r="E57" s="34">
        <f>SUMIFS(Einzelbeträge!$D:$D,Einzelbeträge!$C:$C,'Ausgaben Vorlage'!$C57,Einzelbeträge!$E:$E,'Ausgaben Vorlage'!E$6)</f>
        <v>0</v>
      </c>
      <c r="F57" s="21">
        <f>SUMIFS(Einzelbeträge!$D:$D,Einzelbeträge!$C:$C,'Ausgaben Vorlage'!$C57,Einzelbeträge!$E:$E,'Ausgaben Vorlage'!F$6)</f>
        <v>0</v>
      </c>
      <c r="G57" s="21">
        <f>SUMIFS(Einzelbeträge!$D:$D,Einzelbeträge!$C:$C,'Ausgaben Vorlage'!$C57,Einzelbeträge!$E:$E,'Ausgaben Vorlage'!G$6)</f>
        <v>0</v>
      </c>
      <c r="H57" s="21">
        <f>SUMIFS(Einzelbeträge!$D:$D,Einzelbeträge!$C:$C,'Ausgaben Vorlage'!$C57,Einzelbeträge!$E:$E,'Ausgaben Vorlage'!H$6)</f>
        <v>0</v>
      </c>
      <c r="I57" s="21">
        <f>SUMIFS(Einzelbeträge!$D:$D,Einzelbeträge!$C:$C,'Ausgaben Vorlage'!$C57,Einzelbeträge!$E:$E,'Ausgaben Vorlage'!I$6)</f>
        <v>0</v>
      </c>
      <c r="J57" s="21">
        <f>SUMIFS(Einzelbeträge!$D:$D,Einzelbeträge!$C:$C,'Ausgaben Vorlage'!$C57,Einzelbeträge!$E:$E,'Ausgaben Vorlage'!J$6)</f>
        <v>0</v>
      </c>
      <c r="K57" s="21">
        <f>SUMIFS(Einzelbeträge!$D:$D,Einzelbeträge!$C:$C,'Ausgaben Vorlage'!$C57,Einzelbeträge!$E:$E,'Ausgaben Vorlage'!K$6)</f>
        <v>0</v>
      </c>
      <c r="L57" s="21">
        <f>SUMIFS(Einzelbeträge!$D:$D,Einzelbeträge!$C:$C,'Ausgaben Vorlage'!$C57,Einzelbeträge!$E:$E,'Ausgaben Vorlage'!L$6)</f>
        <v>0</v>
      </c>
      <c r="M57" s="21">
        <f>SUMIFS(Einzelbeträge!$D:$D,Einzelbeträge!$C:$C,'Ausgaben Vorlage'!$C57,Einzelbeträge!$E:$E,'Ausgaben Vorlage'!M$6)</f>
        <v>0</v>
      </c>
      <c r="N57" s="35">
        <f>SUMIFS(Einzelbeträge!$D:$D,Einzelbeträge!$C:$C,'Ausgaben Vorlage'!$C57,Einzelbeträge!$E:$E,'Ausgaben Vorlage'!N$6)</f>
        <v>0</v>
      </c>
      <c r="O57" s="6"/>
      <c r="Q57" s="5"/>
      <c r="R57" s="30" t="str">
        <f>TEXT(($C$7+7*COUNTA($C$7:$C57))-WEEKDAY($C$7+7*COUNTA($C$7:$C57),3),"TT.MM.JJJJ")&amp;" - "&amp;TEXT(($C$7+7*COUNTA($C$7:$C57))-WEEKDAY($C$7+7*COUNTA($C$7:$C57),3)+6,"TT.MM.JJJJ")</f>
        <v>22.12.2025 - 28.12.2025</v>
      </c>
      <c r="S57" s="46">
        <f t="shared" si="17"/>
        <v>0</v>
      </c>
      <c r="T57" s="55">
        <f t="shared" si="17"/>
        <v>0</v>
      </c>
      <c r="U57" s="55">
        <f t="shared" si="17"/>
        <v>0</v>
      </c>
      <c r="V57" s="55">
        <f t="shared" si="17"/>
        <v>0</v>
      </c>
      <c r="W57" s="55">
        <f t="shared" si="17"/>
        <v>0</v>
      </c>
      <c r="X57" s="55">
        <f t="shared" si="17"/>
        <v>0</v>
      </c>
      <c r="Y57" s="55">
        <f t="shared" si="17"/>
        <v>0</v>
      </c>
      <c r="Z57" s="55">
        <f t="shared" si="17"/>
        <v>0</v>
      </c>
      <c r="AA57" s="55">
        <f t="shared" si="17"/>
        <v>0</v>
      </c>
      <c r="AB57" s="55">
        <f t="shared" si="16"/>
        <v>0</v>
      </c>
      <c r="AC57" s="56">
        <f t="shared" si="16"/>
        <v>0</v>
      </c>
      <c r="AD57" s="6"/>
    </row>
    <row r="58" spans="2:30" x14ac:dyDescent="0.35">
      <c r="B58" s="5"/>
      <c r="C58" s="40">
        <f t="shared" si="15"/>
        <v>45706</v>
      </c>
      <c r="D58" s="44">
        <f>SUMIFS(Einzelbeträge!$D:$D,Einzelbeträge!$C:$C,'Ausgaben Vorlage'!$C58)</f>
        <v>0</v>
      </c>
      <c r="E58" s="34">
        <f>SUMIFS(Einzelbeträge!$D:$D,Einzelbeträge!$C:$C,'Ausgaben Vorlage'!$C58,Einzelbeträge!$E:$E,'Ausgaben Vorlage'!E$6)</f>
        <v>0</v>
      </c>
      <c r="F58" s="21">
        <f>SUMIFS(Einzelbeträge!$D:$D,Einzelbeträge!$C:$C,'Ausgaben Vorlage'!$C58,Einzelbeträge!$E:$E,'Ausgaben Vorlage'!F$6)</f>
        <v>0</v>
      </c>
      <c r="G58" s="21">
        <f>SUMIFS(Einzelbeträge!$D:$D,Einzelbeträge!$C:$C,'Ausgaben Vorlage'!$C58,Einzelbeträge!$E:$E,'Ausgaben Vorlage'!G$6)</f>
        <v>0</v>
      </c>
      <c r="H58" s="21">
        <f>SUMIFS(Einzelbeträge!$D:$D,Einzelbeträge!$C:$C,'Ausgaben Vorlage'!$C58,Einzelbeträge!$E:$E,'Ausgaben Vorlage'!H$6)</f>
        <v>0</v>
      </c>
      <c r="I58" s="21">
        <f>SUMIFS(Einzelbeträge!$D:$D,Einzelbeträge!$C:$C,'Ausgaben Vorlage'!$C58,Einzelbeträge!$E:$E,'Ausgaben Vorlage'!I$6)</f>
        <v>0</v>
      </c>
      <c r="J58" s="21">
        <f>SUMIFS(Einzelbeträge!$D:$D,Einzelbeträge!$C:$C,'Ausgaben Vorlage'!$C58,Einzelbeträge!$E:$E,'Ausgaben Vorlage'!J$6)</f>
        <v>0</v>
      </c>
      <c r="K58" s="21">
        <f>SUMIFS(Einzelbeträge!$D:$D,Einzelbeträge!$C:$C,'Ausgaben Vorlage'!$C58,Einzelbeträge!$E:$E,'Ausgaben Vorlage'!K$6)</f>
        <v>0</v>
      </c>
      <c r="L58" s="21">
        <f>SUMIFS(Einzelbeträge!$D:$D,Einzelbeträge!$C:$C,'Ausgaben Vorlage'!$C58,Einzelbeträge!$E:$E,'Ausgaben Vorlage'!L$6)</f>
        <v>0</v>
      </c>
      <c r="M58" s="21">
        <f>SUMIFS(Einzelbeträge!$D:$D,Einzelbeträge!$C:$C,'Ausgaben Vorlage'!$C58,Einzelbeträge!$E:$E,'Ausgaben Vorlage'!M$6)</f>
        <v>0</v>
      </c>
      <c r="N58" s="35">
        <f>SUMIFS(Einzelbeträge!$D:$D,Einzelbeträge!$C:$C,'Ausgaben Vorlage'!$C58,Einzelbeträge!$E:$E,'Ausgaben Vorlage'!N$6)</f>
        <v>0</v>
      </c>
      <c r="O58" s="6"/>
      <c r="Q58" s="5"/>
      <c r="R58" s="31" t="str">
        <f>TEXT(($C$7+7*COUNTA($C$7:$C58))-WEEKDAY($C$7+7*COUNTA($C$7:$C58),3),"TT.MM.JJJJ")&amp;" - "&amp;TEXT(($C$7+7*COUNTA($C$7:$C58))-WEEKDAY($C$7+7*COUNTA($C$7:$C58),3)+6,"TT.MM.JJJJ")</f>
        <v>29.12.2025 - 04.01.2026</v>
      </c>
      <c r="S58" s="47">
        <f t="shared" si="17"/>
        <v>0</v>
      </c>
      <c r="T58" s="58">
        <f t="shared" si="17"/>
        <v>0</v>
      </c>
      <c r="U58" s="58">
        <f t="shared" si="17"/>
        <v>0</v>
      </c>
      <c r="V58" s="58">
        <f t="shared" si="17"/>
        <v>0</v>
      </c>
      <c r="W58" s="58">
        <f t="shared" si="17"/>
        <v>0</v>
      </c>
      <c r="X58" s="58">
        <f t="shared" si="17"/>
        <v>0</v>
      </c>
      <c r="Y58" s="58">
        <f t="shared" si="17"/>
        <v>0</v>
      </c>
      <c r="Z58" s="58">
        <f t="shared" si="17"/>
        <v>0</v>
      </c>
      <c r="AA58" s="58">
        <f t="shared" si="17"/>
        <v>0</v>
      </c>
      <c r="AB58" s="58">
        <f t="shared" si="16"/>
        <v>0</v>
      </c>
      <c r="AC58" s="59">
        <f t="shared" si="16"/>
        <v>0</v>
      </c>
      <c r="AD58" s="6"/>
    </row>
    <row r="59" spans="2:30" ht="15" thickBot="1" x14ac:dyDescent="0.4">
      <c r="B59" s="5"/>
      <c r="C59" s="40">
        <f t="shared" si="15"/>
        <v>45707</v>
      </c>
      <c r="D59" s="44">
        <f>SUMIFS(Einzelbeträge!$D:$D,Einzelbeträge!$C:$C,'Ausgaben Vorlage'!$C59)</f>
        <v>0</v>
      </c>
      <c r="E59" s="34">
        <f>SUMIFS(Einzelbeträge!$D:$D,Einzelbeträge!$C:$C,'Ausgaben Vorlage'!$C59,Einzelbeträge!$E:$E,'Ausgaben Vorlage'!E$6)</f>
        <v>0</v>
      </c>
      <c r="F59" s="21">
        <f>SUMIFS(Einzelbeträge!$D:$D,Einzelbeträge!$C:$C,'Ausgaben Vorlage'!$C59,Einzelbeträge!$E:$E,'Ausgaben Vorlage'!F$6)</f>
        <v>0</v>
      </c>
      <c r="G59" s="21">
        <f>SUMIFS(Einzelbeträge!$D:$D,Einzelbeträge!$C:$C,'Ausgaben Vorlage'!$C59,Einzelbeträge!$E:$E,'Ausgaben Vorlage'!G$6)</f>
        <v>0</v>
      </c>
      <c r="H59" s="21">
        <f>SUMIFS(Einzelbeträge!$D:$D,Einzelbeträge!$C:$C,'Ausgaben Vorlage'!$C59,Einzelbeträge!$E:$E,'Ausgaben Vorlage'!H$6)</f>
        <v>0</v>
      </c>
      <c r="I59" s="21">
        <f>SUMIFS(Einzelbeträge!$D:$D,Einzelbeträge!$C:$C,'Ausgaben Vorlage'!$C59,Einzelbeträge!$E:$E,'Ausgaben Vorlage'!I$6)</f>
        <v>0</v>
      </c>
      <c r="J59" s="21">
        <f>SUMIFS(Einzelbeträge!$D:$D,Einzelbeträge!$C:$C,'Ausgaben Vorlage'!$C59,Einzelbeträge!$E:$E,'Ausgaben Vorlage'!J$6)</f>
        <v>0</v>
      </c>
      <c r="K59" s="21">
        <f>SUMIFS(Einzelbeträge!$D:$D,Einzelbeträge!$C:$C,'Ausgaben Vorlage'!$C59,Einzelbeträge!$E:$E,'Ausgaben Vorlage'!K$6)</f>
        <v>0</v>
      </c>
      <c r="L59" s="21">
        <f>SUMIFS(Einzelbeträge!$D:$D,Einzelbeträge!$C:$C,'Ausgaben Vorlage'!$C59,Einzelbeträge!$E:$E,'Ausgaben Vorlage'!L$6)</f>
        <v>0</v>
      </c>
      <c r="M59" s="21">
        <f>SUMIFS(Einzelbeträge!$D:$D,Einzelbeträge!$C:$C,'Ausgaben Vorlage'!$C59,Einzelbeträge!$E:$E,'Ausgaben Vorlage'!M$6)</f>
        <v>0</v>
      </c>
      <c r="N59" s="35">
        <f>SUMIFS(Einzelbeträge!$D:$D,Einzelbeträge!$C:$C,'Ausgaben Vorlage'!$C59,Einzelbeträge!$E:$E,'Ausgaben Vorlage'!N$6)</f>
        <v>0</v>
      </c>
      <c r="O59" s="6"/>
      <c r="Q59" s="8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10"/>
    </row>
    <row r="60" spans="2:30" x14ac:dyDescent="0.35">
      <c r="B60" s="5"/>
      <c r="C60" s="40">
        <f t="shared" si="15"/>
        <v>45708</v>
      </c>
      <c r="D60" s="44">
        <f>SUMIFS(Einzelbeträge!$D:$D,Einzelbeträge!$C:$C,'Ausgaben Vorlage'!$C60)</f>
        <v>0</v>
      </c>
      <c r="E60" s="34">
        <f>SUMIFS(Einzelbeträge!$D:$D,Einzelbeträge!$C:$C,'Ausgaben Vorlage'!$C60,Einzelbeträge!$E:$E,'Ausgaben Vorlage'!E$6)</f>
        <v>0</v>
      </c>
      <c r="F60" s="21">
        <f>SUMIFS(Einzelbeträge!$D:$D,Einzelbeträge!$C:$C,'Ausgaben Vorlage'!$C60,Einzelbeträge!$E:$E,'Ausgaben Vorlage'!F$6)</f>
        <v>0</v>
      </c>
      <c r="G60" s="21">
        <f>SUMIFS(Einzelbeträge!$D:$D,Einzelbeträge!$C:$C,'Ausgaben Vorlage'!$C60,Einzelbeträge!$E:$E,'Ausgaben Vorlage'!G$6)</f>
        <v>0</v>
      </c>
      <c r="H60" s="21">
        <f>SUMIFS(Einzelbeträge!$D:$D,Einzelbeträge!$C:$C,'Ausgaben Vorlage'!$C60,Einzelbeträge!$E:$E,'Ausgaben Vorlage'!H$6)</f>
        <v>0</v>
      </c>
      <c r="I60" s="21">
        <f>SUMIFS(Einzelbeträge!$D:$D,Einzelbeträge!$C:$C,'Ausgaben Vorlage'!$C60,Einzelbeträge!$E:$E,'Ausgaben Vorlage'!I$6)</f>
        <v>0</v>
      </c>
      <c r="J60" s="21">
        <f>SUMIFS(Einzelbeträge!$D:$D,Einzelbeträge!$C:$C,'Ausgaben Vorlage'!$C60,Einzelbeträge!$E:$E,'Ausgaben Vorlage'!J$6)</f>
        <v>0</v>
      </c>
      <c r="K60" s="21">
        <f>SUMIFS(Einzelbeträge!$D:$D,Einzelbeträge!$C:$C,'Ausgaben Vorlage'!$C60,Einzelbeträge!$E:$E,'Ausgaben Vorlage'!K$6)</f>
        <v>0</v>
      </c>
      <c r="L60" s="21">
        <f>SUMIFS(Einzelbeträge!$D:$D,Einzelbeträge!$C:$C,'Ausgaben Vorlage'!$C60,Einzelbeträge!$E:$E,'Ausgaben Vorlage'!L$6)</f>
        <v>0</v>
      </c>
      <c r="M60" s="21">
        <f>SUMIFS(Einzelbeträge!$D:$D,Einzelbeträge!$C:$C,'Ausgaben Vorlage'!$C60,Einzelbeträge!$E:$E,'Ausgaben Vorlage'!M$6)</f>
        <v>0</v>
      </c>
      <c r="N60" s="35">
        <f>SUMIFS(Einzelbeträge!$D:$D,Einzelbeträge!$C:$C,'Ausgaben Vorlage'!$C60,Einzelbeträge!$E:$E,'Ausgaben Vorlage'!N$6)</f>
        <v>0</v>
      </c>
      <c r="O60" s="6"/>
    </row>
    <row r="61" spans="2:30" x14ac:dyDescent="0.35">
      <c r="B61" s="5"/>
      <c r="C61" s="40">
        <f t="shared" si="15"/>
        <v>45709</v>
      </c>
      <c r="D61" s="44">
        <f>SUMIFS(Einzelbeträge!$D:$D,Einzelbeträge!$C:$C,'Ausgaben Vorlage'!$C61)</f>
        <v>0</v>
      </c>
      <c r="E61" s="34">
        <f>SUMIFS(Einzelbeträge!$D:$D,Einzelbeträge!$C:$C,'Ausgaben Vorlage'!$C61,Einzelbeträge!$E:$E,'Ausgaben Vorlage'!E$6)</f>
        <v>0</v>
      </c>
      <c r="F61" s="21">
        <f>SUMIFS(Einzelbeträge!$D:$D,Einzelbeträge!$C:$C,'Ausgaben Vorlage'!$C61,Einzelbeträge!$E:$E,'Ausgaben Vorlage'!F$6)</f>
        <v>0</v>
      </c>
      <c r="G61" s="21">
        <f>SUMIFS(Einzelbeträge!$D:$D,Einzelbeträge!$C:$C,'Ausgaben Vorlage'!$C61,Einzelbeträge!$E:$E,'Ausgaben Vorlage'!G$6)</f>
        <v>0</v>
      </c>
      <c r="H61" s="21">
        <f>SUMIFS(Einzelbeträge!$D:$D,Einzelbeträge!$C:$C,'Ausgaben Vorlage'!$C61,Einzelbeträge!$E:$E,'Ausgaben Vorlage'!H$6)</f>
        <v>0</v>
      </c>
      <c r="I61" s="21">
        <f>SUMIFS(Einzelbeträge!$D:$D,Einzelbeträge!$C:$C,'Ausgaben Vorlage'!$C61,Einzelbeträge!$E:$E,'Ausgaben Vorlage'!I$6)</f>
        <v>0</v>
      </c>
      <c r="J61" s="21">
        <f>SUMIFS(Einzelbeträge!$D:$D,Einzelbeträge!$C:$C,'Ausgaben Vorlage'!$C61,Einzelbeträge!$E:$E,'Ausgaben Vorlage'!J$6)</f>
        <v>0</v>
      </c>
      <c r="K61" s="21">
        <f>SUMIFS(Einzelbeträge!$D:$D,Einzelbeträge!$C:$C,'Ausgaben Vorlage'!$C61,Einzelbeträge!$E:$E,'Ausgaben Vorlage'!K$6)</f>
        <v>0</v>
      </c>
      <c r="L61" s="21">
        <f>SUMIFS(Einzelbeträge!$D:$D,Einzelbeträge!$C:$C,'Ausgaben Vorlage'!$C61,Einzelbeträge!$E:$E,'Ausgaben Vorlage'!L$6)</f>
        <v>0</v>
      </c>
      <c r="M61" s="21">
        <f>SUMIFS(Einzelbeträge!$D:$D,Einzelbeträge!$C:$C,'Ausgaben Vorlage'!$C61,Einzelbeträge!$E:$E,'Ausgaben Vorlage'!M$6)</f>
        <v>0</v>
      </c>
      <c r="N61" s="35">
        <f>SUMIFS(Einzelbeträge!$D:$D,Einzelbeträge!$C:$C,'Ausgaben Vorlage'!$C61,Einzelbeträge!$E:$E,'Ausgaben Vorlage'!N$6)</f>
        <v>0</v>
      </c>
      <c r="O61" s="6"/>
    </row>
    <row r="62" spans="2:30" x14ac:dyDescent="0.35">
      <c r="B62" s="5"/>
      <c r="C62" s="40">
        <f t="shared" si="15"/>
        <v>45710</v>
      </c>
      <c r="D62" s="44">
        <f>SUMIFS(Einzelbeträge!$D:$D,Einzelbeträge!$C:$C,'Ausgaben Vorlage'!$C62)</f>
        <v>0</v>
      </c>
      <c r="E62" s="34">
        <f>SUMIFS(Einzelbeträge!$D:$D,Einzelbeträge!$C:$C,'Ausgaben Vorlage'!$C62,Einzelbeträge!$E:$E,'Ausgaben Vorlage'!E$6)</f>
        <v>0</v>
      </c>
      <c r="F62" s="21">
        <f>SUMIFS(Einzelbeträge!$D:$D,Einzelbeträge!$C:$C,'Ausgaben Vorlage'!$C62,Einzelbeträge!$E:$E,'Ausgaben Vorlage'!F$6)</f>
        <v>0</v>
      </c>
      <c r="G62" s="21">
        <f>SUMIFS(Einzelbeträge!$D:$D,Einzelbeträge!$C:$C,'Ausgaben Vorlage'!$C62,Einzelbeträge!$E:$E,'Ausgaben Vorlage'!G$6)</f>
        <v>0</v>
      </c>
      <c r="H62" s="21">
        <f>SUMIFS(Einzelbeträge!$D:$D,Einzelbeträge!$C:$C,'Ausgaben Vorlage'!$C62,Einzelbeträge!$E:$E,'Ausgaben Vorlage'!H$6)</f>
        <v>0</v>
      </c>
      <c r="I62" s="21">
        <f>SUMIFS(Einzelbeträge!$D:$D,Einzelbeträge!$C:$C,'Ausgaben Vorlage'!$C62,Einzelbeträge!$E:$E,'Ausgaben Vorlage'!I$6)</f>
        <v>0</v>
      </c>
      <c r="J62" s="21">
        <f>SUMIFS(Einzelbeträge!$D:$D,Einzelbeträge!$C:$C,'Ausgaben Vorlage'!$C62,Einzelbeträge!$E:$E,'Ausgaben Vorlage'!J$6)</f>
        <v>0</v>
      </c>
      <c r="K62" s="21">
        <f>SUMIFS(Einzelbeträge!$D:$D,Einzelbeträge!$C:$C,'Ausgaben Vorlage'!$C62,Einzelbeträge!$E:$E,'Ausgaben Vorlage'!K$6)</f>
        <v>0</v>
      </c>
      <c r="L62" s="21">
        <f>SUMIFS(Einzelbeträge!$D:$D,Einzelbeträge!$C:$C,'Ausgaben Vorlage'!$C62,Einzelbeträge!$E:$E,'Ausgaben Vorlage'!L$6)</f>
        <v>0</v>
      </c>
      <c r="M62" s="21">
        <f>SUMIFS(Einzelbeträge!$D:$D,Einzelbeträge!$C:$C,'Ausgaben Vorlage'!$C62,Einzelbeträge!$E:$E,'Ausgaben Vorlage'!M$6)</f>
        <v>0</v>
      </c>
      <c r="N62" s="35">
        <f>SUMIFS(Einzelbeträge!$D:$D,Einzelbeträge!$C:$C,'Ausgaben Vorlage'!$C62,Einzelbeträge!$E:$E,'Ausgaben Vorlage'!N$6)</f>
        <v>0</v>
      </c>
      <c r="O62" s="6"/>
    </row>
    <row r="63" spans="2:30" x14ac:dyDescent="0.35">
      <c r="B63" s="5"/>
      <c r="C63" s="40">
        <f t="shared" si="15"/>
        <v>45711</v>
      </c>
      <c r="D63" s="44">
        <f>SUMIFS(Einzelbeträge!$D:$D,Einzelbeträge!$C:$C,'Ausgaben Vorlage'!$C63)</f>
        <v>0</v>
      </c>
      <c r="E63" s="34">
        <f>SUMIFS(Einzelbeträge!$D:$D,Einzelbeträge!$C:$C,'Ausgaben Vorlage'!$C63,Einzelbeträge!$E:$E,'Ausgaben Vorlage'!E$6)</f>
        <v>0</v>
      </c>
      <c r="F63" s="21">
        <f>SUMIFS(Einzelbeträge!$D:$D,Einzelbeträge!$C:$C,'Ausgaben Vorlage'!$C63,Einzelbeträge!$E:$E,'Ausgaben Vorlage'!F$6)</f>
        <v>0</v>
      </c>
      <c r="G63" s="21">
        <f>SUMIFS(Einzelbeträge!$D:$D,Einzelbeträge!$C:$C,'Ausgaben Vorlage'!$C63,Einzelbeträge!$E:$E,'Ausgaben Vorlage'!G$6)</f>
        <v>0</v>
      </c>
      <c r="H63" s="21">
        <f>SUMIFS(Einzelbeträge!$D:$D,Einzelbeträge!$C:$C,'Ausgaben Vorlage'!$C63,Einzelbeträge!$E:$E,'Ausgaben Vorlage'!H$6)</f>
        <v>0</v>
      </c>
      <c r="I63" s="21">
        <f>SUMIFS(Einzelbeträge!$D:$D,Einzelbeträge!$C:$C,'Ausgaben Vorlage'!$C63,Einzelbeträge!$E:$E,'Ausgaben Vorlage'!I$6)</f>
        <v>0</v>
      </c>
      <c r="J63" s="21">
        <f>SUMIFS(Einzelbeträge!$D:$D,Einzelbeträge!$C:$C,'Ausgaben Vorlage'!$C63,Einzelbeträge!$E:$E,'Ausgaben Vorlage'!J$6)</f>
        <v>0</v>
      </c>
      <c r="K63" s="21">
        <f>SUMIFS(Einzelbeträge!$D:$D,Einzelbeträge!$C:$C,'Ausgaben Vorlage'!$C63,Einzelbeträge!$E:$E,'Ausgaben Vorlage'!K$6)</f>
        <v>0</v>
      </c>
      <c r="L63" s="21">
        <f>SUMIFS(Einzelbeträge!$D:$D,Einzelbeträge!$C:$C,'Ausgaben Vorlage'!$C63,Einzelbeträge!$E:$E,'Ausgaben Vorlage'!L$6)</f>
        <v>0</v>
      </c>
      <c r="M63" s="21">
        <f>SUMIFS(Einzelbeträge!$D:$D,Einzelbeträge!$C:$C,'Ausgaben Vorlage'!$C63,Einzelbeträge!$E:$E,'Ausgaben Vorlage'!M$6)</f>
        <v>0</v>
      </c>
      <c r="N63" s="35">
        <f>SUMIFS(Einzelbeträge!$D:$D,Einzelbeträge!$C:$C,'Ausgaben Vorlage'!$C63,Einzelbeträge!$E:$E,'Ausgaben Vorlage'!N$6)</f>
        <v>0</v>
      </c>
      <c r="O63" s="6"/>
    </row>
    <row r="64" spans="2:30" x14ac:dyDescent="0.35">
      <c r="B64" s="5"/>
      <c r="C64" s="40">
        <f t="shared" si="15"/>
        <v>45712</v>
      </c>
      <c r="D64" s="44">
        <f>SUMIFS(Einzelbeträge!$D:$D,Einzelbeträge!$C:$C,'Ausgaben Vorlage'!$C64)</f>
        <v>0</v>
      </c>
      <c r="E64" s="34">
        <f>SUMIFS(Einzelbeträge!$D:$D,Einzelbeträge!$C:$C,'Ausgaben Vorlage'!$C64,Einzelbeträge!$E:$E,'Ausgaben Vorlage'!E$6)</f>
        <v>0</v>
      </c>
      <c r="F64" s="21">
        <f>SUMIFS(Einzelbeträge!$D:$D,Einzelbeträge!$C:$C,'Ausgaben Vorlage'!$C64,Einzelbeträge!$E:$E,'Ausgaben Vorlage'!F$6)</f>
        <v>0</v>
      </c>
      <c r="G64" s="21">
        <f>SUMIFS(Einzelbeträge!$D:$D,Einzelbeträge!$C:$C,'Ausgaben Vorlage'!$C64,Einzelbeträge!$E:$E,'Ausgaben Vorlage'!G$6)</f>
        <v>0</v>
      </c>
      <c r="H64" s="21">
        <f>SUMIFS(Einzelbeträge!$D:$D,Einzelbeträge!$C:$C,'Ausgaben Vorlage'!$C64,Einzelbeträge!$E:$E,'Ausgaben Vorlage'!H$6)</f>
        <v>0</v>
      </c>
      <c r="I64" s="21">
        <f>SUMIFS(Einzelbeträge!$D:$D,Einzelbeträge!$C:$C,'Ausgaben Vorlage'!$C64,Einzelbeträge!$E:$E,'Ausgaben Vorlage'!I$6)</f>
        <v>0</v>
      </c>
      <c r="J64" s="21">
        <f>SUMIFS(Einzelbeträge!$D:$D,Einzelbeträge!$C:$C,'Ausgaben Vorlage'!$C64,Einzelbeträge!$E:$E,'Ausgaben Vorlage'!J$6)</f>
        <v>0</v>
      </c>
      <c r="K64" s="21">
        <f>SUMIFS(Einzelbeträge!$D:$D,Einzelbeträge!$C:$C,'Ausgaben Vorlage'!$C64,Einzelbeträge!$E:$E,'Ausgaben Vorlage'!K$6)</f>
        <v>0</v>
      </c>
      <c r="L64" s="21">
        <f>SUMIFS(Einzelbeträge!$D:$D,Einzelbeträge!$C:$C,'Ausgaben Vorlage'!$C64,Einzelbeträge!$E:$E,'Ausgaben Vorlage'!L$6)</f>
        <v>0</v>
      </c>
      <c r="M64" s="21">
        <f>SUMIFS(Einzelbeträge!$D:$D,Einzelbeträge!$C:$C,'Ausgaben Vorlage'!$C64,Einzelbeträge!$E:$E,'Ausgaben Vorlage'!M$6)</f>
        <v>0</v>
      </c>
      <c r="N64" s="35">
        <f>SUMIFS(Einzelbeträge!$D:$D,Einzelbeträge!$C:$C,'Ausgaben Vorlage'!$C64,Einzelbeträge!$E:$E,'Ausgaben Vorlage'!N$6)</f>
        <v>0</v>
      </c>
      <c r="O64" s="6"/>
    </row>
    <row r="65" spans="2:15" x14ac:dyDescent="0.35">
      <c r="B65" s="5"/>
      <c r="C65" s="40">
        <f t="shared" si="15"/>
        <v>45713</v>
      </c>
      <c r="D65" s="44">
        <f>SUMIFS(Einzelbeträge!$D:$D,Einzelbeträge!$C:$C,'Ausgaben Vorlage'!$C65)</f>
        <v>0</v>
      </c>
      <c r="E65" s="34">
        <f>SUMIFS(Einzelbeträge!$D:$D,Einzelbeträge!$C:$C,'Ausgaben Vorlage'!$C65,Einzelbeträge!$E:$E,'Ausgaben Vorlage'!E$6)</f>
        <v>0</v>
      </c>
      <c r="F65" s="21">
        <f>SUMIFS(Einzelbeträge!$D:$D,Einzelbeträge!$C:$C,'Ausgaben Vorlage'!$C65,Einzelbeträge!$E:$E,'Ausgaben Vorlage'!F$6)</f>
        <v>0</v>
      </c>
      <c r="G65" s="21">
        <f>SUMIFS(Einzelbeträge!$D:$D,Einzelbeträge!$C:$C,'Ausgaben Vorlage'!$C65,Einzelbeträge!$E:$E,'Ausgaben Vorlage'!G$6)</f>
        <v>0</v>
      </c>
      <c r="H65" s="21">
        <f>SUMIFS(Einzelbeträge!$D:$D,Einzelbeträge!$C:$C,'Ausgaben Vorlage'!$C65,Einzelbeträge!$E:$E,'Ausgaben Vorlage'!H$6)</f>
        <v>0</v>
      </c>
      <c r="I65" s="21">
        <f>SUMIFS(Einzelbeträge!$D:$D,Einzelbeträge!$C:$C,'Ausgaben Vorlage'!$C65,Einzelbeträge!$E:$E,'Ausgaben Vorlage'!I$6)</f>
        <v>0</v>
      </c>
      <c r="J65" s="21">
        <f>SUMIFS(Einzelbeträge!$D:$D,Einzelbeträge!$C:$C,'Ausgaben Vorlage'!$C65,Einzelbeträge!$E:$E,'Ausgaben Vorlage'!J$6)</f>
        <v>0</v>
      </c>
      <c r="K65" s="21">
        <f>SUMIFS(Einzelbeträge!$D:$D,Einzelbeträge!$C:$C,'Ausgaben Vorlage'!$C65,Einzelbeträge!$E:$E,'Ausgaben Vorlage'!K$6)</f>
        <v>0</v>
      </c>
      <c r="L65" s="21">
        <f>SUMIFS(Einzelbeträge!$D:$D,Einzelbeträge!$C:$C,'Ausgaben Vorlage'!$C65,Einzelbeträge!$E:$E,'Ausgaben Vorlage'!L$6)</f>
        <v>0</v>
      </c>
      <c r="M65" s="21">
        <f>SUMIFS(Einzelbeträge!$D:$D,Einzelbeträge!$C:$C,'Ausgaben Vorlage'!$C65,Einzelbeträge!$E:$E,'Ausgaben Vorlage'!M$6)</f>
        <v>0</v>
      </c>
      <c r="N65" s="35">
        <f>SUMIFS(Einzelbeträge!$D:$D,Einzelbeträge!$C:$C,'Ausgaben Vorlage'!$C65,Einzelbeträge!$E:$E,'Ausgaben Vorlage'!N$6)</f>
        <v>0</v>
      </c>
      <c r="O65" s="6"/>
    </row>
    <row r="66" spans="2:15" x14ac:dyDescent="0.35">
      <c r="B66" s="5"/>
      <c r="C66" s="40">
        <f t="shared" si="15"/>
        <v>45714</v>
      </c>
      <c r="D66" s="44">
        <f>SUMIFS(Einzelbeträge!$D:$D,Einzelbeträge!$C:$C,'Ausgaben Vorlage'!$C66)</f>
        <v>0</v>
      </c>
      <c r="E66" s="34">
        <f>SUMIFS(Einzelbeträge!$D:$D,Einzelbeträge!$C:$C,'Ausgaben Vorlage'!$C66,Einzelbeträge!$E:$E,'Ausgaben Vorlage'!E$6)</f>
        <v>0</v>
      </c>
      <c r="F66" s="21">
        <f>SUMIFS(Einzelbeträge!$D:$D,Einzelbeträge!$C:$C,'Ausgaben Vorlage'!$C66,Einzelbeträge!$E:$E,'Ausgaben Vorlage'!F$6)</f>
        <v>0</v>
      </c>
      <c r="G66" s="21">
        <f>SUMIFS(Einzelbeträge!$D:$D,Einzelbeträge!$C:$C,'Ausgaben Vorlage'!$C66,Einzelbeträge!$E:$E,'Ausgaben Vorlage'!G$6)</f>
        <v>0</v>
      </c>
      <c r="H66" s="21">
        <f>SUMIFS(Einzelbeträge!$D:$D,Einzelbeträge!$C:$C,'Ausgaben Vorlage'!$C66,Einzelbeträge!$E:$E,'Ausgaben Vorlage'!H$6)</f>
        <v>0</v>
      </c>
      <c r="I66" s="21">
        <f>SUMIFS(Einzelbeträge!$D:$D,Einzelbeträge!$C:$C,'Ausgaben Vorlage'!$C66,Einzelbeträge!$E:$E,'Ausgaben Vorlage'!I$6)</f>
        <v>0</v>
      </c>
      <c r="J66" s="21">
        <f>SUMIFS(Einzelbeträge!$D:$D,Einzelbeträge!$C:$C,'Ausgaben Vorlage'!$C66,Einzelbeträge!$E:$E,'Ausgaben Vorlage'!J$6)</f>
        <v>0</v>
      </c>
      <c r="K66" s="21">
        <f>SUMIFS(Einzelbeträge!$D:$D,Einzelbeträge!$C:$C,'Ausgaben Vorlage'!$C66,Einzelbeträge!$E:$E,'Ausgaben Vorlage'!K$6)</f>
        <v>0</v>
      </c>
      <c r="L66" s="21">
        <f>SUMIFS(Einzelbeträge!$D:$D,Einzelbeträge!$C:$C,'Ausgaben Vorlage'!$C66,Einzelbeträge!$E:$E,'Ausgaben Vorlage'!L$6)</f>
        <v>0</v>
      </c>
      <c r="M66" s="21">
        <f>SUMIFS(Einzelbeträge!$D:$D,Einzelbeträge!$C:$C,'Ausgaben Vorlage'!$C66,Einzelbeträge!$E:$E,'Ausgaben Vorlage'!M$6)</f>
        <v>0</v>
      </c>
      <c r="N66" s="35">
        <f>SUMIFS(Einzelbeträge!$D:$D,Einzelbeträge!$C:$C,'Ausgaben Vorlage'!$C66,Einzelbeträge!$E:$E,'Ausgaben Vorlage'!N$6)</f>
        <v>0</v>
      </c>
      <c r="O66" s="6"/>
    </row>
    <row r="67" spans="2:15" x14ac:dyDescent="0.35">
      <c r="B67" s="5"/>
      <c r="C67" s="40">
        <f t="shared" si="15"/>
        <v>45715</v>
      </c>
      <c r="D67" s="44">
        <f>SUMIFS(Einzelbeträge!$D:$D,Einzelbeträge!$C:$C,'Ausgaben Vorlage'!$C67)</f>
        <v>0</v>
      </c>
      <c r="E67" s="34">
        <f>SUMIFS(Einzelbeträge!$D:$D,Einzelbeträge!$C:$C,'Ausgaben Vorlage'!$C67,Einzelbeträge!$E:$E,'Ausgaben Vorlage'!E$6)</f>
        <v>0</v>
      </c>
      <c r="F67" s="21">
        <f>SUMIFS(Einzelbeträge!$D:$D,Einzelbeträge!$C:$C,'Ausgaben Vorlage'!$C67,Einzelbeträge!$E:$E,'Ausgaben Vorlage'!F$6)</f>
        <v>0</v>
      </c>
      <c r="G67" s="21">
        <f>SUMIFS(Einzelbeträge!$D:$D,Einzelbeträge!$C:$C,'Ausgaben Vorlage'!$C67,Einzelbeträge!$E:$E,'Ausgaben Vorlage'!G$6)</f>
        <v>0</v>
      </c>
      <c r="H67" s="21">
        <f>SUMIFS(Einzelbeträge!$D:$D,Einzelbeträge!$C:$C,'Ausgaben Vorlage'!$C67,Einzelbeträge!$E:$E,'Ausgaben Vorlage'!H$6)</f>
        <v>0</v>
      </c>
      <c r="I67" s="21">
        <f>SUMIFS(Einzelbeträge!$D:$D,Einzelbeträge!$C:$C,'Ausgaben Vorlage'!$C67,Einzelbeträge!$E:$E,'Ausgaben Vorlage'!I$6)</f>
        <v>0</v>
      </c>
      <c r="J67" s="21">
        <f>SUMIFS(Einzelbeträge!$D:$D,Einzelbeträge!$C:$C,'Ausgaben Vorlage'!$C67,Einzelbeträge!$E:$E,'Ausgaben Vorlage'!J$6)</f>
        <v>0</v>
      </c>
      <c r="K67" s="21">
        <f>SUMIFS(Einzelbeträge!$D:$D,Einzelbeträge!$C:$C,'Ausgaben Vorlage'!$C67,Einzelbeträge!$E:$E,'Ausgaben Vorlage'!K$6)</f>
        <v>0</v>
      </c>
      <c r="L67" s="21">
        <f>SUMIFS(Einzelbeträge!$D:$D,Einzelbeträge!$C:$C,'Ausgaben Vorlage'!$C67,Einzelbeträge!$E:$E,'Ausgaben Vorlage'!L$6)</f>
        <v>0</v>
      </c>
      <c r="M67" s="21">
        <f>SUMIFS(Einzelbeträge!$D:$D,Einzelbeträge!$C:$C,'Ausgaben Vorlage'!$C67,Einzelbeträge!$E:$E,'Ausgaben Vorlage'!M$6)</f>
        <v>0</v>
      </c>
      <c r="N67" s="35">
        <f>SUMIFS(Einzelbeträge!$D:$D,Einzelbeträge!$C:$C,'Ausgaben Vorlage'!$C67,Einzelbeträge!$E:$E,'Ausgaben Vorlage'!N$6)</f>
        <v>0</v>
      </c>
      <c r="O67" s="6"/>
    </row>
    <row r="68" spans="2:15" x14ac:dyDescent="0.35">
      <c r="B68" s="5"/>
      <c r="C68" s="40">
        <f t="shared" si="15"/>
        <v>45716</v>
      </c>
      <c r="D68" s="44">
        <f>SUMIFS(Einzelbeträge!$D:$D,Einzelbeträge!$C:$C,'Ausgaben Vorlage'!$C68)</f>
        <v>0</v>
      </c>
      <c r="E68" s="34">
        <f>SUMIFS(Einzelbeträge!$D:$D,Einzelbeträge!$C:$C,'Ausgaben Vorlage'!$C68,Einzelbeträge!$E:$E,'Ausgaben Vorlage'!E$6)</f>
        <v>0</v>
      </c>
      <c r="F68" s="21">
        <f>SUMIFS(Einzelbeträge!$D:$D,Einzelbeträge!$C:$C,'Ausgaben Vorlage'!$C68,Einzelbeträge!$E:$E,'Ausgaben Vorlage'!F$6)</f>
        <v>0</v>
      </c>
      <c r="G68" s="21">
        <f>SUMIFS(Einzelbeträge!$D:$D,Einzelbeträge!$C:$C,'Ausgaben Vorlage'!$C68,Einzelbeträge!$E:$E,'Ausgaben Vorlage'!G$6)</f>
        <v>0</v>
      </c>
      <c r="H68" s="21">
        <f>SUMIFS(Einzelbeträge!$D:$D,Einzelbeträge!$C:$C,'Ausgaben Vorlage'!$C68,Einzelbeträge!$E:$E,'Ausgaben Vorlage'!H$6)</f>
        <v>0</v>
      </c>
      <c r="I68" s="21">
        <f>SUMIFS(Einzelbeträge!$D:$D,Einzelbeträge!$C:$C,'Ausgaben Vorlage'!$C68,Einzelbeträge!$E:$E,'Ausgaben Vorlage'!I$6)</f>
        <v>0</v>
      </c>
      <c r="J68" s="21">
        <f>SUMIFS(Einzelbeträge!$D:$D,Einzelbeträge!$C:$C,'Ausgaben Vorlage'!$C68,Einzelbeträge!$E:$E,'Ausgaben Vorlage'!J$6)</f>
        <v>0</v>
      </c>
      <c r="K68" s="21">
        <f>SUMIFS(Einzelbeträge!$D:$D,Einzelbeträge!$C:$C,'Ausgaben Vorlage'!$C68,Einzelbeträge!$E:$E,'Ausgaben Vorlage'!K$6)</f>
        <v>0</v>
      </c>
      <c r="L68" s="21">
        <f>SUMIFS(Einzelbeträge!$D:$D,Einzelbeträge!$C:$C,'Ausgaben Vorlage'!$C68,Einzelbeträge!$E:$E,'Ausgaben Vorlage'!L$6)</f>
        <v>0</v>
      </c>
      <c r="M68" s="21">
        <f>SUMIFS(Einzelbeträge!$D:$D,Einzelbeträge!$C:$C,'Ausgaben Vorlage'!$C68,Einzelbeträge!$E:$E,'Ausgaben Vorlage'!M$6)</f>
        <v>0</v>
      </c>
      <c r="N68" s="35">
        <f>SUMIFS(Einzelbeträge!$D:$D,Einzelbeträge!$C:$C,'Ausgaben Vorlage'!$C68,Einzelbeträge!$E:$E,'Ausgaben Vorlage'!N$6)</f>
        <v>0</v>
      </c>
      <c r="O68" s="6"/>
    </row>
    <row r="69" spans="2:15" x14ac:dyDescent="0.35">
      <c r="B69" s="5"/>
      <c r="C69" s="31" t="str">
        <f>IF(MONTH(C68+1)=3, " ", C68+1)</f>
        <v xml:space="preserve"> </v>
      </c>
      <c r="D69" s="73">
        <f>SUMIFS(Einzelbeträge!$D:$D,Einzelbeträge!$C:$C,'Ausgaben Vorlage'!$C69)</f>
        <v>0</v>
      </c>
      <c r="E69" s="36">
        <f>SUMIFS(Einzelbeträge!$D:$D,Einzelbeträge!$C:$C,'Ausgaben Vorlage'!$C69,Einzelbeträge!$E:$E,'Ausgaben Vorlage'!E$6)</f>
        <v>0</v>
      </c>
      <c r="F69" s="37">
        <f>SUMIFS(Einzelbeträge!$D:$D,Einzelbeträge!$C:$C,'Ausgaben Vorlage'!$C69,Einzelbeträge!$E:$E,'Ausgaben Vorlage'!F$6)</f>
        <v>0</v>
      </c>
      <c r="G69" s="37">
        <f>SUMIFS(Einzelbeträge!$D:$D,Einzelbeträge!$C:$C,'Ausgaben Vorlage'!$C69,Einzelbeträge!$E:$E,'Ausgaben Vorlage'!G$6)</f>
        <v>0</v>
      </c>
      <c r="H69" s="37">
        <f>SUMIFS(Einzelbeträge!$D:$D,Einzelbeträge!$C:$C,'Ausgaben Vorlage'!$C69,Einzelbeträge!$E:$E,'Ausgaben Vorlage'!H$6)</f>
        <v>0</v>
      </c>
      <c r="I69" s="37">
        <f>SUMIFS(Einzelbeträge!$D:$D,Einzelbeträge!$C:$C,'Ausgaben Vorlage'!$C69,Einzelbeträge!$E:$E,'Ausgaben Vorlage'!I$6)</f>
        <v>0</v>
      </c>
      <c r="J69" s="37">
        <f>SUMIFS(Einzelbeträge!$D:$D,Einzelbeträge!$C:$C,'Ausgaben Vorlage'!$C69,Einzelbeträge!$E:$E,'Ausgaben Vorlage'!J$6)</f>
        <v>0</v>
      </c>
      <c r="K69" s="37">
        <f>SUMIFS(Einzelbeträge!$D:$D,Einzelbeträge!$C:$C,'Ausgaben Vorlage'!$C69,Einzelbeträge!$E:$E,'Ausgaben Vorlage'!K$6)</f>
        <v>0</v>
      </c>
      <c r="L69" s="37">
        <f>SUMIFS(Einzelbeträge!$D:$D,Einzelbeträge!$C:$C,'Ausgaben Vorlage'!$C69,Einzelbeträge!$E:$E,'Ausgaben Vorlage'!L$6)</f>
        <v>0</v>
      </c>
      <c r="M69" s="37">
        <f>SUMIFS(Einzelbeträge!$D:$D,Einzelbeträge!$C:$C,'Ausgaben Vorlage'!$C69,Einzelbeträge!$E:$E,'Ausgaben Vorlage'!M$6)</f>
        <v>0</v>
      </c>
      <c r="N69" s="38">
        <f>SUMIFS(Einzelbeträge!$D:$D,Einzelbeträge!$C:$C,'Ausgaben Vorlage'!$C69,Einzelbeträge!$E:$E,'Ausgaben Vorlage'!N$6)</f>
        <v>0</v>
      </c>
      <c r="O69" s="6"/>
    </row>
    <row r="70" spans="2:15" x14ac:dyDescent="0.35">
      <c r="B70" s="5"/>
      <c r="C70" s="22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6"/>
    </row>
    <row r="71" spans="2:15" x14ac:dyDescent="0.35">
      <c r="B71" s="5"/>
      <c r="C71" s="16" t="s">
        <v>19</v>
      </c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6"/>
    </row>
    <row r="72" spans="2:15" x14ac:dyDescent="0.35">
      <c r="B72" s="5"/>
      <c r="C72" s="1" t="s">
        <v>7</v>
      </c>
      <c r="D72" s="16" t="s">
        <v>6</v>
      </c>
      <c r="E72" s="42" t="s">
        <v>0</v>
      </c>
      <c r="F72" s="42" t="s">
        <v>1</v>
      </c>
      <c r="G72" s="42" t="s">
        <v>3</v>
      </c>
      <c r="H72" s="42" t="s">
        <v>2</v>
      </c>
      <c r="I72" s="42" t="s">
        <v>42</v>
      </c>
      <c r="J72" s="42" t="s">
        <v>65</v>
      </c>
      <c r="K72" s="42" t="s">
        <v>64</v>
      </c>
      <c r="L72" s="42" t="s">
        <v>63</v>
      </c>
      <c r="M72" s="42" t="s">
        <v>62</v>
      </c>
      <c r="N72" s="43" t="s">
        <v>61</v>
      </c>
      <c r="O72" s="6"/>
    </row>
    <row r="73" spans="2:15" x14ac:dyDescent="0.35">
      <c r="B73" s="5"/>
      <c r="C73" s="40">
        <f>IF(MONTH(C68+1)=3, C68+1, C68+2)</f>
        <v>45717</v>
      </c>
      <c r="D73" s="39">
        <f>SUMIFS(Einzelbeträge!$D:$D,Einzelbeträge!$C:$C,'Ausgaben Vorlage'!$C73)</f>
        <v>0</v>
      </c>
      <c r="E73" s="88">
        <f>SUMIFS(Einzelbeträge!$D:$D,Einzelbeträge!$C:$C,'Ausgaben Vorlage'!$C73,Einzelbeträge!$E:$E,'Ausgaben Vorlage'!E$6)</f>
        <v>0</v>
      </c>
      <c r="F73" s="32">
        <f>SUMIFS(Einzelbeträge!$D:$D,Einzelbeträge!$C:$C,'Ausgaben Vorlage'!$C73,Einzelbeträge!$E:$E,'Ausgaben Vorlage'!F$6)</f>
        <v>0</v>
      </c>
      <c r="G73" s="32">
        <f>SUMIFS(Einzelbeträge!$D:$D,Einzelbeträge!$C:$C,'Ausgaben Vorlage'!$C73,Einzelbeträge!$E:$E,'Ausgaben Vorlage'!G$6)</f>
        <v>0</v>
      </c>
      <c r="H73" s="32">
        <f>SUMIFS(Einzelbeträge!$D:$D,Einzelbeträge!$C:$C,'Ausgaben Vorlage'!$C73,Einzelbeträge!$E:$E,'Ausgaben Vorlage'!H$6)</f>
        <v>0</v>
      </c>
      <c r="I73" s="32">
        <f>SUMIFS(Einzelbeträge!$D:$D,Einzelbeträge!$C:$C,'Ausgaben Vorlage'!$C73,Einzelbeträge!$E:$E,'Ausgaben Vorlage'!I$6)</f>
        <v>0</v>
      </c>
      <c r="J73" s="32">
        <f>SUMIFS(Einzelbeträge!$D:$D,Einzelbeträge!$C:$C,'Ausgaben Vorlage'!$C73,Einzelbeträge!$E:$E,'Ausgaben Vorlage'!J$6)</f>
        <v>0</v>
      </c>
      <c r="K73" s="32">
        <f>SUMIFS(Einzelbeträge!$D:$D,Einzelbeträge!$C:$C,'Ausgaben Vorlage'!$C73,Einzelbeträge!$E:$E,'Ausgaben Vorlage'!K$6)</f>
        <v>0</v>
      </c>
      <c r="L73" s="32">
        <f>SUMIFS(Einzelbeträge!$D:$D,Einzelbeträge!$C:$C,'Ausgaben Vorlage'!$C73,Einzelbeträge!$E:$E,'Ausgaben Vorlage'!L$6)</f>
        <v>0</v>
      </c>
      <c r="M73" s="32">
        <f>SUMIFS(Einzelbeträge!$D:$D,Einzelbeträge!$C:$C,'Ausgaben Vorlage'!$C73,Einzelbeträge!$E:$E,'Ausgaben Vorlage'!M$6)</f>
        <v>0</v>
      </c>
      <c r="N73" s="33">
        <f>SUMIFS(Einzelbeträge!$D:$D,Einzelbeträge!$C:$C,'Ausgaben Vorlage'!$C73,Einzelbeträge!$E:$E,'Ausgaben Vorlage'!N$6)</f>
        <v>0</v>
      </c>
      <c r="O73" s="6"/>
    </row>
    <row r="74" spans="2:15" x14ac:dyDescent="0.35">
      <c r="B74" s="5"/>
      <c r="C74" s="40">
        <f>C73+1</f>
        <v>45718</v>
      </c>
      <c r="D74" s="44">
        <f>SUMIFS(Einzelbeträge!$D:$D,Einzelbeträge!$C:$C,'Ausgaben Vorlage'!$C74)</f>
        <v>0</v>
      </c>
      <c r="E74" s="34">
        <f>SUMIFS(Einzelbeträge!$D:$D,Einzelbeträge!$C:$C,'Ausgaben Vorlage'!$C74,Einzelbeträge!$E:$E,'Ausgaben Vorlage'!E$6)</f>
        <v>0</v>
      </c>
      <c r="F74" s="21">
        <f>SUMIFS(Einzelbeträge!$D:$D,Einzelbeträge!$C:$C,'Ausgaben Vorlage'!$C74,Einzelbeträge!$E:$E,'Ausgaben Vorlage'!F$6)</f>
        <v>0</v>
      </c>
      <c r="G74" s="21">
        <f>SUMIFS(Einzelbeträge!$D:$D,Einzelbeträge!$C:$C,'Ausgaben Vorlage'!$C74,Einzelbeträge!$E:$E,'Ausgaben Vorlage'!G$6)</f>
        <v>0</v>
      </c>
      <c r="H74" s="21">
        <f>SUMIFS(Einzelbeträge!$D:$D,Einzelbeträge!$C:$C,'Ausgaben Vorlage'!$C74,Einzelbeträge!$E:$E,'Ausgaben Vorlage'!H$6)</f>
        <v>0</v>
      </c>
      <c r="I74" s="21">
        <f>SUMIFS(Einzelbeträge!$D:$D,Einzelbeträge!$C:$C,'Ausgaben Vorlage'!$C74,Einzelbeträge!$E:$E,'Ausgaben Vorlage'!I$6)</f>
        <v>0</v>
      </c>
      <c r="J74" s="21">
        <f>SUMIFS(Einzelbeträge!$D:$D,Einzelbeträge!$C:$C,'Ausgaben Vorlage'!$C74,Einzelbeträge!$E:$E,'Ausgaben Vorlage'!J$6)</f>
        <v>0</v>
      </c>
      <c r="K74" s="21">
        <f>SUMIFS(Einzelbeträge!$D:$D,Einzelbeträge!$C:$C,'Ausgaben Vorlage'!$C74,Einzelbeträge!$E:$E,'Ausgaben Vorlage'!K$6)</f>
        <v>0</v>
      </c>
      <c r="L74" s="21">
        <f>SUMIFS(Einzelbeträge!$D:$D,Einzelbeträge!$C:$C,'Ausgaben Vorlage'!$C74,Einzelbeträge!$E:$E,'Ausgaben Vorlage'!L$6)</f>
        <v>0</v>
      </c>
      <c r="M74" s="21">
        <f>SUMIFS(Einzelbeträge!$D:$D,Einzelbeträge!$C:$C,'Ausgaben Vorlage'!$C74,Einzelbeträge!$E:$E,'Ausgaben Vorlage'!M$6)</f>
        <v>0</v>
      </c>
      <c r="N74" s="35">
        <f>SUMIFS(Einzelbeträge!$D:$D,Einzelbeträge!$C:$C,'Ausgaben Vorlage'!$C74,Einzelbeträge!$E:$E,'Ausgaben Vorlage'!N$6)</f>
        <v>0</v>
      </c>
      <c r="O74" s="6"/>
    </row>
    <row r="75" spans="2:15" x14ac:dyDescent="0.35">
      <c r="B75" s="5"/>
      <c r="C75" s="40">
        <f t="shared" ref="C75:C103" si="18">C74+1</f>
        <v>45719</v>
      </c>
      <c r="D75" s="44">
        <f>SUMIFS(Einzelbeträge!$D:$D,Einzelbeträge!$C:$C,'Ausgaben Vorlage'!$C75)</f>
        <v>0</v>
      </c>
      <c r="E75" s="34">
        <f>SUMIFS(Einzelbeträge!$D:$D,Einzelbeträge!$C:$C,'Ausgaben Vorlage'!$C75,Einzelbeträge!$E:$E,'Ausgaben Vorlage'!E$6)</f>
        <v>0</v>
      </c>
      <c r="F75" s="21">
        <f>SUMIFS(Einzelbeträge!$D:$D,Einzelbeträge!$C:$C,'Ausgaben Vorlage'!$C75,Einzelbeträge!$E:$E,'Ausgaben Vorlage'!F$6)</f>
        <v>0</v>
      </c>
      <c r="G75" s="21">
        <f>SUMIFS(Einzelbeträge!$D:$D,Einzelbeträge!$C:$C,'Ausgaben Vorlage'!$C75,Einzelbeträge!$E:$E,'Ausgaben Vorlage'!G$6)</f>
        <v>0</v>
      </c>
      <c r="H75" s="21">
        <f>SUMIFS(Einzelbeträge!$D:$D,Einzelbeträge!$C:$C,'Ausgaben Vorlage'!$C75,Einzelbeträge!$E:$E,'Ausgaben Vorlage'!H$6)</f>
        <v>0</v>
      </c>
      <c r="I75" s="21">
        <f>SUMIFS(Einzelbeträge!$D:$D,Einzelbeträge!$C:$C,'Ausgaben Vorlage'!$C75,Einzelbeträge!$E:$E,'Ausgaben Vorlage'!I$6)</f>
        <v>0</v>
      </c>
      <c r="J75" s="21">
        <f>SUMIFS(Einzelbeträge!$D:$D,Einzelbeträge!$C:$C,'Ausgaben Vorlage'!$C75,Einzelbeträge!$E:$E,'Ausgaben Vorlage'!J$6)</f>
        <v>0</v>
      </c>
      <c r="K75" s="21">
        <f>SUMIFS(Einzelbeträge!$D:$D,Einzelbeträge!$C:$C,'Ausgaben Vorlage'!$C75,Einzelbeträge!$E:$E,'Ausgaben Vorlage'!K$6)</f>
        <v>0</v>
      </c>
      <c r="L75" s="21">
        <f>SUMIFS(Einzelbeträge!$D:$D,Einzelbeträge!$C:$C,'Ausgaben Vorlage'!$C75,Einzelbeträge!$E:$E,'Ausgaben Vorlage'!L$6)</f>
        <v>0</v>
      </c>
      <c r="M75" s="21">
        <f>SUMIFS(Einzelbeträge!$D:$D,Einzelbeträge!$C:$C,'Ausgaben Vorlage'!$C75,Einzelbeträge!$E:$E,'Ausgaben Vorlage'!M$6)</f>
        <v>0</v>
      </c>
      <c r="N75" s="35">
        <f>SUMIFS(Einzelbeträge!$D:$D,Einzelbeträge!$C:$C,'Ausgaben Vorlage'!$C75,Einzelbeträge!$E:$E,'Ausgaben Vorlage'!N$6)</f>
        <v>0</v>
      </c>
      <c r="O75" s="6"/>
    </row>
    <row r="76" spans="2:15" x14ac:dyDescent="0.35">
      <c r="B76" s="5"/>
      <c r="C76" s="40">
        <f t="shared" si="18"/>
        <v>45720</v>
      </c>
      <c r="D76" s="44">
        <f>SUMIFS(Einzelbeträge!$D:$D,Einzelbeträge!$C:$C,'Ausgaben Vorlage'!$C76)</f>
        <v>0</v>
      </c>
      <c r="E76" s="34">
        <f>SUMIFS(Einzelbeträge!$D:$D,Einzelbeträge!$C:$C,'Ausgaben Vorlage'!$C76,Einzelbeträge!$E:$E,'Ausgaben Vorlage'!E$6)</f>
        <v>0</v>
      </c>
      <c r="F76" s="21">
        <f>SUMIFS(Einzelbeträge!$D:$D,Einzelbeträge!$C:$C,'Ausgaben Vorlage'!$C76,Einzelbeträge!$E:$E,'Ausgaben Vorlage'!F$6)</f>
        <v>0</v>
      </c>
      <c r="G76" s="21">
        <f>SUMIFS(Einzelbeträge!$D:$D,Einzelbeträge!$C:$C,'Ausgaben Vorlage'!$C76,Einzelbeträge!$E:$E,'Ausgaben Vorlage'!G$6)</f>
        <v>0</v>
      </c>
      <c r="H76" s="21">
        <f>SUMIFS(Einzelbeträge!$D:$D,Einzelbeträge!$C:$C,'Ausgaben Vorlage'!$C76,Einzelbeträge!$E:$E,'Ausgaben Vorlage'!H$6)</f>
        <v>0</v>
      </c>
      <c r="I76" s="21">
        <f>SUMIFS(Einzelbeträge!$D:$D,Einzelbeträge!$C:$C,'Ausgaben Vorlage'!$C76,Einzelbeträge!$E:$E,'Ausgaben Vorlage'!I$6)</f>
        <v>0</v>
      </c>
      <c r="J76" s="21">
        <f>SUMIFS(Einzelbeträge!$D:$D,Einzelbeträge!$C:$C,'Ausgaben Vorlage'!$C76,Einzelbeträge!$E:$E,'Ausgaben Vorlage'!J$6)</f>
        <v>0</v>
      </c>
      <c r="K76" s="21">
        <f>SUMIFS(Einzelbeträge!$D:$D,Einzelbeträge!$C:$C,'Ausgaben Vorlage'!$C76,Einzelbeträge!$E:$E,'Ausgaben Vorlage'!K$6)</f>
        <v>0</v>
      </c>
      <c r="L76" s="21">
        <f>SUMIFS(Einzelbeträge!$D:$D,Einzelbeträge!$C:$C,'Ausgaben Vorlage'!$C76,Einzelbeträge!$E:$E,'Ausgaben Vorlage'!L$6)</f>
        <v>0</v>
      </c>
      <c r="M76" s="21">
        <f>SUMIFS(Einzelbeträge!$D:$D,Einzelbeträge!$C:$C,'Ausgaben Vorlage'!$C76,Einzelbeträge!$E:$E,'Ausgaben Vorlage'!M$6)</f>
        <v>0</v>
      </c>
      <c r="N76" s="35">
        <f>SUMIFS(Einzelbeträge!$D:$D,Einzelbeträge!$C:$C,'Ausgaben Vorlage'!$C76,Einzelbeträge!$E:$E,'Ausgaben Vorlage'!N$6)</f>
        <v>0</v>
      </c>
      <c r="O76" s="6"/>
    </row>
    <row r="77" spans="2:15" x14ac:dyDescent="0.35">
      <c r="B77" s="5"/>
      <c r="C77" s="40">
        <f t="shared" si="18"/>
        <v>45721</v>
      </c>
      <c r="D77" s="44">
        <f>SUMIFS(Einzelbeträge!$D:$D,Einzelbeträge!$C:$C,'Ausgaben Vorlage'!$C77)</f>
        <v>0</v>
      </c>
      <c r="E77" s="34">
        <f>SUMIFS(Einzelbeträge!$D:$D,Einzelbeträge!$C:$C,'Ausgaben Vorlage'!$C77,Einzelbeträge!$E:$E,'Ausgaben Vorlage'!E$6)</f>
        <v>0</v>
      </c>
      <c r="F77" s="21">
        <f>SUMIFS(Einzelbeträge!$D:$D,Einzelbeträge!$C:$C,'Ausgaben Vorlage'!$C77,Einzelbeträge!$E:$E,'Ausgaben Vorlage'!F$6)</f>
        <v>0</v>
      </c>
      <c r="G77" s="21">
        <f>SUMIFS(Einzelbeträge!$D:$D,Einzelbeträge!$C:$C,'Ausgaben Vorlage'!$C77,Einzelbeträge!$E:$E,'Ausgaben Vorlage'!G$6)</f>
        <v>0</v>
      </c>
      <c r="H77" s="21">
        <f>SUMIFS(Einzelbeträge!$D:$D,Einzelbeträge!$C:$C,'Ausgaben Vorlage'!$C77,Einzelbeträge!$E:$E,'Ausgaben Vorlage'!H$6)</f>
        <v>0</v>
      </c>
      <c r="I77" s="21">
        <f>SUMIFS(Einzelbeträge!$D:$D,Einzelbeträge!$C:$C,'Ausgaben Vorlage'!$C77,Einzelbeträge!$E:$E,'Ausgaben Vorlage'!I$6)</f>
        <v>0</v>
      </c>
      <c r="J77" s="21">
        <f>SUMIFS(Einzelbeträge!$D:$D,Einzelbeträge!$C:$C,'Ausgaben Vorlage'!$C77,Einzelbeträge!$E:$E,'Ausgaben Vorlage'!J$6)</f>
        <v>0</v>
      </c>
      <c r="K77" s="21">
        <f>SUMIFS(Einzelbeträge!$D:$D,Einzelbeträge!$C:$C,'Ausgaben Vorlage'!$C77,Einzelbeträge!$E:$E,'Ausgaben Vorlage'!K$6)</f>
        <v>0</v>
      </c>
      <c r="L77" s="21">
        <f>SUMIFS(Einzelbeträge!$D:$D,Einzelbeträge!$C:$C,'Ausgaben Vorlage'!$C77,Einzelbeträge!$E:$E,'Ausgaben Vorlage'!L$6)</f>
        <v>0</v>
      </c>
      <c r="M77" s="21">
        <f>SUMIFS(Einzelbeträge!$D:$D,Einzelbeträge!$C:$C,'Ausgaben Vorlage'!$C77,Einzelbeträge!$E:$E,'Ausgaben Vorlage'!M$6)</f>
        <v>0</v>
      </c>
      <c r="N77" s="35">
        <f>SUMIFS(Einzelbeträge!$D:$D,Einzelbeträge!$C:$C,'Ausgaben Vorlage'!$C77,Einzelbeträge!$E:$E,'Ausgaben Vorlage'!N$6)</f>
        <v>0</v>
      </c>
      <c r="O77" s="6"/>
    </row>
    <row r="78" spans="2:15" x14ac:dyDescent="0.35">
      <c r="B78" s="5"/>
      <c r="C78" s="40">
        <f t="shared" si="18"/>
        <v>45722</v>
      </c>
      <c r="D78" s="44">
        <f>SUMIFS(Einzelbeträge!$D:$D,Einzelbeträge!$C:$C,'Ausgaben Vorlage'!$C78)</f>
        <v>0</v>
      </c>
      <c r="E78" s="34">
        <f>SUMIFS(Einzelbeträge!$D:$D,Einzelbeträge!$C:$C,'Ausgaben Vorlage'!$C78,Einzelbeträge!$E:$E,'Ausgaben Vorlage'!E$6)</f>
        <v>0</v>
      </c>
      <c r="F78" s="21">
        <f>SUMIFS(Einzelbeträge!$D:$D,Einzelbeträge!$C:$C,'Ausgaben Vorlage'!$C78,Einzelbeträge!$E:$E,'Ausgaben Vorlage'!F$6)</f>
        <v>0</v>
      </c>
      <c r="G78" s="21">
        <f>SUMIFS(Einzelbeträge!$D:$D,Einzelbeträge!$C:$C,'Ausgaben Vorlage'!$C78,Einzelbeträge!$E:$E,'Ausgaben Vorlage'!G$6)</f>
        <v>0</v>
      </c>
      <c r="H78" s="21">
        <f>SUMIFS(Einzelbeträge!$D:$D,Einzelbeträge!$C:$C,'Ausgaben Vorlage'!$C78,Einzelbeträge!$E:$E,'Ausgaben Vorlage'!H$6)</f>
        <v>0</v>
      </c>
      <c r="I78" s="21">
        <f>SUMIFS(Einzelbeträge!$D:$D,Einzelbeträge!$C:$C,'Ausgaben Vorlage'!$C78,Einzelbeträge!$E:$E,'Ausgaben Vorlage'!I$6)</f>
        <v>0</v>
      </c>
      <c r="J78" s="21">
        <f>SUMIFS(Einzelbeträge!$D:$D,Einzelbeträge!$C:$C,'Ausgaben Vorlage'!$C78,Einzelbeträge!$E:$E,'Ausgaben Vorlage'!J$6)</f>
        <v>0</v>
      </c>
      <c r="K78" s="21">
        <f>SUMIFS(Einzelbeträge!$D:$D,Einzelbeträge!$C:$C,'Ausgaben Vorlage'!$C78,Einzelbeträge!$E:$E,'Ausgaben Vorlage'!K$6)</f>
        <v>0</v>
      </c>
      <c r="L78" s="21">
        <f>SUMIFS(Einzelbeträge!$D:$D,Einzelbeträge!$C:$C,'Ausgaben Vorlage'!$C78,Einzelbeträge!$E:$E,'Ausgaben Vorlage'!L$6)</f>
        <v>0</v>
      </c>
      <c r="M78" s="21">
        <f>SUMIFS(Einzelbeträge!$D:$D,Einzelbeträge!$C:$C,'Ausgaben Vorlage'!$C78,Einzelbeträge!$E:$E,'Ausgaben Vorlage'!M$6)</f>
        <v>0</v>
      </c>
      <c r="N78" s="35">
        <f>SUMIFS(Einzelbeträge!$D:$D,Einzelbeträge!$C:$C,'Ausgaben Vorlage'!$C78,Einzelbeträge!$E:$E,'Ausgaben Vorlage'!N$6)</f>
        <v>0</v>
      </c>
      <c r="O78" s="6"/>
    </row>
    <row r="79" spans="2:15" x14ac:dyDescent="0.35">
      <c r="B79" s="5"/>
      <c r="C79" s="40">
        <f t="shared" si="18"/>
        <v>45723</v>
      </c>
      <c r="D79" s="44">
        <f>SUMIFS(Einzelbeträge!$D:$D,Einzelbeträge!$C:$C,'Ausgaben Vorlage'!$C79)</f>
        <v>0</v>
      </c>
      <c r="E79" s="34">
        <f>SUMIFS(Einzelbeträge!$D:$D,Einzelbeträge!$C:$C,'Ausgaben Vorlage'!$C79,Einzelbeträge!$E:$E,'Ausgaben Vorlage'!E$6)</f>
        <v>0</v>
      </c>
      <c r="F79" s="21">
        <f>SUMIFS(Einzelbeträge!$D:$D,Einzelbeträge!$C:$C,'Ausgaben Vorlage'!$C79,Einzelbeträge!$E:$E,'Ausgaben Vorlage'!F$6)</f>
        <v>0</v>
      </c>
      <c r="G79" s="21">
        <f>SUMIFS(Einzelbeträge!$D:$D,Einzelbeträge!$C:$C,'Ausgaben Vorlage'!$C79,Einzelbeträge!$E:$E,'Ausgaben Vorlage'!G$6)</f>
        <v>0</v>
      </c>
      <c r="H79" s="21">
        <f>SUMIFS(Einzelbeträge!$D:$D,Einzelbeträge!$C:$C,'Ausgaben Vorlage'!$C79,Einzelbeträge!$E:$E,'Ausgaben Vorlage'!H$6)</f>
        <v>0</v>
      </c>
      <c r="I79" s="21">
        <f>SUMIFS(Einzelbeträge!$D:$D,Einzelbeträge!$C:$C,'Ausgaben Vorlage'!$C79,Einzelbeträge!$E:$E,'Ausgaben Vorlage'!I$6)</f>
        <v>0</v>
      </c>
      <c r="J79" s="21">
        <f>SUMIFS(Einzelbeträge!$D:$D,Einzelbeträge!$C:$C,'Ausgaben Vorlage'!$C79,Einzelbeträge!$E:$E,'Ausgaben Vorlage'!J$6)</f>
        <v>0</v>
      </c>
      <c r="K79" s="21">
        <f>SUMIFS(Einzelbeträge!$D:$D,Einzelbeträge!$C:$C,'Ausgaben Vorlage'!$C79,Einzelbeträge!$E:$E,'Ausgaben Vorlage'!K$6)</f>
        <v>0</v>
      </c>
      <c r="L79" s="21">
        <f>SUMIFS(Einzelbeträge!$D:$D,Einzelbeträge!$C:$C,'Ausgaben Vorlage'!$C79,Einzelbeträge!$E:$E,'Ausgaben Vorlage'!L$6)</f>
        <v>0</v>
      </c>
      <c r="M79" s="21">
        <f>SUMIFS(Einzelbeträge!$D:$D,Einzelbeträge!$C:$C,'Ausgaben Vorlage'!$C79,Einzelbeträge!$E:$E,'Ausgaben Vorlage'!M$6)</f>
        <v>0</v>
      </c>
      <c r="N79" s="35">
        <f>SUMIFS(Einzelbeträge!$D:$D,Einzelbeträge!$C:$C,'Ausgaben Vorlage'!$C79,Einzelbeträge!$E:$E,'Ausgaben Vorlage'!N$6)</f>
        <v>0</v>
      </c>
      <c r="O79" s="6"/>
    </row>
    <row r="80" spans="2:15" x14ac:dyDescent="0.35">
      <c r="B80" s="5"/>
      <c r="C80" s="40">
        <f t="shared" si="18"/>
        <v>45724</v>
      </c>
      <c r="D80" s="44">
        <f>SUMIFS(Einzelbeträge!$D:$D,Einzelbeträge!$C:$C,'Ausgaben Vorlage'!$C80)</f>
        <v>0</v>
      </c>
      <c r="E80" s="34">
        <f>SUMIFS(Einzelbeträge!$D:$D,Einzelbeträge!$C:$C,'Ausgaben Vorlage'!$C80,Einzelbeträge!$E:$E,'Ausgaben Vorlage'!E$6)</f>
        <v>0</v>
      </c>
      <c r="F80" s="21">
        <f>SUMIFS(Einzelbeträge!$D:$D,Einzelbeträge!$C:$C,'Ausgaben Vorlage'!$C80,Einzelbeträge!$E:$E,'Ausgaben Vorlage'!F$6)</f>
        <v>0</v>
      </c>
      <c r="G80" s="21">
        <f>SUMIFS(Einzelbeträge!$D:$D,Einzelbeträge!$C:$C,'Ausgaben Vorlage'!$C80,Einzelbeträge!$E:$E,'Ausgaben Vorlage'!G$6)</f>
        <v>0</v>
      </c>
      <c r="H80" s="21">
        <f>SUMIFS(Einzelbeträge!$D:$D,Einzelbeträge!$C:$C,'Ausgaben Vorlage'!$C80,Einzelbeträge!$E:$E,'Ausgaben Vorlage'!H$6)</f>
        <v>0</v>
      </c>
      <c r="I80" s="21">
        <f>SUMIFS(Einzelbeträge!$D:$D,Einzelbeträge!$C:$C,'Ausgaben Vorlage'!$C80,Einzelbeträge!$E:$E,'Ausgaben Vorlage'!I$6)</f>
        <v>0</v>
      </c>
      <c r="J80" s="21">
        <f>SUMIFS(Einzelbeträge!$D:$D,Einzelbeträge!$C:$C,'Ausgaben Vorlage'!$C80,Einzelbeträge!$E:$E,'Ausgaben Vorlage'!J$6)</f>
        <v>0</v>
      </c>
      <c r="K80" s="21">
        <f>SUMIFS(Einzelbeträge!$D:$D,Einzelbeträge!$C:$C,'Ausgaben Vorlage'!$C80,Einzelbeträge!$E:$E,'Ausgaben Vorlage'!K$6)</f>
        <v>0</v>
      </c>
      <c r="L80" s="21">
        <f>SUMIFS(Einzelbeträge!$D:$D,Einzelbeträge!$C:$C,'Ausgaben Vorlage'!$C80,Einzelbeträge!$E:$E,'Ausgaben Vorlage'!L$6)</f>
        <v>0</v>
      </c>
      <c r="M80" s="21">
        <f>SUMIFS(Einzelbeträge!$D:$D,Einzelbeträge!$C:$C,'Ausgaben Vorlage'!$C80,Einzelbeträge!$E:$E,'Ausgaben Vorlage'!M$6)</f>
        <v>0</v>
      </c>
      <c r="N80" s="35">
        <f>SUMIFS(Einzelbeträge!$D:$D,Einzelbeträge!$C:$C,'Ausgaben Vorlage'!$C80,Einzelbeträge!$E:$E,'Ausgaben Vorlage'!N$6)</f>
        <v>0</v>
      </c>
      <c r="O80" s="6"/>
    </row>
    <row r="81" spans="2:15" x14ac:dyDescent="0.35">
      <c r="B81" s="5"/>
      <c r="C81" s="40">
        <f t="shared" si="18"/>
        <v>45725</v>
      </c>
      <c r="D81" s="44">
        <f>SUMIFS(Einzelbeträge!$D:$D,Einzelbeträge!$C:$C,'Ausgaben Vorlage'!$C81)</f>
        <v>0</v>
      </c>
      <c r="E81" s="34">
        <f>SUMIFS(Einzelbeträge!$D:$D,Einzelbeträge!$C:$C,'Ausgaben Vorlage'!$C81,Einzelbeträge!$E:$E,'Ausgaben Vorlage'!E$6)</f>
        <v>0</v>
      </c>
      <c r="F81" s="21">
        <f>SUMIFS(Einzelbeträge!$D:$D,Einzelbeträge!$C:$C,'Ausgaben Vorlage'!$C81,Einzelbeträge!$E:$E,'Ausgaben Vorlage'!F$6)</f>
        <v>0</v>
      </c>
      <c r="G81" s="21">
        <f>SUMIFS(Einzelbeträge!$D:$D,Einzelbeträge!$C:$C,'Ausgaben Vorlage'!$C81,Einzelbeträge!$E:$E,'Ausgaben Vorlage'!G$6)</f>
        <v>0</v>
      </c>
      <c r="H81" s="21">
        <f>SUMIFS(Einzelbeträge!$D:$D,Einzelbeträge!$C:$C,'Ausgaben Vorlage'!$C81,Einzelbeträge!$E:$E,'Ausgaben Vorlage'!H$6)</f>
        <v>0</v>
      </c>
      <c r="I81" s="21">
        <f>SUMIFS(Einzelbeträge!$D:$D,Einzelbeträge!$C:$C,'Ausgaben Vorlage'!$C81,Einzelbeträge!$E:$E,'Ausgaben Vorlage'!I$6)</f>
        <v>0</v>
      </c>
      <c r="J81" s="21">
        <f>SUMIFS(Einzelbeträge!$D:$D,Einzelbeträge!$C:$C,'Ausgaben Vorlage'!$C81,Einzelbeträge!$E:$E,'Ausgaben Vorlage'!J$6)</f>
        <v>0</v>
      </c>
      <c r="K81" s="21">
        <f>SUMIFS(Einzelbeträge!$D:$D,Einzelbeträge!$C:$C,'Ausgaben Vorlage'!$C81,Einzelbeträge!$E:$E,'Ausgaben Vorlage'!K$6)</f>
        <v>0</v>
      </c>
      <c r="L81" s="21">
        <f>SUMIFS(Einzelbeträge!$D:$D,Einzelbeträge!$C:$C,'Ausgaben Vorlage'!$C81,Einzelbeträge!$E:$E,'Ausgaben Vorlage'!L$6)</f>
        <v>0</v>
      </c>
      <c r="M81" s="21">
        <f>SUMIFS(Einzelbeträge!$D:$D,Einzelbeträge!$C:$C,'Ausgaben Vorlage'!$C81,Einzelbeträge!$E:$E,'Ausgaben Vorlage'!M$6)</f>
        <v>0</v>
      </c>
      <c r="N81" s="35">
        <f>SUMIFS(Einzelbeträge!$D:$D,Einzelbeträge!$C:$C,'Ausgaben Vorlage'!$C81,Einzelbeträge!$E:$E,'Ausgaben Vorlage'!N$6)</f>
        <v>0</v>
      </c>
      <c r="O81" s="6"/>
    </row>
    <row r="82" spans="2:15" x14ac:dyDescent="0.35">
      <c r="B82" s="5"/>
      <c r="C82" s="40">
        <f t="shared" si="18"/>
        <v>45726</v>
      </c>
      <c r="D82" s="44">
        <f>SUMIFS(Einzelbeträge!$D:$D,Einzelbeträge!$C:$C,'Ausgaben Vorlage'!$C82)</f>
        <v>0</v>
      </c>
      <c r="E82" s="34">
        <f>SUMIFS(Einzelbeträge!$D:$D,Einzelbeträge!$C:$C,'Ausgaben Vorlage'!$C82,Einzelbeträge!$E:$E,'Ausgaben Vorlage'!E$6)</f>
        <v>0</v>
      </c>
      <c r="F82" s="21">
        <f>SUMIFS(Einzelbeträge!$D:$D,Einzelbeträge!$C:$C,'Ausgaben Vorlage'!$C82,Einzelbeträge!$E:$E,'Ausgaben Vorlage'!F$6)</f>
        <v>0</v>
      </c>
      <c r="G82" s="21">
        <f>SUMIFS(Einzelbeträge!$D:$D,Einzelbeträge!$C:$C,'Ausgaben Vorlage'!$C82,Einzelbeträge!$E:$E,'Ausgaben Vorlage'!G$6)</f>
        <v>0</v>
      </c>
      <c r="H82" s="21">
        <f>SUMIFS(Einzelbeträge!$D:$D,Einzelbeträge!$C:$C,'Ausgaben Vorlage'!$C82,Einzelbeträge!$E:$E,'Ausgaben Vorlage'!H$6)</f>
        <v>0</v>
      </c>
      <c r="I82" s="21">
        <f>SUMIFS(Einzelbeträge!$D:$D,Einzelbeträge!$C:$C,'Ausgaben Vorlage'!$C82,Einzelbeträge!$E:$E,'Ausgaben Vorlage'!I$6)</f>
        <v>0</v>
      </c>
      <c r="J82" s="21">
        <f>SUMIFS(Einzelbeträge!$D:$D,Einzelbeträge!$C:$C,'Ausgaben Vorlage'!$C82,Einzelbeträge!$E:$E,'Ausgaben Vorlage'!J$6)</f>
        <v>0</v>
      </c>
      <c r="K82" s="21">
        <f>SUMIFS(Einzelbeträge!$D:$D,Einzelbeträge!$C:$C,'Ausgaben Vorlage'!$C82,Einzelbeträge!$E:$E,'Ausgaben Vorlage'!K$6)</f>
        <v>0</v>
      </c>
      <c r="L82" s="21">
        <f>SUMIFS(Einzelbeträge!$D:$D,Einzelbeträge!$C:$C,'Ausgaben Vorlage'!$C82,Einzelbeträge!$E:$E,'Ausgaben Vorlage'!L$6)</f>
        <v>0</v>
      </c>
      <c r="M82" s="21">
        <f>SUMIFS(Einzelbeträge!$D:$D,Einzelbeträge!$C:$C,'Ausgaben Vorlage'!$C82,Einzelbeträge!$E:$E,'Ausgaben Vorlage'!M$6)</f>
        <v>0</v>
      </c>
      <c r="N82" s="35">
        <f>SUMIFS(Einzelbeträge!$D:$D,Einzelbeträge!$C:$C,'Ausgaben Vorlage'!$C82,Einzelbeträge!$E:$E,'Ausgaben Vorlage'!N$6)</f>
        <v>0</v>
      </c>
      <c r="O82" s="6"/>
    </row>
    <row r="83" spans="2:15" x14ac:dyDescent="0.35">
      <c r="B83" s="5"/>
      <c r="C83" s="40">
        <f t="shared" si="18"/>
        <v>45727</v>
      </c>
      <c r="D83" s="44">
        <f>SUMIFS(Einzelbeträge!$D:$D,Einzelbeträge!$C:$C,'Ausgaben Vorlage'!$C83)</f>
        <v>0</v>
      </c>
      <c r="E83" s="34">
        <f>SUMIFS(Einzelbeträge!$D:$D,Einzelbeträge!$C:$C,'Ausgaben Vorlage'!$C83,Einzelbeträge!$E:$E,'Ausgaben Vorlage'!E$6)</f>
        <v>0</v>
      </c>
      <c r="F83" s="21">
        <f>SUMIFS(Einzelbeträge!$D:$D,Einzelbeträge!$C:$C,'Ausgaben Vorlage'!$C83,Einzelbeträge!$E:$E,'Ausgaben Vorlage'!F$6)</f>
        <v>0</v>
      </c>
      <c r="G83" s="21">
        <f>SUMIFS(Einzelbeträge!$D:$D,Einzelbeträge!$C:$C,'Ausgaben Vorlage'!$C83,Einzelbeträge!$E:$E,'Ausgaben Vorlage'!G$6)</f>
        <v>0</v>
      </c>
      <c r="H83" s="21">
        <f>SUMIFS(Einzelbeträge!$D:$D,Einzelbeträge!$C:$C,'Ausgaben Vorlage'!$C83,Einzelbeträge!$E:$E,'Ausgaben Vorlage'!H$6)</f>
        <v>0</v>
      </c>
      <c r="I83" s="21">
        <f>SUMIFS(Einzelbeträge!$D:$D,Einzelbeträge!$C:$C,'Ausgaben Vorlage'!$C83,Einzelbeträge!$E:$E,'Ausgaben Vorlage'!I$6)</f>
        <v>0</v>
      </c>
      <c r="J83" s="21">
        <f>SUMIFS(Einzelbeträge!$D:$D,Einzelbeträge!$C:$C,'Ausgaben Vorlage'!$C83,Einzelbeträge!$E:$E,'Ausgaben Vorlage'!J$6)</f>
        <v>0</v>
      </c>
      <c r="K83" s="21">
        <f>SUMIFS(Einzelbeträge!$D:$D,Einzelbeträge!$C:$C,'Ausgaben Vorlage'!$C83,Einzelbeträge!$E:$E,'Ausgaben Vorlage'!K$6)</f>
        <v>0</v>
      </c>
      <c r="L83" s="21">
        <f>SUMIFS(Einzelbeträge!$D:$D,Einzelbeträge!$C:$C,'Ausgaben Vorlage'!$C83,Einzelbeträge!$E:$E,'Ausgaben Vorlage'!L$6)</f>
        <v>0</v>
      </c>
      <c r="M83" s="21">
        <f>SUMIFS(Einzelbeträge!$D:$D,Einzelbeträge!$C:$C,'Ausgaben Vorlage'!$C83,Einzelbeträge!$E:$E,'Ausgaben Vorlage'!M$6)</f>
        <v>0</v>
      </c>
      <c r="N83" s="35">
        <f>SUMIFS(Einzelbeträge!$D:$D,Einzelbeträge!$C:$C,'Ausgaben Vorlage'!$C83,Einzelbeträge!$E:$E,'Ausgaben Vorlage'!N$6)</f>
        <v>0</v>
      </c>
      <c r="O83" s="6"/>
    </row>
    <row r="84" spans="2:15" x14ac:dyDescent="0.35">
      <c r="B84" s="5"/>
      <c r="C84" s="40">
        <f t="shared" si="18"/>
        <v>45728</v>
      </c>
      <c r="D84" s="44">
        <f>SUMIFS(Einzelbeträge!$D:$D,Einzelbeträge!$C:$C,'Ausgaben Vorlage'!$C84)</f>
        <v>0</v>
      </c>
      <c r="E84" s="34">
        <f>SUMIFS(Einzelbeträge!$D:$D,Einzelbeträge!$C:$C,'Ausgaben Vorlage'!$C84,Einzelbeträge!$E:$E,'Ausgaben Vorlage'!E$6)</f>
        <v>0</v>
      </c>
      <c r="F84" s="21">
        <f>SUMIFS(Einzelbeträge!$D:$D,Einzelbeträge!$C:$C,'Ausgaben Vorlage'!$C84,Einzelbeträge!$E:$E,'Ausgaben Vorlage'!F$6)</f>
        <v>0</v>
      </c>
      <c r="G84" s="21">
        <f>SUMIFS(Einzelbeträge!$D:$D,Einzelbeträge!$C:$C,'Ausgaben Vorlage'!$C84,Einzelbeträge!$E:$E,'Ausgaben Vorlage'!G$6)</f>
        <v>0</v>
      </c>
      <c r="H84" s="21">
        <f>SUMIFS(Einzelbeträge!$D:$D,Einzelbeträge!$C:$C,'Ausgaben Vorlage'!$C84,Einzelbeträge!$E:$E,'Ausgaben Vorlage'!H$6)</f>
        <v>0</v>
      </c>
      <c r="I84" s="21">
        <f>SUMIFS(Einzelbeträge!$D:$D,Einzelbeträge!$C:$C,'Ausgaben Vorlage'!$C84,Einzelbeträge!$E:$E,'Ausgaben Vorlage'!I$6)</f>
        <v>0</v>
      </c>
      <c r="J84" s="21">
        <f>SUMIFS(Einzelbeträge!$D:$D,Einzelbeträge!$C:$C,'Ausgaben Vorlage'!$C84,Einzelbeträge!$E:$E,'Ausgaben Vorlage'!J$6)</f>
        <v>0</v>
      </c>
      <c r="K84" s="21">
        <f>SUMIFS(Einzelbeträge!$D:$D,Einzelbeträge!$C:$C,'Ausgaben Vorlage'!$C84,Einzelbeträge!$E:$E,'Ausgaben Vorlage'!K$6)</f>
        <v>0</v>
      </c>
      <c r="L84" s="21">
        <f>SUMIFS(Einzelbeträge!$D:$D,Einzelbeträge!$C:$C,'Ausgaben Vorlage'!$C84,Einzelbeträge!$E:$E,'Ausgaben Vorlage'!L$6)</f>
        <v>0</v>
      </c>
      <c r="M84" s="21">
        <f>SUMIFS(Einzelbeträge!$D:$D,Einzelbeträge!$C:$C,'Ausgaben Vorlage'!$C84,Einzelbeträge!$E:$E,'Ausgaben Vorlage'!M$6)</f>
        <v>0</v>
      </c>
      <c r="N84" s="35">
        <f>SUMIFS(Einzelbeträge!$D:$D,Einzelbeträge!$C:$C,'Ausgaben Vorlage'!$C84,Einzelbeträge!$E:$E,'Ausgaben Vorlage'!N$6)</f>
        <v>0</v>
      </c>
      <c r="O84" s="6"/>
    </row>
    <row r="85" spans="2:15" x14ac:dyDescent="0.35">
      <c r="B85" s="5"/>
      <c r="C85" s="40">
        <f t="shared" si="18"/>
        <v>45729</v>
      </c>
      <c r="D85" s="44">
        <f>SUMIFS(Einzelbeträge!$D:$D,Einzelbeträge!$C:$C,'Ausgaben Vorlage'!$C85)</f>
        <v>0</v>
      </c>
      <c r="E85" s="34">
        <f>SUMIFS(Einzelbeträge!$D:$D,Einzelbeträge!$C:$C,'Ausgaben Vorlage'!$C85,Einzelbeträge!$E:$E,'Ausgaben Vorlage'!E$6)</f>
        <v>0</v>
      </c>
      <c r="F85" s="21">
        <f>SUMIFS(Einzelbeträge!$D:$D,Einzelbeträge!$C:$C,'Ausgaben Vorlage'!$C85,Einzelbeträge!$E:$E,'Ausgaben Vorlage'!F$6)</f>
        <v>0</v>
      </c>
      <c r="G85" s="21">
        <f>SUMIFS(Einzelbeträge!$D:$D,Einzelbeträge!$C:$C,'Ausgaben Vorlage'!$C85,Einzelbeträge!$E:$E,'Ausgaben Vorlage'!G$6)</f>
        <v>0</v>
      </c>
      <c r="H85" s="21">
        <f>SUMIFS(Einzelbeträge!$D:$D,Einzelbeträge!$C:$C,'Ausgaben Vorlage'!$C85,Einzelbeträge!$E:$E,'Ausgaben Vorlage'!H$6)</f>
        <v>0</v>
      </c>
      <c r="I85" s="21">
        <f>SUMIFS(Einzelbeträge!$D:$D,Einzelbeträge!$C:$C,'Ausgaben Vorlage'!$C85,Einzelbeträge!$E:$E,'Ausgaben Vorlage'!I$6)</f>
        <v>0</v>
      </c>
      <c r="J85" s="21">
        <f>SUMIFS(Einzelbeträge!$D:$D,Einzelbeträge!$C:$C,'Ausgaben Vorlage'!$C85,Einzelbeträge!$E:$E,'Ausgaben Vorlage'!J$6)</f>
        <v>0</v>
      </c>
      <c r="K85" s="21">
        <f>SUMIFS(Einzelbeträge!$D:$D,Einzelbeträge!$C:$C,'Ausgaben Vorlage'!$C85,Einzelbeträge!$E:$E,'Ausgaben Vorlage'!K$6)</f>
        <v>0</v>
      </c>
      <c r="L85" s="21">
        <f>SUMIFS(Einzelbeträge!$D:$D,Einzelbeträge!$C:$C,'Ausgaben Vorlage'!$C85,Einzelbeträge!$E:$E,'Ausgaben Vorlage'!L$6)</f>
        <v>0</v>
      </c>
      <c r="M85" s="21">
        <f>SUMIFS(Einzelbeträge!$D:$D,Einzelbeträge!$C:$C,'Ausgaben Vorlage'!$C85,Einzelbeträge!$E:$E,'Ausgaben Vorlage'!M$6)</f>
        <v>0</v>
      </c>
      <c r="N85" s="35">
        <f>SUMIFS(Einzelbeträge!$D:$D,Einzelbeträge!$C:$C,'Ausgaben Vorlage'!$C85,Einzelbeträge!$E:$E,'Ausgaben Vorlage'!N$6)</f>
        <v>0</v>
      </c>
      <c r="O85" s="6"/>
    </row>
    <row r="86" spans="2:15" x14ac:dyDescent="0.35">
      <c r="B86" s="5"/>
      <c r="C86" s="40">
        <f t="shared" si="18"/>
        <v>45730</v>
      </c>
      <c r="D86" s="44">
        <f>SUMIFS(Einzelbeträge!$D:$D,Einzelbeträge!$C:$C,'Ausgaben Vorlage'!$C86)</f>
        <v>0</v>
      </c>
      <c r="E86" s="34">
        <f>SUMIFS(Einzelbeträge!$D:$D,Einzelbeträge!$C:$C,'Ausgaben Vorlage'!$C86,Einzelbeträge!$E:$E,'Ausgaben Vorlage'!E$6)</f>
        <v>0</v>
      </c>
      <c r="F86" s="21">
        <f>SUMIFS(Einzelbeträge!$D:$D,Einzelbeträge!$C:$C,'Ausgaben Vorlage'!$C86,Einzelbeträge!$E:$E,'Ausgaben Vorlage'!F$6)</f>
        <v>0</v>
      </c>
      <c r="G86" s="21">
        <f>SUMIFS(Einzelbeträge!$D:$D,Einzelbeträge!$C:$C,'Ausgaben Vorlage'!$C86,Einzelbeträge!$E:$E,'Ausgaben Vorlage'!G$6)</f>
        <v>0</v>
      </c>
      <c r="H86" s="21">
        <f>SUMIFS(Einzelbeträge!$D:$D,Einzelbeträge!$C:$C,'Ausgaben Vorlage'!$C86,Einzelbeträge!$E:$E,'Ausgaben Vorlage'!H$6)</f>
        <v>0</v>
      </c>
      <c r="I86" s="21">
        <f>SUMIFS(Einzelbeträge!$D:$D,Einzelbeträge!$C:$C,'Ausgaben Vorlage'!$C86,Einzelbeträge!$E:$E,'Ausgaben Vorlage'!I$6)</f>
        <v>0</v>
      </c>
      <c r="J86" s="21">
        <f>SUMIFS(Einzelbeträge!$D:$D,Einzelbeträge!$C:$C,'Ausgaben Vorlage'!$C86,Einzelbeträge!$E:$E,'Ausgaben Vorlage'!J$6)</f>
        <v>0</v>
      </c>
      <c r="K86" s="21">
        <f>SUMIFS(Einzelbeträge!$D:$D,Einzelbeträge!$C:$C,'Ausgaben Vorlage'!$C86,Einzelbeträge!$E:$E,'Ausgaben Vorlage'!K$6)</f>
        <v>0</v>
      </c>
      <c r="L86" s="21">
        <f>SUMIFS(Einzelbeträge!$D:$D,Einzelbeträge!$C:$C,'Ausgaben Vorlage'!$C86,Einzelbeträge!$E:$E,'Ausgaben Vorlage'!L$6)</f>
        <v>0</v>
      </c>
      <c r="M86" s="21">
        <f>SUMIFS(Einzelbeträge!$D:$D,Einzelbeträge!$C:$C,'Ausgaben Vorlage'!$C86,Einzelbeträge!$E:$E,'Ausgaben Vorlage'!M$6)</f>
        <v>0</v>
      </c>
      <c r="N86" s="35">
        <f>SUMIFS(Einzelbeträge!$D:$D,Einzelbeträge!$C:$C,'Ausgaben Vorlage'!$C86,Einzelbeträge!$E:$E,'Ausgaben Vorlage'!N$6)</f>
        <v>0</v>
      </c>
      <c r="O86" s="6"/>
    </row>
    <row r="87" spans="2:15" x14ac:dyDescent="0.35">
      <c r="B87" s="5"/>
      <c r="C87" s="40">
        <f t="shared" si="18"/>
        <v>45731</v>
      </c>
      <c r="D87" s="44">
        <f>SUMIFS(Einzelbeträge!$D:$D,Einzelbeträge!$C:$C,'Ausgaben Vorlage'!$C87)</f>
        <v>0</v>
      </c>
      <c r="E87" s="34">
        <f>SUMIFS(Einzelbeträge!$D:$D,Einzelbeträge!$C:$C,'Ausgaben Vorlage'!$C87,Einzelbeträge!$E:$E,'Ausgaben Vorlage'!E$6)</f>
        <v>0</v>
      </c>
      <c r="F87" s="21">
        <f>SUMIFS(Einzelbeträge!$D:$D,Einzelbeträge!$C:$C,'Ausgaben Vorlage'!$C87,Einzelbeträge!$E:$E,'Ausgaben Vorlage'!F$6)</f>
        <v>0</v>
      </c>
      <c r="G87" s="21">
        <f>SUMIFS(Einzelbeträge!$D:$D,Einzelbeträge!$C:$C,'Ausgaben Vorlage'!$C87,Einzelbeträge!$E:$E,'Ausgaben Vorlage'!G$6)</f>
        <v>0</v>
      </c>
      <c r="H87" s="21">
        <f>SUMIFS(Einzelbeträge!$D:$D,Einzelbeträge!$C:$C,'Ausgaben Vorlage'!$C87,Einzelbeträge!$E:$E,'Ausgaben Vorlage'!H$6)</f>
        <v>0</v>
      </c>
      <c r="I87" s="21">
        <f>SUMIFS(Einzelbeträge!$D:$D,Einzelbeträge!$C:$C,'Ausgaben Vorlage'!$C87,Einzelbeträge!$E:$E,'Ausgaben Vorlage'!I$6)</f>
        <v>0</v>
      </c>
      <c r="J87" s="21">
        <f>SUMIFS(Einzelbeträge!$D:$D,Einzelbeträge!$C:$C,'Ausgaben Vorlage'!$C87,Einzelbeträge!$E:$E,'Ausgaben Vorlage'!J$6)</f>
        <v>0</v>
      </c>
      <c r="K87" s="21">
        <f>SUMIFS(Einzelbeträge!$D:$D,Einzelbeträge!$C:$C,'Ausgaben Vorlage'!$C87,Einzelbeträge!$E:$E,'Ausgaben Vorlage'!K$6)</f>
        <v>0</v>
      </c>
      <c r="L87" s="21">
        <f>SUMIFS(Einzelbeträge!$D:$D,Einzelbeträge!$C:$C,'Ausgaben Vorlage'!$C87,Einzelbeträge!$E:$E,'Ausgaben Vorlage'!L$6)</f>
        <v>0</v>
      </c>
      <c r="M87" s="21">
        <f>SUMIFS(Einzelbeträge!$D:$D,Einzelbeträge!$C:$C,'Ausgaben Vorlage'!$C87,Einzelbeträge!$E:$E,'Ausgaben Vorlage'!M$6)</f>
        <v>0</v>
      </c>
      <c r="N87" s="35">
        <f>SUMIFS(Einzelbeträge!$D:$D,Einzelbeträge!$C:$C,'Ausgaben Vorlage'!$C87,Einzelbeträge!$E:$E,'Ausgaben Vorlage'!N$6)</f>
        <v>0</v>
      </c>
      <c r="O87" s="6"/>
    </row>
    <row r="88" spans="2:15" x14ac:dyDescent="0.35">
      <c r="B88" s="5"/>
      <c r="C88" s="40">
        <f t="shared" si="18"/>
        <v>45732</v>
      </c>
      <c r="D88" s="44">
        <f>SUMIFS(Einzelbeträge!$D:$D,Einzelbeträge!$C:$C,'Ausgaben Vorlage'!$C88)</f>
        <v>0</v>
      </c>
      <c r="E88" s="34">
        <f>SUMIFS(Einzelbeträge!$D:$D,Einzelbeträge!$C:$C,'Ausgaben Vorlage'!$C88,Einzelbeträge!$E:$E,'Ausgaben Vorlage'!E$6)</f>
        <v>0</v>
      </c>
      <c r="F88" s="21">
        <f>SUMIFS(Einzelbeträge!$D:$D,Einzelbeträge!$C:$C,'Ausgaben Vorlage'!$C88,Einzelbeträge!$E:$E,'Ausgaben Vorlage'!F$6)</f>
        <v>0</v>
      </c>
      <c r="G88" s="21">
        <f>SUMIFS(Einzelbeträge!$D:$D,Einzelbeträge!$C:$C,'Ausgaben Vorlage'!$C88,Einzelbeträge!$E:$E,'Ausgaben Vorlage'!G$6)</f>
        <v>0</v>
      </c>
      <c r="H88" s="21">
        <f>SUMIFS(Einzelbeträge!$D:$D,Einzelbeträge!$C:$C,'Ausgaben Vorlage'!$C88,Einzelbeträge!$E:$E,'Ausgaben Vorlage'!H$6)</f>
        <v>0</v>
      </c>
      <c r="I88" s="21">
        <f>SUMIFS(Einzelbeträge!$D:$D,Einzelbeträge!$C:$C,'Ausgaben Vorlage'!$C88,Einzelbeträge!$E:$E,'Ausgaben Vorlage'!I$6)</f>
        <v>0</v>
      </c>
      <c r="J88" s="21">
        <f>SUMIFS(Einzelbeträge!$D:$D,Einzelbeträge!$C:$C,'Ausgaben Vorlage'!$C88,Einzelbeträge!$E:$E,'Ausgaben Vorlage'!J$6)</f>
        <v>0</v>
      </c>
      <c r="K88" s="21">
        <f>SUMIFS(Einzelbeträge!$D:$D,Einzelbeträge!$C:$C,'Ausgaben Vorlage'!$C88,Einzelbeträge!$E:$E,'Ausgaben Vorlage'!K$6)</f>
        <v>0</v>
      </c>
      <c r="L88" s="21">
        <f>SUMIFS(Einzelbeträge!$D:$D,Einzelbeträge!$C:$C,'Ausgaben Vorlage'!$C88,Einzelbeträge!$E:$E,'Ausgaben Vorlage'!L$6)</f>
        <v>0</v>
      </c>
      <c r="M88" s="21">
        <f>SUMIFS(Einzelbeträge!$D:$D,Einzelbeträge!$C:$C,'Ausgaben Vorlage'!$C88,Einzelbeträge!$E:$E,'Ausgaben Vorlage'!M$6)</f>
        <v>0</v>
      </c>
      <c r="N88" s="35">
        <f>SUMIFS(Einzelbeträge!$D:$D,Einzelbeträge!$C:$C,'Ausgaben Vorlage'!$C88,Einzelbeträge!$E:$E,'Ausgaben Vorlage'!N$6)</f>
        <v>0</v>
      </c>
      <c r="O88" s="6"/>
    </row>
    <row r="89" spans="2:15" x14ac:dyDescent="0.35">
      <c r="B89" s="5"/>
      <c r="C89" s="40">
        <f t="shared" si="18"/>
        <v>45733</v>
      </c>
      <c r="D89" s="44">
        <f>SUMIFS(Einzelbeträge!$D:$D,Einzelbeträge!$C:$C,'Ausgaben Vorlage'!$C89)</f>
        <v>0</v>
      </c>
      <c r="E89" s="34">
        <f>SUMIFS(Einzelbeträge!$D:$D,Einzelbeträge!$C:$C,'Ausgaben Vorlage'!$C89,Einzelbeträge!$E:$E,'Ausgaben Vorlage'!E$6)</f>
        <v>0</v>
      </c>
      <c r="F89" s="21">
        <f>SUMIFS(Einzelbeträge!$D:$D,Einzelbeträge!$C:$C,'Ausgaben Vorlage'!$C89,Einzelbeträge!$E:$E,'Ausgaben Vorlage'!F$6)</f>
        <v>0</v>
      </c>
      <c r="G89" s="21">
        <f>SUMIFS(Einzelbeträge!$D:$D,Einzelbeträge!$C:$C,'Ausgaben Vorlage'!$C89,Einzelbeträge!$E:$E,'Ausgaben Vorlage'!G$6)</f>
        <v>0</v>
      </c>
      <c r="H89" s="21">
        <f>SUMIFS(Einzelbeträge!$D:$D,Einzelbeträge!$C:$C,'Ausgaben Vorlage'!$C89,Einzelbeträge!$E:$E,'Ausgaben Vorlage'!H$6)</f>
        <v>0</v>
      </c>
      <c r="I89" s="21">
        <f>SUMIFS(Einzelbeträge!$D:$D,Einzelbeträge!$C:$C,'Ausgaben Vorlage'!$C89,Einzelbeträge!$E:$E,'Ausgaben Vorlage'!I$6)</f>
        <v>0</v>
      </c>
      <c r="J89" s="21">
        <f>SUMIFS(Einzelbeträge!$D:$D,Einzelbeträge!$C:$C,'Ausgaben Vorlage'!$C89,Einzelbeträge!$E:$E,'Ausgaben Vorlage'!J$6)</f>
        <v>0</v>
      </c>
      <c r="K89" s="21">
        <f>SUMIFS(Einzelbeträge!$D:$D,Einzelbeträge!$C:$C,'Ausgaben Vorlage'!$C89,Einzelbeträge!$E:$E,'Ausgaben Vorlage'!K$6)</f>
        <v>0</v>
      </c>
      <c r="L89" s="21">
        <f>SUMIFS(Einzelbeträge!$D:$D,Einzelbeträge!$C:$C,'Ausgaben Vorlage'!$C89,Einzelbeträge!$E:$E,'Ausgaben Vorlage'!L$6)</f>
        <v>0</v>
      </c>
      <c r="M89" s="21">
        <f>SUMIFS(Einzelbeträge!$D:$D,Einzelbeträge!$C:$C,'Ausgaben Vorlage'!$C89,Einzelbeträge!$E:$E,'Ausgaben Vorlage'!M$6)</f>
        <v>0</v>
      </c>
      <c r="N89" s="35">
        <f>SUMIFS(Einzelbeträge!$D:$D,Einzelbeträge!$C:$C,'Ausgaben Vorlage'!$C89,Einzelbeträge!$E:$E,'Ausgaben Vorlage'!N$6)</f>
        <v>0</v>
      </c>
      <c r="O89" s="6"/>
    </row>
    <row r="90" spans="2:15" x14ac:dyDescent="0.35">
      <c r="B90" s="5"/>
      <c r="C90" s="40">
        <f t="shared" si="18"/>
        <v>45734</v>
      </c>
      <c r="D90" s="44">
        <f>SUMIFS(Einzelbeträge!$D:$D,Einzelbeträge!$C:$C,'Ausgaben Vorlage'!$C90)</f>
        <v>0</v>
      </c>
      <c r="E90" s="34">
        <f>SUMIFS(Einzelbeträge!$D:$D,Einzelbeträge!$C:$C,'Ausgaben Vorlage'!$C90,Einzelbeträge!$E:$E,'Ausgaben Vorlage'!E$6)</f>
        <v>0</v>
      </c>
      <c r="F90" s="21">
        <f>SUMIFS(Einzelbeträge!$D:$D,Einzelbeträge!$C:$C,'Ausgaben Vorlage'!$C90,Einzelbeträge!$E:$E,'Ausgaben Vorlage'!F$6)</f>
        <v>0</v>
      </c>
      <c r="G90" s="21">
        <f>SUMIFS(Einzelbeträge!$D:$D,Einzelbeträge!$C:$C,'Ausgaben Vorlage'!$C90,Einzelbeträge!$E:$E,'Ausgaben Vorlage'!G$6)</f>
        <v>0</v>
      </c>
      <c r="H90" s="21">
        <f>SUMIFS(Einzelbeträge!$D:$D,Einzelbeträge!$C:$C,'Ausgaben Vorlage'!$C90,Einzelbeträge!$E:$E,'Ausgaben Vorlage'!H$6)</f>
        <v>0</v>
      </c>
      <c r="I90" s="21">
        <f>SUMIFS(Einzelbeträge!$D:$D,Einzelbeträge!$C:$C,'Ausgaben Vorlage'!$C90,Einzelbeträge!$E:$E,'Ausgaben Vorlage'!I$6)</f>
        <v>0</v>
      </c>
      <c r="J90" s="21">
        <f>SUMIFS(Einzelbeträge!$D:$D,Einzelbeträge!$C:$C,'Ausgaben Vorlage'!$C90,Einzelbeträge!$E:$E,'Ausgaben Vorlage'!J$6)</f>
        <v>0</v>
      </c>
      <c r="K90" s="21">
        <f>SUMIFS(Einzelbeträge!$D:$D,Einzelbeträge!$C:$C,'Ausgaben Vorlage'!$C90,Einzelbeträge!$E:$E,'Ausgaben Vorlage'!K$6)</f>
        <v>0</v>
      </c>
      <c r="L90" s="21">
        <f>SUMIFS(Einzelbeträge!$D:$D,Einzelbeträge!$C:$C,'Ausgaben Vorlage'!$C90,Einzelbeträge!$E:$E,'Ausgaben Vorlage'!L$6)</f>
        <v>0</v>
      </c>
      <c r="M90" s="21">
        <f>SUMIFS(Einzelbeträge!$D:$D,Einzelbeträge!$C:$C,'Ausgaben Vorlage'!$C90,Einzelbeträge!$E:$E,'Ausgaben Vorlage'!M$6)</f>
        <v>0</v>
      </c>
      <c r="N90" s="35">
        <f>SUMIFS(Einzelbeträge!$D:$D,Einzelbeträge!$C:$C,'Ausgaben Vorlage'!$C90,Einzelbeträge!$E:$E,'Ausgaben Vorlage'!N$6)</f>
        <v>0</v>
      </c>
      <c r="O90" s="6"/>
    </row>
    <row r="91" spans="2:15" x14ac:dyDescent="0.35">
      <c r="B91" s="5"/>
      <c r="C91" s="40">
        <f t="shared" si="18"/>
        <v>45735</v>
      </c>
      <c r="D91" s="44">
        <f>SUMIFS(Einzelbeträge!$D:$D,Einzelbeträge!$C:$C,'Ausgaben Vorlage'!$C91)</f>
        <v>0</v>
      </c>
      <c r="E91" s="34">
        <f>SUMIFS(Einzelbeträge!$D:$D,Einzelbeträge!$C:$C,'Ausgaben Vorlage'!$C91,Einzelbeträge!$E:$E,'Ausgaben Vorlage'!E$6)</f>
        <v>0</v>
      </c>
      <c r="F91" s="21">
        <f>SUMIFS(Einzelbeträge!$D:$D,Einzelbeträge!$C:$C,'Ausgaben Vorlage'!$C91,Einzelbeträge!$E:$E,'Ausgaben Vorlage'!F$6)</f>
        <v>0</v>
      </c>
      <c r="G91" s="21">
        <f>SUMIFS(Einzelbeträge!$D:$D,Einzelbeträge!$C:$C,'Ausgaben Vorlage'!$C91,Einzelbeträge!$E:$E,'Ausgaben Vorlage'!G$6)</f>
        <v>0</v>
      </c>
      <c r="H91" s="21">
        <f>SUMIFS(Einzelbeträge!$D:$D,Einzelbeträge!$C:$C,'Ausgaben Vorlage'!$C91,Einzelbeträge!$E:$E,'Ausgaben Vorlage'!H$6)</f>
        <v>0</v>
      </c>
      <c r="I91" s="21">
        <f>SUMIFS(Einzelbeträge!$D:$D,Einzelbeträge!$C:$C,'Ausgaben Vorlage'!$C91,Einzelbeträge!$E:$E,'Ausgaben Vorlage'!I$6)</f>
        <v>0</v>
      </c>
      <c r="J91" s="21">
        <f>SUMIFS(Einzelbeträge!$D:$D,Einzelbeträge!$C:$C,'Ausgaben Vorlage'!$C91,Einzelbeträge!$E:$E,'Ausgaben Vorlage'!J$6)</f>
        <v>0</v>
      </c>
      <c r="K91" s="21">
        <f>SUMIFS(Einzelbeträge!$D:$D,Einzelbeträge!$C:$C,'Ausgaben Vorlage'!$C91,Einzelbeträge!$E:$E,'Ausgaben Vorlage'!K$6)</f>
        <v>0</v>
      </c>
      <c r="L91" s="21">
        <f>SUMIFS(Einzelbeträge!$D:$D,Einzelbeträge!$C:$C,'Ausgaben Vorlage'!$C91,Einzelbeträge!$E:$E,'Ausgaben Vorlage'!L$6)</f>
        <v>0</v>
      </c>
      <c r="M91" s="21">
        <f>SUMIFS(Einzelbeträge!$D:$D,Einzelbeträge!$C:$C,'Ausgaben Vorlage'!$C91,Einzelbeträge!$E:$E,'Ausgaben Vorlage'!M$6)</f>
        <v>0</v>
      </c>
      <c r="N91" s="35">
        <f>SUMIFS(Einzelbeträge!$D:$D,Einzelbeträge!$C:$C,'Ausgaben Vorlage'!$C91,Einzelbeträge!$E:$E,'Ausgaben Vorlage'!N$6)</f>
        <v>0</v>
      </c>
      <c r="O91" s="6"/>
    </row>
    <row r="92" spans="2:15" x14ac:dyDescent="0.35">
      <c r="B92" s="5"/>
      <c r="C92" s="40">
        <f t="shared" si="18"/>
        <v>45736</v>
      </c>
      <c r="D92" s="44">
        <f>SUMIFS(Einzelbeträge!$D:$D,Einzelbeträge!$C:$C,'Ausgaben Vorlage'!$C92)</f>
        <v>0</v>
      </c>
      <c r="E92" s="34">
        <f>SUMIFS(Einzelbeträge!$D:$D,Einzelbeträge!$C:$C,'Ausgaben Vorlage'!$C92,Einzelbeträge!$E:$E,'Ausgaben Vorlage'!E$6)</f>
        <v>0</v>
      </c>
      <c r="F92" s="21">
        <f>SUMIFS(Einzelbeträge!$D:$D,Einzelbeträge!$C:$C,'Ausgaben Vorlage'!$C92,Einzelbeträge!$E:$E,'Ausgaben Vorlage'!F$6)</f>
        <v>0</v>
      </c>
      <c r="G92" s="21">
        <f>SUMIFS(Einzelbeträge!$D:$D,Einzelbeträge!$C:$C,'Ausgaben Vorlage'!$C92,Einzelbeträge!$E:$E,'Ausgaben Vorlage'!G$6)</f>
        <v>0</v>
      </c>
      <c r="H92" s="21">
        <f>SUMIFS(Einzelbeträge!$D:$D,Einzelbeträge!$C:$C,'Ausgaben Vorlage'!$C92,Einzelbeträge!$E:$E,'Ausgaben Vorlage'!H$6)</f>
        <v>0</v>
      </c>
      <c r="I92" s="21">
        <f>SUMIFS(Einzelbeträge!$D:$D,Einzelbeträge!$C:$C,'Ausgaben Vorlage'!$C92,Einzelbeträge!$E:$E,'Ausgaben Vorlage'!I$6)</f>
        <v>0</v>
      </c>
      <c r="J92" s="21">
        <f>SUMIFS(Einzelbeträge!$D:$D,Einzelbeträge!$C:$C,'Ausgaben Vorlage'!$C92,Einzelbeträge!$E:$E,'Ausgaben Vorlage'!J$6)</f>
        <v>0</v>
      </c>
      <c r="K92" s="21">
        <f>SUMIFS(Einzelbeträge!$D:$D,Einzelbeträge!$C:$C,'Ausgaben Vorlage'!$C92,Einzelbeträge!$E:$E,'Ausgaben Vorlage'!K$6)</f>
        <v>0</v>
      </c>
      <c r="L92" s="21">
        <f>SUMIFS(Einzelbeträge!$D:$D,Einzelbeträge!$C:$C,'Ausgaben Vorlage'!$C92,Einzelbeträge!$E:$E,'Ausgaben Vorlage'!L$6)</f>
        <v>0</v>
      </c>
      <c r="M92" s="21">
        <f>SUMIFS(Einzelbeträge!$D:$D,Einzelbeträge!$C:$C,'Ausgaben Vorlage'!$C92,Einzelbeträge!$E:$E,'Ausgaben Vorlage'!M$6)</f>
        <v>0</v>
      </c>
      <c r="N92" s="35">
        <f>SUMIFS(Einzelbeträge!$D:$D,Einzelbeträge!$C:$C,'Ausgaben Vorlage'!$C92,Einzelbeträge!$E:$E,'Ausgaben Vorlage'!N$6)</f>
        <v>0</v>
      </c>
      <c r="O92" s="6"/>
    </row>
    <row r="93" spans="2:15" x14ac:dyDescent="0.35">
      <c r="B93" s="5"/>
      <c r="C93" s="40">
        <f t="shared" si="18"/>
        <v>45737</v>
      </c>
      <c r="D93" s="44">
        <f>SUMIFS(Einzelbeträge!$D:$D,Einzelbeträge!$C:$C,'Ausgaben Vorlage'!$C93)</f>
        <v>0</v>
      </c>
      <c r="E93" s="34">
        <f>SUMIFS(Einzelbeträge!$D:$D,Einzelbeträge!$C:$C,'Ausgaben Vorlage'!$C93,Einzelbeträge!$E:$E,'Ausgaben Vorlage'!E$6)</f>
        <v>0</v>
      </c>
      <c r="F93" s="21">
        <f>SUMIFS(Einzelbeträge!$D:$D,Einzelbeträge!$C:$C,'Ausgaben Vorlage'!$C93,Einzelbeträge!$E:$E,'Ausgaben Vorlage'!F$6)</f>
        <v>0</v>
      </c>
      <c r="G93" s="21">
        <f>SUMIFS(Einzelbeträge!$D:$D,Einzelbeträge!$C:$C,'Ausgaben Vorlage'!$C93,Einzelbeträge!$E:$E,'Ausgaben Vorlage'!G$6)</f>
        <v>0</v>
      </c>
      <c r="H93" s="21">
        <f>SUMIFS(Einzelbeträge!$D:$D,Einzelbeträge!$C:$C,'Ausgaben Vorlage'!$C93,Einzelbeträge!$E:$E,'Ausgaben Vorlage'!H$6)</f>
        <v>0</v>
      </c>
      <c r="I93" s="21">
        <f>SUMIFS(Einzelbeträge!$D:$D,Einzelbeträge!$C:$C,'Ausgaben Vorlage'!$C93,Einzelbeträge!$E:$E,'Ausgaben Vorlage'!I$6)</f>
        <v>0</v>
      </c>
      <c r="J93" s="21">
        <f>SUMIFS(Einzelbeträge!$D:$D,Einzelbeträge!$C:$C,'Ausgaben Vorlage'!$C93,Einzelbeträge!$E:$E,'Ausgaben Vorlage'!J$6)</f>
        <v>0</v>
      </c>
      <c r="K93" s="21">
        <f>SUMIFS(Einzelbeträge!$D:$D,Einzelbeträge!$C:$C,'Ausgaben Vorlage'!$C93,Einzelbeträge!$E:$E,'Ausgaben Vorlage'!K$6)</f>
        <v>0</v>
      </c>
      <c r="L93" s="21">
        <f>SUMIFS(Einzelbeträge!$D:$D,Einzelbeträge!$C:$C,'Ausgaben Vorlage'!$C93,Einzelbeträge!$E:$E,'Ausgaben Vorlage'!L$6)</f>
        <v>0</v>
      </c>
      <c r="M93" s="21">
        <f>SUMIFS(Einzelbeträge!$D:$D,Einzelbeträge!$C:$C,'Ausgaben Vorlage'!$C93,Einzelbeträge!$E:$E,'Ausgaben Vorlage'!M$6)</f>
        <v>0</v>
      </c>
      <c r="N93" s="35">
        <f>SUMIFS(Einzelbeträge!$D:$D,Einzelbeträge!$C:$C,'Ausgaben Vorlage'!$C93,Einzelbeträge!$E:$E,'Ausgaben Vorlage'!N$6)</f>
        <v>0</v>
      </c>
      <c r="O93" s="6"/>
    </row>
    <row r="94" spans="2:15" x14ac:dyDescent="0.35">
      <c r="B94" s="5"/>
      <c r="C94" s="40">
        <f t="shared" si="18"/>
        <v>45738</v>
      </c>
      <c r="D94" s="44">
        <f>SUMIFS(Einzelbeträge!$D:$D,Einzelbeträge!$C:$C,'Ausgaben Vorlage'!$C94)</f>
        <v>0</v>
      </c>
      <c r="E94" s="34">
        <f>SUMIFS(Einzelbeträge!$D:$D,Einzelbeträge!$C:$C,'Ausgaben Vorlage'!$C94,Einzelbeträge!$E:$E,'Ausgaben Vorlage'!E$6)</f>
        <v>0</v>
      </c>
      <c r="F94" s="21">
        <f>SUMIFS(Einzelbeträge!$D:$D,Einzelbeträge!$C:$C,'Ausgaben Vorlage'!$C94,Einzelbeträge!$E:$E,'Ausgaben Vorlage'!F$6)</f>
        <v>0</v>
      </c>
      <c r="G94" s="21">
        <f>SUMIFS(Einzelbeträge!$D:$D,Einzelbeträge!$C:$C,'Ausgaben Vorlage'!$C94,Einzelbeträge!$E:$E,'Ausgaben Vorlage'!G$6)</f>
        <v>0</v>
      </c>
      <c r="H94" s="21">
        <f>SUMIFS(Einzelbeträge!$D:$D,Einzelbeträge!$C:$C,'Ausgaben Vorlage'!$C94,Einzelbeträge!$E:$E,'Ausgaben Vorlage'!H$6)</f>
        <v>0</v>
      </c>
      <c r="I94" s="21">
        <f>SUMIFS(Einzelbeträge!$D:$D,Einzelbeträge!$C:$C,'Ausgaben Vorlage'!$C94,Einzelbeträge!$E:$E,'Ausgaben Vorlage'!I$6)</f>
        <v>0</v>
      </c>
      <c r="J94" s="21">
        <f>SUMIFS(Einzelbeträge!$D:$D,Einzelbeträge!$C:$C,'Ausgaben Vorlage'!$C94,Einzelbeträge!$E:$E,'Ausgaben Vorlage'!J$6)</f>
        <v>0</v>
      </c>
      <c r="K94" s="21">
        <f>SUMIFS(Einzelbeträge!$D:$D,Einzelbeträge!$C:$C,'Ausgaben Vorlage'!$C94,Einzelbeträge!$E:$E,'Ausgaben Vorlage'!K$6)</f>
        <v>0</v>
      </c>
      <c r="L94" s="21">
        <f>SUMIFS(Einzelbeträge!$D:$D,Einzelbeträge!$C:$C,'Ausgaben Vorlage'!$C94,Einzelbeträge!$E:$E,'Ausgaben Vorlage'!L$6)</f>
        <v>0</v>
      </c>
      <c r="M94" s="21">
        <f>SUMIFS(Einzelbeträge!$D:$D,Einzelbeträge!$C:$C,'Ausgaben Vorlage'!$C94,Einzelbeträge!$E:$E,'Ausgaben Vorlage'!M$6)</f>
        <v>0</v>
      </c>
      <c r="N94" s="35">
        <f>SUMIFS(Einzelbeträge!$D:$D,Einzelbeträge!$C:$C,'Ausgaben Vorlage'!$C94,Einzelbeträge!$E:$E,'Ausgaben Vorlage'!N$6)</f>
        <v>0</v>
      </c>
      <c r="O94" s="6"/>
    </row>
    <row r="95" spans="2:15" x14ac:dyDescent="0.35">
      <c r="B95" s="5"/>
      <c r="C95" s="40">
        <f t="shared" si="18"/>
        <v>45739</v>
      </c>
      <c r="D95" s="44">
        <f>SUMIFS(Einzelbeträge!$D:$D,Einzelbeträge!$C:$C,'Ausgaben Vorlage'!$C95)</f>
        <v>0</v>
      </c>
      <c r="E95" s="34">
        <f>SUMIFS(Einzelbeträge!$D:$D,Einzelbeträge!$C:$C,'Ausgaben Vorlage'!$C95,Einzelbeträge!$E:$E,'Ausgaben Vorlage'!E$6)</f>
        <v>0</v>
      </c>
      <c r="F95" s="21">
        <f>SUMIFS(Einzelbeträge!$D:$D,Einzelbeträge!$C:$C,'Ausgaben Vorlage'!$C95,Einzelbeträge!$E:$E,'Ausgaben Vorlage'!F$6)</f>
        <v>0</v>
      </c>
      <c r="G95" s="21">
        <f>SUMIFS(Einzelbeträge!$D:$D,Einzelbeträge!$C:$C,'Ausgaben Vorlage'!$C95,Einzelbeträge!$E:$E,'Ausgaben Vorlage'!G$6)</f>
        <v>0</v>
      </c>
      <c r="H95" s="21">
        <f>SUMIFS(Einzelbeträge!$D:$D,Einzelbeträge!$C:$C,'Ausgaben Vorlage'!$C95,Einzelbeträge!$E:$E,'Ausgaben Vorlage'!H$6)</f>
        <v>0</v>
      </c>
      <c r="I95" s="21">
        <f>SUMIFS(Einzelbeträge!$D:$D,Einzelbeträge!$C:$C,'Ausgaben Vorlage'!$C95,Einzelbeträge!$E:$E,'Ausgaben Vorlage'!I$6)</f>
        <v>0</v>
      </c>
      <c r="J95" s="21">
        <f>SUMIFS(Einzelbeträge!$D:$D,Einzelbeträge!$C:$C,'Ausgaben Vorlage'!$C95,Einzelbeträge!$E:$E,'Ausgaben Vorlage'!J$6)</f>
        <v>0</v>
      </c>
      <c r="K95" s="21">
        <f>SUMIFS(Einzelbeträge!$D:$D,Einzelbeträge!$C:$C,'Ausgaben Vorlage'!$C95,Einzelbeträge!$E:$E,'Ausgaben Vorlage'!K$6)</f>
        <v>0</v>
      </c>
      <c r="L95" s="21">
        <f>SUMIFS(Einzelbeträge!$D:$D,Einzelbeträge!$C:$C,'Ausgaben Vorlage'!$C95,Einzelbeträge!$E:$E,'Ausgaben Vorlage'!L$6)</f>
        <v>0</v>
      </c>
      <c r="M95" s="21">
        <f>SUMIFS(Einzelbeträge!$D:$D,Einzelbeträge!$C:$C,'Ausgaben Vorlage'!$C95,Einzelbeträge!$E:$E,'Ausgaben Vorlage'!M$6)</f>
        <v>0</v>
      </c>
      <c r="N95" s="35">
        <f>SUMIFS(Einzelbeträge!$D:$D,Einzelbeträge!$C:$C,'Ausgaben Vorlage'!$C95,Einzelbeträge!$E:$E,'Ausgaben Vorlage'!N$6)</f>
        <v>0</v>
      </c>
      <c r="O95" s="6"/>
    </row>
    <row r="96" spans="2:15" x14ac:dyDescent="0.35">
      <c r="B96" s="5"/>
      <c r="C96" s="40">
        <f t="shared" si="18"/>
        <v>45740</v>
      </c>
      <c r="D96" s="44">
        <f>SUMIFS(Einzelbeträge!$D:$D,Einzelbeträge!$C:$C,'Ausgaben Vorlage'!$C96)</f>
        <v>0</v>
      </c>
      <c r="E96" s="34">
        <f>SUMIFS(Einzelbeträge!$D:$D,Einzelbeträge!$C:$C,'Ausgaben Vorlage'!$C96,Einzelbeträge!$E:$E,'Ausgaben Vorlage'!E$6)</f>
        <v>0</v>
      </c>
      <c r="F96" s="21">
        <f>SUMIFS(Einzelbeträge!$D:$D,Einzelbeträge!$C:$C,'Ausgaben Vorlage'!$C96,Einzelbeträge!$E:$E,'Ausgaben Vorlage'!F$6)</f>
        <v>0</v>
      </c>
      <c r="G96" s="21">
        <f>SUMIFS(Einzelbeträge!$D:$D,Einzelbeträge!$C:$C,'Ausgaben Vorlage'!$C96,Einzelbeträge!$E:$E,'Ausgaben Vorlage'!G$6)</f>
        <v>0</v>
      </c>
      <c r="H96" s="21">
        <f>SUMIFS(Einzelbeträge!$D:$D,Einzelbeträge!$C:$C,'Ausgaben Vorlage'!$C96,Einzelbeträge!$E:$E,'Ausgaben Vorlage'!H$6)</f>
        <v>0</v>
      </c>
      <c r="I96" s="21">
        <f>SUMIFS(Einzelbeträge!$D:$D,Einzelbeträge!$C:$C,'Ausgaben Vorlage'!$C96,Einzelbeträge!$E:$E,'Ausgaben Vorlage'!I$6)</f>
        <v>0</v>
      </c>
      <c r="J96" s="21">
        <f>SUMIFS(Einzelbeträge!$D:$D,Einzelbeträge!$C:$C,'Ausgaben Vorlage'!$C96,Einzelbeträge!$E:$E,'Ausgaben Vorlage'!J$6)</f>
        <v>0</v>
      </c>
      <c r="K96" s="21">
        <f>SUMIFS(Einzelbeträge!$D:$D,Einzelbeträge!$C:$C,'Ausgaben Vorlage'!$C96,Einzelbeträge!$E:$E,'Ausgaben Vorlage'!K$6)</f>
        <v>0</v>
      </c>
      <c r="L96" s="21">
        <f>SUMIFS(Einzelbeträge!$D:$D,Einzelbeträge!$C:$C,'Ausgaben Vorlage'!$C96,Einzelbeträge!$E:$E,'Ausgaben Vorlage'!L$6)</f>
        <v>0</v>
      </c>
      <c r="M96" s="21">
        <f>SUMIFS(Einzelbeträge!$D:$D,Einzelbeträge!$C:$C,'Ausgaben Vorlage'!$C96,Einzelbeträge!$E:$E,'Ausgaben Vorlage'!M$6)</f>
        <v>0</v>
      </c>
      <c r="N96" s="35">
        <f>SUMIFS(Einzelbeträge!$D:$D,Einzelbeträge!$C:$C,'Ausgaben Vorlage'!$C96,Einzelbeträge!$E:$E,'Ausgaben Vorlage'!N$6)</f>
        <v>0</v>
      </c>
      <c r="O96" s="6"/>
    </row>
    <row r="97" spans="2:15" x14ac:dyDescent="0.35">
      <c r="B97" s="5"/>
      <c r="C97" s="40">
        <f t="shared" si="18"/>
        <v>45741</v>
      </c>
      <c r="D97" s="44">
        <f>SUMIFS(Einzelbeträge!$D:$D,Einzelbeträge!$C:$C,'Ausgaben Vorlage'!$C97)</f>
        <v>0</v>
      </c>
      <c r="E97" s="34">
        <f>SUMIFS(Einzelbeträge!$D:$D,Einzelbeträge!$C:$C,'Ausgaben Vorlage'!$C97,Einzelbeträge!$E:$E,'Ausgaben Vorlage'!E$6)</f>
        <v>0</v>
      </c>
      <c r="F97" s="21">
        <f>SUMIFS(Einzelbeträge!$D:$D,Einzelbeträge!$C:$C,'Ausgaben Vorlage'!$C97,Einzelbeträge!$E:$E,'Ausgaben Vorlage'!F$6)</f>
        <v>0</v>
      </c>
      <c r="G97" s="21">
        <f>SUMIFS(Einzelbeträge!$D:$D,Einzelbeträge!$C:$C,'Ausgaben Vorlage'!$C97,Einzelbeträge!$E:$E,'Ausgaben Vorlage'!G$6)</f>
        <v>0</v>
      </c>
      <c r="H97" s="21">
        <f>SUMIFS(Einzelbeträge!$D:$D,Einzelbeträge!$C:$C,'Ausgaben Vorlage'!$C97,Einzelbeträge!$E:$E,'Ausgaben Vorlage'!H$6)</f>
        <v>0</v>
      </c>
      <c r="I97" s="21">
        <f>SUMIFS(Einzelbeträge!$D:$D,Einzelbeträge!$C:$C,'Ausgaben Vorlage'!$C97,Einzelbeträge!$E:$E,'Ausgaben Vorlage'!I$6)</f>
        <v>0</v>
      </c>
      <c r="J97" s="21">
        <f>SUMIFS(Einzelbeträge!$D:$D,Einzelbeträge!$C:$C,'Ausgaben Vorlage'!$C97,Einzelbeträge!$E:$E,'Ausgaben Vorlage'!J$6)</f>
        <v>0</v>
      </c>
      <c r="K97" s="21">
        <f>SUMIFS(Einzelbeträge!$D:$D,Einzelbeträge!$C:$C,'Ausgaben Vorlage'!$C97,Einzelbeträge!$E:$E,'Ausgaben Vorlage'!K$6)</f>
        <v>0</v>
      </c>
      <c r="L97" s="21">
        <f>SUMIFS(Einzelbeträge!$D:$D,Einzelbeträge!$C:$C,'Ausgaben Vorlage'!$C97,Einzelbeträge!$E:$E,'Ausgaben Vorlage'!L$6)</f>
        <v>0</v>
      </c>
      <c r="M97" s="21">
        <f>SUMIFS(Einzelbeträge!$D:$D,Einzelbeträge!$C:$C,'Ausgaben Vorlage'!$C97,Einzelbeträge!$E:$E,'Ausgaben Vorlage'!M$6)</f>
        <v>0</v>
      </c>
      <c r="N97" s="35">
        <f>SUMIFS(Einzelbeträge!$D:$D,Einzelbeträge!$C:$C,'Ausgaben Vorlage'!$C97,Einzelbeträge!$E:$E,'Ausgaben Vorlage'!N$6)</f>
        <v>0</v>
      </c>
      <c r="O97" s="6"/>
    </row>
    <row r="98" spans="2:15" x14ac:dyDescent="0.35">
      <c r="B98" s="5"/>
      <c r="C98" s="40">
        <f t="shared" si="18"/>
        <v>45742</v>
      </c>
      <c r="D98" s="44">
        <f>SUMIFS(Einzelbeträge!$D:$D,Einzelbeträge!$C:$C,'Ausgaben Vorlage'!$C98)</f>
        <v>0</v>
      </c>
      <c r="E98" s="34">
        <f>SUMIFS(Einzelbeträge!$D:$D,Einzelbeträge!$C:$C,'Ausgaben Vorlage'!$C98,Einzelbeträge!$E:$E,'Ausgaben Vorlage'!E$6)</f>
        <v>0</v>
      </c>
      <c r="F98" s="21">
        <f>SUMIFS(Einzelbeträge!$D:$D,Einzelbeträge!$C:$C,'Ausgaben Vorlage'!$C98,Einzelbeträge!$E:$E,'Ausgaben Vorlage'!F$6)</f>
        <v>0</v>
      </c>
      <c r="G98" s="21">
        <f>SUMIFS(Einzelbeträge!$D:$D,Einzelbeträge!$C:$C,'Ausgaben Vorlage'!$C98,Einzelbeträge!$E:$E,'Ausgaben Vorlage'!G$6)</f>
        <v>0</v>
      </c>
      <c r="H98" s="21">
        <f>SUMIFS(Einzelbeträge!$D:$D,Einzelbeträge!$C:$C,'Ausgaben Vorlage'!$C98,Einzelbeträge!$E:$E,'Ausgaben Vorlage'!H$6)</f>
        <v>0</v>
      </c>
      <c r="I98" s="21">
        <f>SUMIFS(Einzelbeträge!$D:$D,Einzelbeträge!$C:$C,'Ausgaben Vorlage'!$C98,Einzelbeträge!$E:$E,'Ausgaben Vorlage'!I$6)</f>
        <v>0</v>
      </c>
      <c r="J98" s="21">
        <f>SUMIFS(Einzelbeträge!$D:$D,Einzelbeträge!$C:$C,'Ausgaben Vorlage'!$C98,Einzelbeträge!$E:$E,'Ausgaben Vorlage'!J$6)</f>
        <v>0</v>
      </c>
      <c r="K98" s="21">
        <f>SUMIFS(Einzelbeträge!$D:$D,Einzelbeträge!$C:$C,'Ausgaben Vorlage'!$C98,Einzelbeträge!$E:$E,'Ausgaben Vorlage'!K$6)</f>
        <v>0</v>
      </c>
      <c r="L98" s="21">
        <f>SUMIFS(Einzelbeträge!$D:$D,Einzelbeträge!$C:$C,'Ausgaben Vorlage'!$C98,Einzelbeträge!$E:$E,'Ausgaben Vorlage'!L$6)</f>
        <v>0</v>
      </c>
      <c r="M98" s="21">
        <f>SUMIFS(Einzelbeträge!$D:$D,Einzelbeträge!$C:$C,'Ausgaben Vorlage'!$C98,Einzelbeträge!$E:$E,'Ausgaben Vorlage'!M$6)</f>
        <v>0</v>
      </c>
      <c r="N98" s="35">
        <f>SUMIFS(Einzelbeträge!$D:$D,Einzelbeträge!$C:$C,'Ausgaben Vorlage'!$C98,Einzelbeträge!$E:$E,'Ausgaben Vorlage'!N$6)</f>
        <v>0</v>
      </c>
      <c r="O98" s="6"/>
    </row>
    <row r="99" spans="2:15" x14ac:dyDescent="0.35">
      <c r="B99" s="5"/>
      <c r="C99" s="40">
        <f t="shared" si="18"/>
        <v>45743</v>
      </c>
      <c r="D99" s="44">
        <f>SUMIFS(Einzelbeträge!$D:$D,Einzelbeträge!$C:$C,'Ausgaben Vorlage'!$C99)</f>
        <v>0</v>
      </c>
      <c r="E99" s="34">
        <f>SUMIFS(Einzelbeträge!$D:$D,Einzelbeträge!$C:$C,'Ausgaben Vorlage'!$C99,Einzelbeträge!$E:$E,'Ausgaben Vorlage'!E$6)</f>
        <v>0</v>
      </c>
      <c r="F99" s="21">
        <f>SUMIFS(Einzelbeträge!$D:$D,Einzelbeträge!$C:$C,'Ausgaben Vorlage'!$C99,Einzelbeträge!$E:$E,'Ausgaben Vorlage'!F$6)</f>
        <v>0</v>
      </c>
      <c r="G99" s="21">
        <f>SUMIFS(Einzelbeträge!$D:$D,Einzelbeträge!$C:$C,'Ausgaben Vorlage'!$C99,Einzelbeträge!$E:$E,'Ausgaben Vorlage'!G$6)</f>
        <v>0</v>
      </c>
      <c r="H99" s="21">
        <f>SUMIFS(Einzelbeträge!$D:$D,Einzelbeträge!$C:$C,'Ausgaben Vorlage'!$C99,Einzelbeträge!$E:$E,'Ausgaben Vorlage'!H$6)</f>
        <v>0</v>
      </c>
      <c r="I99" s="21">
        <f>SUMIFS(Einzelbeträge!$D:$D,Einzelbeträge!$C:$C,'Ausgaben Vorlage'!$C99,Einzelbeträge!$E:$E,'Ausgaben Vorlage'!I$6)</f>
        <v>0</v>
      </c>
      <c r="J99" s="21">
        <f>SUMIFS(Einzelbeträge!$D:$D,Einzelbeträge!$C:$C,'Ausgaben Vorlage'!$C99,Einzelbeträge!$E:$E,'Ausgaben Vorlage'!J$6)</f>
        <v>0</v>
      </c>
      <c r="K99" s="21">
        <f>SUMIFS(Einzelbeträge!$D:$D,Einzelbeträge!$C:$C,'Ausgaben Vorlage'!$C99,Einzelbeträge!$E:$E,'Ausgaben Vorlage'!K$6)</f>
        <v>0</v>
      </c>
      <c r="L99" s="21">
        <f>SUMIFS(Einzelbeträge!$D:$D,Einzelbeträge!$C:$C,'Ausgaben Vorlage'!$C99,Einzelbeträge!$E:$E,'Ausgaben Vorlage'!L$6)</f>
        <v>0</v>
      </c>
      <c r="M99" s="21">
        <f>SUMIFS(Einzelbeträge!$D:$D,Einzelbeträge!$C:$C,'Ausgaben Vorlage'!$C99,Einzelbeträge!$E:$E,'Ausgaben Vorlage'!M$6)</f>
        <v>0</v>
      </c>
      <c r="N99" s="35">
        <f>SUMIFS(Einzelbeträge!$D:$D,Einzelbeträge!$C:$C,'Ausgaben Vorlage'!$C99,Einzelbeträge!$E:$E,'Ausgaben Vorlage'!N$6)</f>
        <v>0</v>
      </c>
      <c r="O99" s="6"/>
    </row>
    <row r="100" spans="2:15" x14ac:dyDescent="0.35">
      <c r="B100" s="5"/>
      <c r="C100" s="40">
        <f t="shared" si="18"/>
        <v>45744</v>
      </c>
      <c r="D100" s="44">
        <f>SUMIFS(Einzelbeträge!$D:$D,Einzelbeträge!$C:$C,'Ausgaben Vorlage'!$C100)</f>
        <v>0</v>
      </c>
      <c r="E100" s="34">
        <f>SUMIFS(Einzelbeträge!$D:$D,Einzelbeträge!$C:$C,'Ausgaben Vorlage'!$C100,Einzelbeträge!$E:$E,'Ausgaben Vorlage'!E$6)</f>
        <v>0</v>
      </c>
      <c r="F100" s="21">
        <f>SUMIFS(Einzelbeträge!$D:$D,Einzelbeträge!$C:$C,'Ausgaben Vorlage'!$C100,Einzelbeträge!$E:$E,'Ausgaben Vorlage'!F$6)</f>
        <v>0</v>
      </c>
      <c r="G100" s="21">
        <f>SUMIFS(Einzelbeträge!$D:$D,Einzelbeträge!$C:$C,'Ausgaben Vorlage'!$C100,Einzelbeträge!$E:$E,'Ausgaben Vorlage'!G$6)</f>
        <v>0</v>
      </c>
      <c r="H100" s="21">
        <f>SUMIFS(Einzelbeträge!$D:$D,Einzelbeträge!$C:$C,'Ausgaben Vorlage'!$C100,Einzelbeträge!$E:$E,'Ausgaben Vorlage'!H$6)</f>
        <v>0</v>
      </c>
      <c r="I100" s="21">
        <f>SUMIFS(Einzelbeträge!$D:$D,Einzelbeträge!$C:$C,'Ausgaben Vorlage'!$C100,Einzelbeträge!$E:$E,'Ausgaben Vorlage'!I$6)</f>
        <v>0</v>
      </c>
      <c r="J100" s="21">
        <f>SUMIFS(Einzelbeträge!$D:$D,Einzelbeträge!$C:$C,'Ausgaben Vorlage'!$C100,Einzelbeträge!$E:$E,'Ausgaben Vorlage'!J$6)</f>
        <v>0</v>
      </c>
      <c r="K100" s="21">
        <f>SUMIFS(Einzelbeträge!$D:$D,Einzelbeträge!$C:$C,'Ausgaben Vorlage'!$C100,Einzelbeträge!$E:$E,'Ausgaben Vorlage'!K$6)</f>
        <v>0</v>
      </c>
      <c r="L100" s="21">
        <f>SUMIFS(Einzelbeträge!$D:$D,Einzelbeträge!$C:$C,'Ausgaben Vorlage'!$C100,Einzelbeträge!$E:$E,'Ausgaben Vorlage'!L$6)</f>
        <v>0</v>
      </c>
      <c r="M100" s="21">
        <f>SUMIFS(Einzelbeträge!$D:$D,Einzelbeträge!$C:$C,'Ausgaben Vorlage'!$C100,Einzelbeträge!$E:$E,'Ausgaben Vorlage'!M$6)</f>
        <v>0</v>
      </c>
      <c r="N100" s="35">
        <f>SUMIFS(Einzelbeträge!$D:$D,Einzelbeträge!$C:$C,'Ausgaben Vorlage'!$C100,Einzelbeträge!$E:$E,'Ausgaben Vorlage'!N$6)</f>
        <v>0</v>
      </c>
      <c r="O100" s="6"/>
    </row>
    <row r="101" spans="2:15" x14ac:dyDescent="0.35">
      <c r="B101" s="5"/>
      <c r="C101" s="40">
        <f t="shared" si="18"/>
        <v>45745</v>
      </c>
      <c r="D101" s="44">
        <f>SUMIFS(Einzelbeträge!$D:$D,Einzelbeträge!$C:$C,'Ausgaben Vorlage'!$C101)</f>
        <v>0</v>
      </c>
      <c r="E101" s="34">
        <f>SUMIFS(Einzelbeträge!$D:$D,Einzelbeträge!$C:$C,'Ausgaben Vorlage'!$C101,Einzelbeträge!$E:$E,'Ausgaben Vorlage'!E$6)</f>
        <v>0</v>
      </c>
      <c r="F101" s="21">
        <f>SUMIFS(Einzelbeträge!$D:$D,Einzelbeträge!$C:$C,'Ausgaben Vorlage'!$C101,Einzelbeträge!$E:$E,'Ausgaben Vorlage'!F$6)</f>
        <v>0</v>
      </c>
      <c r="G101" s="21">
        <f>SUMIFS(Einzelbeträge!$D:$D,Einzelbeträge!$C:$C,'Ausgaben Vorlage'!$C101,Einzelbeträge!$E:$E,'Ausgaben Vorlage'!G$6)</f>
        <v>0</v>
      </c>
      <c r="H101" s="21">
        <f>SUMIFS(Einzelbeträge!$D:$D,Einzelbeträge!$C:$C,'Ausgaben Vorlage'!$C101,Einzelbeträge!$E:$E,'Ausgaben Vorlage'!H$6)</f>
        <v>0</v>
      </c>
      <c r="I101" s="21">
        <f>SUMIFS(Einzelbeträge!$D:$D,Einzelbeträge!$C:$C,'Ausgaben Vorlage'!$C101,Einzelbeträge!$E:$E,'Ausgaben Vorlage'!I$6)</f>
        <v>0</v>
      </c>
      <c r="J101" s="21">
        <f>SUMIFS(Einzelbeträge!$D:$D,Einzelbeträge!$C:$C,'Ausgaben Vorlage'!$C101,Einzelbeträge!$E:$E,'Ausgaben Vorlage'!J$6)</f>
        <v>0</v>
      </c>
      <c r="K101" s="21">
        <f>SUMIFS(Einzelbeträge!$D:$D,Einzelbeträge!$C:$C,'Ausgaben Vorlage'!$C101,Einzelbeträge!$E:$E,'Ausgaben Vorlage'!K$6)</f>
        <v>0</v>
      </c>
      <c r="L101" s="21">
        <f>SUMIFS(Einzelbeträge!$D:$D,Einzelbeträge!$C:$C,'Ausgaben Vorlage'!$C101,Einzelbeträge!$E:$E,'Ausgaben Vorlage'!L$6)</f>
        <v>0</v>
      </c>
      <c r="M101" s="21">
        <f>SUMIFS(Einzelbeträge!$D:$D,Einzelbeträge!$C:$C,'Ausgaben Vorlage'!$C101,Einzelbeträge!$E:$E,'Ausgaben Vorlage'!M$6)</f>
        <v>0</v>
      </c>
      <c r="N101" s="35">
        <f>SUMIFS(Einzelbeträge!$D:$D,Einzelbeträge!$C:$C,'Ausgaben Vorlage'!$C101,Einzelbeträge!$E:$E,'Ausgaben Vorlage'!N$6)</f>
        <v>0</v>
      </c>
      <c r="O101" s="6"/>
    </row>
    <row r="102" spans="2:15" x14ac:dyDescent="0.35">
      <c r="B102" s="5"/>
      <c r="C102" s="40">
        <f t="shared" si="18"/>
        <v>45746</v>
      </c>
      <c r="D102" s="44">
        <f>SUMIFS(Einzelbeträge!$D:$D,Einzelbeträge!$C:$C,'Ausgaben Vorlage'!$C102)</f>
        <v>0</v>
      </c>
      <c r="E102" s="34">
        <f>SUMIFS(Einzelbeträge!$D:$D,Einzelbeträge!$C:$C,'Ausgaben Vorlage'!$C102,Einzelbeträge!$E:$E,'Ausgaben Vorlage'!E$6)</f>
        <v>0</v>
      </c>
      <c r="F102" s="21">
        <f>SUMIFS(Einzelbeträge!$D:$D,Einzelbeträge!$C:$C,'Ausgaben Vorlage'!$C102,Einzelbeträge!$E:$E,'Ausgaben Vorlage'!F$6)</f>
        <v>0</v>
      </c>
      <c r="G102" s="21">
        <f>SUMIFS(Einzelbeträge!$D:$D,Einzelbeträge!$C:$C,'Ausgaben Vorlage'!$C102,Einzelbeträge!$E:$E,'Ausgaben Vorlage'!G$6)</f>
        <v>0</v>
      </c>
      <c r="H102" s="21">
        <f>SUMIFS(Einzelbeträge!$D:$D,Einzelbeträge!$C:$C,'Ausgaben Vorlage'!$C102,Einzelbeträge!$E:$E,'Ausgaben Vorlage'!H$6)</f>
        <v>0</v>
      </c>
      <c r="I102" s="21">
        <f>SUMIFS(Einzelbeträge!$D:$D,Einzelbeträge!$C:$C,'Ausgaben Vorlage'!$C102,Einzelbeträge!$E:$E,'Ausgaben Vorlage'!I$6)</f>
        <v>0</v>
      </c>
      <c r="J102" s="21">
        <f>SUMIFS(Einzelbeträge!$D:$D,Einzelbeträge!$C:$C,'Ausgaben Vorlage'!$C102,Einzelbeträge!$E:$E,'Ausgaben Vorlage'!J$6)</f>
        <v>0</v>
      </c>
      <c r="K102" s="21">
        <f>SUMIFS(Einzelbeträge!$D:$D,Einzelbeträge!$C:$C,'Ausgaben Vorlage'!$C102,Einzelbeträge!$E:$E,'Ausgaben Vorlage'!K$6)</f>
        <v>0</v>
      </c>
      <c r="L102" s="21">
        <f>SUMIFS(Einzelbeträge!$D:$D,Einzelbeträge!$C:$C,'Ausgaben Vorlage'!$C102,Einzelbeträge!$E:$E,'Ausgaben Vorlage'!L$6)</f>
        <v>0</v>
      </c>
      <c r="M102" s="21">
        <f>SUMIFS(Einzelbeträge!$D:$D,Einzelbeträge!$C:$C,'Ausgaben Vorlage'!$C102,Einzelbeträge!$E:$E,'Ausgaben Vorlage'!M$6)</f>
        <v>0</v>
      </c>
      <c r="N102" s="35">
        <f>SUMIFS(Einzelbeträge!$D:$D,Einzelbeträge!$C:$C,'Ausgaben Vorlage'!$C102,Einzelbeträge!$E:$E,'Ausgaben Vorlage'!N$6)</f>
        <v>0</v>
      </c>
      <c r="O102" s="6"/>
    </row>
    <row r="103" spans="2:15" x14ac:dyDescent="0.35">
      <c r="B103" s="5"/>
      <c r="C103" s="31">
        <f t="shared" si="18"/>
        <v>45747</v>
      </c>
      <c r="D103" s="73">
        <f>SUMIFS(Einzelbeträge!$D:$D,Einzelbeträge!$C:$C,'Ausgaben Vorlage'!$C103)</f>
        <v>0</v>
      </c>
      <c r="E103" s="36">
        <f>SUMIFS(Einzelbeträge!$D:$D,Einzelbeträge!$C:$C,'Ausgaben Vorlage'!$C103,Einzelbeträge!$E:$E,'Ausgaben Vorlage'!E$6)</f>
        <v>0</v>
      </c>
      <c r="F103" s="37">
        <f>SUMIFS(Einzelbeträge!$D:$D,Einzelbeträge!$C:$C,'Ausgaben Vorlage'!$C103,Einzelbeträge!$E:$E,'Ausgaben Vorlage'!F$6)</f>
        <v>0</v>
      </c>
      <c r="G103" s="37">
        <f>SUMIFS(Einzelbeträge!$D:$D,Einzelbeträge!$C:$C,'Ausgaben Vorlage'!$C103,Einzelbeträge!$E:$E,'Ausgaben Vorlage'!G$6)</f>
        <v>0</v>
      </c>
      <c r="H103" s="37">
        <f>SUMIFS(Einzelbeträge!$D:$D,Einzelbeträge!$C:$C,'Ausgaben Vorlage'!$C103,Einzelbeträge!$E:$E,'Ausgaben Vorlage'!H$6)</f>
        <v>0</v>
      </c>
      <c r="I103" s="37">
        <f>SUMIFS(Einzelbeträge!$D:$D,Einzelbeträge!$C:$C,'Ausgaben Vorlage'!$C103,Einzelbeträge!$E:$E,'Ausgaben Vorlage'!I$6)</f>
        <v>0</v>
      </c>
      <c r="J103" s="37">
        <f>SUMIFS(Einzelbeträge!$D:$D,Einzelbeträge!$C:$C,'Ausgaben Vorlage'!$C103,Einzelbeträge!$E:$E,'Ausgaben Vorlage'!J$6)</f>
        <v>0</v>
      </c>
      <c r="K103" s="37">
        <f>SUMIFS(Einzelbeträge!$D:$D,Einzelbeträge!$C:$C,'Ausgaben Vorlage'!$C103,Einzelbeträge!$E:$E,'Ausgaben Vorlage'!K$6)</f>
        <v>0</v>
      </c>
      <c r="L103" s="37">
        <f>SUMIFS(Einzelbeträge!$D:$D,Einzelbeträge!$C:$C,'Ausgaben Vorlage'!$C103,Einzelbeträge!$E:$E,'Ausgaben Vorlage'!L$6)</f>
        <v>0</v>
      </c>
      <c r="M103" s="37">
        <f>SUMIFS(Einzelbeträge!$D:$D,Einzelbeträge!$C:$C,'Ausgaben Vorlage'!$C103,Einzelbeträge!$E:$E,'Ausgaben Vorlage'!M$6)</f>
        <v>0</v>
      </c>
      <c r="N103" s="38">
        <f>SUMIFS(Einzelbeträge!$D:$D,Einzelbeträge!$C:$C,'Ausgaben Vorlage'!$C103,Einzelbeträge!$E:$E,'Ausgaben Vorlage'!N$6)</f>
        <v>0</v>
      </c>
      <c r="O103" s="6"/>
    </row>
    <row r="104" spans="2:15" x14ac:dyDescent="0.35">
      <c r="B104" s="5"/>
      <c r="C104" s="22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6"/>
    </row>
    <row r="105" spans="2:15" x14ac:dyDescent="0.35">
      <c r="B105" s="5"/>
      <c r="C105" s="16" t="s">
        <v>20</v>
      </c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6"/>
    </row>
    <row r="106" spans="2:15" x14ac:dyDescent="0.35">
      <c r="B106" s="5"/>
      <c r="C106" s="1" t="s">
        <v>7</v>
      </c>
      <c r="D106" s="16" t="s">
        <v>6</v>
      </c>
      <c r="E106" s="42" t="s">
        <v>0</v>
      </c>
      <c r="F106" s="42" t="s">
        <v>1</v>
      </c>
      <c r="G106" s="42" t="s">
        <v>3</v>
      </c>
      <c r="H106" s="42" t="s">
        <v>2</v>
      </c>
      <c r="I106" s="42" t="s">
        <v>42</v>
      </c>
      <c r="J106" s="42" t="s">
        <v>65</v>
      </c>
      <c r="K106" s="42" t="s">
        <v>64</v>
      </c>
      <c r="L106" s="42" t="s">
        <v>63</v>
      </c>
      <c r="M106" s="42" t="s">
        <v>62</v>
      </c>
      <c r="N106" s="43" t="s">
        <v>61</v>
      </c>
      <c r="O106" s="6"/>
    </row>
    <row r="107" spans="2:15" x14ac:dyDescent="0.35">
      <c r="B107" s="5"/>
      <c r="C107" s="48">
        <f>C103+1</f>
        <v>45748</v>
      </c>
      <c r="D107" s="45">
        <f>SUMIFS(Einzelbeträge!$D:$D,Einzelbeträge!$C:$C,'Ausgaben Vorlage'!$C107)</f>
        <v>0</v>
      </c>
      <c r="E107" s="32">
        <f>SUMIFS(Einzelbeträge!$D:$D,Einzelbeträge!$C:$C,'Ausgaben Vorlage'!$C107,Einzelbeträge!$E:$E,'Ausgaben Vorlage'!E$6)</f>
        <v>0</v>
      </c>
      <c r="F107" s="32">
        <f>SUMIFS(Einzelbeträge!$D:$D,Einzelbeträge!$C:$C,'Ausgaben Vorlage'!$C107,Einzelbeträge!$E:$E,'Ausgaben Vorlage'!F$6)</f>
        <v>0</v>
      </c>
      <c r="G107" s="32">
        <f>SUMIFS(Einzelbeträge!$D:$D,Einzelbeträge!$C:$C,'Ausgaben Vorlage'!$C107,Einzelbeträge!$E:$E,'Ausgaben Vorlage'!G$6)</f>
        <v>0</v>
      </c>
      <c r="H107" s="32">
        <f>SUMIFS(Einzelbeträge!$D:$D,Einzelbeträge!$C:$C,'Ausgaben Vorlage'!$C107,Einzelbeträge!$E:$E,'Ausgaben Vorlage'!H$6)</f>
        <v>0</v>
      </c>
      <c r="I107" s="32">
        <f>SUMIFS(Einzelbeträge!$D:$D,Einzelbeträge!$C:$C,'Ausgaben Vorlage'!$C107,Einzelbeträge!$E:$E,'Ausgaben Vorlage'!I$6)</f>
        <v>0</v>
      </c>
      <c r="J107" s="32">
        <f>SUMIFS(Einzelbeträge!$D:$D,Einzelbeträge!$C:$C,'Ausgaben Vorlage'!$C107,Einzelbeträge!$E:$E,'Ausgaben Vorlage'!J$6)</f>
        <v>0</v>
      </c>
      <c r="K107" s="32">
        <f>SUMIFS(Einzelbeträge!$D:$D,Einzelbeträge!$C:$C,'Ausgaben Vorlage'!$C107,Einzelbeträge!$E:$E,'Ausgaben Vorlage'!K$6)</f>
        <v>0</v>
      </c>
      <c r="L107" s="32">
        <f>SUMIFS(Einzelbeträge!$D:$D,Einzelbeträge!$C:$C,'Ausgaben Vorlage'!$C107,Einzelbeträge!$E:$E,'Ausgaben Vorlage'!L$6)</f>
        <v>0</v>
      </c>
      <c r="M107" s="32">
        <f>SUMIFS(Einzelbeträge!$D:$D,Einzelbeträge!$C:$C,'Ausgaben Vorlage'!$C107,Einzelbeträge!$E:$E,'Ausgaben Vorlage'!M$6)</f>
        <v>0</v>
      </c>
      <c r="N107" s="33">
        <f>SUMIFS(Einzelbeträge!$D:$D,Einzelbeträge!$C:$C,'Ausgaben Vorlage'!$C107,Einzelbeträge!$E:$E,'Ausgaben Vorlage'!N$6)</f>
        <v>0</v>
      </c>
      <c r="O107" s="6"/>
    </row>
    <row r="108" spans="2:15" x14ac:dyDescent="0.35">
      <c r="B108" s="5"/>
      <c r="C108" s="30">
        <f>C107+1</f>
        <v>45749</v>
      </c>
      <c r="D108" s="46">
        <f>SUMIFS(Einzelbeträge!$D:$D,Einzelbeträge!$C:$C,'Ausgaben Vorlage'!$C108)</f>
        <v>0</v>
      </c>
      <c r="E108" s="21">
        <f>SUMIFS(Einzelbeträge!$D:$D,Einzelbeträge!$C:$C,'Ausgaben Vorlage'!$C108,Einzelbeträge!$E:$E,'Ausgaben Vorlage'!E$6)</f>
        <v>0</v>
      </c>
      <c r="F108" s="21">
        <f>SUMIFS(Einzelbeträge!$D:$D,Einzelbeträge!$C:$C,'Ausgaben Vorlage'!$C108,Einzelbeträge!$E:$E,'Ausgaben Vorlage'!F$6)</f>
        <v>0</v>
      </c>
      <c r="G108" s="21">
        <f>SUMIFS(Einzelbeträge!$D:$D,Einzelbeträge!$C:$C,'Ausgaben Vorlage'!$C108,Einzelbeträge!$E:$E,'Ausgaben Vorlage'!G$6)</f>
        <v>0</v>
      </c>
      <c r="H108" s="21">
        <f>SUMIFS(Einzelbeträge!$D:$D,Einzelbeträge!$C:$C,'Ausgaben Vorlage'!$C108,Einzelbeträge!$E:$E,'Ausgaben Vorlage'!H$6)</f>
        <v>0</v>
      </c>
      <c r="I108" s="21">
        <f>SUMIFS(Einzelbeträge!$D:$D,Einzelbeträge!$C:$C,'Ausgaben Vorlage'!$C108,Einzelbeträge!$E:$E,'Ausgaben Vorlage'!I$6)</f>
        <v>0</v>
      </c>
      <c r="J108" s="21">
        <f>SUMIFS(Einzelbeträge!$D:$D,Einzelbeträge!$C:$C,'Ausgaben Vorlage'!$C108,Einzelbeträge!$E:$E,'Ausgaben Vorlage'!J$6)</f>
        <v>0</v>
      </c>
      <c r="K108" s="21">
        <f>SUMIFS(Einzelbeträge!$D:$D,Einzelbeträge!$C:$C,'Ausgaben Vorlage'!$C108,Einzelbeträge!$E:$E,'Ausgaben Vorlage'!K$6)</f>
        <v>0</v>
      </c>
      <c r="L108" s="21">
        <f>SUMIFS(Einzelbeträge!$D:$D,Einzelbeträge!$C:$C,'Ausgaben Vorlage'!$C108,Einzelbeträge!$E:$E,'Ausgaben Vorlage'!L$6)</f>
        <v>0</v>
      </c>
      <c r="M108" s="21">
        <f>SUMIFS(Einzelbeträge!$D:$D,Einzelbeträge!$C:$C,'Ausgaben Vorlage'!$C108,Einzelbeträge!$E:$E,'Ausgaben Vorlage'!M$6)</f>
        <v>0</v>
      </c>
      <c r="N108" s="35">
        <f>SUMIFS(Einzelbeträge!$D:$D,Einzelbeträge!$C:$C,'Ausgaben Vorlage'!$C108,Einzelbeträge!$E:$E,'Ausgaben Vorlage'!N$6)</f>
        <v>0</v>
      </c>
      <c r="O108" s="6"/>
    </row>
    <row r="109" spans="2:15" x14ac:dyDescent="0.35">
      <c r="B109" s="5"/>
      <c r="C109" s="30">
        <f t="shared" ref="C109:C136" si="19">C108+1</f>
        <v>45750</v>
      </c>
      <c r="D109" s="46">
        <f>SUMIFS(Einzelbeträge!$D:$D,Einzelbeträge!$C:$C,'Ausgaben Vorlage'!$C109)</f>
        <v>0</v>
      </c>
      <c r="E109" s="21">
        <f>SUMIFS(Einzelbeträge!$D:$D,Einzelbeträge!$C:$C,'Ausgaben Vorlage'!$C109,Einzelbeträge!$E:$E,'Ausgaben Vorlage'!E$6)</f>
        <v>0</v>
      </c>
      <c r="F109" s="21">
        <f>SUMIFS(Einzelbeträge!$D:$D,Einzelbeträge!$C:$C,'Ausgaben Vorlage'!$C109,Einzelbeträge!$E:$E,'Ausgaben Vorlage'!F$6)</f>
        <v>0</v>
      </c>
      <c r="G109" s="21">
        <f>SUMIFS(Einzelbeträge!$D:$D,Einzelbeträge!$C:$C,'Ausgaben Vorlage'!$C109,Einzelbeträge!$E:$E,'Ausgaben Vorlage'!G$6)</f>
        <v>0</v>
      </c>
      <c r="H109" s="21">
        <f>SUMIFS(Einzelbeträge!$D:$D,Einzelbeträge!$C:$C,'Ausgaben Vorlage'!$C109,Einzelbeträge!$E:$E,'Ausgaben Vorlage'!H$6)</f>
        <v>0</v>
      </c>
      <c r="I109" s="21">
        <f>SUMIFS(Einzelbeträge!$D:$D,Einzelbeträge!$C:$C,'Ausgaben Vorlage'!$C109,Einzelbeträge!$E:$E,'Ausgaben Vorlage'!I$6)</f>
        <v>0</v>
      </c>
      <c r="J109" s="21">
        <f>SUMIFS(Einzelbeträge!$D:$D,Einzelbeträge!$C:$C,'Ausgaben Vorlage'!$C109,Einzelbeträge!$E:$E,'Ausgaben Vorlage'!J$6)</f>
        <v>0</v>
      </c>
      <c r="K109" s="21">
        <f>SUMIFS(Einzelbeträge!$D:$D,Einzelbeträge!$C:$C,'Ausgaben Vorlage'!$C109,Einzelbeträge!$E:$E,'Ausgaben Vorlage'!K$6)</f>
        <v>0</v>
      </c>
      <c r="L109" s="21">
        <f>SUMIFS(Einzelbeträge!$D:$D,Einzelbeträge!$C:$C,'Ausgaben Vorlage'!$C109,Einzelbeträge!$E:$E,'Ausgaben Vorlage'!L$6)</f>
        <v>0</v>
      </c>
      <c r="M109" s="21">
        <f>SUMIFS(Einzelbeträge!$D:$D,Einzelbeträge!$C:$C,'Ausgaben Vorlage'!$C109,Einzelbeträge!$E:$E,'Ausgaben Vorlage'!M$6)</f>
        <v>0</v>
      </c>
      <c r="N109" s="35">
        <f>SUMIFS(Einzelbeträge!$D:$D,Einzelbeträge!$C:$C,'Ausgaben Vorlage'!$C109,Einzelbeträge!$E:$E,'Ausgaben Vorlage'!N$6)</f>
        <v>0</v>
      </c>
      <c r="O109" s="6"/>
    </row>
    <row r="110" spans="2:15" x14ac:dyDescent="0.35">
      <c r="B110" s="5"/>
      <c r="C110" s="30">
        <f t="shared" si="19"/>
        <v>45751</v>
      </c>
      <c r="D110" s="46">
        <f>SUMIFS(Einzelbeträge!$D:$D,Einzelbeträge!$C:$C,'Ausgaben Vorlage'!$C110)</f>
        <v>0</v>
      </c>
      <c r="E110" s="21">
        <f>SUMIFS(Einzelbeträge!$D:$D,Einzelbeträge!$C:$C,'Ausgaben Vorlage'!$C110,Einzelbeträge!$E:$E,'Ausgaben Vorlage'!E$6)</f>
        <v>0</v>
      </c>
      <c r="F110" s="21">
        <f>SUMIFS(Einzelbeträge!$D:$D,Einzelbeträge!$C:$C,'Ausgaben Vorlage'!$C110,Einzelbeträge!$E:$E,'Ausgaben Vorlage'!F$6)</f>
        <v>0</v>
      </c>
      <c r="G110" s="21">
        <f>SUMIFS(Einzelbeträge!$D:$D,Einzelbeträge!$C:$C,'Ausgaben Vorlage'!$C110,Einzelbeträge!$E:$E,'Ausgaben Vorlage'!G$6)</f>
        <v>0</v>
      </c>
      <c r="H110" s="21">
        <f>SUMIFS(Einzelbeträge!$D:$D,Einzelbeträge!$C:$C,'Ausgaben Vorlage'!$C110,Einzelbeträge!$E:$E,'Ausgaben Vorlage'!H$6)</f>
        <v>0</v>
      </c>
      <c r="I110" s="21">
        <f>SUMIFS(Einzelbeträge!$D:$D,Einzelbeträge!$C:$C,'Ausgaben Vorlage'!$C110,Einzelbeträge!$E:$E,'Ausgaben Vorlage'!I$6)</f>
        <v>0</v>
      </c>
      <c r="J110" s="21">
        <f>SUMIFS(Einzelbeträge!$D:$D,Einzelbeträge!$C:$C,'Ausgaben Vorlage'!$C110,Einzelbeträge!$E:$E,'Ausgaben Vorlage'!J$6)</f>
        <v>0</v>
      </c>
      <c r="K110" s="21">
        <f>SUMIFS(Einzelbeträge!$D:$D,Einzelbeträge!$C:$C,'Ausgaben Vorlage'!$C110,Einzelbeträge!$E:$E,'Ausgaben Vorlage'!K$6)</f>
        <v>0</v>
      </c>
      <c r="L110" s="21">
        <f>SUMIFS(Einzelbeträge!$D:$D,Einzelbeträge!$C:$C,'Ausgaben Vorlage'!$C110,Einzelbeträge!$E:$E,'Ausgaben Vorlage'!L$6)</f>
        <v>0</v>
      </c>
      <c r="M110" s="21">
        <f>SUMIFS(Einzelbeträge!$D:$D,Einzelbeträge!$C:$C,'Ausgaben Vorlage'!$C110,Einzelbeträge!$E:$E,'Ausgaben Vorlage'!M$6)</f>
        <v>0</v>
      </c>
      <c r="N110" s="35">
        <f>SUMIFS(Einzelbeträge!$D:$D,Einzelbeträge!$C:$C,'Ausgaben Vorlage'!$C110,Einzelbeträge!$E:$E,'Ausgaben Vorlage'!N$6)</f>
        <v>0</v>
      </c>
      <c r="O110" s="6"/>
    </row>
    <row r="111" spans="2:15" x14ac:dyDescent="0.35">
      <c r="B111" s="5"/>
      <c r="C111" s="30">
        <f t="shared" si="19"/>
        <v>45752</v>
      </c>
      <c r="D111" s="46">
        <f>SUMIFS(Einzelbeträge!$D:$D,Einzelbeträge!$C:$C,'Ausgaben Vorlage'!$C111)</f>
        <v>0</v>
      </c>
      <c r="E111" s="21">
        <f>SUMIFS(Einzelbeträge!$D:$D,Einzelbeträge!$C:$C,'Ausgaben Vorlage'!$C111,Einzelbeträge!$E:$E,'Ausgaben Vorlage'!E$6)</f>
        <v>0</v>
      </c>
      <c r="F111" s="21">
        <f>SUMIFS(Einzelbeträge!$D:$D,Einzelbeträge!$C:$C,'Ausgaben Vorlage'!$C111,Einzelbeträge!$E:$E,'Ausgaben Vorlage'!F$6)</f>
        <v>0</v>
      </c>
      <c r="G111" s="21">
        <f>SUMIFS(Einzelbeträge!$D:$D,Einzelbeträge!$C:$C,'Ausgaben Vorlage'!$C111,Einzelbeträge!$E:$E,'Ausgaben Vorlage'!G$6)</f>
        <v>0</v>
      </c>
      <c r="H111" s="21">
        <f>SUMIFS(Einzelbeträge!$D:$D,Einzelbeträge!$C:$C,'Ausgaben Vorlage'!$C111,Einzelbeträge!$E:$E,'Ausgaben Vorlage'!H$6)</f>
        <v>0</v>
      </c>
      <c r="I111" s="21">
        <f>SUMIFS(Einzelbeträge!$D:$D,Einzelbeträge!$C:$C,'Ausgaben Vorlage'!$C111,Einzelbeträge!$E:$E,'Ausgaben Vorlage'!I$6)</f>
        <v>0</v>
      </c>
      <c r="J111" s="21">
        <f>SUMIFS(Einzelbeträge!$D:$D,Einzelbeträge!$C:$C,'Ausgaben Vorlage'!$C111,Einzelbeträge!$E:$E,'Ausgaben Vorlage'!J$6)</f>
        <v>0</v>
      </c>
      <c r="K111" s="21">
        <f>SUMIFS(Einzelbeträge!$D:$D,Einzelbeträge!$C:$C,'Ausgaben Vorlage'!$C111,Einzelbeträge!$E:$E,'Ausgaben Vorlage'!K$6)</f>
        <v>0</v>
      </c>
      <c r="L111" s="21">
        <f>SUMIFS(Einzelbeträge!$D:$D,Einzelbeträge!$C:$C,'Ausgaben Vorlage'!$C111,Einzelbeträge!$E:$E,'Ausgaben Vorlage'!L$6)</f>
        <v>0</v>
      </c>
      <c r="M111" s="21">
        <f>SUMIFS(Einzelbeträge!$D:$D,Einzelbeträge!$C:$C,'Ausgaben Vorlage'!$C111,Einzelbeträge!$E:$E,'Ausgaben Vorlage'!M$6)</f>
        <v>0</v>
      </c>
      <c r="N111" s="35">
        <f>SUMIFS(Einzelbeträge!$D:$D,Einzelbeträge!$C:$C,'Ausgaben Vorlage'!$C111,Einzelbeträge!$E:$E,'Ausgaben Vorlage'!N$6)</f>
        <v>0</v>
      </c>
      <c r="O111" s="6"/>
    </row>
    <row r="112" spans="2:15" x14ac:dyDescent="0.35">
      <c r="B112" s="5"/>
      <c r="C112" s="30">
        <f t="shared" si="19"/>
        <v>45753</v>
      </c>
      <c r="D112" s="46">
        <f>SUMIFS(Einzelbeträge!$D:$D,Einzelbeträge!$C:$C,'Ausgaben Vorlage'!$C112)</f>
        <v>0</v>
      </c>
      <c r="E112" s="21">
        <f>SUMIFS(Einzelbeträge!$D:$D,Einzelbeträge!$C:$C,'Ausgaben Vorlage'!$C112,Einzelbeträge!$E:$E,'Ausgaben Vorlage'!E$6)</f>
        <v>0</v>
      </c>
      <c r="F112" s="21">
        <f>SUMIFS(Einzelbeträge!$D:$D,Einzelbeträge!$C:$C,'Ausgaben Vorlage'!$C112,Einzelbeträge!$E:$E,'Ausgaben Vorlage'!F$6)</f>
        <v>0</v>
      </c>
      <c r="G112" s="21">
        <f>SUMIFS(Einzelbeträge!$D:$D,Einzelbeträge!$C:$C,'Ausgaben Vorlage'!$C112,Einzelbeträge!$E:$E,'Ausgaben Vorlage'!G$6)</f>
        <v>0</v>
      </c>
      <c r="H112" s="21">
        <f>SUMIFS(Einzelbeträge!$D:$D,Einzelbeträge!$C:$C,'Ausgaben Vorlage'!$C112,Einzelbeträge!$E:$E,'Ausgaben Vorlage'!H$6)</f>
        <v>0</v>
      </c>
      <c r="I112" s="21">
        <f>SUMIFS(Einzelbeträge!$D:$D,Einzelbeträge!$C:$C,'Ausgaben Vorlage'!$C112,Einzelbeträge!$E:$E,'Ausgaben Vorlage'!I$6)</f>
        <v>0</v>
      </c>
      <c r="J112" s="21">
        <f>SUMIFS(Einzelbeträge!$D:$D,Einzelbeträge!$C:$C,'Ausgaben Vorlage'!$C112,Einzelbeträge!$E:$E,'Ausgaben Vorlage'!J$6)</f>
        <v>0</v>
      </c>
      <c r="K112" s="21">
        <f>SUMIFS(Einzelbeträge!$D:$D,Einzelbeträge!$C:$C,'Ausgaben Vorlage'!$C112,Einzelbeträge!$E:$E,'Ausgaben Vorlage'!K$6)</f>
        <v>0</v>
      </c>
      <c r="L112" s="21">
        <f>SUMIFS(Einzelbeträge!$D:$D,Einzelbeträge!$C:$C,'Ausgaben Vorlage'!$C112,Einzelbeträge!$E:$E,'Ausgaben Vorlage'!L$6)</f>
        <v>0</v>
      </c>
      <c r="M112" s="21">
        <f>SUMIFS(Einzelbeträge!$D:$D,Einzelbeträge!$C:$C,'Ausgaben Vorlage'!$C112,Einzelbeträge!$E:$E,'Ausgaben Vorlage'!M$6)</f>
        <v>0</v>
      </c>
      <c r="N112" s="35">
        <f>SUMIFS(Einzelbeträge!$D:$D,Einzelbeträge!$C:$C,'Ausgaben Vorlage'!$C112,Einzelbeträge!$E:$E,'Ausgaben Vorlage'!N$6)</f>
        <v>0</v>
      </c>
      <c r="O112" s="6"/>
    </row>
    <row r="113" spans="2:15" x14ac:dyDescent="0.35">
      <c r="B113" s="5"/>
      <c r="C113" s="30">
        <f t="shared" si="19"/>
        <v>45754</v>
      </c>
      <c r="D113" s="46">
        <f>SUMIFS(Einzelbeträge!$D:$D,Einzelbeträge!$C:$C,'Ausgaben Vorlage'!$C113)</f>
        <v>0</v>
      </c>
      <c r="E113" s="21">
        <f>SUMIFS(Einzelbeträge!$D:$D,Einzelbeträge!$C:$C,'Ausgaben Vorlage'!$C113,Einzelbeträge!$E:$E,'Ausgaben Vorlage'!E$6)</f>
        <v>0</v>
      </c>
      <c r="F113" s="21">
        <f>SUMIFS(Einzelbeträge!$D:$D,Einzelbeträge!$C:$C,'Ausgaben Vorlage'!$C113,Einzelbeträge!$E:$E,'Ausgaben Vorlage'!F$6)</f>
        <v>0</v>
      </c>
      <c r="G113" s="21">
        <f>SUMIFS(Einzelbeträge!$D:$D,Einzelbeträge!$C:$C,'Ausgaben Vorlage'!$C113,Einzelbeträge!$E:$E,'Ausgaben Vorlage'!G$6)</f>
        <v>0</v>
      </c>
      <c r="H113" s="21">
        <f>SUMIFS(Einzelbeträge!$D:$D,Einzelbeträge!$C:$C,'Ausgaben Vorlage'!$C113,Einzelbeträge!$E:$E,'Ausgaben Vorlage'!H$6)</f>
        <v>0</v>
      </c>
      <c r="I113" s="21">
        <f>SUMIFS(Einzelbeträge!$D:$D,Einzelbeträge!$C:$C,'Ausgaben Vorlage'!$C113,Einzelbeträge!$E:$E,'Ausgaben Vorlage'!I$6)</f>
        <v>0</v>
      </c>
      <c r="J113" s="21">
        <f>SUMIFS(Einzelbeträge!$D:$D,Einzelbeträge!$C:$C,'Ausgaben Vorlage'!$C113,Einzelbeträge!$E:$E,'Ausgaben Vorlage'!J$6)</f>
        <v>0</v>
      </c>
      <c r="K113" s="21">
        <f>SUMIFS(Einzelbeträge!$D:$D,Einzelbeträge!$C:$C,'Ausgaben Vorlage'!$C113,Einzelbeträge!$E:$E,'Ausgaben Vorlage'!K$6)</f>
        <v>0</v>
      </c>
      <c r="L113" s="21">
        <f>SUMIFS(Einzelbeträge!$D:$D,Einzelbeträge!$C:$C,'Ausgaben Vorlage'!$C113,Einzelbeträge!$E:$E,'Ausgaben Vorlage'!L$6)</f>
        <v>0</v>
      </c>
      <c r="M113" s="21">
        <f>SUMIFS(Einzelbeträge!$D:$D,Einzelbeträge!$C:$C,'Ausgaben Vorlage'!$C113,Einzelbeträge!$E:$E,'Ausgaben Vorlage'!M$6)</f>
        <v>0</v>
      </c>
      <c r="N113" s="35">
        <f>SUMIFS(Einzelbeträge!$D:$D,Einzelbeträge!$C:$C,'Ausgaben Vorlage'!$C113,Einzelbeträge!$E:$E,'Ausgaben Vorlage'!N$6)</f>
        <v>0</v>
      </c>
      <c r="O113" s="6"/>
    </row>
    <row r="114" spans="2:15" x14ac:dyDescent="0.35">
      <c r="B114" s="5"/>
      <c r="C114" s="30">
        <f t="shared" si="19"/>
        <v>45755</v>
      </c>
      <c r="D114" s="46">
        <f>SUMIFS(Einzelbeträge!$D:$D,Einzelbeträge!$C:$C,'Ausgaben Vorlage'!$C114)</f>
        <v>0</v>
      </c>
      <c r="E114" s="21">
        <f>SUMIFS(Einzelbeträge!$D:$D,Einzelbeträge!$C:$C,'Ausgaben Vorlage'!$C114,Einzelbeträge!$E:$E,'Ausgaben Vorlage'!E$6)</f>
        <v>0</v>
      </c>
      <c r="F114" s="21">
        <f>SUMIFS(Einzelbeträge!$D:$D,Einzelbeträge!$C:$C,'Ausgaben Vorlage'!$C114,Einzelbeträge!$E:$E,'Ausgaben Vorlage'!F$6)</f>
        <v>0</v>
      </c>
      <c r="G114" s="21">
        <f>SUMIFS(Einzelbeträge!$D:$D,Einzelbeträge!$C:$C,'Ausgaben Vorlage'!$C114,Einzelbeträge!$E:$E,'Ausgaben Vorlage'!G$6)</f>
        <v>0</v>
      </c>
      <c r="H114" s="21">
        <f>SUMIFS(Einzelbeträge!$D:$D,Einzelbeträge!$C:$C,'Ausgaben Vorlage'!$C114,Einzelbeträge!$E:$E,'Ausgaben Vorlage'!H$6)</f>
        <v>0</v>
      </c>
      <c r="I114" s="21">
        <f>SUMIFS(Einzelbeträge!$D:$D,Einzelbeträge!$C:$C,'Ausgaben Vorlage'!$C114,Einzelbeträge!$E:$E,'Ausgaben Vorlage'!I$6)</f>
        <v>0</v>
      </c>
      <c r="J114" s="21">
        <f>SUMIFS(Einzelbeträge!$D:$D,Einzelbeträge!$C:$C,'Ausgaben Vorlage'!$C114,Einzelbeträge!$E:$E,'Ausgaben Vorlage'!J$6)</f>
        <v>0</v>
      </c>
      <c r="K114" s="21">
        <f>SUMIFS(Einzelbeträge!$D:$D,Einzelbeträge!$C:$C,'Ausgaben Vorlage'!$C114,Einzelbeträge!$E:$E,'Ausgaben Vorlage'!K$6)</f>
        <v>0</v>
      </c>
      <c r="L114" s="21">
        <f>SUMIFS(Einzelbeträge!$D:$D,Einzelbeträge!$C:$C,'Ausgaben Vorlage'!$C114,Einzelbeträge!$E:$E,'Ausgaben Vorlage'!L$6)</f>
        <v>0</v>
      </c>
      <c r="M114" s="21">
        <f>SUMIFS(Einzelbeträge!$D:$D,Einzelbeträge!$C:$C,'Ausgaben Vorlage'!$C114,Einzelbeträge!$E:$E,'Ausgaben Vorlage'!M$6)</f>
        <v>0</v>
      </c>
      <c r="N114" s="35">
        <f>SUMIFS(Einzelbeträge!$D:$D,Einzelbeträge!$C:$C,'Ausgaben Vorlage'!$C114,Einzelbeträge!$E:$E,'Ausgaben Vorlage'!N$6)</f>
        <v>0</v>
      </c>
      <c r="O114" s="6"/>
    </row>
    <row r="115" spans="2:15" x14ac:dyDescent="0.35">
      <c r="B115" s="5"/>
      <c r="C115" s="30">
        <f t="shared" si="19"/>
        <v>45756</v>
      </c>
      <c r="D115" s="46">
        <f>SUMIFS(Einzelbeträge!$D:$D,Einzelbeträge!$C:$C,'Ausgaben Vorlage'!$C115)</f>
        <v>0</v>
      </c>
      <c r="E115" s="21">
        <f>SUMIFS(Einzelbeträge!$D:$D,Einzelbeträge!$C:$C,'Ausgaben Vorlage'!$C115,Einzelbeträge!$E:$E,'Ausgaben Vorlage'!E$6)</f>
        <v>0</v>
      </c>
      <c r="F115" s="21">
        <f>SUMIFS(Einzelbeträge!$D:$D,Einzelbeträge!$C:$C,'Ausgaben Vorlage'!$C115,Einzelbeträge!$E:$E,'Ausgaben Vorlage'!F$6)</f>
        <v>0</v>
      </c>
      <c r="G115" s="21">
        <f>SUMIFS(Einzelbeträge!$D:$D,Einzelbeträge!$C:$C,'Ausgaben Vorlage'!$C115,Einzelbeträge!$E:$E,'Ausgaben Vorlage'!G$6)</f>
        <v>0</v>
      </c>
      <c r="H115" s="21">
        <f>SUMIFS(Einzelbeträge!$D:$D,Einzelbeträge!$C:$C,'Ausgaben Vorlage'!$C115,Einzelbeträge!$E:$E,'Ausgaben Vorlage'!H$6)</f>
        <v>0</v>
      </c>
      <c r="I115" s="21">
        <f>SUMIFS(Einzelbeträge!$D:$D,Einzelbeträge!$C:$C,'Ausgaben Vorlage'!$C115,Einzelbeträge!$E:$E,'Ausgaben Vorlage'!I$6)</f>
        <v>0</v>
      </c>
      <c r="J115" s="21">
        <f>SUMIFS(Einzelbeträge!$D:$D,Einzelbeträge!$C:$C,'Ausgaben Vorlage'!$C115,Einzelbeträge!$E:$E,'Ausgaben Vorlage'!J$6)</f>
        <v>0</v>
      </c>
      <c r="K115" s="21">
        <f>SUMIFS(Einzelbeträge!$D:$D,Einzelbeträge!$C:$C,'Ausgaben Vorlage'!$C115,Einzelbeträge!$E:$E,'Ausgaben Vorlage'!K$6)</f>
        <v>0</v>
      </c>
      <c r="L115" s="21">
        <f>SUMIFS(Einzelbeträge!$D:$D,Einzelbeträge!$C:$C,'Ausgaben Vorlage'!$C115,Einzelbeträge!$E:$E,'Ausgaben Vorlage'!L$6)</f>
        <v>0</v>
      </c>
      <c r="M115" s="21">
        <f>SUMIFS(Einzelbeträge!$D:$D,Einzelbeträge!$C:$C,'Ausgaben Vorlage'!$C115,Einzelbeträge!$E:$E,'Ausgaben Vorlage'!M$6)</f>
        <v>0</v>
      </c>
      <c r="N115" s="35">
        <f>SUMIFS(Einzelbeträge!$D:$D,Einzelbeträge!$C:$C,'Ausgaben Vorlage'!$C115,Einzelbeträge!$E:$E,'Ausgaben Vorlage'!N$6)</f>
        <v>0</v>
      </c>
      <c r="O115" s="6"/>
    </row>
    <row r="116" spans="2:15" x14ac:dyDescent="0.35">
      <c r="B116" s="5"/>
      <c r="C116" s="30">
        <f t="shared" si="19"/>
        <v>45757</v>
      </c>
      <c r="D116" s="46">
        <f>SUMIFS(Einzelbeträge!$D:$D,Einzelbeträge!$C:$C,'Ausgaben Vorlage'!$C116)</f>
        <v>0</v>
      </c>
      <c r="E116" s="21">
        <f>SUMIFS(Einzelbeträge!$D:$D,Einzelbeträge!$C:$C,'Ausgaben Vorlage'!$C116,Einzelbeträge!$E:$E,'Ausgaben Vorlage'!E$6)</f>
        <v>0</v>
      </c>
      <c r="F116" s="21">
        <f>SUMIFS(Einzelbeträge!$D:$D,Einzelbeträge!$C:$C,'Ausgaben Vorlage'!$C116,Einzelbeträge!$E:$E,'Ausgaben Vorlage'!F$6)</f>
        <v>0</v>
      </c>
      <c r="G116" s="21">
        <f>SUMIFS(Einzelbeträge!$D:$D,Einzelbeträge!$C:$C,'Ausgaben Vorlage'!$C116,Einzelbeträge!$E:$E,'Ausgaben Vorlage'!G$6)</f>
        <v>0</v>
      </c>
      <c r="H116" s="21">
        <f>SUMIFS(Einzelbeträge!$D:$D,Einzelbeträge!$C:$C,'Ausgaben Vorlage'!$C116,Einzelbeträge!$E:$E,'Ausgaben Vorlage'!H$6)</f>
        <v>0</v>
      </c>
      <c r="I116" s="21">
        <f>SUMIFS(Einzelbeträge!$D:$D,Einzelbeträge!$C:$C,'Ausgaben Vorlage'!$C116,Einzelbeträge!$E:$E,'Ausgaben Vorlage'!I$6)</f>
        <v>0</v>
      </c>
      <c r="J116" s="21">
        <f>SUMIFS(Einzelbeträge!$D:$D,Einzelbeträge!$C:$C,'Ausgaben Vorlage'!$C116,Einzelbeträge!$E:$E,'Ausgaben Vorlage'!J$6)</f>
        <v>0</v>
      </c>
      <c r="K116" s="21">
        <f>SUMIFS(Einzelbeträge!$D:$D,Einzelbeträge!$C:$C,'Ausgaben Vorlage'!$C116,Einzelbeträge!$E:$E,'Ausgaben Vorlage'!K$6)</f>
        <v>0</v>
      </c>
      <c r="L116" s="21">
        <f>SUMIFS(Einzelbeträge!$D:$D,Einzelbeträge!$C:$C,'Ausgaben Vorlage'!$C116,Einzelbeträge!$E:$E,'Ausgaben Vorlage'!L$6)</f>
        <v>0</v>
      </c>
      <c r="M116" s="21">
        <f>SUMIFS(Einzelbeträge!$D:$D,Einzelbeträge!$C:$C,'Ausgaben Vorlage'!$C116,Einzelbeträge!$E:$E,'Ausgaben Vorlage'!M$6)</f>
        <v>0</v>
      </c>
      <c r="N116" s="35">
        <f>SUMIFS(Einzelbeträge!$D:$D,Einzelbeträge!$C:$C,'Ausgaben Vorlage'!$C116,Einzelbeträge!$E:$E,'Ausgaben Vorlage'!N$6)</f>
        <v>0</v>
      </c>
      <c r="O116" s="6"/>
    </row>
    <row r="117" spans="2:15" x14ac:dyDescent="0.35">
      <c r="B117" s="5"/>
      <c r="C117" s="30">
        <f t="shared" si="19"/>
        <v>45758</v>
      </c>
      <c r="D117" s="46">
        <f>SUMIFS(Einzelbeträge!$D:$D,Einzelbeträge!$C:$C,'Ausgaben Vorlage'!$C117)</f>
        <v>0</v>
      </c>
      <c r="E117" s="21">
        <f>SUMIFS(Einzelbeträge!$D:$D,Einzelbeträge!$C:$C,'Ausgaben Vorlage'!$C117,Einzelbeträge!$E:$E,'Ausgaben Vorlage'!E$6)</f>
        <v>0</v>
      </c>
      <c r="F117" s="21">
        <f>SUMIFS(Einzelbeträge!$D:$D,Einzelbeträge!$C:$C,'Ausgaben Vorlage'!$C117,Einzelbeträge!$E:$E,'Ausgaben Vorlage'!F$6)</f>
        <v>0</v>
      </c>
      <c r="G117" s="21">
        <f>SUMIFS(Einzelbeträge!$D:$D,Einzelbeträge!$C:$C,'Ausgaben Vorlage'!$C117,Einzelbeträge!$E:$E,'Ausgaben Vorlage'!G$6)</f>
        <v>0</v>
      </c>
      <c r="H117" s="21">
        <f>SUMIFS(Einzelbeträge!$D:$D,Einzelbeträge!$C:$C,'Ausgaben Vorlage'!$C117,Einzelbeträge!$E:$E,'Ausgaben Vorlage'!H$6)</f>
        <v>0</v>
      </c>
      <c r="I117" s="21">
        <f>SUMIFS(Einzelbeträge!$D:$D,Einzelbeträge!$C:$C,'Ausgaben Vorlage'!$C117,Einzelbeträge!$E:$E,'Ausgaben Vorlage'!I$6)</f>
        <v>0</v>
      </c>
      <c r="J117" s="21">
        <f>SUMIFS(Einzelbeträge!$D:$D,Einzelbeträge!$C:$C,'Ausgaben Vorlage'!$C117,Einzelbeträge!$E:$E,'Ausgaben Vorlage'!J$6)</f>
        <v>0</v>
      </c>
      <c r="K117" s="21">
        <f>SUMIFS(Einzelbeträge!$D:$D,Einzelbeträge!$C:$C,'Ausgaben Vorlage'!$C117,Einzelbeträge!$E:$E,'Ausgaben Vorlage'!K$6)</f>
        <v>0</v>
      </c>
      <c r="L117" s="21">
        <f>SUMIFS(Einzelbeträge!$D:$D,Einzelbeträge!$C:$C,'Ausgaben Vorlage'!$C117,Einzelbeträge!$E:$E,'Ausgaben Vorlage'!L$6)</f>
        <v>0</v>
      </c>
      <c r="M117" s="21">
        <f>SUMIFS(Einzelbeträge!$D:$D,Einzelbeträge!$C:$C,'Ausgaben Vorlage'!$C117,Einzelbeträge!$E:$E,'Ausgaben Vorlage'!M$6)</f>
        <v>0</v>
      </c>
      <c r="N117" s="35">
        <f>SUMIFS(Einzelbeträge!$D:$D,Einzelbeträge!$C:$C,'Ausgaben Vorlage'!$C117,Einzelbeträge!$E:$E,'Ausgaben Vorlage'!N$6)</f>
        <v>0</v>
      </c>
      <c r="O117" s="6"/>
    </row>
    <row r="118" spans="2:15" x14ac:dyDescent="0.35">
      <c r="B118" s="5"/>
      <c r="C118" s="30">
        <f t="shared" si="19"/>
        <v>45759</v>
      </c>
      <c r="D118" s="46">
        <f>SUMIFS(Einzelbeträge!$D:$D,Einzelbeträge!$C:$C,'Ausgaben Vorlage'!$C118)</f>
        <v>0</v>
      </c>
      <c r="E118" s="21">
        <f>SUMIFS(Einzelbeträge!$D:$D,Einzelbeträge!$C:$C,'Ausgaben Vorlage'!$C118,Einzelbeträge!$E:$E,'Ausgaben Vorlage'!E$6)</f>
        <v>0</v>
      </c>
      <c r="F118" s="21">
        <f>SUMIFS(Einzelbeträge!$D:$D,Einzelbeträge!$C:$C,'Ausgaben Vorlage'!$C118,Einzelbeträge!$E:$E,'Ausgaben Vorlage'!F$6)</f>
        <v>0</v>
      </c>
      <c r="G118" s="21">
        <f>SUMIFS(Einzelbeträge!$D:$D,Einzelbeträge!$C:$C,'Ausgaben Vorlage'!$C118,Einzelbeträge!$E:$E,'Ausgaben Vorlage'!G$6)</f>
        <v>0</v>
      </c>
      <c r="H118" s="21">
        <f>SUMIFS(Einzelbeträge!$D:$D,Einzelbeträge!$C:$C,'Ausgaben Vorlage'!$C118,Einzelbeträge!$E:$E,'Ausgaben Vorlage'!H$6)</f>
        <v>0</v>
      </c>
      <c r="I118" s="21">
        <f>SUMIFS(Einzelbeträge!$D:$D,Einzelbeträge!$C:$C,'Ausgaben Vorlage'!$C118,Einzelbeträge!$E:$E,'Ausgaben Vorlage'!I$6)</f>
        <v>0</v>
      </c>
      <c r="J118" s="21">
        <f>SUMIFS(Einzelbeträge!$D:$D,Einzelbeträge!$C:$C,'Ausgaben Vorlage'!$C118,Einzelbeträge!$E:$E,'Ausgaben Vorlage'!J$6)</f>
        <v>0</v>
      </c>
      <c r="K118" s="21">
        <f>SUMIFS(Einzelbeträge!$D:$D,Einzelbeträge!$C:$C,'Ausgaben Vorlage'!$C118,Einzelbeträge!$E:$E,'Ausgaben Vorlage'!K$6)</f>
        <v>0</v>
      </c>
      <c r="L118" s="21">
        <f>SUMIFS(Einzelbeträge!$D:$D,Einzelbeträge!$C:$C,'Ausgaben Vorlage'!$C118,Einzelbeträge!$E:$E,'Ausgaben Vorlage'!L$6)</f>
        <v>0</v>
      </c>
      <c r="M118" s="21">
        <f>SUMIFS(Einzelbeträge!$D:$D,Einzelbeträge!$C:$C,'Ausgaben Vorlage'!$C118,Einzelbeträge!$E:$E,'Ausgaben Vorlage'!M$6)</f>
        <v>0</v>
      </c>
      <c r="N118" s="35">
        <f>SUMIFS(Einzelbeträge!$D:$D,Einzelbeträge!$C:$C,'Ausgaben Vorlage'!$C118,Einzelbeträge!$E:$E,'Ausgaben Vorlage'!N$6)</f>
        <v>0</v>
      </c>
      <c r="O118" s="6"/>
    </row>
    <row r="119" spans="2:15" x14ac:dyDescent="0.35">
      <c r="B119" s="5"/>
      <c r="C119" s="30">
        <f t="shared" si="19"/>
        <v>45760</v>
      </c>
      <c r="D119" s="46">
        <f>SUMIFS(Einzelbeträge!$D:$D,Einzelbeträge!$C:$C,'Ausgaben Vorlage'!$C119)</f>
        <v>0</v>
      </c>
      <c r="E119" s="21">
        <f>SUMIFS(Einzelbeträge!$D:$D,Einzelbeträge!$C:$C,'Ausgaben Vorlage'!$C119,Einzelbeträge!$E:$E,'Ausgaben Vorlage'!E$6)</f>
        <v>0</v>
      </c>
      <c r="F119" s="21">
        <f>SUMIFS(Einzelbeträge!$D:$D,Einzelbeträge!$C:$C,'Ausgaben Vorlage'!$C119,Einzelbeträge!$E:$E,'Ausgaben Vorlage'!F$6)</f>
        <v>0</v>
      </c>
      <c r="G119" s="21">
        <f>SUMIFS(Einzelbeträge!$D:$D,Einzelbeträge!$C:$C,'Ausgaben Vorlage'!$C119,Einzelbeträge!$E:$E,'Ausgaben Vorlage'!G$6)</f>
        <v>0</v>
      </c>
      <c r="H119" s="21">
        <f>SUMIFS(Einzelbeträge!$D:$D,Einzelbeträge!$C:$C,'Ausgaben Vorlage'!$C119,Einzelbeträge!$E:$E,'Ausgaben Vorlage'!H$6)</f>
        <v>0</v>
      </c>
      <c r="I119" s="21">
        <f>SUMIFS(Einzelbeträge!$D:$D,Einzelbeträge!$C:$C,'Ausgaben Vorlage'!$C119,Einzelbeträge!$E:$E,'Ausgaben Vorlage'!I$6)</f>
        <v>0</v>
      </c>
      <c r="J119" s="21">
        <f>SUMIFS(Einzelbeträge!$D:$D,Einzelbeträge!$C:$C,'Ausgaben Vorlage'!$C119,Einzelbeträge!$E:$E,'Ausgaben Vorlage'!J$6)</f>
        <v>0</v>
      </c>
      <c r="K119" s="21">
        <f>SUMIFS(Einzelbeträge!$D:$D,Einzelbeträge!$C:$C,'Ausgaben Vorlage'!$C119,Einzelbeträge!$E:$E,'Ausgaben Vorlage'!K$6)</f>
        <v>0</v>
      </c>
      <c r="L119" s="21">
        <f>SUMIFS(Einzelbeträge!$D:$D,Einzelbeträge!$C:$C,'Ausgaben Vorlage'!$C119,Einzelbeträge!$E:$E,'Ausgaben Vorlage'!L$6)</f>
        <v>0</v>
      </c>
      <c r="M119" s="21">
        <f>SUMIFS(Einzelbeträge!$D:$D,Einzelbeträge!$C:$C,'Ausgaben Vorlage'!$C119,Einzelbeträge!$E:$E,'Ausgaben Vorlage'!M$6)</f>
        <v>0</v>
      </c>
      <c r="N119" s="35">
        <f>SUMIFS(Einzelbeträge!$D:$D,Einzelbeträge!$C:$C,'Ausgaben Vorlage'!$C119,Einzelbeträge!$E:$E,'Ausgaben Vorlage'!N$6)</f>
        <v>0</v>
      </c>
      <c r="O119" s="6"/>
    </row>
    <row r="120" spans="2:15" x14ac:dyDescent="0.35">
      <c r="B120" s="5"/>
      <c r="C120" s="30">
        <f t="shared" si="19"/>
        <v>45761</v>
      </c>
      <c r="D120" s="46">
        <f>SUMIFS(Einzelbeträge!$D:$D,Einzelbeträge!$C:$C,'Ausgaben Vorlage'!$C120)</f>
        <v>0</v>
      </c>
      <c r="E120" s="21">
        <f>SUMIFS(Einzelbeträge!$D:$D,Einzelbeträge!$C:$C,'Ausgaben Vorlage'!$C120,Einzelbeträge!$E:$E,'Ausgaben Vorlage'!E$6)</f>
        <v>0</v>
      </c>
      <c r="F120" s="21">
        <f>SUMIFS(Einzelbeträge!$D:$D,Einzelbeträge!$C:$C,'Ausgaben Vorlage'!$C120,Einzelbeträge!$E:$E,'Ausgaben Vorlage'!F$6)</f>
        <v>0</v>
      </c>
      <c r="G120" s="21">
        <f>SUMIFS(Einzelbeträge!$D:$D,Einzelbeträge!$C:$C,'Ausgaben Vorlage'!$C120,Einzelbeträge!$E:$E,'Ausgaben Vorlage'!G$6)</f>
        <v>0</v>
      </c>
      <c r="H120" s="21">
        <f>SUMIFS(Einzelbeträge!$D:$D,Einzelbeträge!$C:$C,'Ausgaben Vorlage'!$C120,Einzelbeträge!$E:$E,'Ausgaben Vorlage'!H$6)</f>
        <v>0</v>
      </c>
      <c r="I120" s="21">
        <f>SUMIFS(Einzelbeträge!$D:$D,Einzelbeträge!$C:$C,'Ausgaben Vorlage'!$C120,Einzelbeträge!$E:$E,'Ausgaben Vorlage'!I$6)</f>
        <v>0</v>
      </c>
      <c r="J120" s="21">
        <f>SUMIFS(Einzelbeträge!$D:$D,Einzelbeträge!$C:$C,'Ausgaben Vorlage'!$C120,Einzelbeträge!$E:$E,'Ausgaben Vorlage'!J$6)</f>
        <v>0</v>
      </c>
      <c r="K120" s="21">
        <f>SUMIFS(Einzelbeträge!$D:$D,Einzelbeträge!$C:$C,'Ausgaben Vorlage'!$C120,Einzelbeträge!$E:$E,'Ausgaben Vorlage'!K$6)</f>
        <v>0</v>
      </c>
      <c r="L120" s="21">
        <f>SUMIFS(Einzelbeträge!$D:$D,Einzelbeträge!$C:$C,'Ausgaben Vorlage'!$C120,Einzelbeträge!$E:$E,'Ausgaben Vorlage'!L$6)</f>
        <v>0</v>
      </c>
      <c r="M120" s="21">
        <f>SUMIFS(Einzelbeträge!$D:$D,Einzelbeträge!$C:$C,'Ausgaben Vorlage'!$C120,Einzelbeträge!$E:$E,'Ausgaben Vorlage'!M$6)</f>
        <v>0</v>
      </c>
      <c r="N120" s="35">
        <f>SUMIFS(Einzelbeträge!$D:$D,Einzelbeträge!$C:$C,'Ausgaben Vorlage'!$C120,Einzelbeträge!$E:$E,'Ausgaben Vorlage'!N$6)</f>
        <v>0</v>
      </c>
      <c r="O120" s="6"/>
    </row>
    <row r="121" spans="2:15" x14ac:dyDescent="0.35">
      <c r="B121" s="5"/>
      <c r="C121" s="30">
        <f t="shared" si="19"/>
        <v>45762</v>
      </c>
      <c r="D121" s="46">
        <f>SUMIFS(Einzelbeträge!$D:$D,Einzelbeträge!$C:$C,'Ausgaben Vorlage'!$C121)</f>
        <v>0</v>
      </c>
      <c r="E121" s="21">
        <f>SUMIFS(Einzelbeträge!$D:$D,Einzelbeträge!$C:$C,'Ausgaben Vorlage'!$C121,Einzelbeträge!$E:$E,'Ausgaben Vorlage'!E$6)</f>
        <v>0</v>
      </c>
      <c r="F121" s="21">
        <f>SUMIFS(Einzelbeträge!$D:$D,Einzelbeträge!$C:$C,'Ausgaben Vorlage'!$C121,Einzelbeträge!$E:$E,'Ausgaben Vorlage'!F$6)</f>
        <v>0</v>
      </c>
      <c r="G121" s="21">
        <f>SUMIFS(Einzelbeträge!$D:$D,Einzelbeträge!$C:$C,'Ausgaben Vorlage'!$C121,Einzelbeträge!$E:$E,'Ausgaben Vorlage'!G$6)</f>
        <v>0</v>
      </c>
      <c r="H121" s="21">
        <f>SUMIFS(Einzelbeträge!$D:$D,Einzelbeträge!$C:$C,'Ausgaben Vorlage'!$C121,Einzelbeträge!$E:$E,'Ausgaben Vorlage'!H$6)</f>
        <v>0</v>
      </c>
      <c r="I121" s="21">
        <f>SUMIFS(Einzelbeträge!$D:$D,Einzelbeträge!$C:$C,'Ausgaben Vorlage'!$C121,Einzelbeträge!$E:$E,'Ausgaben Vorlage'!I$6)</f>
        <v>0</v>
      </c>
      <c r="J121" s="21">
        <f>SUMIFS(Einzelbeträge!$D:$D,Einzelbeträge!$C:$C,'Ausgaben Vorlage'!$C121,Einzelbeträge!$E:$E,'Ausgaben Vorlage'!J$6)</f>
        <v>0</v>
      </c>
      <c r="K121" s="21">
        <f>SUMIFS(Einzelbeträge!$D:$D,Einzelbeträge!$C:$C,'Ausgaben Vorlage'!$C121,Einzelbeträge!$E:$E,'Ausgaben Vorlage'!K$6)</f>
        <v>0</v>
      </c>
      <c r="L121" s="21">
        <f>SUMIFS(Einzelbeträge!$D:$D,Einzelbeträge!$C:$C,'Ausgaben Vorlage'!$C121,Einzelbeträge!$E:$E,'Ausgaben Vorlage'!L$6)</f>
        <v>0</v>
      </c>
      <c r="M121" s="21">
        <f>SUMIFS(Einzelbeträge!$D:$D,Einzelbeträge!$C:$C,'Ausgaben Vorlage'!$C121,Einzelbeträge!$E:$E,'Ausgaben Vorlage'!M$6)</f>
        <v>0</v>
      </c>
      <c r="N121" s="35">
        <f>SUMIFS(Einzelbeträge!$D:$D,Einzelbeträge!$C:$C,'Ausgaben Vorlage'!$C121,Einzelbeträge!$E:$E,'Ausgaben Vorlage'!N$6)</f>
        <v>0</v>
      </c>
      <c r="O121" s="6"/>
    </row>
    <row r="122" spans="2:15" x14ac:dyDescent="0.35">
      <c r="B122" s="5"/>
      <c r="C122" s="30">
        <f t="shared" si="19"/>
        <v>45763</v>
      </c>
      <c r="D122" s="46">
        <f>SUMIFS(Einzelbeträge!$D:$D,Einzelbeträge!$C:$C,'Ausgaben Vorlage'!$C122)</f>
        <v>0</v>
      </c>
      <c r="E122" s="21">
        <f>SUMIFS(Einzelbeträge!$D:$D,Einzelbeträge!$C:$C,'Ausgaben Vorlage'!$C122,Einzelbeträge!$E:$E,'Ausgaben Vorlage'!E$6)</f>
        <v>0</v>
      </c>
      <c r="F122" s="21">
        <f>SUMIFS(Einzelbeträge!$D:$D,Einzelbeträge!$C:$C,'Ausgaben Vorlage'!$C122,Einzelbeträge!$E:$E,'Ausgaben Vorlage'!F$6)</f>
        <v>0</v>
      </c>
      <c r="G122" s="21">
        <f>SUMIFS(Einzelbeträge!$D:$D,Einzelbeträge!$C:$C,'Ausgaben Vorlage'!$C122,Einzelbeträge!$E:$E,'Ausgaben Vorlage'!G$6)</f>
        <v>0</v>
      </c>
      <c r="H122" s="21">
        <f>SUMIFS(Einzelbeträge!$D:$D,Einzelbeträge!$C:$C,'Ausgaben Vorlage'!$C122,Einzelbeträge!$E:$E,'Ausgaben Vorlage'!H$6)</f>
        <v>0</v>
      </c>
      <c r="I122" s="21">
        <f>SUMIFS(Einzelbeträge!$D:$D,Einzelbeträge!$C:$C,'Ausgaben Vorlage'!$C122,Einzelbeträge!$E:$E,'Ausgaben Vorlage'!I$6)</f>
        <v>0</v>
      </c>
      <c r="J122" s="21">
        <f>SUMIFS(Einzelbeträge!$D:$D,Einzelbeträge!$C:$C,'Ausgaben Vorlage'!$C122,Einzelbeträge!$E:$E,'Ausgaben Vorlage'!J$6)</f>
        <v>0</v>
      </c>
      <c r="K122" s="21">
        <f>SUMIFS(Einzelbeträge!$D:$D,Einzelbeträge!$C:$C,'Ausgaben Vorlage'!$C122,Einzelbeträge!$E:$E,'Ausgaben Vorlage'!K$6)</f>
        <v>0</v>
      </c>
      <c r="L122" s="21">
        <f>SUMIFS(Einzelbeträge!$D:$D,Einzelbeträge!$C:$C,'Ausgaben Vorlage'!$C122,Einzelbeträge!$E:$E,'Ausgaben Vorlage'!L$6)</f>
        <v>0</v>
      </c>
      <c r="M122" s="21">
        <f>SUMIFS(Einzelbeträge!$D:$D,Einzelbeträge!$C:$C,'Ausgaben Vorlage'!$C122,Einzelbeträge!$E:$E,'Ausgaben Vorlage'!M$6)</f>
        <v>0</v>
      </c>
      <c r="N122" s="35">
        <f>SUMIFS(Einzelbeträge!$D:$D,Einzelbeträge!$C:$C,'Ausgaben Vorlage'!$C122,Einzelbeträge!$E:$E,'Ausgaben Vorlage'!N$6)</f>
        <v>0</v>
      </c>
      <c r="O122" s="6"/>
    </row>
    <row r="123" spans="2:15" x14ac:dyDescent="0.35">
      <c r="B123" s="5"/>
      <c r="C123" s="30">
        <f t="shared" si="19"/>
        <v>45764</v>
      </c>
      <c r="D123" s="46">
        <f>SUMIFS(Einzelbeträge!$D:$D,Einzelbeträge!$C:$C,'Ausgaben Vorlage'!$C123)</f>
        <v>0</v>
      </c>
      <c r="E123" s="21">
        <f>SUMIFS(Einzelbeträge!$D:$D,Einzelbeträge!$C:$C,'Ausgaben Vorlage'!$C123,Einzelbeträge!$E:$E,'Ausgaben Vorlage'!E$6)</f>
        <v>0</v>
      </c>
      <c r="F123" s="21">
        <f>SUMIFS(Einzelbeträge!$D:$D,Einzelbeträge!$C:$C,'Ausgaben Vorlage'!$C123,Einzelbeträge!$E:$E,'Ausgaben Vorlage'!F$6)</f>
        <v>0</v>
      </c>
      <c r="G123" s="21">
        <f>SUMIFS(Einzelbeträge!$D:$D,Einzelbeträge!$C:$C,'Ausgaben Vorlage'!$C123,Einzelbeträge!$E:$E,'Ausgaben Vorlage'!G$6)</f>
        <v>0</v>
      </c>
      <c r="H123" s="21">
        <f>SUMIFS(Einzelbeträge!$D:$D,Einzelbeträge!$C:$C,'Ausgaben Vorlage'!$C123,Einzelbeträge!$E:$E,'Ausgaben Vorlage'!H$6)</f>
        <v>0</v>
      </c>
      <c r="I123" s="21">
        <f>SUMIFS(Einzelbeträge!$D:$D,Einzelbeträge!$C:$C,'Ausgaben Vorlage'!$C123,Einzelbeträge!$E:$E,'Ausgaben Vorlage'!I$6)</f>
        <v>0</v>
      </c>
      <c r="J123" s="21">
        <f>SUMIFS(Einzelbeträge!$D:$D,Einzelbeträge!$C:$C,'Ausgaben Vorlage'!$C123,Einzelbeträge!$E:$E,'Ausgaben Vorlage'!J$6)</f>
        <v>0</v>
      </c>
      <c r="K123" s="21">
        <f>SUMIFS(Einzelbeträge!$D:$D,Einzelbeträge!$C:$C,'Ausgaben Vorlage'!$C123,Einzelbeträge!$E:$E,'Ausgaben Vorlage'!K$6)</f>
        <v>0</v>
      </c>
      <c r="L123" s="21">
        <f>SUMIFS(Einzelbeträge!$D:$D,Einzelbeträge!$C:$C,'Ausgaben Vorlage'!$C123,Einzelbeträge!$E:$E,'Ausgaben Vorlage'!L$6)</f>
        <v>0</v>
      </c>
      <c r="M123" s="21">
        <f>SUMIFS(Einzelbeträge!$D:$D,Einzelbeträge!$C:$C,'Ausgaben Vorlage'!$C123,Einzelbeträge!$E:$E,'Ausgaben Vorlage'!M$6)</f>
        <v>0</v>
      </c>
      <c r="N123" s="35">
        <f>SUMIFS(Einzelbeträge!$D:$D,Einzelbeträge!$C:$C,'Ausgaben Vorlage'!$C123,Einzelbeträge!$E:$E,'Ausgaben Vorlage'!N$6)</f>
        <v>0</v>
      </c>
      <c r="O123" s="6"/>
    </row>
    <row r="124" spans="2:15" x14ac:dyDescent="0.35">
      <c r="B124" s="5"/>
      <c r="C124" s="30">
        <f t="shared" si="19"/>
        <v>45765</v>
      </c>
      <c r="D124" s="46">
        <f>SUMIFS(Einzelbeträge!$D:$D,Einzelbeträge!$C:$C,'Ausgaben Vorlage'!$C124)</f>
        <v>0</v>
      </c>
      <c r="E124" s="21">
        <f>SUMIFS(Einzelbeträge!$D:$D,Einzelbeträge!$C:$C,'Ausgaben Vorlage'!$C124,Einzelbeträge!$E:$E,'Ausgaben Vorlage'!E$6)</f>
        <v>0</v>
      </c>
      <c r="F124" s="21">
        <f>SUMIFS(Einzelbeträge!$D:$D,Einzelbeträge!$C:$C,'Ausgaben Vorlage'!$C124,Einzelbeträge!$E:$E,'Ausgaben Vorlage'!F$6)</f>
        <v>0</v>
      </c>
      <c r="G124" s="21">
        <f>SUMIFS(Einzelbeträge!$D:$D,Einzelbeträge!$C:$C,'Ausgaben Vorlage'!$C124,Einzelbeträge!$E:$E,'Ausgaben Vorlage'!G$6)</f>
        <v>0</v>
      </c>
      <c r="H124" s="21">
        <f>SUMIFS(Einzelbeträge!$D:$D,Einzelbeträge!$C:$C,'Ausgaben Vorlage'!$C124,Einzelbeträge!$E:$E,'Ausgaben Vorlage'!H$6)</f>
        <v>0</v>
      </c>
      <c r="I124" s="21">
        <f>SUMIFS(Einzelbeträge!$D:$D,Einzelbeträge!$C:$C,'Ausgaben Vorlage'!$C124,Einzelbeträge!$E:$E,'Ausgaben Vorlage'!I$6)</f>
        <v>0</v>
      </c>
      <c r="J124" s="21">
        <f>SUMIFS(Einzelbeträge!$D:$D,Einzelbeträge!$C:$C,'Ausgaben Vorlage'!$C124,Einzelbeträge!$E:$E,'Ausgaben Vorlage'!J$6)</f>
        <v>0</v>
      </c>
      <c r="K124" s="21">
        <f>SUMIFS(Einzelbeträge!$D:$D,Einzelbeträge!$C:$C,'Ausgaben Vorlage'!$C124,Einzelbeträge!$E:$E,'Ausgaben Vorlage'!K$6)</f>
        <v>0</v>
      </c>
      <c r="L124" s="21">
        <f>SUMIFS(Einzelbeträge!$D:$D,Einzelbeträge!$C:$C,'Ausgaben Vorlage'!$C124,Einzelbeträge!$E:$E,'Ausgaben Vorlage'!L$6)</f>
        <v>0</v>
      </c>
      <c r="M124" s="21">
        <f>SUMIFS(Einzelbeträge!$D:$D,Einzelbeträge!$C:$C,'Ausgaben Vorlage'!$C124,Einzelbeträge!$E:$E,'Ausgaben Vorlage'!M$6)</f>
        <v>0</v>
      </c>
      <c r="N124" s="35">
        <f>SUMIFS(Einzelbeträge!$D:$D,Einzelbeträge!$C:$C,'Ausgaben Vorlage'!$C124,Einzelbeträge!$E:$E,'Ausgaben Vorlage'!N$6)</f>
        <v>0</v>
      </c>
      <c r="O124" s="6"/>
    </row>
    <row r="125" spans="2:15" x14ac:dyDescent="0.35">
      <c r="B125" s="5"/>
      <c r="C125" s="30">
        <f t="shared" si="19"/>
        <v>45766</v>
      </c>
      <c r="D125" s="46">
        <f>SUMIFS(Einzelbeträge!$D:$D,Einzelbeträge!$C:$C,'Ausgaben Vorlage'!$C125)</f>
        <v>0</v>
      </c>
      <c r="E125" s="21">
        <f>SUMIFS(Einzelbeträge!$D:$D,Einzelbeträge!$C:$C,'Ausgaben Vorlage'!$C125,Einzelbeträge!$E:$E,'Ausgaben Vorlage'!E$6)</f>
        <v>0</v>
      </c>
      <c r="F125" s="21">
        <f>SUMIFS(Einzelbeträge!$D:$D,Einzelbeträge!$C:$C,'Ausgaben Vorlage'!$C125,Einzelbeträge!$E:$E,'Ausgaben Vorlage'!F$6)</f>
        <v>0</v>
      </c>
      <c r="G125" s="21">
        <f>SUMIFS(Einzelbeträge!$D:$D,Einzelbeträge!$C:$C,'Ausgaben Vorlage'!$C125,Einzelbeträge!$E:$E,'Ausgaben Vorlage'!G$6)</f>
        <v>0</v>
      </c>
      <c r="H125" s="21">
        <f>SUMIFS(Einzelbeträge!$D:$D,Einzelbeträge!$C:$C,'Ausgaben Vorlage'!$C125,Einzelbeträge!$E:$E,'Ausgaben Vorlage'!H$6)</f>
        <v>0</v>
      </c>
      <c r="I125" s="21">
        <f>SUMIFS(Einzelbeträge!$D:$D,Einzelbeträge!$C:$C,'Ausgaben Vorlage'!$C125,Einzelbeträge!$E:$E,'Ausgaben Vorlage'!I$6)</f>
        <v>0</v>
      </c>
      <c r="J125" s="21">
        <f>SUMIFS(Einzelbeträge!$D:$D,Einzelbeträge!$C:$C,'Ausgaben Vorlage'!$C125,Einzelbeträge!$E:$E,'Ausgaben Vorlage'!J$6)</f>
        <v>0</v>
      </c>
      <c r="K125" s="21">
        <f>SUMIFS(Einzelbeträge!$D:$D,Einzelbeträge!$C:$C,'Ausgaben Vorlage'!$C125,Einzelbeträge!$E:$E,'Ausgaben Vorlage'!K$6)</f>
        <v>0</v>
      </c>
      <c r="L125" s="21">
        <f>SUMIFS(Einzelbeträge!$D:$D,Einzelbeträge!$C:$C,'Ausgaben Vorlage'!$C125,Einzelbeträge!$E:$E,'Ausgaben Vorlage'!L$6)</f>
        <v>0</v>
      </c>
      <c r="M125" s="21">
        <f>SUMIFS(Einzelbeträge!$D:$D,Einzelbeträge!$C:$C,'Ausgaben Vorlage'!$C125,Einzelbeträge!$E:$E,'Ausgaben Vorlage'!M$6)</f>
        <v>0</v>
      </c>
      <c r="N125" s="35">
        <f>SUMIFS(Einzelbeträge!$D:$D,Einzelbeträge!$C:$C,'Ausgaben Vorlage'!$C125,Einzelbeträge!$E:$E,'Ausgaben Vorlage'!N$6)</f>
        <v>0</v>
      </c>
      <c r="O125" s="6"/>
    </row>
    <row r="126" spans="2:15" x14ac:dyDescent="0.35">
      <c r="B126" s="5"/>
      <c r="C126" s="30">
        <f t="shared" si="19"/>
        <v>45767</v>
      </c>
      <c r="D126" s="46">
        <f>SUMIFS(Einzelbeträge!$D:$D,Einzelbeträge!$C:$C,'Ausgaben Vorlage'!$C126)</f>
        <v>0</v>
      </c>
      <c r="E126" s="21">
        <f>SUMIFS(Einzelbeträge!$D:$D,Einzelbeträge!$C:$C,'Ausgaben Vorlage'!$C126,Einzelbeträge!$E:$E,'Ausgaben Vorlage'!E$6)</f>
        <v>0</v>
      </c>
      <c r="F126" s="21">
        <f>SUMIFS(Einzelbeträge!$D:$D,Einzelbeträge!$C:$C,'Ausgaben Vorlage'!$C126,Einzelbeträge!$E:$E,'Ausgaben Vorlage'!F$6)</f>
        <v>0</v>
      </c>
      <c r="G126" s="21">
        <f>SUMIFS(Einzelbeträge!$D:$D,Einzelbeträge!$C:$C,'Ausgaben Vorlage'!$C126,Einzelbeträge!$E:$E,'Ausgaben Vorlage'!G$6)</f>
        <v>0</v>
      </c>
      <c r="H126" s="21">
        <f>SUMIFS(Einzelbeträge!$D:$D,Einzelbeträge!$C:$C,'Ausgaben Vorlage'!$C126,Einzelbeträge!$E:$E,'Ausgaben Vorlage'!H$6)</f>
        <v>0</v>
      </c>
      <c r="I126" s="21">
        <f>SUMIFS(Einzelbeträge!$D:$D,Einzelbeträge!$C:$C,'Ausgaben Vorlage'!$C126,Einzelbeträge!$E:$E,'Ausgaben Vorlage'!I$6)</f>
        <v>0</v>
      </c>
      <c r="J126" s="21">
        <f>SUMIFS(Einzelbeträge!$D:$D,Einzelbeträge!$C:$C,'Ausgaben Vorlage'!$C126,Einzelbeträge!$E:$E,'Ausgaben Vorlage'!J$6)</f>
        <v>0</v>
      </c>
      <c r="K126" s="21">
        <f>SUMIFS(Einzelbeträge!$D:$D,Einzelbeträge!$C:$C,'Ausgaben Vorlage'!$C126,Einzelbeträge!$E:$E,'Ausgaben Vorlage'!K$6)</f>
        <v>0</v>
      </c>
      <c r="L126" s="21">
        <f>SUMIFS(Einzelbeträge!$D:$D,Einzelbeträge!$C:$C,'Ausgaben Vorlage'!$C126,Einzelbeträge!$E:$E,'Ausgaben Vorlage'!L$6)</f>
        <v>0</v>
      </c>
      <c r="M126" s="21">
        <f>SUMIFS(Einzelbeträge!$D:$D,Einzelbeträge!$C:$C,'Ausgaben Vorlage'!$C126,Einzelbeträge!$E:$E,'Ausgaben Vorlage'!M$6)</f>
        <v>0</v>
      </c>
      <c r="N126" s="35">
        <f>SUMIFS(Einzelbeträge!$D:$D,Einzelbeträge!$C:$C,'Ausgaben Vorlage'!$C126,Einzelbeträge!$E:$E,'Ausgaben Vorlage'!N$6)</f>
        <v>0</v>
      </c>
      <c r="O126" s="6"/>
    </row>
    <row r="127" spans="2:15" x14ac:dyDescent="0.35">
      <c r="B127" s="5"/>
      <c r="C127" s="30">
        <f t="shared" si="19"/>
        <v>45768</v>
      </c>
      <c r="D127" s="46">
        <f>SUMIFS(Einzelbeträge!$D:$D,Einzelbeträge!$C:$C,'Ausgaben Vorlage'!$C127)</f>
        <v>0</v>
      </c>
      <c r="E127" s="21">
        <f>SUMIFS(Einzelbeträge!$D:$D,Einzelbeträge!$C:$C,'Ausgaben Vorlage'!$C127,Einzelbeträge!$E:$E,'Ausgaben Vorlage'!E$6)</f>
        <v>0</v>
      </c>
      <c r="F127" s="21">
        <f>SUMIFS(Einzelbeträge!$D:$D,Einzelbeträge!$C:$C,'Ausgaben Vorlage'!$C127,Einzelbeträge!$E:$E,'Ausgaben Vorlage'!F$6)</f>
        <v>0</v>
      </c>
      <c r="G127" s="21">
        <f>SUMIFS(Einzelbeträge!$D:$D,Einzelbeträge!$C:$C,'Ausgaben Vorlage'!$C127,Einzelbeträge!$E:$E,'Ausgaben Vorlage'!G$6)</f>
        <v>0</v>
      </c>
      <c r="H127" s="21">
        <f>SUMIFS(Einzelbeträge!$D:$D,Einzelbeträge!$C:$C,'Ausgaben Vorlage'!$C127,Einzelbeträge!$E:$E,'Ausgaben Vorlage'!H$6)</f>
        <v>0</v>
      </c>
      <c r="I127" s="21">
        <f>SUMIFS(Einzelbeträge!$D:$D,Einzelbeträge!$C:$C,'Ausgaben Vorlage'!$C127,Einzelbeträge!$E:$E,'Ausgaben Vorlage'!I$6)</f>
        <v>0</v>
      </c>
      <c r="J127" s="21">
        <f>SUMIFS(Einzelbeträge!$D:$D,Einzelbeträge!$C:$C,'Ausgaben Vorlage'!$C127,Einzelbeträge!$E:$E,'Ausgaben Vorlage'!J$6)</f>
        <v>0</v>
      </c>
      <c r="K127" s="21">
        <f>SUMIFS(Einzelbeträge!$D:$D,Einzelbeträge!$C:$C,'Ausgaben Vorlage'!$C127,Einzelbeträge!$E:$E,'Ausgaben Vorlage'!K$6)</f>
        <v>0</v>
      </c>
      <c r="L127" s="21">
        <f>SUMIFS(Einzelbeträge!$D:$D,Einzelbeträge!$C:$C,'Ausgaben Vorlage'!$C127,Einzelbeträge!$E:$E,'Ausgaben Vorlage'!L$6)</f>
        <v>0</v>
      </c>
      <c r="M127" s="21">
        <f>SUMIFS(Einzelbeträge!$D:$D,Einzelbeträge!$C:$C,'Ausgaben Vorlage'!$C127,Einzelbeträge!$E:$E,'Ausgaben Vorlage'!M$6)</f>
        <v>0</v>
      </c>
      <c r="N127" s="35">
        <f>SUMIFS(Einzelbeträge!$D:$D,Einzelbeträge!$C:$C,'Ausgaben Vorlage'!$C127,Einzelbeträge!$E:$E,'Ausgaben Vorlage'!N$6)</f>
        <v>0</v>
      </c>
      <c r="O127" s="6"/>
    </row>
    <row r="128" spans="2:15" x14ac:dyDescent="0.35">
      <c r="B128" s="5"/>
      <c r="C128" s="30">
        <f t="shared" si="19"/>
        <v>45769</v>
      </c>
      <c r="D128" s="46">
        <f>SUMIFS(Einzelbeträge!$D:$D,Einzelbeträge!$C:$C,'Ausgaben Vorlage'!$C128)</f>
        <v>0</v>
      </c>
      <c r="E128" s="21">
        <f>SUMIFS(Einzelbeträge!$D:$D,Einzelbeträge!$C:$C,'Ausgaben Vorlage'!$C128,Einzelbeträge!$E:$E,'Ausgaben Vorlage'!E$6)</f>
        <v>0</v>
      </c>
      <c r="F128" s="21">
        <f>SUMIFS(Einzelbeträge!$D:$D,Einzelbeträge!$C:$C,'Ausgaben Vorlage'!$C128,Einzelbeträge!$E:$E,'Ausgaben Vorlage'!F$6)</f>
        <v>0</v>
      </c>
      <c r="G128" s="21">
        <f>SUMIFS(Einzelbeträge!$D:$D,Einzelbeträge!$C:$C,'Ausgaben Vorlage'!$C128,Einzelbeträge!$E:$E,'Ausgaben Vorlage'!G$6)</f>
        <v>0</v>
      </c>
      <c r="H128" s="21">
        <f>SUMIFS(Einzelbeträge!$D:$D,Einzelbeträge!$C:$C,'Ausgaben Vorlage'!$C128,Einzelbeträge!$E:$E,'Ausgaben Vorlage'!H$6)</f>
        <v>0</v>
      </c>
      <c r="I128" s="21">
        <f>SUMIFS(Einzelbeträge!$D:$D,Einzelbeträge!$C:$C,'Ausgaben Vorlage'!$C128,Einzelbeträge!$E:$E,'Ausgaben Vorlage'!I$6)</f>
        <v>0</v>
      </c>
      <c r="J128" s="21">
        <f>SUMIFS(Einzelbeträge!$D:$D,Einzelbeträge!$C:$C,'Ausgaben Vorlage'!$C128,Einzelbeträge!$E:$E,'Ausgaben Vorlage'!J$6)</f>
        <v>0</v>
      </c>
      <c r="K128" s="21">
        <f>SUMIFS(Einzelbeträge!$D:$D,Einzelbeträge!$C:$C,'Ausgaben Vorlage'!$C128,Einzelbeträge!$E:$E,'Ausgaben Vorlage'!K$6)</f>
        <v>0</v>
      </c>
      <c r="L128" s="21">
        <f>SUMIFS(Einzelbeträge!$D:$D,Einzelbeträge!$C:$C,'Ausgaben Vorlage'!$C128,Einzelbeträge!$E:$E,'Ausgaben Vorlage'!L$6)</f>
        <v>0</v>
      </c>
      <c r="M128" s="21">
        <f>SUMIFS(Einzelbeträge!$D:$D,Einzelbeträge!$C:$C,'Ausgaben Vorlage'!$C128,Einzelbeträge!$E:$E,'Ausgaben Vorlage'!M$6)</f>
        <v>0</v>
      </c>
      <c r="N128" s="35">
        <f>SUMIFS(Einzelbeträge!$D:$D,Einzelbeträge!$C:$C,'Ausgaben Vorlage'!$C128,Einzelbeträge!$E:$E,'Ausgaben Vorlage'!N$6)</f>
        <v>0</v>
      </c>
      <c r="O128" s="6"/>
    </row>
    <row r="129" spans="2:15" x14ac:dyDescent="0.35">
      <c r="B129" s="5"/>
      <c r="C129" s="30">
        <f t="shared" si="19"/>
        <v>45770</v>
      </c>
      <c r="D129" s="46">
        <f>SUMIFS(Einzelbeträge!$D:$D,Einzelbeträge!$C:$C,'Ausgaben Vorlage'!$C129)</f>
        <v>0</v>
      </c>
      <c r="E129" s="21">
        <f>SUMIFS(Einzelbeträge!$D:$D,Einzelbeträge!$C:$C,'Ausgaben Vorlage'!$C129,Einzelbeträge!$E:$E,'Ausgaben Vorlage'!E$6)</f>
        <v>0</v>
      </c>
      <c r="F129" s="21">
        <f>SUMIFS(Einzelbeträge!$D:$D,Einzelbeträge!$C:$C,'Ausgaben Vorlage'!$C129,Einzelbeträge!$E:$E,'Ausgaben Vorlage'!F$6)</f>
        <v>0</v>
      </c>
      <c r="G129" s="21">
        <f>SUMIFS(Einzelbeträge!$D:$D,Einzelbeträge!$C:$C,'Ausgaben Vorlage'!$C129,Einzelbeträge!$E:$E,'Ausgaben Vorlage'!G$6)</f>
        <v>0</v>
      </c>
      <c r="H129" s="21">
        <f>SUMIFS(Einzelbeträge!$D:$D,Einzelbeträge!$C:$C,'Ausgaben Vorlage'!$C129,Einzelbeträge!$E:$E,'Ausgaben Vorlage'!H$6)</f>
        <v>0</v>
      </c>
      <c r="I129" s="21">
        <f>SUMIFS(Einzelbeträge!$D:$D,Einzelbeträge!$C:$C,'Ausgaben Vorlage'!$C129,Einzelbeträge!$E:$E,'Ausgaben Vorlage'!I$6)</f>
        <v>0</v>
      </c>
      <c r="J129" s="21">
        <f>SUMIFS(Einzelbeträge!$D:$D,Einzelbeträge!$C:$C,'Ausgaben Vorlage'!$C129,Einzelbeträge!$E:$E,'Ausgaben Vorlage'!J$6)</f>
        <v>0</v>
      </c>
      <c r="K129" s="21">
        <f>SUMIFS(Einzelbeträge!$D:$D,Einzelbeträge!$C:$C,'Ausgaben Vorlage'!$C129,Einzelbeträge!$E:$E,'Ausgaben Vorlage'!K$6)</f>
        <v>0</v>
      </c>
      <c r="L129" s="21">
        <f>SUMIFS(Einzelbeträge!$D:$D,Einzelbeträge!$C:$C,'Ausgaben Vorlage'!$C129,Einzelbeträge!$E:$E,'Ausgaben Vorlage'!L$6)</f>
        <v>0</v>
      </c>
      <c r="M129" s="21">
        <f>SUMIFS(Einzelbeträge!$D:$D,Einzelbeträge!$C:$C,'Ausgaben Vorlage'!$C129,Einzelbeträge!$E:$E,'Ausgaben Vorlage'!M$6)</f>
        <v>0</v>
      </c>
      <c r="N129" s="35">
        <f>SUMIFS(Einzelbeträge!$D:$D,Einzelbeträge!$C:$C,'Ausgaben Vorlage'!$C129,Einzelbeträge!$E:$E,'Ausgaben Vorlage'!N$6)</f>
        <v>0</v>
      </c>
      <c r="O129" s="6"/>
    </row>
    <row r="130" spans="2:15" x14ac:dyDescent="0.35">
      <c r="B130" s="5"/>
      <c r="C130" s="30">
        <f t="shared" si="19"/>
        <v>45771</v>
      </c>
      <c r="D130" s="46">
        <f>SUMIFS(Einzelbeträge!$D:$D,Einzelbeträge!$C:$C,'Ausgaben Vorlage'!$C130)</f>
        <v>0</v>
      </c>
      <c r="E130" s="21">
        <f>SUMIFS(Einzelbeträge!$D:$D,Einzelbeträge!$C:$C,'Ausgaben Vorlage'!$C130,Einzelbeträge!$E:$E,'Ausgaben Vorlage'!E$6)</f>
        <v>0</v>
      </c>
      <c r="F130" s="21">
        <f>SUMIFS(Einzelbeträge!$D:$D,Einzelbeträge!$C:$C,'Ausgaben Vorlage'!$C130,Einzelbeträge!$E:$E,'Ausgaben Vorlage'!F$6)</f>
        <v>0</v>
      </c>
      <c r="G130" s="21">
        <f>SUMIFS(Einzelbeträge!$D:$D,Einzelbeträge!$C:$C,'Ausgaben Vorlage'!$C130,Einzelbeträge!$E:$E,'Ausgaben Vorlage'!G$6)</f>
        <v>0</v>
      </c>
      <c r="H130" s="21">
        <f>SUMIFS(Einzelbeträge!$D:$D,Einzelbeträge!$C:$C,'Ausgaben Vorlage'!$C130,Einzelbeträge!$E:$E,'Ausgaben Vorlage'!H$6)</f>
        <v>0</v>
      </c>
      <c r="I130" s="21">
        <f>SUMIFS(Einzelbeträge!$D:$D,Einzelbeträge!$C:$C,'Ausgaben Vorlage'!$C130,Einzelbeträge!$E:$E,'Ausgaben Vorlage'!I$6)</f>
        <v>0</v>
      </c>
      <c r="J130" s="21">
        <f>SUMIFS(Einzelbeträge!$D:$D,Einzelbeträge!$C:$C,'Ausgaben Vorlage'!$C130,Einzelbeträge!$E:$E,'Ausgaben Vorlage'!J$6)</f>
        <v>0</v>
      </c>
      <c r="K130" s="21">
        <f>SUMIFS(Einzelbeträge!$D:$D,Einzelbeträge!$C:$C,'Ausgaben Vorlage'!$C130,Einzelbeträge!$E:$E,'Ausgaben Vorlage'!K$6)</f>
        <v>0</v>
      </c>
      <c r="L130" s="21">
        <f>SUMIFS(Einzelbeträge!$D:$D,Einzelbeträge!$C:$C,'Ausgaben Vorlage'!$C130,Einzelbeträge!$E:$E,'Ausgaben Vorlage'!L$6)</f>
        <v>0</v>
      </c>
      <c r="M130" s="21">
        <f>SUMIFS(Einzelbeträge!$D:$D,Einzelbeträge!$C:$C,'Ausgaben Vorlage'!$C130,Einzelbeträge!$E:$E,'Ausgaben Vorlage'!M$6)</f>
        <v>0</v>
      </c>
      <c r="N130" s="35">
        <f>SUMIFS(Einzelbeträge!$D:$D,Einzelbeträge!$C:$C,'Ausgaben Vorlage'!$C130,Einzelbeträge!$E:$E,'Ausgaben Vorlage'!N$6)</f>
        <v>0</v>
      </c>
      <c r="O130" s="6"/>
    </row>
    <row r="131" spans="2:15" x14ac:dyDescent="0.35">
      <c r="B131" s="5"/>
      <c r="C131" s="30">
        <f t="shared" si="19"/>
        <v>45772</v>
      </c>
      <c r="D131" s="46">
        <f>SUMIFS(Einzelbeträge!$D:$D,Einzelbeträge!$C:$C,'Ausgaben Vorlage'!$C131)</f>
        <v>0</v>
      </c>
      <c r="E131" s="21">
        <f>SUMIFS(Einzelbeträge!$D:$D,Einzelbeträge!$C:$C,'Ausgaben Vorlage'!$C131,Einzelbeträge!$E:$E,'Ausgaben Vorlage'!E$6)</f>
        <v>0</v>
      </c>
      <c r="F131" s="21">
        <f>SUMIFS(Einzelbeträge!$D:$D,Einzelbeträge!$C:$C,'Ausgaben Vorlage'!$C131,Einzelbeträge!$E:$E,'Ausgaben Vorlage'!F$6)</f>
        <v>0</v>
      </c>
      <c r="G131" s="21">
        <f>SUMIFS(Einzelbeträge!$D:$D,Einzelbeträge!$C:$C,'Ausgaben Vorlage'!$C131,Einzelbeträge!$E:$E,'Ausgaben Vorlage'!G$6)</f>
        <v>0</v>
      </c>
      <c r="H131" s="21">
        <f>SUMIFS(Einzelbeträge!$D:$D,Einzelbeträge!$C:$C,'Ausgaben Vorlage'!$C131,Einzelbeträge!$E:$E,'Ausgaben Vorlage'!H$6)</f>
        <v>0</v>
      </c>
      <c r="I131" s="21">
        <f>SUMIFS(Einzelbeträge!$D:$D,Einzelbeträge!$C:$C,'Ausgaben Vorlage'!$C131,Einzelbeträge!$E:$E,'Ausgaben Vorlage'!I$6)</f>
        <v>0</v>
      </c>
      <c r="J131" s="21">
        <f>SUMIFS(Einzelbeträge!$D:$D,Einzelbeträge!$C:$C,'Ausgaben Vorlage'!$C131,Einzelbeträge!$E:$E,'Ausgaben Vorlage'!J$6)</f>
        <v>0</v>
      </c>
      <c r="K131" s="21">
        <f>SUMIFS(Einzelbeträge!$D:$D,Einzelbeträge!$C:$C,'Ausgaben Vorlage'!$C131,Einzelbeträge!$E:$E,'Ausgaben Vorlage'!K$6)</f>
        <v>0</v>
      </c>
      <c r="L131" s="21">
        <f>SUMIFS(Einzelbeträge!$D:$D,Einzelbeträge!$C:$C,'Ausgaben Vorlage'!$C131,Einzelbeträge!$E:$E,'Ausgaben Vorlage'!L$6)</f>
        <v>0</v>
      </c>
      <c r="M131" s="21">
        <f>SUMIFS(Einzelbeträge!$D:$D,Einzelbeträge!$C:$C,'Ausgaben Vorlage'!$C131,Einzelbeträge!$E:$E,'Ausgaben Vorlage'!M$6)</f>
        <v>0</v>
      </c>
      <c r="N131" s="35">
        <f>SUMIFS(Einzelbeträge!$D:$D,Einzelbeträge!$C:$C,'Ausgaben Vorlage'!$C131,Einzelbeträge!$E:$E,'Ausgaben Vorlage'!N$6)</f>
        <v>0</v>
      </c>
      <c r="O131" s="6"/>
    </row>
    <row r="132" spans="2:15" x14ac:dyDescent="0.35">
      <c r="B132" s="5"/>
      <c r="C132" s="30">
        <f t="shared" si="19"/>
        <v>45773</v>
      </c>
      <c r="D132" s="46">
        <f>SUMIFS(Einzelbeträge!$D:$D,Einzelbeträge!$C:$C,'Ausgaben Vorlage'!$C132)</f>
        <v>0</v>
      </c>
      <c r="E132" s="21">
        <f>SUMIFS(Einzelbeträge!$D:$D,Einzelbeträge!$C:$C,'Ausgaben Vorlage'!$C132,Einzelbeträge!$E:$E,'Ausgaben Vorlage'!E$6)</f>
        <v>0</v>
      </c>
      <c r="F132" s="21">
        <f>SUMIFS(Einzelbeträge!$D:$D,Einzelbeträge!$C:$C,'Ausgaben Vorlage'!$C132,Einzelbeträge!$E:$E,'Ausgaben Vorlage'!F$6)</f>
        <v>0</v>
      </c>
      <c r="G132" s="21">
        <f>SUMIFS(Einzelbeträge!$D:$D,Einzelbeträge!$C:$C,'Ausgaben Vorlage'!$C132,Einzelbeträge!$E:$E,'Ausgaben Vorlage'!G$6)</f>
        <v>0</v>
      </c>
      <c r="H132" s="21">
        <f>SUMIFS(Einzelbeträge!$D:$D,Einzelbeträge!$C:$C,'Ausgaben Vorlage'!$C132,Einzelbeträge!$E:$E,'Ausgaben Vorlage'!H$6)</f>
        <v>0</v>
      </c>
      <c r="I132" s="21">
        <f>SUMIFS(Einzelbeträge!$D:$D,Einzelbeträge!$C:$C,'Ausgaben Vorlage'!$C132,Einzelbeträge!$E:$E,'Ausgaben Vorlage'!I$6)</f>
        <v>0</v>
      </c>
      <c r="J132" s="21">
        <f>SUMIFS(Einzelbeträge!$D:$D,Einzelbeträge!$C:$C,'Ausgaben Vorlage'!$C132,Einzelbeträge!$E:$E,'Ausgaben Vorlage'!J$6)</f>
        <v>0</v>
      </c>
      <c r="K132" s="21">
        <f>SUMIFS(Einzelbeträge!$D:$D,Einzelbeträge!$C:$C,'Ausgaben Vorlage'!$C132,Einzelbeträge!$E:$E,'Ausgaben Vorlage'!K$6)</f>
        <v>0</v>
      </c>
      <c r="L132" s="21">
        <f>SUMIFS(Einzelbeträge!$D:$D,Einzelbeträge!$C:$C,'Ausgaben Vorlage'!$C132,Einzelbeträge!$E:$E,'Ausgaben Vorlage'!L$6)</f>
        <v>0</v>
      </c>
      <c r="M132" s="21">
        <f>SUMIFS(Einzelbeträge!$D:$D,Einzelbeträge!$C:$C,'Ausgaben Vorlage'!$C132,Einzelbeträge!$E:$E,'Ausgaben Vorlage'!M$6)</f>
        <v>0</v>
      </c>
      <c r="N132" s="35">
        <f>SUMIFS(Einzelbeträge!$D:$D,Einzelbeträge!$C:$C,'Ausgaben Vorlage'!$C132,Einzelbeträge!$E:$E,'Ausgaben Vorlage'!N$6)</f>
        <v>0</v>
      </c>
      <c r="O132" s="6"/>
    </row>
    <row r="133" spans="2:15" x14ac:dyDescent="0.35">
      <c r="B133" s="5"/>
      <c r="C133" s="30">
        <f t="shared" si="19"/>
        <v>45774</v>
      </c>
      <c r="D133" s="46">
        <f>SUMIFS(Einzelbeträge!$D:$D,Einzelbeträge!$C:$C,'Ausgaben Vorlage'!$C133)</f>
        <v>0</v>
      </c>
      <c r="E133" s="21">
        <f>SUMIFS(Einzelbeträge!$D:$D,Einzelbeträge!$C:$C,'Ausgaben Vorlage'!$C133,Einzelbeträge!$E:$E,'Ausgaben Vorlage'!E$6)</f>
        <v>0</v>
      </c>
      <c r="F133" s="21">
        <f>SUMIFS(Einzelbeträge!$D:$D,Einzelbeträge!$C:$C,'Ausgaben Vorlage'!$C133,Einzelbeträge!$E:$E,'Ausgaben Vorlage'!F$6)</f>
        <v>0</v>
      </c>
      <c r="G133" s="21">
        <f>SUMIFS(Einzelbeträge!$D:$D,Einzelbeträge!$C:$C,'Ausgaben Vorlage'!$C133,Einzelbeträge!$E:$E,'Ausgaben Vorlage'!G$6)</f>
        <v>0</v>
      </c>
      <c r="H133" s="21">
        <f>SUMIFS(Einzelbeträge!$D:$D,Einzelbeträge!$C:$C,'Ausgaben Vorlage'!$C133,Einzelbeträge!$E:$E,'Ausgaben Vorlage'!H$6)</f>
        <v>0</v>
      </c>
      <c r="I133" s="21">
        <f>SUMIFS(Einzelbeträge!$D:$D,Einzelbeträge!$C:$C,'Ausgaben Vorlage'!$C133,Einzelbeträge!$E:$E,'Ausgaben Vorlage'!I$6)</f>
        <v>0</v>
      </c>
      <c r="J133" s="21">
        <f>SUMIFS(Einzelbeträge!$D:$D,Einzelbeträge!$C:$C,'Ausgaben Vorlage'!$C133,Einzelbeträge!$E:$E,'Ausgaben Vorlage'!J$6)</f>
        <v>0</v>
      </c>
      <c r="K133" s="21">
        <f>SUMIFS(Einzelbeträge!$D:$D,Einzelbeträge!$C:$C,'Ausgaben Vorlage'!$C133,Einzelbeträge!$E:$E,'Ausgaben Vorlage'!K$6)</f>
        <v>0</v>
      </c>
      <c r="L133" s="21">
        <f>SUMIFS(Einzelbeträge!$D:$D,Einzelbeträge!$C:$C,'Ausgaben Vorlage'!$C133,Einzelbeträge!$E:$E,'Ausgaben Vorlage'!L$6)</f>
        <v>0</v>
      </c>
      <c r="M133" s="21">
        <f>SUMIFS(Einzelbeträge!$D:$D,Einzelbeträge!$C:$C,'Ausgaben Vorlage'!$C133,Einzelbeträge!$E:$E,'Ausgaben Vorlage'!M$6)</f>
        <v>0</v>
      </c>
      <c r="N133" s="35">
        <f>SUMIFS(Einzelbeträge!$D:$D,Einzelbeträge!$C:$C,'Ausgaben Vorlage'!$C133,Einzelbeträge!$E:$E,'Ausgaben Vorlage'!N$6)</f>
        <v>0</v>
      </c>
      <c r="O133" s="6"/>
    </row>
    <row r="134" spans="2:15" x14ac:dyDescent="0.35">
      <c r="B134" s="5"/>
      <c r="C134" s="30">
        <f t="shared" si="19"/>
        <v>45775</v>
      </c>
      <c r="D134" s="46">
        <f>SUMIFS(Einzelbeträge!$D:$D,Einzelbeträge!$C:$C,'Ausgaben Vorlage'!$C134)</f>
        <v>0</v>
      </c>
      <c r="E134" s="21">
        <f>SUMIFS(Einzelbeträge!$D:$D,Einzelbeträge!$C:$C,'Ausgaben Vorlage'!$C134,Einzelbeträge!$E:$E,'Ausgaben Vorlage'!E$6)</f>
        <v>0</v>
      </c>
      <c r="F134" s="21">
        <f>SUMIFS(Einzelbeträge!$D:$D,Einzelbeträge!$C:$C,'Ausgaben Vorlage'!$C134,Einzelbeträge!$E:$E,'Ausgaben Vorlage'!F$6)</f>
        <v>0</v>
      </c>
      <c r="G134" s="21">
        <f>SUMIFS(Einzelbeträge!$D:$D,Einzelbeträge!$C:$C,'Ausgaben Vorlage'!$C134,Einzelbeträge!$E:$E,'Ausgaben Vorlage'!G$6)</f>
        <v>0</v>
      </c>
      <c r="H134" s="21">
        <f>SUMIFS(Einzelbeträge!$D:$D,Einzelbeträge!$C:$C,'Ausgaben Vorlage'!$C134,Einzelbeträge!$E:$E,'Ausgaben Vorlage'!H$6)</f>
        <v>0</v>
      </c>
      <c r="I134" s="21">
        <f>SUMIFS(Einzelbeträge!$D:$D,Einzelbeträge!$C:$C,'Ausgaben Vorlage'!$C134,Einzelbeträge!$E:$E,'Ausgaben Vorlage'!I$6)</f>
        <v>0</v>
      </c>
      <c r="J134" s="21">
        <f>SUMIFS(Einzelbeträge!$D:$D,Einzelbeträge!$C:$C,'Ausgaben Vorlage'!$C134,Einzelbeträge!$E:$E,'Ausgaben Vorlage'!J$6)</f>
        <v>0</v>
      </c>
      <c r="K134" s="21">
        <f>SUMIFS(Einzelbeträge!$D:$D,Einzelbeträge!$C:$C,'Ausgaben Vorlage'!$C134,Einzelbeträge!$E:$E,'Ausgaben Vorlage'!K$6)</f>
        <v>0</v>
      </c>
      <c r="L134" s="21">
        <f>SUMIFS(Einzelbeträge!$D:$D,Einzelbeträge!$C:$C,'Ausgaben Vorlage'!$C134,Einzelbeträge!$E:$E,'Ausgaben Vorlage'!L$6)</f>
        <v>0</v>
      </c>
      <c r="M134" s="21">
        <f>SUMIFS(Einzelbeträge!$D:$D,Einzelbeträge!$C:$C,'Ausgaben Vorlage'!$C134,Einzelbeträge!$E:$E,'Ausgaben Vorlage'!M$6)</f>
        <v>0</v>
      </c>
      <c r="N134" s="35">
        <f>SUMIFS(Einzelbeträge!$D:$D,Einzelbeträge!$C:$C,'Ausgaben Vorlage'!$C134,Einzelbeträge!$E:$E,'Ausgaben Vorlage'!N$6)</f>
        <v>0</v>
      </c>
      <c r="O134" s="6"/>
    </row>
    <row r="135" spans="2:15" x14ac:dyDescent="0.35">
      <c r="B135" s="5"/>
      <c r="C135" s="30">
        <f t="shared" si="19"/>
        <v>45776</v>
      </c>
      <c r="D135" s="46">
        <f>SUMIFS(Einzelbeträge!$D:$D,Einzelbeträge!$C:$C,'Ausgaben Vorlage'!$C135)</f>
        <v>0</v>
      </c>
      <c r="E135" s="21">
        <f>SUMIFS(Einzelbeträge!$D:$D,Einzelbeträge!$C:$C,'Ausgaben Vorlage'!$C135,Einzelbeträge!$E:$E,'Ausgaben Vorlage'!E$6)</f>
        <v>0</v>
      </c>
      <c r="F135" s="21">
        <f>SUMIFS(Einzelbeträge!$D:$D,Einzelbeträge!$C:$C,'Ausgaben Vorlage'!$C135,Einzelbeträge!$E:$E,'Ausgaben Vorlage'!F$6)</f>
        <v>0</v>
      </c>
      <c r="G135" s="21">
        <f>SUMIFS(Einzelbeträge!$D:$D,Einzelbeträge!$C:$C,'Ausgaben Vorlage'!$C135,Einzelbeträge!$E:$E,'Ausgaben Vorlage'!G$6)</f>
        <v>0</v>
      </c>
      <c r="H135" s="21">
        <f>SUMIFS(Einzelbeträge!$D:$D,Einzelbeträge!$C:$C,'Ausgaben Vorlage'!$C135,Einzelbeträge!$E:$E,'Ausgaben Vorlage'!H$6)</f>
        <v>0</v>
      </c>
      <c r="I135" s="21">
        <f>SUMIFS(Einzelbeträge!$D:$D,Einzelbeträge!$C:$C,'Ausgaben Vorlage'!$C135,Einzelbeträge!$E:$E,'Ausgaben Vorlage'!I$6)</f>
        <v>0</v>
      </c>
      <c r="J135" s="21">
        <f>SUMIFS(Einzelbeträge!$D:$D,Einzelbeträge!$C:$C,'Ausgaben Vorlage'!$C135,Einzelbeträge!$E:$E,'Ausgaben Vorlage'!J$6)</f>
        <v>0</v>
      </c>
      <c r="K135" s="21">
        <f>SUMIFS(Einzelbeträge!$D:$D,Einzelbeträge!$C:$C,'Ausgaben Vorlage'!$C135,Einzelbeträge!$E:$E,'Ausgaben Vorlage'!K$6)</f>
        <v>0</v>
      </c>
      <c r="L135" s="21">
        <f>SUMIFS(Einzelbeträge!$D:$D,Einzelbeträge!$C:$C,'Ausgaben Vorlage'!$C135,Einzelbeträge!$E:$E,'Ausgaben Vorlage'!L$6)</f>
        <v>0</v>
      </c>
      <c r="M135" s="21">
        <f>SUMIFS(Einzelbeträge!$D:$D,Einzelbeträge!$C:$C,'Ausgaben Vorlage'!$C135,Einzelbeträge!$E:$E,'Ausgaben Vorlage'!M$6)</f>
        <v>0</v>
      </c>
      <c r="N135" s="35">
        <f>SUMIFS(Einzelbeträge!$D:$D,Einzelbeträge!$C:$C,'Ausgaben Vorlage'!$C135,Einzelbeträge!$E:$E,'Ausgaben Vorlage'!N$6)</f>
        <v>0</v>
      </c>
      <c r="O135" s="6"/>
    </row>
    <row r="136" spans="2:15" x14ac:dyDescent="0.35">
      <c r="B136" s="5"/>
      <c r="C136" s="31">
        <f t="shared" si="19"/>
        <v>45777</v>
      </c>
      <c r="D136" s="47">
        <f>SUMIFS(Einzelbeträge!$D:$D,Einzelbeträge!$C:$C,'Ausgaben Vorlage'!$C136)</f>
        <v>0</v>
      </c>
      <c r="E136" s="37">
        <f>SUMIFS(Einzelbeträge!$D:$D,Einzelbeträge!$C:$C,'Ausgaben Vorlage'!$C136,Einzelbeträge!$E:$E,'Ausgaben Vorlage'!E$6)</f>
        <v>0</v>
      </c>
      <c r="F136" s="37">
        <f>SUMIFS(Einzelbeträge!$D:$D,Einzelbeträge!$C:$C,'Ausgaben Vorlage'!$C136,Einzelbeträge!$E:$E,'Ausgaben Vorlage'!F$6)</f>
        <v>0</v>
      </c>
      <c r="G136" s="37">
        <f>SUMIFS(Einzelbeträge!$D:$D,Einzelbeträge!$C:$C,'Ausgaben Vorlage'!$C136,Einzelbeträge!$E:$E,'Ausgaben Vorlage'!G$6)</f>
        <v>0</v>
      </c>
      <c r="H136" s="37">
        <f>SUMIFS(Einzelbeträge!$D:$D,Einzelbeträge!$C:$C,'Ausgaben Vorlage'!$C136,Einzelbeträge!$E:$E,'Ausgaben Vorlage'!H$6)</f>
        <v>0</v>
      </c>
      <c r="I136" s="37">
        <f>SUMIFS(Einzelbeträge!$D:$D,Einzelbeträge!$C:$C,'Ausgaben Vorlage'!$C136,Einzelbeträge!$E:$E,'Ausgaben Vorlage'!I$6)</f>
        <v>0</v>
      </c>
      <c r="J136" s="37">
        <f>SUMIFS(Einzelbeträge!$D:$D,Einzelbeträge!$C:$C,'Ausgaben Vorlage'!$C136,Einzelbeträge!$E:$E,'Ausgaben Vorlage'!J$6)</f>
        <v>0</v>
      </c>
      <c r="K136" s="37">
        <f>SUMIFS(Einzelbeträge!$D:$D,Einzelbeträge!$C:$C,'Ausgaben Vorlage'!$C136,Einzelbeträge!$E:$E,'Ausgaben Vorlage'!K$6)</f>
        <v>0</v>
      </c>
      <c r="L136" s="37">
        <f>SUMIFS(Einzelbeträge!$D:$D,Einzelbeträge!$C:$C,'Ausgaben Vorlage'!$C136,Einzelbeträge!$E:$E,'Ausgaben Vorlage'!L$6)</f>
        <v>0</v>
      </c>
      <c r="M136" s="37">
        <f>SUMIFS(Einzelbeträge!$D:$D,Einzelbeträge!$C:$C,'Ausgaben Vorlage'!$C136,Einzelbeträge!$E:$E,'Ausgaben Vorlage'!M$6)</f>
        <v>0</v>
      </c>
      <c r="N136" s="38">
        <f>SUMIFS(Einzelbeträge!$D:$D,Einzelbeträge!$C:$C,'Ausgaben Vorlage'!$C136,Einzelbeträge!$E:$E,'Ausgaben Vorlage'!N$6)</f>
        <v>0</v>
      </c>
      <c r="O136" s="6"/>
    </row>
    <row r="137" spans="2:15" x14ac:dyDescent="0.35">
      <c r="B137" s="5"/>
      <c r="C137" s="22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6"/>
    </row>
    <row r="138" spans="2:15" x14ac:dyDescent="0.35">
      <c r="B138" s="5"/>
      <c r="C138" s="16" t="s">
        <v>21</v>
      </c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6"/>
    </row>
    <row r="139" spans="2:15" x14ac:dyDescent="0.35">
      <c r="B139" s="5"/>
      <c r="C139" s="1" t="s">
        <v>7</v>
      </c>
      <c r="D139" s="16" t="s">
        <v>6</v>
      </c>
      <c r="E139" s="42" t="s">
        <v>0</v>
      </c>
      <c r="F139" s="42" t="s">
        <v>1</v>
      </c>
      <c r="G139" s="42" t="s">
        <v>3</v>
      </c>
      <c r="H139" s="42" t="s">
        <v>2</v>
      </c>
      <c r="I139" s="42" t="s">
        <v>42</v>
      </c>
      <c r="J139" s="42" t="s">
        <v>65</v>
      </c>
      <c r="K139" s="42" t="s">
        <v>64</v>
      </c>
      <c r="L139" s="42" t="s">
        <v>63</v>
      </c>
      <c r="M139" s="42" t="s">
        <v>62</v>
      </c>
      <c r="N139" s="43" t="s">
        <v>61</v>
      </c>
      <c r="O139" s="6"/>
    </row>
    <row r="140" spans="2:15" x14ac:dyDescent="0.35">
      <c r="B140" s="5"/>
      <c r="C140" s="40">
        <f>C136+1</f>
        <v>45778</v>
      </c>
      <c r="D140" s="45">
        <f>SUMIFS(Einzelbeträge!$D:$D,Einzelbeträge!$C:$C,'Ausgaben Vorlage'!$C140)</f>
        <v>0</v>
      </c>
      <c r="E140" s="32">
        <f>SUMIFS(Einzelbeträge!$D:$D,Einzelbeträge!$C:$C,'Ausgaben Vorlage'!$C140,Einzelbeträge!$E:$E,'Ausgaben Vorlage'!E$6)</f>
        <v>0</v>
      </c>
      <c r="F140" s="32">
        <f>SUMIFS(Einzelbeträge!$D:$D,Einzelbeträge!$C:$C,'Ausgaben Vorlage'!$C140,Einzelbeträge!$E:$E,'Ausgaben Vorlage'!F$6)</f>
        <v>0</v>
      </c>
      <c r="G140" s="32">
        <f>SUMIFS(Einzelbeträge!$D:$D,Einzelbeträge!$C:$C,'Ausgaben Vorlage'!$C140,Einzelbeträge!$E:$E,'Ausgaben Vorlage'!G$6)</f>
        <v>0</v>
      </c>
      <c r="H140" s="32">
        <f>SUMIFS(Einzelbeträge!$D:$D,Einzelbeträge!$C:$C,'Ausgaben Vorlage'!$C140,Einzelbeträge!$E:$E,'Ausgaben Vorlage'!H$6)</f>
        <v>0</v>
      </c>
      <c r="I140" s="32">
        <f>SUMIFS(Einzelbeträge!$D:$D,Einzelbeträge!$C:$C,'Ausgaben Vorlage'!$C140,Einzelbeträge!$E:$E,'Ausgaben Vorlage'!I$6)</f>
        <v>0</v>
      </c>
      <c r="J140" s="32">
        <f>SUMIFS(Einzelbeträge!$D:$D,Einzelbeträge!$C:$C,'Ausgaben Vorlage'!$C140,Einzelbeträge!$E:$E,'Ausgaben Vorlage'!J$6)</f>
        <v>0</v>
      </c>
      <c r="K140" s="32">
        <f>SUMIFS(Einzelbeträge!$D:$D,Einzelbeträge!$C:$C,'Ausgaben Vorlage'!$C140,Einzelbeträge!$E:$E,'Ausgaben Vorlage'!K$6)</f>
        <v>0</v>
      </c>
      <c r="L140" s="32">
        <f>SUMIFS(Einzelbeträge!$D:$D,Einzelbeträge!$C:$C,'Ausgaben Vorlage'!$C140,Einzelbeträge!$E:$E,'Ausgaben Vorlage'!L$6)</f>
        <v>0</v>
      </c>
      <c r="M140" s="32">
        <f>SUMIFS(Einzelbeträge!$D:$D,Einzelbeträge!$C:$C,'Ausgaben Vorlage'!$C140,Einzelbeträge!$E:$E,'Ausgaben Vorlage'!M$6)</f>
        <v>0</v>
      </c>
      <c r="N140" s="33">
        <f>SUMIFS(Einzelbeträge!$D:$D,Einzelbeträge!$C:$C,'Ausgaben Vorlage'!$C140,Einzelbeträge!$E:$E,'Ausgaben Vorlage'!N$6)</f>
        <v>0</v>
      </c>
      <c r="O140" s="6"/>
    </row>
    <row r="141" spans="2:15" x14ac:dyDescent="0.35">
      <c r="B141" s="5"/>
      <c r="C141" s="40">
        <f>C140+1</f>
        <v>45779</v>
      </c>
      <c r="D141" s="46">
        <f>SUMIFS(Einzelbeträge!$D:$D,Einzelbeträge!$C:$C,'Ausgaben Vorlage'!$C141)</f>
        <v>0</v>
      </c>
      <c r="E141" s="21">
        <f>SUMIFS(Einzelbeträge!$D:$D,Einzelbeträge!$C:$C,'Ausgaben Vorlage'!$C141,Einzelbeträge!$E:$E,'Ausgaben Vorlage'!E$6)</f>
        <v>0</v>
      </c>
      <c r="F141" s="21">
        <f>SUMIFS(Einzelbeträge!$D:$D,Einzelbeträge!$C:$C,'Ausgaben Vorlage'!$C141,Einzelbeträge!$E:$E,'Ausgaben Vorlage'!F$6)</f>
        <v>0</v>
      </c>
      <c r="G141" s="21">
        <f>SUMIFS(Einzelbeträge!$D:$D,Einzelbeträge!$C:$C,'Ausgaben Vorlage'!$C141,Einzelbeträge!$E:$E,'Ausgaben Vorlage'!G$6)</f>
        <v>0</v>
      </c>
      <c r="H141" s="21">
        <f>SUMIFS(Einzelbeträge!$D:$D,Einzelbeträge!$C:$C,'Ausgaben Vorlage'!$C141,Einzelbeträge!$E:$E,'Ausgaben Vorlage'!H$6)</f>
        <v>0</v>
      </c>
      <c r="I141" s="21">
        <f>SUMIFS(Einzelbeträge!$D:$D,Einzelbeträge!$C:$C,'Ausgaben Vorlage'!$C141,Einzelbeträge!$E:$E,'Ausgaben Vorlage'!I$6)</f>
        <v>0</v>
      </c>
      <c r="J141" s="21">
        <f>SUMIFS(Einzelbeträge!$D:$D,Einzelbeträge!$C:$C,'Ausgaben Vorlage'!$C141,Einzelbeträge!$E:$E,'Ausgaben Vorlage'!J$6)</f>
        <v>0</v>
      </c>
      <c r="K141" s="21">
        <f>SUMIFS(Einzelbeträge!$D:$D,Einzelbeträge!$C:$C,'Ausgaben Vorlage'!$C141,Einzelbeträge!$E:$E,'Ausgaben Vorlage'!K$6)</f>
        <v>0</v>
      </c>
      <c r="L141" s="21">
        <f>SUMIFS(Einzelbeträge!$D:$D,Einzelbeträge!$C:$C,'Ausgaben Vorlage'!$C141,Einzelbeträge!$E:$E,'Ausgaben Vorlage'!L$6)</f>
        <v>0</v>
      </c>
      <c r="M141" s="21">
        <f>SUMIFS(Einzelbeträge!$D:$D,Einzelbeträge!$C:$C,'Ausgaben Vorlage'!$C141,Einzelbeträge!$E:$E,'Ausgaben Vorlage'!M$6)</f>
        <v>0</v>
      </c>
      <c r="N141" s="35">
        <f>SUMIFS(Einzelbeträge!$D:$D,Einzelbeträge!$C:$C,'Ausgaben Vorlage'!$C141,Einzelbeträge!$E:$E,'Ausgaben Vorlage'!N$6)</f>
        <v>0</v>
      </c>
      <c r="O141" s="6"/>
    </row>
    <row r="142" spans="2:15" x14ac:dyDescent="0.35">
      <c r="B142" s="5"/>
      <c r="C142" s="40">
        <f t="shared" ref="C142:C170" si="20">C141+1</f>
        <v>45780</v>
      </c>
      <c r="D142" s="46">
        <f>SUMIFS(Einzelbeträge!$D:$D,Einzelbeträge!$C:$C,'Ausgaben Vorlage'!$C142)</f>
        <v>0</v>
      </c>
      <c r="E142" s="21">
        <f>SUMIFS(Einzelbeträge!$D:$D,Einzelbeträge!$C:$C,'Ausgaben Vorlage'!$C142,Einzelbeträge!$E:$E,'Ausgaben Vorlage'!E$6)</f>
        <v>0</v>
      </c>
      <c r="F142" s="21">
        <f>SUMIFS(Einzelbeträge!$D:$D,Einzelbeträge!$C:$C,'Ausgaben Vorlage'!$C142,Einzelbeträge!$E:$E,'Ausgaben Vorlage'!F$6)</f>
        <v>0</v>
      </c>
      <c r="G142" s="21">
        <f>SUMIFS(Einzelbeträge!$D:$D,Einzelbeträge!$C:$C,'Ausgaben Vorlage'!$C142,Einzelbeträge!$E:$E,'Ausgaben Vorlage'!G$6)</f>
        <v>0</v>
      </c>
      <c r="H142" s="21">
        <f>SUMIFS(Einzelbeträge!$D:$D,Einzelbeträge!$C:$C,'Ausgaben Vorlage'!$C142,Einzelbeträge!$E:$E,'Ausgaben Vorlage'!H$6)</f>
        <v>0</v>
      </c>
      <c r="I142" s="21">
        <f>SUMIFS(Einzelbeträge!$D:$D,Einzelbeträge!$C:$C,'Ausgaben Vorlage'!$C142,Einzelbeträge!$E:$E,'Ausgaben Vorlage'!I$6)</f>
        <v>0</v>
      </c>
      <c r="J142" s="21">
        <f>SUMIFS(Einzelbeträge!$D:$D,Einzelbeträge!$C:$C,'Ausgaben Vorlage'!$C142,Einzelbeträge!$E:$E,'Ausgaben Vorlage'!J$6)</f>
        <v>0</v>
      </c>
      <c r="K142" s="21">
        <f>SUMIFS(Einzelbeträge!$D:$D,Einzelbeträge!$C:$C,'Ausgaben Vorlage'!$C142,Einzelbeträge!$E:$E,'Ausgaben Vorlage'!K$6)</f>
        <v>0</v>
      </c>
      <c r="L142" s="21">
        <f>SUMIFS(Einzelbeträge!$D:$D,Einzelbeträge!$C:$C,'Ausgaben Vorlage'!$C142,Einzelbeträge!$E:$E,'Ausgaben Vorlage'!L$6)</f>
        <v>0</v>
      </c>
      <c r="M142" s="21">
        <f>SUMIFS(Einzelbeträge!$D:$D,Einzelbeträge!$C:$C,'Ausgaben Vorlage'!$C142,Einzelbeträge!$E:$E,'Ausgaben Vorlage'!M$6)</f>
        <v>0</v>
      </c>
      <c r="N142" s="35">
        <f>SUMIFS(Einzelbeträge!$D:$D,Einzelbeträge!$C:$C,'Ausgaben Vorlage'!$C142,Einzelbeträge!$E:$E,'Ausgaben Vorlage'!N$6)</f>
        <v>0</v>
      </c>
      <c r="O142" s="6"/>
    </row>
    <row r="143" spans="2:15" x14ac:dyDescent="0.35">
      <c r="B143" s="5"/>
      <c r="C143" s="40">
        <f t="shared" si="20"/>
        <v>45781</v>
      </c>
      <c r="D143" s="46">
        <f>SUMIFS(Einzelbeträge!$D:$D,Einzelbeträge!$C:$C,'Ausgaben Vorlage'!$C143)</f>
        <v>0</v>
      </c>
      <c r="E143" s="21">
        <f>SUMIFS(Einzelbeträge!$D:$D,Einzelbeträge!$C:$C,'Ausgaben Vorlage'!$C143,Einzelbeträge!$E:$E,'Ausgaben Vorlage'!E$6)</f>
        <v>0</v>
      </c>
      <c r="F143" s="21">
        <f>SUMIFS(Einzelbeträge!$D:$D,Einzelbeträge!$C:$C,'Ausgaben Vorlage'!$C143,Einzelbeträge!$E:$E,'Ausgaben Vorlage'!F$6)</f>
        <v>0</v>
      </c>
      <c r="G143" s="21">
        <f>SUMIFS(Einzelbeträge!$D:$D,Einzelbeträge!$C:$C,'Ausgaben Vorlage'!$C143,Einzelbeträge!$E:$E,'Ausgaben Vorlage'!G$6)</f>
        <v>0</v>
      </c>
      <c r="H143" s="21">
        <f>SUMIFS(Einzelbeträge!$D:$D,Einzelbeträge!$C:$C,'Ausgaben Vorlage'!$C143,Einzelbeträge!$E:$E,'Ausgaben Vorlage'!H$6)</f>
        <v>0</v>
      </c>
      <c r="I143" s="21">
        <f>SUMIFS(Einzelbeträge!$D:$D,Einzelbeträge!$C:$C,'Ausgaben Vorlage'!$C143,Einzelbeträge!$E:$E,'Ausgaben Vorlage'!I$6)</f>
        <v>0</v>
      </c>
      <c r="J143" s="21">
        <f>SUMIFS(Einzelbeträge!$D:$D,Einzelbeträge!$C:$C,'Ausgaben Vorlage'!$C143,Einzelbeträge!$E:$E,'Ausgaben Vorlage'!J$6)</f>
        <v>0</v>
      </c>
      <c r="K143" s="21">
        <f>SUMIFS(Einzelbeträge!$D:$D,Einzelbeträge!$C:$C,'Ausgaben Vorlage'!$C143,Einzelbeträge!$E:$E,'Ausgaben Vorlage'!K$6)</f>
        <v>0</v>
      </c>
      <c r="L143" s="21">
        <f>SUMIFS(Einzelbeträge!$D:$D,Einzelbeträge!$C:$C,'Ausgaben Vorlage'!$C143,Einzelbeträge!$E:$E,'Ausgaben Vorlage'!L$6)</f>
        <v>0</v>
      </c>
      <c r="M143" s="21">
        <f>SUMIFS(Einzelbeträge!$D:$D,Einzelbeträge!$C:$C,'Ausgaben Vorlage'!$C143,Einzelbeträge!$E:$E,'Ausgaben Vorlage'!M$6)</f>
        <v>0</v>
      </c>
      <c r="N143" s="35">
        <f>SUMIFS(Einzelbeträge!$D:$D,Einzelbeträge!$C:$C,'Ausgaben Vorlage'!$C143,Einzelbeträge!$E:$E,'Ausgaben Vorlage'!N$6)</f>
        <v>0</v>
      </c>
      <c r="O143" s="6"/>
    </row>
    <row r="144" spans="2:15" x14ac:dyDescent="0.35">
      <c r="B144" s="5"/>
      <c r="C144" s="40">
        <f t="shared" si="20"/>
        <v>45782</v>
      </c>
      <c r="D144" s="46">
        <f>SUMIFS(Einzelbeträge!$D:$D,Einzelbeträge!$C:$C,'Ausgaben Vorlage'!$C144)</f>
        <v>0</v>
      </c>
      <c r="E144" s="21">
        <f>SUMIFS(Einzelbeträge!$D:$D,Einzelbeträge!$C:$C,'Ausgaben Vorlage'!$C144,Einzelbeträge!$E:$E,'Ausgaben Vorlage'!E$6)</f>
        <v>0</v>
      </c>
      <c r="F144" s="21">
        <f>SUMIFS(Einzelbeträge!$D:$D,Einzelbeträge!$C:$C,'Ausgaben Vorlage'!$C144,Einzelbeträge!$E:$E,'Ausgaben Vorlage'!F$6)</f>
        <v>0</v>
      </c>
      <c r="G144" s="21">
        <f>SUMIFS(Einzelbeträge!$D:$D,Einzelbeträge!$C:$C,'Ausgaben Vorlage'!$C144,Einzelbeträge!$E:$E,'Ausgaben Vorlage'!G$6)</f>
        <v>0</v>
      </c>
      <c r="H144" s="21">
        <f>SUMIFS(Einzelbeträge!$D:$D,Einzelbeträge!$C:$C,'Ausgaben Vorlage'!$C144,Einzelbeträge!$E:$E,'Ausgaben Vorlage'!H$6)</f>
        <v>0</v>
      </c>
      <c r="I144" s="21">
        <f>SUMIFS(Einzelbeträge!$D:$D,Einzelbeträge!$C:$C,'Ausgaben Vorlage'!$C144,Einzelbeträge!$E:$E,'Ausgaben Vorlage'!I$6)</f>
        <v>0</v>
      </c>
      <c r="J144" s="21">
        <f>SUMIFS(Einzelbeträge!$D:$D,Einzelbeträge!$C:$C,'Ausgaben Vorlage'!$C144,Einzelbeträge!$E:$E,'Ausgaben Vorlage'!J$6)</f>
        <v>0</v>
      </c>
      <c r="K144" s="21">
        <f>SUMIFS(Einzelbeträge!$D:$D,Einzelbeträge!$C:$C,'Ausgaben Vorlage'!$C144,Einzelbeträge!$E:$E,'Ausgaben Vorlage'!K$6)</f>
        <v>0</v>
      </c>
      <c r="L144" s="21">
        <f>SUMIFS(Einzelbeträge!$D:$D,Einzelbeträge!$C:$C,'Ausgaben Vorlage'!$C144,Einzelbeträge!$E:$E,'Ausgaben Vorlage'!L$6)</f>
        <v>0</v>
      </c>
      <c r="M144" s="21">
        <f>SUMIFS(Einzelbeträge!$D:$D,Einzelbeträge!$C:$C,'Ausgaben Vorlage'!$C144,Einzelbeträge!$E:$E,'Ausgaben Vorlage'!M$6)</f>
        <v>0</v>
      </c>
      <c r="N144" s="35">
        <f>SUMIFS(Einzelbeträge!$D:$D,Einzelbeträge!$C:$C,'Ausgaben Vorlage'!$C144,Einzelbeträge!$E:$E,'Ausgaben Vorlage'!N$6)</f>
        <v>0</v>
      </c>
      <c r="O144" s="6"/>
    </row>
    <row r="145" spans="2:15" x14ac:dyDescent="0.35">
      <c r="B145" s="5"/>
      <c r="C145" s="40">
        <f t="shared" si="20"/>
        <v>45783</v>
      </c>
      <c r="D145" s="46">
        <f>SUMIFS(Einzelbeträge!$D:$D,Einzelbeträge!$C:$C,'Ausgaben Vorlage'!$C145)</f>
        <v>0</v>
      </c>
      <c r="E145" s="21">
        <f>SUMIFS(Einzelbeträge!$D:$D,Einzelbeträge!$C:$C,'Ausgaben Vorlage'!$C145,Einzelbeträge!$E:$E,'Ausgaben Vorlage'!E$6)</f>
        <v>0</v>
      </c>
      <c r="F145" s="21">
        <f>SUMIFS(Einzelbeträge!$D:$D,Einzelbeträge!$C:$C,'Ausgaben Vorlage'!$C145,Einzelbeträge!$E:$E,'Ausgaben Vorlage'!F$6)</f>
        <v>0</v>
      </c>
      <c r="G145" s="21">
        <f>SUMIFS(Einzelbeträge!$D:$D,Einzelbeträge!$C:$C,'Ausgaben Vorlage'!$C145,Einzelbeträge!$E:$E,'Ausgaben Vorlage'!G$6)</f>
        <v>0</v>
      </c>
      <c r="H145" s="21">
        <f>SUMIFS(Einzelbeträge!$D:$D,Einzelbeträge!$C:$C,'Ausgaben Vorlage'!$C145,Einzelbeträge!$E:$E,'Ausgaben Vorlage'!H$6)</f>
        <v>0</v>
      </c>
      <c r="I145" s="21">
        <f>SUMIFS(Einzelbeträge!$D:$D,Einzelbeträge!$C:$C,'Ausgaben Vorlage'!$C145,Einzelbeträge!$E:$E,'Ausgaben Vorlage'!I$6)</f>
        <v>0</v>
      </c>
      <c r="J145" s="21">
        <f>SUMIFS(Einzelbeträge!$D:$D,Einzelbeträge!$C:$C,'Ausgaben Vorlage'!$C145,Einzelbeträge!$E:$E,'Ausgaben Vorlage'!J$6)</f>
        <v>0</v>
      </c>
      <c r="K145" s="21">
        <f>SUMIFS(Einzelbeträge!$D:$D,Einzelbeträge!$C:$C,'Ausgaben Vorlage'!$C145,Einzelbeträge!$E:$E,'Ausgaben Vorlage'!K$6)</f>
        <v>0</v>
      </c>
      <c r="L145" s="21">
        <f>SUMIFS(Einzelbeträge!$D:$D,Einzelbeträge!$C:$C,'Ausgaben Vorlage'!$C145,Einzelbeträge!$E:$E,'Ausgaben Vorlage'!L$6)</f>
        <v>0</v>
      </c>
      <c r="M145" s="21">
        <f>SUMIFS(Einzelbeträge!$D:$D,Einzelbeträge!$C:$C,'Ausgaben Vorlage'!$C145,Einzelbeträge!$E:$E,'Ausgaben Vorlage'!M$6)</f>
        <v>0</v>
      </c>
      <c r="N145" s="35">
        <f>SUMIFS(Einzelbeträge!$D:$D,Einzelbeträge!$C:$C,'Ausgaben Vorlage'!$C145,Einzelbeträge!$E:$E,'Ausgaben Vorlage'!N$6)</f>
        <v>0</v>
      </c>
      <c r="O145" s="6"/>
    </row>
    <row r="146" spans="2:15" x14ac:dyDescent="0.35">
      <c r="B146" s="5"/>
      <c r="C146" s="40">
        <f t="shared" si="20"/>
        <v>45784</v>
      </c>
      <c r="D146" s="46">
        <f>SUMIFS(Einzelbeträge!$D:$D,Einzelbeträge!$C:$C,'Ausgaben Vorlage'!$C146)</f>
        <v>0</v>
      </c>
      <c r="E146" s="21">
        <f>SUMIFS(Einzelbeträge!$D:$D,Einzelbeträge!$C:$C,'Ausgaben Vorlage'!$C146,Einzelbeträge!$E:$E,'Ausgaben Vorlage'!E$6)</f>
        <v>0</v>
      </c>
      <c r="F146" s="21">
        <f>SUMIFS(Einzelbeträge!$D:$D,Einzelbeträge!$C:$C,'Ausgaben Vorlage'!$C146,Einzelbeträge!$E:$E,'Ausgaben Vorlage'!F$6)</f>
        <v>0</v>
      </c>
      <c r="G146" s="21">
        <f>SUMIFS(Einzelbeträge!$D:$D,Einzelbeträge!$C:$C,'Ausgaben Vorlage'!$C146,Einzelbeträge!$E:$E,'Ausgaben Vorlage'!G$6)</f>
        <v>0</v>
      </c>
      <c r="H146" s="21">
        <f>SUMIFS(Einzelbeträge!$D:$D,Einzelbeträge!$C:$C,'Ausgaben Vorlage'!$C146,Einzelbeträge!$E:$E,'Ausgaben Vorlage'!H$6)</f>
        <v>0</v>
      </c>
      <c r="I146" s="21">
        <f>SUMIFS(Einzelbeträge!$D:$D,Einzelbeträge!$C:$C,'Ausgaben Vorlage'!$C146,Einzelbeträge!$E:$E,'Ausgaben Vorlage'!I$6)</f>
        <v>0</v>
      </c>
      <c r="J146" s="21">
        <f>SUMIFS(Einzelbeträge!$D:$D,Einzelbeträge!$C:$C,'Ausgaben Vorlage'!$C146,Einzelbeträge!$E:$E,'Ausgaben Vorlage'!J$6)</f>
        <v>0</v>
      </c>
      <c r="K146" s="21">
        <f>SUMIFS(Einzelbeträge!$D:$D,Einzelbeträge!$C:$C,'Ausgaben Vorlage'!$C146,Einzelbeträge!$E:$E,'Ausgaben Vorlage'!K$6)</f>
        <v>0</v>
      </c>
      <c r="L146" s="21">
        <f>SUMIFS(Einzelbeträge!$D:$D,Einzelbeträge!$C:$C,'Ausgaben Vorlage'!$C146,Einzelbeträge!$E:$E,'Ausgaben Vorlage'!L$6)</f>
        <v>0</v>
      </c>
      <c r="M146" s="21">
        <f>SUMIFS(Einzelbeträge!$D:$D,Einzelbeträge!$C:$C,'Ausgaben Vorlage'!$C146,Einzelbeträge!$E:$E,'Ausgaben Vorlage'!M$6)</f>
        <v>0</v>
      </c>
      <c r="N146" s="35">
        <f>SUMIFS(Einzelbeträge!$D:$D,Einzelbeträge!$C:$C,'Ausgaben Vorlage'!$C146,Einzelbeträge!$E:$E,'Ausgaben Vorlage'!N$6)</f>
        <v>0</v>
      </c>
      <c r="O146" s="6"/>
    </row>
    <row r="147" spans="2:15" x14ac:dyDescent="0.35">
      <c r="B147" s="5"/>
      <c r="C147" s="40">
        <f t="shared" si="20"/>
        <v>45785</v>
      </c>
      <c r="D147" s="46">
        <f>SUMIFS(Einzelbeträge!$D:$D,Einzelbeträge!$C:$C,'Ausgaben Vorlage'!$C147)</f>
        <v>0</v>
      </c>
      <c r="E147" s="21">
        <f>SUMIFS(Einzelbeträge!$D:$D,Einzelbeträge!$C:$C,'Ausgaben Vorlage'!$C147,Einzelbeträge!$E:$E,'Ausgaben Vorlage'!E$6)</f>
        <v>0</v>
      </c>
      <c r="F147" s="21">
        <f>SUMIFS(Einzelbeträge!$D:$D,Einzelbeträge!$C:$C,'Ausgaben Vorlage'!$C147,Einzelbeträge!$E:$E,'Ausgaben Vorlage'!F$6)</f>
        <v>0</v>
      </c>
      <c r="G147" s="21">
        <f>SUMIFS(Einzelbeträge!$D:$D,Einzelbeträge!$C:$C,'Ausgaben Vorlage'!$C147,Einzelbeträge!$E:$E,'Ausgaben Vorlage'!G$6)</f>
        <v>0</v>
      </c>
      <c r="H147" s="21">
        <f>SUMIFS(Einzelbeträge!$D:$D,Einzelbeträge!$C:$C,'Ausgaben Vorlage'!$C147,Einzelbeträge!$E:$E,'Ausgaben Vorlage'!H$6)</f>
        <v>0</v>
      </c>
      <c r="I147" s="21">
        <f>SUMIFS(Einzelbeträge!$D:$D,Einzelbeträge!$C:$C,'Ausgaben Vorlage'!$C147,Einzelbeträge!$E:$E,'Ausgaben Vorlage'!I$6)</f>
        <v>0</v>
      </c>
      <c r="J147" s="21">
        <f>SUMIFS(Einzelbeträge!$D:$D,Einzelbeträge!$C:$C,'Ausgaben Vorlage'!$C147,Einzelbeträge!$E:$E,'Ausgaben Vorlage'!J$6)</f>
        <v>0</v>
      </c>
      <c r="K147" s="21">
        <f>SUMIFS(Einzelbeträge!$D:$D,Einzelbeträge!$C:$C,'Ausgaben Vorlage'!$C147,Einzelbeträge!$E:$E,'Ausgaben Vorlage'!K$6)</f>
        <v>0</v>
      </c>
      <c r="L147" s="21">
        <f>SUMIFS(Einzelbeträge!$D:$D,Einzelbeträge!$C:$C,'Ausgaben Vorlage'!$C147,Einzelbeträge!$E:$E,'Ausgaben Vorlage'!L$6)</f>
        <v>0</v>
      </c>
      <c r="M147" s="21">
        <f>SUMIFS(Einzelbeträge!$D:$D,Einzelbeträge!$C:$C,'Ausgaben Vorlage'!$C147,Einzelbeträge!$E:$E,'Ausgaben Vorlage'!M$6)</f>
        <v>0</v>
      </c>
      <c r="N147" s="35">
        <f>SUMIFS(Einzelbeträge!$D:$D,Einzelbeträge!$C:$C,'Ausgaben Vorlage'!$C147,Einzelbeträge!$E:$E,'Ausgaben Vorlage'!N$6)</f>
        <v>0</v>
      </c>
      <c r="O147" s="6"/>
    </row>
    <row r="148" spans="2:15" x14ac:dyDescent="0.35">
      <c r="B148" s="5"/>
      <c r="C148" s="40">
        <f t="shared" si="20"/>
        <v>45786</v>
      </c>
      <c r="D148" s="46">
        <f>SUMIFS(Einzelbeträge!$D:$D,Einzelbeträge!$C:$C,'Ausgaben Vorlage'!$C148)</f>
        <v>0</v>
      </c>
      <c r="E148" s="21">
        <f>SUMIFS(Einzelbeträge!$D:$D,Einzelbeträge!$C:$C,'Ausgaben Vorlage'!$C148,Einzelbeträge!$E:$E,'Ausgaben Vorlage'!E$6)</f>
        <v>0</v>
      </c>
      <c r="F148" s="21">
        <f>SUMIFS(Einzelbeträge!$D:$D,Einzelbeträge!$C:$C,'Ausgaben Vorlage'!$C148,Einzelbeträge!$E:$E,'Ausgaben Vorlage'!F$6)</f>
        <v>0</v>
      </c>
      <c r="G148" s="21">
        <f>SUMIFS(Einzelbeträge!$D:$D,Einzelbeträge!$C:$C,'Ausgaben Vorlage'!$C148,Einzelbeträge!$E:$E,'Ausgaben Vorlage'!G$6)</f>
        <v>0</v>
      </c>
      <c r="H148" s="21">
        <f>SUMIFS(Einzelbeträge!$D:$D,Einzelbeträge!$C:$C,'Ausgaben Vorlage'!$C148,Einzelbeträge!$E:$E,'Ausgaben Vorlage'!H$6)</f>
        <v>0</v>
      </c>
      <c r="I148" s="21">
        <f>SUMIFS(Einzelbeträge!$D:$D,Einzelbeträge!$C:$C,'Ausgaben Vorlage'!$C148,Einzelbeträge!$E:$E,'Ausgaben Vorlage'!I$6)</f>
        <v>0</v>
      </c>
      <c r="J148" s="21">
        <f>SUMIFS(Einzelbeträge!$D:$D,Einzelbeträge!$C:$C,'Ausgaben Vorlage'!$C148,Einzelbeträge!$E:$E,'Ausgaben Vorlage'!J$6)</f>
        <v>0</v>
      </c>
      <c r="K148" s="21">
        <f>SUMIFS(Einzelbeträge!$D:$D,Einzelbeträge!$C:$C,'Ausgaben Vorlage'!$C148,Einzelbeträge!$E:$E,'Ausgaben Vorlage'!K$6)</f>
        <v>0</v>
      </c>
      <c r="L148" s="21">
        <f>SUMIFS(Einzelbeträge!$D:$D,Einzelbeträge!$C:$C,'Ausgaben Vorlage'!$C148,Einzelbeträge!$E:$E,'Ausgaben Vorlage'!L$6)</f>
        <v>0</v>
      </c>
      <c r="M148" s="21">
        <f>SUMIFS(Einzelbeträge!$D:$D,Einzelbeträge!$C:$C,'Ausgaben Vorlage'!$C148,Einzelbeträge!$E:$E,'Ausgaben Vorlage'!M$6)</f>
        <v>0</v>
      </c>
      <c r="N148" s="35">
        <f>SUMIFS(Einzelbeträge!$D:$D,Einzelbeträge!$C:$C,'Ausgaben Vorlage'!$C148,Einzelbeträge!$E:$E,'Ausgaben Vorlage'!N$6)</f>
        <v>0</v>
      </c>
      <c r="O148" s="6"/>
    </row>
    <row r="149" spans="2:15" x14ac:dyDescent="0.35">
      <c r="B149" s="5"/>
      <c r="C149" s="40">
        <f t="shared" si="20"/>
        <v>45787</v>
      </c>
      <c r="D149" s="46">
        <f>SUMIFS(Einzelbeträge!$D:$D,Einzelbeträge!$C:$C,'Ausgaben Vorlage'!$C149)</f>
        <v>0</v>
      </c>
      <c r="E149" s="21">
        <f>SUMIFS(Einzelbeträge!$D:$D,Einzelbeträge!$C:$C,'Ausgaben Vorlage'!$C149,Einzelbeträge!$E:$E,'Ausgaben Vorlage'!E$6)</f>
        <v>0</v>
      </c>
      <c r="F149" s="21">
        <f>SUMIFS(Einzelbeträge!$D:$D,Einzelbeträge!$C:$C,'Ausgaben Vorlage'!$C149,Einzelbeträge!$E:$E,'Ausgaben Vorlage'!F$6)</f>
        <v>0</v>
      </c>
      <c r="G149" s="21">
        <f>SUMIFS(Einzelbeträge!$D:$D,Einzelbeträge!$C:$C,'Ausgaben Vorlage'!$C149,Einzelbeträge!$E:$E,'Ausgaben Vorlage'!G$6)</f>
        <v>0</v>
      </c>
      <c r="H149" s="21">
        <f>SUMIFS(Einzelbeträge!$D:$D,Einzelbeträge!$C:$C,'Ausgaben Vorlage'!$C149,Einzelbeträge!$E:$E,'Ausgaben Vorlage'!H$6)</f>
        <v>0</v>
      </c>
      <c r="I149" s="21">
        <f>SUMIFS(Einzelbeträge!$D:$D,Einzelbeträge!$C:$C,'Ausgaben Vorlage'!$C149,Einzelbeträge!$E:$E,'Ausgaben Vorlage'!I$6)</f>
        <v>0</v>
      </c>
      <c r="J149" s="21">
        <f>SUMIFS(Einzelbeträge!$D:$D,Einzelbeträge!$C:$C,'Ausgaben Vorlage'!$C149,Einzelbeträge!$E:$E,'Ausgaben Vorlage'!J$6)</f>
        <v>0</v>
      </c>
      <c r="K149" s="21">
        <f>SUMIFS(Einzelbeträge!$D:$D,Einzelbeträge!$C:$C,'Ausgaben Vorlage'!$C149,Einzelbeträge!$E:$E,'Ausgaben Vorlage'!K$6)</f>
        <v>0</v>
      </c>
      <c r="L149" s="21">
        <f>SUMIFS(Einzelbeträge!$D:$D,Einzelbeträge!$C:$C,'Ausgaben Vorlage'!$C149,Einzelbeträge!$E:$E,'Ausgaben Vorlage'!L$6)</f>
        <v>0</v>
      </c>
      <c r="M149" s="21">
        <f>SUMIFS(Einzelbeträge!$D:$D,Einzelbeträge!$C:$C,'Ausgaben Vorlage'!$C149,Einzelbeträge!$E:$E,'Ausgaben Vorlage'!M$6)</f>
        <v>0</v>
      </c>
      <c r="N149" s="35">
        <f>SUMIFS(Einzelbeträge!$D:$D,Einzelbeträge!$C:$C,'Ausgaben Vorlage'!$C149,Einzelbeträge!$E:$E,'Ausgaben Vorlage'!N$6)</f>
        <v>0</v>
      </c>
      <c r="O149" s="6"/>
    </row>
    <row r="150" spans="2:15" x14ac:dyDescent="0.35">
      <c r="B150" s="5"/>
      <c r="C150" s="40">
        <f t="shared" si="20"/>
        <v>45788</v>
      </c>
      <c r="D150" s="46">
        <f>SUMIFS(Einzelbeträge!$D:$D,Einzelbeträge!$C:$C,'Ausgaben Vorlage'!$C150)</f>
        <v>0</v>
      </c>
      <c r="E150" s="21">
        <f>SUMIFS(Einzelbeträge!$D:$D,Einzelbeträge!$C:$C,'Ausgaben Vorlage'!$C150,Einzelbeträge!$E:$E,'Ausgaben Vorlage'!E$6)</f>
        <v>0</v>
      </c>
      <c r="F150" s="21">
        <f>SUMIFS(Einzelbeträge!$D:$D,Einzelbeträge!$C:$C,'Ausgaben Vorlage'!$C150,Einzelbeträge!$E:$E,'Ausgaben Vorlage'!F$6)</f>
        <v>0</v>
      </c>
      <c r="G150" s="21">
        <f>SUMIFS(Einzelbeträge!$D:$D,Einzelbeträge!$C:$C,'Ausgaben Vorlage'!$C150,Einzelbeträge!$E:$E,'Ausgaben Vorlage'!G$6)</f>
        <v>0</v>
      </c>
      <c r="H150" s="21">
        <f>SUMIFS(Einzelbeträge!$D:$D,Einzelbeträge!$C:$C,'Ausgaben Vorlage'!$C150,Einzelbeträge!$E:$E,'Ausgaben Vorlage'!H$6)</f>
        <v>0</v>
      </c>
      <c r="I150" s="21">
        <f>SUMIFS(Einzelbeträge!$D:$D,Einzelbeträge!$C:$C,'Ausgaben Vorlage'!$C150,Einzelbeträge!$E:$E,'Ausgaben Vorlage'!I$6)</f>
        <v>0</v>
      </c>
      <c r="J150" s="21">
        <f>SUMIFS(Einzelbeträge!$D:$D,Einzelbeträge!$C:$C,'Ausgaben Vorlage'!$C150,Einzelbeträge!$E:$E,'Ausgaben Vorlage'!J$6)</f>
        <v>0</v>
      </c>
      <c r="K150" s="21">
        <f>SUMIFS(Einzelbeträge!$D:$D,Einzelbeträge!$C:$C,'Ausgaben Vorlage'!$C150,Einzelbeträge!$E:$E,'Ausgaben Vorlage'!K$6)</f>
        <v>0</v>
      </c>
      <c r="L150" s="21">
        <f>SUMIFS(Einzelbeträge!$D:$D,Einzelbeträge!$C:$C,'Ausgaben Vorlage'!$C150,Einzelbeträge!$E:$E,'Ausgaben Vorlage'!L$6)</f>
        <v>0</v>
      </c>
      <c r="M150" s="21">
        <f>SUMIFS(Einzelbeträge!$D:$D,Einzelbeträge!$C:$C,'Ausgaben Vorlage'!$C150,Einzelbeträge!$E:$E,'Ausgaben Vorlage'!M$6)</f>
        <v>0</v>
      </c>
      <c r="N150" s="35">
        <f>SUMIFS(Einzelbeträge!$D:$D,Einzelbeträge!$C:$C,'Ausgaben Vorlage'!$C150,Einzelbeträge!$E:$E,'Ausgaben Vorlage'!N$6)</f>
        <v>0</v>
      </c>
      <c r="O150" s="6"/>
    </row>
    <row r="151" spans="2:15" x14ac:dyDescent="0.35">
      <c r="B151" s="5"/>
      <c r="C151" s="40">
        <f t="shared" si="20"/>
        <v>45789</v>
      </c>
      <c r="D151" s="46">
        <f>SUMIFS(Einzelbeträge!$D:$D,Einzelbeträge!$C:$C,'Ausgaben Vorlage'!$C151)</f>
        <v>0</v>
      </c>
      <c r="E151" s="21">
        <f>SUMIFS(Einzelbeträge!$D:$D,Einzelbeträge!$C:$C,'Ausgaben Vorlage'!$C151,Einzelbeträge!$E:$E,'Ausgaben Vorlage'!E$6)</f>
        <v>0</v>
      </c>
      <c r="F151" s="21">
        <f>SUMIFS(Einzelbeträge!$D:$D,Einzelbeträge!$C:$C,'Ausgaben Vorlage'!$C151,Einzelbeträge!$E:$E,'Ausgaben Vorlage'!F$6)</f>
        <v>0</v>
      </c>
      <c r="G151" s="21">
        <f>SUMIFS(Einzelbeträge!$D:$D,Einzelbeträge!$C:$C,'Ausgaben Vorlage'!$C151,Einzelbeträge!$E:$E,'Ausgaben Vorlage'!G$6)</f>
        <v>0</v>
      </c>
      <c r="H151" s="21">
        <f>SUMIFS(Einzelbeträge!$D:$D,Einzelbeträge!$C:$C,'Ausgaben Vorlage'!$C151,Einzelbeträge!$E:$E,'Ausgaben Vorlage'!H$6)</f>
        <v>0</v>
      </c>
      <c r="I151" s="21">
        <f>SUMIFS(Einzelbeträge!$D:$D,Einzelbeträge!$C:$C,'Ausgaben Vorlage'!$C151,Einzelbeträge!$E:$E,'Ausgaben Vorlage'!I$6)</f>
        <v>0</v>
      </c>
      <c r="J151" s="21">
        <f>SUMIFS(Einzelbeträge!$D:$D,Einzelbeträge!$C:$C,'Ausgaben Vorlage'!$C151,Einzelbeträge!$E:$E,'Ausgaben Vorlage'!J$6)</f>
        <v>0</v>
      </c>
      <c r="K151" s="21">
        <f>SUMIFS(Einzelbeträge!$D:$D,Einzelbeträge!$C:$C,'Ausgaben Vorlage'!$C151,Einzelbeträge!$E:$E,'Ausgaben Vorlage'!K$6)</f>
        <v>0</v>
      </c>
      <c r="L151" s="21">
        <f>SUMIFS(Einzelbeträge!$D:$D,Einzelbeträge!$C:$C,'Ausgaben Vorlage'!$C151,Einzelbeträge!$E:$E,'Ausgaben Vorlage'!L$6)</f>
        <v>0</v>
      </c>
      <c r="M151" s="21">
        <f>SUMIFS(Einzelbeträge!$D:$D,Einzelbeträge!$C:$C,'Ausgaben Vorlage'!$C151,Einzelbeträge!$E:$E,'Ausgaben Vorlage'!M$6)</f>
        <v>0</v>
      </c>
      <c r="N151" s="35">
        <f>SUMIFS(Einzelbeträge!$D:$D,Einzelbeträge!$C:$C,'Ausgaben Vorlage'!$C151,Einzelbeträge!$E:$E,'Ausgaben Vorlage'!N$6)</f>
        <v>0</v>
      </c>
      <c r="O151" s="6"/>
    </row>
    <row r="152" spans="2:15" x14ac:dyDescent="0.35">
      <c r="B152" s="5"/>
      <c r="C152" s="40">
        <f t="shared" si="20"/>
        <v>45790</v>
      </c>
      <c r="D152" s="46">
        <f>SUMIFS(Einzelbeträge!$D:$D,Einzelbeträge!$C:$C,'Ausgaben Vorlage'!$C152)</f>
        <v>0</v>
      </c>
      <c r="E152" s="21">
        <f>SUMIFS(Einzelbeträge!$D:$D,Einzelbeträge!$C:$C,'Ausgaben Vorlage'!$C152,Einzelbeträge!$E:$E,'Ausgaben Vorlage'!E$6)</f>
        <v>0</v>
      </c>
      <c r="F152" s="21">
        <f>SUMIFS(Einzelbeträge!$D:$D,Einzelbeträge!$C:$C,'Ausgaben Vorlage'!$C152,Einzelbeträge!$E:$E,'Ausgaben Vorlage'!F$6)</f>
        <v>0</v>
      </c>
      <c r="G152" s="21">
        <f>SUMIFS(Einzelbeträge!$D:$D,Einzelbeträge!$C:$C,'Ausgaben Vorlage'!$C152,Einzelbeträge!$E:$E,'Ausgaben Vorlage'!G$6)</f>
        <v>0</v>
      </c>
      <c r="H152" s="21">
        <f>SUMIFS(Einzelbeträge!$D:$D,Einzelbeträge!$C:$C,'Ausgaben Vorlage'!$C152,Einzelbeträge!$E:$E,'Ausgaben Vorlage'!H$6)</f>
        <v>0</v>
      </c>
      <c r="I152" s="21">
        <f>SUMIFS(Einzelbeträge!$D:$D,Einzelbeträge!$C:$C,'Ausgaben Vorlage'!$C152,Einzelbeträge!$E:$E,'Ausgaben Vorlage'!I$6)</f>
        <v>0</v>
      </c>
      <c r="J152" s="21">
        <f>SUMIFS(Einzelbeträge!$D:$D,Einzelbeträge!$C:$C,'Ausgaben Vorlage'!$C152,Einzelbeträge!$E:$E,'Ausgaben Vorlage'!J$6)</f>
        <v>0</v>
      </c>
      <c r="K152" s="21">
        <f>SUMIFS(Einzelbeträge!$D:$D,Einzelbeträge!$C:$C,'Ausgaben Vorlage'!$C152,Einzelbeträge!$E:$E,'Ausgaben Vorlage'!K$6)</f>
        <v>0</v>
      </c>
      <c r="L152" s="21">
        <f>SUMIFS(Einzelbeträge!$D:$D,Einzelbeträge!$C:$C,'Ausgaben Vorlage'!$C152,Einzelbeträge!$E:$E,'Ausgaben Vorlage'!L$6)</f>
        <v>0</v>
      </c>
      <c r="M152" s="21">
        <f>SUMIFS(Einzelbeträge!$D:$D,Einzelbeträge!$C:$C,'Ausgaben Vorlage'!$C152,Einzelbeträge!$E:$E,'Ausgaben Vorlage'!M$6)</f>
        <v>0</v>
      </c>
      <c r="N152" s="35">
        <f>SUMIFS(Einzelbeträge!$D:$D,Einzelbeträge!$C:$C,'Ausgaben Vorlage'!$C152,Einzelbeträge!$E:$E,'Ausgaben Vorlage'!N$6)</f>
        <v>0</v>
      </c>
      <c r="O152" s="6"/>
    </row>
    <row r="153" spans="2:15" x14ac:dyDescent="0.35">
      <c r="B153" s="5"/>
      <c r="C153" s="40">
        <f t="shared" si="20"/>
        <v>45791</v>
      </c>
      <c r="D153" s="46">
        <f>SUMIFS(Einzelbeträge!$D:$D,Einzelbeträge!$C:$C,'Ausgaben Vorlage'!$C153)</f>
        <v>0</v>
      </c>
      <c r="E153" s="21">
        <f>SUMIFS(Einzelbeträge!$D:$D,Einzelbeträge!$C:$C,'Ausgaben Vorlage'!$C153,Einzelbeträge!$E:$E,'Ausgaben Vorlage'!E$6)</f>
        <v>0</v>
      </c>
      <c r="F153" s="21">
        <f>SUMIFS(Einzelbeträge!$D:$D,Einzelbeträge!$C:$C,'Ausgaben Vorlage'!$C153,Einzelbeträge!$E:$E,'Ausgaben Vorlage'!F$6)</f>
        <v>0</v>
      </c>
      <c r="G153" s="21">
        <f>SUMIFS(Einzelbeträge!$D:$D,Einzelbeträge!$C:$C,'Ausgaben Vorlage'!$C153,Einzelbeträge!$E:$E,'Ausgaben Vorlage'!G$6)</f>
        <v>0</v>
      </c>
      <c r="H153" s="21">
        <f>SUMIFS(Einzelbeträge!$D:$D,Einzelbeträge!$C:$C,'Ausgaben Vorlage'!$C153,Einzelbeträge!$E:$E,'Ausgaben Vorlage'!H$6)</f>
        <v>0</v>
      </c>
      <c r="I153" s="21">
        <f>SUMIFS(Einzelbeträge!$D:$D,Einzelbeträge!$C:$C,'Ausgaben Vorlage'!$C153,Einzelbeträge!$E:$E,'Ausgaben Vorlage'!I$6)</f>
        <v>0</v>
      </c>
      <c r="J153" s="21">
        <f>SUMIFS(Einzelbeträge!$D:$D,Einzelbeträge!$C:$C,'Ausgaben Vorlage'!$C153,Einzelbeträge!$E:$E,'Ausgaben Vorlage'!J$6)</f>
        <v>0</v>
      </c>
      <c r="K153" s="21">
        <f>SUMIFS(Einzelbeträge!$D:$D,Einzelbeträge!$C:$C,'Ausgaben Vorlage'!$C153,Einzelbeträge!$E:$E,'Ausgaben Vorlage'!K$6)</f>
        <v>0</v>
      </c>
      <c r="L153" s="21">
        <f>SUMIFS(Einzelbeträge!$D:$D,Einzelbeträge!$C:$C,'Ausgaben Vorlage'!$C153,Einzelbeträge!$E:$E,'Ausgaben Vorlage'!L$6)</f>
        <v>0</v>
      </c>
      <c r="M153" s="21">
        <f>SUMIFS(Einzelbeträge!$D:$D,Einzelbeträge!$C:$C,'Ausgaben Vorlage'!$C153,Einzelbeträge!$E:$E,'Ausgaben Vorlage'!M$6)</f>
        <v>0</v>
      </c>
      <c r="N153" s="35">
        <f>SUMIFS(Einzelbeträge!$D:$D,Einzelbeträge!$C:$C,'Ausgaben Vorlage'!$C153,Einzelbeträge!$E:$E,'Ausgaben Vorlage'!N$6)</f>
        <v>0</v>
      </c>
      <c r="O153" s="6"/>
    </row>
    <row r="154" spans="2:15" x14ac:dyDescent="0.35">
      <c r="B154" s="5"/>
      <c r="C154" s="40">
        <f t="shared" si="20"/>
        <v>45792</v>
      </c>
      <c r="D154" s="46">
        <f>SUMIFS(Einzelbeträge!$D:$D,Einzelbeträge!$C:$C,'Ausgaben Vorlage'!$C154)</f>
        <v>0</v>
      </c>
      <c r="E154" s="21">
        <f>SUMIFS(Einzelbeträge!$D:$D,Einzelbeträge!$C:$C,'Ausgaben Vorlage'!$C154,Einzelbeträge!$E:$E,'Ausgaben Vorlage'!E$6)</f>
        <v>0</v>
      </c>
      <c r="F154" s="21">
        <f>SUMIFS(Einzelbeträge!$D:$D,Einzelbeträge!$C:$C,'Ausgaben Vorlage'!$C154,Einzelbeträge!$E:$E,'Ausgaben Vorlage'!F$6)</f>
        <v>0</v>
      </c>
      <c r="G154" s="21">
        <f>SUMIFS(Einzelbeträge!$D:$D,Einzelbeträge!$C:$C,'Ausgaben Vorlage'!$C154,Einzelbeträge!$E:$E,'Ausgaben Vorlage'!G$6)</f>
        <v>0</v>
      </c>
      <c r="H154" s="21">
        <f>SUMIFS(Einzelbeträge!$D:$D,Einzelbeträge!$C:$C,'Ausgaben Vorlage'!$C154,Einzelbeträge!$E:$E,'Ausgaben Vorlage'!H$6)</f>
        <v>0</v>
      </c>
      <c r="I154" s="21">
        <f>SUMIFS(Einzelbeträge!$D:$D,Einzelbeträge!$C:$C,'Ausgaben Vorlage'!$C154,Einzelbeträge!$E:$E,'Ausgaben Vorlage'!I$6)</f>
        <v>0</v>
      </c>
      <c r="J154" s="21">
        <f>SUMIFS(Einzelbeträge!$D:$D,Einzelbeträge!$C:$C,'Ausgaben Vorlage'!$C154,Einzelbeträge!$E:$E,'Ausgaben Vorlage'!J$6)</f>
        <v>0</v>
      </c>
      <c r="K154" s="21">
        <f>SUMIFS(Einzelbeträge!$D:$D,Einzelbeträge!$C:$C,'Ausgaben Vorlage'!$C154,Einzelbeträge!$E:$E,'Ausgaben Vorlage'!K$6)</f>
        <v>0</v>
      </c>
      <c r="L154" s="21">
        <f>SUMIFS(Einzelbeträge!$D:$D,Einzelbeträge!$C:$C,'Ausgaben Vorlage'!$C154,Einzelbeträge!$E:$E,'Ausgaben Vorlage'!L$6)</f>
        <v>0</v>
      </c>
      <c r="M154" s="21">
        <f>SUMIFS(Einzelbeträge!$D:$D,Einzelbeträge!$C:$C,'Ausgaben Vorlage'!$C154,Einzelbeträge!$E:$E,'Ausgaben Vorlage'!M$6)</f>
        <v>0</v>
      </c>
      <c r="N154" s="35">
        <f>SUMIFS(Einzelbeträge!$D:$D,Einzelbeträge!$C:$C,'Ausgaben Vorlage'!$C154,Einzelbeträge!$E:$E,'Ausgaben Vorlage'!N$6)</f>
        <v>0</v>
      </c>
      <c r="O154" s="6"/>
    </row>
    <row r="155" spans="2:15" x14ac:dyDescent="0.35">
      <c r="B155" s="5"/>
      <c r="C155" s="40">
        <f t="shared" si="20"/>
        <v>45793</v>
      </c>
      <c r="D155" s="46">
        <f>SUMIFS(Einzelbeträge!$D:$D,Einzelbeträge!$C:$C,'Ausgaben Vorlage'!$C155)</f>
        <v>0</v>
      </c>
      <c r="E155" s="21">
        <f>SUMIFS(Einzelbeträge!$D:$D,Einzelbeträge!$C:$C,'Ausgaben Vorlage'!$C155,Einzelbeträge!$E:$E,'Ausgaben Vorlage'!E$6)</f>
        <v>0</v>
      </c>
      <c r="F155" s="21">
        <f>SUMIFS(Einzelbeträge!$D:$D,Einzelbeträge!$C:$C,'Ausgaben Vorlage'!$C155,Einzelbeträge!$E:$E,'Ausgaben Vorlage'!F$6)</f>
        <v>0</v>
      </c>
      <c r="G155" s="21">
        <f>SUMIFS(Einzelbeträge!$D:$D,Einzelbeträge!$C:$C,'Ausgaben Vorlage'!$C155,Einzelbeträge!$E:$E,'Ausgaben Vorlage'!G$6)</f>
        <v>0</v>
      </c>
      <c r="H155" s="21">
        <f>SUMIFS(Einzelbeträge!$D:$D,Einzelbeträge!$C:$C,'Ausgaben Vorlage'!$C155,Einzelbeträge!$E:$E,'Ausgaben Vorlage'!H$6)</f>
        <v>0</v>
      </c>
      <c r="I155" s="21">
        <f>SUMIFS(Einzelbeträge!$D:$D,Einzelbeträge!$C:$C,'Ausgaben Vorlage'!$C155,Einzelbeträge!$E:$E,'Ausgaben Vorlage'!I$6)</f>
        <v>0</v>
      </c>
      <c r="J155" s="21">
        <f>SUMIFS(Einzelbeträge!$D:$D,Einzelbeträge!$C:$C,'Ausgaben Vorlage'!$C155,Einzelbeträge!$E:$E,'Ausgaben Vorlage'!J$6)</f>
        <v>0</v>
      </c>
      <c r="K155" s="21">
        <f>SUMIFS(Einzelbeträge!$D:$D,Einzelbeträge!$C:$C,'Ausgaben Vorlage'!$C155,Einzelbeträge!$E:$E,'Ausgaben Vorlage'!K$6)</f>
        <v>0</v>
      </c>
      <c r="L155" s="21">
        <f>SUMIFS(Einzelbeträge!$D:$D,Einzelbeträge!$C:$C,'Ausgaben Vorlage'!$C155,Einzelbeträge!$E:$E,'Ausgaben Vorlage'!L$6)</f>
        <v>0</v>
      </c>
      <c r="M155" s="21">
        <f>SUMIFS(Einzelbeträge!$D:$D,Einzelbeträge!$C:$C,'Ausgaben Vorlage'!$C155,Einzelbeträge!$E:$E,'Ausgaben Vorlage'!M$6)</f>
        <v>0</v>
      </c>
      <c r="N155" s="35">
        <f>SUMIFS(Einzelbeträge!$D:$D,Einzelbeträge!$C:$C,'Ausgaben Vorlage'!$C155,Einzelbeträge!$E:$E,'Ausgaben Vorlage'!N$6)</f>
        <v>0</v>
      </c>
      <c r="O155" s="6"/>
    </row>
    <row r="156" spans="2:15" x14ac:dyDescent="0.35">
      <c r="B156" s="5"/>
      <c r="C156" s="40">
        <f t="shared" si="20"/>
        <v>45794</v>
      </c>
      <c r="D156" s="46">
        <f>SUMIFS(Einzelbeträge!$D:$D,Einzelbeträge!$C:$C,'Ausgaben Vorlage'!$C156)</f>
        <v>0</v>
      </c>
      <c r="E156" s="21">
        <f>SUMIFS(Einzelbeträge!$D:$D,Einzelbeträge!$C:$C,'Ausgaben Vorlage'!$C156,Einzelbeträge!$E:$E,'Ausgaben Vorlage'!E$6)</f>
        <v>0</v>
      </c>
      <c r="F156" s="21">
        <f>SUMIFS(Einzelbeträge!$D:$D,Einzelbeträge!$C:$C,'Ausgaben Vorlage'!$C156,Einzelbeträge!$E:$E,'Ausgaben Vorlage'!F$6)</f>
        <v>0</v>
      </c>
      <c r="G156" s="21">
        <f>SUMIFS(Einzelbeträge!$D:$D,Einzelbeträge!$C:$C,'Ausgaben Vorlage'!$C156,Einzelbeträge!$E:$E,'Ausgaben Vorlage'!G$6)</f>
        <v>0</v>
      </c>
      <c r="H156" s="21">
        <f>SUMIFS(Einzelbeträge!$D:$D,Einzelbeträge!$C:$C,'Ausgaben Vorlage'!$C156,Einzelbeträge!$E:$E,'Ausgaben Vorlage'!H$6)</f>
        <v>0</v>
      </c>
      <c r="I156" s="21">
        <f>SUMIFS(Einzelbeträge!$D:$D,Einzelbeträge!$C:$C,'Ausgaben Vorlage'!$C156,Einzelbeträge!$E:$E,'Ausgaben Vorlage'!I$6)</f>
        <v>0</v>
      </c>
      <c r="J156" s="21">
        <f>SUMIFS(Einzelbeträge!$D:$D,Einzelbeträge!$C:$C,'Ausgaben Vorlage'!$C156,Einzelbeträge!$E:$E,'Ausgaben Vorlage'!J$6)</f>
        <v>0</v>
      </c>
      <c r="K156" s="21">
        <f>SUMIFS(Einzelbeträge!$D:$D,Einzelbeträge!$C:$C,'Ausgaben Vorlage'!$C156,Einzelbeträge!$E:$E,'Ausgaben Vorlage'!K$6)</f>
        <v>0</v>
      </c>
      <c r="L156" s="21">
        <f>SUMIFS(Einzelbeträge!$D:$D,Einzelbeträge!$C:$C,'Ausgaben Vorlage'!$C156,Einzelbeträge!$E:$E,'Ausgaben Vorlage'!L$6)</f>
        <v>0</v>
      </c>
      <c r="M156" s="21">
        <f>SUMIFS(Einzelbeträge!$D:$D,Einzelbeträge!$C:$C,'Ausgaben Vorlage'!$C156,Einzelbeträge!$E:$E,'Ausgaben Vorlage'!M$6)</f>
        <v>0</v>
      </c>
      <c r="N156" s="35">
        <f>SUMIFS(Einzelbeträge!$D:$D,Einzelbeträge!$C:$C,'Ausgaben Vorlage'!$C156,Einzelbeträge!$E:$E,'Ausgaben Vorlage'!N$6)</f>
        <v>0</v>
      </c>
      <c r="O156" s="6"/>
    </row>
    <row r="157" spans="2:15" x14ac:dyDescent="0.35">
      <c r="B157" s="5"/>
      <c r="C157" s="40">
        <f t="shared" si="20"/>
        <v>45795</v>
      </c>
      <c r="D157" s="46">
        <f>SUMIFS(Einzelbeträge!$D:$D,Einzelbeträge!$C:$C,'Ausgaben Vorlage'!$C157)</f>
        <v>0</v>
      </c>
      <c r="E157" s="21">
        <f>SUMIFS(Einzelbeträge!$D:$D,Einzelbeträge!$C:$C,'Ausgaben Vorlage'!$C157,Einzelbeträge!$E:$E,'Ausgaben Vorlage'!E$6)</f>
        <v>0</v>
      </c>
      <c r="F157" s="21">
        <f>SUMIFS(Einzelbeträge!$D:$D,Einzelbeträge!$C:$C,'Ausgaben Vorlage'!$C157,Einzelbeträge!$E:$E,'Ausgaben Vorlage'!F$6)</f>
        <v>0</v>
      </c>
      <c r="G157" s="21">
        <f>SUMIFS(Einzelbeträge!$D:$D,Einzelbeträge!$C:$C,'Ausgaben Vorlage'!$C157,Einzelbeträge!$E:$E,'Ausgaben Vorlage'!G$6)</f>
        <v>0</v>
      </c>
      <c r="H157" s="21">
        <f>SUMIFS(Einzelbeträge!$D:$D,Einzelbeträge!$C:$C,'Ausgaben Vorlage'!$C157,Einzelbeträge!$E:$E,'Ausgaben Vorlage'!H$6)</f>
        <v>0</v>
      </c>
      <c r="I157" s="21">
        <f>SUMIFS(Einzelbeträge!$D:$D,Einzelbeträge!$C:$C,'Ausgaben Vorlage'!$C157,Einzelbeträge!$E:$E,'Ausgaben Vorlage'!I$6)</f>
        <v>0</v>
      </c>
      <c r="J157" s="21">
        <f>SUMIFS(Einzelbeträge!$D:$D,Einzelbeträge!$C:$C,'Ausgaben Vorlage'!$C157,Einzelbeträge!$E:$E,'Ausgaben Vorlage'!J$6)</f>
        <v>0</v>
      </c>
      <c r="K157" s="21">
        <f>SUMIFS(Einzelbeträge!$D:$D,Einzelbeträge!$C:$C,'Ausgaben Vorlage'!$C157,Einzelbeträge!$E:$E,'Ausgaben Vorlage'!K$6)</f>
        <v>0</v>
      </c>
      <c r="L157" s="21">
        <f>SUMIFS(Einzelbeträge!$D:$D,Einzelbeträge!$C:$C,'Ausgaben Vorlage'!$C157,Einzelbeträge!$E:$E,'Ausgaben Vorlage'!L$6)</f>
        <v>0</v>
      </c>
      <c r="M157" s="21">
        <f>SUMIFS(Einzelbeträge!$D:$D,Einzelbeträge!$C:$C,'Ausgaben Vorlage'!$C157,Einzelbeträge!$E:$E,'Ausgaben Vorlage'!M$6)</f>
        <v>0</v>
      </c>
      <c r="N157" s="35">
        <f>SUMIFS(Einzelbeträge!$D:$D,Einzelbeträge!$C:$C,'Ausgaben Vorlage'!$C157,Einzelbeträge!$E:$E,'Ausgaben Vorlage'!N$6)</f>
        <v>0</v>
      </c>
      <c r="O157" s="6"/>
    </row>
    <row r="158" spans="2:15" x14ac:dyDescent="0.35">
      <c r="B158" s="5"/>
      <c r="C158" s="40">
        <f t="shared" si="20"/>
        <v>45796</v>
      </c>
      <c r="D158" s="46">
        <f>SUMIFS(Einzelbeträge!$D:$D,Einzelbeträge!$C:$C,'Ausgaben Vorlage'!$C158)</f>
        <v>0</v>
      </c>
      <c r="E158" s="21">
        <f>SUMIFS(Einzelbeträge!$D:$D,Einzelbeträge!$C:$C,'Ausgaben Vorlage'!$C158,Einzelbeträge!$E:$E,'Ausgaben Vorlage'!E$6)</f>
        <v>0</v>
      </c>
      <c r="F158" s="21">
        <f>SUMIFS(Einzelbeträge!$D:$D,Einzelbeträge!$C:$C,'Ausgaben Vorlage'!$C158,Einzelbeträge!$E:$E,'Ausgaben Vorlage'!F$6)</f>
        <v>0</v>
      </c>
      <c r="G158" s="21">
        <f>SUMIFS(Einzelbeträge!$D:$D,Einzelbeträge!$C:$C,'Ausgaben Vorlage'!$C158,Einzelbeträge!$E:$E,'Ausgaben Vorlage'!G$6)</f>
        <v>0</v>
      </c>
      <c r="H158" s="21">
        <f>SUMIFS(Einzelbeträge!$D:$D,Einzelbeträge!$C:$C,'Ausgaben Vorlage'!$C158,Einzelbeträge!$E:$E,'Ausgaben Vorlage'!H$6)</f>
        <v>0</v>
      </c>
      <c r="I158" s="21">
        <f>SUMIFS(Einzelbeträge!$D:$D,Einzelbeträge!$C:$C,'Ausgaben Vorlage'!$C158,Einzelbeträge!$E:$E,'Ausgaben Vorlage'!I$6)</f>
        <v>0</v>
      </c>
      <c r="J158" s="21">
        <f>SUMIFS(Einzelbeträge!$D:$D,Einzelbeträge!$C:$C,'Ausgaben Vorlage'!$C158,Einzelbeträge!$E:$E,'Ausgaben Vorlage'!J$6)</f>
        <v>0</v>
      </c>
      <c r="K158" s="21">
        <f>SUMIFS(Einzelbeträge!$D:$D,Einzelbeträge!$C:$C,'Ausgaben Vorlage'!$C158,Einzelbeträge!$E:$E,'Ausgaben Vorlage'!K$6)</f>
        <v>0</v>
      </c>
      <c r="L158" s="21">
        <f>SUMIFS(Einzelbeträge!$D:$D,Einzelbeträge!$C:$C,'Ausgaben Vorlage'!$C158,Einzelbeträge!$E:$E,'Ausgaben Vorlage'!L$6)</f>
        <v>0</v>
      </c>
      <c r="M158" s="21">
        <f>SUMIFS(Einzelbeträge!$D:$D,Einzelbeträge!$C:$C,'Ausgaben Vorlage'!$C158,Einzelbeträge!$E:$E,'Ausgaben Vorlage'!M$6)</f>
        <v>0</v>
      </c>
      <c r="N158" s="35">
        <f>SUMIFS(Einzelbeträge!$D:$D,Einzelbeträge!$C:$C,'Ausgaben Vorlage'!$C158,Einzelbeträge!$E:$E,'Ausgaben Vorlage'!N$6)</f>
        <v>0</v>
      </c>
      <c r="O158" s="6"/>
    </row>
    <row r="159" spans="2:15" x14ac:dyDescent="0.35">
      <c r="B159" s="5"/>
      <c r="C159" s="40">
        <f t="shared" si="20"/>
        <v>45797</v>
      </c>
      <c r="D159" s="46">
        <f>SUMIFS(Einzelbeträge!$D:$D,Einzelbeträge!$C:$C,'Ausgaben Vorlage'!$C159)</f>
        <v>0</v>
      </c>
      <c r="E159" s="21">
        <f>SUMIFS(Einzelbeträge!$D:$D,Einzelbeträge!$C:$C,'Ausgaben Vorlage'!$C159,Einzelbeträge!$E:$E,'Ausgaben Vorlage'!E$6)</f>
        <v>0</v>
      </c>
      <c r="F159" s="21">
        <f>SUMIFS(Einzelbeträge!$D:$D,Einzelbeträge!$C:$C,'Ausgaben Vorlage'!$C159,Einzelbeträge!$E:$E,'Ausgaben Vorlage'!F$6)</f>
        <v>0</v>
      </c>
      <c r="G159" s="21">
        <f>SUMIFS(Einzelbeträge!$D:$D,Einzelbeträge!$C:$C,'Ausgaben Vorlage'!$C159,Einzelbeträge!$E:$E,'Ausgaben Vorlage'!G$6)</f>
        <v>0</v>
      </c>
      <c r="H159" s="21">
        <f>SUMIFS(Einzelbeträge!$D:$D,Einzelbeträge!$C:$C,'Ausgaben Vorlage'!$C159,Einzelbeträge!$E:$E,'Ausgaben Vorlage'!H$6)</f>
        <v>0</v>
      </c>
      <c r="I159" s="21">
        <f>SUMIFS(Einzelbeträge!$D:$D,Einzelbeträge!$C:$C,'Ausgaben Vorlage'!$C159,Einzelbeträge!$E:$E,'Ausgaben Vorlage'!I$6)</f>
        <v>0</v>
      </c>
      <c r="J159" s="21">
        <f>SUMIFS(Einzelbeträge!$D:$D,Einzelbeträge!$C:$C,'Ausgaben Vorlage'!$C159,Einzelbeträge!$E:$E,'Ausgaben Vorlage'!J$6)</f>
        <v>0</v>
      </c>
      <c r="K159" s="21">
        <f>SUMIFS(Einzelbeträge!$D:$D,Einzelbeträge!$C:$C,'Ausgaben Vorlage'!$C159,Einzelbeträge!$E:$E,'Ausgaben Vorlage'!K$6)</f>
        <v>0</v>
      </c>
      <c r="L159" s="21">
        <f>SUMIFS(Einzelbeträge!$D:$D,Einzelbeträge!$C:$C,'Ausgaben Vorlage'!$C159,Einzelbeträge!$E:$E,'Ausgaben Vorlage'!L$6)</f>
        <v>0</v>
      </c>
      <c r="M159" s="21">
        <f>SUMIFS(Einzelbeträge!$D:$D,Einzelbeträge!$C:$C,'Ausgaben Vorlage'!$C159,Einzelbeträge!$E:$E,'Ausgaben Vorlage'!M$6)</f>
        <v>0</v>
      </c>
      <c r="N159" s="35">
        <f>SUMIFS(Einzelbeträge!$D:$D,Einzelbeträge!$C:$C,'Ausgaben Vorlage'!$C159,Einzelbeträge!$E:$E,'Ausgaben Vorlage'!N$6)</f>
        <v>0</v>
      </c>
      <c r="O159" s="6"/>
    </row>
    <row r="160" spans="2:15" x14ac:dyDescent="0.35">
      <c r="B160" s="5"/>
      <c r="C160" s="40">
        <f t="shared" si="20"/>
        <v>45798</v>
      </c>
      <c r="D160" s="46">
        <f>SUMIFS(Einzelbeträge!$D:$D,Einzelbeträge!$C:$C,'Ausgaben Vorlage'!$C160)</f>
        <v>0</v>
      </c>
      <c r="E160" s="21">
        <f>SUMIFS(Einzelbeträge!$D:$D,Einzelbeträge!$C:$C,'Ausgaben Vorlage'!$C160,Einzelbeträge!$E:$E,'Ausgaben Vorlage'!E$6)</f>
        <v>0</v>
      </c>
      <c r="F160" s="21">
        <f>SUMIFS(Einzelbeträge!$D:$D,Einzelbeträge!$C:$C,'Ausgaben Vorlage'!$C160,Einzelbeträge!$E:$E,'Ausgaben Vorlage'!F$6)</f>
        <v>0</v>
      </c>
      <c r="G160" s="21">
        <f>SUMIFS(Einzelbeträge!$D:$D,Einzelbeträge!$C:$C,'Ausgaben Vorlage'!$C160,Einzelbeträge!$E:$E,'Ausgaben Vorlage'!G$6)</f>
        <v>0</v>
      </c>
      <c r="H160" s="21">
        <f>SUMIFS(Einzelbeträge!$D:$D,Einzelbeträge!$C:$C,'Ausgaben Vorlage'!$C160,Einzelbeträge!$E:$E,'Ausgaben Vorlage'!H$6)</f>
        <v>0</v>
      </c>
      <c r="I160" s="21">
        <f>SUMIFS(Einzelbeträge!$D:$D,Einzelbeträge!$C:$C,'Ausgaben Vorlage'!$C160,Einzelbeträge!$E:$E,'Ausgaben Vorlage'!I$6)</f>
        <v>0</v>
      </c>
      <c r="J160" s="21">
        <f>SUMIFS(Einzelbeträge!$D:$D,Einzelbeträge!$C:$C,'Ausgaben Vorlage'!$C160,Einzelbeträge!$E:$E,'Ausgaben Vorlage'!J$6)</f>
        <v>0</v>
      </c>
      <c r="K160" s="21">
        <f>SUMIFS(Einzelbeträge!$D:$D,Einzelbeträge!$C:$C,'Ausgaben Vorlage'!$C160,Einzelbeträge!$E:$E,'Ausgaben Vorlage'!K$6)</f>
        <v>0</v>
      </c>
      <c r="L160" s="21">
        <f>SUMIFS(Einzelbeträge!$D:$D,Einzelbeträge!$C:$C,'Ausgaben Vorlage'!$C160,Einzelbeträge!$E:$E,'Ausgaben Vorlage'!L$6)</f>
        <v>0</v>
      </c>
      <c r="M160" s="21">
        <f>SUMIFS(Einzelbeträge!$D:$D,Einzelbeträge!$C:$C,'Ausgaben Vorlage'!$C160,Einzelbeträge!$E:$E,'Ausgaben Vorlage'!M$6)</f>
        <v>0</v>
      </c>
      <c r="N160" s="35">
        <f>SUMIFS(Einzelbeträge!$D:$D,Einzelbeträge!$C:$C,'Ausgaben Vorlage'!$C160,Einzelbeträge!$E:$E,'Ausgaben Vorlage'!N$6)</f>
        <v>0</v>
      </c>
      <c r="O160" s="6"/>
    </row>
    <row r="161" spans="2:15" x14ac:dyDescent="0.35">
      <c r="B161" s="5"/>
      <c r="C161" s="40">
        <f t="shared" si="20"/>
        <v>45799</v>
      </c>
      <c r="D161" s="46">
        <f>SUMIFS(Einzelbeträge!$D:$D,Einzelbeträge!$C:$C,'Ausgaben Vorlage'!$C161)</f>
        <v>0</v>
      </c>
      <c r="E161" s="21">
        <f>SUMIFS(Einzelbeträge!$D:$D,Einzelbeträge!$C:$C,'Ausgaben Vorlage'!$C161,Einzelbeträge!$E:$E,'Ausgaben Vorlage'!E$6)</f>
        <v>0</v>
      </c>
      <c r="F161" s="21">
        <f>SUMIFS(Einzelbeträge!$D:$D,Einzelbeträge!$C:$C,'Ausgaben Vorlage'!$C161,Einzelbeträge!$E:$E,'Ausgaben Vorlage'!F$6)</f>
        <v>0</v>
      </c>
      <c r="G161" s="21">
        <f>SUMIFS(Einzelbeträge!$D:$D,Einzelbeträge!$C:$C,'Ausgaben Vorlage'!$C161,Einzelbeträge!$E:$E,'Ausgaben Vorlage'!G$6)</f>
        <v>0</v>
      </c>
      <c r="H161" s="21">
        <f>SUMIFS(Einzelbeträge!$D:$D,Einzelbeträge!$C:$C,'Ausgaben Vorlage'!$C161,Einzelbeträge!$E:$E,'Ausgaben Vorlage'!H$6)</f>
        <v>0</v>
      </c>
      <c r="I161" s="21">
        <f>SUMIFS(Einzelbeträge!$D:$D,Einzelbeträge!$C:$C,'Ausgaben Vorlage'!$C161,Einzelbeträge!$E:$E,'Ausgaben Vorlage'!I$6)</f>
        <v>0</v>
      </c>
      <c r="J161" s="21">
        <f>SUMIFS(Einzelbeträge!$D:$D,Einzelbeträge!$C:$C,'Ausgaben Vorlage'!$C161,Einzelbeträge!$E:$E,'Ausgaben Vorlage'!J$6)</f>
        <v>0</v>
      </c>
      <c r="K161" s="21">
        <f>SUMIFS(Einzelbeträge!$D:$D,Einzelbeträge!$C:$C,'Ausgaben Vorlage'!$C161,Einzelbeträge!$E:$E,'Ausgaben Vorlage'!K$6)</f>
        <v>0</v>
      </c>
      <c r="L161" s="21">
        <f>SUMIFS(Einzelbeträge!$D:$D,Einzelbeträge!$C:$C,'Ausgaben Vorlage'!$C161,Einzelbeträge!$E:$E,'Ausgaben Vorlage'!L$6)</f>
        <v>0</v>
      </c>
      <c r="M161" s="21">
        <f>SUMIFS(Einzelbeträge!$D:$D,Einzelbeträge!$C:$C,'Ausgaben Vorlage'!$C161,Einzelbeträge!$E:$E,'Ausgaben Vorlage'!M$6)</f>
        <v>0</v>
      </c>
      <c r="N161" s="35">
        <f>SUMIFS(Einzelbeträge!$D:$D,Einzelbeträge!$C:$C,'Ausgaben Vorlage'!$C161,Einzelbeträge!$E:$E,'Ausgaben Vorlage'!N$6)</f>
        <v>0</v>
      </c>
      <c r="O161" s="6"/>
    </row>
    <row r="162" spans="2:15" x14ac:dyDescent="0.35">
      <c r="B162" s="5"/>
      <c r="C162" s="40">
        <f t="shared" si="20"/>
        <v>45800</v>
      </c>
      <c r="D162" s="46">
        <f>SUMIFS(Einzelbeträge!$D:$D,Einzelbeträge!$C:$C,'Ausgaben Vorlage'!$C162)</f>
        <v>0</v>
      </c>
      <c r="E162" s="21">
        <f>SUMIFS(Einzelbeträge!$D:$D,Einzelbeträge!$C:$C,'Ausgaben Vorlage'!$C162,Einzelbeträge!$E:$E,'Ausgaben Vorlage'!E$6)</f>
        <v>0</v>
      </c>
      <c r="F162" s="21">
        <f>SUMIFS(Einzelbeträge!$D:$D,Einzelbeträge!$C:$C,'Ausgaben Vorlage'!$C162,Einzelbeträge!$E:$E,'Ausgaben Vorlage'!F$6)</f>
        <v>0</v>
      </c>
      <c r="G162" s="21">
        <f>SUMIFS(Einzelbeträge!$D:$D,Einzelbeträge!$C:$C,'Ausgaben Vorlage'!$C162,Einzelbeträge!$E:$E,'Ausgaben Vorlage'!G$6)</f>
        <v>0</v>
      </c>
      <c r="H162" s="21">
        <f>SUMIFS(Einzelbeträge!$D:$D,Einzelbeträge!$C:$C,'Ausgaben Vorlage'!$C162,Einzelbeträge!$E:$E,'Ausgaben Vorlage'!H$6)</f>
        <v>0</v>
      </c>
      <c r="I162" s="21">
        <f>SUMIFS(Einzelbeträge!$D:$D,Einzelbeträge!$C:$C,'Ausgaben Vorlage'!$C162,Einzelbeträge!$E:$E,'Ausgaben Vorlage'!I$6)</f>
        <v>0</v>
      </c>
      <c r="J162" s="21">
        <f>SUMIFS(Einzelbeträge!$D:$D,Einzelbeträge!$C:$C,'Ausgaben Vorlage'!$C162,Einzelbeträge!$E:$E,'Ausgaben Vorlage'!J$6)</f>
        <v>0</v>
      </c>
      <c r="K162" s="21">
        <f>SUMIFS(Einzelbeträge!$D:$D,Einzelbeträge!$C:$C,'Ausgaben Vorlage'!$C162,Einzelbeträge!$E:$E,'Ausgaben Vorlage'!K$6)</f>
        <v>0</v>
      </c>
      <c r="L162" s="21">
        <f>SUMIFS(Einzelbeträge!$D:$D,Einzelbeträge!$C:$C,'Ausgaben Vorlage'!$C162,Einzelbeträge!$E:$E,'Ausgaben Vorlage'!L$6)</f>
        <v>0</v>
      </c>
      <c r="M162" s="21">
        <f>SUMIFS(Einzelbeträge!$D:$D,Einzelbeträge!$C:$C,'Ausgaben Vorlage'!$C162,Einzelbeträge!$E:$E,'Ausgaben Vorlage'!M$6)</f>
        <v>0</v>
      </c>
      <c r="N162" s="35">
        <f>SUMIFS(Einzelbeträge!$D:$D,Einzelbeträge!$C:$C,'Ausgaben Vorlage'!$C162,Einzelbeträge!$E:$E,'Ausgaben Vorlage'!N$6)</f>
        <v>0</v>
      </c>
      <c r="O162" s="6"/>
    </row>
    <row r="163" spans="2:15" x14ac:dyDescent="0.35">
      <c r="B163" s="5"/>
      <c r="C163" s="40">
        <f t="shared" si="20"/>
        <v>45801</v>
      </c>
      <c r="D163" s="46">
        <f>SUMIFS(Einzelbeträge!$D:$D,Einzelbeträge!$C:$C,'Ausgaben Vorlage'!$C163)</f>
        <v>0</v>
      </c>
      <c r="E163" s="21">
        <f>SUMIFS(Einzelbeträge!$D:$D,Einzelbeträge!$C:$C,'Ausgaben Vorlage'!$C163,Einzelbeträge!$E:$E,'Ausgaben Vorlage'!E$6)</f>
        <v>0</v>
      </c>
      <c r="F163" s="21">
        <f>SUMIFS(Einzelbeträge!$D:$D,Einzelbeträge!$C:$C,'Ausgaben Vorlage'!$C163,Einzelbeträge!$E:$E,'Ausgaben Vorlage'!F$6)</f>
        <v>0</v>
      </c>
      <c r="G163" s="21">
        <f>SUMIFS(Einzelbeträge!$D:$D,Einzelbeträge!$C:$C,'Ausgaben Vorlage'!$C163,Einzelbeträge!$E:$E,'Ausgaben Vorlage'!G$6)</f>
        <v>0</v>
      </c>
      <c r="H163" s="21">
        <f>SUMIFS(Einzelbeträge!$D:$D,Einzelbeträge!$C:$C,'Ausgaben Vorlage'!$C163,Einzelbeträge!$E:$E,'Ausgaben Vorlage'!H$6)</f>
        <v>0</v>
      </c>
      <c r="I163" s="21">
        <f>SUMIFS(Einzelbeträge!$D:$D,Einzelbeträge!$C:$C,'Ausgaben Vorlage'!$C163,Einzelbeträge!$E:$E,'Ausgaben Vorlage'!I$6)</f>
        <v>0</v>
      </c>
      <c r="J163" s="21">
        <f>SUMIFS(Einzelbeträge!$D:$D,Einzelbeträge!$C:$C,'Ausgaben Vorlage'!$C163,Einzelbeträge!$E:$E,'Ausgaben Vorlage'!J$6)</f>
        <v>0</v>
      </c>
      <c r="K163" s="21">
        <f>SUMIFS(Einzelbeträge!$D:$D,Einzelbeträge!$C:$C,'Ausgaben Vorlage'!$C163,Einzelbeträge!$E:$E,'Ausgaben Vorlage'!K$6)</f>
        <v>0</v>
      </c>
      <c r="L163" s="21">
        <f>SUMIFS(Einzelbeträge!$D:$D,Einzelbeträge!$C:$C,'Ausgaben Vorlage'!$C163,Einzelbeträge!$E:$E,'Ausgaben Vorlage'!L$6)</f>
        <v>0</v>
      </c>
      <c r="M163" s="21">
        <f>SUMIFS(Einzelbeträge!$D:$D,Einzelbeträge!$C:$C,'Ausgaben Vorlage'!$C163,Einzelbeträge!$E:$E,'Ausgaben Vorlage'!M$6)</f>
        <v>0</v>
      </c>
      <c r="N163" s="35">
        <f>SUMIFS(Einzelbeträge!$D:$D,Einzelbeträge!$C:$C,'Ausgaben Vorlage'!$C163,Einzelbeträge!$E:$E,'Ausgaben Vorlage'!N$6)</f>
        <v>0</v>
      </c>
      <c r="O163" s="6"/>
    </row>
    <row r="164" spans="2:15" x14ac:dyDescent="0.35">
      <c r="B164" s="5"/>
      <c r="C164" s="40">
        <f t="shared" si="20"/>
        <v>45802</v>
      </c>
      <c r="D164" s="46">
        <f>SUMIFS(Einzelbeträge!$D:$D,Einzelbeträge!$C:$C,'Ausgaben Vorlage'!$C164)</f>
        <v>0</v>
      </c>
      <c r="E164" s="21">
        <f>SUMIFS(Einzelbeträge!$D:$D,Einzelbeträge!$C:$C,'Ausgaben Vorlage'!$C164,Einzelbeträge!$E:$E,'Ausgaben Vorlage'!E$6)</f>
        <v>0</v>
      </c>
      <c r="F164" s="21">
        <f>SUMIFS(Einzelbeträge!$D:$D,Einzelbeträge!$C:$C,'Ausgaben Vorlage'!$C164,Einzelbeträge!$E:$E,'Ausgaben Vorlage'!F$6)</f>
        <v>0</v>
      </c>
      <c r="G164" s="21">
        <f>SUMIFS(Einzelbeträge!$D:$D,Einzelbeträge!$C:$C,'Ausgaben Vorlage'!$C164,Einzelbeträge!$E:$E,'Ausgaben Vorlage'!G$6)</f>
        <v>0</v>
      </c>
      <c r="H164" s="21">
        <f>SUMIFS(Einzelbeträge!$D:$D,Einzelbeträge!$C:$C,'Ausgaben Vorlage'!$C164,Einzelbeträge!$E:$E,'Ausgaben Vorlage'!H$6)</f>
        <v>0</v>
      </c>
      <c r="I164" s="21">
        <f>SUMIFS(Einzelbeträge!$D:$D,Einzelbeträge!$C:$C,'Ausgaben Vorlage'!$C164,Einzelbeträge!$E:$E,'Ausgaben Vorlage'!I$6)</f>
        <v>0</v>
      </c>
      <c r="J164" s="21">
        <f>SUMIFS(Einzelbeträge!$D:$D,Einzelbeträge!$C:$C,'Ausgaben Vorlage'!$C164,Einzelbeträge!$E:$E,'Ausgaben Vorlage'!J$6)</f>
        <v>0</v>
      </c>
      <c r="K164" s="21">
        <f>SUMIFS(Einzelbeträge!$D:$D,Einzelbeträge!$C:$C,'Ausgaben Vorlage'!$C164,Einzelbeträge!$E:$E,'Ausgaben Vorlage'!K$6)</f>
        <v>0</v>
      </c>
      <c r="L164" s="21">
        <f>SUMIFS(Einzelbeträge!$D:$D,Einzelbeträge!$C:$C,'Ausgaben Vorlage'!$C164,Einzelbeträge!$E:$E,'Ausgaben Vorlage'!L$6)</f>
        <v>0</v>
      </c>
      <c r="M164" s="21">
        <f>SUMIFS(Einzelbeträge!$D:$D,Einzelbeträge!$C:$C,'Ausgaben Vorlage'!$C164,Einzelbeträge!$E:$E,'Ausgaben Vorlage'!M$6)</f>
        <v>0</v>
      </c>
      <c r="N164" s="35">
        <f>SUMIFS(Einzelbeträge!$D:$D,Einzelbeträge!$C:$C,'Ausgaben Vorlage'!$C164,Einzelbeträge!$E:$E,'Ausgaben Vorlage'!N$6)</f>
        <v>0</v>
      </c>
      <c r="O164" s="6"/>
    </row>
    <row r="165" spans="2:15" x14ac:dyDescent="0.35">
      <c r="B165" s="5"/>
      <c r="C165" s="40">
        <f t="shared" si="20"/>
        <v>45803</v>
      </c>
      <c r="D165" s="46">
        <f>SUMIFS(Einzelbeträge!$D:$D,Einzelbeträge!$C:$C,'Ausgaben Vorlage'!$C165)</f>
        <v>0</v>
      </c>
      <c r="E165" s="21">
        <f>SUMIFS(Einzelbeträge!$D:$D,Einzelbeträge!$C:$C,'Ausgaben Vorlage'!$C165,Einzelbeträge!$E:$E,'Ausgaben Vorlage'!E$6)</f>
        <v>0</v>
      </c>
      <c r="F165" s="21">
        <f>SUMIFS(Einzelbeträge!$D:$D,Einzelbeträge!$C:$C,'Ausgaben Vorlage'!$C165,Einzelbeträge!$E:$E,'Ausgaben Vorlage'!F$6)</f>
        <v>0</v>
      </c>
      <c r="G165" s="21">
        <f>SUMIFS(Einzelbeträge!$D:$D,Einzelbeträge!$C:$C,'Ausgaben Vorlage'!$C165,Einzelbeträge!$E:$E,'Ausgaben Vorlage'!G$6)</f>
        <v>0</v>
      </c>
      <c r="H165" s="21">
        <f>SUMIFS(Einzelbeträge!$D:$D,Einzelbeträge!$C:$C,'Ausgaben Vorlage'!$C165,Einzelbeträge!$E:$E,'Ausgaben Vorlage'!H$6)</f>
        <v>0</v>
      </c>
      <c r="I165" s="21">
        <f>SUMIFS(Einzelbeträge!$D:$D,Einzelbeträge!$C:$C,'Ausgaben Vorlage'!$C165,Einzelbeträge!$E:$E,'Ausgaben Vorlage'!I$6)</f>
        <v>0</v>
      </c>
      <c r="J165" s="21">
        <f>SUMIFS(Einzelbeträge!$D:$D,Einzelbeträge!$C:$C,'Ausgaben Vorlage'!$C165,Einzelbeträge!$E:$E,'Ausgaben Vorlage'!J$6)</f>
        <v>0</v>
      </c>
      <c r="K165" s="21">
        <f>SUMIFS(Einzelbeträge!$D:$D,Einzelbeträge!$C:$C,'Ausgaben Vorlage'!$C165,Einzelbeträge!$E:$E,'Ausgaben Vorlage'!K$6)</f>
        <v>0</v>
      </c>
      <c r="L165" s="21">
        <f>SUMIFS(Einzelbeträge!$D:$D,Einzelbeträge!$C:$C,'Ausgaben Vorlage'!$C165,Einzelbeträge!$E:$E,'Ausgaben Vorlage'!L$6)</f>
        <v>0</v>
      </c>
      <c r="M165" s="21">
        <f>SUMIFS(Einzelbeträge!$D:$D,Einzelbeträge!$C:$C,'Ausgaben Vorlage'!$C165,Einzelbeträge!$E:$E,'Ausgaben Vorlage'!M$6)</f>
        <v>0</v>
      </c>
      <c r="N165" s="35">
        <f>SUMIFS(Einzelbeträge!$D:$D,Einzelbeträge!$C:$C,'Ausgaben Vorlage'!$C165,Einzelbeträge!$E:$E,'Ausgaben Vorlage'!N$6)</f>
        <v>0</v>
      </c>
      <c r="O165" s="6"/>
    </row>
    <row r="166" spans="2:15" x14ac:dyDescent="0.35">
      <c r="B166" s="5"/>
      <c r="C166" s="40">
        <f t="shared" si="20"/>
        <v>45804</v>
      </c>
      <c r="D166" s="46">
        <f>SUMIFS(Einzelbeträge!$D:$D,Einzelbeträge!$C:$C,'Ausgaben Vorlage'!$C166)</f>
        <v>0</v>
      </c>
      <c r="E166" s="21">
        <f>SUMIFS(Einzelbeträge!$D:$D,Einzelbeträge!$C:$C,'Ausgaben Vorlage'!$C166,Einzelbeträge!$E:$E,'Ausgaben Vorlage'!E$6)</f>
        <v>0</v>
      </c>
      <c r="F166" s="21">
        <f>SUMIFS(Einzelbeträge!$D:$D,Einzelbeträge!$C:$C,'Ausgaben Vorlage'!$C166,Einzelbeträge!$E:$E,'Ausgaben Vorlage'!F$6)</f>
        <v>0</v>
      </c>
      <c r="G166" s="21">
        <f>SUMIFS(Einzelbeträge!$D:$D,Einzelbeträge!$C:$C,'Ausgaben Vorlage'!$C166,Einzelbeträge!$E:$E,'Ausgaben Vorlage'!G$6)</f>
        <v>0</v>
      </c>
      <c r="H166" s="21">
        <f>SUMIFS(Einzelbeträge!$D:$D,Einzelbeträge!$C:$C,'Ausgaben Vorlage'!$C166,Einzelbeträge!$E:$E,'Ausgaben Vorlage'!H$6)</f>
        <v>0</v>
      </c>
      <c r="I166" s="21">
        <f>SUMIFS(Einzelbeträge!$D:$D,Einzelbeträge!$C:$C,'Ausgaben Vorlage'!$C166,Einzelbeträge!$E:$E,'Ausgaben Vorlage'!I$6)</f>
        <v>0</v>
      </c>
      <c r="J166" s="21">
        <f>SUMIFS(Einzelbeträge!$D:$D,Einzelbeträge!$C:$C,'Ausgaben Vorlage'!$C166,Einzelbeträge!$E:$E,'Ausgaben Vorlage'!J$6)</f>
        <v>0</v>
      </c>
      <c r="K166" s="21">
        <f>SUMIFS(Einzelbeträge!$D:$D,Einzelbeträge!$C:$C,'Ausgaben Vorlage'!$C166,Einzelbeträge!$E:$E,'Ausgaben Vorlage'!K$6)</f>
        <v>0</v>
      </c>
      <c r="L166" s="21">
        <f>SUMIFS(Einzelbeträge!$D:$D,Einzelbeträge!$C:$C,'Ausgaben Vorlage'!$C166,Einzelbeträge!$E:$E,'Ausgaben Vorlage'!L$6)</f>
        <v>0</v>
      </c>
      <c r="M166" s="21">
        <f>SUMIFS(Einzelbeträge!$D:$D,Einzelbeträge!$C:$C,'Ausgaben Vorlage'!$C166,Einzelbeträge!$E:$E,'Ausgaben Vorlage'!M$6)</f>
        <v>0</v>
      </c>
      <c r="N166" s="35">
        <f>SUMIFS(Einzelbeträge!$D:$D,Einzelbeträge!$C:$C,'Ausgaben Vorlage'!$C166,Einzelbeträge!$E:$E,'Ausgaben Vorlage'!N$6)</f>
        <v>0</v>
      </c>
      <c r="O166" s="6"/>
    </row>
    <row r="167" spans="2:15" x14ac:dyDescent="0.35">
      <c r="B167" s="5"/>
      <c r="C167" s="40">
        <f t="shared" si="20"/>
        <v>45805</v>
      </c>
      <c r="D167" s="46">
        <f>SUMIFS(Einzelbeträge!$D:$D,Einzelbeträge!$C:$C,'Ausgaben Vorlage'!$C167)</f>
        <v>0</v>
      </c>
      <c r="E167" s="21">
        <f>SUMIFS(Einzelbeträge!$D:$D,Einzelbeträge!$C:$C,'Ausgaben Vorlage'!$C167,Einzelbeträge!$E:$E,'Ausgaben Vorlage'!E$6)</f>
        <v>0</v>
      </c>
      <c r="F167" s="21">
        <f>SUMIFS(Einzelbeträge!$D:$D,Einzelbeträge!$C:$C,'Ausgaben Vorlage'!$C167,Einzelbeträge!$E:$E,'Ausgaben Vorlage'!F$6)</f>
        <v>0</v>
      </c>
      <c r="G167" s="21">
        <f>SUMIFS(Einzelbeträge!$D:$D,Einzelbeträge!$C:$C,'Ausgaben Vorlage'!$C167,Einzelbeträge!$E:$E,'Ausgaben Vorlage'!G$6)</f>
        <v>0</v>
      </c>
      <c r="H167" s="21">
        <f>SUMIFS(Einzelbeträge!$D:$D,Einzelbeträge!$C:$C,'Ausgaben Vorlage'!$C167,Einzelbeträge!$E:$E,'Ausgaben Vorlage'!H$6)</f>
        <v>0</v>
      </c>
      <c r="I167" s="21">
        <f>SUMIFS(Einzelbeträge!$D:$D,Einzelbeträge!$C:$C,'Ausgaben Vorlage'!$C167,Einzelbeträge!$E:$E,'Ausgaben Vorlage'!I$6)</f>
        <v>0</v>
      </c>
      <c r="J167" s="21">
        <f>SUMIFS(Einzelbeträge!$D:$D,Einzelbeträge!$C:$C,'Ausgaben Vorlage'!$C167,Einzelbeträge!$E:$E,'Ausgaben Vorlage'!J$6)</f>
        <v>0</v>
      </c>
      <c r="K167" s="21">
        <f>SUMIFS(Einzelbeträge!$D:$D,Einzelbeträge!$C:$C,'Ausgaben Vorlage'!$C167,Einzelbeträge!$E:$E,'Ausgaben Vorlage'!K$6)</f>
        <v>0</v>
      </c>
      <c r="L167" s="21">
        <f>SUMIFS(Einzelbeträge!$D:$D,Einzelbeträge!$C:$C,'Ausgaben Vorlage'!$C167,Einzelbeträge!$E:$E,'Ausgaben Vorlage'!L$6)</f>
        <v>0</v>
      </c>
      <c r="M167" s="21">
        <f>SUMIFS(Einzelbeträge!$D:$D,Einzelbeträge!$C:$C,'Ausgaben Vorlage'!$C167,Einzelbeträge!$E:$E,'Ausgaben Vorlage'!M$6)</f>
        <v>0</v>
      </c>
      <c r="N167" s="35">
        <f>SUMIFS(Einzelbeträge!$D:$D,Einzelbeträge!$C:$C,'Ausgaben Vorlage'!$C167,Einzelbeträge!$E:$E,'Ausgaben Vorlage'!N$6)</f>
        <v>0</v>
      </c>
      <c r="O167" s="6"/>
    </row>
    <row r="168" spans="2:15" x14ac:dyDescent="0.35">
      <c r="B168" s="5"/>
      <c r="C168" s="40">
        <f t="shared" si="20"/>
        <v>45806</v>
      </c>
      <c r="D168" s="46">
        <f>SUMIFS(Einzelbeträge!$D:$D,Einzelbeträge!$C:$C,'Ausgaben Vorlage'!$C168)</f>
        <v>0</v>
      </c>
      <c r="E168" s="21">
        <f>SUMIFS(Einzelbeträge!$D:$D,Einzelbeträge!$C:$C,'Ausgaben Vorlage'!$C168,Einzelbeträge!$E:$E,'Ausgaben Vorlage'!E$6)</f>
        <v>0</v>
      </c>
      <c r="F168" s="21">
        <f>SUMIFS(Einzelbeträge!$D:$D,Einzelbeträge!$C:$C,'Ausgaben Vorlage'!$C168,Einzelbeträge!$E:$E,'Ausgaben Vorlage'!F$6)</f>
        <v>0</v>
      </c>
      <c r="G168" s="21">
        <f>SUMIFS(Einzelbeträge!$D:$D,Einzelbeträge!$C:$C,'Ausgaben Vorlage'!$C168,Einzelbeträge!$E:$E,'Ausgaben Vorlage'!G$6)</f>
        <v>0</v>
      </c>
      <c r="H168" s="21">
        <f>SUMIFS(Einzelbeträge!$D:$D,Einzelbeträge!$C:$C,'Ausgaben Vorlage'!$C168,Einzelbeträge!$E:$E,'Ausgaben Vorlage'!H$6)</f>
        <v>0</v>
      </c>
      <c r="I168" s="21">
        <f>SUMIFS(Einzelbeträge!$D:$D,Einzelbeträge!$C:$C,'Ausgaben Vorlage'!$C168,Einzelbeträge!$E:$E,'Ausgaben Vorlage'!I$6)</f>
        <v>0</v>
      </c>
      <c r="J168" s="21">
        <f>SUMIFS(Einzelbeträge!$D:$D,Einzelbeträge!$C:$C,'Ausgaben Vorlage'!$C168,Einzelbeträge!$E:$E,'Ausgaben Vorlage'!J$6)</f>
        <v>0</v>
      </c>
      <c r="K168" s="21">
        <f>SUMIFS(Einzelbeträge!$D:$D,Einzelbeträge!$C:$C,'Ausgaben Vorlage'!$C168,Einzelbeträge!$E:$E,'Ausgaben Vorlage'!K$6)</f>
        <v>0</v>
      </c>
      <c r="L168" s="21">
        <f>SUMIFS(Einzelbeträge!$D:$D,Einzelbeträge!$C:$C,'Ausgaben Vorlage'!$C168,Einzelbeträge!$E:$E,'Ausgaben Vorlage'!L$6)</f>
        <v>0</v>
      </c>
      <c r="M168" s="21">
        <f>SUMIFS(Einzelbeträge!$D:$D,Einzelbeträge!$C:$C,'Ausgaben Vorlage'!$C168,Einzelbeträge!$E:$E,'Ausgaben Vorlage'!M$6)</f>
        <v>0</v>
      </c>
      <c r="N168" s="35">
        <f>SUMIFS(Einzelbeträge!$D:$D,Einzelbeträge!$C:$C,'Ausgaben Vorlage'!$C168,Einzelbeträge!$E:$E,'Ausgaben Vorlage'!N$6)</f>
        <v>0</v>
      </c>
      <c r="O168" s="6"/>
    </row>
    <row r="169" spans="2:15" x14ac:dyDescent="0.35">
      <c r="B169" s="5"/>
      <c r="C169" s="40">
        <f t="shared" si="20"/>
        <v>45807</v>
      </c>
      <c r="D169" s="46">
        <f>SUMIFS(Einzelbeträge!$D:$D,Einzelbeträge!$C:$C,'Ausgaben Vorlage'!$C169)</f>
        <v>0</v>
      </c>
      <c r="E169" s="21">
        <f>SUMIFS(Einzelbeträge!$D:$D,Einzelbeträge!$C:$C,'Ausgaben Vorlage'!$C169,Einzelbeträge!$E:$E,'Ausgaben Vorlage'!E$6)</f>
        <v>0</v>
      </c>
      <c r="F169" s="21">
        <f>SUMIFS(Einzelbeträge!$D:$D,Einzelbeträge!$C:$C,'Ausgaben Vorlage'!$C169,Einzelbeträge!$E:$E,'Ausgaben Vorlage'!F$6)</f>
        <v>0</v>
      </c>
      <c r="G169" s="21">
        <f>SUMIFS(Einzelbeträge!$D:$D,Einzelbeträge!$C:$C,'Ausgaben Vorlage'!$C169,Einzelbeträge!$E:$E,'Ausgaben Vorlage'!G$6)</f>
        <v>0</v>
      </c>
      <c r="H169" s="21">
        <f>SUMIFS(Einzelbeträge!$D:$D,Einzelbeträge!$C:$C,'Ausgaben Vorlage'!$C169,Einzelbeträge!$E:$E,'Ausgaben Vorlage'!H$6)</f>
        <v>0</v>
      </c>
      <c r="I169" s="21">
        <f>SUMIFS(Einzelbeträge!$D:$D,Einzelbeträge!$C:$C,'Ausgaben Vorlage'!$C169,Einzelbeträge!$E:$E,'Ausgaben Vorlage'!I$6)</f>
        <v>0</v>
      </c>
      <c r="J169" s="21">
        <f>SUMIFS(Einzelbeträge!$D:$D,Einzelbeträge!$C:$C,'Ausgaben Vorlage'!$C169,Einzelbeträge!$E:$E,'Ausgaben Vorlage'!J$6)</f>
        <v>0</v>
      </c>
      <c r="K169" s="21">
        <f>SUMIFS(Einzelbeträge!$D:$D,Einzelbeträge!$C:$C,'Ausgaben Vorlage'!$C169,Einzelbeträge!$E:$E,'Ausgaben Vorlage'!K$6)</f>
        <v>0</v>
      </c>
      <c r="L169" s="21">
        <f>SUMIFS(Einzelbeträge!$D:$D,Einzelbeträge!$C:$C,'Ausgaben Vorlage'!$C169,Einzelbeträge!$E:$E,'Ausgaben Vorlage'!L$6)</f>
        <v>0</v>
      </c>
      <c r="M169" s="21">
        <f>SUMIFS(Einzelbeträge!$D:$D,Einzelbeträge!$C:$C,'Ausgaben Vorlage'!$C169,Einzelbeträge!$E:$E,'Ausgaben Vorlage'!M$6)</f>
        <v>0</v>
      </c>
      <c r="N169" s="35">
        <f>SUMIFS(Einzelbeträge!$D:$D,Einzelbeträge!$C:$C,'Ausgaben Vorlage'!$C169,Einzelbeträge!$E:$E,'Ausgaben Vorlage'!N$6)</f>
        <v>0</v>
      </c>
      <c r="O169" s="6"/>
    </row>
    <row r="170" spans="2:15" x14ac:dyDescent="0.35">
      <c r="B170" s="5"/>
      <c r="C170" s="31">
        <f t="shared" si="20"/>
        <v>45808</v>
      </c>
      <c r="D170" s="47">
        <f>SUMIFS(Einzelbeträge!$D:$D,Einzelbeträge!$C:$C,'Ausgaben Vorlage'!$C170)</f>
        <v>0</v>
      </c>
      <c r="E170" s="37">
        <f>SUMIFS(Einzelbeträge!$D:$D,Einzelbeträge!$C:$C,'Ausgaben Vorlage'!$C170,Einzelbeträge!$E:$E,'Ausgaben Vorlage'!E$6)</f>
        <v>0</v>
      </c>
      <c r="F170" s="37">
        <f>SUMIFS(Einzelbeträge!$D:$D,Einzelbeträge!$C:$C,'Ausgaben Vorlage'!$C170,Einzelbeträge!$E:$E,'Ausgaben Vorlage'!F$6)</f>
        <v>0</v>
      </c>
      <c r="G170" s="37">
        <f>SUMIFS(Einzelbeträge!$D:$D,Einzelbeträge!$C:$C,'Ausgaben Vorlage'!$C170,Einzelbeträge!$E:$E,'Ausgaben Vorlage'!G$6)</f>
        <v>0</v>
      </c>
      <c r="H170" s="37">
        <f>SUMIFS(Einzelbeträge!$D:$D,Einzelbeträge!$C:$C,'Ausgaben Vorlage'!$C170,Einzelbeträge!$E:$E,'Ausgaben Vorlage'!H$6)</f>
        <v>0</v>
      </c>
      <c r="I170" s="37">
        <f>SUMIFS(Einzelbeträge!$D:$D,Einzelbeträge!$C:$C,'Ausgaben Vorlage'!$C170,Einzelbeträge!$E:$E,'Ausgaben Vorlage'!I$6)</f>
        <v>0</v>
      </c>
      <c r="J170" s="37">
        <f>SUMIFS(Einzelbeträge!$D:$D,Einzelbeträge!$C:$C,'Ausgaben Vorlage'!$C170,Einzelbeträge!$E:$E,'Ausgaben Vorlage'!J$6)</f>
        <v>0</v>
      </c>
      <c r="K170" s="37">
        <f>SUMIFS(Einzelbeträge!$D:$D,Einzelbeträge!$C:$C,'Ausgaben Vorlage'!$C170,Einzelbeträge!$E:$E,'Ausgaben Vorlage'!K$6)</f>
        <v>0</v>
      </c>
      <c r="L170" s="37">
        <f>SUMIFS(Einzelbeträge!$D:$D,Einzelbeträge!$C:$C,'Ausgaben Vorlage'!$C170,Einzelbeträge!$E:$E,'Ausgaben Vorlage'!L$6)</f>
        <v>0</v>
      </c>
      <c r="M170" s="37">
        <f>SUMIFS(Einzelbeträge!$D:$D,Einzelbeträge!$C:$C,'Ausgaben Vorlage'!$C170,Einzelbeträge!$E:$E,'Ausgaben Vorlage'!M$6)</f>
        <v>0</v>
      </c>
      <c r="N170" s="38">
        <f>SUMIFS(Einzelbeträge!$D:$D,Einzelbeträge!$C:$C,'Ausgaben Vorlage'!$C170,Einzelbeträge!$E:$E,'Ausgaben Vorlage'!N$6)</f>
        <v>0</v>
      </c>
      <c r="O170" s="6"/>
    </row>
    <row r="171" spans="2:15" x14ac:dyDescent="0.35">
      <c r="B171" s="5"/>
      <c r="C171" s="22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6"/>
    </row>
    <row r="172" spans="2:15" x14ac:dyDescent="0.35">
      <c r="B172" s="5"/>
      <c r="C172" s="16" t="s">
        <v>22</v>
      </c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6"/>
    </row>
    <row r="173" spans="2:15" x14ac:dyDescent="0.35">
      <c r="B173" s="5"/>
      <c r="C173" s="1" t="s">
        <v>7</v>
      </c>
      <c r="D173" s="16" t="s">
        <v>6</v>
      </c>
      <c r="E173" s="42" t="s">
        <v>0</v>
      </c>
      <c r="F173" s="42" t="s">
        <v>1</v>
      </c>
      <c r="G173" s="42" t="s">
        <v>3</v>
      </c>
      <c r="H173" s="42" t="s">
        <v>2</v>
      </c>
      <c r="I173" s="42" t="s">
        <v>42</v>
      </c>
      <c r="J173" s="42" t="s">
        <v>65</v>
      </c>
      <c r="K173" s="42" t="s">
        <v>64</v>
      </c>
      <c r="L173" s="42" t="s">
        <v>63</v>
      </c>
      <c r="M173" s="42" t="s">
        <v>62</v>
      </c>
      <c r="N173" s="43" t="s">
        <v>61</v>
      </c>
      <c r="O173" s="6"/>
    </row>
    <row r="174" spans="2:15" x14ac:dyDescent="0.35">
      <c r="B174" s="5"/>
      <c r="C174" s="48">
        <f>C170+1</f>
        <v>45809</v>
      </c>
      <c r="D174" s="45">
        <f>SUMIFS(Einzelbeträge!$D:$D,Einzelbeträge!$C:$C,'Ausgaben Vorlage'!$C174)</f>
        <v>0</v>
      </c>
      <c r="E174" s="32">
        <f>SUMIFS(Einzelbeträge!$D:$D,Einzelbeträge!$C:$C,'Ausgaben Vorlage'!$C174,Einzelbeträge!$E:$E,'Ausgaben Vorlage'!E$6)</f>
        <v>0</v>
      </c>
      <c r="F174" s="32">
        <f>SUMIFS(Einzelbeträge!$D:$D,Einzelbeträge!$C:$C,'Ausgaben Vorlage'!$C174,Einzelbeträge!$E:$E,'Ausgaben Vorlage'!F$6)</f>
        <v>0</v>
      </c>
      <c r="G174" s="32">
        <f>SUMIFS(Einzelbeträge!$D:$D,Einzelbeträge!$C:$C,'Ausgaben Vorlage'!$C174,Einzelbeträge!$E:$E,'Ausgaben Vorlage'!G$6)</f>
        <v>0</v>
      </c>
      <c r="H174" s="32">
        <f>SUMIFS(Einzelbeträge!$D:$D,Einzelbeträge!$C:$C,'Ausgaben Vorlage'!$C174,Einzelbeträge!$E:$E,'Ausgaben Vorlage'!H$6)</f>
        <v>0</v>
      </c>
      <c r="I174" s="32">
        <f>SUMIFS(Einzelbeträge!$D:$D,Einzelbeträge!$C:$C,'Ausgaben Vorlage'!$C174,Einzelbeträge!$E:$E,'Ausgaben Vorlage'!I$6)</f>
        <v>0</v>
      </c>
      <c r="J174" s="32">
        <f>SUMIFS(Einzelbeträge!$D:$D,Einzelbeträge!$C:$C,'Ausgaben Vorlage'!$C174,Einzelbeträge!$E:$E,'Ausgaben Vorlage'!J$6)</f>
        <v>0</v>
      </c>
      <c r="K174" s="32">
        <f>SUMIFS(Einzelbeträge!$D:$D,Einzelbeträge!$C:$C,'Ausgaben Vorlage'!$C174,Einzelbeträge!$E:$E,'Ausgaben Vorlage'!K$6)</f>
        <v>0</v>
      </c>
      <c r="L174" s="32">
        <f>SUMIFS(Einzelbeträge!$D:$D,Einzelbeträge!$C:$C,'Ausgaben Vorlage'!$C174,Einzelbeträge!$E:$E,'Ausgaben Vorlage'!L$6)</f>
        <v>0</v>
      </c>
      <c r="M174" s="32">
        <f>SUMIFS(Einzelbeträge!$D:$D,Einzelbeträge!$C:$C,'Ausgaben Vorlage'!$C174,Einzelbeträge!$E:$E,'Ausgaben Vorlage'!M$6)</f>
        <v>0</v>
      </c>
      <c r="N174" s="33">
        <f>SUMIFS(Einzelbeträge!$D:$D,Einzelbeträge!$C:$C,'Ausgaben Vorlage'!$C174,Einzelbeträge!$E:$E,'Ausgaben Vorlage'!N$6)</f>
        <v>0</v>
      </c>
      <c r="O174" s="6"/>
    </row>
    <row r="175" spans="2:15" x14ac:dyDescent="0.35">
      <c r="B175" s="5"/>
      <c r="C175" s="30">
        <f>C174+1</f>
        <v>45810</v>
      </c>
      <c r="D175" s="46">
        <f>SUMIFS(Einzelbeträge!$D:$D,Einzelbeträge!$C:$C,'Ausgaben Vorlage'!$C175)</f>
        <v>0</v>
      </c>
      <c r="E175" s="21">
        <f>SUMIFS(Einzelbeträge!$D:$D,Einzelbeträge!$C:$C,'Ausgaben Vorlage'!$C175,Einzelbeträge!$E:$E,'Ausgaben Vorlage'!E$6)</f>
        <v>0</v>
      </c>
      <c r="F175" s="21">
        <f>SUMIFS(Einzelbeträge!$D:$D,Einzelbeträge!$C:$C,'Ausgaben Vorlage'!$C175,Einzelbeträge!$E:$E,'Ausgaben Vorlage'!F$6)</f>
        <v>0</v>
      </c>
      <c r="G175" s="21">
        <f>SUMIFS(Einzelbeträge!$D:$D,Einzelbeträge!$C:$C,'Ausgaben Vorlage'!$C175,Einzelbeträge!$E:$E,'Ausgaben Vorlage'!G$6)</f>
        <v>0</v>
      </c>
      <c r="H175" s="21">
        <f>SUMIFS(Einzelbeträge!$D:$D,Einzelbeträge!$C:$C,'Ausgaben Vorlage'!$C175,Einzelbeträge!$E:$E,'Ausgaben Vorlage'!H$6)</f>
        <v>0</v>
      </c>
      <c r="I175" s="21">
        <f>SUMIFS(Einzelbeträge!$D:$D,Einzelbeträge!$C:$C,'Ausgaben Vorlage'!$C175,Einzelbeträge!$E:$E,'Ausgaben Vorlage'!I$6)</f>
        <v>0</v>
      </c>
      <c r="J175" s="21">
        <f>SUMIFS(Einzelbeträge!$D:$D,Einzelbeträge!$C:$C,'Ausgaben Vorlage'!$C175,Einzelbeträge!$E:$E,'Ausgaben Vorlage'!J$6)</f>
        <v>0</v>
      </c>
      <c r="K175" s="21">
        <f>SUMIFS(Einzelbeträge!$D:$D,Einzelbeträge!$C:$C,'Ausgaben Vorlage'!$C175,Einzelbeträge!$E:$E,'Ausgaben Vorlage'!K$6)</f>
        <v>0</v>
      </c>
      <c r="L175" s="21">
        <f>SUMIFS(Einzelbeträge!$D:$D,Einzelbeträge!$C:$C,'Ausgaben Vorlage'!$C175,Einzelbeträge!$E:$E,'Ausgaben Vorlage'!L$6)</f>
        <v>0</v>
      </c>
      <c r="M175" s="21">
        <f>SUMIFS(Einzelbeträge!$D:$D,Einzelbeträge!$C:$C,'Ausgaben Vorlage'!$C175,Einzelbeträge!$E:$E,'Ausgaben Vorlage'!M$6)</f>
        <v>0</v>
      </c>
      <c r="N175" s="35">
        <f>SUMIFS(Einzelbeträge!$D:$D,Einzelbeträge!$C:$C,'Ausgaben Vorlage'!$C175,Einzelbeträge!$E:$E,'Ausgaben Vorlage'!N$6)</f>
        <v>0</v>
      </c>
      <c r="O175" s="6"/>
    </row>
    <row r="176" spans="2:15" x14ac:dyDescent="0.35">
      <c r="B176" s="5"/>
      <c r="C176" s="30">
        <f t="shared" ref="C176:C203" si="21">C175+1</f>
        <v>45811</v>
      </c>
      <c r="D176" s="46">
        <f>SUMIFS(Einzelbeträge!$D:$D,Einzelbeträge!$C:$C,'Ausgaben Vorlage'!$C176)</f>
        <v>0</v>
      </c>
      <c r="E176" s="21">
        <f>SUMIFS(Einzelbeträge!$D:$D,Einzelbeträge!$C:$C,'Ausgaben Vorlage'!$C176,Einzelbeträge!$E:$E,'Ausgaben Vorlage'!E$6)</f>
        <v>0</v>
      </c>
      <c r="F176" s="21">
        <f>SUMIFS(Einzelbeträge!$D:$D,Einzelbeträge!$C:$C,'Ausgaben Vorlage'!$C176,Einzelbeträge!$E:$E,'Ausgaben Vorlage'!F$6)</f>
        <v>0</v>
      </c>
      <c r="G176" s="21">
        <f>SUMIFS(Einzelbeträge!$D:$D,Einzelbeträge!$C:$C,'Ausgaben Vorlage'!$C176,Einzelbeträge!$E:$E,'Ausgaben Vorlage'!G$6)</f>
        <v>0</v>
      </c>
      <c r="H176" s="21">
        <f>SUMIFS(Einzelbeträge!$D:$D,Einzelbeträge!$C:$C,'Ausgaben Vorlage'!$C176,Einzelbeträge!$E:$E,'Ausgaben Vorlage'!H$6)</f>
        <v>0</v>
      </c>
      <c r="I176" s="21">
        <f>SUMIFS(Einzelbeträge!$D:$D,Einzelbeträge!$C:$C,'Ausgaben Vorlage'!$C176,Einzelbeträge!$E:$E,'Ausgaben Vorlage'!I$6)</f>
        <v>0</v>
      </c>
      <c r="J176" s="21">
        <f>SUMIFS(Einzelbeträge!$D:$D,Einzelbeträge!$C:$C,'Ausgaben Vorlage'!$C176,Einzelbeträge!$E:$E,'Ausgaben Vorlage'!J$6)</f>
        <v>0</v>
      </c>
      <c r="K176" s="21">
        <f>SUMIFS(Einzelbeträge!$D:$D,Einzelbeträge!$C:$C,'Ausgaben Vorlage'!$C176,Einzelbeträge!$E:$E,'Ausgaben Vorlage'!K$6)</f>
        <v>0</v>
      </c>
      <c r="L176" s="21">
        <f>SUMIFS(Einzelbeträge!$D:$D,Einzelbeträge!$C:$C,'Ausgaben Vorlage'!$C176,Einzelbeträge!$E:$E,'Ausgaben Vorlage'!L$6)</f>
        <v>0</v>
      </c>
      <c r="M176" s="21">
        <f>SUMIFS(Einzelbeträge!$D:$D,Einzelbeträge!$C:$C,'Ausgaben Vorlage'!$C176,Einzelbeträge!$E:$E,'Ausgaben Vorlage'!M$6)</f>
        <v>0</v>
      </c>
      <c r="N176" s="35">
        <f>SUMIFS(Einzelbeträge!$D:$D,Einzelbeträge!$C:$C,'Ausgaben Vorlage'!$C176,Einzelbeträge!$E:$E,'Ausgaben Vorlage'!N$6)</f>
        <v>0</v>
      </c>
      <c r="O176" s="6"/>
    </row>
    <row r="177" spans="2:15" x14ac:dyDescent="0.35">
      <c r="B177" s="5"/>
      <c r="C177" s="30">
        <f t="shared" si="21"/>
        <v>45812</v>
      </c>
      <c r="D177" s="46">
        <f>SUMIFS(Einzelbeträge!$D:$D,Einzelbeträge!$C:$C,'Ausgaben Vorlage'!$C177)</f>
        <v>0</v>
      </c>
      <c r="E177" s="21">
        <f>SUMIFS(Einzelbeträge!$D:$D,Einzelbeträge!$C:$C,'Ausgaben Vorlage'!$C177,Einzelbeträge!$E:$E,'Ausgaben Vorlage'!E$6)</f>
        <v>0</v>
      </c>
      <c r="F177" s="21">
        <f>SUMIFS(Einzelbeträge!$D:$D,Einzelbeträge!$C:$C,'Ausgaben Vorlage'!$C177,Einzelbeträge!$E:$E,'Ausgaben Vorlage'!F$6)</f>
        <v>0</v>
      </c>
      <c r="G177" s="21">
        <f>SUMIFS(Einzelbeträge!$D:$D,Einzelbeträge!$C:$C,'Ausgaben Vorlage'!$C177,Einzelbeträge!$E:$E,'Ausgaben Vorlage'!G$6)</f>
        <v>0</v>
      </c>
      <c r="H177" s="21">
        <f>SUMIFS(Einzelbeträge!$D:$D,Einzelbeträge!$C:$C,'Ausgaben Vorlage'!$C177,Einzelbeträge!$E:$E,'Ausgaben Vorlage'!H$6)</f>
        <v>0</v>
      </c>
      <c r="I177" s="21">
        <f>SUMIFS(Einzelbeträge!$D:$D,Einzelbeträge!$C:$C,'Ausgaben Vorlage'!$C177,Einzelbeträge!$E:$E,'Ausgaben Vorlage'!I$6)</f>
        <v>0</v>
      </c>
      <c r="J177" s="21">
        <f>SUMIFS(Einzelbeträge!$D:$D,Einzelbeträge!$C:$C,'Ausgaben Vorlage'!$C177,Einzelbeträge!$E:$E,'Ausgaben Vorlage'!J$6)</f>
        <v>0</v>
      </c>
      <c r="K177" s="21">
        <f>SUMIFS(Einzelbeträge!$D:$D,Einzelbeträge!$C:$C,'Ausgaben Vorlage'!$C177,Einzelbeträge!$E:$E,'Ausgaben Vorlage'!K$6)</f>
        <v>0</v>
      </c>
      <c r="L177" s="21">
        <f>SUMIFS(Einzelbeträge!$D:$D,Einzelbeträge!$C:$C,'Ausgaben Vorlage'!$C177,Einzelbeträge!$E:$E,'Ausgaben Vorlage'!L$6)</f>
        <v>0</v>
      </c>
      <c r="M177" s="21">
        <f>SUMIFS(Einzelbeträge!$D:$D,Einzelbeträge!$C:$C,'Ausgaben Vorlage'!$C177,Einzelbeträge!$E:$E,'Ausgaben Vorlage'!M$6)</f>
        <v>0</v>
      </c>
      <c r="N177" s="35">
        <f>SUMIFS(Einzelbeträge!$D:$D,Einzelbeträge!$C:$C,'Ausgaben Vorlage'!$C177,Einzelbeträge!$E:$E,'Ausgaben Vorlage'!N$6)</f>
        <v>0</v>
      </c>
      <c r="O177" s="6"/>
    </row>
    <row r="178" spans="2:15" x14ac:dyDescent="0.35">
      <c r="B178" s="5"/>
      <c r="C178" s="30">
        <f t="shared" si="21"/>
        <v>45813</v>
      </c>
      <c r="D178" s="46">
        <f>SUMIFS(Einzelbeträge!$D:$D,Einzelbeträge!$C:$C,'Ausgaben Vorlage'!$C178)</f>
        <v>0</v>
      </c>
      <c r="E178" s="21">
        <f>SUMIFS(Einzelbeträge!$D:$D,Einzelbeträge!$C:$C,'Ausgaben Vorlage'!$C178,Einzelbeträge!$E:$E,'Ausgaben Vorlage'!E$6)</f>
        <v>0</v>
      </c>
      <c r="F178" s="21">
        <f>SUMIFS(Einzelbeträge!$D:$D,Einzelbeträge!$C:$C,'Ausgaben Vorlage'!$C178,Einzelbeträge!$E:$E,'Ausgaben Vorlage'!F$6)</f>
        <v>0</v>
      </c>
      <c r="G178" s="21">
        <f>SUMIFS(Einzelbeträge!$D:$D,Einzelbeträge!$C:$C,'Ausgaben Vorlage'!$C178,Einzelbeträge!$E:$E,'Ausgaben Vorlage'!G$6)</f>
        <v>0</v>
      </c>
      <c r="H178" s="21">
        <f>SUMIFS(Einzelbeträge!$D:$D,Einzelbeträge!$C:$C,'Ausgaben Vorlage'!$C178,Einzelbeträge!$E:$E,'Ausgaben Vorlage'!H$6)</f>
        <v>0</v>
      </c>
      <c r="I178" s="21">
        <f>SUMIFS(Einzelbeträge!$D:$D,Einzelbeträge!$C:$C,'Ausgaben Vorlage'!$C178,Einzelbeträge!$E:$E,'Ausgaben Vorlage'!I$6)</f>
        <v>0</v>
      </c>
      <c r="J178" s="21">
        <f>SUMIFS(Einzelbeträge!$D:$D,Einzelbeträge!$C:$C,'Ausgaben Vorlage'!$C178,Einzelbeträge!$E:$E,'Ausgaben Vorlage'!J$6)</f>
        <v>0</v>
      </c>
      <c r="K178" s="21">
        <f>SUMIFS(Einzelbeträge!$D:$D,Einzelbeträge!$C:$C,'Ausgaben Vorlage'!$C178,Einzelbeträge!$E:$E,'Ausgaben Vorlage'!K$6)</f>
        <v>0</v>
      </c>
      <c r="L178" s="21">
        <f>SUMIFS(Einzelbeträge!$D:$D,Einzelbeträge!$C:$C,'Ausgaben Vorlage'!$C178,Einzelbeträge!$E:$E,'Ausgaben Vorlage'!L$6)</f>
        <v>0</v>
      </c>
      <c r="M178" s="21">
        <f>SUMIFS(Einzelbeträge!$D:$D,Einzelbeträge!$C:$C,'Ausgaben Vorlage'!$C178,Einzelbeträge!$E:$E,'Ausgaben Vorlage'!M$6)</f>
        <v>0</v>
      </c>
      <c r="N178" s="35">
        <f>SUMIFS(Einzelbeträge!$D:$D,Einzelbeträge!$C:$C,'Ausgaben Vorlage'!$C178,Einzelbeträge!$E:$E,'Ausgaben Vorlage'!N$6)</f>
        <v>0</v>
      </c>
      <c r="O178" s="6"/>
    </row>
    <row r="179" spans="2:15" x14ac:dyDescent="0.35">
      <c r="B179" s="5"/>
      <c r="C179" s="30">
        <f t="shared" si="21"/>
        <v>45814</v>
      </c>
      <c r="D179" s="46">
        <f>SUMIFS(Einzelbeträge!$D:$D,Einzelbeträge!$C:$C,'Ausgaben Vorlage'!$C179)</f>
        <v>0</v>
      </c>
      <c r="E179" s="21">
        <f>SUMIFS(Einzelbeträge!$D:$D,Einzelbeträge!$C:$C,'Ausgaben Vorlage'!$C179,Einzelbeträge!$E:$E,'Ausgaben Vorlage'!E$6)</f>
        <v>0</v>
      </c>
      <c r="F179" s="21">
        <f>SUMIFS(Einzelbeträge!$D:$D,Einzelbeträge!$C:$C,'Ausgaben Vorlage'!$C179,Einzelbeträge!$E:$E,'Ausgaben Vorlage'!F$6)</f>
        <v>0</v>
      </c>
      <c r="G179" s="21">
        <f>SUMIFS(Einzelbeträge!$D:$D,Einzelbeträge!$C:$C,'Ausgaben Vorlage'!$C179,Einzelbeträge!$E:$E,'Ausgaben Vorlage'!G$6)</f>
        <v>0</v>
      </c>
      <c r="H179" s="21">
        <f>SUMIFS(Einzelbeträge!$D:$D,Einzelbeträge!$C:$C,'Ausgaben Vorlage'!$C179,Einzelbeträge!$E:$E,'Ausgaben Vorlage'!H$6)</f>
        <v>0</v>
      </c>
      <c r="I179" s="21">
        <f>SUMIFS(Einzelbeträge!$D:$D,Einzelbeträge!$C:$C,'Ausgaben Vorlage'!$C179,Einzelbeträge!$E:$E,'Ausgaben Vorlage'!I$6)</f>
        <v>0</v>
      </c>
      <c r="J179" s="21">
        <f>SUMIFS(Einzelbeträge!$D:$D,Einzelbeträge!$C:$C,'Ausgaben Vorlage'!$C179,Einzelbeträge!$E:$E,'Ausgaben Vorlage'!J$6)</f>
        <v>0</v>
      </c>
      <c r="K179" s="21">
        <f>SUMIFS(Einzelbeträge!$D:$D,Einzelbeträge!$C:$C,'Ausgaben Vorlage'!$C179,Einzelbeträge!$E:$E,'Ausgaben Vorlage'!K$6)</f>
        <v>0</v>
      </c>
      <c r="L179" s="21">
        <f>SUMIFS(Einzelbeträge!$D:$D,Einzelbeträge!$C:$C,'Ausgaben Vorlage'!$C179,Einzelbeträge!$E:$E,'Ausgaben Vorlage'!L$6)</f>
        <v>0</v>
      </c>
      <c r="M179" s="21">
        <f>SUMIFS(Einzelbeträge!$D:$D,Einzelbeträge!$C:$C,'Ausgaben Vorlage'!$C179,Einzelbeträge!$E:$E,'Ausgaben Vorlage'!M$6)</f>
        <v>0</v>
      </c>
      <c r="N179" s="35">
        <f>SUMIFS(Einzelbeträge!$D:$D,Einzelbeträge!$C:$C,'Ausgaben Vorlage'!$C179,Einzelbeträge!$E:$E,'Ausgaben Vorlage'!N$6)</f>
        <v>0</v>
      </c>
      <c r="O179" s="6"/>
    </row>
    <row r="180" spans="2:15" x14ac:dyDescent="0.35">
      <c r="B180" s="5"/>
      <c r="C180" s="30">
        <f t="shared" si="21"/>
        <v>45815</v>
      </c>
      <c r="D180" s="46">
        <f>SUMIFS(Einzelbeträge!$D:$D,Einzelbeträge!$C:$C,'Ausgaben Vorlage'!$C180)</f>
        <v>0</v>
      </c>
      <c r="E180" s="21">
        <f>SUMIFS(Einzelbeträge!$D:$D,Einzelbeträge!$C:$C,'Ausgaben Vorlage'!$C180,Einzelbeträge!$E:$E,'Ausgaben Vorlage'!E$6)</f>
        <v>0</v>
      </c>
      <c r="F180" s="21">
        <f>SUMIFS(Einzelbeträge!$D:$D,Einzelbeträge!$C:$C,'Ausgaben Vorlage'!$C180,Einzelbeträge!$E:$E,'Ausgaben Vorlage'!F$6)</f>
        <v>0</v>
      </c>
      <c r="G180" s="21">
        <f>SUMIFS(Einzelbeträge!$D:$D,Einzelbeträge!$C:$C,'Ausgaben Vorlage'!$C180,Einzelbeträge!$E:$E,'Ausgaben Vorlage'!G$6)</f>
        <v>0</v>
      </c>
      <c r="H180" s="21">
        <f>SUMIFS(Einzelbeträge!$D:$D,Einzelbeträge!$C:$C,'Ausgaben Vorlage'!$C180,Einzelbeträge!$E:$E,'Ausgaben Vorlage'!H$6)</f>
        <v>0</v>
      </c>
      <c r="I180" s="21">
        <f>SUMIFS(Einzelbeträge!$D:$D,Einzelbeträge!$C:$C,'Ausgaben Vorlage'!$C180,Einzelbeträge!$E:$E,'Ausgaben Vorlage'!I$6)</f>
        <v>0</v>
      </c>
      <c r="J180" s="21">
        <f>SUMIFS(Einzelbeträge!$D:$D,Einzelbeträge!$C:$C,'Ausgaben Vorlage'!$C180,Einzelbeträge!$E:$E,'Ausgaben Vorlage'!J$6)</f>
        <v>0</v>
      </c>
      <c r="K180" s="21">
        <f>SUMIFS(Einzelbeträge!$D:$D,Einzelbeträge!$C:$C,'Ausgaben Vorlage'!$C180,Einzelbeträge!$E:$E,'Ausgaben Vorlage'!K$6)</f>
        <v>0</v>
      </c>
      <c r="L180" s="21">
        <f>SUMIFS(Einzelbeträge!$D:$D,Einzelbeträge!$C:$C,'Ausgaben Vorlage'!$C180,Einzelbeträge!$E:$E,'Ausgaben Vorlage'!L$6)</f>
        <v>0</v>
      </c>
      <c r="M180" s="21">
        <f>SUMIFS(Einzelbeträge!$D:$D,Einzelbeträge!$C:$C,'Ausgaben Vorlage'!$C180,Einzelbeträge!$E:$E,'Ausgaben Vorlage'!M$6)</f>
        <v>0</v>
      </c>
      <c r="N180" s="35">
        <f>SUMIFS(Einzelbeträge!$D:$D,Einzelbeträge!$C:$C,'Ausgaben Vorlage'!$C180,Einzelbeträge!$E:$E,'Ausgaben Vorlage'!N$6)</f>
        <v>0</v>
      </c>
      <c r="O180" s="6"/>
    </row>
    <row r="181" spans="2:15" x14ac:dyDescent="0.35">
      <c r="B181" s="5"/>
      <c r="C181" s="30">
        <f t="shared" si="21"/>
        <v>45816</v>
      </c>
      <c r="D181" s="46">
        <f>SUMIFS(Einzelbeträge!$D:$D,Einzelbeträge!$C:$C,'Ausgaben Vorlage'!$C181)</f>
        <v>0</v>
      </c>
      <c r="E181" s="21">
        <f>SUMIFS(Einzelbeträge!$D:$D,Einzelbeträge!$C:$C,'Ausgaben Vorlage'!$C181,Einzelbeträge!$E:$E,'Ausgaben Vorlage'!E$6)</f>
        <v>0</v>
      </c>
      <c r="F181" s="21">
        <f>SUMIFS(Einzelbeträge!$D:$D,Einzelbeträge!$C:$C,'Ausgaben Vorlage'!$C181,Einzelbeträge!$E:$E,'Ausgaben Vorlage'!F$6)</f>
        <v>0</v>
      </c>
      <c r="G181" s="21">
        <f>SUMIFS(Einzelbeträge!$D:$D,Einzelbeträge!$C:$C,'Ausgaben Vorlage'!$C181,Einzelbeträge!$E:$E,'Ausgaben Vorlage'!G$6)</f>
        <v>0</v>
      </c>
      <c r="H181" s="21">
        <f>SUMIFS(Einzelbeträge!$D:$D,Einzelbeträge!$C:$C,'Ausgaben Vorlage'!$C181,Einzelbeträge!$E:$E,'Ausgaben Vorlage'!H$6)</f>
        <v>0</v>
      </c>
      <c r="I181" s="21">
        <f>SUMIFS(Einzelbeträge!$D:$D,Einzelbeträge!$C:$C,'Ausgaben Vorlage'!$C181,Einzelbeträge!$E:$E,'Ausgaben Vorlage'!I$6)</f>
        <v>0</v>
      </c>
      <c r="J181" s="21">
        <f>SUMIFS(Einzelbeträge!$D:$D,Einzelbeträge!$C:$C,'Ausgaben Vorlage'!$C181,Einzelbeträge!$E:$E,'Ausgaben Vorlage'!J$6)</f>
        <v>0</v>
      </c>
      <c r="K181" s="21">
        <f>SUMIFS(Einzelbeträge!$D:$D,Einzelbeträge!$C:$C,'Ausgaben Vorlage'!$C181,Einzelbeträge!$E:$E,'Ausgaben Vorlage'!K$6)</f>
        <v>0</v>
      </c>
      <c r="L181" s="21">
        <f>SUMIFS(Einzelbeträge!$D:$D,Einzelbeträge!$C:$C,'Ausgaben Vorlage'!$C181,Einzelbeträge!$E:$E,'Ausgaben Vorlage'!L$6)</f>
        <v>0</v>
      </c>
      <c r="M181" s="21">
        <f>SUMIFS(Einzelbeträge!$D:$D,Einzelbeträge!$C:$C,'Ausgaben Vorlage'!$C181,Einzelbeträge!$E:$E,'Ausgaben Vorlage'!M$6)</f>
        <v>0</v>
      </c>
      <c r="N181" s="35">
        <f>SUMIFS(Einzelbeträge!$D:$D,Einzelbeträge!$C:$C,'Ausgaben Vorlage'!$C181,Einzelbeträge!$E:$E,'Ausgaben Vorlage'!N$6)</f>
        <v>0</v>
      </c>
      <c r="O181" s="6"/>
    </row>
    <row r="182" spans="2:15" x14ac:dyDescent="0.35">
      <c r="B182" s="5"/>
      <c r="C182" s="30">
        <f t="shared" si="21"/>
        <v>45817</v>
      </c>
      <c r="D182" s="46">
        <f>SUMIFS(Einzelbeträge!$D:$D,Einzelbeträge!$C:$C,'Ausgaben Vorlage'!$C182)</f>
        <v>0</v>
      </c>
      <c r="E182" s="21">
        <f>SUMIFS(Einzelbeträge!$D:$D,Einzelbeträge!$C:$C,'Ausgaben Vorlage'!$C182,Einzelbeträge!$E:$E,'Ausgaben Vorlage'!E$6)</f>
        <v>0</v>
      </c>
      <c r="F182" s="21">
        <f>SUMIFS(Einzelbeträge!$D:$D,Einzelbeträge!$C:$C,'Ausgaben Vorlage'!$C182,Einzelbeträge!$E:$E,'Ausgaben Vorlage'!F$6)</f>
        <v>0</v>
      </c>
      <c r="G182" s="21">
        <f>SUMIFS(Einzelbeträge!$D:$D,Einzelbeträge!$C:$C,'Ausgaben Vorlage'!$C182,Einzelbeträge!$E:$E,'Ausgaben Vorlage'!G$6)</f>
        <v>0</v>
      </c>
      <c r="H182" s="21">
        <f>SUMIFS(Einzelbeträge!$D:$D,Einzelbeträge!$C:$C,'Ausgaben Vorlage'!$C182,Einzelbeträge!$E:$E,'Ausgaben Vorlage'!H$6)</f>
        <v>0</v>
      </c>
      <c r="I182" s="21">
        <f>SUMIFS(Einzelbeträge!$D:$D,Einzelbeträge!$C:$C,'Ausgaben Vorlage'!$C182,Einzelbeträge!$E:$E,'Ausgaben Vorlage'!I$6)</f>
        <v>0</v>
      </c>
      <c r="J182" s="21">
        <f>SUMIFS(Einzelbeträge!$D:$D,Einzelbeträge!$C:$C,'Ausgaben Vorlage'!$C182,Einzelbeträge!$E:$E,'Ausgaben Vorlage'!J$6)</f>
        <v>0</v>
      </c>
      <c r="K182" s="21">
        <f>SUMIFS(Einzelbeträge!$D:$D,Einzelbeträge!$C:$C,'Ausgaben Vorlage'!$C182,Einzelbeträge!$E:$E,'Ausgaben Vorlage'!K$6)</f>
        <v>0</v>
      </c>
      <c r="L182" s="21">
        <f>SUMIFS(Einzelbeträge!$D:$D,Einzelbeträge!$C:$C,'Ausgaben Vorlage'!$C182,Einzelbeträge!$E:$E,'Ausgaben Vorlage'!L$6)</f>
        <v>0</v>
      </c>
      <c r="M182" s="21">
        <f>SUMIFS(Einzelbeträge!$D:$D,Einzelbeträge!$C:$C,'Ausgaben Vorlage'!$C182,Einzelbeträge!$E:$E,'Ausgaben Vorlage'!M$6)</f>
        <v>0</v>
      </c>
      <c r="N182" s="35">
        <f>SUMIFS(Einzelbeträge!$D:$D,Einzelbeträge!$C:$C,'Ausgaben Vorlage'!$C182,Einzelbeträge!$E:$E,'Ausgaben Vorlage'!N$6)</f>
        <v>0</v>
      </c>
      <c r="O182" s="6"/>
    </row>
    <row r="183" spans="2:15" x14ac:dyDescent="0.35">
      <c r="B183" s="5"/>
      <c r="C183" s="30">
        <f t="shared" si="21"/>
        <v>45818</v>
      </c>
      <c r="D183" s="46">
        <f>SUMIFS(Einzelbeträge!$D:$D,Einzelbeträge!$C:$C,'Ausgaben Vorlage'!$C183)</f>
        <v>0</v>
      </c>
      <c r="E183" s="21">
        <f>SUMIFS(Einzelbeträge!$D:$D,Einzelbeträge!$C:$C,'Ausgaben Vorlage'!$C183,Einzelbeträge!$E:$E,'Ausgaben Vorlage'!E$6)</f>
        <v>0</v>
      </c>
      <c r="F183" s="21">
        <f>SUMIFS(Einzelbeträge!$D:$D,Einzelbeträge!$C:$C,'Ausgaben Vorlage'!$C183,Einzelbeträge!$E:$E,'Ausgaben Vorlage'!F$6)</f>
        <v>0</v>
      </c>
      <c r="G183" s="21">
        <f>SUMIFS(Einzelbeträge!$D:$D,Einzelbeträge!$C:$C,'Ausgaben Vorlage'!$C183,Einzelbeträge!$E:$E,'Ausgaben Vorlage'!G$6)</f>
        <v>0</v>
      </c>
      <c r="H183" s="21">
        <f>SUMIFS(Einzelbeträge!$D:$D,Einzelbeträge!$C:$C,'Ausgaben Vorlage'!$C183,Einzelbeträge!$E:$E,'Ausgaben Vorlage'!H$6)</f>
        <v>0</v>
      </c>
      <c r="I183" s="21">
        <f>SUMIFS(Einzelbeträge!$D:$D,Einzelbeträge!$C:$C,'Ausgaben Vorlage'!$C183,Einzelbeträge!$E:$E,'Ausgaben Vorlage'!I$6)</f>
        <v>0</v>
      </c>
      <c r="J183" s="21">
        <f>SUMIFS(Einzelbeträge!$D:$D,Einzelbeträge!$C:$C,'Ausgaben Vorlage'!$C183,Einzelbeträge!$E:$E,'Ausgaben Vorlage'!J$6)</f>
        <v>0</v>
      </c>
      <c r="K183" s="21">
        <f>SUMIFS(Einzelbeträge!$D:$D,Einzelbeträge!$C:$C,'Ausgaben Vorlage'!$C183,Einzelbeträge!$E:$E,'Ausgaben Vorlage'!K$6)</f>
        <v>0</v>
      </c>
      <c r="L183" s="21">
        <f>SUMIFS(Einzelbeträge!$D:$D,Einzelbeträge!$C:$C,'Ausgaben Vorlage'!$C183,Einzelbeträge!$E:$E,'Ausgaben Vorlage'!L$6)</f>
        <v>0</v>
      </c>
      <c r="M183" s="21">
        <f>SUMIFS(Einzelbeträge!$D:$D,Einzelbeträge!$C:$C,'Ausgaben Vorlage'!$C183,Einzelbeträge!$E:$E,'Ausgaben Vorlage'!M$6)</f>
        <v>0</v>
      </c>
      <c r="N183" s="35">
        <f>SUMIFS(Einzelbeträge!$D:$D,Einzelbeträge!$C:$C,'Ausgaben Vorlage'!$C183,Einzelbeträge!$E:$E,'Ausgaben Vorlage'!N$6)</f>
        <v>0</v>
      </c>
      <c r="O183" s="6"/>
    </row>
    <row r="184" spans="2:15" x14ac:dyDescent="0.35">
      <c r="B184" s="5"/>
      <c r="C184" s="30">
        <f t="shared" si="21"/>
        <v>45819</v>
      </c>
      <c r="D184" s="46">
        <f>SUMIFS(Einzelbeträge!$D:$D,Einzelbeträge!$C:$C,'Ausgaben Vorlage'!$C184)</f>
        <v>0</v>
      </c>
      <c r="E184" s="21">
        <f>SUMIFS(Einzelbeträge!$D:$D,Einzelbeträge!$C:$C,'Ausgaben Vorlage'!$C184,Einzelbeträge!$E:$E,'Ausgaben Vorlage'!E$6)</f>
        <v>0</v>
      </c>
      <c r="F184" s="21">
        <f>SUMIFS(Einzelbeträge!$D:$D,Einzelbeträge!$C:$C,'Ausgaben Vorlage'!$C184,Einzelbeträge!$E:$E,'Ausgaben Vorlage'!F$6)</f>
        <v>0</v>
      </c>
      <c r="G184" s="21">
        <f>SUMIFS(Einzelbeträge!$D:$D,Einzelbeträge!$C:$C,'Ausgaben Vorlage'!$C184,Einzelbeträge!$E:$E,'Ausgaben Vorlage'!G$6)</f>
        <v>0</v>
      </c>
      <c r="H184" s="21">
        <f>SUMIFS(Einzelbeträge!$D:$D,Einzelbeträge!$C:$C,'Ausgaben Vorlage'!$C184,Einzelbeträge!$E:$E,'Ausgaben Vorlage'!H$6)</f>
        <v>0</v>
      </c>
      <c r="I184" s="21">
        <f>SUMIFS(Einzelbeträge!$D:$D,Einzelbeträge!$C:$C,'Ausgaben Vorlage'!$C184,Einzelbeträge!$E:$E,'Ausgaben Vorlage'!I$6)</f>
        <v>0</v>
      </c>
      <c r="J184" s="21">
        <f>SUMIFS(Einzelbeträge!$D:$D,Einzelbeträge!$C:$C,'Ausgaben Vorlage'!$C184,Einzelbeträge!$E:$E,'Ausgaben Vorlage'!J$6)</f>
        <v>0</v>
      </c>
      <c r="K184" s="21">
        <f>SUMIFS(Einzelbeträge!$D:$D,Einzelbeträge!$C:$C,'Ausgaben Vorlage'!$C184,Einzelbeträge!$E:$E,'Ausgaben Vorlage'!K$6)</f>
        <v>0</v>
      </c>
      <c r="L184" s="21">
        <f>SUMIFS(Einzelbeträge!$D:$D,Einzelbeträge!$C:$C,'Ausgaben Vorlage'!$C184,Einzelbeträge!$E:$E,'Ausgaben Vorlage'!L$6)</f>
        <v>0</v>
      </c>
      <c r="M184" s="21">
        <f>SUMIFS(Einzelbeträge!$D:$D,Einzelbeträge!$C:$C,'Ausgaben Vorlage'!$C184,Einzelbeträge!$E:$E,'Ausgaben Vorlage'!M$6)</f>
        <v>0</v>
      </c>
      <c r="N184" s="35">
        <f>SUMIFS(Einzelbeträge!$D:$D,Einzelbeträge!$C:$C,'Ausgaben Vorlage'!$C184,Einzelbeträge!$E:$E,'Ausgaben Vorlage'!N$6)</f>
        <v>0</v>
      </c>
      <c r="O184" s="6"/>
    </row>
    <row r="185" spans="2:15" x14ac:dyDescent="0.35">
      <c r="B185" s="5"/>
      <c r="C185" s="30">
        <f t="shared" si="21"/>
        <v>45820</v>
      </c>
      <c r="D185" s="46">
        <f>SUMIFS(Einzelbeträge!$D:$D,Einzelbeträge!$C:$C,'Ausgaben Vorlage'!$C185)</f>
        <v>0</v>
      </c>
      <c r="E185" s="21">
        <f>SUMIFS(Einzelbeträge!$D:$D,Einzelbeträge!$C:$C,'Ausgaben Vorlage'!$C185,Einzelbeträge!$E:$E,'Ausgaben Vorlage'!E$6)</f>
        <v>0</v>
      </c>
      <c r="F185" s="21">
        <f>SUMIFS(Einzelbeträge!$D:$D,Einzelbeträge!$C:$C,'Ausgaben Vorlage'!$C185,Einzelbeträge!$E:$E,'Ausgaben Vorlage'!F$6)</f>
        <v>0</v>
      </c>
      <c r="G185" s="21">
        <f>SUMIFS(Einzelbeträge!$D:$D,Einzelbeträge!$C:$C,'Ausgaben Vorlage'!$C185,Einzelbeträge!$E:$E,'Ausgaben Vorlage'!G$6)</f>
        <v>0</v>
      </c>
      <c r="H185" s="21">
        <f>SUMIFS(Einzelbeträge!$D:$D,Einzelbeträge!$C:$C,'Ausgaben Vorlage'!$C185,Einzelbeträge!$E:$E,'Ausgaben Vorlage'!H$6)</f>
        <v>0</v>
      </c>
      <c r="I185" s="21">
        <f>SUMIFS(Einzelbeträge!$D:$D,Einzelbeträge!$C:$C,'Ausgaben Vorlage'!$C185,Einzelbeträge!$E:$E,'Ausgaben Vorlage'!I$6)</f>
        <v>0</v>
      </c>
      <c r="J185" s="21">
        <f>SUMIFS(Einzelbeträge!$D:$D,Einzelbeträge!$C:$C,'Ausgaben Vorlage'!$C185,Einzelbeträge!$E:$E,'Ausgaben Vorlage'!J$6)</f>
        <v>0</v>
      </c>
      <c r="K185" s="21">
        <f>SUMIFS(Einzelbeträge!$D:$D,Einzelbeträge!$C:$C,'Ausgaben Vorlage'!$C185,Einzelbeträge!$E:$E,'Ausgaben Vorlage'!K$6)</f>
        <v>0</v>
      </c>
      <c r="L185" s="21">
        <f>SUMIFS(Einzelbeträge!$D:$D,Einzelbeträge!$C:$C,'Ausgaben Vorlage'!$C185,Einzelbeträge!$E:$E,'Ausgaben Vorlage'!L$6)</f>
        <v>0</v>
      </c>
      <c r="M185" s="21">
        <f>SUMIFS(Einzelbeträge!$D:$D,Einzelbeträge!$C:$C,'Ausgaben Vorlage'!$C185,Einzelbeträge!$E:$E,'Ausgaben Vorlage'!M$6)</f>
        <v>0</v>
      </c>
      <c r="N185" s="35">
        <f>SUMIFS(Einzelbeträge!$D:$D,Einzelbeträge!$C:$C,'Ausgaben Vorlage'!$C185,Einzelbeträge!$E:$E,'Ausgaben Vorlage'!N$6)</f>
        <v>0</v>
      </c>
      <c r="O185" s="6"/>
    </row>
    <row r="186" spans="2:15" x14ac:dyDescent="0.35">
      <c r="B186" s="5"/>
      <c r="C186" s="30">
        <f t="shared" si="21"/>
        <v>45821</v>
      </c>
      <c r="D186" s="46">
        <f>SUMIFS(Einzelbeträge!$D:$D,Einzelbeträge!$C:$C,'Ausgaben Vorlage'!$C186)</f>
        <v>0</v>
      </c>
      <c r="E186" s="21">
        <f>SUMIFS(Einzelbeträge!$D:$D,Einzelbeträge!$C:$C,'Ausgaben Vorlage'!$C186,Einzelbeträge!$E:$E,'Ausgaben Vorlage'!E$6)</f>
        <v>0</v>
      </c>
      <c r="F186" s="21">
        <f>SUMIFS(Einzelbeträge!$D:$D,Einzelbeträge!$C:$C,'Ausgaben Vorlage'!$C186,Einzelbeträge!$E:$E,'Ausgaben Vorlage'!F$6)</f>
        <v>0</v>
      </c>
      <c r="G186" s="21">
        <f>SUMIFS(Einzelbeträge!$D:$D,Einzelbeträge!$C:$C,'Ausgaben Vorlage'!$C186,Einzelbeträge!$E:$E,'Ausgaben Vorlage'!G$6)</f>
        <v>0</v>
      </c>
      <c r="H186" s="21">
        <f>SUMIFS(Einzelbeträge!$D:$D,Einzelbeträge!$C:$C,'Ausgaben Vorlage'!$C186,Einzelbeträge!$E:$E,'Ausgaben Vorlage'!H$6)</f>
        <v>0</v>
      </c>
      <c r="I186" s="21">
        <f>SUMIFS(Einzelbeträge!$D:$D,Einzelbeträge!$C:$C,'Ausgaben Vorlage'!$C186,Einzelbeträge!$E:$E,'Ausgaben Vorlage'!I$6)</f>
        <v>0</v>
      </c>
      <c r="J186" s="21">
        <f>SUMIFS(Einzelbeträge!$D:$D,Einzelbeträge!$C:$C,'Ausgaben Vorlage'!$C186,Einzelbeträge!$E:$E,'Ausgaben Vorlage'!J$6)</f>
        <v>0</v>
      </c>
      <c r="K186" s="21">
        <f>SUMIFS(Einzelbeträge!$D:$D,Einzelbeträge!$C:$C,'Ausgaben Vorlage'!$C186,Einzelbeträge!$E:$E,'Ausgaben Vorlage'!K$6)</f>
        <v>0</v>
      </c>
      <c r="L186" s="21">
        <f>SUMIFS(Einzelbeträge!$D:$D,Einzelbeträge!$C:$C,'Ausgaben Vorlage'!$C186,Einzelbeträge!$E:$E,'Ausgaben Vorlage'!L$6)</f>
        <v>0</v>
      </c>
      <c r="M186" s="21">
        <f>SUMIFS(Einzelbeträge!$D:$D,Einzelbeträge!$C:$C,'Ausgaben Vorlage'!$C186,Einzelbeträge!$E:$E,'Ausgaben Vorlage'!M$6)</f>
        <v>0</v>
      </c>
      <c r="N186" s="35">
        <f>SUMIFS(Einzelbeträge!$D:$D,Einzelbeträge!$C:$C,'Ausgaben Vorlage'!$C186,Einzelbeträge!$E:$E,'Ausgaben Vorlage'!N$6)</f>
        <v>0</v>
      </c>
      <c r="O186" s="6"/>
    </row>
    <row r="187" spans="2:15" x14ac:dyDescent="0.35">
      <c r="B187" s="5"/>
      <c r="C187" s="30">
        <f t="shared" si="21"/>
        <v>45822</v>
      </c>
      <c r="D187" s="46">
        <f>SUMIFS(Einzelbeträge!$D:$D,Einzelbeträge!$C:$C,'Ausgaben Vorlage'!$C187)</f>
        <v>0</v>
      </c>
      <c r="E187" s="21">
        <f>SUMIFS(Einzelbeträge!$D:$D,Einzelbeträge!$C:$C,'Ausgaben Vorlage'!$C187,Einzelbeträge!$E:$E,'Ausgaben Vorlage'!E$6)</f>
        <v>0</v>
      </c>
      <c r="F187" s="21">
        <f>SUMIFS(Einzelbeträge!$D:$D,Einzelbeträge!$C:$C,'Ausgaben Vorlage'!$C187,Einzelbeträge!$E:$E,'Ausgaben Vorlage'!F$6)</f>
        <v>0</v>
      </c>
      <c r="G187" s="21">
        <f>SUMIFS(Einzelbeträge!$D:$D,Einzelbeträge!$C:$C,'Ausgaben Vorlage'!$C187,Einzelbeträge!$E:$E,'Ausgaben Vorlage'!G$6)</f>
        <v>0</v>
      </c>
      <c r="H187" s="21">
        <f>SUMIFS(Einzelbeträge!$D:$D,Einzelbeträge!$C:$C,'Ausgaben Vorlage'!$C187,Einzelbeträge!$E:$E,'Ausgaben Vorlage'!H$6)</f>
        <v>0</v>
      </c>
      <c r="I187" s="21">
        <f>SUMIFS(Einzelbeträge!$D:$D,Einzelbeträge!$C:$C,'Ausgaben Vorlage'!$C187,Einzelbeträge!$E:$E,'Ausgaben Vorlage'!I$6)</f>
        <v>0</v>
      </c>
      <c r="J187" s="21">
        <f>SUMIFS(Einzelbeträge!$D:$D,Einzelbeträge!$C:$C,'Ausgaben Vorlage'!$C187,Einzelbeträge!$E:$E,'Ausgaben Vorlage'!J$6)</f>
        <v>0</v>
      </c>
      <c r="K187" s="21">
        <f>SUMIFS(Einzelbeträge!$D:$D,Einzelbeträge!$C:$C,'Ausgaben Vorlage'!$C187,Einzelbeträge!$E:$E,'Ausgaben Vorlage'!K$6)</f>
        <v>0</v>
      </c>
      <c r="L187" s="21">
        <f>SUMIFS(Einzelbeträge!$D:$D,Einzelbeträge!$C:$C,'Ausgaben Vorlage'!$C187,Einzelbeträge!$E:$E,'Ausgaben Vorlage'!L$6)</f>
        <v>0</v>
      </c>
      <c r="M187" s="21">
        <f>SUMIFS(Einzelbeträge!$D:$D,Einzelbeträge!$C:$C,'Ausgaben Vorlage'!$C187,Einzelbeträge!$E:$E,'Ausgaben Vorlage'!M$6)</f>
        <v>0</v>
      </c>
      <c r="N187" s="35">
        <f>SUMIFS(Einzelbeträge!$D:$D,Einzelbeträge!$C:$C,'Ausgaben Vorlage'!$C187,Einzelbeträge!$E:$E,'Ausgaben Vorlage'!N$6)</f>
        <v>0</v>
      </c>
      <c r="O187" s="6"/>
    </row>
    <row r="188" spans="2:15" x14ac:dyDescent="0.35">
      <c r="B188" s="5"/>
      <c r="C188" s="30">
        <f t="shared" si="21"/>
        <v>45823</v>
      </c>
      <c r="D188" s="46">
        <f>SUMIFS(Einzelbeträge!$D:$D,Einzelbeträge!$C:$C,'Ausgaben Vorlage'!$C188)</f>
        <v>0</v>
      </c>
      <c r="E188" s="21">
        <f>SUMIFS(Einzelbeträge!$D:$D,Einzelbeträge!$C:$C,'Ausgaben Vorlage'!$C188,Einzelbeträge!$E:$E,'Ausgaben Vorlage'!E$6)</f>
        <v>0</v>
      </c>
      <c r="F188" s="21">
        <f>SUMIFS(Einzelbeträge!$D:$D,Einzelbeträge!$C:$C,'Ausgaben Vorlage'!$C188,Einzelbeträge!$E:$E,'Ausgaben Vorlage'!F$6)</f>
        <v>0</v>
      </c>
      <c r="G188" s="21">
        <f>SUMIFS(Einzelbeträge!$D:$D,Einzelbeträge!$C:$C,'Ausgaben Vorlage'!$C188,Einzelbeträge!$E:$E,'Ausgaben Vorlage'!G$6)</f>
        <v>0</v>
      </c>
      <c r="H188" s="21">
        <f>SUMIFS(Einzelbeträge!$D:$D,Einzelbeträge!$C:$C,'Ausgaben Vorlage'!$C188,Einzelbeträge!$E:$E,'Ausgaben Vorlage'!H$6)</f>
        <v>0</v>
      </c>
      <c r="I188" s="21">
        <f>SUMIFS(Einzelbeträge!$D:$D,Einzelbeträge!$C:$C,'Ausgaben Vorlage'!$C188,Einzelbeträge!$E:$E,'Ausgaben Vorlage'!I$6)</f>
        <v>0</v>
      </c>
      <c r="J188" s="21">
        <f>SUMIFS(Einzelbeträge!$D:$D,Einzelbeträge!$C:$C,'Ausgaben Vorlage'!$C188,Einzelbeträge!$E:$E,'Ausgaben Vorlage'!J$6)</f>
        <v>0</v>
      </c>
      <c r="K188" s="21">
        <f>SUMIFS(Einzelbeträge!$D:$D,Einzelbeträge!$C:$C,'Ausgaben Vorlage'!$C188,Einzelbeträge!$E:$E,'Ausgaben Vorlage'!K$6)</f>
        <v>0</v>
      </c>
      <c r="L188" s="21">
        <f>SUMIFS(Einzelbeträge!$D:$D,Einzelbeträge!$C:$C,'Ausgaben Vorlage'!$C188,Einzelbeträge!$E:$E,'Ausgaben Vorlage'!L$6)</f>
        <v>0</v>
      </c>
      <c r="M188" s="21">
        <f>SUMIFS(Einzelbeträge!$D:$D,Einzelbeträge!$C:$C,'Ausgaben Vorlage'!$C188,Einzelbeträge!$E:$E,'Ausgaben Vorlage'!M$6)</f>
        <v>0</v>
      </c>
      <c r="N188" s="35">
        <f>SUMIFS(Einzelbeträge!$D:$D,Einzelbeträge!$C:$C,'Ausgaben Vorlage'!$C188,Einzelbeträge!$E:$E,'Ausgaben Vorlage'!N$6)</f>
        <v>0</v>
      </c>
      <c r="O188" s="6"/>
    </row>
    <row r="189" spans="2:15" x14ac:dyDescent="0.35">
      <c r="B189" s="5"/>
      <c r="C189" s="30">
        <f t="shared" si="21"/>
        <v>45824</v>
      </c>
      <c r="D189" s="46">
        <f>SUMIFS(Einzelbeträge!$D:$D,Einzelbeträge!$C:$C,'Ausgaben Vorlage'!$C189)</f>
        <v>0</v>
      </c>
      <c r="E189" s="21">
        <f>SUMIFS(Einzelbeträge!$D:$D,Einzelbeträge!$C:$C,'Ausgaben Vorlage'!$C189,Einzelbeträge!$E:$E,'Ausgaben Vorlage'!E$6)</f>
        <v>0</v>
      </c>
      <c r="F189" s="21">
        <f>SUMIFS(Einzelbeträge!$D:$D,Einzelbeträge!$C:$C,'Ausgaben Vorlage'!$C189,Einzelbeträge!$E:$E,'Ausgaben Vorlage'!F$6)</f>
        <v>0</v>
      </c>
      <c r="G189" s="21">
        <f>SUMIFS(Einzelbeträge!$D:$D,Einzelbeträge!$C:$C,'Ausgaben Vorlage'!$C189,Einzelbeträge!$E:$E,'Ausgaben Vorlage'!G$6)</f>
        <v>0</v>
      </c>
      <c r="H189" s="21">
        <f>SUMIFS(Einzelbeträge!$D:$D,Einzelbeträge!$C:$C,'Ausgaben Vorlage'!$C189,Einzelbeträge!$E:$E,'Ausgaben Vorlage'!H$6)</f>
        <v>0</v>
      </c>
      <c r="I189" s="21">
        <f>SUMIFS(Einzelbeträge!$D:$D,Einzelbeträge!$C:$C,'Ausgaben Vorlage'!$C189,Einzelbeträge!$E:$E,'Ausgaben Vorlage'!I$6)</f>
        <v>0</v>
      </c>
      <c r="J189" s="21">
        <f>SUMIFS(Einzelbeträge!$D:$D,Einzelbeträge!$C:$C,'Ausgaben Vorlage'!$C189,Einzelbeträge!$E:$E,'Ausgaben Vorlage'!J$6)</f>
        <v>0</v>
      </c>
      <c r="K189" s="21">
        <f>SUMIFS(Einzelbeträge!$D:$D,Einzelbeträge!$C:$C,'Ausgaben Vorlage'!$C189,Einzelbeträge!$E:$E,'Ausgaben Vorlage'!K$6)</f>
        <v>0</v>
      </c>
      <c r="L189" s="21">
        <f>SUMIFS(Einzelbeträge!$D:$D,Einzelbeträge!$C:$C,'Ausgaben Vorlage'!$C189,Einzelbeträge!$E:$E,'Ausgaben Vorlage'!L$6)</f>
        <v>0</v>
      </c>
      <c r="M189" s="21">
        <f>SUMIFS(Einzelbeträge!$D:$D,Einzelbeträge!$C:$C,'Ausgaben Vorlage'!$C189,Einzelbeträge!$E:$E,'Ausgaben Vorlage'!M$6)</f>
        <v>0</v>
      </c>
      <c r="N189" s="35">
        <f>SUMIFS(Einzelbeträge!$D:$D,Einzelbeträge!$C:$C,'Ausgaben Vorlage'!$C189,Einzelbeträge!$E:$E,'Ausgaben Vorlage'!N$6)</f>
        <v>0</v>
      </c>
      <c r="O189" s="6"/>
    </row>
    <row r="190" spans="2:15" x14ac:dyDescent="0.35">
      <c r="B190" s="5"/>
      <c r="C190" s="30">
        <f t="shared" si="21"/>
        <v>45825</v>
      </c>
      <c r="D190" s="46">
        <f>SUMIFS(Einzelbeträge!$D:$D,Einzelbeträge!$C:$C,'Ausgaben Vorlage'!$C190)</f>
        <v>0</v>
      </c>
      <c r="E190" s="21">
        <f>SUMIFS(Einzelbeträge!$D:$D,Einzelbeträge!$C:$C,'Ausgaben Vorlage'!$C190,Einzelbeträge!$E:$E,'Ausgaben Vorlage'!E$6)</f>
        <v>0</v>
      </c>
      <c r="F190" s="21">
        <f>SUMIFS(Einzelbeträge!$D:$D,Einzelbeträge!$C:$C,'Ausgaben Vorlage'!$C190,Einzelbeträge!$E:$E,'Ausgaben Vorlage'!F$6)</f>
        <v>0</v>
      </c>
      <c r="G190" s="21">
        <f>SUMIFS(Einzelbeträge!$D:$D,Einzelbeträge!$C:$C,'Ausgaben Vorlage'!$C190,Einzelbeträge!$E:$E,'Ausgaben Vorlage'!G$6)</f>
        <v>0</v>
      </c>
      <c r="H190" s="21">
        <f>SUMIFS(Einzelbeträge!$D:$D,Einzelbeträge!$C:$C,'Ausgaben Vorlage'!$C190,Einzelbeträge!$E:$E,'Ausgaben Vorlage'!H$6)</f>
        <v>0</v>
      </c>
      <c r="I190" s="21">
        <f>SUMIFS(Einzelbeträge!$D:$D,Einzelbeträge!$C:$C,'Ausgaben Vorlage'!$C190,Einzelbeträge!$E:$E,'Ausgaben Vorlage'!I$6)</f>
        <v>0</v>
      </c>
      <c r="J190" s="21">
        <f>SUMIFS(Einzelbeträge!$D:$D,Einzelbeträge!$C:$C,'Ausgaben Vorlage'!$C190,Einzelbeträge!$E:$E,'Ausgaben Vorlage'!J$6)</f>
        <v>0</v>
      </c>
      <c r="K190" s="21">
        <f>SUMIFS(Einzelbeträge!$D:$D,Einzelbeträge!$C:$C,'Ausgaben Vorlage'!$C190,Einzelbeträge!$E:$E,'Ausgaben Vorlage'!K$6)</f>
        <v>0</v>
      </c>
      <c r="L190" s="21">
        <f>SUMIFS(Einzelbeträge!$D:$D,Einzelbeträge!$C:$C,'Ausgaben Vorlage'!$C190,Einzelbeträge!$E:$E,'Ausgaben Vorlage'!L$6)</f>
        <v>0</v>
      </c>
      <c r="M190" s="21">
        <f>SUMIFS(Einzelbeträge!$D:$D,Einzelbeträge!$C:$C,'Ausgaben Vorlage'!$C190,Einzelbeträge!$E:$E,'Ausgaben Vorlage'!M$6)</f>
        <v>0</v>
      </c>
      <c r="N190" s="35">
        <f>SUMIFS(Einzelbeträge!$D:$D,Einzelbeträge!$C:$C,'Ausgaben Vorlage'!$C190,Einzelbeträge!$E:$E,'Ausgaben Vorlage'!N$6)</f>
        <v>0</v>
      </c>
      <c r="O190" s="6"/>
    </row>
    <row r="191" spans="2:15" x14ac:dyDescent="0.35">
      <c r="B191" s="5"/>
      <c r="C191" s="30">
        <f t="shared" si="21"/>
        <v>45826</v>
      </c>
      <c r="D191" s="46">
        <f>SUMIFS(Einzelbeträge!$D:$D,Einzelbeträge!$C:$C,'Ausgaben Vorlage'!$C191)</f>
        <v>0</v>
      </c>
      <c r="E191" s="21">
        <f>SUMIFS(Einzelbeträge!$D:$D,Einzelbeträge!$C:$C,'Ausgaben Vorlage'!$C191,Einzelbeträge!$E:$E,'Ausgaben Vorlage'!E$6)</f>
        <v>0</v>
      </c>
      <c r="F191" s="21">
        <f>SUMIFS(Einzelbeträge!$D:$D,Einzelbeträge!$C:$C,'Ausgaben Vorlage'!$C191,Einzelbeträge!$E:$E,'Ausgaben Vorlage'!F$6)</f>
        <v>0</v>
      </c>
      <c r="G191" s="21">
        <f>SUMIFS(Einzelbeträge!$D:$D,Einzelbeträge!$C:$C,'Ausgaben Vorlage'!$C191,Einzelbeträge!$E:$E,'Ausgaben Vorlage'!G$6)</f>
        <v>0</v>
      </c>
      <c r="H191" s="21">
        <f>SUMIFS(Einzelbeträge!$D:$D,Einzelbeträge!$C:$C,'Ausgaben Vorlage'!$C191,Einzelbeträge!$E:$E,'Ausgaben Vorlage'!H$6)</f>
        <v>0</v>
      </c>
      <c r="I191" s="21">
        <f>SUMIFS(Einzelbeträge!$D:$D,Einzelbeträge!$C:$C,'Ausgaben Vorlage'!$C191,Einzelbeträge!$E:$E,'Ausgaben Vorlage'!I$6)</f>
        <v>0</v>
      </c>
      <c r="J191" s="21">
        <f>SUMIFS(Einzelbeträge!$D:$D,Einzelbeträge!$C:$C,'Ausgaben Vorlage'!$C191,Einzelbeträge!$E:$E,'Ausgaben Vorlage'!J$6)</f>
        <v>0</v>
      </c>
      <c r="K191" s="21">
        <f>SUMIFS(Einzelbeträge!$D:$D,Einzelbeträge!$C:$C,'Ausgaben Vorlage'!$C191,Einzelbeträge!$E:$E,'Ausgaben Vorlage'!K$6)</f>
        <v>0</v>
      </c>
      <c r="L191" s="21">
        <f>SUMIFS(Einzelbeträge!$D:$D,Einzelbeträge!$C:$C,'Ausgaben Vorlage'!$C191,Einzelbeträge!$E:$E,'Ausgaben Vorlage'!L$6)</f>
        <v>0</v>
      </c>
      <c r="M191" s="21">
        <f>SUMIFS(Einzelbeträge!$D:$D,Einzelbeträge!$C:$C,'Ausgaben Vorlage'!$C191,Einzelbeträge!$E:$E,'Ausgaben Vorlage'!M$6)</f>
        <v>0</v>
      </c>
      <c r="N191" s="35">
        <f>SUMIFS(Einzelbeträge!$D:$D,Einzelbeträge!$C:$C,'Ausgaben Vorlage'!$C191,Einzelbeträge!$E:$E,'Ausgaben Vorlage'!N$6)</f>
        <v>0</v>
      </c>
      <c r="O191" s="6"/>
    </row>
    <row r="192" spans="2:15" x14ac:dyDescent="0.35">
      <c r="B192" s="5"/>
      <c r="C192" s="30">
        <f t="shared" si="21"/>
        <v>45827</v>
      </c>
      <c r="D192" s="46">
        <f>SUMIFS(Einzelbeträge!$D:$D,Einzelbeträge!$C:$C,'Ausgaben Vorlage'!$C192)</f>
        <v>0</v>
      </c>
      <c r="E192" s="21">
        <f>SUMIFS(Einzelbeträge!$D:$D,Einzelbeträge!$C:$C,'Ausgaben Vorlage'!$C192,Einzelbeträge!$E:$E,'Ausgaben Vorlage'!E$6)</f>
        <v>0</v>
      </c>
      <c r="F192" s="21">
        <f>SUMIFS(Einzelbeträge!$D:$D,Einzelbeträge!$C:$C,'Ausgaben Vorlage'!$C192,Einzelbeträge!$E:$E,'Ausgaben Vorlage'!F$6)</f>
        <v>0</v>
      </c>
      <c r="G192" s="21">
        <f>SUMIFS(Einzelbeträge!$D:$D,Einzelbeträge!$C:$C,'Ausgaben Vorlage'!$C192,Einzelbeträge!$E:$E,'Ausgaben Vorlage'!G$6)</f>
        <v>0</v>
      </c>
      <c r="H192" s="21">
        <f>SUMIFS(Einzelbeträge!$D:$D,Einzelbeträge!$C:$C,'Ausgaben Vorlage'!$C192,Einzelbeträge!$E:$E,'Ausgaben Vorlage'!H$6)</f>
        <v>0</v>
      </c>
      <c r="I192" s="21">
        <f>SUMIFS(Einzelbeträge!$D:$D,Einzelbeträge!$C:$C,'Ausgaben Vorlage'!$C192,Einzelbeträge!$E:$E,'Ausgaben Vorlage'!I$6)</f>
        <v>0</v>
      </c>
      <c r="J192" s="21">
        <f>SUMIFS(Einzelbeträge!$D:$D,Einzelbeträge!$C:$C,'Ausgaben Vorlage'!$C192,Einzelbeträge!$E:$E,'Ausgaben Vorlage'!J$6)</f>
        <v>0</v>
      </c>
      <c r="K192" s="21">
        <f>SUMIFS(Einzelbeträge!$D:$D,Einzelbeträge!$C:$C,'Ausgaben Vorlage'!$C192,Einzelbeträge!$E:$E,'Ausgaben Vorlage'!K$6)</f>
        <v>0</v>
      </c>
      <c r="L192" s="21">
        <f>SUMIFS(Einzelbeträge!$D:$D,Einzelbeträge!$C:$C,'Ausgaben Vorlage'!$C192,Einzelbeträge!$E:$E,'Ausgaben Vorlage'!L$6)</f>
        <v>0</v>
      </c>
      <c r="M192" s="21">
        <f>SUMIFS(Einzelbeträge!$D:$D,Einzelbeträge!$C:$C,'Ausgaben Vorlage'!$C192,Einzelbeträge!$E:$E,'Ausgaben Vorlage'!M$6)</f>
        <v>0</v>
      </c>
      <c r="N192" s="35">
        <f>SUMIFS(Einzelbeträge!$D:$D,Einzelbeträge!$C:$C,'Ausgaben Vorlage'!$C192,Einzelbeträge!$E:$E,'Ausgaben Vorlage'!N$6)</f>
        <v>0</v>
      </c>
      <c r="O192" s="6"/>
    </row>
    <row r="193" spans="2:15" x14ac:dyDescent="0.35">
      <c r="B193" s="5"/>
      <c r="C193" s="30">
        <f t="shared" si="21"/>
        <v>45828</v>
      </c>
      <c r="D193" s="46">
        <f>SUMIFS(Einzelbeträge!$D:$D,Einzelbeträge!$C:$C,'Ausgaben Vorlage'!$C193)</f>
        <v>0</v>
      </c>
      <c r="E193" s="21">
        <f>SUMIFS(Einzelbeträge!$D:$D,Einzelbeträge!$C:$C,'Ausgaben Vorlage'!$C193,Einzelbeträge!$E:$E,'Ausgaben Vorlage'!E$6)</f>
        <v>0</v>
      </c>
      <c r="F193" s="21">
        <f>SUMIFS(Einzelbeträge!$D:$D,Einzelbeträge!$C:$C,'Ausgaben Vorlage'!$C193,Einzelbeträge!$E:$E,'Ausgaben Vorlage'!F$6)</f>
        <v>0</v>
      </c>
      <c r="G193" s="21">
        <f>SUMIFS(Einzelbeträge!$D:$D,Einzelbeträge!$C:$C,'Ausgaben Vorlage'!$C193,Einzelbeträge!$E:$E,'Ausgaben Vorlage'!G$6)</f>
        <v>0</v>
      </c>
      <c r="H193" s="21">
        <f>SUMIFS(Einzelbeträge!$D:$D,Einzelbeträge!$C:$C,'Ausgaben Vorlage'!$C193,Einzelbeträge!$E:$E,'Ausgaben Vorlage'!H$6)</f>
        <v>0</v>
      </c>
      <c r="I193" s="21">
        <f>SUMIFS(Einzelbeträge!$D:$D,Einzelbeträge!$C:$C,'Ausgaben Vorlage'!$C193,Einzelbeträge!$E:$E,'Ausgaben Vorlage'!I$6)</f>
        <v>0</v>
      </c>
      <c r="J193" s="21">
        <f>SUMIFS(Einzelbeträge!$D:$D,Einzelbeträge!$C:$C,'Ausgaben Vorlage'!$C193,Einzelbeträge!$E:$E,'Ausgaben Vorlage'!J$6)</f>
        <v>0</v>
      </c>
      <c r="K193" s="21">
        <f>SUMIFS(Einzelbeträge!$D:$D,Einzelbeträge!$C:$C,'Ausgaben Vorlage'!$C193,Einzelbeträge!$E:$E,'Ausgaben Vorlage'!K$6)</f>
        <v>0</v>
      </c>
      <c r="L193" s="21">
        <f>SUMIFS(Einzelbeträge!$D:$D,Einzelbeträge!$C:$C,'Ausgaben Vorlage'!$C193,Einzelbeträge!$E:$E,'Ausgaben Vorlage'!L$6)</f>
        <v>0</v>
      </c>
      <c r="M193" s="21">
        <f>SUMIFS(Einzelbeträge!$D:$D,Einzelbeträge!$C:$C,'Ausgaben Vorlage'!$C193,Einzelbeträge!$E:$E,'Ausgaben Vorlage'!M$6)</f>
        <v>0</v>
      </c>
      <c r="N193" s="35">
        <f>SUMIFS(Einzelbeträge!$D:$D,Einzelbeträge!$C:$C,'Ausgaben Vorlage'!$C193,Einzelbeträge!$E:$E,'Ausgaben Vorlage'!N$6)</f>
        <v>0</v>
      </c>
      <c r="O193" s="6"/>
    </row>
    <row r="194" spans="2:15" x14ac:dyDescent="0.35">
      <c r="B194" s="5"/>
      <c r="C194" s="30">
        <f t="shared" si="21"/>
        <v>45829</v>
      </c>
      <c r="D194" s="46">
        <f>SUMIFS(Einzelbeträge!$D:$D,Einzelbeträge!$C:$C,'Ausgaben Vorlage'!$C194)</f>
        <v>0</v>
      </c>
      <c r="E194" s="21">
        <f>SUMIFS(Einzelbeträge!$D:$D,Einzelbeträge!$C:$C,'Ausgaben Vorlage'!$C194,Einzelbeträge!$E:$E,'Ausgaben Vorlage'!E$6)</f>
        <v>0</v>
      </c>
      <c r="F194" s="21">
        <f>SUMIFS(Einzelbeträge!$D:$D,Einzelbeträge!$C:$C,'Ausgaben Vorlage'!$C194,Einzelbeträge!$E:$E,'Ausgaben Vorlage'!F$6)</f>
        <v>0</v>
      </c>
      <c r="G194" s="21">
        <f>SUMIFS(Einzelbeträge!$D:$D,Einzelbeträge!$C:$C,'Ausgaben Vorlage'!$C194,Einzelbeträge!$E:$E,'Ausgaben Vorlage'!G$6)</f>
        <v>0</v>
      </c>
      <c r="H194" s="21">
        <f>SUMIFS(Einzelbeträge!$D:$D,Einzelbeträge!$C:$C,'Ausgaben Vorlage'!$C194,Einzelbeträge!$E:$E,'Ausgaben Vorlage'!H$6)</f>
        <v>0</v>
      </c>
      <c r="I194" s="21">
        <f>SUMIFS(Einzelbeträge!$D:$D,Einzelbeträge!$C:$C,'Ausgaben Vorlage'!$C194,Einzelbeträge!$E:$E,'Ausgaben Vorlage'!I$6)</f>
        <v>0</v>
      </c>
      <c r="J194" s="21">
        <f>SUMIFS(Einzelbeträge!$D:$D,Einzelbeträge!$C:$C,'Ausgaben Vorlage'!$C194,Einzelbeträge!$E:$E,'Ausgaben Vorlage'!J$6)</f>
        <v>0</v>
      </c>
      <c r="K194" s="21">
        <f>SUMIFS(Einzelbeträge!$D:$D,Einzelbeträge!$C:$C,'Ausgaben Vorlage'!$C194,Einzelbeträge!$E:$E,'Ausgaben Vorlage'!K$6)</f>
        <v>0</v>
      </c>
      <c r="L194" s="21">
        <f>SUMIFS(Einzelbeträge!$D:$D,Einzelbeträge!$C:$C,'Ausgaben Vorlage'!$C194,Einzelbeträge!$E:$E,'Ausgaben Vorlage'!L$6)</f>
        <v>0</v>
      </c>
      <c r="M194" s="21">
        <f>SUMIFS(Einzelbeträge!$D:$D,Einzelbeträge!$C:$C,'Ausgaben Vorlage'!$C194,Einzelbeträge!$E:$E,'Ausgaben Vorlage'!M$6)</f>
        <v>0</v>
      </c>
      <c r="N194" s="35">
        <f>SUMIFS(Einzelbeträge!$D:$D,Einzelbeträge!$C:$C,'Ausgaben Vorlage'!$C194,Einzelbeträge!$E:$E,'Ausgaben Vorlage'!N$6)</f>
        <v>0</v>
      </c>
      <c r="O194" s="6"/>
    </row>
    <row r="195" spans="2:15" x14ac:dyDescent="0.35">
      <c r="B195" s="5"/>
      <c r="C195" s="30">
        <f t="shared" si="21"/>
        <v>45830</v>
      </c>
      <c r="D195" s="46">
        <f>SUMIFS(Einzelbeträge!$D:$D,Einzelbeträge!$C:$C,'Ausgaben Vorlage'!$C195)</f>
        <v>0</v>
      </c>
      <c r="E195" s="21">
        <f>SUMIFS(Einzelbeträge!$D:$D,Einzelbeträge!$C:$C,'Ausgaben Vorlage'!$C195,Einzelbeträge!$E:$E,'Ausgaben Vorlage'!E$6)</f>
        <v>0</v>
      </c>
      <c r="F195" s="21">
        <f>SUMIFS(Einzelbeträge!$D:$D,Einzelbeträge!$C:$C,'Ausgaben Vorlage'!$C195,Einzelbeträge!$E:$E,'Ausgaben Vorlage'!F$6)</f>
        <v>0</v>
      </c>
      <c r="G195" s="21">
        <f>SUMIFS(Einzelbeträge!$D:$D,Einzelbeträge!$C:$C,'Ausgaben Vorlage'!$C195,Einzelbeträge!$E:$E,'Ausgaben Vorlage'!G$6)</f>
        <v>0</v>
      </c>
      <c r="H195" s="21">
        <f>SUMIFS(Einzelbeträge!$D:$D,Einzelbeträge!$C:$C,'Ausgaben Vorlage'!$C195,Einzelbeträge!$E:$E,'Ausgaben Vorlage'!H$6)</f>
        <v>0</v>
      </c>
      <c r="I195" s="21">
        <f>SUMIFS(Einzelbeträge!$D:$D,Einzelbeträge!$C:$C,'Ausgaben Vorlage'!$C195,Einzelbeträge!$E:$E,'Ausgaben Vorlage'!I$6)</f>
        <v>0</v>
      </c>
      <c r="J195" s="21">
        <f>SUMIFS(Einzelbeträge!$D:$D,Einzelbeträge!$C:$C,'Ausgaben Vorlage'!$C195,Einzelbeträge!$E:$E,'Ausgaben Vorlage'!J$6)</f>
        <v>0</v>
      </c>
      <c r="K195" s="21">
        <f>SUMIFS(Einzelbeträge!$D:$D,Einzelbeträge!$C:$C,'Ausgaben Vorlage'!$C195,Einzelbeträge!$E:$E,'Ausgaben Vorlage'!K$6)</f>
        <v>0</v>
      </c>
      <c r="L195" s="21">
        <f>SUMIFS(Einzelbeträge!$D:$D,Einzelbeträge!$C:$C,'Ausgaben Vorlage'!$C195,Einzelbeträge!$E:$E,'Ausgaben Vorlage'!L$6)</f>
        <v>0</v>
      </c>
      <c r="M195" s="21">
        <f>SUMIFS(Einzelbeträge!$D:$D,Einzelbeträge!$C:$C,'Ausgaben Vorlage'!$C195,Einzelbeträge!$E:$E,'Ausgaben Vorlage'!M$6)</f>
        <v>0</v>
      </c>
      <c r="N195" s="35">
        <f>SUMIFS(Einzelbeträge!$D:$D,Einzelbeträge!$C:$C,'Ausgaben Vorlage'!$C195,Einzelbeträge!$E:$E,'Ausgaben Vorlage'!N$6)</f>
        <v>0</v>
      </c>
      <c r="O195" s="6"/>
    </row>
    <row r="196" spans="2:15" x14ac:dyDescent="0.35">
      <c r="B196" s="5"/>
      <c r="C196" s="30">
        <f t="shared" si="21"/>
        <v>45831</v>
      </c>
      <c r="D196" s="46">
        <f>SUMIFS(Einzelbeträge!$D:$D,Einzelbeträge!$C:$C,'Ausgaben Vorlage'!$C196)</f>
        <v>0</v>
      </c>
      <c r="E196" s="21">
        <f>SUMIFS(Einzelbeträge!$D:$D,Einzelbeträge!$C:$C,'Ausgaben Vorlage'!$C196,Einzelbeträge!$E:$E,'Ausgaben Vorlage'!E$6)</f>
        <v>0</v>
      </c>
      <c r="F196" s="21">
        <f>SUMIFS(Einzelbeträge!$D:$D,Einzelbeträge!$C:$C,'Ausgaben Vorlage'!$C196,Einzelbeträge!$E:$E,'Ausgaben Vorlage'!F$6)</f>
        <v>0</v>
      </c>
      <c r="G196" s="21">
        <f>SUMIFS(Einzelbeträge!$D:$D,Einzelbeträge!$C:$C,'Ausgaben Vorlage'!$C196,Einzelbeträge!$E:$E,'Ausgaben Vorlage'!G$6)</f>
        <v>0</v>
      </c>
      <c r="H196" s="21">
        <f>SUMIFS(Einzelbeträge!$D:$D,Einzelbeträge!$C:$C,'Ausgaben Vorlage'!$C196,Einzelbeträge!$E:$E,'Ausgaben Vorlage'!H$6)</f>
        <v>0</v>
      </c>
      <c r="I196" s="21">
        <f>SUMIFS(Einzelbeträge!$D:$D,Einzelbeträge!$C:$C,'Ausgaben Vorlage'!$C196,Einzelbeträge!$E:$E,'Ausgaben Vorlage'!I$6)</f>
        <v>0</v>
      </c>
      <c r="J196" s="21">
        <f>SUMIFS(Einzelbeträge!$D:$D,Einzelbeträge!$C:$C,'Ausgaben Vorlage'!$C196,Einzelbeträge!$E:$E,'Ausgaben Vorlage'!J$6)</f>
        <v>0</v>
      </c>
      <c r="K196" s="21">
        <f>SUMIFS(Einzelbeträge!$D:$D,Einzelbeträge!$C:$C,'Ausgaben Vorlage'!$C196,Einzelbeträge!$E:$E,'Ausgaben Vorlage'!K$6)</f>
        <v>0</v>
      </c>
      <c r="L196" s="21">
        <f>SUMIFS(Einzelbeträge!$D:$D,Einzelbeträge!$C:$C,'Ausgaben Vorlage'!$C196,Einzelbeträge!$E:$E,'Ausgaben Vorlage'!L$6)</f>
        <v>0</v>
      </c>
      <c r="M196" s="21">
        <f>SUMIFS(Einzelbeträge!$D:$D,Einzelbeträge!$C:$C,'Ausgaben Vorlage'!$C196,Einzelbeträge!$E:$E,'Ausgaben Vorlage'!M$6)</f>
        <v>0</v>
      </c>
      <c r="N196" s="35">
        <f>SUMIFS(Einzelbeträge!$D:$D,Einzelbeträge!$C:$C,'Ausgaben Vorlage'!$C196,Einzelbeträge!$E:$E,'Ausgaben Vorlage'!N$6)</f>
        <v>0</v>
      </c>
      <c r="O196" s="6"/>
    </row>
    <row r="197" spans="2:15" x14ac:dyDescent="0.35">
      <c r="B197" s="5"/>
      <c r="C197" s="30">
        <f t="shared" si="21"/>
        <v>45832</v>
      </c>
      <c r="D197" s="46">
        <f>SUMIFS(Einzelbeträge!$D:$D,Einzelbeträge!$C:$C,'Ausgaben Vorlage'!$C197)</f>
        <v>0</v>
      </c>
      <c r="E197" s="21">
        <f>SUMIFS(Einzelbeträge!$D:$D,Einzelbeträge!$C:$C,'Ausgaben Vorlage'!$C197,Einzelbeträge!$E:$E,'Ausgaben Vorlage'!E$6)</f>
        <v>0</v>
      </c>
      <c r="F197" s="21">
        <f>SUMIFS(Einzelbeträge!$D:$D,Einzelbeträge!$C:$C,'Ausgaben Vorlage'!$C197,Einzelbeträge!$E:$E,'Ausgaben Vorlage'!F$6)</f>
        <v>0</v>
      </c>
      <c r="G197" s="21">
        <f>SUMIFS(Einzelbeträge!$D:$D,Einzelbeträge!$C:$C,'Ausgaben Vorlage'!$C197,Einzelbeträge!$E:$E,'Ausgaben Vorlage'!G$6)</f>
        <v>0</v>
      </c>
      <c r="H197" s="21">
        <f>SUMIFS(Einzelbeträge!$D:$D,Einzelbeträge!$C:$C,'Ausgaben Vorlage'!$C197,Einzelbeträge!$E:$E,'Ausgaben Vorlage'!H$6)</f>
        <v>0</v>
      </c>
      <c r="I197" s="21">
        <f>SUMIFS(Einzelbeträge!$D:$D,Einzelbeträge!$C:$C,'Ausgaben Vorlage'!$C197,Einzelbeträge!$E:$E,'Ausgaben Vorlage'!I$6)</f>
        <v>0</v>
      </c>
      <c r="J197" s="21">
        <f>SUMIFS(Einzelbeträge!$D:$D,Einzelbeträge!$C:$C,'Ausgaben Vorlage'!$C197,Einzelbeträge!$E:$E,'Ausgaben Vorlage'!J$6)</f>
        <v>0</v>
      </c>
      <c r="K197" s="21">
        <f>SUMIFS(Einzelbeträge!$D:$D,Einzelbeträge!$C:$C,'Ausgaben Vorlage'!$C197,Einzelbeträge!$E:$E,'Ausgaben Vorlage'!K$6)</f>
        <v>0</v>
      </c>
      <c r="L197" s="21">
        <f>SUMIFS(Einzelbeträge!$D:$D,Einzelbeträge!$C:$C,'Ausgaben Vorlage'!$C197,Einzelbeträge!$E:$E,'Ausgaben Vorlage'!L$6)</f>
        <v>0</v>
      </c>
      <c r="M197" s="21">
        <f>SUMIFS(Einzelbeträge!$D:$D,Einzelbeträge!$C:$C,'Ausgaben Vorlage'!$C197,Einzelbeträge!$E:$E,'Ausgaben Vorlage'!M$6)</f>
        <v>0</v>
      </c>
      <c r="N197" s="35">
        <f>SUMIFS(Einzelbeträge!$D:$D,Einzelbeträge!$C:$C,'Ausgaben Vorlage'!$C197,Einzelbeträge!$E:$E,'Ausgaben Vorlage'!N$6)</f>
        <v>0</v>
      </c>
      <c r="O197" s="6"/>
    </row>
    <row r="198" spans="2:15" x14ac:dyDescent="0.35">
      <c r="B198" s="5"/>
      <c r="C198" s="30">
        <f t="shared" si="21"/>
        <v>45833</v>
      </c>
      <c r="D198" s="46">
        <f>SUMIFS(Einzelbeträge!$D:$D,Einzelbeträge!$C:$C,'Ausgaben Vorlage'!$C198)</f>
        <v>0</v>
      </c>
      <c r="E198" s="21">
        <f>SUMIFS(Einzelbeträge!$D:$D,Einzelbeträge!$C:$C,'Ausgaben Vorlage'!$C198,Einzelbeträge!$E:$E,'Ausgaben Vorlage'!E$6)</f>
        <v>0</v>
      </c>
      <c r="F198" s="21">
        <f>SUMIFS(Einzelbeträge!$D:$D,Einzelbeträge!$C:$C,'Ausgaben Vorlage'!$C198,Einzelbeträge!$E:$E,'Ausgaben Vorlage'!F$6)</f>
        <v>0</v>
      </c>
      <c r="G198" s="21">
        <f>SUMIFS(Einzelbeträge!$D:$D,Einzelbeträge!$C:$C,'Ausgaben Vorlage'!$C198,Einzelbeträge!$E:$E,'Ausgaben Vorlage'!G$6)</f>
        <v>0</v>
      </c>
      <c r="H198" s="21">
        <f>SUMIFS(Einzelbeträge!$D:$D,Einzelbeträge!$C:$C,'Ausgaben Vorlage'!$C198,Einzelbeträge!$E:$E,'Ausgaben Vorlage'!H$6)</f>
        <v>0</v>
      </c>
      <c r="I198" s="21">
        <f>SUMIFS(Einzelbeträge!$D:$D,Einzelbeträge!$C:$C,'Ausgaben Vorlage'!$C198,Einzelbeträge!$E:$E,'Ausgaben Vorlage'!I$6)</f>
        <v>0</v>
      </c>
      <c r="J198" s="21">
        <f>SUMIFS(Einzelbeträge!$D:$D,Einzelbeträge!$C:$C,'Ausgaben Vorlage'!$C198,Einzelbeträge!$E:$E,'Ausgaben Vorlage'!J$6)</f>
        <v>0</v>
      </c>
      <c r="K198" s="21">
        <f>SUMIFS(Einzelbeträge!$D:$D,Einzelbeträge!$C:$C,'Ausgaben Vorlage'!$C198,Einzelbeträge!$E:$E,'Ausgaben Vorlage'!K$6)</f>
        <v>0</v>
      </c>
      <c r="L198" s="21">
        <f>SUMIFS(Einzelbeträge!$D:$D,Einzelbeträge!$C:$C,'Ausgaben Vorlage'!$C198,Einzelbeträge!$E:$E,'Ausgaben Vorlage'!L$6)</f>
        <v>0</v>
      </c>
      <c r="M198" s="21">
        <f>SUMIFS(Einzelbeträge!$D:$D,Einzelbeträge!$C:$C,'Ausgaben Vorlage'!$C198,Einzelbeträge!$E:$E,'Ausgaben Vorlage'!M$6)</f>
        <v>0</v>
      </c>
      <c r="N198" s="35">
        <f>SUMIFS(Einzelbeträge!$D:$D,Einzelbeträge!$C:$C,'Ausgaben Vorlage'!$C198,Einzelbeträge!$E:$E,'Ausgaben Vorlage'!N$6)</f>
        <v>0</v>
      </c>
      <c r="O198" s="6"/>
    </row>
    <row r="199" spans="2:15" x14ac:dyDescent="0.35">
      <c r="B199" s="5"/>
      <c r="C199" s="30">
        <f t="shared" si="21"/>
        <v>45834</v>
      </c>
      <c r="D199" s="46">
        <f>SUMIFS(Einzelbeträge!$D:$D,Einzelbeträge!$C:$C,'Ausgaben Vorlage'!$C199)</f>
        <v>0</v>
      </c>
      <c r="E199" s="21">
        <f>SUMIFS(Einzelbeträge!$D:$D,Einzelbeträge!$C:$C,'Ausgaben Vorlage'!$C199,Einzelbeträge!$E:$E,'Ausgaben Vorlage'!E$6)</f>
        <v>0</v>
      </c>
      <c r="F199" s="21">
        <f>SUMIFS(Einzelbeträge!$D:$D,Einzelbeträge!$C:$C,'Ausgaben Vorlage'!$C199,Einzelbeträge!$E:$E,'Ausgaben Vorlage'!F$6)</f>
        <v>0</v>
      </c>
      <c r="G199" s="21">
        <f>SUMIFS(Einzelbeträge!$D:$D,Einzelbeträge!$C:$C,'Ausgaben Vorlage'!$C199,Einzelbeträge!$E:$E,'Ausgaben Vorlage'!G$6)</f>
        <v>0</v>
      </c>
      <c r="H199" s="21">
        <f>SUMIFS(Einzelbeträge!$D:$D,Einzelbeträge!$C:$C,'Ausgaben Vorlage'!$C199,Einzelbeträge!$E:$E,'Ausgaben Vorlage'!H$6)</f>
        <v>0</v>
      </c>
      <c r="I199" s="21">
        <f>SUMIFS(Einzelbeträge!$D:$D,Einzelbeträge!$C:$C,'Ausgaben Vorlage'!$C199,Einzelbeträge!$E:$E,'Ausgaben Vorlage'!I$6)</f>
        <v>0</v>
      </c>
      <c r="J199" s="21">
        <f>SUMIFS(Einzelbeträge!$D:$D,Einzelbeträge!$C:$C,'Ausgaben Vorlage'!$C199,Einzelbeträge!$E:$E,'Ausgaben Vorlage'!J$6)</f>
        <v>0</v>
      </c>
      <c r="K199" s="21">
        <f>SUMIFS(Einzelbeträge!$D:$D,Einzelbeträge!$C:$C,'Ausgaben Vorlage'!$C199,Einzelbeträge!$E:$E,'Ausgaben Vorlage'!K$6)</f>
        <v>0</v>
      </c>
      <c r="L199" s="21">
        <f>SUMIFS(Einzelbeträge!$D:$D,Einzelbeträge!$C:$C,'Ausgaben Vorlage'!$C199,Einzelbeträge!$E:$E,'Ausgaben Vorlage'!L$6)</f>
        <v>0</v>
      </c>
      <c r="M199" s="21">
        <f>SUMIFS(Einzelbeträge!$D:$D,Einzelbeträge!$C:$C,'Ausgaben Vorlage'!$C199,Einzelbeträge!$E:$E,'Ausgaben Vorlage'!M$6)</f>
        <v>0</v>
      </c>
      <c r="N199" s="35">
        <f>SUMIFS(Einzelbeträge!$D:$D,Einzelbeträge!$C:$C,'Ausgaben Vorlage'!$C199,Einzelbeträge!$E:$E,'Ausgaben Vorlage'!N$6)</f>
        <v>0</v>
      </c>
      <c r="O199" s="6"/>
    </row>
    <row r="200" spans="2:15" x14ac:dyDescent="0.35">
      <c r="B200" s="5"/>
      <c r="C200" s="30">
        <f t="shared" si="21"/>
        <v>45835</v>
      </c>
      <c r="D200" s="46">
        <f>SUMIFS(Einzelbeträge!$D:$D,Einzelbeträge!$C:$C,'Ausgaben Vorlage'!$C200)</f>
        <v>0</v>
      </c>
      <c r="E200" s="21">
        <f>SUMIFS(Einzelbeträge!$D:$D,Einzelbeträge!$C:$C,'Ausgaben Vorlage'!$C200,Einzelbeträge!$E:$E,'Ausgaben Vorlage'!E$6)</f>
        <v>0</v>
      </c>
      <c r="F200" s="21">
        <f>SUMIFS(Einzelbeträge!$D:$D,Einzelbeträge!$C:$C,'Ausgaben Vorlage'!$C200,Einzelbeträge!$E:$E,'Ausgaben Vorlage'!F$6)</f>
        <v>0</v>
      </c>
      <c r="G200" s="21">
        <f>SUMIFS(Einzelbeträge!$D:$D,Einzelbeträge!$C:$C,'Ausgaben Vorlage'!$C200,Einzelbeträge!$E:$E,'Ausgaben Vorlage'!G$6)</f>
        <v>0</v>
      </c>
      <c r="H200" s="21">
        <f>SUMIFS(Einzelbeträge!$D:$D,Einzelbeträge!$C:$C,'Ausgaben Vorlage'!$C200,Einzelbeträge!$E:$E,'Ausgaben Vorlage'!H$6)</f>
        <v>0</v>
      </c>
      <c r="I200" s="21">
        <f>SUMIFS(Einzelbeträge!$D:$D,Einzelbeträge!$C:$C,'Ausgaben Vorlage'!$C200,Einzelbeträge!$E:$E,'Ausgaben Vorlage'!I$6)</f>
        <v>0</v>
      </c>
      <c r="J200" s="21">
        <f>SUMIFS(Einzelbeträge!$D:$D,Einzelbeträge!$C:$C,'Ausgaben Vorlage'!$C200,Einzelbeträge!$E:$E,'Ausgaben Vorlage'!J$6)</f>
        <v>0</v>
      </c>
      <c r="K200" s="21">
        <f>SUMIFS(Einzelbeträge!$D:$D,Einzelbeträge!$C:$C,'Ausgaben Vorlage'!$C200,Einzelbeträge!$E:$E,'Ausgaben Vorlage'!K$6)</f>
        <v>0</v>
      </c>
      <c r="L200" s="21">
        <f>SUMIFS(Einzelbeträge!$D:$D,Einzelbeträge!$C:$C,'Ausgaben Vorlage'!$C200,Einzelbeträge!$E:$E,'Ausgaben Vorlage'!L$6)</f>
        <v>0</v>
      </c>
      <c r="M200" s="21">
        <f>SUMIFS(Einzelbeträge!$D:$D,Einzelbeträge!$C:$C,'Ausgaben Vorlage'!$C200,Einzelbeträge!$E:$E,'Ausgaben Vorlage'!M$6)</f>
        <v>0</v>
      </c>
      <c r="N200" s="35">
        <f>SUMIFS(Einzelbeträge!$D:$D,Einzelbeträge!$C:$C,'Ausgaben Vorlage'!$C200,Einzelbeträge!$E:$E,'Ausgaben Vorlage'!N$6)</f>
        <v>0</v>
      </c>
      <c r="O200" s="6"/>
    </row>
    <row r="201" spans="2:15" x14ac:dyDescent="0.35">
      <c r="B201" s="5"/>
      <c r="C201" s="30">
        <f t="shared" si="21"/>
        <v>45836</v>
      </c>
      <c r="D201" s="46">
        <f>SUMIFS(Einzelbeträge!$D:$D,Einzelbeträge!$C:$C,'Ausgaben Vorlage'!$C201)</f>
        <v>0</v>
      </c>
      <c r="E201" s="21">
        <f>SUMIFS(Einzelbeträge!$D:$D,Einzelbeträge!$C:$C,'Ausgaben Vorlage'!$C201,Einzelbeträge!$E:$E,'Ausgaben Vorlage'!E$6)</f>
        <v>0</v>
      </c>
      <c r="F201" s="21">
        <f>SUMIFS(Einzelbeträge!$D:$D,Einzelbeträge!$C:$C,'Ausgaben Vorlage'!$C201,Einzelbeträge!$E:$E,'Ausgaben Vorlage'!F$6)</f>
        <v>0</v>
      </c>
      <c r="G201" s="21">
        <f>SUMIFS(Einzelbeträge!$D:$D,Einzelbeträge!$C:$C,'Ausgaben Vorlage'!$C201,Einzelbeträge!$E:$E,'Ausgaben Vorlage'!G$6)</f>
        <v>0</v>
      </c>
      <c r="H201" s="21">
        <f>SUMIFS(Einzelbeträge!$D:$D,Einzelbeträge!$C:$C,'Ausgaben Vorlage'!$C201,Einzelbeträge!$E:$E,'Ausgaben Vorlage'!H$6)</f>
        <v>0</v>
      </c>
      <c r="I201" s="21">
        <f>SUMIFS(Einzelbeträge!$D:$D,Einzelbeträge!$C:$C,'Ausgaben Vorlage'!$C201,Einzelbeträge!$E:$E,'Ausgaben Vorlage'!I$6)</f>
        <v>0</v>
      </c>
      <c r="J201" s="21">
        <f>SUMIFS(Einzelbeträge!$D:$D,Einzelbeträge!$C:$C,'Ausgaben Vorlage'!$C201,Einzelbeträge!$E:$E,'Ausgaben Vorlage'!J$6)</f>
        <v>0</v>
      </c>
      <c r="K201" s="21">
        <f>SUMIFS(Einzelbeträge!$D:$D,Einzelbeträge!$C:$C,'Ausgaben Vorlage'!$C201,Einzelbeträge!$E:$E,'Ausgaben Vorlage'!K$6)</f>
        <v>0</v>
      </c>
      <c r="L201" s="21">
        <f>SUMIFS(Einzelbeträge!$D:$D,Einzelbeträge!$C:$C,'Ausgaben Vorlage'!$C201,Einzelbeträge!$E:$E,'Ausgaben Vorlage'!L$6)</f>
        <v>0</v>
      </c>
      <c r="M201" s="21">
        <f>SUMIFS(Einzelbeträge!$D:$D,Einzelbeträge!$C:$C,'Ausgaben Vorlage'!$C201,Einzelbeträge!$E:$E,'Ausgaben Vorlage'!M$6)</f>
        <v>0</v>
      </c>
      <c r="N201" s="35">
        <f>SUMIFS(Einzelbeträge!$D:$D,Einzelbeträge!$C:$C,'Ausgaben Vorlage'!$C201,Einzelbeträge!$E:$E,'Ausgaben Vorlage'!N$6)</f>
        <v>0</v>
      </c>
      <c r="O201" s="6"/>
    </row>
    <row r="202" spans="2:15" x14ac:dyDescent="0.35">
      <c r="B202" s="5"/>
      <c r="C202" s="30">
        <f t="shared" si="21"/>
        <v>45837</v>
      </c>
      <c r="D202" s="46">
        <f>SUMIFS(Einzelbeträge!$D:$D,Einzelbeträge!$C:$C,'Ausgaben Vorlage'!$C202)</f>
        <v>0</v>
      </c>
      <c r="E202" s="21">
        <f>SUMIFS(Einzelbeträge!$D:$D,Einzelbeträge!$C:$C,'Ausgaben Vorlage'!$C202,Einzelbeträge!$E:$E,'Ausgaben Vorlage'!E$6)</f>
        <v>0</v>
      </c>
      <c r="F202" s="21">
        <f>SUMIFS(Einzelbeträge!$D:$D,Einzelbeträge!$C:$C,'Ausgaben Vorlage'!$C202,Einzelbeträge!$E:$E,'Ausgaben Vorlage'!F$6)</f>
        <v>0</v>
      </c>
      <c r="G202" s="21">
        <f>SUMIFS(Einzelbeträge!$D:$D,Einzelbeträge!$C:$C,'Ausgaben Vorlage'!$C202,Einzelbeträge!$E:$E,'Ausgaben Vorlage'!G$6)</f>
        <v>0</v>
      </c>
      <c r="H202" s="21">
        <f>SUMIFS(Einzelbeträge!$D:$D,Einzelbeträge!$C:$C,'Ausgaben Vorlage'!$C202,Einzelbeträge!$E:$E,'Ausgaben Vorlage'!H$6)</f>
        <v>0</v>
      </c>
      <c r="I202" s="21">
        <f>SUMIFS(Einzelbeträge!$D:$D,Einzelbeträge!$C:$C,'Ausgaben Vorlage'!$C202,Einzelbeträge!$E:$E,'Ausgaben Vorlage'!I$6)</f>
        <v>0</v>
      </c>
      <c r="J202" s="21">
        <f>SUMIFS(Einzelbeträge!$D:$D,Einzelbeträge!$C:$C,'Ausgaben Vorlage'!$C202,Einzelbeträge!$E:$E,'Ausgaben Vorlage'!J$6)</f>
        <v>0</v>
      </c>
      <c r="K202" s="21">
        <f>SUMIFS(Einzelbeträge!$D:$D,Einzelbeträge!$C:$C,'Ausgaben Vorlage'!$C202,Einzelbeträge!$E:$E,'Ausgaben Vorlage'!K$6)</f>
        <v>0</v>
      </c>
      <c r="L202" s="21">
        <f>SUMIFS(Einzelbeträge!$D:$D,Einzelbeträge!$C:$C,'Ausgaben Vorlage'!$C202,Einzelbeträge!$E:$E,'Ausgaben Vorlage'!L$6)</f>
        <v>0</v>
      </c>
      <c r="M202" s="21">
        <f>SUMIFS(Einzelbeträge!$D:$D,Einzelbeträge!$C:$C,'Ausgaben Vorlage'!$C202,Einzelbeträge!$E:$E,'Ausgaben Vorlage'!M$6)</f>
        <v>0</v>
      </c>
      <c r="N202" s="35">
        <f>SUMIFS(Einzelbeträge!$D:$D,Einzelbeträge!$C:$C,'Ausgaben Vorlage'!$C202,Einzelbeträge!$E:$E,'Ausgaben Vorlage'!N$6)</f>
        <v>0</v>
      </c>
      <c r="O202" s="6"/>
    </row>
    <row r="203" spans="2:15" x14ac:dyDescent="0.35">
      <c r="B203" s="5"/>
      <c r="C203" s="31">
        <f t="shared" si="21"/>
        <v>45838</v>
      </c>
      <c r="D203" s="47">
        <f>SUMIFS(Einzelbeträge!$D:$D,Einzelbeträge!$C:$C,'Ausgaben Vorlage'!$C203)</f>
        <v>0</v>
      </c>
      <c r="E203" s="37">
        <f>SUMIFS(Einzelbeträge!$D:$D,Einzelbeträge!$C:$C,'Ausgaben Vorlage'!$C203,Einzelbeträge!$E:$E,'Ausgaben Vorlage'!E$6)</f>
        <v>0</v>
      </c>
      <c r="F203" s="37">
        <f>SUMIFS(Einzelbeträge!$D:$D,Einzelbeträge!$C:$C,'Ausgaben Vorlage'!$C203,Einzelbeträge!$E:$E,'Ausgaben Vorlage'!F$6)</f>
        <v>0</v>
      </c>
      <c r="G203" s="37">
        <f>SUMIFS(Einzelbeträge!$D:$D,Einzelbeträge!$C:$C,'Ausgaben Vorlage'!$C203,Einzelbeträge!$E:$E,'Ausgaben Vorlage'!G$6)</f>
        <v>0</v>
      </c>
      <c r="H203" s="37">
        <f>SUMIFS(Einzelbeträge!$D:$D,Einzelbeträge!$C:$C,'Ausgaben Vorlage'!$C203,Einzelbeträge!$E:$E,'Ausgaben Vorlage'!H$6)</f>
        <v>0</v>
      </c>
      <c r="I203" s="37">
        <f>SUMIFS(Einzelbeträge!$D:$D,Einzelbeträge!$C:$C,'Ausgaben Vorlage'!$C203,Einzelbeträge!$E:$E,'Ausgaben Vorlage'!I$6)</f>
        <v>0</v>
      </c>
      <c r="J203" s="37">
        <f>SUMIFS(Einzelbeträge!$D:$D,Einzelbeträge!$C:$C,'Ausgaben Vorlage'!$C203,Einzelbeträge!$E:$E,'Ausgaben Vorlage'!J$6)</f>
        <v>0</v>
      </c>
      <c r="K203" s="37">
        <f>SUMIFS(Einzelbeträge!$D:$D,Einzelbeträge!$C:$C,'Ausgaben Vorlage'!$C203,Einzelbeträge!$E:$E,'Ausgaben Vorlage'!K$6)</f>
        <v>0</v>
      </c>
      <c r="L203" s="37">
        <f>SUMIFS(Einzelbeträge!$D:$D,Einzelbeträge!$C:$C,'Ausgaben Vorlage'!$C203,Einzelbeträge!$E:$E,'Ausgaben Vorlage'!L$6)</f>
        <v>0</v>
      </c>
      <c r="M203" s="37">
        <f>SUMIFS(Einzelbeträge!$D:$D,Einzelbeträge!$C:$C,'Ausgaben Vorlage'!$C203,Einzelbeträge!$E:$E,'Ausgaben Vorlage'!M$6)</f>
        <v>0</v>
      </c>
      <c r="N203" s="38">
        <f>SUMIFS(Einzelbeträge!$D:$D,Einzelbeträge!$C:$C,'Ausgaben Vorlage'!$C203,Einzelbeträge!$E:$E,'Ausgaben Vorlage'!N$6)</f>
        <v>0</v>
      </c>
      <c r="O203" s="6"/>
    </row>
    <row r="204" spans="2:15" x14ac:dyDescent="0.35">
      <c r="B204" s="5"/>
      <c r="C204" s="22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6"/>
    </row>
    <row r="205" spans="2:15" x14ac:dyDescent="0.35">
      <c r="B205" s="5"/>
      <c r="C205" s="16" t="s">
        <v>23</v>
      </c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6"/>
    </row>
    <row r="206" spans="2:15" x14ac:dyDescent="0.35">
      <c r="B206" s="5"/>
      <c r="C206" s="1" t="s">
        <v>7</v>
      </c>
      <c r="D206" s="16" t="s">
        <v>6</v>
      </c>
      <c r="E206" s="42" t="s">
        <v>0</v>
      </c>
      <c r="F206" s="42" t="s">
        <v>1</v>
      </c>
      <c r="G206" s="42" t="s">
        <v>3</v>
      </c>
      <c r="H206" s="42" t="s">
        <v>2</v>
      </c>
      <c r="I206" s="42" t="s">
        <v>42</v>
      </c>
      <c r="J206" s="42" t="s">
        <v>65</v>
      </c>
      <c r="K206" s="42" t="s">
        <v>64</v>
      </c>
      <c r="L206" s="42" t="s">
        <v>63</v>
      </c>
      <c r="M206" s="42" t="s">
        <v>62</v>
      </c>
      <c r="N206" s="43" t="s">
        <v>61</v>
      </c>
      <c r="O206" s="6"/>
    </row>
    <row r="207" spans="2:15" x14ac:dyDescent="0.35">
      <c r="B207" s="5"/>
      <c r="C207" s="40">
        <f>C203+1</f>
        <v>45839</v>
      </c>
      <c r="D207" s="45">
        <f>SUMIFS(Einzelbeträge!$D:$D,Einzelbeträge!$C:$C,'Ausgaben Vorlage'!$C207)</f>
        <v>0</v>
      </c>
      <c r="E207" s="32">
        <f>SUMIFS(Einzelbeträge!$D:$D,Einzelbeträge!$C:$C,'Ausgaben Vorlage'!$C207,Einzelbeträge!$E:$E,'Ausgaben Vorlage'!E$6)</f>
        <v>0</v>
      </c>
      <c r="F207" s="32">
        <f>SUMIFS(Einzelbeträge!$D:$D,Einzelbeträge!$C:$C,'Ausgaben Vorlage'!$C207,Einzelbeträge!$E:$E,'Ausgaben Vorlage'!F$6)</f>
        <v>0</v>
      </c>
      <c r="G207" s="32">
        <f>SUMIFS(Einzelbeträge!$D:$D,Einzelbeträge!$C:$C,'Ausgaben Vorlage'!$C207,Einzelbeträge!$E:$E,'Ausgaben Vorlage'!G$6)</f>
        <v>0</v>
      </c>
      <c r="H207" s="32">
        <f>SUMIFS(Einzelbeträge!$D:$D,Einzelbeträge!$C:$C,'Ausgaben Vorlage'!$C207,Einzelbeträge!$E:$E,'Ausgaben Vorlage'!H$6)</f>
        <v>0</v>
      </c>
      <c r="I207" s="32">
        <f>SUMIFS(Einzelbeträge!$D:$D,Einzelbeträge!$C:$C,'Ausgaben Vorlage'!$C207,Einzelbeträge!$E:$E,'Ausgaben Vorlage'!I$6)</f>
        <v>0</v>
      </c>
      <c r="J207" s="32">
        <f>SUMIFS(Einzelbeträge!$D:$D,Einzelbeträge!$C:$C,'Ausgaben Vorlage'!$C207,Einzelbeträge!$E:$E,'Ausgaben Vorlage'!J$6)</f>
        <v>0</v>
      </c>
      <c r="K207" s="32">
        <f>SUMIFS(Einzelbeträge!$D:$D,Einzelbeträge!$C:$C,'Ausgaben Vorlage'!$C207,Einzelbeträge!$E:$E,'Ausgaben Vorlage'!K$6)</f>
        <v>0</v>
      </c>
      <c r="L207" s="32">
        <f>SUMIFS(Einzelbeträge!$D:$D,Einzelbeträge!$C:$C,'Ausgaben Vorlage'!$C207,Einzelbeträge!$E:$E,'Ausgaben Vorlage'!L$6)</f>
        <v>0</v>
      </c>
      <c r="M207" s="32">
        <f>SUMIFS(Einzelbeträge!$D:$D,Einzelbeträge!$C:$C,'Ausgaben Vorlage'!$C207,Einzelbeträge!$E:$E,'Ausgaben Vorlage'!M$6)</f>
        <v>0</v>
      </c>
      <c r="N207" s="33">
        <f>SUMIFS(Einzelbeträge!$D:$D,Einzelbeträge!$C:$C,'Ausgaben Vorlage'!$C207,Einzelbeträge!$E:$E,'Ausgaben Vorlage'!N$6)</f>
        <v>0</v>
      </c>
      <c r="O207" s="6"/>
    </row>
    <row r="208" spans="2:15" x14ac:dyDescent="0.35">
      <c r="B208" s="5"/>
      <c r="C208" s="40">
        <f>C207+1</f>
        <v>45840</v>
      </c>
      <c r="D208" s="46">
        <f>SUMIFS(Einzelbeträge!$D:$D,Einzelbeträge!$C:$C,'Ausgaben Vorlage'!$C208)</f>
        <v>0</v>
      </c>
      <c r="E208" s="21">
        <f>SUMIFS(Einzelbeträge!$D:$D,Einzelbeträge!$C:$C,'Ausgaben Vorlage'!$C208,Einzelbeträge!$E:$E,'Ausgaben Vorlage'!E$6)</f>
        <v>0</v>
      </c>
      <c r="F208" s="21">
        <f>SUMIFS(Einzelbeträge!$D:$D,Einzelbeträge!$C:$C,'Ausgaben Vorlage'!$C208,Einzelbeträge!$E:$E,'Ausgaben Vorlage'!F$6)</f>
        <v>0</v>
      </c>
      <c r="G208" s="21">
        <f>SUMIFS(Einzelbeträge!$D:$D,Einzelbeträge!$C:$C,'Ausgaben Vorlage'!$C208,Einzelbeträge!$E:$E,'Ausgaben Vorlage'!G$6)</f>
        <v>0</v>
      </c>
      <c r="H208" s="21">
        <f>SUMIFS(Einzelbeträge!$D:$D,Einzelbeträge!$C:$C,'Ausgaben Vorlage'!$C208,Einzelbeträge!$E:$E,'Ausgaben Vorlage'!H$6)</f>
        <v>0</v>
      </c>
      <c r="I208" s="21">
        <f>SUMIFS(Einzelbeträge!$D:$D,Einzelbeträge!$C:$C,'Ausgaben Vorlage'!$C208,Einzelbeträge!$E:$E,'Ausgaben Vorlage'!I$6)</f>
        <v>0</v>
      </c>
      <c r="J208" s="21">
        <f>SUMIFS(Einzelbeträge!$D:$D,Einzelbeträge!$C:$C,'Ausgaben Vorlage'!$C208,Einzelbeträge!$E:$E,'Ausgaben Vorlage'!J$6)</f>
        <v>0</v>
      </c>
      <c r="K208" s="21">
        <f>SUMIFS(Einzelbeträge!$D:$D,Einzelbeträge!$C:$C,'Ausgaben Vorlage'!$C208,Einzelbeträge!$E:$E,'Ausgaben Vorlage'!K$6)</f>
        <v>0</v>
      </c>
      <c r="L208" s="21">
        <f>SUMIFS(Einzelbeträge!$D:$D,Einzelbeträge!$C:$C,'Ausgaben Vorlage'!$C208,Einzelbeträge!$E:$E,'Ausgaben Vorlage'!L$6)</f>
        <v>0</v>
      </c>
      <c r="M208" s="21">
        <f>SUMIFS(Einzelbeträge!$D:$D,Einzelbeträge!$C:$C,'Ausgaben Vorlage'!$C208,Einzelbeträge!$E:$E,'Ausgaben Vorlage'!M$6)</f>
        <v>0</v>
      </c>
      <c r="N208" s="35">
        <f>SUMIFS(Einzelbeträge!$D:$D,Einzelbeträge!$C:$C,'Ausgaben Vorlage'!$C208,Einzelbeträge!$E:$E,'Ausgaben Vorlage'!N$6)</f>
        <v>0</v>
      </c>
      <c r="O208" s="6"/>
    </row>
    <row r="209" spans="2:15" x14ac:dyDescent="0.35">
      <c r="B209" s="5"/>
      <c r="C209" s="40">
        <f t="shared" ref="C209:C237" si="22">C208+1</f>
        <v>45841</v>
      </c>
      <c r="D209" s="46">
        <f>SUMIFS(Einzelbeträge!$D:$D,Einzelbeträge!$C:$C,'Ausgaben Vorlage'!$C209)</f>
        <v>0</v>
      </c>
      <c r="E209" s="21">
        <f>SUMIFS(Einzelbeträge!$D:$D,Einzelbeträge!$C:$C,'Ausgaben Vorlage'!$C209,Einzelbeträge!$E:$E,'Ausgaben Vorlage'!E$6)</f>
        <v>0</v>
      </c>
      <c r="F209" s="21">
        <f>SUMIFS(Einzelbeträge!$D:$D,Einzelbeträge!$C:$C,'Ausgaben Vorlage'!$C209,Einzelbeträge!$E:$E,'Ausgaben Vorlage'!F$6)</f>
        <v>0</v>
      </c>
      <c r="G209" s="21">
        <f>SUMIFS(Einzelbeträge!$D:$D,Einzelbeträge!$C:$C,'Ausgaben Vorlage'!$C209,Einzelbeträge!$E:$E,'Ausgaben Vorlage'!G$6)</f>
        <v>0</v>
      </c>
      <c r="H209" s="21">
        <f>SUMIFS(Einzelbeträge!$D:$D,Einzelbeträge!$C:$C,'Ausgaben Vorlage'!$C209,Einzelbeträge!$E:$E,'Ausgaben Vorlage'!H$6)</f>
        <v>0</v>
      </c>
      <c r="I209" s="21">
        <f>SUMIFS(Einzelbeträge!$D:$D,Einzelbeträge!$C:$C,'Ausgaben Vorlage'!$C209,Einzelbeträge!$E:$E,'Ausgaben Vorlage'!I$6)</f>
        <v>0</v>
      </c>
      <c r="J209" s="21">
        <f>SUMIFS(Einzelbeträge!$D:$D,Einzelbeträge!$C:$C,'Ausgaben Vorlage'!$C209,Einzelbeträge!$E:$E,'Ausgaben Vorlage'!J$6)</f>
        <v>0</v>
      </c>
      <c r="K209" s="21">
        <f>SUMIFS(Einzelbeträge!$D:$D,Einzelbeträge!$C:$C,'Ausgaben Vorlage'!$C209,Einzelbeträge!$E:$E,'Ausgaben Vorlage'!K$6)</f>
        <v>0</v>
      </c>
      <c r="L209" s="21">
        <f>SUMIFS(Einzelbeträge!$D:$D,Einzelbeträge!$C:$C,'Ausgaben Vorlage'!$C209,Einzelbeträge!$E:$E,'Ausgaben Vorlage'!L$6)</f>
        <v>0</v>
      </c>
      <c r="M209" s="21">
        <f>SUMIFS(Einzelbeträge!$D:$D,Einzelbeträge!$C:$C,'Ausgaben Vorlage'!$C209,Einzelbeträge!$E:$E,'Ausgaben Vorlage'!M$6)</f>
        <v>0</v>
      </c>
      <c r="N209" s="35">
        <f>SUMIFS(Einzelbeträge!$D:$D,Einzelbeträge!$C:$C,'Ausgaben Vorlage'!$C209,Einzelbeträge!$E:$E,'Ausgaben Vorlage'!N$6)</f>
        <v>0</v>
      </c>
      <c r="O209" s="6"/>
    </row>
    <row r="210" spans="2:15" x14ac:dyDescent="0.35">
      <c r="B210" s="5"/>
      <c r="C210" s="40">
        <f t="shared" si="22"/>
        <v>45842</v>
      </c>
      <c r="D210" s="46">
        <f>SUMIFS(Einzelbeträge!$D:$D,Einzelbeträge!$C:$C,'Ausgaben Vorlage'!$C210)</f>
        <v>0</v>
      </c>
      <c r="E210" s="21">
        <f>SUMIFS(Einzelbeträge!$D:$D,Einzelbeträge!$C:$C,'Ausgaben Vorlage'!$C210,Einzelbeträge!$E:$E,'Ausgaben Vorlage'!E$6)</f>
        <v>0</v>
      </c>
      <c r="F210" s="21">
        <f>SUMIFS(Einzelbeträge!$D:$D,Einzelbeträge!$C:$C,'Ausgaben Vorlage'!$C210,Einzelbeträge!$E:$E,'Ausgaben Vorlage'!F$6)</f>
        <v>0</v>
      </c>
      <c r="G210" s="21">
        <f>SUMIFS(Einzelbeträge!$D:$D,Einzelbeträge!$C:$C,'Ausgaben Vorlage'!$C210,Einzelbeträge!$E:$E,'Ausgaben Vorlage'!G$6)</f>
        <v>0</v>
      </c>
      <c r="H210" s="21">
        <f>SUMIFS(Einzelbeträge!$D:$D,Einzelbeträge!$C:$C,'Ausgaben Vorlage'!$C210,Einzelbeträge!$E:$E,'Ausgaben Vorlage'!H$6)</f>
        <v>0</v>
      </c>
      <c r="I210" s="21">
        <f>SUMIFS(Einzelbeträge!$D:$D,Einzelbeträge!$C:$C,'Ausgaben Vorlage'!$C210,Einzelbeträge!$E:$E,'Ausgaben Vorlage'!I$6)</f>
        <v>0</v>
      </c>
      <c r="J210" s="21">
        <f>SUMIFS(Einzelbeträge!$D:$D,Einzelbeträge!$C:$C,'Ausgaben Vorlage'!$C210,Einzelbeträge!$E:$E,'Ausgaben Vorlage'!J$6)</f>
        <v>0</v>
      </c>
      <c r="K210" s="21">
        <f>SUMIFS(Einzelbeträge!$D:$D,Einzelbeträge!$C:$C,'Ausgaben Vorlage'!$C210,Einzelbeträge!$E:$E,'Ausgaben Vorlage'!K$6)</f>
        <v>0</v>
      </c>
      <c r="L210" s="21">
        <f>SUMIFS(Einzelbeträge!$D:$D,Einzelbeträge!$C:$C,'Ausgaben Vorlage'!$C210,Einzelbeträge!$E:$E,'Ausgaben Vorlage'!L$6)</f>
        <v>0</v>
      </c>
      <c r="M210" s="21">
        <f>SUMIFS(Einzelbeträge!$D:$D,Einzelbeträge!$C:$C,'Ausgaben Vorlage'!$C210,Einzelbeträge!$E:$E,'Ausgaben Vorlage'!M$6)</f>
        <v>0</v>
      </c>
      <c r="N210" s="35">
        <f>SUMIFS(Einzelbeträge!$D:$D,Einzelbeträge!$C:$C,'Ausgaben Vorlage'!$C210,Einzelbeträge!$E:$E,'Ausgaben Vorlage'!N$6)</f>
        <v>0</v>
      </c>
      <c r="O210" s="6"/>
    </row>
    <row r="211" spans="2:15" x14ac:dyDescent="0.35">
      <c r="B211" s="5"/>
      <c r="C211" s="40">
        <f t="shared" si="22"/>
        <v>45843</v>
      </c>
      <c r="D211" s="46">
        <f>SUMIFS(Einzelbeträge!$D:$D,Einzelbeträge!$C:$C,'Ausgaben Vorlage'!$C211)</f>
        <v>0</v>
      </c>
      <c r="E211" s="21">
        <f>SUMIFS(Einzelbeträge!$D:$D,Einzelbeträge!$C:$C,'Ausgaben Vorlage'!$C211,Einzelbeträge!$E:$E,'Ausgaben Vorlage'!E$6)</f>
        <v>0</v>
      </c>
      <c r="F211" s="21">
        <f>SUMIFS(Einzelbeträge!$D:$D,Einzelbeträge!$C:$C,'Ausgaben Vorlage'!$C211,Einzelbeträge!$E:$E,'Ausgaben Vorlage'!F$6)</f>
        <v>0</v>
      </c>
      <c r="G211" s="21">
        <f>SUMIFS(Einzelbeträge!$D:$D,Einzelbeträge!$C:$C,'Ausgaben Vorlage'!$C211,Einzelbeträge!$E:$E,'Ausgaben Vorlage'!G$6)</f>
        <v>0</v>
      </c>
      <c r="H211" s="21">
        <f>SUMIFS(Einzelbeträge!$D:$D,Einzelbeträge!$C:$C,'Ausgaben Vorlage'!$C211,Einzelbeträge!$E:$E,'Ausgaben Vorlage'!H$6)</f>
        <v>0</v>
      </c>
      <c r="I211" s="21">
        <f>SUMIFS(Einzelbeträge!$D:$D,Einzelbeträge!$C:$C,'Ausgaben Vorlage'!$C211,Einzelbeträge!$E:$E,'Ausgaben Vorlage'!I$6)</f>
        <v>0</v>
      </c>
      <c r="J211" s="21">
        <f>SUMIFS(Einzelbeträge!$D:$D,Einzelbeträge!$C:$C,'Ausgaben Vorlage'!$C211,Einzelbeträge!$E:$E,'Ausgaben Vorlage'!J$6)</f>
        <v>0</v>
      </c>
      <c r="K211" s="21">
        <f>SUMIFS(Einzelbeträge!$D:$D,Einzelbeträge!$C:$C,'Ausgaben Vorlage'!$C211,Einzelbeträge!$E:$E,'Ausgaben Vorlage'!K$6)</f>
        <v>0</v>
      </c>
      <c r="L211" s="21">
        <f>SUMIFS(Einzelbeträge!$D:$D,Einzelbeträge!$C:$C,'Ausgaben Vorlage'!$C211,Einzelbeträge!$E:$E,'Ausgaben Vorlage'!L$6)</f>
        <v>0</v>
      </c>
      <c r="M211" s="21">
        <f>SUMIFS(Einzelbeträge!$D:$D,Einzelbeträge!$C:$C,'Ausgaben Vorlage'!$C211,Einzelbeträge!$E:$E,'Ausgaben Vorlage'!M$6)</f>
        <v>0</v>
      </c>
      <c r="N211" s="35">
        <f>SUMIFS(Einzelbeträge!$D:$D,Einzelbeträge!$C:$C,'Ausgaben Vorlage'!$C211,Einzelbeträge!$E:$E,'Ausgaben Vorlage'!N$6)</f>
        <v>0</v>
      </c>
      <c r="O211" s="6"/>
    </row>
    <row r="212" spans="2:15" x14ac:dyDescent="0.35">
      <c r="B212" s="5"/>
      <c r="C212" s="40">
        <f t="shared" si="22"/>
        <v>45844</v>
      </c>
      <c r="D212" s="46">
        <f>SUMIFS(Einzelbeträge!$D:$D,Einzelbeträge!$C:$C,'Ausgaben Vorlage'!$C212)</f>
        <v>0</v>
      </c>
      <c r="E212" s="21">
        <f>SUMIFS(Einzelbeträge!$D:$D,Einzelbeträge!$C:$C,'Ausgaben Vorlage'!$C212,Einzelbeträge!$E:$E,'Ausgaben Vorlage'!E$6)</f>
        <v>0</v>
      </c>
      <c r="F212" s="21">
        <f>SUMIFS(Einzelbeträge!$D:$D,Einzelbeträge!$C:$C,'Ausgaben Vorlage'!$C212,Einzelbeträge!$E:$E,'Ausgaben Vorlage'!F$6)</f>
        <v>0</v>
      </c>
      <c r="G212" s="21">
        <f>SUMIFS(Einzelbeträge!$D:$D,Einzelbeträge!$C:$C,'Ausgaben Vorlage'!$C212,Einzelbeträge!$E:$E,'Ausgaben Vorlage'!G$6)</f>
        <v>0</v>
      </c>
      <c r="H212" s="21">
        <f>SUMIFS(Einzelbeträge!$D:$D,Einzelbeträge!$C:$C,'Ausgaben Vorlage'!$C212,Einzelbeträge!$E:$E,'Ausgaben Vorlage'!H$6)</f>
        <v>0</v>
      </c>
      <c r="I212" s="21">
        <f>SUMIFS(Einzelbeträge!$D:$D,Einzelbeträge!$C:$C,'Ausgaben Vorlage'!$C212,Einzelbeträge!$E:$E,'Ausgaben Vorlage'!I$6)</f>
        <v>0</v>
      </c>
      <c r="J212" s="21">
        <f>SUMIFS(Einzelbeträge!$D:$D,Einzelbeträge!$C:$C,'Ausgaben Vorlage'!$C212,Einzelbeträge!$E:$E,'Ausgaben Vorlage'!J$6)</f>
        <v>0</v>
      </c>
      <c r="K212" s="21">
        <f>SUMIFS(Einzelbeträge!$D:$D,Einzelbeträge!$C:$C,'Ausgaben Vorlage'!$C212,Einzelbeträge!$E:$E,'Ausgaben Vorlage'!K$6)</f>
        <v>0</v>
      </c>
      <c r="L212" s="21">
        <f>SUMIFS(Einzelbeträge!$D:$D,Einzelbeträge!$C:$C,'Ausgaben Vorlage'!$C212,Einzelbeträge!$E:$E,'Ausgaben Vorlage'!L$6)</f>
        <v>0</v>
      </c>
      <c r="M212" s="21">
        <f>SUMIFS(Einzelbeträge!$D:$D,Einzelbeträge!$C:$C,'Ausgaben Vorlage'!$C212,Einzelbeträge!$E:$E,'Ausgaben Vorlage'!M$6)</f>
        <v>0</v>
      </c>
      <c r="N212" s="35">
        <f>SUMIFS(Einzelbeträge!$D:$D,Einzelbeträge!$C:$C,'Ausgaben Vorlage'!$C212,Einzelbeträge!$E:$E,'Ausgaben Vorlage'!N$6)</f>
        <v>0</v>
      </c>
      <c r="O212" s="6"/>
    </row>
    <row r="213" spans="2:15" x14ac:dyDescent="0.35">
      <c r="B213" s="5"/>
      <c r="C213" s="40">
        <f t="shared" si="22"/>
        <v>45845</v>
      </c>
      <c r="D213" s="46">
        <f>SUMIFS(Einzelbeträge!$D:$D,Einzelbeträge!$C:$C,'Ausgaben Vorlage'!$C213)</f>
        <v>0</v>
      </c>
      <c r="E213" s="21">
        <f>SUMIFS(Einzelbeträge!$D:$D,Einzelbeträge!$C:$C,'Ausgaben Vorlage'!$C213,Einzelbeträge!$E:$E,'Ausgaben Vorlage'!E$6)</f>
        <v>0</v>
      </c>
      <c r="F213" s="21">
        <f>SUMIFS(Einzelbeträge!$D:$D,Einzelbeträge!$C:$C,'Ausgaben Vorlage'!$C213,Einzelbeträge!$E:$E,'Ausgaben Vorlage'!F$6)</f>
        <v>0</v>
      </c>
      <c r="G213" s="21">
        <f>SUMIFS(Einzelbeträge!$D:$D,Einzelbeträge!$C:$C,'Ausgaben Vorlage'!$C213,Einzelbeträge!$E:$E,'Ausgaben Vorlage'!G$6)</f>
        <v>0</v>
      </c>
      <c r="H213" s="21">
        <f>SUMIFS(Einzelbeträge!$D:$D,Einzelbeträge!$C:$C,'Ausgaben Vorlage'!$C213,Einzelbeträge!$E:$E,'Ausgaben Vorlage'!H$6)</f>
        <v>0</v>
      </c>
      <c r="I213" s="21">
        <f>SUMIFS(Einzelbeträge!$D:$D,Einzelbeträge!$C:$C,'Ausgaben Vorlage'!$C213,Einzelbeträge!$E:$E,'Ausgaben Vorlage'!I$6)</f>
        <v>0</v>
      </c>
      <c r="J213" s="21">
        <f>SUMIFS(Einzelbeträge!$D:$D,Einzelbeträge!$C:$C,'Ausgaben Vorlage'!$C213,Einzelbeträge!$E:$E,'Ausgaben Vorlage'!J$6)</f>
        <v>0</v>
      </c>
      <c r="K213" s="21">
        <f>SUMIFS(Einzelbeträge!$D:$D,Einzelbeträge!$C:$C,'Ausgaben Vorlage'!$C213,Einzelbeträge!$E:$E,'Ausgaben Vorlage'!K$6)</f>
        <v>0</v>
      </c>
      <c r="L213" s="21">
        <f>SUMIFS(Einzelbeträge!$D:$D,Einzelbeträge!$C:$C,'Ausgaben Vorlage'!$C213,Einzelbeträge!$E:$E,'Ausgaben Vorlage'!L$6)</f>
        <v>0</v>
      </c>
      <c r="M213" s="21">
        <f>SUMIFS(Einzelbeträge!$D:$D,Einzelbeträge!$C:$C,'Ausgaben Vorlage'!$C213,Einzelbeträge!$E:$E,'Ausgaben Vorlage'!M$6)</f>
        <v>0</v>
      </c>
      <c r="N213" s="35">
        <f>SUMIFS(Einzelbeträge!$D:$D,Einzelbeträge!$C:$C,'Ausgaben Vorlage'!$C213,Einzelbeträge!$E:$E,'Ausgaben Vorlage'!N$6)</f>
        <v>0</v>
      </c>
      <c r="O213" s="6"/>
    </row>
    <row r="214" spans="2:15" x14ac:dyDescent="0.35">
      <c r="B214" s="5"/>
      <c r="C214" s="40">
        <f t="shared" si="22"/>
        <v>45846</v>
      </c>
      <c r="D214" s="46">
        <f>SUMIFS(Einzelbeträge!$D:$D,Einzelbeträge!$C:$C,'Ausgaben Vorlage'!$C214)</f>
        <v>0</v>
      </c>
      <c r="E214" s="21">
        <f>SUMIFS(Einzelbeträge!$D:$D,Einzelbeträge!$C:$C,'Ausgaben Vorlage'!$C214,Einzelbeträge!$E:$E,'Ausgaben Vorlage'!E$6)</f>
        <v>0</v>
      </c>
      <c r="F214" s="21">
        <f>SUMIFS(Einzelbeträge!$D:$D,Einzelbeträge!$C:$C,'Ausgaben Vorlage'!$C214,Einzelbeträge!$E:$E,'Ausgaben Vorlage'!F$6)</f>
        <v>0</v>
      </c>
      <c r="G214" s="21">
        <f>SUMIFS(Einzelbeträge!$D:$D,Einzelbeträge!$C:$C,'Ausgaben Vorlage'!$C214,Einzelbeträge!$E:$E,'Ausgaben Vorlage'!G$6)</f>
        <v>0</v>
      </c>
      <c r="H214" s="21">
        <f>SUMIFS(Einzelbeträge!$D:$D,Einzelbeträge!$C:$C,'Ausgaben Vorlage'!$C214,Einzelbeträge!$E:$E,'Ausgaben Vorlage'!H$6)</f>
        <v>0</v>
      </c>
      <c r="I214" s="21">
        <f>SUMIFS(Einzelbeträge!$D:$D,Einzelbeträge!$C:$C,'Ausgaben Vorlage'!$C214,Einzelbeträge!$E:$E,'Ausgaben Vorlage'!I$6)</f>
        <v>0</v>
      </c>
      <c r="J214" s="21">
        <f>SUMIFS(Einzelbeträge!$D:$D,Einzelbeträge!$C:$C,'Ausgaben Vorlage'!$C214,Einzelbeträge!$E:$E,'Ausgaben Vorlage'!J$6)</f>
        <v>0</v>
      </c>
      <c r="K214" s="21">
        <f>SUMIFS(Einzelbeträge!$D:$D,Einzelbeträge!$C:$C,'Ausgaben Vorlage'!$C214,Einzelbeträge!$E:$E,'Ausgaben Vorlage'!K$6)</f>
        <v>0</v>
      </c>
      <c r="L214" s="21">
        <f>SUMIFS(Einzelbeträge!$D:$D,Einzelbeträge!$C:$C,'Ausgaben Vorlage'!$C214,Einzelbeträge!$E:$E,'Ausgaben Vorlage'!L$6)</f>
        <v>0</v>
      </c>
      <c r="M214" s="21">
        <f>SUMIFS(Einzelbeträge!$D:$D,Einzelbeträge!$C:$C,'Ausgaben Vorlage'!$C214,Einzelbeträge!$E:$E,'Ausgaben Vorlage'!M$6)</f>
        <v>0</v>
      </c>
      <c r="N214" s="35">
        <f>SUMIFS(Einzelbeträge!$D:$D,Einzelbeträge!$C:$C,'Ausgaben Vorlage'!$C214,Einzelbeträge!$E:$E,'Ausgaben Vorlage'!N$6)</f>
        <v>0</v>
      </c>
      <c r="O214" s="6"/>
    </row>
    <row r="215" spans="2:15" x14ac:dyDescent="0.35">
      <c r="B215" s="5"/>
      <c r="C215" s="40">
        <f t="shared" si="22"/>
        <v>45847</v>
      </c>
      <c r="D215" s="46">
        <f>SUMIFS(Einzelbeträge!$D:$D,Einzelbeträge!$C:$C,'Ausgaben Vorlage'!$C215)</f>
        <v>0</v>
      </c>
      <c r="E215" s="21">
        <f>SUMIFS(Einzelbeträge!$D:$D,Einzelbeträge!$C:$C,'Ausgaben Vorlage'!$C215,Einzelbeträge!$E:$E,'Ausgaben Vorlage'!E$6)</f>
        <v>0</v>
      </c>
      <c r="F215" s="21">
        <f>SUMIFS(Einzelbeträge!$D:$D,Einzelbeträge!$C:$C,'Ausgaben Vorlage'!$C215,Einzelbeträge!$E:$E,'Ausgaben Vorlage'!F$6)</f>
        <v>0</v>
      </c>
      <c r="G215" s="21">
        <f>SUMIFS(Einzelbeträge!$D:$D,Einzelbeträge!$C:$C,'Ausgaben Vorlage'!$C215,Einzelbeträge!$E:$E,'Ausgaben Vorlage'!G$6)</f>
        <v>0</v>
      </c>
      <c r="H215" s="21">
        <f>SUMIFS(Einzelbeträge!$D:$D,Einzelbeträge!$C:$C,'Ausgaben Vorlage'!$C215,Einzelbeträge!$E:$E,'Ausgaben Vorlage'!H$6)</f>
        <v>0</v>
      </c>
      <c r="I215" s="21">
        <f>SUMIFS(Einzelbeträge!$D:$D,Einzelbeträge!$C:$C,'Ausgaben Vorlage'!$C215,Einzelbeträge!$E:$E,'Ausgaben Vorlage'!I$6)</f>
        <v>0</v>
      </c>
      <c r="J215" s="21">
        <f>SUMIFS(Einzelbeträge!$D:$D,Einzelbeträge!$C:$C,'Ausgaben Vorlage'!$C215,Einzelbeträge!$E:$E,'Ausgaben Vorlage'!J$6)</f>
        <v>0</v>
      </c>
      <c r="K215" s="21">
        <f>SUMIFS(Einzelbeträge!$D:$D,Einzelbeträge!$C:$C,'Ausgaben Vorlage'!$C215,Einzelbeträge!$E:$E,'Ausgaben Vorlage'!K$6)</f>
        <v>0</v>
      </c>
      <c r="L215" s="21">
        <f>SUMIFS(Einzelbeträge!$D:$D,Einzelbeträge!$C:$C,'Ausgaben Vorlage'!$C215,Einzelbeträge!$E:$E,'Ausgaben Vorlage'!L$6)</f>
        <v>0</v>
      </c>
      <c r="M215" s="21">
        <f>SUMIFS(Einzelbeträge!$D:$D,Einzelbeträge!$C:$C,'Ausgaben Vorlage'!$C215,Einzelbeträge!$E:$E,'Ausgaben Vorlage'!M$6)</f>
        <v>0</v>
      </c>
      <c r="N215" s="35">
        <f>SUMIFS(Einzelbeträge!$D:$D,Einzelbeträge!$C:$C,'Ausgaben Vorlage'!$C215,Einzelbeträge!$E:$E,'Ausgaben Vorlage'!N$6)</f>
        <v>0</v>
      </c>
      <c r="O215" s="6"/>
    </row>
    <row r="216" spans="2:15" x14ac:dyDescent="0.35">
      <c r="B216" s="5"/>
      <c r="C216" s="40">
        <f t="shared" si="22"/>
        <v>45848</v>
      </c>
      <c r="D216" s="46">
        <f>SUMIFS(Einzelbeträge!$D:$D,Einzelbeträge!$C:$C,'Ausgaben Vorlage'!$C216)</f>
        <v>0</v>
      </c>
      <c r="E216" s="21">
        <f>SUMIFS(Einzelbeträge!$D:$D,Einzelbeträge!$C:$C,'Ausgaben Vorlage'!$C216,Einzelbeträge!$E:$E,'Ausgaben Vorlage'!E$6)</f>
        <v>0</v>
      </c>
      <c r="F216" s="21">
        <f>SUMIFS(Einzelbeträge!$D:$D,Einzelbeträge!$C:$C,'Ausgaben Vorlage'!$C216,Einzelbeträge!$E:$E,'Ausgaben Vorlage'!F$6)</f>
        <v>0</v>
      </c>
      <c r="G216" s="21">
        <f>SUMIFS(Einzelbeträge!$D:$D,Einzelbeträge!$C:$C,'Ausgaben Vorlage'!$C216,Einzelbeträge!$E:$E,'Ausgaben Vorlage'!G$6)</f>
        <v>0</v>
      </c>
      <c r="H216" s="21">
        <f>SUMIFS(Einzelbeträge!$D:$D,Einzelbeträge!$C:$C,'Ausgaben Vorlage'!$C216,Einzelbeträge!$E:$E,'Ausgaben Vorlage'!H$6)</f>
        <v>0</v>
      </c>
      <c r="I216" s="21">
        <f>SUMIFS(Einzelbeträge!$D:$D,Einzelbeträge!$C:$C,'Ausgaben Vorlage'!$C216,Einzelbeträge!$E:$E,'Ausgaben Vorlage'!I$6)</f>
        <v>0</v>
      </c>
      <c r="J216" s="21">
        <f>SUMIFS(Einzelbeträge!$D:$D,Einzelbeträge!$C:$C,'Ausgaben Vorlage'!$C216,Einzelbeträge!$E:$E,'Ausgaben Vorlage'!J$6)</f>
        <v>0</v>
      </c>
      <c r="K216" s="21">
        <f>SUMIFS(Einzelbeträge!$D:$D,Einzelbeträge!$C:$C,'Ausgaben Vorlage'!$C216,Einzelbeträge!$E:$E,'Ausgaben Vorlage'!K$6)</f>
        <v>0</v>
      </c>
      <c r="L216" s="21">
        <f>SUMIFS(Einzelbeträge!$D:$D,Einzelbeträge!$C:$C,'Ausgaben Vorlage'!$C216,Einzelbeträge!$E:$E,'Ausgaben Vorlage'!L$6)</f>
        <v>0</v>
      </c>
      <c r="M216" s="21">
        <f>SUMIFS(Einzelbeträge!$D:$D,Einzelbeträge!$C:$C,'Ausgaben Vorlage'!$C216,Einzelbeträge!$E:$E,'Ausgaben Vorlage'!M$6)</f>
        <v>0</v>
      </c>
      <c r="N216" s="35">
        <f>SUMIFS(Einzelbeträge!$D:$D,Einzelbeträge!$C:$C,'Ausgaben Vorlage'!$C216,Einzelbeträge!$E:$E,'Ausgaben Vorlage'!N$6)</f>
        <v>0</v>
      </c>
      <c r="O216" s="6"/>
    </row>
    <row r="217" spans="2:15" x14ac:dyDescent="0.35">
      <c r="B217" s="5"/>
      <c r="C217" s="40">
        <f t="shared" si="22"/>
        <v>45849</v>
      </c>
      <c r="D217" s="46">
        <f>SUMIFS(Einzelbeträge!$D:$D,Einzelbeträge!$C:$C,'Ausgaben Vorlage'!$C217)</f>
        <v>0</v>
      </c>
      <c r="E217" s="21">
        <f>SUMIFS(Einzelbeträge!$D:$D,Einzelbeträge!$C:$C,'Ausgaben Vorlage'!$C217,Einzelbeträge!$E:$E,'Ausgaben Vorlage'!E$6)</f>
        <v>0</v>
      </c>
      <c r="F217" s="21">
        <f>SUMIFS(Einzelbeträge!$D:$D,Einzelbeträge!$C:$C,'Ausgaben Vorlage'!$C217,Einzelbeträge!$E:$E,'Ausgaben Vorlage'!F$6)</f>
        <v>0</v>
      </c>
      <c r="G217" s="21">
        <f>SUMIFS(Einzelbeträge!$D:$D,Einzelbeträge!$C:$C,'Ausgaben Vorlage'!$C217,Einzelbeträge!$E:$E,'Ausgaben Vorlage'!G$6)</f>
        <v>0</v>
      </c>
      <c r="H217" s="21">
        <f>SUMIFS(Einzelbeträge!$D:$D,Einzelbeträge!$C:$C,'Ausgaben Vorlage'!$C217,Einzelbeträge!$E:$E,'Ausgaben Vorlage'!H$6)</f>
        <v>0</v>
      </c>
      <c r="I217" s="21">
        <f>SUMIFS(Einzelbeträge!$D:$D,Einzelbeträge!$C:$C,'Ausgaben Vorlage'!$C217,Einzelbeträge!$E:$E,'Ausgaben Vorlage'!I$6)</f>
        <v>0</v>
      </c>
      <c r="J217" s="21">
        <f>SUMIFS(Einzelbeträge!$D:$D,Einzelbeträge!$C:$C,'Ausgaben Vorlage'!$C217,Einzelbeträge!$E:$E,'Ausgaben Vorlage'!J$6)</f>
        <v>0</v>
      </c>
      <c r="K217" s="21">
        <f>SUMIFS(Einzelbeträge!$D:$D,Einzelbeträge!$C:$C,'Ausgaben Vorlage'!$C217,Einzelbeträge!$E:$E,'Ausgaben Vorlage'!K$6)</f>
        <v>0</v>
      </c>
      <c r="L217" s="21">
        <f>SUMIFS(Einzelbeträge!$D:$D,Einzelbeträge!$C:$C,'Ausgaben Vorlage'!$C217,Einzelbeträge!$E:$E,'Ausgaben Vorlage'!L$6)</f>
        <v>0</v>
      </c>
      <c r="M217" s="21">
        <f>SUMIFS(Einzelbeträge!$D:$D,Einzelbeträge!$C:$C,'Ausgaben Vorlage'!$C217,Einzelbeträge!$E:$E,'Ausgaben Vorlage'!M$6)</f>
        <v>0</v>
      </c>
      <c r="N217" s="35">
        <f>SUMIFS(Einzelbeträge!$D:$D,Einzelbeträge!$C:$C,'Ausgaben Vorlage'!$C217,Einzelbeträge!$E:$E,'Ausgaben Vorlage'!N$6)</f>
        <v>0</v>
      </c>
      <c r="O217" s="6"/>
    </row>
    <row r="218" spans="2:15" x14ac:dyDescent="0.35">
      <c r="B218" s="5"/>
      <c r="C218" s="40">
        <f t="shared" si="22"/>
        <v>45850</v>
      </c>
      <c r="D218" s="46">
        <f>SUMIFS(Einzelbeträge!$D:$D,Einzelbeträge!$C:$C,'Ausgaben Vorlage'!$C218)</f>
        <v>0</v>
      </c>
      <c r="E218" s="21">
        <f>SUMIFS(Einzelbeträge!$D:$D,Einzelbeträge!$C:$C,'Ausgaben Vorlage'!$C218,Einzelbeträge!$E:$E,'Ausgaben Vorlage'!E$6)</f>
        <v>0</v>
      </c>
      <c r="F218" s="21">
        <f>SUMIFS(Einzelbeträge!$D:$D,Einzelbeträge!$C:$C,'Ausgaben Vorlage'!$C218,Einzelbeträge!$E:$E,'Ausgaben Vorlage'!F$6)</f>
        <v>0</v>
      </c>
      <c r="G218" s="21">
        <f>SUMIFS(Einzelbeträge!$D:$D,Einzelbeträge!$C:$C,'Ausgaben Vorlage'!$C218,Einzelbeträge!$E:$E,'Ausgaben Vorlage'!G$6)</f>
        <v>0</v>
      </c>
      <c r="H218" s="21">
        <f>SUMIFS(Einzelbeträge!$D:$D,Einzelbeträge!$C:$C,'Ausgaben Vorlage'!$C218,Einzelbeträge!$E:$E,'Ausgaben Vorlage'!H$6)</f>
        <v>0</v>
      </c>
      <c r="I218" s="21">
        <f>SUMIFS(Einzelbeträge!$D:$D,Einzelbeträge!$C:$C,'Ausgaben Vorlage'!$C218,Einzelbeträge!$E:$E,'Ausgaben Vorlage'!I$6)</f>
        <v>0</v>
      </c>
      <c r="J218" s="21">
        <f>SUMIFS(Einzelbeträge!$D:$D,Einzelbeträge!$C:$C,'Ausgaben Vorlage'!$C218,Einzelbeträge!$E:$E,'Ausgaben Vorlage'!J$6)</f>
        <v>0</v>
      </c>
      <c r="K218" s="21">
        <f>SUMIFS(Einzelbeträge!$D:$D,Einzelbeträge!$C:$C,'Ausgaben Vorlage'!$C218,Einzelbeträge!$E:$E,'Ausgaben Vorlage'!K$6)</f>
        <v>0</v>
      </c>
      <c r="L218" s="21">
        <f>SUMIFS(Einzelbeträge!$D:$D,Einzelbeträge!$C:$C,'Ausgaben Vorlage'!$C218,Einzelbeträge!$E:$E,'Ausgaben Vorlage'!L$6)</f>
        <v>0</v>
      </c>
      <c r="M218" s="21">
        <f>SUMIFS(Einzelbeträge!$D:$D,Einzelbeträge!$C:$C,'Ausgaben Vorlage'!$C218,Einzelbeträge!$E:$E,'Ausgaben Vorlage'!M$6)</f>
        <v>0</v>
      </c>
      <c r="N218" s="35">
        <f>SUMIFS(Einzelbeträge!$D:$D,Einzelbeträge!$C:$C,'Ausgaben Vorlage'!$C218,Einzelbeträge!$E:$E,'Ausgaben Vorlage'!N$6)</f>
        <v>0</v>
      </c>
      <c r="O218" s="6"/>
    </row>
    <row r="219" spans="2:15" x14ac:dyDescent="0.35">
      <c r="B219" s="5"/>
      <c r="C219" s="40">
        <f t="shared" si="22"/>
        <v>45851</v>
      </c>
      <c r="D219" s="46">
        <f>SUMIFS(Einzelbeträge!$D:$D,Einzelbeträge!$C:$C,'Ausgaben Vorlage'!$C219)</f>
        <v>0</v>
      </c>
      <c r="E219" s="21">
        <f>SUMIFS(Einzelbeträge!$D:$D,Einzelbeträge!$C:$C,'Ausgaben Vorlage'!$C219,Einzelbeträge!$E:$E,'Ausgaben Vorlage'!E$6)</f>
        <v>0</v>
      </c>
      <c r="F219" s="21">
        <f>SUMIFS(Einzelbeträge!$D:$D,Einzelbeträge!$C:$C,'Ausgaben Vorlage'!$C219,Einzelbeträge!$E:$E,'Ausgaben Vorlage'!F$6)</f>
        <v>0</v>
      </c>
      <c r="G219" s="21">
        <f>SUMIFS(Einzelbeträge!$D:$D,Einzelbeträge!$C:$C,'Ausgaben Vorlage'!$C219,Einzelbeträge!$E:$E,'Ausgaben Vorlage'!G$6)</f>
        <v>0</v>
      </c>
      <c r="H219" s="21">
        <f>SUMIFS(Einzelbeträge!$D:$D,Einzelbeträge!$C:$C,'Ausgaben Vorlage'!$C219,Einzelbeträge!$E:$E,'Ausgaben Vorlage'!H$6)</f>
        <v>0</v>
      </c>
      <c r="I219" s="21">
        <f>SUMIFS(Einzelbeträge!$D:$D,Einzelbeträge!$C:$C,'Ausgaben Vorlage'!$C219,Einzelbeträge!$E:$E,'Ausgaben Vorlage'!I$6)</f>
        <v>0</v>
      </c>
      <c r="J219" s="21">
        <f>SUMIFS(Einzelbeträge!$D:$D,Einzelbeträge!$C:$C,'Ausgaben Vorlage'!$C219,Einzelbeträge!$E:$E,'Ausgaben Vorlage'!J$6)</f>
        <v>0</v>
      </c>
      <c r="K219" s="21">
        <f>SUMIFS(Einzelbeträge!$D:$D,Einzelbeträge!$C:$C,'Ausgaben Vorlage'!$C219,Einzelbeträge!$E:$E,'Ausgaben Vorlage'!K$6)</f>
        <v>0</v>
      </c>
      <c r="L219" s="21">
        <f>SUMIFS(Einzelbeträge!$D:$D,Einzelbeträge!$C:$C,'Ausgaben Vorlage'!$C219,Einzelbeträge!$E:$E,'Ausgaben Vorlage'!L$6)</f>
        <v>0</v>
      </c>
      <c r="M219" s="21">
        <f>SUMIFS(Einzelbeträge!$D:$D,Einzelbeträge!$C:$C,'Ausgaben Vorlage'!$C219,Einzelbeträge!$E:$E,'Ausgaben Vorlage'!M$6)</f>
        <v>0</v>
      </c>
      <c r="N219" s="35">
        <f>SUMIFS(Einzelbeträge!$D:$D,Einzelbeträge!$C:$C,'Ausgaben Vorlage'!$C219,Einzelbeträge!$E:$E,'Ausgaben Vorlage'!N$6)</f>
        <v>0</v>
      </c>
      <c r="O219" s="6"/>
    </row>
    <row r="220" spans="2:15" x14ac:dyDescent="0.35">
      <c r="B220" s="5"/>
      <c r="C220" s="40">
        <f t="shared" si="22"/>
        <v>45852</v>
      </c>
      <c r="D220" s="46">
        <f>SUMIFS(Einzelbeträge!$D:$D,Einzelbeträge!$C:$C,'Ausgaben Vorlage'!$C220)</f>
        <v>0</v>
      </c>
      <c r="E220" s="21">
        <f>SUMIFS(Einzelbeträge!$D:$D,Einzelbeträge!$C:$C,'Ausgaben Vorlage'!$C220,Einzelbeträge!$E:$E,'Ausgaben Vorlage'!E$6)</f>
        <v>0</v>
      </c>
      <c r="F220" s="21">
        <f>SUMIFS(Einzelbeträge!$D:$D,Einzelbeträge!$C:$C,'Ausgaben Vorlage'!$C220,Einzelbeträge!$E:$E,'Ausgaben Vorlage'!F$6)</f>
        <v>0</v>
      </c>
      <c r="G220" s="21">
        <f>SUMIFS(Einzelbeträge!$D:$D,Einzelbeträge!$C:$C,'Ausgaben Vorlage'!$C220,Einzelbeträge!$E:$E,'Ausgaben Vorlage'!G$6)</f>
        <v>0</v>
      </c>
      <c r="H220" s="21">
        <f>SUMIFS(Einzelbeträge!$D:$D,Einzelbeträge!$C:$C,'Ausgaben Vorlage'!$C220,Einzelbeträge!$E:$E,'Ausgaben Vorlage'!H$6)</f>
        <v>0</v>
      </c>
      <c r="I220" s="21">
        <f>SUMIFS(Einzelbeträge!$D:$D,Einzelbeträge!$C:$C,'Ausgaben Vorlage'!$C220,Einzelbeträge!$E:$E,'Ausgaben Vorlage'!I$6)</f>
        <v>0</v>
      </c>
      <c r="J220" s="21">
        <f>SUMIFS(Einzelbeträge!$D:$D,Einzelbeträge!$C:$C,'Ausgaben Vorlage'!$C220,Einzelbeträge!$E:$E,'Ausgaben Vorlage'!J$6)</f>
        <v>0</v>
      </c>
      <c r="K220" s="21">
        <f>SUMIFS(Einzelbeträge!$D:$D,Einzelbeträge!$C:$C,'Ausgaben Vorlage'!$C220,Einzelbeträge!$E:$E,'Ausgaben Vorlage'!K$6)</f>
        <v>0</v>
      </c>
      <c r="L220" s="21">
        <f>SUMIFS(Einzelbeträge!$D:$D,Einzelbeträge!$C:$C,'Ausgaben Vorlage'!$C220,Einzelbeträge!$E:$E,'Ausgaben Vorlage'!L$6)</f>
        <v>0</v>
      </c>
      <c r="M220" s="21">
        <f>SUMIFS(Einzelbeträge!$D:$D,Einzelbeträge!$C:$C,'Ausgaben Vorlage'!$C220,Einzelbeträge!$E:$E,'Ausgaben Vorlage'!M$6)</f>
        <v>0</v>
      </c>
      <c r="N220" s="35">
        <f>SUMIFS(Einzelbeträge!$D:$D,Einzelbeträge!$C:$C,'Ausgaben Vorlage'!$C220,Einzelbeträge!$E:$E,'Ausgaben Vorlage'!N$6)</f>
        <v>0</v>
      </c>
      <c r="O220" s="6"/>
    </row>
    <row r="221" spans="2:15" x14ac:dyDescent="0.35">
      <c r="B221" s="5"/>
      <c r="C221" s="40">
        <f t="shared" si="22"/>
        <v>45853</v>
      </c>
      <c r="D221" s="46">
        <f>SUMIFS(Einzelbeträge!$D:$D,Einzelbeträge!$C:$C,'Ausgaben Vorlage'!$C221)</f>
        <v>0</v>
      </c>
      <c r="E221" s="21">
        <f>SUMIFS(Einzelbeträge!$D:$D,Einzelbeträge!$C:$C,'Ausgaben Vorlage'!$C221,Einzelbeträge!$E:$E,'Ausgaben Vorlage'!E$6)</f>
        <v>0</v>
      </c>
      <c r="F221" s="21">
        <f>SUMIFS(Einzelbeträge!$D:$D,Einzelbeträge!$C:$C,'Ausgaben Vorlage'!$C221,Einzelbeträge!$E:$E,'Ausgaben Vorlage'!F$6)</f>
        <v>0</v>
      </c>
      <c r="G221" s="21">
        <f>SUMIFS(Einzelbeträge!$D:$D,Einzelbeträge!$C:$C,'Ausgaben Vorlage'!$C221,Einzelbeträge!$E:$E,'Ausgaben Vorlage'!G$6)</f>
        <v>0</v>
      </c>
      <c r="H221" s="21">
        <f>SUMIFS(Einzelbeträge!$D:$D,Einzelbeträge!$C:$C,'Ausgaben Vorlage'!$C221,Einzelbeträge!$E:$E,'Ausgaben Vorlage'!H$6)</f>
        <v>0</v>
      </c>
      <c r="I221" s="21">
        <f>SUMIFS(Einzelbeträge!$D:$D,Einzelbeträge!$C:$C,'Ausgaben Vorlage'!$C221,Einzelbeträge!$E:$E,'Ausgaben Vorlage'!I$6)</f>
        <v>0</v>
      </c>
      <c r="J221" s="21">
        <f>SUMIFS(Einzelbeträge!$D:$D,Einzelbeträge!$C:$C,'Ausgaben Vorlage'!$C221,Einzelbeträge!$E:$E,'Ausgaben Vorlage'!J$6)</f>
        <v>0</v>
      </c>
      <c r="K221" s="21">
        <f>SUMIFS(Einzelbeträge!$D:$D,Einzelbeträge!$C:$C,'Ausgaben Vorlage'!$C221,Einzelbeträge!$E:$E,'Ausgaben Vorlage'!K$6)</f>
        <v>0</v>
      </c>
      <c r="L221" s="21">
        <f>SUMIFS(Einzelbeträge!$D:$D,Einzelbeträge!$C:$C,'Ausgaben Vorlage'!$C221,Einzelbeträge!$E:$E,'Ausgaben Vorlage'!L$6)</f>
        <v>0</v>
      </c>
      <c r="M221" s="21">
        <f>SUMIFS(Einzelbeträge!$D:$D,Einzelbeträge!$C:$C,'Ausgaben Vorlage'!$C221,Einzelbeträge!$E:$E,'Ausgaben Vorlage'!M$6)</f>
        <v>0</v>
      </c>
      <c r="N221" s="35">
        <f>SUMIFS(Einzelbeträge!$D:$D,Einzelbeträge!$C:$C,'Ausgaben Vorlage'!$C221,Einzelbeträge!$E:$E,'Ausgaben Vorlage'!N$6)</f>
        <v>0</v>
      </c>
      <c r="O221" s="6"/>
    </row>
    <row r="222" spans="2:15" x14ac:dyDescent="0.35">
      <c r="B222" s="5"/>
      <c r="C222" s="40">
        <f t="shared" si="22"/>
        <v>45854</v>
      </c>
      <c r="D222" s="46">
        <f>SUMIFS(Einzelbeträge!$D:$D,Einzelbeträge!$C:$C,'Ausgaben Vorlage'!$C222)</f>
        <v>0</v>
      </c>
      <c r="E222" s="21">
        <f>SUMIFS(Einzelbeträge!$D:$D,Einzelbeträge!$C:$C,'Ausgaben Vorlage'!$C222,Einzelbeträge!$E:$E,'Ausgaben Vorlage'!E$6)</f>
        <v>0</v>
      </c>
      <c r="F222" s="21">
        <f>SUMIFS(Einzelbeträge!$D:$D,Einzelbeträge!$C:$C,'Ausgaben Vorlage'!$C222,Einzelbeträge!$E:$E,'Ausgaben Vorlage'!F$6)</f>
        <v>0</v>
      </c>
      <c r="G222" s="21">
        <f>SUMIFS(Einzelbeträge!$D:$D,Einzelbeträge!$C:$C,'Ausgaben Vorlage'!$C222,Einzelbeträge!$E:$E,'Ausgaben Vorlage'!G$6)</f>
        <v>0</v>
      </c>
      <c r="H222" s="21">
        <f>SUMIFS(Einzelbeträge!$D:$D,Einzelbeträge!$C:$C,'Ausgaben Vorlage'!$C222,Einzelbeträge!$E:$E,'Ausgaben Vorlage'!H$6)</f>
        <v>0</v>
      </c>
      <c r="I222" s="21">
        <f>SUMIFS(Einzelbeträge!$D:$D,Einzelbeträge!$C:$C,'Ausgaben Vorlage'!$C222,Einzelbeträge!$E:$E,'Ausgaben Vorlage'!I$6)</f>
        <v>0</v>
      </c>
      <c r="J222" s="21">
        <f>SUMIFS(Einzelbeträge!$D:$D,Einzelbeträge!$C:$C,'Ausgaben Vorlage'!$C222,Einzelbeträge!$E:$E,'Ausgaben Vorlage'!J$6)</f>
        <v>0</v>
      </c>
      <c r="K222" s="21">
        <f>SUMIFS(Einzelbeträge!$D:$D,Einzelbeträge!$C:$C,'Ausgaben Vorlage'!$C222,Einzelbeträge!$E:$E,'Ausgaben Vorlage'!K$6)</f>
        <v>0</v>
      </c>
      <c r="L222" s="21">
        <f>SUMIFS(Einzelbeträge!$D:$D,Einzelbeträge!$C:$C,'Ausgaben Vorlage'!$C222,Einzelbeträge!$E:$E,'Ausgaben Vorlage'!L$6)</f>
        <v>0</v>
      </c>
      <c r="M222" s="21">
        <f>SUMIFS(Einzelbeträge!$D:$D,Einzelbeträge!$C:$C,'Ausgaben Vorlage'!$C222,Einzelbeträge!$E:$E,'Ausgaben Vorlage'!M$6)</f>
        <v>0</v>
      </c>
      <c r="N222" s="35">
        <f>SUMIFS(Einzelbeträge!$D:$D,Einzelbeträge!$C:$C,'Ausgaben Vorlage'!$C222,Einzelbeträge!$E:$E,'Ausgaben Vorlage'!N$6)</f>
        <v>0</v>
      </c>
      <c r="O222" s="6"/>
    </row>
    <row r="223" spans="2:15" x14ac:dyDescent="0.35">
      <c r="B223" s="5"/>
      <c r="C223" s="40">
        <f t="shared" si="22"/>
        <v>45855</v>
      </c>
      <c r="D223" s="46">
        <f>SUMIFS(Einzelbeträge!$D:$D,Einzelbeträge!$C:$C,'Ausgaben Vorlage'!$C223)</f>
        <v>0</v>
      </c>
      <c r="E223" s="21">
        <f>SUMIFS(Einzelbeträge!$D:$D,Einzelbeträge!$C:$C,'Ausgaben Vorlage'!$C223,Einzelbeträge!$E:$E,'Ausgaben Vorlage'!E$6)</f>
        <v>0</v>
      </c>
      <c r="F223" s="21">
        <f>SUMIFS(Einzelbeträge!$D:$D,Einzelbeträge!$C:$C,'Ausgaben Vorlage'!$C223,Einzelbeträge!$E:$E,'Ausgaben Vorlage'!F$6)</f>
        <v>0</v>
      </c>
      <c r="G223" s="21">
        <f>SUMIFS(Einzelbeträge!$D:$D,Einzelbeträge!$C:$C,'Ausgaben Vorlage'!$C223,Einzelbeträge!$E:$E,'Ausgaben Vorlage'!G$6)</f>
        <v>0</v>
      </c>
      <c r="H223" s="21">
        <f>SUMIFS(Einzelbeträge!$D:$D,Einzelbeträge!$C:$C,'Ausgaben Vorlage'!$C223,Einzelbeträge!$E:$E,'Ausgaben Vorlage'!H$6)</f>
        <v>0</v>
      </c>
      <c r="I223" s="21">
        <f>SUMIFS(Einzelbeträge!$D:$D,Einzelbeträge!$C:$C,'Ausgaben Vorlage'!$C223,Einzelbeträge!$E:$E,'Ausgaben Vorlage'!I$6)</f>
        <v>0</v>
      </c>
      <c r="J223" s="21">
        <f>SUMIFS(Einzelbeträge!$D:$D,Einzelbeträge!$C:$C,'Ausgaben Vorlage'!$C223,Einzelbeträge!$E:$E,'Ausgaben Vorlage'!J$6)</f>
        <v>0</v>
      </c>
      <c r="K223" s="21">
        <f>SUMIFS(Einzelbeträge!$D:$D,Einzelbeträge!$C:$C,'Ausgaben Vorlage'!$C223,Einzelbeträge!$E:$E,'Ausgaben Vorlage'!K$6)</f>
        <v>0</v>
      </c>
      <c r="L223" s="21">
        <f>SUMIFS(Einzelbeträge!$D:$D,Einzelbeträge!$C:$C,'Ausgaben Vorlage'!$C223,Einzelbeträge!$E:$E,'Ausgaben Vorlage'!L$6)</f>
        <v>0</v>
      </c>
      <c r="M223" s="21">
        <f>SUMIFS(Einzelbeträge!$D:$D,Einzelbeträge!$C:$C,'Ausgaben Vorlage'!$C223,Einzelbeträge!$E:$E,'Ausgaben Vorlage'!M$6)</f>
        <v>0</v>
      </c>
      <c r="N223" s="35">
        <f>SUMIFS(Einzelbeträge!$D:$D,Einzelbeträge!$C:$C,'Ausgaben Vorlage'!$C223,Einzelbeträge!$E:$E,'Ausgaben Vorlage'!N$6)</f>
        <v>0</v>
      </c>
      <c r="O223" s="6"/>
    </row>
    <row r="224" spans="2:15" x14ac:dyDescent="0.35">
      <c r="B224" s="5"/>
      <c r="C224" s="40">
        <f t="shared" si="22"/>
        <v>45856</v>
      </c>
      <c r="D224" s="46">
        <f>SUMIFS(Einzelbeträge!$D:$D,Einzelbeträge!$C:$C,'Ausgaben Vorlage'!$C224)</f>
        <v>0</v>
      </c>
      <c r="E224" s="21">
        <f>SUMIFS(Einzelbeträge!$D:$D,Einzelbeträge!$C:$C,'Ausgaben Vorlage'!$C224,Einzelbeträge!$E:$E,'Ausgaben Vorlage'!E$6)</f>
        <v>0</v>
      </c>
      <c r="F224" s="21">
        <f>SUMIFS(Einzelbeträge!$D:$D,Einzelbeträge!$C:$C,'Ausgaben Vorlage'!$C224,Einzelbeträge!$E:$E,'Ausgaben Vorlage'!F$6)</f>
        <v>0</v>
      </c>
      <c r="G224" s="21">
        <f>SUMIFS(Einzelbeträge!$D:$D,Einzelbeträge!$C:$C,'Ausgaben Vorlage'!$C224,Einzelbeträge!$E:$E,'Ausgaben Vorlage'!G$6)</f>
        <v>0</v>
      </c>
      <c r="H224" s="21">
        <f>SUMIFS(Einzelbeträge!$D:$D,Einzelbeträge!$C:$C,'Ausgaben Vorlage'!$C224,Einzelbeträge!$E:$E,'Ausgaben Vorlage'!H$6)</f>
        <v>0</v>
      </c>
      <c r="I224" s="21">
        <f>SUMIFS(Einzelbeträge!$D:$D,Einzelbeträge!$C:$C,'Ausgaben Vorlage'!$C224,Einzelbeträge!$E:$E,'Ausgaben Vorlage'!I$6)</f>
        <v>0</v>
      </c>
      <c r="J224" s="21">
        <f>SUMIFS(Einzelbeträge!$D:$D,Einzelbeträge!$C:$C,'Ausgaben Vorlage'!$C224,Einzelbeträge!$E:$E,'Ausgaben Vorlage'!J$6)</f>
        <v>0</v>
      </c>
      <c r="K224" s="21">
        <f>SUMIFS(Einzelbeträge!$D:$D,Einzelbeträge!$C:$C,'Ausgaben Vorlage'!$C224,Einzelbeträge!$E:$E,'Ausgaben Vorlage'!K$6)</f>
        <v>0</v>
      </c>
      <c r="L224" s="21">
        <f>SUMIFS(Einzelbeträge!$D:$D,Einzelbeträge!$C:$C,'Ausgaben Vorlage'!$C224,Einzelbeträge!$E:$E,'Ausgaben Vorlage'!L$6)</f>
        <v>0</v>
      </c>
      <c r="M224" s="21">
        <f>SUMIFS(Einzelbeträge!$D:$D,Einzelbeträge!$C:$C,'Ausgaben Vorlage'!$C224,Einzelbeträge!$E:$E,'Ausgaben Vorlage'!M$6)</f>
        <v>0</v>
      </c>
      <c r="N224" s="35">
        <f>SUMIFS(Einzelbeträge!$D:$D,Einzelbeträge!$C:$C,'Ausgaben Vorlage'!$C224,Einzelbeträge!$E:$E,'Ausgaben Vorlage'!N$6)</f>
        <v>0</v>
      </c>
      <c r="O224" s="6"/>
    </row>
    <row r="225" spans="2:15" x14ac:dyDescent="0.35">
      <c r="B225" s="5"/>
      <c r="C225" s="40">
        <f t="shared" si="22"/>
        <v>45857</v>
      </c>
      <c r="D225" s="46">
        <f>SUMIFS(Einzelbeträge!$D:$D,Einzelbeträge!$C:$C,'Ausgaben Vorlage'!$C225)</f>
        <v>0</v>
      </c>
      <c r="E225" s="21">
        <f>SUMIFS(Einzelbeträge!$D:$D,Einzelbeträge!$C:$C,'Ausgaben Vorlage'!$C225,Einzelbeträge!$E:$E,'Ausgaben Vorlage'!E$6)</f>
        <v>0</v>
      </c>
      <c r="F225" s="21">
        <f>SUMIFS(Einzelbeträge!$D:$D,Einzelbeträge!$C:$C,'Ausgaben Vorlage'!$C225,Einzelbeträge!$E:$E,'Ausgaben Vorlage'!F$6)</f>
        <v>0</v>
      </c>
      <c r="G225" s="21">
        <f>SUMIFS(Einzelbeträge!$D:$D,Einzelbeträge!$C:$C,'Ausgaben Vorlage'!$C225,Einzelbeträge!$E:$E,'Ausgaben Vorlage'!G$6)</f>
        <v>0</v>
      </c>
      <c r="H225" s="21">
        <f>SUMIFS(Einzelbeträge!$D:$D,Einzelbeträge!$C:$C,'Ausgaben Vorlage'!$C225,Einzelbeträge!$E:$E,'Ausgaben Vorlage'!H$6)</f>
        <v>0</v>
      </c>
      <c r="I225" s="21">
        <f>SUMIFS(Einzelbeträge!$D:$D,Einzelbeträge!$C:$C,'Ausgaben Vorlage'!$C225,Einzelbeträge!$E:$E,'Ausgaben Vorlage'!I$6)</f>
        <v>0</v>
      </c>
      <c r="J225" s="21">
        <f>SUMIFS(Einzelbeträge!$D:$D,Einzelbeträge!$C:$C,'Ausgaben Vorlage'!$C225,Einzelbeträge!$E:$E,'Ausgaben Vorlage'!J$6)</f>
        <v>0</v>
      </c>
      <c r="K225" s="21">
        <f>SUMIFS(Einzelbeträge!$D:$D,Einzelbeträge!$C:$C,'Ausgaben Vorlage'!$C225,Einzelbeträge!$E:$E,'Ausgaben Vorlage'!K$6)</f>
        <v>0</v>
      </c>
      <c r="L225" s="21">
        <f>SUMIFS(Einzelbeträge!$D:$D,Einzelbeträge!$C:$C,'Ausgaben Vorlage'!$C225,Einzelbeträge!$E:$E,'Ausgaben Vorlage'!L$6)</f>
        <v>0</v>
      </c>
      <c r="M225" s="21">
        <f>SUMIFS(Einzelbeträge!$D:$D,Einzelbeträge!$C:$C,'Ausgaben Vorlage'!$C225,Einzelbeträge!$E:$E,'Ausgaben Vorlage'!M$6)</f>
        <v>0</v>
      </c>
      <c r="N225" s="35">
        <f>SUMIFS(Einzelbeträge!$D:$D,Einzelbeträge!$C:$C,'Ausgaben Vorlage'!$C225,Einzelbeträge!$E:$E,'Ausgaben Vorlage'!N$6)</f>
        <v>0</v>
      </c>
      <c r="O225" s="6"/>
    </row>
    <row r="226" spans="2:15" x14ac:dyDescent="0.35">
      <c r="B226" s="5"/>
      <c r="C226" s="40">
        <f t="shared" si="22"/>
        <v>45858</v>
      </c>
      <c r="D226" s="46">
        <f>SUMIFS(Einzelbeträge!$D:$D,Einzelbeträge!$C:$C,'Ausgaben Vorlage'!$C226)</f>
        <v>0</v>
      </c>
      <c r="E226" s="21">
        <f>SUMIFS(Einzelbeträge!$D:$D,Einzelbeträge!$C:$C,'Ausgaben Vorlage'!$C226,Einzelbeträge!$E:$E,'Ausgaben Vorlage'!E$6)</f>
        <v>0</v>
      </c>
      <c r="F226" s="21">
        <f>SUMIFS(Einzelbeträge!$D:$D,Einzelbeträge!$C:$C,'Ausgaben Vorlage'!$C226,Einzelbeträge!$E:$E,'Ausgaben Vorlage'!F$6)</f>
        <v>0</v>
      </c>
      <c r="G226" s="21">
        <f>SUMIFS(Einzelbeträge!$D:$D,Einzelbeträge!$C:$C,'Ausgaben Vorlage'!$C226,Einzelbeträge!$E:$E,'Ausgaben Vorlage'!G$6)</f>
        <v>0</v>
      </c>
      <c r="H226" s="21">
        <f>SUMIFS(Einzelbeträge!$D:$D,Einzelbeträge!$C:$C,'Ausgaben Vorlage'!$C226,Einzelbeträge!$E:$E,'Ausgaben Vorlage'!H$6)</f>
        <v>0</v>
      </c>
      <c r="I226" s="21">
        <f>SUMIFS(Einzelbeträge!$D:$D,Einzelbeträge!$C:$C,'Ausgaben Vorlage'!$C226,Einzelbeträge!$E:$E,'Ausgaben Vorlage'!I$6)</f>
        <v>0</v>
      </c>
      <c r="J226" s="21">
        <f>SUMIFS(Einzelbeträge!$D:$D,Einzelbeträge!$C:$C,'Ausgaben Vorlage'!$C226,Einzelbeträge!$E:$E,'Ausgaben Vorlage'!J$6)</f>
        <v>0</v>
      </c>
      <c r="K226" s="21">
        <f>SUMIFS(Einzelbeträge!$D:$D,Einzelbeträge!$C:$C,'Ausgaben Vorlage'!$C226,Einzelbeträge!$E:$E,'Ausgaben Vorlage'!K$6)</f>
        <v>0</v>
      </c>
      <c r="L226" s="21">
        <f>SUMIFS(Einzelbeträge!$D:$D,Einzelbeträge!$C:$C,'Ausgaben Vorlage'!$C226,Einzelbeträge!$E:$E,'Ausgaben Vorlage'!L$6)</f>
        <v>0</v>
      </c>
      <c r="M226" s="21">
        <f>SUMIFS(Einzelbeträge!$D:$D,Einzelbeträge!$C:$C,'Ausgaben Vorlage'!$C226,Einzelbeträge!$E:$E,'Ausgaben Vorlage'!M$6)</f>
        <v>0</v>
      </c>
      <c r="N226" s="35">
        <f>SUMIFS(Einzelbeträge!$D:$D,Einzelbeträge!$C:$C,'Ausgaben Vorlage'!$C226,Einzelbeträge!$E:$E,'Ausgaben Vorlage'!N$6)</f>
        <v>0</v>
      </c>
      <c r="O226" s="6"/>
    </row>
    <row r="227" spans="2:15" x14ac:dyDescent="0.35">
      <c r="B227" s="5"/>
      <c r="C227" s="40">
        <f t="shared" si="22"/>
        <v>45859</v>
      </c>
      <c r="D227" s="46">
        <f>SUMIFS(Einzelbeträge!$D:$D,Einzelbeträge!$C:$C,'Ausgaben Vorlage'!$C227)</f>
        <v>0</v>
      </c>
      <c r="E227" s="21">
        <f>SUMIFS(Einzelbeträge!$D:$D,Einzelbeträge!$C:$C,'Ausgaben Vorlage'!$C227,Einzelbeträge!$E:$E,'Ausgaben Vorlage'!E$6)</f>
        <v>0</v>
      </c>
      <c r="F227" s="21">
        <f>SUMIFS(Einzelbeträge!$D:$D,Einzelbeträge!$C:$C,'Ausgaben Vorlage'!$C227,Einzelbeträge!$E:$E,'Ausgaben Vorlage'!F$6)</f>
        <v>0</v>
      </c>
      <c r="G227" s="21">
        <f>SUMIFS(Einzelbeträge!$D:$D,Einzelbeträge!$C:$C,'Ausgaben Vorlage'!$C227,Einzelbeträge!$E:$E,'Ausgaben Vorlage'!G$6)</f>
        <v>0</v>
      </c>
      <c r="H227" s="21">
        <f>SUMIFS(Einzelbeträge!$D:$D,Einzelbeträge!$C:$C,'Ausgaben Vorlage'!$C227,Einzelbeträge!$E:$E,'Ausgaben Vorlage'!H$6)</f>
        <v>0</v>
      </c>
      <c r="I227" s="21">
        <f>SUMIFS(Einzelbeträge!$D:$D,Einzelbeträge!$C:$C,'Ausgaben Vorlage'!$C227,Einzelbeträge!$E:$E,'Ausgaben Vorlage'!I$6)</f>
        <v>0</v>
      </c>
      <c r="J227" s="21">
        <f>SUMIFS(Einzelbeträge!$D:$D,Einzelbeträge!$C:$C,'Ausgaben Vorlage'!$C227,Einzelbeträge!$E:$E,'Ausgaben Vorlage'!J$6)</f>
        <v>0</v>
      </c>
      <c r="K227" s="21">
        <f>SUMIFS(Einzelbeträge!$D:$D,Einzelbeträge!$C:$C,'Ausgaben Vorlage'!$C227,Einzelbeträge!$E:$E,'Ausgaben Vorlage'!K$6)</f>
        <v>0</v>
      </c>
      <c r="L227" s="21">
        <f>SUMIFS(Einzelbeträge!$D:$D,Einzelbeträge!$C:$C,'Ausgaben Vorlage'!$C227,Einzelbeträge!$E:$E,'Ausgaben Vorlage'!L$6)</f>
        <v>0</v>
      </c>
      <c r="M227" s="21">
        <f>SUMIFS(Einzelbeträge!$D:$D,Einzelbeträge!$C:$C,'Ausgaben Vorlage'!$C227,Einzelbeträge!$E:$E,'Ausgaben Vorlage'!M$6)</f>
        <v>0</v>
      </c>
      <c r="N227" s="35">
        <f>SUMIFS(Einzelbeträge!$D:$D,Einzelbeträge!$C:$C,'Ausgaben Vorlage'!$C227,Einzelbeträge!$E:$E,'Ausgaben Vorlage'!N$6)</f>
        <v>0</v>
      </c>
      <c r="O227" s="6"/>
    </row>
    <row r="228" spans="2:15" x14ac:dyDescent="0.35">
      <c r="B228" s="5"/>
      <c r="C228" s="40">
        <f t="shared" si="22"/>
        <v>45860</v>
      </c>
      <c r="D228" s="46">
        <f>SUMIFS(Einzelbeträge!$D:$D,Einzelbeträge!$C:$C,'Ausgaben Vorlage'!$C228)</f>
        <v>0</v>
      </c>
      <c r="E228" s="21">
        <f>SUMIFS(Einzelbeträge!$D:$D,Einzelbeträge!$C:$C,'Ausgaben Vorlage'!$C228,Einzelbeträge!$E:$E,'Ausgaben Vorlage'!E$6)</f>
        <v>0</v>
      </c>
      <c r="F228" s="21">
        <f>SUMIFS(Einzelbeträge!$D:$D,Einzelbeträge!$C:$C,'Ausgaben Vorlage'!$C228,Einzelbeträge!$E:$E,'Ausgaben Vorlage'!F$6)</f>
        <v>0</v>
      </c>
      <c r="G228" s="21">
        <f>SUMIFS(Einzelbeträge!$D:$D,Einzelbeträge!$C:$C,'Ausgaben Vorlage'!$C228,Einzelbeträge!$E:$E,'Ausgaben Vorlage'!G$6)</f>
        <v>0</v>
      </c>
      <c r="H228" s="21">
        <f>SUMIFS(Einzelbeträge!$D:$D,Einzelbeträge!$C:$C,'Ausgaben Vorlage'!$C228,Einzelbeträge!$E:$E,'Ausgaben Vorlage'!H$6)</f>
        <v>0</v>
      </c>
      <c r="I228" s="21">
        <f>SUMIFS(Einzelbeträge!$D:$D,Einzelbeträge!$C:$C,'Ausgaben Vorlage'!$C228,Einzelbeträge!$E:$E,'Ausgaben Vorlage'!I$6)</f>
        <v>0</v>
      </c>
      <c r="J228" s="21">
        <f>SUMIFS(Einzelbeträge!$D:$D,Einzelbeträge!$C:$C,'Ausgaben Vorlage'!$C228,Einzelbeträge!$E:$E,'Ausgaben Vorlage'!J$6)</f>
        <v>0</v>
      </c>
      <c r="K228" s="21">
        <f>SUMIFS(Einzelbeträge!$D:$D,Einzelbeträge!$C:$C,'Ausgaben Vorlage'!$C228,Einzelbeträge!$E:$E,'Ausgaben Vorlage'!K$6)</f>
        <v>0</v>
      </c>
      <c r="L228" s="21">
        <f>SUMIFS(Einzelbeträge!$D:$D,Einzelbeträge!$C:$C,'Ausgaben Vorlage'!$C228,Einzelbeträge!$E:$E,'Ausgaben Vorlage'!L$6)</f>
        <v>0</v>
      </c>
      <c r="M228" s="21">
        <f>SUMIFS(Einzelbeträge!$D:$D,Einzelbeträge!$C:$C,'Ausgaben Vorlage'!$C228,Einzelbeträge!$E:$E,'Ausgaben Vorlage'!M$6)</f>
        <v>0</v>
      </c>
      <c r="N228" s="35">
        <f>SUMIFS(Einzelbeträge!$D:$D,Einzelbeträge!$C:$C,'Ausgaben Vorlage'!$C228,Einzelbeträge!$E:$E,'Ausgaben Vorlage'!N$6)</f>
        <v>0</v>
      </c>
      <c r="O228" s="6"/>
    </row>
    <row r="229" spans="2:15" x14ac:dyDescent="0.35">
      <c r="B229" s="5"/>
      <c r="C229" s="40">
        <f t="shared" si="22"/>
        <v>45861</v>
      </c>
      <c r="D229" s="46">
        <f>SUMIFS(Einzelbeträge!$D:$D,Einzelbeträge!$C:$C,'Ausgaben Vorlage'!$C229)</f>
        <v>0</v>
      </c>
      <c r="E229" s="21">
        <f>SUMIFS(Einzelbeträge!$D:$D,Einzelbeträge!$C:$C,'Ausgaben Vorlage'!$C229,Einzelbeträge!$E:$E,'Ausgaben Vorlage'!E$6)</f>
        <v>0</v>
      </c>
      <c r="F229" s="21">
        <f>SUMIFS(Einzelbeträge!$D:$D,Einzelbeträge!$C:$C,'Ausgaben Vorlage'!$C229,Einzelbeträge!$E:$E,'Ausgaben Vorlage'!F$6)</f>
        <v>0</v>
      </c>
      <c r="G229" s="21">
        <f>SUMIFS(Einzelbeträge!$D:$D,Einzelbeträge!$C:$C,'Ausgaben Vorlage'!$C229,Einzelbeträge!$E:$E,'Ausgaben Vorlage'!G$6)</f>
        <v>0</v>
      </c>
      <c r="H229" s="21">
        <f>SUMIFS(Einzelbeträge!$D:$D,Einzelbeträge!$C:$C,'Ausgaben Vorlage'!$C229,Einzelbeträge!$E:$E,'Ausgaben Vorlage'!H$6)</f>
        <v>0</v>
      </c>
      <c r="I229" s="21">
        <f>SUMIFS(Einzelbeträge!$D:$D,Einzelbeträge!$C:$C,'Ausgaben Vorlage'!$C229,Einzelbeträge!$E:$E,'Ausgaben Vorlage'!I$6)</f>
        <v>0</v>
      </c>
      <c r="J229" s="21">
        <f>SUMIFS(Einzelbeträge!$D:$D,Einzelbeträge!$C:$C,'Ausgaben Vorlage'!$C229,Einzelbeträge!$E:$E,'Ausgaben Vorlage'!J$6)</f>
        <v>0</v>
      </c>
      <c r="K229" s="21">
        <f>SUMIFS(Einzelbeträge!$D:$D,Einzelbeträge!$C:$C,'Ausgaben Vorlage'!$C229,Einzelbeträge!$E:$E,'Ausgaben Vorlage'!K$6)</f>
        <v>0</v>
      </c>
      <c r="L229" s="21">
        <f>SUMIFS(Einzelbeträge!$D:$D,Einzelbeträge!$C:$C,'Ausgaben Vorlage'!$C229,Einzelbeträge!$E:$E,'Ausgaben Vorlage'!L$6)</f>
        <v>0</v>
      </c>
      <c r="M229" s="21">
        <f>SUMIFS(Einzelbeträge!$D:$D,Einzelbeträge!$C:$C,'Ausgaben Vorlage'!$C229,Einzelbeträge!$E:$E,'Ausgaben Vorlage'!M$6)</f>
        <v>0</v>
      </c>
      <c r="N229" s="35">
        <f>SUMIFS(Einzelbeträge!$D:$D,Einzelbeträge!$C:$C,'Ausgaben Vorlage'!$C229,Einzelbeträge!$E:$E,'Ausgaben Vorlage'!N$6)</f>
        <v>0</v>
      </c>
      <c r="O229" s="6"/>
    </row>
    <row r="230" spans="2:15" x14ac:dyDescent="0.35">
      <c r="B230" s="5"/>
      <c r="C230" s="40">
        <f t="shared" si="22"/>
        <v>45862</v>
      </c>
      <c r="D230" s="46">
        <f>SUMIFS(Einzelbeträge!$D:$D,Einzelbeträge!$C:$C,'Ausgaben Vorlage'!$C230)</f>
        <v>0</v>
      </c>
      <c r="E230" s="21">
        <f>SUMIFS(Einzelbeträge!$D:$D,Einzelbeträge!$C:$C,'Ausgaben Vorlage'!$C230,Einzelbeträge!$E:$E,'Ausgaben Vorlage'!E$6)</f>
        <v>0</v>
      </c>
      <c r="F230" s="21">
        <f>SUMIFS(Einzelbeträge!$D:$D,Einzelbeträge!$C:$C,'Ausgaben Vorlage'!$C230,Einzelbeträge!$E:$E,'Ausgaben Vorlage'!F$6)</f>
        <v>0</v>
      </c>
      <c r="G230" s="21">
        <f>SUMIFS(Einzelbeträge!$D:$D,Einzelbeträge!$C:$C,'Ausgaben Vorlage'!$C230,Einzelbeträge!$E:$E,'Ausgaben Vorlage'!G$6)</f>
        <v>0</v>
      </c>
      <c r="H230" s="21">
        <f>SUMIFS(Einzelbeträge!$D:$D,Einzelbeträge!$C:$C,'Ausgaben Vorlage'!$C230,Einzelbeträge!$E:$E,'Ausgaben Vorlage'!H$6)</f>
        <v>0</v>
      </c>
      <c r="I230" s="21">
        <f>SUMIFS(Einzelbeträge!$D:$D,Einzelbeträge!$C:$C,'Ausgaben Vorlage'!$C230,Einzelbeträge!$E:$E,'Ausgaben Vorlage'!I$6)</f>
        <v>0</v>
      </c>
      <c r="J230" s="21">
        <f>SUMIFS(Einzelbeträge!$D:$D,Einzelbeträge!$C:$C,'Ausgaben Vorlage'!$C230,Einzelbeträge!$E:$E,'Ausgaben Vorlage'!J$6)</f>
        <v>0</v>
      </c>
      <c r="K230" s="21">
        <f>SUMIFS(Einzelbeträge!$D:$D,Einzelbeträge!$C:$C,'Ausgaben Vorlage'!$C230,Einzelbeträge!$E:$E,'Ausgaben Vorlage'!K$6)</f>
        <v>0</v>
      </c>
      <c r="L230" s="21">
        <f>SUMIFS(Einzelbeträge!$D:$D,Einzelbeträge!$C:$C,'Ausgaben Vorlage'!$C230,Einzelbeträge!$E:$E,'Ausgaben Vorlage'!L$6)</f>
        <v>0</v>
      </c>
      <c r="M230" s="21">
        <f>SUMIFS(Einzelbeträge!$D:$D,Einzelbeträge!$C:$C,'Ausgaben Vorlage'!$C230,Einzelbeträge!$E:$E,'Ausgaben Vorlage'!M$6)</f>
        <v>0</v>
      </c>
      <c r="N230" s="35">
        <f>SUMIFS(Einzelbeträge!$D:$D,Einzelbeträge!$C:$C,'Ausgaben Vorlage'!$C230,Einzelbeträge!$E:$E,'Ausgaben Vorlage'!N$6)</f>
        <v>0</v>
      </c>
      <c r="O230" s="6"/>
    </row>
    <row r="231" spans="2:15" x14ac:dyDescent="0.35">
      <c r="B231" s="5"/>
      <c r="C231" s="40">
        <f t="shared" si="22"/>
        <v>45863</v>
      </c>
      <c r="D231" s="46">
        <f>SUMIFS(Einzelbeträge!$D:$D,Einzelbeträge!$C:$C,'Ausgaben Vorlage'!$C231)</f>
        <v>0</v>
      </c>
      <c r="E231" s="21">
        <f>SUMIFS(Einzelbeträge!$D:$D,Einzelbeträge!$C:$C,'Ausgaben Vorlage'!$C231,Einzelbeträge!$E:$E,'Ausgaben Vorlage'!E$6)</f>
        <v>0</v>
      </c>
      <c r="F231" s="21">
        <f>SUMIFS(Einzelbeträge!$D:$D,Einzelbeträge!$C:$C,'Ausgaben Vorlage'!$C231,Einzelbeträge!$E:$E,'Ausgaben Vorlage'!F$6)</f>
        <v>0</v>
      </c>
      <c r="G231" s="21">
        <f>SUMIFS(Einzelbeträge!$D:$D,Einzelbeträge!$C:$C,'Ausgaben Vorlage'!$C231,Einzelbeträge!$E:$E,'Ausgaben Vorlage'!G$6)</f>
        <v>0</v>
      </c>
      <c r="H231" s="21">
        <f>SUMIFS(Einzelbeträge!$D:$D,Einzelbeträge!$C:$C,'Ausgaben Vorlage'!$C231,Einzelbeträge!$E:$E,'Ausgaben Vorlage'!H$6)</f>
        <v>0</v>
      </c>
      <c r="I231" s="21">
        <f>SUMIFS(Einzelbeträge!$D:$D,Einzelbeträge!$C:$C,'Ausgaben Vorlage'!$C231,Einzelbeträge!$E:$E,'Ausgaben Vorlage'!I$6)</f>
        <v>0</v>
      </c>
      <c r="J231" s="21">
        <f>SUMIFS(Einzelbeträge!$D:$D,Einzelbeträge!$C:$C,'Ausgaben Vorlage'!$C231,Einzelbeträge!$E:$E,'Ausgaben Vorlage'!J$6)</f>
        <v>0</v>
      </c>
      <c r="K231" s="21">
        <f>SUMIFS(Einzelbeträge!$D:$D,Einzelbeträge!$C:$C,'Ausgaben Vorlage'!$C231,Einzelbeträge!$E:$E,'Ausgaben Vorlage'!K$6)</f>
        <v>0</v>
      </c>
      <c r="L231" s="21">
        <f>SUMIFS(Einzelbeträge!$D:$D,Einzelbeträge!$C:$C,'Ausgaben Vorlage'!$C231,Einzelbeträge!$E:$E,'Ausgaben Vorlage'!L$6)</f>
        <v>0</v>
      </c>
      <c r="M231" s="21">
        <f>SUMIFS(Einzelbeträge!$D:$D,Einzelbeträge!$C:$C,'Ausgaben Vorlage'!$C231,Einzelbeträge!$E:$E,'Ausgaben Vorlage'!M$6)</f>
        <v>0</v>
      </c>
      <c r="N231" s="35">
        <f>SUMIFS(Einzelbeträge!$D:$D,Einzelbeträge!$C:$C,'Ausgaben Vorlage'!$C231,Einzelbeträge!$E:$E,'Ausgaben Vorlage'!N$6)</f>
        <v>0</v>
      </c>
      <c r="O231" s="6"/>
    </row>
    <row r="232" spans="2:15" x14ac:dyDescent="0.35">
      <c r="B232" s="5"/>
      <c r="C232" s="40">
        <f t="shared" si="22"/>
        <v>45864</v>
      </c>
      <c r="D232" s="46">
        <f>SUMIFS(Einzelbeträge!$D:$D,Einzelbeträge!$C:$C,'Ausgaben Vorlage'!$C232)</f>
        <v>0</v>
      </c>
      <c r="E232" s="21">
        <f>SUMIFS(Einzelbeträge!$D:$D,Einzelbeträge!$C:$C,'Ausgaben Vorlage'!$C232,Einzelbeträge!$E:$E,'Ausgaben Vorlage'!E$6)</f>
        <v>0</v>
      </c>
      <c r="F232" s="21">
        <f>SUMIFS(Einzelbeträge!$D:$D,Einzelbeträge!$C:$C,'Ausgaben Vorlage'!$C232,Einzelbeträge!$E:$E,'Ausgaben Vorlage'!F$6)</f>
        <v>0</v>
      </c>
      <c r="G232" s="21">
        <f>SUMIFS(Einzelbeträge!$D:$D,Einzelbeträge!$C:$C,'Ausgaben Vorlage'!$C232,Einzelbeträge!$E:$E,'Ausgaben Vorlage'!G$6)</f>
        <v>0</v>
      </c>
      <c r="H232" s="21">
        <f>SUMIFS(Einzelbeträge!$D:$D,Einzelbeträge!$C:$C,'Ausgaben Vorlage'!$C232,Einzelbeträge!$E:$E,'Ausgaben Vorlage'!H$6)</f>
        <v>0</v>
      </c>
      <c r="I232" s="21">
        <f>SUMIFS(Einzelbeträge!$D:$D,Einzelbeträge!$C:$C,'Ausgaben Vorlage'!$C232,Einzelbeträge!$E:$E,'Ausgaben Vorlage'!I$6)</f>
        <v>0</v>
      </c>
      <c r="J232" s="21">
        <f>SUMIFS(Einzelbeträge!$D:$D,Einzelbeträge!$C:$C,'Ausgaben Vorlage'!$C232,Einzelbeträge!$E:$E,'Ausgaben Vorlage'!J$6)</f>
        <v>0</v>
      </c>
      <c r="K232" s="21">
        <f>SUMIFS(Einzelbeträge!$D:$D,Einzelbeträge!$C:$C,'Ausgaben Vorlage'!$C232,Einzelbeträge!$E:$E,'Ausgaben Vorlage'!K$6)</f>
        <v>0</v>
      </c>
      <c r="L232" s="21">
        <f>SUMIFS(Einzelbeträge!$D:$D,Einzelbeträge!$C:$C,'Ausgaben Vorlage'!$C232,Einzelbeträge!$E:$E,'Ausgaben Vorlage'!L$6)</f>
        <v>0</v>
      </c>
      <c r="M232" s="21">
        <f>SUMIFS(Einzelbeträge!$D:$D,Einzelbeträge!$C:$C,'Ausgaben Vorlage'!$C232,Einzelbeträge!$E:$E,'Ausgaben Vorlage'!M$6)</f>
        <v>0</v>
      </c>
      <c r="N232" s="35">
        <f>SUMIFS(Einzelbeträge!$D:$D,Einzelbeträge!$C:$C,'Ausgaben Vorlage'!$C232,Einzelbeträge!$E:$E,'Ausgaben Vorlage'!N$6)</f>
        <v>0</v>
      </c>
      <c r="O232" s="6"/>
    </row>
    <row r="233" spans="2:15" x14ac:dyDescent="0.35">
      <c r="B233" s="5"/>
      <c r="C233" s="40">
        <f t="shared" si="22"/>
        <v>45865</v>
      </c>
      <c r="D233" s="46">
        <f>SUMIFS(Einzelbeträge!$D:$D,Einzelbeträge!$C:$C,'Ausgaben Vorlage'!$C233)</f>
        <v>0</v>
      </c>
      <c r="E233" s="21">
        <f>SUMIFS(Einzelbeträge!$D:$D,Einzelbeträge!$C:$C,'Ausgaben Vorlage'!$C233,Einzelbeträge!$E:$E,'Ausgaben Vorlage'!E$6)</f>
        <v>0</v>
      </c>
      <c r="F233" s="21">
        <f>SUMIFS(Einzelbeträge!$D:$D,Einzelbeträge!$C:$C,'Ausgaben Vorlage'!$C233,Einzelbeträge!$E:$E,'Ausgaben Vorlage'!F$6)</f>
        <v>0</v>
      </c>
      <c r="G233" s="21">
        <f>SUMIFS(Einzelbeträge!$D:$D,Einzelbeträge!$C:$C,'Ausgaben Vorlage'!$C233,Einzelbeträge!$E:$E,'Ausgaben Vorlage'!G$6)</f>
        <v>0</v>
      </c>
      <c r="H233" s="21">
        <f>SUMIFS(Einzelbeträge!$D:$D,Einzelbeträge!$C:$C,'Ausgaben Vorlage'!$C233,Einzelbeträge!$E:$E,'Ausgaben Vorlage'!H$6)</f>
        <v>0</v>
      </c>
      <c r="I233" s="21">
        <f>SUMIFS(Einzelbeträge!$D:$D,Einzelbeträge!$C:$C,'Ausgaben Vorlage'!$C233,Einzelbeträge!$E:$E,'Ausgaben Vorlage'!I$6)</f>
        <v>0</v>
      </c>
      <c r="J233" s="21">
        <f>SUMIFS(Einzelbeträge!$D:$D,Einzelbeträge!$C:$C,'Ausgaben Vorlage'!$C233,Einzelbeträge!$E:$E,'Ausgaben Vorlage'!J$6)</f>
        <v>0</v>
      </c>
      <c r="K233" s="21">
        <f>SUMIFS(Einzelbeträge!$D:$D,Einzelbeträge!$C:$C,'Ausgaben Vorlage'!$C233,Einzelbeträge!$E:$E,'Ausgaben Vorlage'!K$6)</f>
        <v>0</v>
      </c>
      <c r="L233" s="21">
        <f>SUMIFS(Einzelbeträge!$D:$D,Einzelbeträge!$C:$C,'Ausgaben Vorlage'!$C233,Einzelbeträge!$E:$E,'Ausgaben Vorlage'!L$6)</f>
        <v>0</v>
      </c>
      <c r="M233" s="21">
        <f>SUMIFS(Einzelbeträge!$D:$D,Einzelbeträge!$C:$C,'Ausgaben Vorlage'!$C233,Einzelbeträge!$E:$E,'Ausgaben Vorlage'!M$6)</f>
        <v>0</v>
      </c>
      <c r="N233" s="35">
        <f>SUMIFS(Einzelbeträge!$D:$D,Einzelbeträge!$C:$C,'Ausgaben Vorlage'!$C233,Einzelbeträge!$E:$E,'Ausgaben Vorlage'!N$6)</f>
        <v>0</v>
      </c>
      <c r="O233" s="6"/>
    </row>
    <row r="234" spans="2:15" x14ac:dyDescent="0.35">
      <c r="B234" s="5"/>
      <c r="C234" s="40">
        <f t="shared" si="22"/>
        <v>45866</v>
      </c>
      <c r="D234" s="46">
        <f>SUMIFS(Einzelbeträge!$D:$D,Einzelbeträge!$C:$C,'Ausgaben Vorlage'!$C234)</f>
        <v>0</v>
      </c>
      <c r="E234" s="21">
        <f>SUMIFS(Einzelbeträge!$D:$D,Einzelbeträge!$C:$C,'Ausgaben Vorlage'!$C234,Einzelbeträge!$E:$E,'Ausgaben Vorlage'!E$6)</f>
        <v>0</v>
      </c>
      <c r="F234" s="21">
        <f>SUMIFS(Einzelbeträge!$D:$D,Einzelbeträge!$C:$C,'Ausgaben Vorlage'!$C234,Einzelbeträge!$E:$E,'Ausgaben Vorlage'!F$6)</f>
        <v>0</v>
      </c>
      <c r="G234" s="21">
        <f>SUMIFS(Einzelbeträge!$D:$D,Einzelbeträge!$C:$C,'Ausgaben Vorlage'!$C234,Einzelbeträge!$E:$E,'Ausgaben Vorlage'!G$6)</f>
        <v>0</v>
      </c>
      <c r="H234" s="21">
        <f>SUMIFS(Einzelbeträge!$D:$D,Einzelbeträge!$C:$C,'Ausgaben Vorlage'!$C234,Einzelbeträge!$E:$E,'Ausgaben Vorlage'!H$6)</f>
        <v>0</v>
      </c>
      <c r="I234" s="21">
        <f>SUMIFS(Einzelbeträge!$D:$D,Einzelbeträge!$C:$C,'Ausgaben Vorlage'!$C234,Einzelbeträge!$E:$E,'Ausgaben Vorlage'!I$6)</f>
        <v>0</v>
      </c>
      <c r="J234" s="21">
        <f>SUMIFS(Einzelbeträge!$D:$D,Einzelbeträge!$C:$C,'Ausgaben Vorlage'!$C234,Einzelbeträge!$E:$E,'Ausgaben Vorlage'!J$6)</f>
        <v>0</v>
      </c>
      <c r="K234" s="21">
        <f>SUMIFS(Einzelbeträge!$D:$D,Einzelbeträge!$C:$C,'Ausgaben Vorlage'!$C234,Einzelbeträge!$E:$E,'Ausgaben Vorlage'!K$6)</f>
        <v>0</v>
      </c>
      <c r="L234" s="21">
        <f>SUMIFS(Einzelbeträge!$D:$D,Einzelbeträge!$C:$C,'Ausgaben Vorlage'!$C234,Einzelbeträge!$E:$E,'Ausgaben Vorlage'!L$6)</f>
        <v>0</v>
      </c>
      <c r="M234" s="21">
        <f>SUMIFS(Einzelbeträge!$D:$D,Einzelbeträge!$C:$C,'Ausgaben Vorlage'!$C234,Einzelbeträge!$E:$E,'Ausgaben Vorlage'!M$6)</f>
        <v>0</v>
      </c>
      <c r="N234" s="35">
        <f>SUMIFS(Einzelbeträge!$D:$D,Einzelbeträge!$C:$C,'Ausgaben Vorlage'!$C234,Einzelbeträge!$E:$E,'Ausgaben Vorlage'!N$6)</f>
        <v>0</v>
      </c>
      <c r="O234" s="6"/>
    </row>
    <row r="235" spans="2:15" x14ac:dyDescent="0.35">
      <c r="B235" s="5"/>
      <c r="C235" s="40">
        <f t="shared" si="22"/>
        <v>45867</v>
      </c>
      <c r="D235" s="46">
        <f>SUMIFS(Einzelbeträge!$D:$D,Einzelbeträge!$C:$C,'Ausgaben Vorlage'!$C235)</f>
        <v>0</v>
      </c>
      <c r="E235" s="21">
        <f>SUMIFS(Einzelbeträge!$D:$D,Einzelbeträge!$C:$C,'Ausgaben Vorlage'!$C235,Einzelbeträge!$E:$E,'Ausgaben Vorlage'!E$6)</f>
        <v>0</v>
      </c>
      <c r="F235" s="21">
        <f>SUMIFS(Einzelbeträge!$D:$D,Einzelbeträge!$C:$C,'Ausgaben Vorlage'!$C235,Einzelbeträge!$E:$E,'Ausgaben Vorlage'!F$6)</f>
        <v>0</v>
      </c>
      <c r="G235" s="21">
        <f>SUMIFS(Einzelbeträge!$D:$D,Einzelbeträge!$C:$C,'Ausgaben Vorlage'!$C235,Einzelbeträge!$E:$E,'Ausgaben Vorlage'!G$6)</f>
        <v>0</v>
      </c>
      <c r="H235" s="21">
        <f>SUMIFS(Einzelbeträge!$D:$D,Einzelbeträge!$C:$C,'Ausgaben Vorlage'!$C235,Einzelbeträge!$E:$E,'Ausgaben Vorlage'!H$6)</f>
        <v>0</v>
      </c>
      <c r="I235" s="21">
        <f>SUMIFS(Einzelbeträge!$D:$D,Einzelbeträge!$C:$C,'Ausgaben Vorlage'!$C235,Einzelbeträge!$E:$E,'Ausgaben Vorlage'!I$6)</f>
        <v>0</v>
      </c>
      <c r="J235" s="21">
        <f>SUMIFS(Einzelbeträge!$D:$D,Einzelbeträge!$C:$C,'Ausgaben Vorlage'!$C235,Einzelbeträge!$E:$E,'Ausgaben Vorlage'!J$6)</f>
        <v>0</v>
      </c>
      <c r="K235" s="21">
        <f>SUMIFS(Einzelbeträge!$D:$D,Einzelbeträge!$C:$C,'Ausgaben Vorlage'!$C235,Einzelbeträge!$E:$E,'Ausgaben Vorlage'!K$6)</f>
        <v>0</v>
      </c>
      <c r="L235" s="21">
        <f>SUMIFS(Einzelbeträge!$D:$D,Einzelbeträge!$C:$C,'Ausgaben Vorlage'!$C235,Einzelbeträge!$E:$E,'Ausgaben Vorlage'!L$6)</f>
        <v>0</v>
      </c>
      <c r="M235" s="21">
        <f>SUMIFS(Einzelbeträge!$D:$D,Einzelbeträge!$C:$C,'Ausgaben Vorlage'!$C235,Einzelbeträge!$E:$E,'Ausgaben Vorlage'!M$6)</f>
        <v>0</v>
      </c>
      <c r="N235" s="35">
        <f>SUMIFS(Einzelbeträge!$D:$D,Einzelbeträge!$C:$C,'Ausgaben Vorlage'!$C235,Einzelbeträge!$E:$E,'Ausgaben Vorlage'!N$6)</f>
        <v>0</v>
      </c>
      <c r="O235" s="6"/>
    </row>
    <row r="236" spans="2:15" x14ac:dyDescent="0.35">
      <c r="B236" s="5"/>
      <c r="C236" s="40">
        <f t="shared" si="22"/>
        <v>45868</v>
      </c>
      <c r="D236" s="46">
        <f>SUMIFS(Einzelbeträge!$D:$D,Einzelbeträge!$C:$C,'Ausgaben Vorlage'!$C236)</f>
        <v>0</v>
      </c>
      <c r="E236" s="21">
        <f>SUMIFS(Einzelbeträge!$D:$D,Einzelbeträge!$C:$C,'Ausgaben Vorlage'!$C236,Einzelbeträge!$E:$E,'Ausgaben Vorlage'!E$6)</f>
        <v>0</v>
      </c>
      <c r="F236" s="21">
        <f>SUMIFS(Einzelbeträge!$D:$D,Einzelbeträge!$C:$C,'Ausgaben Vorlage'!$C236,Einzelbeträge!$E:$E,'Ausgaben Vorlage'!F$6)</f>
        <v>0</v>
      </c>
      <c r="G236" s="21">
        <f>SUMIFS(Einzelbeträge!$D:$D,Einzelbeträge!$C:$C,'Ausgaben Vorlage'!$C236,Einzelbeträge!$E:$E,'Ausgaben Vorlage'!G$6)</f>
        <v>0</v>
      </c>
      <c r="H236" s="21">
        <f>SUMIFS(Einzelbeträge!$D:$D,Einzelbeträge!$C:$C,'Ausgaben Vorlage'!$C236,Einzelbeträge!$E:$E,'Ausgaben Vorlage'!H$6)</f>
        <v>0</v>
      </c>
      <c r="I236" s="21">
        <f>SUMIFS(Einzelbeträge!$D:$D,Einzelbeträge!$C:$C,'Ausgaben Vorlage'!$C236,Einzelbeträge!$E:$E,'Ausgaben Vorlage'!I$6)</f>
        <v>0</v>
      </c>
      <c r="J236" s="21">
        <f>SUMIFS(Einzelbeträge!$D:$D,Einzelbeträge!$C:$C,'Ausgaben Vorlage'!$C236,Einzelbeträge!$E:$E,'Ausgaben Vorlage'!J$6)</f>
        <v>0</v>
      </c>
      <c r="K236" s="21">
        <f>SUMIFS(Einzelbeträge!$D:$D,Einzelbeträge!$C:$C,'Ausgaben Vorlage'!$C236,Einzelbeträge!$E:$E,'Ausgaben Vorlage'!K$6)</f>
        <v>0</v>
      </c>
      <c r="L236" s="21">
        <f>SUMIFS(Einzelbeträge!$D:$D,Einzelbeträge!$C:$C,'Ausgaben Vorlage'!$C236,Einzelbeträge!$E:$E,'Ausgaben Vorlage'!L$6)</f>
        <v>0</v>
      </c>
      <c r="M236" s="21">
        <f>SUMIFS(Einzelbeträge!$D:$D,Einzelbeträge!$C:$C,'Ausgaben Vorlage'!$C236,Einzelbeträge!$E:$E,'Ausgaben Vorlage'!M$6)</f>
        <v>0</v>
      </c>
      <c r="N236" s="35">
        <f>SUMIFS(Einzelbeträge!$D:$D,Einzelbeträge!$C:$C,'Ausgaben Vorlage'!$C236,Einzelbeträge!$E:$E,'Ausgaben Vorlage'!N$6)</f>
        <v>0</v>
      </c>
      <c r="O236" s="6"/>
    </row>
    <row r="237" spans="2:15" x14ac:dyDescent="0.35">
      <c r="B237" s="5"/>
      <c r="C237" s="31">
        <f t="shared" si="22"/>
        <v>45869</v>
      </c>
      <c r="D237" s="47">
        <f>SUMIFS(Einzelbeträge!$D:$D,Einzelbeträge!$C:$C,'Ausgaben Vorlage'!$C237)</f>
        <v>0</v>
      </c>
      <c r="E237" s="37">
        <f>SUMIFS(Einzelbeträge!$D:$D,Einzelbeträge!$C:$C,'Ausgaben Vorlage'!$C237,Einzelbeträge!$E:$E,'Ausgaben Vorlage'!E$6)</f>
        <v>0</v>
      </c>
      <c r="F237" s="37">
        <f>SUMIFS(Einzelbeträge!$D:$D,Einzelbeträge!$C:$C,'Ausgaben Vorlage'!$C237,Einzelbeträge!$E:$E,'Ausgaben Vorlage'!F$6)</f>
        <v>0</v>
      </c>
      <c r="G237" s="37">
        <f>SUMIFS(Einzelbeträge!$D:$D,Einzelbeträge!$C:$C,'Ausgaben Vorlage'!$C237,Einzelbeträge!$E:$E,'Ausgaben Vorlage'!G$6)</f>
        <v>0</v>
      </c>
      <c r="H237" s="37">
        <f>SUMIFS(Einzelbeträge!$D:$D,Einzelbeträge!$C:$C,'Ausgaben Vorlage'!$C237,Einzelbeträge!$E:$E,'Ausgaben Vorlage'!H$6)</f>
        <v>0</v>
      </c>
      <c r="I237" s="37">
        <f>SUMIFS(Einzelbeträge!$D:$D,Einzelbeträge!$C:$C,'Ausgaben Vorlage'!$C237,Einzelbeträge!$E:$E,'Ausgaben Vorlage'!I$6)</f>
        <v>0</v>
      </c>
      <c r="J237" s="37">
        <f>SUMIFS(Einzelbeträge!$D:$D,Einzelbeträge!$C:$C,'Ausgaben Vorlage'!$C237,Einzelbeträge!$E:$E,'Ausgaben Vorlage'!J$6)</f>
        <v>0</v>
      </c>
      <c r="K237" s="37">
        <f>SUMIFS(Einzelbeträge!$D:$D,Einzelbeträge!$C:$C,'Ausgaben Vorlage'!$C237,Einzelbeträge!$E:$E,'Ausgaben Vorlage'!K$6)</f>
        <v>0</v>
      </c>
      <c r="L237" s="37">
        <f>SUMIFS(Einzelbeträge!$D:$D,Einzelbeträge!$C:$C,'Ausgaben Vorlage'!$C237,Einzelbeträge!$E:$E,'Ausgaben Vorlage'!L$6)</f>
        <v>0</v>
      </c>
      <c r="M237" s="37">
        <f>SUMIFS(Einzelbeträge!$D:$D,Einzelbeträge!$C:$C,'Ausgaben Vorlage'!$C237,Einzelbeträge!$E:$E,'Ausgaben Vorlage'!M$6)</f>
        <v>0</v>
      </c>
      <c r="N237" s="38">
        <f>SUMIFS(Einzelbeträge!$D:$D,Einzelbeträge!$C:$C,'Ausgaben Vorlage'!$C237,Einzelbeträge!$E:$E,'Ausgaben Vorlage'!N$6)</f>
        <v>0</v>
      </c>
      <c r="O237" s="6"/>
    </row>
    <row r="238" spans="2:15" x14ac:dyDescent="0.35">
      <c r="B238" s="5"/>
      <c r="C238" s="22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6"/>
    </row>
    <row r="239" spans="2:15" x14ac:dyDescent="0.35">
      <c r="B239" s="5"/>
      <c r="C239" s="16" t="s">
        <v>24</v>
      </c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6"/>
    </row>
    <row r="240" spans="2:15" x14ac:dyDescent="0.35">
      <c r="B240" s="5"/>
      <c r="C240" s="1" t="s">
        <v>7</v>
      </c>
      <c r="D240" s="16" t="s">
        <v>6</v>
      </c>
      <c r="E240" s="42" t="s">
        <v>0</v>
      </c>
      <c r="F240" s="42" t="s">
        <v>1</v>
      </c>
      <c r="G240" s="42" t="s">
        <v>3</v>
      </c>
      <c r="H240" s="42" t="s">
        <v>2</v>
      </c>
      <c r="I240" s="42" t="s">
        <v>42</v>
      </c>
      <c r="J240" s="42" t="s">
        <v>65</v>
      </c>
      <c r="K240" s="42" t="s">
        <v>64</v>
      </c>
      <c r="L240" s="42" t="s">
        <v>63</v>
      </c>
      <c r="M240" s="42" t="s">
        <v>62</v>
      </c>
      <c r="N240" s="43" t="s">
        <v>61</v>
      </c>
      <c r="O240" s="6"/>
    </row>
    <row r="241" spans="2:15" x14ac:dyDescent="0.35">
      <c r="B241" s="5"/>
      <c r="C241" s="40">
        <f>C237+1</f>
        <v>45870</v>
      </c>
      <c r="D241" s="45">
        <f>SUMIFS(Einzelbeträge!$D:$D,Einzelbeträge!$C:$C,'Ausgaben Vorlage'!$C241)</f>
        <v>0</v>
      </c>
      <c r="E241" s="32">
        <f>SUMIFS(Einzelbeträge!$D:$D,Einzelbeträge!$C:$C,'Ausgaben Vorlage'!$C241,Einzelbeträge!$E:$E,'Ausgaben Vorlage'!E$6)</f>
        <v>0</v>
      </c>
      <c r="F241" s="32">
        <f>SUMIFS(Einzelbeträge!$D:$D,Einzelbeträge!$C:$C,'Ausgaben Vorlage'!$C241,Einzelbeträge!$E:$E,'Ausgaben Vorlage'!F$6)</f>
        <v>0</v>
      </c>
      <c r="G241" s="32">
        <f>SUMIFS(Einzelbeträge!$D:$D,Einzelbeträge!$C:$C,'Ausgaben Vorlage'!$C241,Einzelbeträge!$E:$E,'Ausgaben Vorlage'!G$6)</f>
        <v>0</v>
      </c>
      <c r="H241" s="32">
        <f>SUMIFS(Einzelbeträge!$D:$D,Einzelbeträge!$C:$C,'Ausgaben Vorlage'!$C241,Einzelbeträge!$E:$E,'Ausgaben Vorlage'!H$6)</f>
        <v>0</v>
      </c>
      <c r="I241" s="32">
        <f>SUMIFS(Einzelbeträge!$D:$D,Einzelbeträge!$C:$C,'Ausgaben Vorlage'!$C241,Einzelbeträge!$E:$E,'Ausgaben Vorlage'!I$6)</f>
        <v>0</v>
      </c>
      <c r="J241" s="32">
        <f>SUMIFS(Einzelbeträge!$D:$D,Einzelbeträge!$C:$C,'Ausgaben Vorlage'!$C241,Einzelbeträge!$E:$E,'Ausgaben Vorlage'!J$6)</f>
        <v>0</v>
      </c>
      <c r="K241" s="32">
        <f>SUMIFS(Einzelbeträge!$D:$D,Einzelbeträge!$C:$C,'Ausgaben Vorlage'!$C241,Einzelbeträge!$E:$E,'Ausgaben Vorlage'!K$6)</f>
        <v>0</v>
      </c>
      <c r="L241" s="32">
        <f>SUMIFS(Einzelbeträge!$D:$D,Einzelbeträge!$C:$C,'Ausgaben Vorlage'!$C241,Einzelbeträge!$E:$E,'Ausgaben Vorlage'!L$6)</f>
        <v>0</v>
      </c>
      <c r="M241" s="32">
        <f>SUMIFS(Einzelbeträge!$D:$D,Einzelbeträge!$C:$C,'Ausgaben Vorlage'!$C241,Einzelbeträge!$E:$E,'Ausgaben Vorlage'!M$6)</f>
        <v>0</v>
      </c>
      <c r="N241" s="33">
        <f>SUMIFS(Einzelbeträge!$D:$D,Einzelbeträge!$C:$C,'Ausgaben Vorlage'!$C241,Einzelbeträge!$E:$E,'Ausgaben Vorlage'!N$6)</f>
        <v>0</v>
      </c>
      <c r="O241" s="6"/>
    </row>
    <row r="242" spans="2:15" x14ac:dyDescent="0.35">
      <c r="B242" s="5"/>
      <c r="C242" s="40">
        <f>C241+1</f>
        <v>45871</v>
      </c>
      <c r="D242" s="46">
        <f>SUMIFS(Einzelbeträge!$D:$D,Einzelbeträge!$C:$C,'Ausgaben Vorlage'!$C242)</f>
        <v>0</v>
      </c>
      <c r="E242" s="21">
        <f>SUMIFS(Einzelbeträge!$D:$D,Einzelbeträge!$C:$C,'Ausgaben Vorlage'!$C242,Einzelbeträge!$E:$E,'Ausgaben Vorlage'!E$6)</f>
        <v>0</v>
      </c>
      <c r="F242" s="21">
        <f>SUMIFS(Einzelbeträge!$D:$D,Einzelbeträge!$C:$C,'Ausgaben Vorlage'!$C242,Einzelbeträge!$E:$E,'Ausgaben Vorlage'!F$6)</f>
        <v>0</v>
      </c>
      <c r="G242" s="21">
        <f>SUMIFS(Einzelbeträge!$D:$D,Einzelbeträge!$C:$C,'Ausgaben Vorlage'!$C242,Einzelbeträge!$E:$E,'Ausgaben Vorlage'!G$6)</f>
        <v>0</v>
      </c>
      <c r="H242" s="21">
        <f>SUMIFS(Einzelbeträge!$D:$D,Einzelbeträge!$C:$C,'Ausgaben Vorlage'!$C242,Einzelbeträge!$E:$E,'Ausgaben Vorlage'!H$6)</f>
        <v>0</v>
      </c>
      <c r="I242" s="21">
        <f>SUMIFS(Einzelbeträge!$D:$D,Einzelbeträge!$C:$C,'Ausgaben Vorlage'!$C242,Einzelbeträge!$E:$E,'Ausgaben Vorlage'!I$6)</f>
        <v>0</v>
      </c>
      <c r="J242" s="21">
        <f>SUMIFS(Einzelbeträge!$D:$D,Einzelbeträge!$C:$C,'Ausgaben Vorlage'!$C242,Einzelbeträge!$E:$E,'Ausgaben Vorlage'!J$6)</f>
        <v>0</v>
      </c>
      <c r="K242" s="21">
        <f>SUMIFS(Einzelbeträge!$D:$D,Einzelbeträge!$C:$C,'Ausgaben Vorlage'!$C242,Einzelbeträge!$E:$E,'Ausgaben Vorlage'!K$6)</f>
        <v>0</v>
      </c>
      <c r="L242" s="21">
        <f>SUMIFS(Einzelbeträge!$D:$D,Einzelbeträge!$C:$C,'Ausgaben Vorlage'!$C242,Einzelbeträge!$E:$E,'Ausgaben Vorlage'!L$6)</f>
        <v>0</v>
      </c>
      <c r="M242" s="21">
        <f>SUMIFS(Einzelbeträge!$D:$D,Einzelbeträge!$C:$C,'Ausgaben Vorlage'!$C242,Einzelbeträge!$E:$E,'Ausgaben Vorlage'!M$6)</f>
        <v>0</v>
      </c>
      <c r="N242" s="35">
        <f>SUMIFS(Einzelbeträge!$D:$D,Einzelbeträge!$C:$C,'Ausgaben Vorlage'!$C242,Einzelbeträge!$E:$E,'Ausgaben Vorlage'!N$6)</f>
        <v>0</v>
      </c>
      <c r="O242" s="6"/>
    </row>
    <row r="243" spans="2:15" x14ac:dyDescent="0.35">
      <c r="B243" s="5"/>
      <c r="C243" s="40">
        <f t="shared" ref="C243:C271" si="23">C242+1</f>
        <v>45872</v>
      </c>
      <c r="D243" s="46">
        <f>SUMIFS(Einzelbeträge!$D:$D,Einzelbeträge!$C:$C,'Ausgaben Vorlage'!$C243)</f>
        <v>0</v>
      </c>
      <c r="E243" s="21">
        <f>SUMIFS(Einzelbeträge!$D:$D,Einzelbeträge!$C:$C,'Ausgaben Vorlage'!$C243,Einzelbeträge!$E:$E,'Ausgaben Vorlage'!E$6)</f>
        <v>0</v>
      </c>
      <c r="F243" s="21">
        <f>SUMIFS(Einzelbeträge!$D:$D,Einzelbeträge!$C:$C,'Ausgaben Vorlage'!$C243,Einzelbeträge!$E:$E,'Ausgaben Vorlage'!F$6)</f>
        <v>0</v>
      </c>
      <c r="G243" s="21">
        <f>SUMIFS(Einzelbeträge!$D:$D,Einzelbeträge!$C:$C,'Ausgaben Vorlage'!$C243,Einzelbeträge!$E:$E,'Ausgaben Vorlage'!G$6)</f>
        <v>0</v>
      </c>
      <c r="H243" s="21">
        <f>SUMIFS(Einzelbeträge!$D:$D,Einzelbeträge!$C:$C,'Ausgaben Vorlage'!$C243,Einzelbeträge!$E:$E,'Ausgaben Vorlage'!H$6)</f>
        <v>0</v>
      </c>
      <c r="I243" s="21">
        <f>SUMIFS(Einzelbeträge!$D:$D,Einzelbeträge!$C:$C,'Ausgaben Vorlage'!$C243,Einzelbeträge!$E:$E,'Ausgaben Vorlage'!I$6)</f>
        <v>0</v>
      </c>
      <c r="J243" s="21">
        <f>SUMIFS(Einzelbeträge!$D:$D,Einzelbeträge!$C:$C,'Ausgaben Vorlage'!$C243,Einzelbeträge!$E:$E,'Ausgaben Vorlage'!J$6)</f>
        <v>0</v>
      </c>
      <c r="K243" s="21">
        <f>SUMIFS(Einzelbeträge!$D:$D,Einzelbeträge!$C:$C,'Ausgaben Vorlage'!$C243,Einzelbeträge!$E:$E,'Ausgaben Vorlage'!K$6)</f>
        <v>0</v>
      </c>
      <c r="L243" s="21">
        <f>SUMIFS(Einzelbeträge!$D:$D,Einzelbeträge!$C:$C,'Ausgaben Vorlage'!$C243,Einzelbeträge!$E:$E,'Ausgaben Vorlage'!L$6)</f>
        <v>0</v>
      </c>
      <c r="M243" s="21">
        <f>SUMIFS(Einzelbeträge!$D:$D,Einzelbeträge!$C:$C,'Ausgaben Vorlage'!$C243,Einzelbeträge!$E:$E,'Ausgaben Vorlage'!M$6)</f>
        <v>0</v>
      </c>
      <c r="N243" s="35">
        <f>SUMIFS(Einzelbeträge!$D:$D,Einzelbeträge!$C:$C,'Ausgaben Vorlage'!$C243,Einzelbeträge!$E:$E,'Ausgaben Vorlage'!N$6)</f>
        <v>0</v>
      </c>
      <c r="O243" s="6"/>
    </row>
    <row r="244" spans="2:15" x14ac:dyDescent="0.35">
      <c r="B244" s="5"/>
      <c r="C244" s="40">
        <f t="shared" si="23"/>
        <v>45873</v>
      </c>
      <c r="D244" s="46">
        <f>SUMIFS(Einzelbeträge!$D:$D,Einzelbeträge!$C:$C,'Ausgaben Vorlage'!$C244)</f>
        <v>0</v>
      </c>
      <c r="E244" s="21">
        <f>SUMIFS(Einzelbeträge!$D:$D,Einzelbeträge!$C:$C,'Ausgaben Vorlage'!$C244,Einzelbeträge!$E:$E,'Ausgaben Vorlage'!E$6)</f>
        <v>0</v>
      </c>
      <c r="F244" s="21">
        <f>SUMIFS(Einzelbeträge!$D:$D,Einzelbeträge!$C:$C,'Ausgaben Vorlage'!$C244,Einzelbeträge!$E:$E,'Ausgaben Vorlage'!F$6)</f>
        <v>0</v>
      </c>
      <c r="G244" s="21">
        <f>SUMIFS(Einzelbeträge!$D:$D,Einzelbeträge!$C:$C,'Ausgaben Vorlage'!$C244,Einzelbeträge!$E:$E,'Ausgaben Vorlage'!G$6)</f>
        <v>0</v>
      </c>
      <c r="H244" s="21">
        <f>SUMIFS(Einzelbeträge!$D:$D,Einzelbeträge!$C:$C,'Ausgaben Vorlage'!$C244,Einzelbeträge!$E:$E,'Ausgaben Vorlage'!H$6)</f>
        <v>0</v>
      </c>
      <c r="I244" s="21">
        <f>SUMIFS(Einzelbeträge!$D:$D,Einzelbeträge!$C:$C,'Ausgaben Vorlage'!$C244,Einzelbeträge!$E:$E,'Ausgaben Vorlage'!I$6)</f>
        <v>0</v>
      </c>
      <c r="J244" s="21">
        <f>SUMIFS(Einzelbeträge!$D:$D,Einzelbeträge!$C:$C,'Ausgaben Vorlage'!$C244,Einzelbeträge!$E:$E,'Ausgaben Vorlage'!J$6)</f>
        <v>0</v>
      </c>
      <c r="K244" s="21">
        <f>SUMIFS(Einzelbeträge!$D:$D,Einzelbeträge!$C:$C,'Ausgaben Vorlage'!$C244,Einzelbeträge!$E:$E,'Ausgaben Vorlage'!K$6)</f>
        <v>0</v>
      </c>
      <c r="L244" s="21">
        <f>SUMIFS(Einzelbeträge!$D:$D,Einzelbeträge!$C:$C,'Ausgaben Vorlage'!$C244,Einzelbeträge!$E:$E,'Ausgaben Vorlage'!L$6)</f>
        <v>0</v>
      </c>
      <c r="M244" s="21">
        <f>SUMIFS(Einzelbeträge!$D:$D,Einzelbeträge!$C:$C,'Ausgaben Vorlage'!$C244,Einzelbeträge!$E:$E,'Ausgaben Vorlage'!M$6)</f>
        <v>0</v>
      </c>
      <c r="N244" s="35">
        <f>SUMIFS(Einzelbeträge!$D:$D,Einzelbeträge!$C:$C,'Ausgaben Vorlage'!$C244,Einzelbeträge!$E:$E,'Ausgaben Vorlage'!N$6)</f>
        <v>0</v>
      </c>
      <c r="O244" s="6"/>
    </row>
    <row r="245" spans="2:15" x14ac:dyDescent="0.35">
      <c r="B245" s="5"/>
      <c r="C245" s="40">
        <f t="shared" si="23"/>
        <v>45874</v>
      </c>
      <c r="D245" s="46">
        <f>SUMIFS(Einzelbeträge!$D:$D,Einzelbeträge!$C:$C,'Ausgaben Vorlage'!$C245)</f>
        <v>0</v>
      </c>
      <c r="E245" s="21">
        <f>SUMIFS(Einzelbeträge!$D:$D,Einzelbeträge!$C:$C,'Ausgaben Vorlage'!$C245,Einzelbeträge!$E:$E,'Ausgaben Vorlage'!E$6)</f>
        <v>0</v>
      </c>
      <c r="F245" s="21">
        <f>SUMIFS(Einzelbeträge!$D:$D,Einzelbeträge!$C:$C,'Ausgaben Vorlage'!$C245,Einzelbeträge!$E:$E,'Ausgaben Vorlage'!F$6)</f>
        <v>0</v>
      </c>
      <c r="G245" s="21">
        <f>SUMIFS(Einzelbeträge!$D:$D,Einzelbeträge!$C:$C,'Ausgaben Vorlage'!$C245,Einzelbeträge!$E:$E,'Ausgaben Vorlage'!G$6)</f>
        <v>0</v>
      </c>
      <c r="H245" s="21">
        <f>SUMIFS(Einzelbeträge!$D:$D,Einzelbeträge!$C:$C,'Ausgaben Vorlage'!$C245,Einzelbeträge!$E:$E,'Ausgaben Vorlage'!H$6)</f>
        <v>0</v>
      </c>
      <c r="I245" s="21">
        <f>SUMIFS(Einzelbeträge!$D:$D,Einzelbeträge!$C:$C,'Ausgaben Vorlage'!$C245,Einzelbeträge!$E:$E,'Ausgaben Vorlage'!I$6)</f>
        <v>0</v>
      </c>
      <c r="J245" s="21">
        <f>SUMIFS(Einzelbeträge!$D:$D,Einzelbeträge!$C:$C,'Ausgaben Vorlage'!$C245,Einzelbeträge!$E:$E,'Ausgaben Vorlage'!J$6)</f>
        <v>0</v>
      </c>
      <c r="K245" s="21">
        <f>SUMIFS(Einzelbeträge!$D:$D,Einzelbeträge!$C:$C,'Ausgaben Vorlage'!$C245,Einzelbeträge!$E:$E,'Ausgaben Vorlage'!K$6)</f>
        <v>0</v>
      </c>
      <c r="L245" s="21">
        <f>SUMIFS(Einzelbeträge!$D:$D,Einzelbeträge!$C:$C,'Ausgaben Vorlage'!$C245,Einzelbeträge!$E:$E,'Ausgaben Vorlage'!L$6)</f>
        <v>0</v>
      </c>
      <c r="M245" s="21">
        <f>SUMIFS(Einzelbeträge!$D:$D,Einzelbeträge!$C:$C,'Ausgaben Vorlage'!$C245,Einzelbeträge!$E:$E,'Ausgaben Vorlage'!M$6)</f>
        <v>0</v>
      </c>
      <c r="N245" s="35">
        <f>SUMIFS(Einzelbeträge!$D:$D,Einzelbeträge!$C:$C,'Ausgaben Vorlage'!$C245,Einzelbeträge!$E:$E,'Ausgaben Vorlage'!N$6)</f>
        <v>0</v>
      </c>
      <c r="O245" s="6"/>
    </row>
    <row r="246" spans="2:15" x14ac:dyDescent="0.35">
      <c r="B246" s="5"/>
      <c r="C246" s="40">
        <f t="shared" si="23"/>
        <v>45875</v>
      </c>
      <c r="D246" s="46">
        <f>SUMIFS(Einzelbeträge!$D:$D,Einzelbeträge!$C:$C,'Ausgaben Vorlage'!$C246)</f>
        <v>0</v>
      </c>
      <c r="E246" s="21">
        <f>SUMIFS(Einzelbeträge!$D:$D,Einzelbeträge!$C:$C,'Ausgaben Vorlage'!$C246,Einzelbeträge!$E:$E,'Ausgaben Vorlage'!E$6)</f>
        <v>0</v>
      </c>
      <c r="F246" s="21">
        <f>SUMIFS(Einzelbeträge!$D:$D,Einzelbeträge!$C:$C,'Ausgaben Vorlage'!$C246,Einzelbeträge!$E:$E,'Ausgaben Vorlage'!F$6)</f>
        <v>0</v>
      </c>
      <c r="G246" s="21">
        <f>SUMIFS(Einzelbeträge!$D:$D,Einzelbeträge!$C:$C,'Ausgaben Vorlage'!$C246,Einzelbeträge!$E:$E,'Ausgaben Vorlage'!G$6)</f>
        <v>0</v>
      </c>
      <c r="H246" s="21">
        <f>SUMIFS(Einzelbeträge!$D:$D,Einzelbeträge!$C:$C,'Ausgaben Vorlage'!$C246,Einzelbeträge!$E:$E,'Ausgaben Vorlage'!H$6)</f>
        <v>0</v>
      </c>
      <c r="I246" s="21">
        <f>SUMIFS(Einzelbeträge!$D:$D,Einzelbeträge!$C:$C,'Ausgaben Vorlage'!$C246,Einzelbeträge!$E:$E,'Ausgaben Vorlage'!I$6)</f>
        <v>0</v>
      </c>
      <c r="J246" s="21">
        <f>SUMIFS(Einzelbeträge!$D:$D,Einzelbeträge!$C:$C,'Ausgaben Vorlage'!$C246,Einzelbeträge!$E:$E,'Ausgaben Vorlage'!J$6)</f>
        <v>0</v>
      </c>
      <c r="K246" s="21">
        <f>SUMIFS(Einzelbeträge!$D:$D,Einzelbeträge!$C:$C,'Ausgaben Vorlage'!$C246,Einzelbeträge!$E:$E,'Ausgaben Vorlage'!K$6)</f>
        <v>0</v>
      </c>
      <c r="L246" s="21">
        <f>SUMIFS(Einzelbeträge!$D:$D,Einzelbeträge!$C:$C,'Ausgaben Vorlage'!$C246,Einzelbeträge!$E:$E,'Ausgaben Vorlage'!L$6)</f>
        <v>0</v>
      </c>
      <c r="M246" s="21">
        <f>SUMIFS(Einzelbeträge!$D:$D,Einzelbeträge!$C:$C,'Ausgaben Vorlage'!$C246,Einzelbeträge!$E:$E,'Ausgaben Vorlage'!M$6)</f>
        <v>0</v>
      </c>
      <c r="N246" s="35">
        <f>SUMIFS(Einzelbeträge!$D:$D,Einzelbeträge!$C:$C,'Ausgaben Vorlage'!$C246,Einzelbeträge!$E:$E,'Ausgaben Vorlage'!N$6)</f>
        <v>0</v>
      </c>
      <c r="O246" s="6"/>
    </row>
    <row r="247" spans="2:15" x14ac:dyDescent="0.35">
      <c r="B247" s="5"/>
      <c r="C247" s="40">
        <f t="shared" si="23"/>
        <v>45876</v>
      </c>
      <c r="D247" s="46">
        <f>SUMIFS(Einzelbeträge!$D:$D,Einzelbeträge!$C:$C,'Ausgaben Vorlage'!$C247)</f>
        <v>0</v>
      </c>
      <c r="E247" s="21">
        <f>SUMIFS(Einzelbeträge!$D:$D,Einzelbeträge!$C:$C,'Ausgaben Vorlage'!$C247,Einzelbeträge!$E:$E,'Ausgaben Vorlage'!E$6)</f>
        <v>0</v>
      </c>
      <c r="F247" s="21">
        <f>SUMIFS(Einzelbeträge!$D:$D,Einzelbeträge!$C:$C,'Ausgaben Vorlage'!$C247,Einzelbeträge!$E:$E,'Ausgaben Vorlage'!F$6)</f>
        <v>0</v>
      </c>
      <c r="G247" s="21">
        <f>SUMIFS(Einzelbeträge!$D:$D,Einzelbeträge!$C:$C,'Ausgaben Vorlage'!$C247,Einzelbeträge!$E:$E,'Ausgaben Vorlage'!G$6)</f>
        <v>0</v>
      </c>
      <c r="H247" s="21">
        <f>SUMIFS(Einzelbeträge!$D:$D,Einzelbeträge!$C:$C,'Ausgaben Vorlage'!$C247,Einzelbeträge!$E:$E,'Ausgaben Vorlage'!H$6)</f>
        <v>0</v>
      </c>
      <c r="I247" s="21">
        <f>SUMIFS(Einzelbeträge!$D:$D,Einzelbeträge!$C:$C,'Ausgaben Vorlage'!$C247,Einzelbeträge!$E:$E,'Ausgaben Vorlage'!I$6)</f>
        <v>0</v>
      </c>
      <c r="J247" s="21">
        <f>SUMIFS(Einzelbeträge!$D:$D,Einzelbeträge!$C:$C,'Ausgaben Vorlage'!$C247,Einzelbeträge!$E:$E,'Ausgaben Vorlage'!J$6)</f>
        <v>0</v>
      </c>
      <c r="K247" s="21">
        <f>SUMIFS(Einzelbeträge!$D:$D,Einzelbeträge!$C:$C,'Ausgaben Vorlage'!$C247,Einzelbeträge!$E:$E,'Ausgaben Vorlage'!K$6)</f>
        <v>0</v>
      </c>
      <c r="L247" s="21">
        <f>SUMIFS(Einzelbeträge!$D:$D,Einzelbeträge!$C:$C,'Ausgaben Vorlage'!$C247,Einzelbeträge!$E:$E,'Ausgaben Vorlage'!L$6)</f>
        <v>0</v>
      </c>
      <c r="M247" s="21">
        <f>SUMIFS(Einzelbeträge!$D:$D,Einzelbeträge!$C:$C,'Ausgaben Vorlage'!$C247,Einzelbeträge!$E:$E,'Ausgaben Vorlage'!M$6)</f>
        <v>0</v>
      </c>
      <c r="N247" s="35">
        <f>SUMIFS(Einzelbeträge!$D:$D,Einzelbeträge!$C:$C,'Ausgaben Vorlage'!$C247,Einzelbeträge!$E:$E,'Ausgaben Vorlage'!N$6)</f>
        <v>0</v>
      </c>
      <c r="O247" s="6"/>
    </row>
    <row r="248" spans="2:15" x14ac:dyDescent="0.35">
      <c r="B248" s="5"/>
      <c r="C248" s="40">
        <f t="shared" si="23"/>
        <v>45877</v>
      </c>
      <c r="D248" s="46">
        <f>SUMIFS(Einzelbeträge!$D:$D,Einzelbeträge!$C:$C,'Ausgaben Vorlage'!$C248)</f>
        <v>0</v>
      </c>
      <c r="E248" s="21">
        <f>SUMIFS(Einzelbeträge!$D:$D,Einzelbeträge!$C:$C,'Ausgaben Vorlage'!$C248,Einzelbeträge!$E:$E,'Ausgaben Vorlage'!E$6)</f>
        <v>0</v>
      </c>
      <c r="F248" s="21">
        <f>SUMIFS(Einzelbeträge!$D:$D,Einzelbeträge!$C:$C,'Ausgaben Vorlage'!$C248,Einzelbeträge!$E:$E,'Ausgaben Vorlage'!F$6)</f>
        <v>0</v>
      </c>
      <c r="G248" s="21">
        <f>SUMIFS(Einzelbeträge!$D:$D,Einzelbeträge!$C:$C,'Ausgaben Vorlage'!$C248,Einzelbeträge!$E:$E,'Ausgaben Vorlage'!G$6)</f>
        <v>0</v>
      </c>
      <c r="H248" s="21">
        <f>SUMIFS(Einzelbeträge!$D:$D,Einzelbeträge!$C:$C,'Ausgaben Vorlage'!$C248,Einzelbeträge!$E:$E,'Ausgaben Vorlage'!H$6)</f>
        <v>0</v>
      </c>
      <c r="I248" s="21">
        <f>SUMIFS(Einzelbeträge!$D:$D,Einzelbeträge!$C:$C,'Ausgaben Vorlage'!$C248,Einzelbeträge!$E:$E,'Ausgaben Vorlage'!I$6)</f>
        <v>0</v>
      </c>
      <c r="J248" s="21">
        <f>SUMIFS(Einzelbeträge!$D:$D,Einzelbeträge!$C:$C,'Ausgaben Vorlage'!$C248,Einzelbeträge!$E:$E,'Ausgaben Vorlage'!J$6)</f>
        <v>0</v>
      </c>
      <c r="K248" s="21">
        <f>SUMIFS(Einzelbeträge!$D:$D,Einzelbeträge!$C:$C,'Ausgaben Vorlage'!$C248,Einzelbeträge!$E:$E,'Ausgaben Vorlage'!K$6)</f>
        <v>0</v>
      </c>
      <c r="L248" s="21">
        <f>SUMIFS(Einzelbeträge!$D:$D,Einzelbeträge!$C:$C,'Ausgaben Vorlage'!$C248,Einzelbeträge!$E:$E,'Ausgaben Vorlage'!L$6)</f>
        <v>0</v>
      </c>
      <c r="M248" s="21">
        <f>SUMIFS(Einzelbeträge!$D:$D,Einzelbeträge!$C:$C,'Ausgaben Vorlage'!$C248,Einzelbeträge!$E:$E,'Ausgaben Vorlage'!M$6)</f>
        <v>0</v>
      </c>
      <c r="N248" s="35">
        <f>SUMIFS(Einzelbeträge!$D:$D,Einzelbeträge!$C:$C,'Ausgaben Vorlage'!$C248,Einzelbeträge!$E:$E,'Ausgaben Vorlage'!N$6)</f>
        <v>0</v>
      </c>
      <c r="O248" s="6"/>
    </row>
    <row r="249" spans="2:15" x14ac:dyDescent="0.35">
      <c r="B249" s="5"/>
      <c r="C249" s="40">
        <f t="shared" si="23"/>
        <v>45878</v>
      </c>
      <c r="D249" s="46">
        <f>SUMIFS(Einzelbeträge!$D:$D,Einzelbeträge!$C:$C,'Ausgaben Vorlage'!$C249)</f>
        <v>0</v>
      </c>
      <c r="E249" s="21">
        <f>SUMIFS(Einzelbeträge!$D:$D,Einzelbeträge!$C:$C,'Ausgaben Vorlage'!$C249,Einzelbeträge!$E:$E,'Ausgaben Vorlage'!E$6)</f>
        <v>0</v>
      </c>
      <c r="F249" s="21">
        <f>SUMIFS(Einzelbeträge!$D:$D,Einzelbeträge!$C:$C,'Ausgaben Vorlage'!$C249,Einzelbeträge!$E:$E,'Ausgaben Vorlage'!F$6)</f>
        <v>0</v>
      </c>
      <c r="G249" s="21">
        <f>SUMIFS(Einzelbeträge!$D:$D,Einzelbeträge!$C:$C,'Ausgaben Vorlage'!$C249,Einzelbeträge!$E:$E,'Ausgaben Vorlage'!G$6)</f>
        <v>0</v>
      </c>
      <c r="H249" s="21">
        <f>SUMIFS(Einzelbeträge!$D:$D,Einzelbeträge!$C:$C,'Ausgaben Vorlage'!$C249,Einzelbeträge!$E:$E,'Ausgaben Vorlage'!H$6)</f>
        <v>0</v>
      </c>
      <c r="I249" s="21">
        <f>SUMIFS(Einzelbeträge!$D:$D,Einzelbeträge!$C:$C,'Ausgaben Vorlage'!$C249,Einzelbeträge!$E:$E,'Ausgaben Vorlage'!I$6)</f>
        <v>0</v>
      </c>
      <c r="J249" s="21">
        <f>SUMIFS(Einzelbeträge!$D:$D,Einzelbeträge!$C:$C,'Ausgaben Vorlage'!$C249,Einzelbeträge!$E:$E,'Ausgaben Vorlage'!J$6)</f>
        <v>0</v>
      </c>
      <c r="K249" s="21">
        <f>SUMIFS(Einzelbeträge!$D:$D,Einzelbeträge!$C:$C,'Ausgaben Vorlage'!$C249,Einzelbeträge!$E:$E,'Ausgaben Vorlage'!K$6)</f>
        <v>0</v>
      </c>
      <c r="L249" s="21">
        <f>SUMIFS(Einzelbeträge!$D:$D,Einzelbeträge!$C:$C,'Ausgaben Vorlage'!$C249,Einzelbeträge!$E:$E,'Ausgaben Vorlage'!L$6)</f>
        <v>0</v>
      </c>
      <c r="M249" s="21">
        <f>SUMIFS(Einzelbeträge!$D:$D,Einzelbeträge!$C:$C,'Ausgaben Vorlage'!$C249,Einzelbeträge!$E:$E,'Ausgaben Vorlage'!M$6)</f>
        <v>0</v>
      </c>
      <c r="N249" s="35">
        <f>SUMIFS(Einzelbeträge!$D:$D,Einzelbeträge!$C:$C,'Ausgaben Vorlage'!$C249,Einzelbeträge!$E:$E,'Ausgaben Vorlage'!N$6)</f>
        <v>0</v>
      </c>
      <c r="O249" s="6"/>
    </row>
    <row r="250" spans="2:15" x14ac:dyDescent="0.35">
      <c r="B250" s="5"/>
      <c r="C250" s="40">
        <f t="shared" si="23"/>
        <v>45879</v>
      </c>
      <c r="D250" s="46">
        <f>SUMIFS(Einzelbeträge!$D:$D,Einzelbeträge!$C:$C,'Ausgaben Vorlage'!$C250)</f>
        <v>0</v>
      </c>
      <c r="E250" s="21">
        <f>SUMIFS(Einzelbeträge!$D:$D,Einzelbeträge!$C:$C,'Ausgaben Vorlage'!$C250,Einzelbeträge!$E:$E,'Ausgaben Vorlage'!E$6)</f>
        <v>0</v>
      </c>
      <c r="F250" s="21">
        <f>SUMIFS(Einzelbeträge!$D:$D,Einzelbeträge!$C:$C,'Ausgaben Vorlage'!$C250,Einzelbeträge!$E:$E,'Ausgaben Vorlage'!F$6)</f>
        <v>0</v>
      </c>
      <c r="G250" s="21">
        <f>SUMIFS(Einzelbeträge!$D:$D,Einzelbeträge!$C:$C,'Ausgaben Vorlage'!$C250,Einzelbeträge!$E:$E,'Ausgaben Vorlage'!G$6)</f>
        <v>0</v>
      </c>
      <c r="H250" s="21">
        <f>SUMIFS(Einzelbeträge!$D:$D,Einzelbeträge!$C:$C,'Ausgaben Vorlage'!$C250,Einzelbeträge!$E:$E,'Ausgaben Vorlage'!H$6)</f>
        <v>0</v>
      </c>
      <c r="I250" s="21">
        <f>SUMIFS(Einzelbeträge!$D:$D,Einzelbeträge!$C:$C,'Ausgaben Vorlage'!$C250,Einzelbeträge!$E:$E,'Ausgaben Vorlage'!I$6)</f>
        <v>0</v>
      </c>
      <c r="J250" s="21">
        <f>SUMIFS(Einzelbeträge!$D:$D,Einzelbeträge!$C:$C,'Ausgaben Vorlage'!$C250,Einzelbeträge!$E:$E,'Ausgaben Vorlage'!J$6)</f>
        <v>0</v>
      </c>
      <c r="K250" s="21">
        <f>SUMIFS(Einzelbeträge!$D:$D,Einzelbeträge!$C:$C,'Ausgaben Vorlage'!$C250,Einzelbeträge!$E:$E,'Ausgaben Vorlage'!K$6)</f>
        <v>0</v>
      </c>
      <c r="L250" s="21">
        <f>SUMIFS(Einzelbeträge!$D:$D,Einzelbeträge!$C:$C,'Ausgaben Vorlage'!$C250,Einzelbeträge!$E:$E,'Ausgaben Vorlage'!L$6)</f>
        <v>0</v>
      </c>
      <c r="M250" s="21">
        <f>SUMIFS(Einzelbeträge!$D:$D,Einzelbeträge!$C:$C,'Ausgaben Vorlage'!$C250,Einzelbeträge!$E:$E,'Ausgaben Vorlage'!M$6)</f>
        <v>0</v>
      </c>
      <c r="N250" s="35">
        <f>SUMIFS(Einzelbeträge!$D:$D,Einzelbeträge!$C:$C,'Ausgaben Vorlage'!$C250,Einzelbeträge!$E:$E,'Ausgaben Vorlage'!N$6)</f>
        <v>0</v>
      </c>
      <c r="O250" s="6"/>
    </row>
    <row r="251" spans="2:15" x14ac:dyDescent="0.35">
      <c r="B251" s="5"/>
      <c r="C251" s="40">
        <f t="shared" si="23"/>
        <v>45880</v>
      </c>
      <c r="D251" s="46">
        <f>SUMIFS(Einzelbeträge!$D:$D,Einzelbeträge!$C:$C,'Ausgaben Vorlage'!$C251)</f>
        <v>0</v>
      </c>
      <c r="E251" s="21">
        <f>SUMIFS(Einzelbeträge!$D:$D,Einzelbeträge!$C:$C,'Ausgaben Vorlage'!$C251,Einzelbeträge!$E:$E,'Ausgaben Vorlage'!E$6)</f>
        <v>0</v>
      </c>
      <c r="F251" s="21">
        <f>SUMIFS(Einzelbeträge!$D:$D,Einzelbeträge!$C:$C,'Ausgaben Vorlage'!$C251,Einzelbeträge!$E:$E,'Ausgaben Vorlage'!F$6)</f>
        <v>0</v>
      </c>
      <c r="G251" s="21">
        <f>SUMIFS(Einzelbeträge!$D:$D,Einzelbeträge!$C:$C,'Ausgaben Vorlage'!$C251,Einzelbeträge!$E:$E,'Ausgaben Vorlage'!G$6)</f>
        <v>0</v>
      </c>
      <c r="H251" s="21">
        <f>SUMIFS(Einzelbeträge!$D:$D,Einzelbeträge!$C:$C,'Ausgaben Vorlage'!$C251,Einzelbeträge!$E:$E,'Ausgaben Vorlage'!H$6)</f>
        <v>0</v>
      </c>
      <c r="I251" s="21">
        <f>SUMIFS(Einzelbeträge!$D:$D,Einzelbeträge!$C:$C,'Ausgaben Vorlage'!$C251,Einzelbeträge!$E:$E,'Ausgaben Vorlage'!I$6)</f>
        <v>0</v>
      </c>
      <c r="J251" s="21">
        <f>SUMIFS(Einzelbeträge!$D:$D,Einzelbeträge!$C:$C,'Ausgaben Vorlage'!$C251,Einzelbeträge!$E:$E,'Ausgaben Vorlage'!J$6)</f>
        <v>0</v>
      </c>
      <c r="K251" s="21">
        <f>SUMIFS(Einzelbeträge!$D:$D,Einzelbeträge!$C:$C,'Ausgaben Vorlage'!$C251,Einzelbeträge!$E:$E,'Ausgaben Vorlage'!K$6)</f>
        <v>0</v>
      </c>
      <c r="L251" s="21">
        <f>SUMIFS(Einzelbeträge!$D:$D,Einzelbeträge!$C:$C,'Ausgaben Vorlage'!$C251,Einzelbeträge!$E:$E,'Ausgaben Vorlage'!L$6)</f>
        <v>0</v>
      </c>
      <c r="M251" s="21">
        <f>SUMIFS(Einzelbeträge!$D:$D,Einzelbeträge!$C:$C,'Ausgaben Vorlage'!$C251,Einzelbeträge!$E:$E,'Ausgaben Vorlage'!M$6)</f>
        <v>0</v>
      </c>
      <c r="N251" s="35">
        <f>SUMIFS(Einzelbeträge!$D:$D,Einzelbeträge!$C:$C,'Ausgaben Vorlage'!$C251,Einzelbeträge!$E:$E,'Ausgaben Vorlage'!N$6)</f>
        <v>0</v>
      </c>
      <c r="O251" s="6"/>
    </row>
    <row r="252" spans="2:15" x14ac:dyDescent="0.35">
      <c r="B252" s="5"/>
      <c r="C252" s="40">
        <f t="shared" si="23"/>
        <v>45881</v>
      </c>
      <c r="D252" s="46">
        <f>SUMIFS(Einzelbeträge!$D:$D,Einzelbeträge!$C:$C,'Ausgaben Vorlage'!$C252)</f>
        <v>0</v>
      </c>
      <c r="E252" s="21">
        <f>SUMIFS(Einzelbeträge!$D:$D,Einzelbeträge!$C:$C,'Ausgaben Vorlage'!$C252,Einzelbeträge!$E:$E,'Ausgaben Vorlage'!E$6)</f>
        <v>0</v>
      </c>
      <c r="F252" s="21">
        <f>SUMIFS(Einzelbeträge!$D:$D,Einzelbeträge!$C:$C,'Ausgaben Vorlage'!$C252,Einzelbeträge!$E:$E,'Ausgaben Vorlage'!F$6)</f>
        <v>0</v>
      </c>
      <c r="G252" s="21">
        <f>SUMIFS(Einzelbeträge!$D:$D,Einzelbeträge!$C:$C,'Ausgaben Vorlage'!$C252,Einzelbeträge!$E:$E,'Ausgaben Vorlage'!G$6)</f>
        <v>0</v>
      </c>
      <c r="H252" s="21">
        <f>SUMIFS(Einzelbeträge!$D:$D,Einzelbeträge!$C:$C,'Ausgaben Vorlage'!$C252,Einzelbeträge!$E:$E,'Ausgaben Vorlage'!H$6)</f>
        <v>0</v>
      </c>
      <c r="I252" s="21">
        <f>SUMIFS(Einzelbeträge!$D:$D,Einzelbeträge!$C:$C,'Ausgaben Vorlage'!$C252,Einzelbeträge!$E:$E,'Ausgaben Vorlage'!I$6)</f>
        <v>0</v>
      </c>
      <c r="J252" s="21">
        <f>SUMIFS(Einzelbeträge!$D:$D,Einzelbeträge!$C:$C,'Ausgaben Vorlage'!$C252,Einzelbeträge!$E:$E,'Ausgaben Vorlage'!J$6)</f>
        <v>0</v>
      </c>
      <c r="K252" s="21">
        <f>SUMIFS(Einzelbeträge!$D:$D,Einzelbeträge!$C:$C,'Ausgaben Vorlage'!$C252,Einzelbeträge!$E:$E,'Ausgaben Vorlage'!K$6)</f>
        <v>0</v>
      </c>
      <c r="L252" s="21">
        <f>SUMIFS(Einzelbeträge!$D:$D,Einzelbeträge!$C:$C,'Ausgaben Vorlage'!$C252,Einzelbeträge!$E:$E,'Ausgaben Vorlage'!L$6)</f>
        <v>0</v>
      </c>
      <c r="M252" s="21">
        <f>SUMIFS(Einzelbeträge!$D:$D,Einzelbeträge!$C:$C,'Ausgaben Vorlage'!$C252,Einzelbeträge!$E:$E,'Ausgaben Vorlage'!M$6)</f>
        <v>0</v>
      </c>
      <c r="N252" s="35">
        <f>SUMIFS(Einzelbeträge!$D:$D,Einzelbeträge!$C:$C,'Ausgaben Vorlage'!$C252,Einzelbeträge!$E:$E,'Ausgaben Vorlage'!N$6)</f>
        <v>0</v>
      </c>
      <c r="O252" s="6"/>
    </row>
    <row r="253" spans="2:15" x14ac:dyDescent="0.35">
      <c r="B253" s="5"/>
      <c r="C253" s="40">
        <f t="shared" si="23"/>
        <v>45882</v>
      </c>
      <c r="D253" s="46">
        <f>SUMIFS(Einzelbeträge!$D:$D,Einzelbeträge!$C:$C,'Ausgaben Vorlage'!$C253)</f>
        <v>0</v>
      </c>
      <c r="E253" s="21">
        <f>SUMIFS(Einzelbeträge!$D:$D,Einzelbeträge!$C:$C,'Ausgaben Vorlage'!$C253,Einzelbeträge!$E:$E,'Ausgaben Vorlage'!E$6)</f>
        <v>0</v>
      </c>
      <c r="F253" s="21">
        <f>SUMIFS(Einzelbeträge!$D:$D,Einzelbeträge!$C:$C,'Ausgaben Vorlage'!$C253,Einzelbeträge!$E:$E,'Ausgaben Vorlage'!F$6)</f>
        <v>0</v>
      </c>
      <c r="G253" s="21">
        <f>SUMIFS(Einzelbeträge!$D:$D,Einzelbeträge!$C:$C,'Ausgaben Vorlage'!$C253,Einzelbeträge!$E:$E,'Ausgaben Vorlage'!G$6)</f>
        <v>0</v>
      </c>
      <c r="H253" s="21">
        <f>SUMIFS(Einzelbeträge!$D:$D,Einzelbeträge!$C:$C,'Ausgaben Vorlage'!$C253,Einzelbeträge!$E:$E,'Ausgaben Vorlage'!H$6)</f>
        <v>0</v>
      </c>
      <c r="I253" s="21">
        <f>SUMIFS(Einzelbeträge!$D:$D,Einzelbeträge!$C:$C,'Ausgaben Vorlage'!$C253,Einzelbeträge!$E:$E,'Ausgaben Vorlage'!I$6)</f>
        <v>0</v>
      </c>
      <c r="J253" s="21">
        <f>SUMIFS(Einzelbeträge!$D:$D,Einzelbeträge!$C:$C,'Ausgaben Vorlage'!$C253,Einzelbeträge!$E:$E,'Ausgaben Vorlage'!J$6)</f>
        <v>0</v>
      </c>
      <c r="K253" s="21">
        <f>SUMIFS(Einzelbeträge!$D:$D,Einzelbeträge!$C:$C,'Ausgaben Vorlage'!$C253,Einzelbeträge!$E:$E,'Ausgaben Vorlage'!K$6)</f>
        <v>0</v>
      </c>
      <c r="L253" s="21">
        <f>SUMIFS(Einzelbeträge!$D:$D,Einzelbeträge!$C:$C,'Ausgaben Vorlage'!$C253,Einzelbeträge!$E:$E,'Ausgaben Vorlage'!L$6)</f>
        <v>0</v>
      </c>
      <c r="M253" s="21">
        <f>SUMIFS(Einzelbeträge!$D:$D,Einzelbeträge!$C:$C,'Ausgaben Vorlage'!$C253,Einzelbeträge!$E:$E,'Ausgaben Vorlage'!M$6)</f>
        <v>0</v>
      </c>
      <c r="N253" s="35">
        <f>SUMIFS(Einzelbeträge!$D:$D,Einzelbeträge!$C:$C,'Ausgaben Vorlage'!$C253,Einzelbeträge!$E:$E,'Ausgaben Vorlage'!N$6)</f>
        <v>0</v>
      </c>
      <c r="O253" s="6"/>
    </row>
    <row r="254" spans="2:15" x14ac:dyDescent="0.35">
      <c r="B254" s="5"/>
      <c r="C254" s="40">
        <f t="shared" si="23"/>
        <v>45883</v>
      </c>
      <c r="D254" s="46">
        <f>SUMIFS(Einzelbeträge!$D:$D,Einzelbeträge!$C:$C,'Ausgaben Vorlage'!$C254)</f>
        <v>0</v>
      </c>
      <c r="E254" s="21">
        <f>SUMIFS(Einzelbeträge!$D:$D,Einzelbeträge!$C:$C,'Ausgaben Vorlage'!$C254,Einzelbeträge!$E:$E,'Ausgaben Vorlage'!E$6)</f>
        <v>0</v>
      </c>
      <c r="F254" s="21">
        <f>SUMIFS(Einzelbeträge!$D:$D,Einzelbeträge!$C:$C,'Ausgaben Vorlage'!$C254,Einzelbeträge!$E:$E,'Ausgaben Vorlage'!F$6)</f>
        <v>0</v>
      </c>
      <c r="G254" s="21">
        <f>SUMIFS(Einzelbeträge!$D:$D,Einzelbeträge!$C:$C,'Ausgaben Vorlage'!$C254,Einzelbeträge!$E:$E,'Ausgaben Vorlage'!G$6)</f>
        <v>0</v>
      </c>
      <c r="H254" s="21">
        <f>SUMIFS(Einzelbeträge!$D:$D,Einzelbeträge!$C:$C,'Ausgaben Vorlage'!$C254,Einzelbeträge!$E:$E,'Ausgaben Vorlage'!H$6)</f>
        <v>0</v>
      </c>
      <c r="I254" s="21">
        <f>SUMIFS(Einzelbeträge!$D:$D,Einzelbeträge!$C:$C,'Ausgaben Vorlage'!$C254,Einzelbeträge!$E:$E,'Ausgaben Vorlage'!I$6)</f>
        <v>0</v>
      </c>
      <c r="J254" s="21">
        <f>SUMIFS(Einzelbeträge!$D:$D,Einzelbeträge!$C:$C,'Ausgaben Vorlage'!$C254,Einzelbeträge!$E:$E,'Ausgaben Vorlage'!J$6)</f>
        <v>0</v>
      </c>
      <c r="K254" s="21">
        <f>SUMIFS(Einzelbeträge!$D:$D,Einzelbeträge!$C:$C,'Ausgaben Vorlage'!$C254,Einzelbeträge!$E:$E,'Ausgaben Vorlage'!K$6)</f>
        <v>0</v>
      </c>
      <c r="L254" s="21">
        <f>SUMIFS(Einzelbeträge!$D:$D,Einzelbeträge!$C:$C,'Ausgaben Vorlage'!$C254,Einzelbeträge!$E:$E,'Ausgaben Vorlage'!L$6)</f>
        <v>0</v>
      </c>
      <c r="M254" s="21">
        <f>SUMIFS(Einzelbeträge!$D:$D,Einzelbeträge!$C:$C,'Ausgaben Vorlage'!$C254,Einzelbeträge!$E:$E,'Ausgaben Vorlage'!M$6)</f>
        <v>0</v>
      </c>
      <c r="N254" s="35">
        <f>SUMIFS(Einzelbeträge!$D:$D,Einzelbeträge!$C:$C,'Ausgaben Vorlage'!$C254,Einzelbeträge!$E:$E,'Ausgaben Vorlage'!N$6)</f>
        <v>0</v>
      </c>
      <c r="O254" s="6"/>
    </row>
    <row r="255" spans="2:15" x14ac:dyDescent="0.35">
      <c r="B255" s="5"/>
      <c r="C255" s="40">
        <f t="shared" si="23"/>
        <v>45884</v>
      </c>
      <c r="D255" s="46">
        <f>SUMIFS(Einzelbeträge!$D:$D,Einzelbeträge!$C:$C,'Ausgaben Vorlage'!$C255)</f>
        <v>0</v>
      </c>
      <c r="E255" s="21">
        <f>SUMIFS(Einzelbeträge!$D:$D,Einzelbeträge!$C:$C,'Ausgaben Vorlage'!$C255,Einzelbeträge!$E:$E,'Ausgaben Vorlage'!E$6)</f>
        <v>0</v>
      </c>
      <c r="F255" s="21">
        <f>SUMIFS(Einzelbeträge!$D:$D,Einzelbeträge!$C:$C,'Ausgaben Vorlage'!$C255,Einzelbeträge!$E:$E,'Ausgaben Vorlage'!F$6)</f>
        <v>0</v>
      </c>
      <c r="G255" s="21">
        <f>SUMIFS(Einzelbeträge!$D:$D,Einzelbeträge!$C:$C,'Ausgaben Vorlage'!$C255,Einzelbeträge!$E:$E,'Ausgaben Vorlage'!G$6)</f>
        <v>0</v>
      </c>
      <c r="H255" s="21">
        <f>SUMIFS(Einzelbeträge!$D:$D,Einzelbeträge!$C:$C,'Ausgaben Vorlage'!$C255,Einzelbeträge!$E:$E,'Ausgaben Vorlage'!H$6)</f>
        <v>0</v>
      </c>
      <c r="I255" s="21">
        <f>SUMIFS(Einzelbeträge!$D:$D,Einzelbeträge!$C:$C,'Ausgaben Vorlage'!$C255,Einzelbeträge!$E:$E,'Ausgaben Vorlage'!I$6)</f>
        <v>0</v>
      </c>
      <c r="J255" s="21">
        <f>SUMIFS(Einzelbeträge!$D:$D,Einzelbeträge!$C:$C,'Ausgaben Vorlage'!$C255,Einzelbeträge!$E:$E,'Ausgaben Vorlage'!J$6)</f>
        <v>0</v>
      </c>
      <c r="K255" s="21">
        <f>SUMIFS(Einzelbeträge!$D:$D,Einzelbeträge!$C:$C,'Ausgaben Vorlage'!$C255,Einzelbeträge!$E:$E,'Ausgaben Vorlage'!K$6)</f>
        <v>0</v>
      </c>
      <c r="L255" s="21">
        <f>SUMIFS(Einzelbeträge!$D:$D,Einzelbeträge!$C:$C,'Ausgaben Vorlage'!$C255,Einzelbeträge!$E:$E,'Ausgaben Vorlage'!L$6)</f>
        <v>0</v>
      </c>
      <c r="M255" s="21">
        <f>SUMIFS(Einzelbeträge!$D:$D,Einzelbeträge!$C:$C,'Ausgaben Vorlage'!$C255,Einzelbeträge!$E:$E,'Ausgaben Vorlage'!M$6)</f>
        <v>0</v>
      </c>
      <c r="N255" s="35">
        <f>SUMIFS(Einzelbeträge!$D:$D,Einzelbeträge!$C:$C,'Ausgaben Vorlage'!$C255,Einzelbeträge!$E:$E,'Ausgaben Vorlage'!N$6)</f>
        <v>0</v>
      </c>
      <c r="O255" s="6"/>
    </row>
    <row r="256" spans="2:15" x14ac:dyDescent="0.35">
      <c r="B256" s="5"/>
      <c r="C256" s="40">
        <f t="shared" si="23"/>
        <v>45885</v>
      </c>
      <c r="D256" s="46">
        <f>SUMIFS(Einzelbeträge!$D:$D,Einzelbeträge!$C:$C,'Ausgaben Vorlage'!$C256)</f>
        <v>0</v>
      </c>
      <c r="E256" s="21">
        <f>SUMIFS(Einzelbeträge!$D:$D,Einzelbeträge!$C:$C,'Ausgaben Vorlage'!$C256,Einzelbeträge!$E:$E,'Ausgaben Vorlage'!E$6)</f>
        <v>0</v>
      </c>
      <c r="F256" s="21">
        <f>SUMIFS(Einzelbeträge!$D:$D,Einzelbeträge!$C:$C,'Ausgaben Vorlage'!$C256,Einzelbeträge!$E:$E,'Ausgaben Vorlage'!F$6)</f>
        <v>0</v>
      </c>
      <c r="G256" s="21">
        <f>SUMIFS(Einzelbeträge!$D:$D,Einzelbeträge!$C:$C,'Ausgaben Vorlage'!$C256,Einzelbeträge!$E:$E,'Ausgaben Vorlage'!G$6)</f>
        <v>0</v>
      </c>
      <c r="H256" s="21">
        <f>SUMIFS(Einzelbeträge!$D:$D,Einzelbeträge!$C:$C,'Ausgaben Vorlage'!$C256,Einzelbeträge!$E:$E,'Ausgaben Vorlage'!H$6)</f>
        <v>0</v>
      </c>
      <c r="I256" s="21">
        <f>SUMIFS(Einzelbeträge!$D:$D,Einzelbeträge!$C:$C,'Ausgaben Vorlage'!$C256,Einzelbeträge!$E:$E,'Ausgaben Vorlage'!I$6)</f>
        <v>0</v>
      </c>
      <c r="J256" s="21">
        <f>SUMIFS(Einzelbeträge!$D:$D,Einzelbeträge!$C:$C,'Ausgaben Vorlage'!$C256,Einzelbeträge!$E:$E,'Ausgaben Vorlage'!J$6)</f>
        <v>0</v>
      </c>
      <c r="K256" s="21">
        <f>SUMIFS(Einzelbeträge!$D:$D,Einzelbeträge!$C:$C,'Ausgaben Vorlage'!$C256,Einzelbeträge!$E:$E,'Ausgaben Vorlage'!K$6)</f>
        <v>0</v>
      </c>
      <c r="L256" s="21">
        <f>SUMIFS(Einzelbeträge!$D:$D,Einzelbeträge!$C:$C,'Ausgaben Vorlage'!$C256,Einzelbeträge!$E:$E,'Ausgaben Vorlage'!L$6)</f>
        <v>0</v>
      </c>
      <c r="M256" s="21">
        <f>SUMIFS(Einzelbeträge!$D:$D,Einzelbeträge!$C:$C,'Ausgaben Vorlage'!$C256,Einzelbeträge!$E:$E,'Ausgaben Vorlage'!M$6)</f>
        <v>0</v>
      </c>
      <c r="N256" s="35">
        <f>SUMIFS(Einzelbeträge!$D:$D,Einzelbeträge!$C:$C,'Ausgaben Vorlage'!$C256,Einzelbeträge!$E:$E,'Ausgaben Vorlage'!N$6)</f>
        <v>0</v>
      </c>
      <c r="O256" s="6"/>
    </row>
    <row r="257" spans="2:15" x14ac:dyDescent="0.35">
      <c r="B257" s="5"/>
      <c r="C257" s="40">
        <f t="shared" si="23"/>
        <v>45886</v>
      </c>
      <c r="D257" s="46">
        <f>SUMIFS(Einzelbeträge!$D:$D,Einzelbeträge!$C:$C,'Ausgaben Vorlage'!$C257)</f>
        <v>0</v>
      </c>
      <c r="E257" s="21">
        <f>SUMIFS(Einzelbeträge!$D:$D,Einzelbeträge!$C:$C,'Ausgaben Vorlage'!$C257,Einzelbeträge!$E:$E,'Ausgaben Vorlage'!E$6)</f>
        <v>0</v>
      </c>
      <c r="F257" s="21">
        <f>SUMIFS(Einzelbeträge!$D:$D,Einzelbeträge!$C:$C,'Ausgaben Vorlage'!$C257,Einzelbeträge!$E:$E,'Ausgaben Vorlage'!F$6)</f>
        <v>0</v>
      </c>
      <c r="G257" s="21">
        <f>SUMIFS(Einzelbeträge!$D:$D,Einzelbeträge!$C:$C,'Ausgaben Vorlage'!$C257,Einzelbeträge!$E:$E,'Ausgaben Vorlage'!G$6)</f>
        <v>0</v>
      </c>
      <c r="H257" s="21">
        <f>SUMIFS(Einzelbeträge!$D:$D,Einzelbeträge!$C:$C,'Ausgaben Vorlage'!$C257,Einzelbeträge!$E:$E,'Ausgaben Vorlage'!H$6)</f>
        <v>0</v>
      </c>
      <c r="I257" s="21">
        <f>SUMIFS(Einzelbeträge!$D:$D,Einzelbeträge!$C:$C,'Ausgaben Vorlage'!$C257,Einzelbeträge!$E:$E,'Ausgaben Vorlage'!I$6)</f>
        <v>0</v>
      </c>
      <c r="J257" s="21">
        <f>SUMIFS(Einzelbeträge!$D:$D,Einzelbeträge!$C:$C,'Ausgaben Vorlage'!$C257,Einzelbeträge!$E:$E,'Ausgaben Vorlage'!J$6)</f>
        <v>0</v>
      </c>
      <c r="K257" s="21">
        <f>SUMIFS(Einzelbeträge!$D:$D,Einzelbeträge!$C:$C,'Ausgaben Vorlage'!$C257,Einzelbeträge!$E:$E,'Ausgaben Vorlage'!K$6)</f>
        <v>0</v>
      </c>
      <c r="L257" s="21">
        <f>SUMIFS(Einzelbeträge!$D:$D,Einzelbeträge!$C:$C,'Ausgaben Vorlage'!$C257,Einzelbeträge!$E:$E,'Ausgaben Vorlage'!L$6)</f>
        <v>0</v>
      </c>
      <c r="M257" s="21">
        <f>SUMIFS(Einzelbeträge!$D:$D,Einzelbeträge!$C:$C,'Ausgaben Vorlage'!$C257,Einzelbeträge!$E:$E,'Ausgaben Vorlage'!M$6)</f>
        <v>0</v>
      </c>
      <c r="N257" s="35">
        <f>SUMIFS(Einzelbeträge!$D:$D,Einzelbeträge!$C:$C,'Ausgaben Vorlage'!$C257,Einzelbeträge!$E:$E,'Ausgaben Vorlage'!N$6)</f>
        <v>0</v>
      </c>
      <c r="O257" s="6"/>
    </row>
    <row r="258" spans="2:15" x14ac:dyDescent="0.35">
      <c r="B258" s="5"/>
      <c r="C258" s="40">
        <f t="shared" si="23"/>
        <v>45887</v>
      </c>
      <c r="D258" s="46">
        <f>SUMIFS(Einzelbeträge!$D:$D,Einzelbeträge!$C:$C,'Ausgaben Vorlage'!$C258)</f>
        <v>0</v>
      </c>
      <c r="E258" s="21">
        <f>SUMIFS(Einzelbeträge!$D:$D,Einzelbeträge!$C:$C,'Ausgaben Vorlage'!$C258,Einzelbeträge!$E:$E,'Ausgaben Vorlage'!E$6)</f>
        <v>0</v>
      </c>
      <c r="F258" s="21">
        <f>SUMIFS(Einzelbeträge!$D:$D,Einzelbeträge!$C:$C,'Ausgaben Vorlage'!$C258,Einzelbeträge!$E:$E,'Ausgaben Vorlage'!F$6)</f>
        <v>0</v>
      </c>
      <c r="G258" s="21">
        <f>SUMIFS(Einzelbeträge!$D:$D,Einzelbeträge!$C:$C,'Ausgaben Vorlage'!$C258,Einzelbeträge!$E:$E,'Ausgaben Vorlage'!G$6)</f>
        <v>0</v>
      </c>
      <c r="H258" s="21">
        <f>SUMIFS(Einzelbeträge!$D:$D,Einzelbeträge!$C:$C,'Ausgaben Vorlage'!$C258,Einzelbeträge!$E:$E,'Ausgaben Vorlage'!H$6)</f>
        <v>0</v>
      </c>
      <c r="I258" s="21">
        <f>SUMIFS(Einzelbeträge!$D:$D,Einzelbeträge!$C:$C,'Ausgaben Vorlage'!$C258,Einzelbeträge!$E:$E,'Ausgaben Vorlage'!I$6)</f>
        <v>0</v>
      </c>
      <c r="J258" s="21">
        <f>SUMIFS(Einzelbeträge!$D:$D,Einzelbeträge!$C:$C,'Ausgaben Vorlage'!$C258,Einzelbeträge!$E:$E,'Ausgaben Vorlage'!J$6)</f>
        <v>0</v>
      </c>
      <c r="K258" s="21">
        <f>SUMIFS(Einzelbeträge!$D:$D,Einzelbeträge!$C:$C,'Ausgaben Vorlage'!$C258,Einzelbeträge!$E:$E,'Ausgaben Vorlage'!K$6)</f>
        <v>0</v>
      </c>
      <c r="L258" s="21">
        <f>SUMIFS(Einzelbeträge!$D:$D,Einzelbeträge!$C:$C,'Ausgaben Vorlage'!$C258,Einzelbeträge!$E:$E,'Ausgaben Vorlage'!L$6)</f>
        <v>0</v>
      </c>
      <c r="M258" s="21">
        <f>SUMIFS(Einzelbeträge!$D:$D,Einzelbeträge!$C:$C,'Ausgaben Vorlage'!$C258,Einzelbeträge!$E:$E,'Ausgaben Vorlage'!M$6)</f>
        <v>0</v>
      </c>
      <c r="N258" s="35">
        <f>SUMIFS(Einzelbeträge!$D:$D,Einzelbeträge!$C:$C,'Ausgaben Vorlage'!$C258,Einzelbeträge!$E:$E,'Ausgaben Vorlage'!N$6)</f>
        <v>0</v>
      </c>
      <c r="O258" s="6"/>
    </row>
    <row r="259" spans="2:15" x14ac:dyDescent="0.35">
      <c r="B259" s="5"/>
      <c r="C259" s="40">
        <f t="shared" si="23"/>
        <v>45888</v>
      </c>
      <c r="D259" s="46">
        <f>SUMIFS(Einzelbeträge!$D:$D,Einzelbeträge!$C:$C,'Ausgaben Vorlage'!$C259)</f>
        <v>0</v>
      </c>
      <c r="E259" s="21">
        <f>SUMIFS(Einzelbeträge!$D:$D,Einzelbeträge!$C:$C,'Ausgaben Vorlage'!$C259,Einzelbeträge!$E:$E,'Ausgaben Vorlage'!E$6)</f>
        <v>0</v>
      </c>
      <c r="F259" s="21">
        <f>SUMIFS(Einzelbeträge!$D:$D,Einzelbeträge!$C:$C,'Ausgaben Vorlage'!$C259,Einzelbeträge!$E:$E,'Ausgaben Vorlage'!F$6)</f>
        <v>0</v>
      </c>
      <c r="G259" s="21">
        <f>SUMIFS(Einzelbeträge!$D:$D,Einzelbeträge!$C:$C,'Ausgaben Vorlage'!$C259,Einzelbeträge!$E:$E,'Ausgaben Vorlage'!G$6)</f>
        <v>0</v>
      </c>
      <c r="H259" s="21">
        <f>SUMIFS(Einzelbeträge!$D:$D,Einzelbeträge!$C:$C,'Ausgaben Vorlage'!$C259,Einzelbeträge!$E:$E,'Ausgaben Vorlage'!H$6)</f>
        <v>0</v>
      </c>
      <c r="I259" s="21">
        <f>SUMIFS(Einzelbeträge!$D:$D,Einzelbeträge!$C:$C,'Ausgaben Vorlage'!$C259,Einzelbeträge!$E:$E,'Ausgaben Vorlage'!I$6)</f>
        <v>0</v>
      </c>
      <c r="J259" s="21">
        <f>SUMIFS(Einzelbeträge!$D:$D,Einzelbeträge!$C:$C,'Ausgaben Vorlage'!$C259,Einzelbeträge!$E:$E,'Ausgaben Vorlage'!J$6)</f>
        <v>0</v>
      </c>
      <c r="K259" s="21">
        <f>SUMIFS(Einzelbeträge!$D:$D,Einzelbeträge!$C:$C,'Ausgaben Vorlage'!$C259,Einzelbeträge!$E:$E,'Ausgaben Vorlage'!K$6)</f>
        <v>0</v>
      </c>
      <c r="L259" s="21">
        <f>SUMIFS(Einzelbeträge!$D:$D,Einzelbeträge!$C:$C,'Ausgaben Vorlage'!$C259,Einzelbeträge!$E:$E,'Ausgaben Vorlage'!L$6)</f>
        <v>0</v>
      </c>
      <c r="M259" s="21">
        <f>SUMIFS(Einzelbeträge!$D:$D,Einzelbeträge!$C:$C,'Ausgaben Vorlage'!$C259,Einzelbeträge!$E:$E,'Ausgaben Vorlage'!M$6)</f>
        <v>0</v>
      </c>
      <c r="N259" s="35">
        <f>SUMIFS(Einzelbeträge!$D:$D,Einzelbeträge!$C:$C,'Ausgaben Vorlage'!$C259,Einzelbeträge!$E:$E,'Ausgaben Vorlage'!N$6)</f>
        <v>0</v>
      </c>
      <c r="O259" s="6"/>
    </row>
    <row r="260" spans="2:15" x14ac:dyDescent="0.35">
      <c r="B260" s="5"/>
      <c r="C260" s="40">
        <f t="shared" si="23"/>
        <v>45889</v>
      </c>
      <c r="D260" s="46">
        <f>SUMIFS(Einzelbeträge!$D:$D,Einzelbeträge!$C:$C,'Ausgaben Vorlage'!$C260)</f>
        <v>0</v>
      </c>
      <c r="E260" s="21">
        <f>SUMIFS(Einzelbeträge!$D:$D,Einzelbeträge!$C:$C,'Ausgaben Vorlage'!$C260,Einzelbeträge!$E:$E,'Ausgaben Vorlage'!E$6)</f>
        <v>0</v>
      </c>
      <c r="F260" s="21">
        <f>SUMIFS(Einzelbeträge!$D:$D,Einzelbeträge!$C:$C,'Ausgaben Vorlage'!$C260,Einzelbeträge!$E:$E,'Ausgaben Vorlage'!F$6)</f>
        <v>0</v>
      </c>
      <c r="G260" s="21">
        <f>SUMIFS(Einzelbeträge!$D:$D,Einzelbeträge!$C:$C,'Ausgaben Vorlage'!$C260,Einzelbeträge!$E:$E,'Ausgaben Vorlage'!G$6)</f>
        <v>0</v>
      </c>
      <c r="H260" s="21">
        <f>SUMIFS(Einzelbeträge!$D:$D,Einzelbeträge!$C:$C,'Ausgaben Vorlage'!$C260,Einzelbeträge!$E:$E,'Ausgaben Vorlage'!H$6)</f>
        <v>0</v>
      </c>
      <c r="I260" s="21">
        <f>SUMIFS(Einzelbeträge!$D:$D,Einzelbeträge!$C:$C,'Ausgaben Vorlage'!$C260,Einzelbeträge!$E:$E,'Ausgaben Vorlage'!I$6)</f>
        <v>0</v>
      </c>
      <c r="J260" s="21">
        <f>SUMIFS(Einzelbeträge!$D:$D,Einzelbeträge!$C:$C,'Ausgaben Vorlage'!$C260,Einzelbeträge!$E:$E,'Ausgaben Vorlage'!J$6)</f>
        <v>0</v>
      </c>
      <c r="K260" s="21">
        <f>SUMIFS(Einzelbeträge!$D:$D,Einzelbeträge!$C:$C,'Ausgaben Vorlage'!$C260,Einzelbeträge!$E:$E,'Ausgaben Vorlage'!K$6)</f>
        <v>0</v>
      </c>
      <c r="L260" s="21">
        <f>SUMIFS(Einzelbeträge!$D:$D,Einzelbeträge!$C:$C,'Ausgaben Vorlage'!$C260,Einzelbeträge!$E:$E,'Ausgaben Vorlage'!L$6)</f>
        <v>0</v>
      </c>
      <c r="M260" s="21">
        <f>SUMIFS(Einzelbeträge!$D:$D,Einzelbeträge!$C:$C,'Ausgaben Vorlage'!$C260,Einzelbeträge!$E:$E,'Ausgaben Vorlage'!M$6)</f>
        <v>0</v>
      </c>
      <c r="N260" s="35">
        <f>SUMIFS(Einzelbeträge!$D:$D,Einzelbeträge!$C:$C,'Ausgaben Vorlage'!$C260,Einzelbeträge!$E:$E,'Ausgaben Vorlage'!N$6)</f>
        <v>0</v>
      </c>
      <c r="O260" s="6"/>
    </row>
    <row r="261" spans="2:15" x14ac:dyDescent="0.35">
      <c r="B261" s="5"/>
      <c r="C261" s="40">
        <f t="shared" si="23"/>
        <v>45890</v>
      </c>
      <c r="D261" s="46">
        <f>SUMIFS(Einzelbeträge!$D:$D,Einzelbeträge!$C:$C,'Ausgaben Vorlage'!$C261)</f>
        <v>0</v>
      </c>
      <c r="E261" s="21">
        <f>SUMIFS(Einzelbeträge!$D:$D,Einzelbeträge!$C:$C,'Ausgaben Vorlage'!$C261,Einzelbeträge!$E:$E,'Ausgaben Vorlage'!E$6)</f>
        <v>0</v>
      </c>
      <c r="F261" s="21">
        <f>SUMIFS(Einzelbeträge!$D:$D,Einzelbeträge!$C:$C,'Ausgaben Vorlage'!$C261,Einzelbeträge!$E:$E,'Ausgaben Vorlage'!F$6)</f>
        <v>0</v>
      </c>
      <c r="G261" s="21">
        <f>SUMIFS(Einzelbeträge!$D:$D,Einzelbeträge!$C:$C,'Ausgaben Vorlage'!$C261,Einzelbeträge!$E:$E,'Ausgaben Vorlage'!G$6)</f>
        <v>0</v>
      </c>
      <c r="H261" s="21">
        <f>SUMIFS(Einzelbeträge!$D:$D,Einzelbeträge!$C:$C,'Ausgaben Vorlage'!$C261,Einzelbeträge!$E:$E,'Ausgaben Vorlage'!H$6)</f>
        <v>0</v>
      </c>
      <c r="I261" s="21">
        <f>SUMIFS(Einzelbeträge!$D:$D,Einzelbeträge!$C:$C,'Ausgaben Vorlage'!$C261,Einzelbeträge!$E:$E,'Ausgaben Vorlage'!I$6)</f>
        <v>0</v>
      </c>
      <c r="J261" s="21">
        <f>SUMIFS(Einzelbeträge!$D:$D,Einzelbeträge!$C:$C,'Ausgaben Vorlage'!$C261,Einzelbeträge!$E:$E,'Ausgaben Vorlage'!J$6)</f>
        <v>0</v>
      </c>
      <c r="K261" s="21">
        <f>SUMIFS(Einzelbeträge!$D:$D,Einzelbeträge!$C:$C,'Ausgaben Vorlage'!$C261,Einzelbeträge!$E:$E,'Ausgaben Vorlage'!K$6)</f>
        <v>0</v>
      </c>
      <c r="L261" s="21">
        <f>SUMIFS(Einzelbeträge!$D:$D,Einzelbeträge!$C:$C,'Ausgaben Vorlage'!$C261,Einzelbeträge!$E:$E,'Ausgaben Vorlage'!L$6)</f>
        <v>0</v>
      </c>
      <c r="M261" s="21">
        <f>SUMIFS(Einzelbeträge!$D:$D,Einzelbeträge!$C:$C,'Ausgaben Vorlage'!$C261,Einzelbeträge!$E:$E,'Ausgaben Vorlage'!M$6)</f>
        <v>0</v>
      </c>
      <c r="N261" s="35">
        <f>SUMIFS(Einzelbeträge!$D:$D,Einzelbeträge!$C:$C,'Ausgaben Vorlage'!$C261,Einzelbeträge!$E:$E,'Ausgaben Vorlage'!N$6)</f>
        <v>0</v>
      </c>
      <c r="O261" s="6"/>
    </row>
    <row r="262" spans="2:15" x14ac:dyDescent="0.35">
      <c r="B262" s="5"/>
      <c r="C262" s="40">
        <f t="shared" si="23"/>
        <v>45891</v>
      </c>
      <c r="D262" s="46">
        <f>SUMIFS(Einzelbeträge!$D:$D,Einzelbeträge!$C:$C,'Ausgaben Vorlage'!$C262)</f>
        <v>0</v>
      </c>
      <c r="E262" s="21">
        <f>SUMIFS(Einzelbeträge!$D:$D,Einzelbeträge!$C:$C,'Ausgaben Vorlage'!$C262,Einzelbeträge!$E:$E,'Ausgaben Vorlage'!E$6)</f>
        <v>0</v>
      </c>
      <c r="F262" s="21">
        <f>SUMIFS(Einzelbeträge!$D:$D,Einzelbeträge!$C:$C,'Ausgaben Vorlage'!$C262,Einzelbeträge!$E:$E,'Ausgaben Vorlage'!F$6)</f>
        <v>0</v>
      </c>
      <c r="G262" s="21">
        <f>SUMIFS(Einzelbeträge!$D:$D,Einzelbeträge!$C:$C,'Ausgaben Vorlage'!$C262,Einzelbeträge!$E:$E,'Ausgaben Vorlage'!G$6)</f>
        <v>0</v>
      </c>
      <c r="H262" s="21">
        <f>SUMIFS(Einzelbeträge!$D:$D,Einzelbeträge!$C:$C,'Ausgaben Vorlage'!$C262,Einzelbeträge!$E:$E,'Ausgaben Vorlage'!H$6)</f>
        <v>0</v>
      </c>
      <c r="I262" s="21">
        <f>SUMIFS(Einzelbeträge!$D:$D,Einzelbeträge!$C:$C,'Ausgaben Vorlage'!$C262,Einzelbeträge!$E:$E,'Ausgaben Vorlage'!I$6)</f>
        <v>0</v>
      </c>
      <c r="J262" s="21">
        <f>SUMIFS(Einzelbeträge!$D:$D,Einzelbeträge!$C:$C,'Ausgaben Vorlage'!$C262,Einzelbeträge!$E:$E,'Ausgaben Vorlage'!J$6)</f>
        <v>0</v>
      </c>
      <c r="K262" s="21">
        <f>SUMIFS(Einzelbeträge!$D:$D,Einzelbeträge!$C:$C,'Ausgaben Vorlage'!$C262,Einzelbeträge!$E:$E,'Ausgaben Vorlage'!K$6)</f>
        <v>0</v>
      </c>
      <c r="L262" s="21">
        <f>SUMIFS(Einzelbeträge!$D:$D,Einzelbeträge!$C:$C,'Ausgaben Vorlage'!$C262,Einzelbeträge!$E:$E,'Ausgaben Vorlage'!L$6)</f>
        <v>0</v>
      </c>
      <c r="M262" s="21">
        <f>SUMIFS(Einzelbeträge!$D:$D,Einzelbeträge!$C:$C,'Ausgaben Vorlage'!$C262,Einzelbeträge!$E:$E,'Ausgaben Vorlage'!M$6)</f>
        <v>0</v>
      </c>
      <c r="N262" s="35">
        <f>SUMIFS(Einzelbeträge!$D:$D,Einzelbeträge!$C:$C,'Ausgaben Vorlage'!$C262,Einzelbeträge!$E:$E,'Ausgaben Vorlage'!N$6)</f>
        <v>0</v>
      </c>
      <c r="O262" s="6"/>
    </row>
    <row r="263" spans="2:15" x14ac:dyDescent="0.35">
      <c r="B263" s="5"/>
      <c r="C263" s="40">
        <f t="shared" si="23"/>
        <v>45892</v>
      </c>
      <c r="D263" s="46">
        <f>SUMIFS(Einzelbeträge!$D:$D,Einzelbeträge!$C:$C,'Ausgaben Vorlage'!$C263)</f>
        <v>0</v>
      </c>
      <c r="E263" s="21">
        <f>SUMIFS(Einzelbeträge!$D:$D,Einzelbeträge!$C:$C,'Ausgaben Vorlage'!$C263,Einzelbeträge!$E:$E,'Ausgaben Vorlage'!E$6)</f>
        <v>0</v>
      </c>
      <c r="F263" s="21">
        <f>SUMIFS(Einzelbeträge!$D:$D,Einzelbeträge!$C:$C,'Ausgaben Vorlage'!$C263,Einzelbeträge!$E:$E,'Ausgaben Vorlage'!F$6)</f>
        <v>0</v>
      </c>
      <c r="G263" s="21">
        <f>SUMIFS(Einzelbeträge!$D:$D,Einzelbeträge!$C:$C,'Ausgaben Vorlage'!$C263,Einzelbeträge!$E:$E,'Ausgaben Vorlage'!G$6)</f>
        <v>0</v>
      </c>
      <c r="H263" s="21">
        <f>SUMIFS(Einzelbeträge!$D:$D,Einzelbeträge!$C:$C,'Ausgaben Vorlage'!$C263,Einzelbeträge!$E:$E,'Ausgaben Vorlage'!H$6)</f>
        <v>0</v>
      </c>
      <c r="I263" s="21">
        <f>SUMIFS(Einzelbeträge!$D:$D,Einzelbeträge!$C:$C,'Ausgaben Vorlage'!$C263,Einzelbeträge!$E:$E,'Ausgaben Vorlage'!I$6)</f>
        <v>0</v>
      </c>
      <c r="J263" s="21">
        <f>SUMIFS(Einzelbeträge!$D:$D,Einzelbeträge!$C:$C,'Ausgaben Vorlage'!$C263,Einzelbeträge!$E:$E,'Ausgaben Vorlage'!J$6)</f>
        <v>0</v>
      </c>
      <c r="K263" s="21">
        <f>SUMIFS(Einzelbeträge!$D:$D,Einzelbeträge!$C:$C,'Ausgaben Vorlage'!$C263,Einzelbeträge!$E:$E,'Ausgaben Vorlage'!K$6)</f>
        <v>0</v>
      </c>
      <c r="L263" s="21">
        <f>SUMIFS(Einzelbeträge!$D:$D,Einzelbeträge!$C:$C,'Ausgaben Vorlage'!$C263,Einzelbeträge!$E:$E,'Ausgaben Vorlage'!L$6)</f>
        <v>0</v>
      </c>
      <c r="M263" s="21">
        <f>SUMIFS(Einzelbeträge!$D:$D,Einzelbeträge!$C:$C,'Ausgaben Vorlage'!$C263,Einzelbeträge!$E:$E,'Ausgaben Vorlage'!M$6)</f>
        <v>0</v>
      </c>
      <c r="N263" s="35">
        <f>SUMIFS(Einzelbeträge!$D:$D,Einzelbeträge!$C:$C,'Ausgaben Vorlage'!$C263,Einzelbeträge!$E:$E,'Ausgaben Vorlage'!N$6)</f>
        <v>0</v>
      </c>
      <c r="O263" s="6"/>
    </row>
    <row r="264" spans="2:15" x14ac:dyDescent="0.35">
      <c r="B264" s="5"/>
      <c r="C264" s="40">
        <f t="shared" si="23"/>
        <v>45893</v>
      </c>
      <c r="D264" s="46">
        <f>SUMIFS(Einzelbeträge!$D:$D,Einzelbeträge!$C:$C,'Ausgaben Vorlage'!$C264)</f>
        <v>0</v>
      </c>
      <c r="E264" s="21">
        <f>SUMIFS(Einzelbeträge!$D:$D,Einzelbeträge!$C:$C,'Ausgaben Vorlage'!$C264,Einzelbeträge!$E:$E,'Ausgaben Vorlage'!E$6)</f>
        <v>0</v>
      </c>
      <c r="F264" s="21">
        <f>SUMIFS(Einzelbeträge!$D:$D,Einzelbeträge!$C:$C,'Ausgaben Vorlage'!$C264,Einzelbeträge!$E:$E,'Ausgaben Vorlage'!F$6)</f>
        <v>0</v>
      </c>
      <c r="G264" s="21">
        <f>SUMIFS(Einzelbeträge!$D:$D,Einzelbeträge!$C:$C,'Ausgaben Vorlage'!$C264,Einzelbeträge!$E:$E,'Ausgaben Vorlage'!G$6)</f>
        <v>0</v>
      </c>
      <c r="H264" s="21">
        <f>SUMIFS(Einzelbeträge!$D:$D,Einzelbeträge!$C:$C,'Ausgaben Vorlage'!$C264,Einzelbeträge!$E:$E,'Ausgaben Vorlage'!H$6)</f>
        <v>0</v>
      </c>
      <c r="I264" s="21">
        <f>SUMIFS(Einzelbeträge!$D:$D,Einzelbeträge!$C:$C,'Ausgaben Vorlage'!$C264,Einzelbeträge!$E:$E,'Ausgaben Vorlage'!I$6)</f>
        <v>0</v>
      </c>
      <c r="J264" s="21">
        <f>SUMIFS(Einzelbeträge!$D:$D,Einzelbeträge!$C:$C,'Ausgaben Vorlage'!$C264,Einzelbeträge!$E:$E,'Ausgaben Vorlage'!J$6)</f>
        <v>0</v>
      </c>
      <c r="K264" s="21">
        <f>SUMIFS(Einzelbeträge!$D:$D,Einzelbeträge!$C:$C,'Ausgaben Vorlage'!$C264,Einzelbeträge!$E:$E,'Ausgaben Vorlage'!K$6)</f>
        <v>0</v>
      </c>
      <c r="L264" s="21">
        <f>SUMIFS(Einzelbeträge!$D:$D,Einzelbeträge!$C:$C,'Ausgaben Vorlage'!$C264,Einzelbeträge!$E:$E,'Ausgaben Vorlage'!L$6)</f>
        <v>0</v>
      </c>
      <c r="M264" s="21">
        <f>SUMIFS(Einzelbeträge!$D:$D,Einzelbeträge!$C:$C,'Ausgaben Vorlage'!$C264,Einzelbeträge!$E:$E,'Ausgaben Vorlage'!M$6)</f>
        <v>0</v>
      </c>
      <c r="N264" s="35">
        <f>SUMIFS(Einzelbeträge!$D:$D,Einzelbeträge!$C:$C,'Ausgaben Vorlage'!$C264,Einzelbeträge!$E:$E,'Ausgaben Vorlage'!N$6)</f>
        <v>0</v>
      </c>
      <c r="O264" s="6"/>
    </row>
    <row r="265" spans="2:15" x14ac:dyDescent="0.35">
      <c r="B265" s="5"/>
      <c r="C265" s="40">
        <f t="shared" si="23"/>
        <v>45894</v>
      </c>
      <c r="D265" s="46">
        <f>SUMIFS(Einzelbeträge!$D:$D,Einzelbeträge!$C:$C,'Ausgaben Vorlage'!$C265)</f>
        <v>0</v>
      </c>
      <c r="E265" s="21">
        <f>SUMIFS(Einzelbeträge!$D:$D,Einzelbeträge!$C:$C,'Ausgaben Vorlage'!$C265,Einzelbeträge!$E:$E,'Ausgaben Vorlage'!E$6)</f>
        <v>0</v>
      </c>
      <c r="F265" s="21">
        <f>SUMIFS(Einzelbeträge!$D:$D,Einzelbeträge!$C:$C,'Ausgaben Vorlage'!$C265,Einzelbeträge!$E:$E,'Ausgaben Vorlage'!F$6)</f>
        <v>0</v>
      </c>
      <c r="G265" s="21">
        <f>SUMIFS(Einzelbeträge!$D:$D,Einzelbeträge!$C:$C,'Ausgaben Vorlage'!$C265,Einzelbeträge!$E:$E,'Ausgaben Vorlage'!G$6)</f>
        <v>0</v>
      </c>
      <c r="H265" s="21">
        <f>SUMIFS(Einzelbeträge!$D:$D,Einzelbeträge!$C:$C,'Ausgaben Vorlage'!$C265,Einzelbeträge!$E:$E,'Ausgaben Vorlage'!H$6)</f>
        <v>0</v>
      </c>
      <c r="I265" s="21">
        <f>SUMIFS(Einzelbeträge!$D:$D,Einzelbeträge!$C:$C,'Ausgaben Vorlage'!$C265,Einzelbeträge!$E:$E,'Ausgaben Vorlage'!I$6)</f>
        <v>0</v>
      </c>
      <c r="J265" s="21">
        <f>SUMIFS(Einzelbeträge!$D:$D,Einzelbeträge!$C:$C,'Ausgaben Vorlage'!$C265,Einzelbeträge!$E:$E,'Ausgaben Vorlage'!J$6)</f>
        <v>0</v>
      </c>
      <c r="K265" s="21">
        <f>SUMIFS(Einzelbeträge!$D:$D,Einzelbeträge!$C:$C,'Ausgaben Vorlage'!$C265,Einzelbeträge!$E:$E,'Ausgaben Vorlage'!K$6)</f>
        <v>0</v>
      </c>
      <c r="L265" s="21">
        <f>SUMIFS(Einzelbeträge!$D:$D,Einzelbeträge!$C:$C,'Ausgaben Vorlage'!$C265,Einzelbeträge!$E:$E,'Ausgaben Vorlage'!L$6)</f>
        <v>0</v>
      </c>
      <c r="M265" s="21">
        <f>SUMIFS(Einzelbeträge!$D:$D,Einzelbeträge!$C:$C,'Ausgaben Vorlage'!$C265,Einzelbeträge!$E:$E,'Ausgaben Vorlage'!M$6)</f>
        <v>0</v>
      </c>
      <c r="N265" s="35">
        <f>SUMIFS(Einzelbeträge!$D:$D,Einzelbeträge!$C:$C,'Ausgaben Vorlage'!$C265,Einzelbeträge!$E:$E,'Ausgaben Vorlage'!N$6)</f>
        <v>0</v>
      </c>
      <c r="O265" s="6"/>
    </row>
    <row r="266" spans="2:15" x14ac:dyDescent="0.35">
      <c r="B266" s="5"/>
      <c r="C266" s="40">
        <f t="shared" si="23"/>
        <v>45895</v>
      </c>
      <c r="D266" s="46">
        <f>SUMIFS(Einzelbeträge!$D:$D,Einzelbeträge!$C:$C,'Ausgaben Vorlage'!$C266)</f>
        <v>0</v>
      </c>
      <c r="E266" s="21">
        <f>SUMIFS(Einzelbeträge!$D:$D,Einzelbeträge!$C:$C,'Ausgaben Vorlage'!$C266,Einzelbeträge!$E:$E,'Ausgaben Vorlage'!E$6)</f>
        <v>0</v>
      </c>
      <c r="F266" s="21">
        <f>SUMIFS(Einzelbeträge!$D:$D,Einzelbeträge!$C:$C,'Ausgaben Vorlage'!$C266,Einzelbeträge!$E:$E,'Ausgaben Vorlage'!F$6)</f>
        <v>0</v>
      </c>
      <c r="G266" s="21">
        <f>SUMIFS(Einzelbeträge!$D:$D,Einzelbeträge!$C:$C,'Ausgaben Vorlage'!$C266,Einzelbeträge!$E:$E,'Ausgaben Vorlage'!G$6)</f>
        <v>0</v>
      </c>
      <c r="H266" s="21">
        <f>SUMIFS(Einzelbeträge!$D:$D,Einzelbeträge!$C:$C,'Ausgaben Vorlage'!$C266,Einzelbeträge!$E:$E,'Ausgaben Vorlage'!H$6)</f>
        <v>0</v>
      </c>
      <c r="I266" s="21">
        <f>SUMIFS(Einzelbeträge!$D:$D,Einzelbeträge!$C:$C,'Ausgaben Vorlage'!$C266,Einzelbeträge!$E:$E,'Ausgaben Vorlage'!I$6)</f>
        <v>0</v>
      </c>
      <c r="J266" s="21">
        <f>SUMIFS(Einzelbeträge!$D:$D,Einzelbeträge!$C:$C,'Ausgaben Vorlage'!$C266,Einzelbeträge!$E:$E,'Ausgaben Vorlage'!J$6)</f>
        <v>0</v>
      </c>
      <c r="K266" s="21">
        <f>SUMIFS(Einzelbeträge!$D:$D,Einzelbeträge!$C:$C,'Ausgaben Vorlage'!$C266,Einzelbeträge!$E:$E,'Ausgaben Vorlage'!K$6)</f>
        <v>0</v>
      </c>
      <c r="L266" s="21">
        <f>SUMIFS(Einzelbeträge!$D:$D,Einzelbeträge!$C:$C,'Ausgaben Vorlage'!$C266,Einzelbeträge!$E:$E,'Ausgaben Vorlage'!L$6)</f>
        <v>0</v>
      </c>
      <c r="M266" s="21">
        <f>SUMIFS(Einzelbeträge!$D:$D,Einzelbeträge!$C:$C,'Ausgaben Vorlage'!$C266,Einzelbeträge!$E:$E,'Ausgaben Vorlage'!M$6)</f>
        <v>0</v>
      </c>
      <c r="N266" s="35">
        <f>SUMIFS(Einzelbeträge!$D:$D,Einzelbeträge!$C:$C,'Ausgaben Vorlage'!$C266,Einzelbeträge!$E:$E,'Ausgaben Vorlage'!N$6)</f>
        <v>0</v>
      </c>
      <c r="O266" s="6"/>
    </row>
    <row r="267" spans="2:15" x14ac:dyDescent="0.35">
      <c r="B267" s="5"/>
      <c r="C267" s="40">
        <f t="shared" si="23"/>
        <v>45896</v>
      </c>
      <c r="D267" s="46">
        <f>SUMIFS(Einzelbeträge!$D:$D,Einzelbeträge!$C:$C,'Ausgaben Vorlage'!$C267)</f>
        <v>0</v>
      </c>
      <c r="E267" s="21">
        <f>SUMIFS(Einzelbeträge!$D:$D,Einzelbeträge!$C:$C,'Ausgaben Vorlage'!$C267,Einzelbeträge!$E:$E,'Ausgaben Vorlage'!E$6)</f>
        <v>0</v>
      </c>
      <c r="F267" s="21">
        <f>SUMIFS(Einzelbeträge!$D:$D,Einzelbeträge!$C:$C,'Ausgaben Vorlage'!$C267,Einzelbeträge!$E:$E,'Ausgaben Vorlage'!F$6)</f>
        <v>0</v>
      </c>
      <c r="G267" s="21">
        <f>SUMIFS(Einzelbeträge!$D:$D,Einzelbeträge!$C:$C,'Ausgaben Vorlage'!$C267,Einzelbeträge!$E:$E,'Ausgaben Vorlage'!G$6)</f>
        <v>0</v>
      </c>
      <c r="H267" s="21">
        <f>SUMIFS(Einzelbeträge!$D:$D,Einzelbeträge!$C:$C,'Ausgaben Vorlage'!$C267,Einzelbeträge!$E:$E,'Ausgaben Vorlage'!H$6)</f>
        <v>0</v>
      </c>
      <c r="I267" s="21">
        <f>SUMIFS(Einzelbeträge!$D:$D,Einzelbeträge!$C:$C,'Ausgaben Vorlage'!$C267,Einzelbeträge!$E:$E,'Ausgaben Vorlage'!I$6)</f>
        <v>0</v>
      </c>
      <c r="J267" s="21">
        <f>SUMIFS(Einzelbeträge!$D:$D,Einzelbeträge!$C:$C,'Ausgaben Vorlage'!$C267,Einzelbeträge!$E:$E,'Ausgaben Vorlage'!J$6)</f>
        <v>0</v>
      </c>
      <c r="K267" s="21">
        <f>SUMIFS(Einzelbeträge!$D:$D,Einzelbeträge!$C:$C,'Ausgaben Vorlage'!$C267,Einzelbeträge!$E:$E,'Ausgaben Vorlage'!K$6)</f>
        <v>0</v>
      </c>
      <c r="L267" s="21">
        <f>SUMIFS(Einzelbeträge!$D:$D,Einzelbeträge!$C:$C,'Ausgaben Vorlage'!$C267,Einzelbeträge!$E:$E,'Ausgaben Vorlage'!L$6)</f>
        <v>0</v>
      </c>
      <c r="M267" s="21">
        <f>SUMIFS(Einzelbeträge!$D:$D,Einzelbeträge!$C:$C,'Ausgaben Vorlage'!$C267,Einzelbeträge!$E:$E,'Ausgaben Vorlage'!M$6)</f>
        <v>0</v>
      </c>
      <c r="N267" s="35">
        <f>SUMIFS(Einzelbeträge!$D:$D,Einzelbeträge!$C:$C,'Ausgaben Vorlage'!$C267,Einzelbeträge!$E:$E,'Ausgaben Vorlage'!N$6)</f>
        <v>0</v>
      </c>
      <c r="O267" s="6"/>
    </row>
    <row r="268" spans="2:15" x14ac:dyDescent="0.35">
      <c r="B268" s="5"/>
      <c r="C268" s="40">
        <f t="shared" si="23"/>
        <v>45897</v>
      </c>
      <c r="D268" s="46">
        <f>SUMIFS(Einzelbeträge!$D:$D,Einzelbeträge!$C:$C,'Ausgaben Vorlage'!$C268)</f>
        <v>0</v>
      </c>
      <c r="E268" s="21">
        <f>SUMIFS(Einzelbeträge!$D:$D,Einzelbeträge!$C:$C,'Ausgaben Vorlage'!$C268,Einzelbeträge!$E:$E,'Ausgaben Vorlage'!E$6)</f>
        <v>0</v>
      </c>
      <c r="F268" s="21">
        <f>SUMIFS(Einzelbeträge!$D:$D,Einzelbeträge!$C:$C,'Ausgaben Vorlage'!$C268,Einzelbeträge!$E:$E,'Ausgaben Vorlage'!F$6)</f>
        <v>0</v>
      </c>
      <c r="G268" s="21">
        <f>SUMIFS(Einzelbeträge!$D:$D,Einzelbeträge!$C:$C,'Ausgaben Vorlage'!$C268,Einzelbeträge!$E:$E,'Ausgaben Vorlage'!G$6)</f>
        <v>0</v>
      </c>
      <c r="H268" s="21">
        <f>SUMIFS(Einzelbeträge!$D:$D,Einzelbeträge!$C:$C,'Ausgaben Vorlage'!$C268,Einzelbeträge!$E:$E,'Ausgaben Vorlage'!H$6)</f>
        <v>0</v>
      </c>
      <c r="I268" s="21">
        <f>SUMIFS(Einzelbeträge!$D:$D,Einzelbeträge!$C:$C,'Ausgaben Vorlage'!$C268,Einzelbeträge!$E:$E,'Ausgaben Vorlage'!I$6)</f>
        <v>0</v>
      </c>
      <c r="J268" s="21">
        <f>SUMIFS(Einzelbeträge!$D:$D,Einzelbeträge!$C:$C,'Ausgaben Vorlage'!$C268,Einzelbeträge!$E:$E,'Ausgaben Vorlage'!J$6)</f>
        <v>0</v>
      </c>
      <c r="K268" s="21">
        <f>SUMIFS(Einzelbeträge!$D:$D,Einzelbeträge!$C:$C,'Ausgaben Vorlage'!$C268,Einzelbeträge!$E:$E,'Ausgaben Vorlage'!K$6)</f>
        <v>0</v>
      </c>
      <c r="L268" s="21">
        <f>SUMIFS(Einzelbeträge!$D:$D,Einzelbeträge!$C:$C,'Ausgaben Vorlage'!$C268,Einzelbeträge!$E:$E,'Ausgaben Vorlage'!L$6)</f>
        <v>0</v>
      </c>
      <c r="M268" s="21">
        <f>SUMIFS(Einzelbeträge!$D:$D,Einzelbeträge!$C:$C,'Ausgaben Vorlage'!$C268,Einzelbeträge!$E:$E,'Ausgaben Vorlage'!M$6)</f>
        <v>0</v>
      </c>
      <c r="N268" s="35">
        <f>SUMIFS(Einzelbeträge!$D:$D,Einzelbeträge!$C:$C,'Ausgaben Vorlage'!$C268,Einzelbeträge!$E:$E,'Ausgaben Vorlage'!N$6)</f>
        <v>0</v>
      </c>
      <c r="O268" s="6"/>
    </row>
    <row r="269" spans="2:15" x14ac:dyDescent="0.35">
      <c r="B269" s="5"/>
      <c r="C269" s="40">
        <f t="shared" si="23"/>
        <v>45898</v>
      </c>
      <c r="D269" s="46">
        <f>SUMIFS(Einzelbeträge!$D:$D,Einzelbeträge!$C:$C,'Ausgaben Vorlage'!$C269)</f>
        <v>0</v>
      </c>
      <c r="E269" s="21">
        <f>SUMIFS(Einzelbeträge!$D:$D,Einzelbeträge!$C:$C,'Ausgaben Vorlage'!$C269,Einzelbeträge!$E:$E,'Ausgaben Vorlage'!E$6)</f>
        <v>0</v>
      </c>
      <c r="F269" s="21">
        <f>SUMIFS(Einzelbeträge!$D:$D,Einzelbeträge!$C:$C,'Ausgaben Vorlage'!$C269,Einzelbeträge!$E:$E,'Ausgaben Vorlage'!F$6)</f>
        <v>0</v>
      </c>
      <c r="G269" s="21">
        <f>SUMIFS(Einzelbeträge!$D:$D,Einzelbeträge!$C:$C,'Ausgaben Vorlage'!$C269,Einzelbeträge!$E:$E,'Ausgaben Vorlage'!G$6)</f>
        <v>0</v>
      </c>
      <c r="H269" s="21">
        <f>SUMIFS(Einzelbeträge!$D:$D,Einzelbeträge!$C:$C,'Ausgaben Vorlage'!$C269,Einzelbeträge!$E:$E,'Ausgaben Vorlage'!H$6)</f>
        <v>0</v>
      </c>
      <c r="I269" s="21">
        <f>SUMIFS(Einzelbeträge!$D:$D,Einzelbeträge!$C:$C,'Ausgaben Vorlage'!$C269,Einzelbeträge!$E:$E,'Ausgaben Vorlage'!I$6)</f>
        <v>0</v>
      </c>
      <c r="J269" s="21">
        <f>SUMIFS(Einzelbeträge!$D:$D,Einzelbeträge!$C:$C,'Ausgaben Vorlage'!$C269,Einzelbeträge!$E:$E,'Ausgaben Vorlage'!J$6)</f>
        <v>0</v>
      </c>
      <c r="K269" s="21">
        <f>SUMIFS(Einzelbeträge!$D:$D,Einzelbeträge!$C:$C,'Ausgaben Vorlage'!$C269,Einzelbeträge!$E:$E,'Ausgaben Vorlage'!K$6)</f>
        <v>0</v>
      </c>
      <c r="L269" s="21">
        <f>SUMIFS(Einzelbeträge!$D:$D,Einzelbeträge!$C:$C,'Ausgaben Vorlage'!$C269,Einzelbeträge!$E:$E,'Ausgaben Vorlage'!L$6)</f>
        <v>0</v>
      </c>
      <c r="M269" s="21">
        <f>SUMIFS(Einzelbeträge!$D:$D,Einzelbeträge!$C:$C,'Ausgaben Vorlage'!$C269,Einzelbeträge!$E:$E,'Ausgaben Vorlage'!M$6)</f>
        <v>0</v>
      </c>
      <c r="N269" s="35">
        <f>SUMIFS(Einzelbeträge!$D:$D,Einzelbeträge!$C:$C,'Ausgaben Vorlage'!$C269,Einzelbeträge!$E:$E,'Ausgaben Vorlage'!N$6)</f>
        <v>0</v>
      </c>
      <c r="O269" s="6"/>
    </row>
    <row r="270" spans="2:15" x14ac:dyDescent="0.35">
      <c r="B270" s="5"/>
      <c r="C270" s="40">
        <f t="shared" si="23"/>
        <v>45899</v>
      </c>
      <c r="D270" s="46">
        <f>SUMIFS(Einzelbeträge!$D:$D,Einzelbeträge!$C:$C,'Ausgaben Vorlage'!$C270)</f>
        <v>0</v>
      </c>
      <c r="E270" s="21">
        <f>SUMIFS(Einzelbeträge!$D:$D,Einzelbeträge!$C:$C,'Ausgaben Vorlage'!$C270,Einzelbeträge!$E:$E,'Ausgaben Vorlage'!E$6)</f>
        <v>0</v>
      </c>
      <c r="F270" s="21">
        <f>SUMIFS(Einzelbeträge!$D:$D,Einzelbeträge!$C:$C,'Ausgaben Vorlage'!$C270,Einzelbeträge!$E:$E,'Ausgaben Vorlage'!F$6)</f>
        <v>0</v>
      </c>
      <c r="G270" s="21">
        <f>SUMIFS(Einzelbeträge!$D:$D,Einzelbeträge!$C:$C,'Ausgaben Vorlage'!$C270,Einzelbeträge!$E:$E,'Ausgaben Vorlage'!G$6)</f>
        <v>0</v>
      </c>
      <c r="H270" s="21">
        <f>SUMIFS(Einzelbeträge!$D:$D,Einzelbeträge!$C:$C,'Ausgaben Vorlage'!$C270,Einzelbeträge!$E:$E,'Ausgaben Vorlage'!H$6)</f>
        <v>0</v>
      </c>
      <c r="I270" s="21">
        <f>SUMIFS(Einzelbeträge!$D:$D,Einzelbeträge!$C:$C,'Ausgaben Vorlage'!$C270,Einzelbeträge!$E:$E,'Ausgaben Vorlage'!I$6)</f>
        <v>0</v>
      </c>
      <c r="J270" s="21">
        <f>SUMIFS(Einzelbeträge!$D:$D,Einzelbeträge!$C:$C,'Ausgaben Vorlage'!$C270,Einzelbeträge!$E:$E,'Ausgaben Vorlage'!J$6)</f>
        <v>0</v>
      </c>
      <c r="K270" s="21">
        <f>SUMIFS(Einzelbeträge!$D:$D,Einzelbeträge!$C:$C,'Ausgaben Vorlage'!$C270,Einzelbeträge!$E:$E,'Ausgaben Vorlage'!K$6)</f>
        <v>0</v>
      </c>
      <c r="L270" s="21">
        <f>SUMIFS(Einzelbeträge!$D:$D,Einzelbeträge!$C:$C,'Ausgaben Vorlage'!$C270,Einzelbeträge!$E:$E,'Ausgaben Vorlage'!L$6)</f>
        <v>0</v>
      </c>
      <c r="M270" s="21">
        <f>SUMIFS(Einzelbeträge!$D:$D,Einzelbeträge!$C:$C,'Ausgaben Vorlage'!$C270,Einzelbeträge!$E:$E,'Ausgaben Vorlage'!M$6)</f>
        <v>0</v>
      </c>
      <c r="N270" s="35">
        <f>SUMIFS(Einzelbeträge!$D:$D,Einzelbeträge!$C:$C,'Ausgaben Vorlage'!$C270,Einzelbeträge!$E:$E,'Ausgaben Vorlage'!N$6)</f>
        <v>0</v>
      </c>
      <c r="O270" s="6"/>
    </row>
    <row r="271" spans="2:15" x14ac:dyDescent="0.35">
      <c r="B271" s="5"/>
      <c r="C271" s="31">
        <f t="shared" si="23"/>
        <v>45900</v>
      </c>
      <c r="D271" s="47">
        <f>SUMIFS(Einzelbeträge!$D:$D,Einzelbeträge!$C:$C,'Ausgaben Vorlage'!$C271)</f>
        <v>0</v>
      </c>
      <c r="E271" s="37">
        <f>SUMIFS(Einzelbeträge!$D:$D,Einzelbeträge!$C:$C,'Ausgaben Vorlage'!$C271,Einzelbeträge!$E:$E,'Ausgaben Vorlage'!E$6)</f>
        <v>0</v>
      </c>
      <c r="F271" s="37">
        <f>SUMIFS(Einzelbeträge!$D:$D,Einzelbeträge!$C:$C,'Ausgaben Vorlage'!$C271,Einzelbeträge!$E:$E,'Ausgaben Vorlage'!F$6)</f>
        <v>0</v>
      </c>
      <c r="G271" s="37">
        <f>SUMIFS(Einzelbeträge!$D:$D,Einzelbeträge!$C:$C,'Ausgaben Vorlage'!$C271,Einzelbeträge!$E:$E,'Ausgaben Vorlage'!G$6)</f>
        <v>0</v>
      </c>
      <c r="H271" s="37">
        <f>SUMIFS(Einzelbeträge!$D:$D,Einzelbeträge!$C:$C,'Ausgaben Vorlage'!$C271,Einzelbeträge!$E:$E,'Ausgaben Vorlage'!H$6)</f>
        <v>0</v>
      </c>
      <c r="I271" s="37">
        <f>SUMIFS(Einzelbeträge!$D:$D,Einzelbeträge!$C:$C,'Ausgaben Vorlage'!$C271,Einzelbeträge!$E:$E,'Ausgaben Vorlage'!I$6)</f>
        <v>0</v>
      </c>
      <c r="J271" s="37">
        <f>SUMIFS(Einzelbeträge!$D:$D,Einzelbeträge!$C:$C,'Ausgaben Vorlage'!$C271,Einzelbeträge!$E:$E,'Ausgaben Vorlage'!J$6)</f>
        <v>0</v>
      </c>
      <c r="K271" s="37">
        <f>SUMIFS(Einzelbeträge!$D:$D,Einzelbeträge!$C:$C,'Ausgaben Vorlage'!$C271,Einzelbeträge!$E:$E,'Ausgaben Vorlage'!K$6)</f>
        <v>0</v>
      </c>
      <c r="L271" s="37">
        <f>SUMIFS(Einzelbeträge!$D:$D,Einzelbeträge!$C:$C,'Ausgaben Vorlage'!$C271,Einzelbeträge!$E:$E,'Ausgaben Vorlage'!L$6)</f>
        <v>0</v>
      </c>
      <c r="M271" s="37">
        <f>SUMIFS(Einzelbeträge!$D:$D,Einzelbeträge!$C:$C,'Ausgaben Vorlage'!$C271,Einzelbeträge!$E:$E,'Ausgaben Vorlage'!M$6)</f>
        <v>0</v>
      </c>
      <c r="N271" s="38">
        <f>SUMIFS(Einzelbeträge!$D:$D,Einzelbeträge!$C:$C,'Ausgaben Vorlage'!$C271,Einzelbeträge!$E:$E,'Ausgaben Vorlage'!N$6)</f>
        <v>0</v>
      </c>
      <c r="O271" s="6"/>
    </row>
    <row r="272" spans="2:15" x14ac:dyDescent="0.35">
      <c r="B272" s="5"/>
      <c r="C272" s="22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6"/>
    </row>
    <row r="273" spans="2:15" x14ac:dyDescent="0.35">
      <c r="B273" s="5"/>
      <c r="C273" s="16" t="s">
        <v>25</v>
      </c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6"/>
    </row>
    <row r="274" spans="2:15" x14ac:dyDescent="0.35">
      <c r="B274" s="5"/>
      <c r="C274" s="1" t="s">
        <v>7</v>
      </c>
      <c r="D274" s="16" t="s">
        <v>6</v>
      </c>
      <c r="E274" s="42" t="s">
        <v>0</v>
      </c>
      <c r="F274" s="42" t="s">
        <v>1</v>
      </c>
      <c r="G274" s="42" t="s">
        <v>3</v>
      </c>
      <c r="H274" s="42" t="s">
        <v>2</v>
      </c>
      <c r="I274" s="42" t="s">
        <v>42</v>
      </c>
      <c r="J274" s="42" t="s">
        <v>65</v>
      </c>
      <c r="K274" s="42" t="s">
        <v>64</v>
      </c>
      <c r="L274" s="42" t="s">
        <v>63</v>
      </c>
      <c r="M274" s="42" t="s">
        <v>62</v>
      </c>
      <c r="N274" s="43" t="s">
        <v>61</v>
      </c>
      <c r="O274" s="6"/>
    </row>
    <row r="275" spans="2:15" x14ac:dyDescent="0.35">
      <c r="B275" s="5"/>
      <c r="C275" s="48">
        <f>C271+1</f>
        <v>45901</v>
      </c>
      <c r="D275" s="45">
        <f>SUMIFS(Einzelbeträge!$D:$D,Einzelbeträge!$C:$C,'Ausgaben Vorlage'!$C275)</f>
        <v>0</v>
      </c>
      <c r="E275" s="32">
        <f>SUMIFS(Einzelbeträge!$D:$D,Einzelbeträge!$C:$C,'Ausgaben Vorlage'!$C275,Einzelbeträge!$E:$E,'Ausgaben Vorlage'!E$6)</f>
        <v>0</v>
      </c>
      <c r="F275" s="32">
        <f>SUMIFS(Einzelbeträge!$D:$D,Einzelbeträge!$C:$C,'Ausgaben Vorlage'!$C275,Einzelbeträge!$E:$E,'Ausgaben Vorlage'!F$6)</f>
        <v>0</v>
      </c>
      <c r="G275" s="32">
        <f>SUMIFS(Einzelbeträge!$D:$D,Einzelbeträge!$C:$C,'Ausgaben Vorlage'!$C275,Einzelbeträge!$E:$E,'Ausgaben Vorlage'!G$6)</f>
        <v>0</v>
      </c>
      <c r="H275" s="32">
        <f>SUMIFS(Einzelbeträge!$D:$D,Einzelbeträge!$C:$C,'Ausgaben Vorlage'!$C275,Einzelbeträge!$E:$E,'Ausgaben Vorlage'!H$6)</f>
        <v>0</v>
      </c>
      <c r="I275" s="32">
        <f>SUMIFS(Einzelbeträge!$D:$D,Einzelbeträge!$C:$C,'Ausgaben Vorlage'!$C275,Einzelbeträge!$E:$E,'Ausgaben Vorlage'!I$6)</f>
        <v>0</v>
      </c>
      <c r="J275" s="32">
        <f>SUMIFS(Einzelbeträge!$D:$D,Einzelbeträge!$C:$C,'Ausgaben Vorlage'!$C275,Einzelbeträge!$E:$E,'Ausgaben Vorlage'!J$6)</f>
        <v>0</v>
      </c>
      <c r="K275" s="32">
        <f>SUMIFS(Einzelbeträge!$D:$D,Einzelbeträge!$C:$C,'Ausgaben Vorlage'!$C275,Einzelbeträge!$E:$E,'Ausgaben Vorlage'!K$6)</f>
        <v>0</v>
      </c>
      <c r="L275" s="32">
        <f>SUMIFS(Einzelbeträge!$D:$D,Einzelbeträge!$C:$C,'Ausgaben Vorlage'!$C275,Einzelbeträge!$E:$E,'Ausgaben Vorlage'!L$6)</f>
        <v>0</v>
      </c>
      <c r="M275" s="32">
        <f>SUMIFS(Einzelbeträge!$D:$D,Einzelbeträge!$C:$C,'Ausgaben Vorlage'!$C275,Einzelbeträge!$E:$E,'Ausgaben Vorlage'!M$6)</f>
        <v>0</v>
      </c>
      <c r="N275" s="33">
        <f>SUMIFS(Einzelbeträge!$D:$D,Einzelbeträge!$C:$C,'Ausgaben Vorlage'!$C275,Einzelbeträge!$E:$E,'Ausgaben Vorlage'!N$6)</f>
        <v>0</v>
      </c>
      <c r="O275" s="6"/>
    </row>
    <row r="276" spans="2:15" x14ac:dyDescent="0.35">
      <c r="B276" s="5"/>
      <c r="C276" s="30">
        <f>C275+1</f>
        <v>45902</v>
      </c>
      <c r="D276" s="46">
        <f>SUMIFS(Einzelbeträge!$D:$D,Einzelbeträge!$C:$C,'Ausgaben Vorlage'!$C276)</f>
        <v>0</v>
      </c>
      <c r="E276" s="21">
        <f>SUMIFS(Einzelbeträge!$D:$D,Einzelbeträge!$C:$C,'Ausgaben Vorlage'!$C276,Einzelbeträge!$E:$E,'Ausgaben Vorlage'!E$6)</f>
        <v>0</v>
      </c>
      <c r="F276" s="21">
        <f>SUMIFS(Einzelbeträge!$D:$D,Einzelbeträge!$C:$C,'Ausgaben Vorlage'!$C276,Einzelbeträge!$E:$E,'Ausgaben Vorlage'!F$6)</f>
        <v>0</v>
      </c>
      <c r="G276" s="21">
        <f>SUMIFS(Einzelbeträge!$D:$D,Einzelbeträge!$C:$C,'Ausgaben Vorlage'!$C276,Einzelbeträge!$E:$E,'Ausgaben Vorlage'!G$6)</f>
        <v>0</v>
      </c>
      <c r="H276" s="21">
        <f>SUMIFS(Einzelbeträge!$D:$D,Einzelbeträge!$C:$C,'Ausgaben Vorlage'!$C276,Einzelbeträge!$E:$E,'Ausgaben Vorlage'!H$6)</f>
        <v>0</v>
      </c>
      <c r="I276" s="21">
        <f>SUMIFS(Einzelbeträge!$D:$D,Einzelbeträge!$C:$C,'Ausgaben Vorlage'!$C276,Einzelbeträge!$E:$E,'Ausgaben Vorlage'!I$6)</f>
        <v>0</v>
      </c>
      <c r="J276" s="21">
        <f>SUMIFS(Einzelbeträge!$D:$D,Einzelbeträge!$C:$C,'Ausgaben Vorlage'!$C276,Einzelbeträge!$E:$E,'Ausgaben Vorlage'!J$6)</f>
        <v>0</v>
      </c>
      <c r="K276" s="21">
        <f>SUMIFS(Einzelbeträge!$D:$D,Einzelbeträge!$C:$C,'Ausgaben Vorlage'!$C276,Einzelbeträge!$E:$E,'Ausgaben Vorlage'!K$6)</f>
        <v>0</v>
      </c>
      <c r="L276" s="21">
        <f>SUMIFS(Einzelbeträge!$D:$D,Einzelbeträge!$C:$C,'Ausgaben Vorlage'!$C276,Einzelbeträge!$E:$E,'Ausgaben Vorlage'!L$6)</f>
        <v>0</v>
      </c>
      <c r="M276" s="21">
        <f>SUMIFS(Einzelbeträge!$D:$D,Einzelbeträge!$C:$C,'Ausgaben Vorlage'!$C276,Einzelbeträge!$E:$E,'Ausgaben Vorlage'!M$6)</f>
        <v>0</v>
      </c>
      <c r="N276" s="35">
        <f>SUMIFS(Einzelbeträge!$D:$D,Einzelbeträge!$C:$C,'Ausgaben Vorlage'!$C276,Einzelbeträge!$E:$E,'Ausgaben Vorlage'!N$6)</f>
        <v>0</v>
      </c>
      <c r="O276" s="6"/>
    </row>
    <row r="277" spans="2:15" x14ac:dyDescent="0.35">
      <c r="B277" s="5"/>
      <c r="C277" s="30">
        <f t="shared" ref="C277:C304" si="24">C276+1</f>
        <v>45903</v>
      </c>
      <c r="D277" s="46">
        <f>SUMIFS(Einzelbeträge!$D:$D,Einzelbeträge!$C:$C,'Ausgaben Vorlage'!$C277)</f>
        <v>0</v>
      </c>
      <c r="E277" s="21">
        <f>SUMIFS(Einzelbeträge!$D:$D,Einzelbeträge!$C:$C,'Ausgaben Vorlage'!$C277,Einzelbeträge!$E:$E,'Ausgaben Vorlage'!E$6)</f>
        <v>0</v>
      </c>
      <c r="F277" s="21">
        <f>SUMIFS(Einzelbeträge!$D:$D,Einzelbeträge!$C:$C,'Ausgaben Vorlage'!$C277,Einzelbeträge!$E:$E,'Ausgaben Vorlage'!F$6)</f>
        <v>0</v>
      </c>
      <c r="G277" s="21">
        <f>SUMIFS(Einzelbeträge!$D:$D,Einzelbeträge!$C:$C,'Ausgaben Vorlage'!$C277,Einzelbeträge!$E:$E,'Ausgaben Vorlage'!G$6)</f>
        <v>0</v>
      </c>
      <c r="H277" s="21">
        <f>SUMIFS(Einzelbeträge!$D:$D,Einzelbeträge!$C:$C,'Ausgaben Vorlage'!$C277,Einzelbeträge!$E:$E,'Ausgaben Vorlage'!H$6)</f>
        <v>0</v>
      </c>
      <c r="I277" s="21">
        <f>SUMIFS(Einzelbeträge!$D:$D,Einzelbeträge!$C:$C,'Ausgaben Vorlage'!$C277,Einzelbeträge!$E:$E,'Ausgaben Vorlage'!I$6)</f>
        <v>0</v>
      </c>
      <c r="J277" s="21">
        <f>SUMIFS(Einzelbeträge!$D:$D,Einzelbeträge!$C:$C,'Ausgaben Vorlage'!$C277,Einzelbeträge!$E:$E,'Ausgaben Vorlage'!J$6)</f>
        <v>0</v>
      </c>
      <c r="K277" s="21">
        <f>SUMIFS(Einzelbeträge!$D:$D,Einzelbeträge!$C:$C,'Ausgaben Vorlage'!$C277,Einzelbeträge!$E:$E,'Ausgaben Vorlage'!K$6)</f>
        <v>0</v>
      </c>
      <c r="L277" s="21">
        <f>SUMIFS(Einzelbeträge!$D:$D,Einzelbeträge!$C:$C,'Ausgaben Vorlage'!$C277,Einzelbeträge!$E:$E,'Ausgaben Vorlage'!L$6)</f>
        <v>0</v>
      </c>
      <c r="M277" s="21">
        <f>SUMIFS(Einzelbeträge!$D:$D,Einzelbeträge!$C:$C,'Ausgaben Vorlage'!$C277,Einzelbeträge!$E:$E,'Ausgaben Vorlage'!M$6)</f>
        <v>0</v>
      </c>
      <c r="N277" s="35">
        <f>SUMIFS(Einzelbeträge!$D:$D,Einzelbeträge!$C:$C,'Ausgaben Vorlage'!$C277,Einzelbeträge!$E:$E,'Ausgaben Vorlage'!N$6)</f>
        <v>0</v>
      </c>
      <c r="O277" s="6"/>
    </row>
    <row r="278" spans="2:15" x14ac:dyDescent="0.35">
      <c r="B278" s="5"/>
      <c r="C278" s="30">
        <f t="shared" si="24"/>
        <v>45904</v>
      </c>
      <c r="D278" s="46">
        <f>SUMIFS(Einzelbeträge!$D:$D,Einzelbeträge!$C:$C,'Ausgaben Vorlage'!$C278)</f>
        <v>0</v>
      </c>
      <c r="E278" s="21">
        <f>SUMIFS(Einzelbeträge!$D:$D,Einzelbeträge!$C:$C,'Ausgaben Vorlage'!$C278,Einzelbeträge!$E:$E,'Ausgaben Vorlage'!E$6)</f>
        <v>0</v>
      </c>
      <c r="F278" s="21">
        <f>SUMIFS(Einzelbeträge!$D:$D,Einzelbeträge!$C:$C,'Ausgaben Vorlage'!$C278,Einzelbeträge!$E:$E,'Ausgaben Vorlage'!F$6)</f>
        <v>0</v>
      </c>
      <c r="G278" s="21">
        <f>SUMIFS(Einzelbeträge!$D:$D,Einzelbeträge!$C:$C,'Ausgaben Vorlage'!$C278,Einzelbeträge!$E:$E,'Ausgaben Vorlage'!G$6)</f>
        <v>0</v>
      </c>
      <c r="H278" s="21">
        <f>SUMIFS(Einzelbeträge!$D:$D,Einzelbeträge!$C:$C,'Ausgaben Vorlage'!$C278,Einzelbeträge!$E:$E,'Ausgaben Vorlage'!H$6)</f>
        <v>0</v>
      </c>
      <c r="I278" s="21">
        <f>SUMIFS(Einzelbeträge!$D:$D,Einzelbeträge!$C:$C,'Ausgaben Vorlage'!$C278,Einzelbeträge!$E:$E,'Ausgaben Vorlage'!I$6)</f>
        <v>0</v>
      </c>
      <c r="J278" s="21">
        <f>SUMIFS(Einzelbeträge!$D:$D,Einzelbeträge!$C:$C,'Ausgaben Vorlage'!$C278,Einzelbeträge!$E:$E,'Ausgaben Vorlage'!J$6)</f>
        <v>0</v>
      </c>
      <c r="K278" s="21">
        <f>SUMIFS(Einzelbeträge!$D:$D,Einzelbeträge!$C:$C,'Ausgaben Vorlage'!$C278,Einzelbeträge!$E:$E,'Ausgaben Vorlage'!K$6)</f>
        <v>0</v>
      </c>
      <c r="L278" s="21">
        <f>SUMIFS(Einzelbeträge!$D:$D,Einzelbeträge!$C:$C,'Ausgaben Vorlage'!$C278,Einzelbeträge!$E:$E,'Ausgaben Vorlage'!L$6)</f>
        <v>0</v>
      </c>
      <c r="M278" s="21">
        <f>SUMIFS(Einzelbeträge!$D:$D,Einzelbeträge!$C:$C,'Ausgaben Vorlage'!$C278,Einzelbeträge!$E:$E,'Ausgaben Vorlage'!M$6)</f>
        <v>0</v>
      </c>
      <c r="N278" s="35">
        <f>SUMIFS(Einzelbeträge!$D:$D,Einzelbeträge!$C:$C,'Ausgaben Vorlage'!$C278,Einzelbeträge!$E:$E,'Ausgaben Vorlage'!N$6)</f>
        <v>0</v>
      </c>
      <c r="O278" s="6"/>
    </row>
    <row r="279" spans="2:15" x14ac:dyDescent="0.35">
      <c r="B279" s="5"/>
      <c r="C279" s="30">
        <f t="shared" si="24"/>
        <v>45905</v>
      </c>
      <c r="D279" s="46">
        <f>SUMIFS(Einzelbeträge!$D:$D,Einzelbeträge!$C:$C,'Ausgaben Vorlage'!$C279)</f>
        <v>0</v>
      </c>
      <c r="E279" s="21">
        <f>SUMIFS(Einzelbeträge!$D:$D,Einzelbeträge!$C:$C,'Ausgaben Vorlage'!$C279,Einzelbeträge!$E:$E,'Ausgaben Vorlage'!E$6)</f>
        <v>0</v>
      </c>
      <c r="F279" s="21">
        <f>SUMIFS(Einzelbeträge!$D:$D,Einzelbeträge!$C:$C,'Ausgaben Vorlage'!$C279,Einzelbeträge!$E:$E,'Ausgaben Vorlage'!F$6)</f>
        <v>0</v>
      </c>
      <c r="G279" s="21">
        <f>SUMIFS(Einzelbeträge!$D:$D,Einzelbeträge!$C:$C,'Ausgaben Vorlage'!$C279,Einzelbeträge!$E:$E,'Ausgaben Vorlage'!G$6)</f>
        <v>0</v>
      </c>
      <c r="H279" s="21">
        <f>SUMIFS(Einzelbeträge!$D:$D,Einzelbeträge!$C:$C,'Ausgaben Vorlage'!$C279,Einzelbeträge!$E:$E,'Ausgaben Vorlage'!H$6)</f>
        <v>0</v>
      </c>
      <c r="I279" s="21">
        <f>SUMIFS(Einzelbeträge!$D:$D,Einzelbeträge!$C:$C,'Ausgaben Vorlage'!$C279,Einzelbeträge!$E:$E,'Ausgaben Vorlage'!I$6)</f>
        <v>0</v>
      </c>
      <c r="J279" s="21">
        <f>SUMIFS(Einzelbeträge!$D:$D,Einzelbeträge!$C:$C,'Ausgaben Vorlage'!$C279,Einzelbeträge!$E:$E,'Ausgaben Vorlage'!J$6)</f>
        <v>0</v>
      </c>
      <c r="K279" s="21">
        <f>SUMIFS(Einzelbeträge!$D:$D,Einzelbeträge!$C:$C,'Ausgaben Vorlage'!$C279,Einzelbeträge!$E:$E,'Ausgaben Vorlage'!K$6)</f>
        <v>0</v>
      </c>
      <c r="L279" s="21">
        <f>SUMIFS(Einzelbeträge!$D:$D,Einzelbeträge!$C:$C,'Ausgaben Vorlage'!$C279,Einzelbeträge!$E:$E,'Ausgaben Vorlage'!L$6)</f>
        <v>0</v>
      </c>
      <c r="M279" s="21">
        <f>SUMIFS(Einzelbeträge!$D:$D,Einzelbeträge!$C:$C,'Ausgaben Vorlage'!$C279,Einzelbeträge!$E:$E,'Ausgaben Vorlage'!M$6)</f>
        <v>0</v>
      </c>
      <c r="N279" s="35">
        <f>SUMIFS(Einzelbeträge!$D:$D,Einzelbeträge!$C:$C,'Ausgaben Vorlage'!$C279,Einzelbeträge!$E:$E,'Ausgaben Vorlage'!N$6)</f>
        <v>0</v>
      </c>
      <c r="O279" s="6"/>
    </row>
    <row r="280" spans="2:15" x14ac:dyDescent="0.35">
      <c r="B280" s="5"/>
      <c r="C280" s="30">
        <f t="shared" si="24"/>
        <v>45906</v>
      </c>
      <c r="D280" s="46">
        <f>SUMIFS(Einzelbeträge!$D:$D,Einzelbeträge!$C:$C,'Ausgaben Vorlage'!$C280)</f>
        <v>0</v>
      </c>
      <c r="E280" s="21">
        <f>SUMIFS(Einzelbeträge!$D:$D,Einzelbeträge!$C:$C,'Ausgaben Vorlage'!$C280,Einzelbeträge!$E:$E,'Ausgaben Vorlage'!E$6)</f>
        <v>0</v>
      </c>
      <c r="F280" s="21">
        <f>SUMIFS(Einzelbeträge!$D:$D,Einzelbeträge!$C:$C,'Ausgaben Vorlage'!$C280,Einzelbeträge!$E:$E,'Ausgaben Vorlage'!F$6)</f>
        <v>0</v>
      </c>
      <c r="G280" s="21">
        <f>SUMIFS(Einzelbeträge!$D:$D,Einzelbeträge!$C:$C,'Ausgaben Vorlage'!$C280,Einzelbeträge!$E:$E,'Ausgaben Vorlage'!G$6)</f>
        <v>0</v>
      </c>
      <c r="H280" s="21">
        <f>SUMIFS(Einzelbeträge!$D:$D,Einzelbeträge!$C:$C,'Ausgaben Vorlage'!$C280,Einzelbeträge!$E:$E,'Ausgaben Vorlage'!H$6)</f>
        <v>0</v>
      </c>
      <c r="I280" s="21">
        <f>SUMIFS(Einzelbeträge!$D:$D,Einzelbeträge!$C:$C,'Ausgaben Vorlage'!$C280,Einzelbeträge!$E:$E,'Ausgaben Vorlage'!I$6)</f>
        <v>0</v>
      </c>
      <c r="J280" s="21">
        <f>SUMIFS(Einzelbeträge!$D:$D,Einzelbeträge!$C:$C,'Ausgaben Vorlage'!$C280,Einzelbeträge!$E:$E,'Ausgaben Vorlage'!J$6)</f>
        <v>0</v>
      </c>
      <c r="K280" s="21">
        <f>SUMIFS(Einzelbeträge!$D:$D,Einzelbeträge!$C:$C,'Ausgaben Vorlage'!$C280,Einzelbeträge!$E:$E,'Ausgaben Vorlage'!K$6)</f>
        <v>0</v>
      </c>
      <c r="L280" s="21">
        <f>SUMIFS(Einzelbeträge!$D:$D,Einzelbeträge!$C:$C,'Ausgaben Vorlage'!$C280,Einzelbeträge!$E:$E,'Ausgaben Vorlage'!L$6)</f>
        <v>0</v>
      </c>
      <c r="M280" s="21">
        <f>SUMIFS(Einzelbeträge!$D:$D,Einzelbeträge!$C:$C,'Ausgaben Vorlage'!$C280,Einzelbeträge!$E:$E,'Ausgaben Vorlage'!M$6)</f>
        <v>0</v>
      </c>
      <c r="N280" s="35">
        <f>SUMIFS(Einzelbeträge!$D:$D,Einzelbeträge!$C:$C,'Ausgaben Vorlage'!$C280,Einzelbeträge!$E:$E,'Ausgaben Vorlage'!N$6)</f>
        <v>0</v>
      </c>
      <c r="O280" s="6"/>
    </row>
    <row r="281" spans="2:15" x14ac:dyDescent="0.35">
      <c r="B281" s="5"/>
      <c r="C281" s="30">
        <f t="shared" si="24"/>
        <v>45907</v>
      </c>
      <c r="D281" s="46">
        <f>SUMIFS(Einzelbeträge!$D:$D,Einzelbeträge!$C:$C,'Ausgaben Vorlage'!$C281)</f>
        <v>0</v>
      </c>
      <c r="E281" s="21">
        <f>SUMIFS(Einzelbeträge!$D:$D,Einzelbeträge!$C:$C,'Ausgaben Vorlage'!$C281,Einzelbeträge!$E:$E,'Ausgaben Vorlage'!E$6)</f>
        <v>0</v>
      </c>
      <c r="F281" s="21">
        <f>SUMIFS(Einzelbeträge!$D:$D,Einzelbeträge!$C:$C,'Ausgaben Vorlage'!$C281,Einzelbeträge!$E:$E,'Ausgaben Vorlage'!F$6)</f>
        <v>0</v>
      </c>
      <c r="G281" s="21">
        <f>SUMIFS(Einzelbeträge!$D:$D,Einzelbeträge!$C:$C,'Ausgaben Vorlage'!$C281,Einzelbeträge!$E:$E,'Ausgaben Vorlage'!G$6)</f>
        <v>0</v>
      </c>
      <c r="H281" s="21">
        <f>SUMIFS(Einzelbeträge!$D:$D,Einzelbeträge!$C:$C,'Ausgaben Vorlage'!$C281,Einzelbeträge!$E:$E,'Ausgaben Vorlage'!H$6)</f>
        <v>0</v>
      </c>
      <c r="I281" s="21">
        <f>SUMIFS(Einzelbeträge!$D:$D,Einzelbeträge!$C:$C,'Ausgaben Vorlage'!$C281,Einzelbeträge!$E:$E,'Ausgaben Vorlage'!I$6)</f>
        <v>0</v>
      </c>
      <c r="J281" s="21">
        <f>SUMIFS(Einzelbeträge!$D:$D,Einzelbeträge!$C:$C,'Ausgaben Vorlage'!$C281,Einzelbeträge!$E:$E,'Ausgaben Vorlage'!J$6)</f>
        <v>0</v>
      </c>
      <c r="K281" s="21">
        <f>SUMIFS(Einzelbeträge!$D:$D,Einzelbeträge!$C:$C,'Ausgaben Vorlage'!$C281,Einzelbeträge!$E:$E,'Ausgaben Vorlage'!K$6)</f>
        <v>0</v>
      </c>
      <c r="L281" s="21">
        <f>SUMIFS(Einzelbeträge!$D:$D,Einzelbeträge!$C:$C,'Ausgaben Vorlage'!$C281,Einzelbeträge!$E:$E,'Ausgaben Vorlage'!L$6)</f>
        <v>0</v>
      </c>
      <c r="M281" s="21">
        <f>SUMIFS(Einzelbeträge!$D:$D,Einzelbeträge!$C:$C,'Ausgaben Vorlage'!$C281,Einzelbeträge!$E:$E,'Ausgaben Vorlage'!M$6)</f>
        <v>0</v>
      </c>
      <c r="N281" s="35">
        <f>SUMIFS(Einzelbeträge!$D:$D,Einzelbeträge!$C:$C,'Ausgaben Vorlage'!$C281,Einzelbeträge!$E:$E,'Ausgaben Vorlage'!N$6)</f>
        <v>0</v>
      </c>
      <c r="O281" s="6"/>
    </row>
    <row r="282" spans="2:15" x14ac:dyDescent="0.35">
      <c r="B282" s="5"/>
      <c r="C282" s="30">
        <f t="shared" si="24"/>
        <v>45908</v>
      </c>
      <c r="D282" s="46">
        <f>SUMIFS(Einzelbeträge!$D:$D,Einzelbeträge!$C:$C,'Ausgaben Vorlage'!$C282)</f>
        <v>0</v>
      </c>
      <c r="E282" s="21">
        <f>SUMIFS(Einzelbeträge!$D:$D,Einzelbeträge!$C:$C,'Ausgaben Vorlage'!$C282,Einzelbeträge!$E:$E,'Ausgaben Vorlage'!E$6)</f>
        <v>0</v>
      </c>
      <c r="F282" s="21">
        <f>SUMIFS(Einzelbeträge!$D:$D,Einzelbeträge!$C:$C,'Ausgaben Vorlage'!$C282,Einzelbeträge!$E:$E,'Ausgaben Vorlage'!F$6)</f>
        <v>0</v>
      </c>
      <c r="G282" s="21">
        <f>SUMIFS(Einzelbeträge!$D:$D,Einzelbeträge!$C:$C,'Ausgaben Vorlage'!$C282,Einzelbeträge!$E:$E,'Ausgaben Vorlage'!G$6)</f>
        <v>0</v>
      </c>
      <c r="H282" s="21">
        <f>SUMIFS(Einzelbeträge!$D:$D,Einzelbeträge!$C:$C,'Ausgaben Vorlage'!$C282,Einzelbeträge!$E:$E,'Ausgaben Vorlage'!H$6)</f>
        <v>0</v>
      </c>
      <c r="I282" s="21">
        <f>SUMIFS(Einzelbeträge!$D:$D,Einzelbeträge!$C:$C,'Ausgaben Vorlage'!$C282,Einzelbeträge!$E:$E,'Ausgaben Vorlage'!I$6)</f>
        <v>0</v>
      </c>
      <c r="J282" s="21">
        <f>SUMIFS(Einzelbeträge!$D:$D,Einzelbeträge!$C:$C,'Ausgaben Vorlage'!$C282,Einzelbeträge!$E:$E,'Ausgaben Vorlage'!J$6)</f>
        <v>0</v>
      </c>
      <c r="K282" s="21">
        <f>SUMIFS(Einzelbeträge!$D:$D,Einzelbeträge!$C:$C,'Ausgaben Vorlage'!$C282,Einzelbeträge!$E:$E,'Ausgaben Vorlage'!K$6)</f>
        <v>0</v>
      </c>
      <c r="L282" s="21">
        <f>SUMIFS(Einzelbeträge!$D:$D,Einzelbeträge!$C:$C,'Ausgaben Vorlage'!$C282,Einzelbeträge!$E:$E,'Ausgaben Vorlage'!L$6)</f>
        <v>0</v>
      </c>
      <c r="M282" s="21">
        <f>SUMIFS(Einzelbeträge!$D:$D,Einzelbeträge!$C:$C,'Ausgaben Vorlage'!$C282,Einzelbeträge!$E:$E,'Ausgaben Vorlage'!M$6)</f>
        <v>0</v>
      </c>
      <c r="N282" s="35">
        <f>SUMIFS(Einzelbeträge!$D:$D,Einzelbeträge!$C:$C,'Ausgaben Vorlage'!$C282,Einzelbeträge!$E:$E,'Ausgaben Vorlage'!N$6)</f>
        <v>0</v>
      </c>
      <c r="O282" s="6"/>
    </row>
    <row r="283" spans="2:15" x14ac:dyDescent="0.35">
      <c r="B283" s="5"/>
      <c r="C283" s="30">
        <f t="shared" si="24"/>
        <v>45909</v>
      </c>
      <c r="D283" s="46">
        <f>SUMIFS(Einzelbeträge!$D:$D,Einzelbeträge!$C:$C,'Ausgaben Vorlage'!$C283)</f>
        <v>0</v>
      </c>
      <c r="E283" s="21">
        <f>SUMIFS(Einzelbeträge!$D:$D,Einzelbeträge!$C:$C,'Ausgaben Vorlage'!$C283,Einzelbeträge!$E:$E,'Ausgaben Vorlage'!E$6)</f>
        <v>0</v>
      </c>
      <c r="F283" s="21">
        <f>SUMIFS(Einzelbeträge!$D:$D,Einzelbeträge!$C:$C,'Ausgaben Vorlage'!$C283,Einzelbeträge!$E:$E,'Ausgaben Vorlage'!F$6)</f>
        <v>0</v>
      </c>
      <c r="G283" s="21">
        <f>SUMIFS(Einzelbeträge!$D:$D,Einzelbeträge!$C:$C,'Ausgaben Vorlage'!$C283,Einzelbeträge!$E:$E,'Ausgaben Vorlage'!G$6)</f>
        <v>0</v>
      </c>
      <c r="H283" s="21">
        <f>SUMIFS(Einzelbeträge!$D:$D,Einzelbeträge!$C:$C,'Ausgaben Vorlage'!$C283,Einzelbeträge!$E:$E,'Ausgaben Vorlage'!H$6)</f>
        <v>0</v>
      </c>
      <c r="I283" s="21">
        <f>SUMIFS(Einzelbeträge!$D:$D,Einzelbeträge!$C:$C,'Ausgaben Vorlage'!$C283,Einzelbeträge!$E:$E,'Ausgaben Vorlage'!I$6)</f>
        <v>0</v>
      </c>
      <c r="J283" s="21">
        <f>SUMIFS(Einzelbeträge!$D:$D,Einzelbeträge!$C:$C,'Ausgaben Vorlage'!$C283,Einzelbeträge!$E:$E,'Ausgaben Vorlage'!J$6)</f>
        <v>0</v>
      </c>
      <c r="K283" s="21">
        <f>SUMIFS(Einzelbeträge!$D:$D,Einzelbeträge!$C:$C,'Ausgaben Vorlage'!$C283,Einzelbeträge!$E:$E,'Ausgaben Vorlage'!K$6)</f>
        <v>0</v>
      </c>
      <c r="L283" s="21">
        <f>SUMIFS(Einzelbeträge!$D:$D,Einzelbeträge!$C:$C,'Ausgaben Vorlage'!$C283,Einzelbeträge!$E:$E,'Ausgaben Vorlage'!L$6)</f>
        <v>0</v>
      </c>
      <c r="M283" s="21">
        <f>SUMIFS(Einzelbeträge!$D:$D,Einzelbeträge!$C:$C,'Ausgaben Vorlage'!$C283,Einzelbeträge!$E:$E,'Ausgaben Vorlage'!M$6)</f>
        <v>0</v>
      </c>
      <c r="N283" s="35">
        <f>SUMIFS(Einzelbeträge!$D:$D,Einzelbeträge!$C:$C,'Ausgaben Vorlage'!$C283,Einzelbeträge!$E:$E,'Ausgaben Vorlage'!N$6)</f>
        <v>0</v>
      </c>
      <c r="O283" s="6"/>
    </row>
    <row r="284" spans="2:15" x14ac:dyDescent="0.35">
      <c r="B284" s="5"/>
      <c r="C284" s="30">
        <f t="shared" si="24"/>
        <v>45910</v>
      </c>
      <c r="D284" s="46">
        <f>SUMIFS(Einzelbeträge!$D:$D,Einzelbeträge!$C:$C,'Ausgaben Vorlage'!$C284)</f>
        <v>0</v>
      </c>
      <c r="E284" s="21">
        <f>SUMIFS(Einzelbeträge!$D:$D,Einzelbeträge!$C:$C,'Ausgaben Vorlage'!$C284,Einzelbeträge!$E:$E,'Ausgaben Vorlage'!E$6)</f>
        <v>0</v>
      </c>
      <c r="F284" s="21">
        <f>SUMIFS(Einzelbeträge!$D:$D,Einzelbeträge!$C:$C,'Ausgaben Vorlage'!$C284,Einzelbeträge!$E:$E,'Ausgaben Vorlage'!F$6)</f>
        <v>0</v>
      </c>
      <c r="G284" s="21">
        <f>SUMIFS(Einzelbeträge!$D:$D,Einzelbeträge!$C:$C,'Ausgaben Vorlage'!$C284,Einzelbeträge!$E:$E,'Ausgaben Vorlage'!G$6)</f>
        <v>0</v>
      </c>
      <c r="H284" s="21">
        <f>SUMIFS(Einzelbeträge!$D:$D,Einzelbeträge!$C:$C,'Ausgaben Vorlage'!$C284,Einzelbeträge!$E:$E,'Ausgaben Vorlage'!H$6)</f>
        <v>0</v>
      </c>
      <c r="I284" s="21">
        <f>SUMIFS(Einzelbeträge!$D:$D,Einzelbeträge!$C:$C,'Ausgaben Vorlage'!$C284,Einzelbeträge!$E:$E,'Ausgaben Vorlage'!I$6)</f>
        <v>0</v>
      </c>
      <c r="J284" s="21">
        <f>SUMIFS(Einzelbeträge!$D:$D,Einzelbeträge!$C:$C,'Ausgaben Vorlage'!$C284,Einzelbeträge!$E:$E,'Ausgaben Vorlage'!J$6)</f>
        <v>0</v>
      </c>
      <c r="K284" s="21">
        <f>SUMIFS(Einzelbeträge!$D:$D,Einzelbeträge!$C:$C,'Ausgaben Vorlage'!$C284,Einzelbeträge!$E:$E,'Ausgaben Vorlage'!K$6)</f>
        <v>0</v>
      </c>
      <c r="L284" s="21">
        <f>SUMIFS(Einzelbeträge!$D:$D,Einzelbeträge!$C:$C,'Ausgaben Vorlage'!$C284,Einzelbeträge!$E:$E,'Ausgaben Vorlage'!L$6)</f>
        <v>0</v>
      </c>
      <c r="M284" s="21">
        <f>SUMIFS(Einzelbeträge!$D:$D,Einzelbeträge!$C:$C,'Ausgaben Vorlage'!$C284,Einzelbeträge!$E:$E,'Ausgaben Vorlage'!M$6)</f>
        <v>0</v>
      </c>
      <c r="N284" s="35">
        <f>SUMIFS(Einzelbeträge!$D:$D,Einzelbeträge!$C:$C,'Ausgaben Vorlage'!$C284,Einzelbeträge!$E:$E,'Ausgaben Vorlage'!N$6)</f>
        <v>0</v>
      </c>
      <c r="O284" s="6"/>
    </row>
    <row r="285" spans="2:15" x14ac:dyDescent="0.35">
      <c r="B285" s="5"/>
      <c r="C285" s="30">
        <f t="shared" si="24"/>
        <v>45911</v>
      </c>
      <c r="D285" s="46">
        <f>SUMIFS(Einzelbeträge!$D:$D,Einzelbeträge!$C:$C,'Ausgaben Vorlage'!$C285)</f>
        <v>0</v>
      </c>
      <c r="E285" s="21">
        <f>SUMIFS(Einzelbeträge!$D:$D,Einzelbeträge!$C:$C,'Ausgaben Vorlage'!$C285,Einzelbeträge!$E:$E,'Ausgaben Vorlage'!E$6)</f>
        <v>0</v>
      </c>
      <c r="F285" s="21">
        <f>SUMIFS(Einzelbeträge!$D:$D,Einzelbeträge!$C:$C,'Ausgaben Vorlage'!$C285,Einzelbeträge!$E:$E,'Ausgaben Vorlage'!F$6)</f>
        <v>0</v>
      </c>
      <c r="G285" s="21">
        <f>SUMIFS(Einzelbeträge!$D:$D,Einzelbeträge!$C:$C,'Ausgaben Vorlage'!$C285,Einzelbeträge!$E:$E,'Ausgaben Vorlage'!G$6)</f>
        <v>0</v>
      </c>
      <c r="H285" s="21">
        <f>SUMIFS(Einzelbeträge!$D:$D,Einzelbeträge!$C:$C,'Ausgaben Vorlage'!$C285,Einzelbeträge!$E:$E,'Ausgaben Vorlage'!H$6)</f>
        <v>0</v>
      </c>
      <c r="I285" s="21">
        <f>SUMIFS(Einzelbeträge!$D:$D,Einzelbeträge!$C:$C,'Ausgaben Vorlage'!$C285,Einzelbeträge!$E:$E,'Ausgaben Vorlage'!I$6)</f>
        <v>0</v>
      </c>
      <c r="J285" s="21">
        <f>SUMIFS(Einzelbeträge!$D:$D,Einzelbeträge!$C:$C,'Ausgaben Vorlage'!$C285,Einzelbeträge!$E:$E,'Ausgaben Vorlage'!J$6)</f>
        <v>0</v>
      </c>
      <c r="K285" s="21">
        <f>SUMIFS(Einzelbeträge!$D:$D,Einzelbeträge!$C:$C,'Ausgaben Vorlage'!$C285,Einzelbeträge!$E:$E,'Ausgaben Vorlage'!K$6)</f>
        <v>0</v>
      </c>
      <c r="L285" s="21">
        <f>SUMIFS(Einzelbeträge!$D:$D,Einzelbeträge!$C:$C,'Ausgaben Vorlage'!$C285,Einzelbeträge!$E:$E,'Ausgaben Vorlage'!L$6)</f>
        <v>0</v>
      </c>
      <c r="M285" s="21">
        <f>SUMIFS(Einzelbeträge!$D:$D,Einzelbeträge!$C:$C,'Ausgaben Vorlage'!$C285,Einzelbeträge!$E:$E,'Ausgaben Vorlage'!M$6)</f>
        <v>0</v>
      </c>
      <c r="N285" s="35">
        <f>SUMIFS(Einzelbeträge!$D:$D,Einzelbeträge!$C:$C,'Ausgaben Vorlage'!$C285,Einzelbeträge!$E:$E,'Ausgaben Vorlage'!N$6)</f>
        <v>0</v>
      </c>
      <c r="O285" s="6"/>
    </row>
    <row r="286" spans="2:15" x14ac:dyDescent="0.35">
      <c r="B286" s="5"/>
      <c r="C286" s="30">
        <f t="shared" si="24"/>
        <v>45912</v>
      </c>
      <c r="D286" s="46">
        <f>SUMIFS(Einzelbeträge!$D:$D,Einzelbeträge!$C:$C,'Ausgaben Vorlage'!$C286)</f>
        <v>0</v>
      </c>
      <c r="E286" s="21">
        <f>SUMIFS(Einzelbeträge!$D:$D,Einzelbeträge!$C:$C,'Ausgaben Vorlage'!$C286,Einzelbeträge!$E:$E,'Ausgaben Vorlage'!E$6)</f>
        <v>0</v>
      </c>
      <c r="F286" s="21">
        <f>SUMIFS(Einzelbeträge!$D:$D,Einzelbeträge!$C:$C,'Ausgaben Vorlage'!$C286,Einzelbeträge!$E:$E,'Ausgaben Vorlage'!F$6)</f>
        <v>0</v>
      </c>
      <c r="G286" s="21">
        <f>SUMIFS(Einzelbeträge!$D:$D,Einzelbeträge!$C:$C,'Ausgaben Vorlage'!$C286,Einzelbeträge!$E:$E,'Ausgaben Vorlage'!G$6)</f>
        <v>0</v>
      </c>
      <c r="H286" s="21">
        <f>SUMIFS(Einzelbeträge!$D:$D,Einzelbeträge!$C:$C,'Ausgaben Vorlage'!$C286,Einzelbeträge!$E:$E,'Ausgaben Vorlage'!H$6)</f>
        <v>0</v>
      </c>
      <c r="I286" s="21">
        <f>SUMIFS(Einzelbeträge!$D:$D,Einzelbeträge!$C:$C,'Ausgaben Vorlage'!$C286,Einzelbeträge!$E:$E,'Ausgaben Vorlage'!I$6)</f>
        <v>0</v>
      </c>
      <c r="J286" s="21">
        <f>SUMIFS(Einzelbeträge!$D:$D,Einzelbeträge!$C:$C,'Ausgaben Vorlage'!$C286,Einzelbeträge!$E:$E,'Ausgaben Vorlage'!J$6)</f>
        <v>0</v>
      </c>
      <c r="K286" s="21">
        <f>SUMIFS(Einzelbeträge!$D:$D,Einzelbeträge!$C:$C,'Ausgaben Vorlage'!$C286,Einzelbeträge!$E:$E,'Ausgaben Vorlage'!K$6)</f>
        <v>0</v>
      </c>
      <c r="L286" s="21">
        <f>SUMIFS(Einzelbeträge!$D:$D,Einzelbeträge!$C:$C,'Ausgaben Vorlage'!$C286,Einzelbeträge!$E:$E,'Ausgaben Vorlage'!L$6)</f>
        <v>0</v>
      </c>
      <c r="M286" s="21">
        <f>SUMIFS(Einzelbeträge!$D:$D,Einzelbeträge!$C:$C,'Ausgaben Vorlage'!$C286,Einzelbeträge!$E:$E,'Ausgaben Vorlage'!M$6)</f>
        <v>0</v>
      </c>
      <c r="N286" s="35">
        <f>SUMIFS(Einzelbeträge!$D:$D,Einzelbeträge!$C:$C,'Ausgaben Vorlage'!$C286,Einzelbeträge!$E:$E,'Ausgaben Vorlage'!N$6)</f>
        <v>0</v>
      </c>
      <c r="O286" s="6"/>
    </row>
    <row r="287" spans="2:15" x14ac:dyDescent="0.35">
      <c r="B287" s="5"/>
      <c r="C287" s="30">
        <f t="shared" si="24"/>
        <v>45913</v>
      </c>
      <c r="D287" s="46">
        <f>SUMIFS(Einzelbeträge!$D:$D,Einzelbeträge!$C:$C,'Ausgaben Vorlage'!$C287)</f>
        <v>0</v>
      </c>
      <c r="E287" s="21">
        <f>SUMIFS(Einzelbeträge!$D:$D,Einzelbeträge!$C:$C,'Ausgaben Vorlage'!$C287,Einzelbeträge!$E:$E,'Ausgaben Vorlage'!E$6)</f>
        <v>0</v>
      </c>
      <c r="F287" s="21">
        <f>SUMIFS(Einzelbeträge!$D:$D,Einzelbeträge!$C:$C,'Ausgaben Vorlage'!$C287,Einzelbeträge!$E:$E,'Ausgaben Vorlage'!F$6)</f>
        <v>0</v>
      </c>
      <c r="G287" s="21">
        <f>SUMIFS(Einzelbeträge!$D:$D,Einzelbeträge!$C:$C,'Ausgaben Vorlage'!$C287,Einzelbeträge!$E:$E,'Ausgaben Vorlage'!G$6)</f>
        <v>0</v>
      </c>
      <c r="H287" s="21">
        <f>SUMIFS(Einzelbeträge!$D:$D,Einzelbeträge!$C:$C,'Ausgaben Vorlage'!$C287,Einzelbeträge!$E:$E,'Ausgaben Vorlage'!H$6)</f>
        <v>0</v>
      </c>
      <c r="I287" s="21">
        <f>SUMIFS(Einzelbeträge!$D:$D,Einzelbeträge!$C:$C,'Ausgaben Vorlage'!$C287,Einzelbeträge!$E:$E,'Ausgaben Vorlage'!I$6)</f>
        <v>0</v>
      </c>
      <c r="J287" s="21">
        <f>SUMIFS(Einzelbeträge!$D:$D,Einzelbeträge!$C:$C,'Ausgaben Vorlage'!$C287,Einzelbeträge!$E:$E,'Ausgaben Vorlage'!J$6)</f>
        <v>0</v>
      </c>
      <c r="K287" s="21">
        <f>SUMIFS(Einzelbeträge!$D:$D,Einzelbeträge!$C:$C,'Ausgaben Vorlage'!$C287,Einzelbeträge!$E:$E,'Ausgaben Vorlage'!K$6)</f>
        <v>0</v>
      </c>
      <c r="L287" s="21">
        <f>SUMIFS(Einzelbeträge!$D:$D,Einzelbeträge!$C:$C,'Ausgaben Vorlage'!$C287,Einzelbeträge!$E:$E,'Ausgaben Vorlage'!L$6)</f>
        <v>0</v>
      </c>
      <c r="M287" s="21">
        <f>SUMIFS(Einzelbeträge!$D:$D,Einzelbeträge!$C:$C,'Ausgaben Vorlage'!$C287,Einzelbeträge!$E:$E,'Ausgaben Vorlage'!M$6)</f>
        <v>0</v>
      </c>
      <c r="N287" s="35">
        <f>SUMIFS(Einzelbeträge!$D:$D,Einzelbeträge!$C:$C,'Ausgaben Vorlage'!$C287,Einzelbeträge!$E:$E,'Ausgaben Vorlage'!N$6)</f>
        <v>0</v>
      </c>
      <c r="O287" s="6"/>
    </row>
    <row r="288" spans="2:15" x14ac:dyDescent="0.35">
      <c r="B288" s="5"/>
      <c r="C288" s="30">
        <f t="shared" si="24"/>
        <v>45914</v>
      </c>
      <c r="D288" s="46">
        <f>SUMIFS(Einzelbeträge!$D:$D,Einzelbeträge!$C:$C,'Ausgaben Vorlage'!$C288)</f>
        <v>0</v>
      </c>
      <c r="E288" s="21">
        <f>SUMIFS(Einzelbeträge!$D:$D,Einzelbeträge!$C:$C,'Ausgaben Vorlage'!$C288,Einzelbeträge!$E:$E,'Ausgaben Vorlage'!E$6)</f>
        <v>0</v>
      </c>
      <c r="F288" s="21">
        <f>SUMIFS(Einzelbeträge!$D:$D,Einzelbeträge!$C:$C,'Ausgaben Vorlage'!$C288,Einzelbeträge!$E:$E,'Ausgaben Vorlage'!F$6)</f>
        <v>0</v>
      </c>
      <c r="G288" s="21">
        <f>SUMIFS(Einzelbeträge!$D:$D,Einzelbeträge!$C:$C,'Ausgaben Vorlage'!$C288,Einzelbeträge!$E:$E,'Ausgaben Vorlage'!G$6)</f>
        <v>0</v>
      </c>
      <c r="H288" s="21">
        <f>SUMIFS(Einzelbeträge!$D:$D,Einzelbeträge!$C:$C,'Ausgaben Vorlage'!$C288,Einzelbeträge!$E:$E,'Ausgaben Vorlage'!H$6)</f>
        <v>0</v>
      </c>
      <c r="I288" s="21">
        <f>SUMIFS(Einzelbeträge!$D:$D,Einzelbeträge!$C:$C,'Ausgaben Vorlage'!$C288,Einzelbeträge!$E:$E,'Ausgaben Vorlage'!I$6)</f>
        <v>0</v>
      </c>
      <c r="J288" s="21">
        <f>SUMIFS(Einzelbeträge!$D:$D,Einzelbeträge!$C:$C,'Ausgaben Vorlage'!$C288,Einzelbeträge!$E:$E,'Ausgaben Vorlage'!J$6)</f>
        <v>0</v>
      </c>
      <c r="K288" s="21">
        <f>SUMIFS(Einzelbeträge!$D:$D,Einzelbeträge!$C:$C,'Ausgaben Vorlage'!$C288,Einzelbeträge!$E:$E,'Ausgaben Vorlage'!K$6)</f>
        <v>0</v>
      </c>
      <c r="L288" s="21">
        <f>SUMIFS(Einzelbeträge!$D:$D,Einzelbeträge!$C:$C,'Ausgaben Vorlage'!$C288,Einzelbeträge!$E:$E,'Ausgaben Vorlage'!L$6)</f>
        <v>0</v>
      </c>
      <c r="M288" s="21">
        <f>SUMIFS(Einzelbeträge!$D:$D,Einzelbeträge!$C:$C,'Ausgaben Vorlage'!$C288,Einzelbeträge!$E:$E,'Ausgaben Vorlage'!M$6)</f>
        <v>0</v>
      </c>
      <c r="N288" s="35">
        <f>SUMIFS(Einzelbeträge!$D:$D,Einzelbeträge!$C:$C,'Ausgaben Vorlage'!$C288,Einzelbeträge!$E:$E,'Ausgaben Vorlage'!N$6)</f>
        <v>0</v>
      </c>
      <c r="O288" s="6"/>
    </row>
    <row r="289" spans="2:15" x14ac:dyDescent="0.35">
      <c r="B289" s="5"/>
      <c r="C289" s="30">
        <f t="shared" si="24"/>
        <v>45915</v>
      </c>
      <c r="D289" s="46">
        <f>SUMIFS(Einzelbeträge!$D:$D,Einzelbeträge!$C:$C,'Ausgaben Vorlage'!$C289)</f>
        <v>0</v>
      </c>
      <c r="E289" s="21">
        <f>SUMIFS(Einzelbeträge!$D:$D,Einzelbeträge!$C:$C,'Ausgaben Vorlage'!$C289,Einzelbeträge!$E:$E,'Ausgaben Vorlage'!E$6)</f>
        <v>0</v>
      </c>
      <c r="F289" s="21">
        <f>SUMIFS(Einzelbeträge!$D:$D,Einzelbeträge!$C:$C,'Ausgaben Vorlage'!$C289,Einzelbeträge!$E:$E,'Ausgaben Vorlage'!F$6)</f>
        <v>0</v>
      </c>
      <c r="G289" s="21">
        <f>SUMIFS(Einzelbeträge!$D:$D,Einzelbeträge!$C:$C,'Ausgaben Vorlage'!$C289,Einzelbeträge!$E:$E,'Ausgaben Vorlage'!G$6)</f>
        <v>0</v>
      </c>
      <c r="H289" s="21">
        <f>SUMIFS(Einzelbeträge!$D:$D,Einzelbeträge!$C:$C,'Ausgaben Vorlage'!$C289,Einzelbeträge!$E:$E,'Ausgaben Vorlage'!H$6)</f>
        <v>0</v>
      </c>
      <c r="I289" s="21">
        <f>SUMIFS(Einzelbeträge!$D:$D,Einzelbeträge!$C:$C,'Ausgaben Vorlage'!$C289,Einzelbeträge!$E:$E,'Ausgaben Vorlage'!I$6)</f>
        <v>0</v>
      </c>
      <c r="J289" s="21">
        <f>SUMIFS(Einzelbeträge!$D:$D,Einzelbeträge!$C:$C,'Ausgaben Vorlage'!$C289,Einzelbeträge!$E:$E,'Ausgaben Vorlage'!J$6)</f>
        <v>0</v>
      </c>
      <c r="K289" s="21">
        <f>SUMIFS(Einzelbeträge!$D:$D,Einzelbeträge!$C:$C,'Ausgaben Vorlage'!$C289,Einzelbeträge!$E:$E,'Ausgaben Vorlage'!K$6)</f>
        <v>0</v>
      </c>
      <c r="L289" s="21">
        <f>SUMIFS(Einzelbeträge!$D:$D,Einzelbeträge!$C:$C,'Ausgaben Vorlage'!$C289,Einzelbeträge!$E:$E,'Ausgaben Vorlage'!L$6)</f>
        <v>0</v>
      </c>
      <c r="M289" s="21">
        <f>SUMIFS(Einzelbeträge!$D:$D,Einzelbeträge!$C:$C,'Ausgaben Vorlage'!$C289,Einzelbeträge!$E:$E,'Ausgaben Vorlage'!M$6)</f>
        <v>0</v>
      </c>
      <c r="N289" s="35">
        <f>SUMIFS(Einzelbeträge!$D:$D,Einzelbeträge!$C:$C,'Ausgaben Vorlage'!$C289,Einzelbeträge!$E:$E,'Ausgaben Vorlage'!N$6)</f>
        <v>0</v>
      </c>
      <c r="O289" s="6"/>
    </row>
    <row r="290" spans="2:15" x14ac:dyDescent="0.35">
      <c r="B290" s="5"/>
      <c r="C290" s="30">
        <f t="shared" si="24"/>
        <v>45916</v>
      </c>
      <c r="D290" s="46">
        <f>SUMIFS(Einzelbeträge!$D:$D,Einzelbeträge!$C:$C,'Ausgaben Vorlage'!$C290)</f>
        <v>0</v>
      </c>
      <c r="E290" s="21">
        <f>SUMIFS(Einzelbeträge!$D:$D,Einzelbeträge!$C:$C,'Ausgaben Vorlage'!$C290,Einzelbeträge!$E:$E,'Ausgaben Vorlage'!E$6)</f>
        <v>0</v>
      </c>
      <c r="F290" s="21">
        <f>SUMIFS(Einzelbeträge!$D:$D,Einzelbeträge!$C:$C,'Ausgaben Vorlage'!$C290,Einzelbeträge!$E:$E,'Ausgaben Vorlage'!F$6)</f>
        <v>0</v>
      </c>
      <c r="G290" s="21">
        <f>SUMIFS(Einzelbeträge!$D:$D,Einzelbeträge!$C:$C,'Ausgaben Vorlage'!$C290,Einzelbeträge!$E:$E,'Ausgaben Vorlage'!G$6)</f>
        <v>0</v>
      </c>
      <c r="H290" s="21">
        <f>SUMIFS(Einzelbeträge!$D:$D,Einzelbeträge!$C:$C,'Ausgaben Vorlage'!$C290,Einzelbeträge!$E:$E,'Ausgaben Vorlage'!H$6)</f>
        <v>0</v>
      </c>
      <c r="I290" s="21">
        <f>SUMIFS(Einzelbeträge!$D:$D,Einzelbeträge!$C:$C,'Ausgaben Vorlage'!$C290,Einzelbeträge!$E:$E,'Ausgaben Vorlage'!I$6)</f>
        <v>0</v>
      </c>
      <c r="J290" s="21">
        <f>SUMIFS(Einzelbeträge!$D:$D,Einzelbeträge!$C:$C,'Ausgaben Vorlage'!$C290,Einzelbeträge!$E:$E,'Ausgaben Vorlage'!J$6)</f>
        <v>0</v>
      </c>
      <c r="K290" s="21">
        <f>SUMIFS(Einzelbeträge!$D:$D,Einzelbeträge!$C:$C,'Ausgaben Vorlage'!$C290,Einzelbeträge!$E:$E,'Ausgaben Vorlage'!K$6)</f>
        <v>0</v>
      </c>
      <c r="L290" s="21">
        <f>SUMIFS(Einzelbeträge!$D:$D,Einzelbeträge!$C:$C,'Ausgaben Vorlage'!$C290,Einzelbeträge!$E:$E,'Ausgaben Vorlage'!L$6)</f>
        <v>0</v>
      </c>
      <c r="M290" s="21">
        <f>SUMIFS(Einzelbeträge!$D:$D,Einzelbeträge!$C:$C,'Ausgaben Vorlage'!$C290,Einzelbeträge!$E:$E,'Ausgaben Vorlage'!M$6)</f>
        <v>0</v>
      </c>
      <c r="N290" s="35">
        <f>SUMIFS(Einzelbeträge!$D:$D,Einzelbeträge!$C:$C,'Ausgaben Vorlage'!$C290,Einzelbeträge!$E:$E,'Ausgaben Vorlage'!N$6)</f>
        <v>0</v>
      </c>
      <c r="O290" s="6"/>
    </row>
    <row r="291" spans="2:15" x14ac:dyDescent="0.35">
      <c r="B291" s="5"/>
      <c r="C291" s="30">
        <f t="shared" si="24"/>
        <v>45917</v>
      </c>
      <c r="D291" s="46">
        <f>SUMIFS(Einzelbeträge!$D:$D,Einzelbeträge!$C:$C,'Ausgaben Vorlage'!$C291)</f>
        <v>0</v>
      </c>
      <c r="E291" s="21">
        <f>SUMIFS(Einzelbeträge!$D:$D,Einzelbeträge!$C:$C,'Ausgaben Vorlage'!$C291,Einzelbeträge!$E:$E,'Ausgaben Vorlage'!E$6)</f>
        <v>0</v>
      </c>
      <c r="F291" s="21">
        <f>SUMIFS(Einzelbeträge!$D:$D,Einzelbeträge!$C:$C,'Ausgaben Vorlage'!$C291,Einzelbeträge!$E:$E,'Ausgaben Vorlage'!F$6)</f>
        <v>0</v>
      </c>
      <c r="G291" s="21">
        <f>SUMIFS(Einzelbeträge!$D:$D,Einzelbeträge!$C:$C,'Ausgaben Vorlage'!$C291,Einzelbeträge!$E:$E,'Ausgaben Vorlage'!G$6)</f>
        <v>0</v>
      </c>
      <c r="H291" s="21">
        <f>SUMIFS(Einzelbeträge!$D:$D,Einzelbeträge!$C:$C,'Ausgaben Vorlage'!$C291,Einzelbeträge!$E:$E,'Ausgaben Vorlage'!H$6)</f>
        <v>0</v>
      </c>
      <c r="I291" s="21">
        <f>SUMIFS(Einzelbeträge!$D:$D,Einzelbeträge!$C:$C,'Ausgaben Vorlage'!$C291,Einzelbeträge!$E:$E,'Ausgaben Vorlage'!I$6)</f>
        <v>0</v>
      </c>
      <c r="J291" s="21">
        <f>SUMIFS(Einzelbeträge!$D:$D,Einzelbeträge!$C:$C,'Ausgaben Vorlage'!$C291,Einzelbeträge!$E:$E,'Ausgaben Vorlage'!J$6)</f>
        <v>0</v>
      </c>
      <c r="K291" s="21">
        <f>SUMIFS(Einzelbeträge!$D:$D,Einzelbeträge!$C:$C,'Ausgaben Vorlage'!$C291,Einzelbeträge!$E:$E,'Ausgaben Vorlage'!K$6)</f>
        <v>0</v>
      </c>
      <c r="L291" s="21">
        <f>SUMIFS(Einzelbeträge!$D:$D,Einzelbeträge!$C:$C,'Ausgaben Vorlage'!$C291,Einzelbeträge!$E:$E,'Ausgaben Vorlage'!L$6)</f>
        <v>0</v>
      </c>
      <c r="M291" s="21">
        <f>SUMIFS(Einzelbeträge!$D:$D,Einzelbeträge!$C:$C,'Ausgaben Vorlage'!$C291,Einzelbeträge!$E:$E,'Ausgaben Vorlage'!M$6)</f>
        <v>0</v>
      </c>
      <c r="N291" s="35">
        <f>SUMIFS(Einzelbeträge!$D:$D,Einzelbeträge!$C:$C,'Ausgaben Vorlage'!$C291,Einzelbeträge!$E:$E,'Ausgaben Vorlage'!N$6)</f>
        <v>0</v>
      </c>
      <c r="O291" s="6"/>
    </row>
    <row r="292" spans="2:15" x14ac:dyDescent="0.35">
      <c r="B292" s="5"/>
      <c r="C292" s="30">
        <f t="shared" si="24"/>
        <v>45918</v>
      </c>
      <c r="D292" s="46">
        <f>SUMIFS(Einzelbeträge!$D:$D,Einzelbeträge!$C:$C,'Ausgaben Vorlage'!$C292)</f>
        <v>0</v>
      </c>
      <c r="E292" s="21">
        <f>SUMIFS(Einzelbeträge!$D:$D,Einzelbeträge!$C:$C,'Ausgaben Vorlage'!$C292,Einzelbeträge!$E:$E,'Ausgaben Vorlage'!E$6)</f>
        <v>0</v>
      </c>
      <c r="F292" s="21">
        <f>SUMIFS(Einzelbeträge!$D:$D,Einzelbeträge!$C:$C,'Ausgaben Vorlage'!$C292,Einzelbeträge!$E:$E,'Ausgaben Vorlage'!F$6)</f>
        <v>0</v>
      </c>
      <c r="G292" s="21">
        <f>SUMIFS(Einzelbeträge!$D:$D,Einzelbeträge!$C:$C,'Ausgaben Vorlage'!$C292,Einzelbeträge!$E:$E,'Ausgaben Vorlage'!G$6)</f>
        <v>0</v>
      </c>
      <c r="H292" s="21">
        <f>SUMIFS(Einzelbeträge!$D:$D,Einzelbeträge!$C:$C,'Ausgaben Vorlage'!$C292,Einzelbeträge!$E:$E,'Ausgaben Vorlage'!H$6)</f>
        <v>0</v>
      </c>
      <c r="I292" s="21">
        <f>SUMIFS(Einzelbeträge!$D:$D,Einzelbeträge!$C:$C,'Ausgaben Vorlage'!$C292,Einzelbeträge!$E:$E,'Ausgaben Vorlage'!I$6)</f>
        <v>0</v>
      </c>
      <c r="J292" s="21">
        <f>SUMIFS(Einzelbeträge!$D:$D,Einzelbeträge!$C:$C,'Ausgaben Vorlage'!$C292,Einzelbeträge!$E:$E,'Ausgaben Vorlage'!J$6)</f>
        <v>0</v>
      </c>
      <c r="K292" s="21">
        <f>SUMIFS(Einzelbeträge!$D:$D,Einzelbeträge!$C:$C,'Ausgaben Vorlage'!$C292,Einzelbeträge!$E:$E,'Ausgaben Vorlage'!K$6)</f>
        <v>0</v>
      </c>
      <c r="L292" s="21">
        <f>SUMIFS(Einzelbeträge!$D:$D,Einzelbeträge!$C:$C,'Ausgaben Vorlage'!$C292,Einzelbeträge!$E:$E,'Ausgaben Vorlage'!L$6)</f>
        <v>0</v>
      </c>
      <c r="M292" s="21">
        <f>SUMIFS(Einzelbeträge!$D:$D,Einzelbeträge!$C:$C,'Ausgaben Vorlage'!$C292,Einzelbeträge!$E:$E,'Ausgaben Vorlage'!M$6)</f>
        <v>0</v>
      </c>
      <c r="N292" s="35">
        <f>SUMIFS(Einzelbeträge!$D:$D,Einzelbeträge!$C:$C,'Ausgaben Vorlage'!$C292,Einzelbeträge!$E:$E,'Ausgaben Vorlage'!N$6)</f>
        <v>0</v>
      </c>
      <c r="O292" s="6"/>
    </row>
    <row r="293" spans="2:15" x14ac:dyDescent="0.35">
      <c r="B293" s="5"/>
      <c r="C293" s="30">
        <f t="shared" si="24"/>
        <v>45919</v>
      </c>
      <c r="D293" s="46">
        <f>SUMIFS(Einzelbeträge!$D:$D,Einzelbeträge!$C:$C,'Ausgaben Vorlage'!$C293)</f>
        <v>0</v>
      </c>
      <c r="E293" s="21">
        <f>SUMIFS(Einzelbeträge!$D:$D,Einzelbeträge!$C:$C,'Ausgaben Vorlage'!$C293,Einzelbeträge!$E:$E,'Ausgaben Vorlage'!E$6)</f>
        <v>0</v>
      </c>
      <c r="F293" s="21">
        <f>SUMIFS(Einzelbeträge!$D:$D,Einzelbeträge!$C:$C,'Ausgaben Vorlage'!$C293,Einzelbeträge!$E:$E,'Ausgaben Vorlage'!F$6)</f>
        <v>0</v>
      </c>
      <c r="G293" s="21">
        <f>SUMIFS(Einzelbeträge!$D:$D,Einzelbeträge!$C:$C,'Ausgaben Vorlage'!$C293,Einzelbeträge!$E:$E,'Ausgaben Vorlage'!G$6)</f>
        <v>0</v>
      </c>
      <c r="H293" s="21">
        <f>SUMIFS(Einzelbeträge!$D:$D,Einzelbeträge!$C:$C,'Ausgaben Vorlage'!$C293,Einzelbeträge!$E:$E,'Ausgaben Vorlage'!H$6)</f>
        <v>0</v>
      </c>
      <c r="I293" s="21">
        <f>SUMIFS(Einzelbeträge!$D:$D,Einzelbeträge!$C:$C,'Ausgaben Vorlage'!$C293,Einzelbeträge!$E:$E,'Ausgaben Vorlage'!I$6)</f>
        <v>0</v>
      </c>
      <c r="J293" s="21">
        <f>SUMIFS(Einzelbeträge!$D:$D,Einzelbeträge!$C:$C,'Ausgaben Vorlage'!$C293,Einzelbeträge!$E:$E,'Ausgaben Vorlage'!J$6)</f>
        <v>0</v>
      </c>
      <c r="K293" s="21">
        <f>SUMIFS(Einzelbeträge!$D:$D,Einzelbeträge!$C:$C,'Ausgaben Vorlage'!$C293,Einzelbeträge!$E:$E,'Ausgaben Vorlage'!K$6)</f>
        <v>0</v>
      </c>
      <c r="L293" s="21">
        <f>SUMIFS(Einzelbeträge!$D:$D,Einzelbeträge!$C:$C,'Ausgaben Vorlage'!$C293,Einzelbeträge!$E:$E,'Ausgaben Vorlage'!L$6)</f>
        <v>0</v>
      </c>
      <c r="M293" s="21">
        <f>SUMIFS(Einzelbeträge!$D:$D,Einzelbeträge!$C:$C,'Ausgaben Vorlage'!$C293,Einzelbeträge!$E:$E,'Ausgaben Vorlage'!M$6)</f>
        <v>0</v>
      </c>
      <c r="N293" s="35">
        <f>SUMIFS(Einzelbeträge!$D:$D,Einzelbeträge!$C:$C,'Ausgaben Vorlage'!$C293,Einzelbeträge!$E:$E,'Ausgaben Vorlage'!N$6)</f>
        <v>0</v>
      </c>
      <c r="O293" s="6"/>
    </row>
    <row r="294" spans="2:15" x14ac:dyDescent="0.35">
      <c r="B294" s="5"/>
      <c r="C294" s="30">
        <f t="shared" si="24"/>
        <v>45920</v>
      </c>
      <c r="D294" s="46">
        <f>SUMIFS(Einzelbeträge!$D:$D,Einzelbeträge!$C:$C,'Ausgaben Vorlage'!$C294)</f>
        <v>0</v>
      </c>
      <c r="E294" s="21">
        <f>SUMIFS(Einzelbeträge!$D:$D,Einzelbeträge!$C:$C,'Ausgaben Vorlage'!$C294,Einzelbeträge!$E:$E,'Ausgaben Vorlage'!E$6)</f>
        <v>0</v>
      </c>
      <c r="F294" s="21">
        <f>SUMIFS(Einzelbeträge!$D:$D,Einzelbeträge!$C:$C,'Ausgaben Vorlage'!$C294,Einzelbeträge!$E:$E,'Ausgaben Vorlage'!F$6)</f>
        <v>0</v>
      </c>
      <c r="G294" s="21">
        <f>SUMIFS(Einzelbeträge!$D:$D,Einzelbeträge!$C:$C,'Ausgaben Vorlage'!$C294,Einzelbeträge!$E:$E,'Ausgaben Vorlage'!G$6)</f>
        <v>0</v>
      </c>
      <c r="H294" s="21">
        <f>SUMIFS(Einzelbeträge!$D:$D,Einzelbeträge!$C:$C,'Ausgaben Vorlage'!$C294,Einzelbeträge!$E:$E,'Ausgaben Vorlage'!H$6)</f>
        <v>0</v>
      </c>
      <c r="I294" s="21">
        <f>SUMIFS(Einzelbeträge!$D:$D,Einzelbeträge!$C:$C,'Ausgaben Vorlage'!$C294,Einzelbeträge!$E:$E,'Ausgaben Vorlage'!I$6)</f>
        <v>0</v>
      </c>
      <c r="J294" s="21">
        <f>SUMIFS(Einzelbeträge!$D:$D,Einzelbeträge!$C:$C,'Ausgaben Vorlage'!$C294,Einzelbeträge!$E:$E,'Ausgaben Vorlage'!J$6)</f>
        <v>0</v>
      </c>
      <c r="K294" s="21">
        <f>SUMIFS(Einzelbeträge!$D:$D,Einzelbeträge!$C:$C,'Ausgaben Vorlage'!$C294,Einzelbeträge!$E:$E,'Ausgaben Vorlage'!K$6)</f>
        <v>0</v>
      </c>
      <c r="L294" s="21">
        <f>SUMIFS(Einzelbeträge!$D:$D,Einzelbeträge!$C:$C,'Ausgaben Vorlage'!$C294,Einzelbeträge!$E:$E,'Ausgaben Vorlage'!L$6)</f>
        <v>0</v>
      </c>
      <c r="M294" s="21">
        <f>SUMIFS(Einzelbeträge!$D:$D,Einzelbeträge!$C:$C,'Ausgaben Vorlage'!$C294,Einzelbeträge!$E:$E,'Ausgaben Vorlage'!M$6)</f>
        <v>0</v>
      </c>
      <c r="N294" s="35">
        <f>SUMIFS(Einzelbeträge!$D:$D,Einzelbeträge!$C:$C,'Ausgaben Vorlage'!$C294,Einzelbeträge!$E:$E,'Ausgaben Vorlage'!N$6)</f>
        <v>0</v>
      </c>
      <c r="O294" s="6"/>
    </row>
    <row r="295" spans="2:15" x14ac:dyDescent="0.35">
      <c r="B295" s="5"/>
      <c r="C295" s="30">
        <f t="shared" si="24"/>
        <v>45921</v>
      </c>
      <c r="D295" s="46">
        <f>SUMIFS(Einzelbeträge!$D:$D,Einzelbeträge!$C:$C,'Ausgaben Vorlage'!$C295)</f>
        <v>0</v>
      </c>
      <c r="E295" s="21">
        <f>SUMIFS(Einzelbeträge!$D:$D,Einzelbeträge!$C:$C,'Ausgaben Vorlage'!$C295,Einzelbeträge!$E:$E,'Ausgaben Vorlage'!E$6)</f>
        <v>0</v>
      </c>
      <c r="F295" s="21">
        <f>SUMIFS(Einzelbeträge!$D:$D,Einzelbeträge!$C:$C,'Ausgaben Vorlage'!$C295,Einzelbeträge!$E:$E,'Ausgaben Vorlage'!F$6)</f>
        <v>0</v>
      </c>
      <c r="G295" s="21">
        <f>SUMIFS(Einzelbeträge!$D:$D,Einzelbeträge!$C:$C,'Ausgaben Vorlage'!$C295,Einzelbeträge!$E:$E,'Ausgaben Vorlage'!G$6)</f>
        <v>0</v>
      </c>
      <c r="H295" s="21">
        <f>SUMIFS(Einzelbeträge!$D:$D,Einzelbeträge!$C:$C,'Ausgaben Vorlage'!$C295,Einzelbeträge!$E:$E,'Ausgaben Vorlage'!H$6)</f>
        <v>0</v>
      </c>
      <c r="I295" s="21">
        <f>SUMIFS(Einzelbeträge!$D:$D,Einzelbeträge!$C:$C,'Ausgaben Vorlage'!$C295,Einzelbeträge!$E:$E,'Ausgaben Vorlage'!I$6)</f>
        <v>0</v>
      </c>
      <c r="J295" s="21">
        <f>SUMIFS(Einzelbeträge!$D:$D,Einzelbeträge!$C:$C,'Ausgaben Vorlage'!$C295,Einzelbeträge!$E:$E,'Ausgaben Vorlage'!J$6)</f>
        <v>0</v>
      </c>
      <c r="K295" s="21">
        <f>SUMIFS(Einzelbeträge!$D:$D,Einzelbeträge!$C:$C,'Ausgaben Vorlage'!$C295,Einzelbeträge!$E:$E,'Ausgaben Vorlage'!K$6)</f>
        <v>0</v>
      </c>
      <c r="L295" s="21">
        <f>SUMIFS(Einzelbeträge!$D:$D,Einzelbeträge!$C:$C,'Ausgaben Vorlage'!$C295,Einzelbeträge!$E:$E,'Ausgaben Vorlage'!L$6)</f>
        <v>0</v>
      </c>
      <c r="M295" s="21">
        <f>SUMIFS(Einzelbeträge!$D:$D,Einzelbeträge!$C:$C,'Ausgaben Vorlage'!$C295,Einzelbeträge!$E:$E,'Ausgaben Vorlage'!M$6)</f>
        <v>0</v>
      </c>
      <c r="N295" s="35">
        <f>SUMIFS(Einzelbeträge!$D:$D,Einzelbeträge!$C:$C,'Ausgaben Vorlage'!$C295,Einzelbeträge!$E:$E,'Ausgaben Vorlage'!N$6)</f>
        <v>0</v>
      </c>
      <c r="O295" s="6"/>
    </row>
    <row r="296" spans="2:15" x14ac:dyDescent="0.35">
      <c r="B296" s="5"/>
      <c r="C296" s="30">
        <f t="shared" si="24"/>
        <v>45922</v>
      </c>
      <c r="D296" s="46">
        <f>SUMIFS(Einzelbeträge!$D:$D,Einzelbeträge!$C:$C,'Ausgaben Vorlage'!$C296)</f>
        <v>0</v>
      </c>
      <c r="E296" s="21">
        <f>SUMIFS(Einzelbeträge!$D:$D,Einzelbeträge!$C:$C,'Ausgaben Vorlage'!$C296,Einzelbeträge!$E:$E,'Ausgaben Vorlage'!E$6)</f>
        <v>0</v>
      </c>
      <c r="F296" s="21">
        <f>SUMIFS(Einzelbeträge!$D:$D,Einzelbeträge!$C:$C,'Ausgaben Vorlage'!$C296,Einzelbeträge!$E:$E,'Ausgaben Vorlage'!F$6)</f>
        <v>0</v>
      </c>
      <c r="G296" s="21">
        <f>SUMIFS(Einzelbeträge!$D:$D,Einzelbeträge!$C:$C,'Ausgaben Vorlage'!$C296,Einzelbeträge!$E:$E,'Ausgaben Vorlage'!G$6)</f>
        <v>0</v>
      </c>
      <c r="H296" s="21">
        <f>SUMIFS(Einzelbeträge!$D:$D,Einzelbeträge!$C:$C,'Ausgaben Vorlage'!$C296,Einzelbeträge!$E:$E,'Ausgaben Vorlage'!H$6)</f>
        <v>0</v>
      </c>
      <c r="I296" s="21">
        <f>SUMIFS(Einzelbeträge!$D:$D,Einzelbeträge!$C:$C,'Ausgaben Vorlage'!$C296,Einzelbeträge!$E:$E,'Ausgaben Vorlage'!I$6)</f>
        <v>0</v>
      </c>
      <c r="J296" s="21">
        <f>SUMIFS(Einzelbeträge!$D:$D,Einzelbeträge!$C:$C,'Ausgaben Vorlage'!$C296,Einzelbeträge!$E:$E,'Ausgaben Vorlage'!J$6)</f>
        <v>0</v>
      </c>
      <c r="K296" s="21">
        <f>SUMIFS(Einzelbeträge!$D:$D,Einzelbeträge!$C:$C,'Ausgaben Vorlage'!$C296,Einzelbeträge!$E:$E,'Ausgaben Vorlage'!K$6)</f>
        <v>0</v>
      </c>
      <c r="L296" s="21">
        <f>SUMIFS(Einzelbeträge!$D:$D,Einzelbeträge!$C:$C,'Ausgaben Vorlage'!$C296,Einzelbeträge!$E:$E,'Ausgaben Vorlage'!L$6)</f>
        <v>0</v>
      </c>
      <c r="M296" s="21">
        <f>SUMIFS(Einzelbeträge!$D:$D,Einzelbeträge!$C:$C,'Ausgaben Vorlage'!$C296,Einzelbeträge!$E:$E,'Ausgaben Vorlage'!M$6)</f>
        <v>0</v>
      </c>
      <c r="N296" s="35">
        <f>SUMIFS(Einzelbeträge!$D:$D,Einzelbeträge!$C:$C,'Ausgaben Vorlage'!$C296,Einzelbeträge!$E:$E,'Ausgaben Vorlage'!N$6)</f>
        <v>0</v>
      </c>
      <c r="O296" s="6"/>
    </row>
    <row r="297" spans="2:15" x14ac:dyDescent="0.35">
      <c r="B297" s="5"/>
      <c r="C297" s="30">
        <f t="shared" si="24"/>
        <v>45923</v>
      </c>
      <c r="D297" s="46">
        <f>SUMIFS(Einzelbeträge!$D:$D,Einzelbeträge!$C:$C,'Ausgaben Vorlage'!$C297)</f>
        <v>0</v>
      </c>
      <c r="E297" s="21">
        <f>SUMIFS(Einzelbeträge!$D:$D,Einzelbeträge!$C:$C,'Ausgaben Vorlage'!$C297,Einzelbeträge!$E:$E,'Ausgaben Vorlage'!E$6)</f>
        <v>0</v>
      </c>
      <c r="F297" s="21">
        <f>SUMIFS(Einzelbeträge!$D:$D,Einzelbeträge!$C:$C,'Ausgaben Vorlage'!$C297,Einzelbeträge!$E:$E,'Ausgaben Vorlage'!F$6)</f>
        <v>0</v>
      </c>
      <c r="G297" s="21">
        <f>SUMIFS(Einzelbeträge!$D:$D,Einzelbeträge!$C:$C,'Ausgaben Vorlage'!$C297,Einzelbeträge!$E:$E,'Ausgaben Vorlage'!G$6)</f>
        <v>0</v>
      </c>
      <c r="H297" s="21">
        <f>SUMIFS(Einzelbeträge!$D:$D,Einzelbeträge!$C:$C,'Ausgaben Vorlage'!$C297,Einzelbeträge!$E:$E,'Ausgaben Vorlage'!H$6)</f>
        <v>0</v>
      </c>
      <c r="I297" s="21">
        <f>SUMIFS(Einzelbeträge!$D:$D,Einzelbeträge!$C:$C,'Ausgaben Vorlage'!$C297,Einzelbeträge!$E:$E,'Ausgaben Vorlage'!I$6)</f>
        <v>0</v>
      </c>
      <c r="J297" s="21">
        <f>SUMIFS(Einzelbeträge!$D:$D,Einzelbeträge!$C:$C,'Ausgaben Vorlage'!$C297,Einzelbeträge!$E:$E,'Ausgaben Vorlage'!J$6)</f>
        <v>0</v>
      </c>
      <c r="K297" s="21">
        <f>SUMIFS(Einzelbeträge!$D:$D,Einzelbeträge!$C:$C,'Ausgaben Vorlage'!$C297,Einzelbeträge!$E:$E,'Ausgaben Vorlage'!K$6)</f>
        <v>0</v>
      </c>
      <c r="L297" s="21">
        <f>SUMIFS(Einzelbeträge!$D:$D,Einzelbeträge!$C:$C,'Ausgaben Vorlage'!$C297,Einzelbeträge!$E:$E,'Ausgaben Vorlage'!L$6)</f>
        <v>0</v>
      </c>
      <c r="M297" s="21">
        <f>SUMIFS(Einzelbeträge!$D:$D,Einzelbeträge!$C:$C,'Ausgaben Vorlage'!$C297,Einzelbeträge!$E:$E,'Ausgaben Vorlage'!M$6)</f>
        <v>0</v>
      </c>
      <c r="N297" s="35">
        <f>SUMIFS(Einzelbeträge!$D:$D,Einzelbeträge!$C:$C,'Ausgaben Vorlage'!$C297,Einzelbeträge!$E:$E,'Ausgaben Vorlage'!N$6)</f>
        <v>0</v>
      </c>
      <c r="O297" s="6"/>
    </row>
    <row r="298" spans="2:15" x14ac:dyDescent="0.35">
      <c r="B298" s="5"/>
      <c r="C298" s="30">
        <f t="shared" si="24"/>
        <v>45924</v>
      </c>
      <c r="D298" s="46">
        <f>SUMIFS(Einzelbeträge!$D:$D,Einzelbeträge!$C:$C,'Ausgaben Vorlage'!$C298)</f>
        <v>0</v>
      </c>
      <c r="E298" s="21">
        <f>SUMIFS(Einzelbeträge!$D:$D,Einzelbeträge!$C:$C,'Ausgaben Vorlage'!$C298,Einzelbeträge!$E:$E,'Ausgaben Vorlage'!E$6)</f>
        <v>0</v>
      </c>
      <c r="F298" s="21">
        <f>SUMIFS(Einzelbeträge!$D:$D,Einzelbeträge!$C:$C,'Ausgaben Vorlage'!$C298,Einzelbeträge!$E:$E,'Ausgaben Vorlage'!F$6)</f>
        <v>0</v>
      </c>
      <c r="G298" s="21">
        <f>SUMIFS(Einzelbeträge!$D:$D,Einzelbeträge!$C:$C,'Ausgaben Vorlage'!$C298,Einzelbeträge!$E:$E,'Ausgaben Vorlage'!G$6)</f>
        <v>0</v>
      </c>
      <c r="H298" s="21">
        <f>SUMIFS(Einzelbeträge!$D:$D,Einzelbeträge!$C:$C,'Ausgaben Vorlage'!$C298,Einzelbeträge!$E:$E,'Ausgaben Vorlage'!H$6)</f>
        <v>0</v>
      </c>
      <c r="I298" s="21">
        <f>SUMIFS(Einzelbeträge!$D:$D,Einzelbeträge!$C:$C,'Ausgaben Vorlage'!$C298,Einzelbeträge!$E:$E,'Ausgaben Vorlage'!I$6)</f>
        <v>0</v>
      </c>
      <c r="J298" s="21">
        <f>SUMIFS(Einzelbeträge!$D:$D,Einzelbeträge!$C:$C,'Ausgaben Vorlage'!$C298,Einzelbeträge!$E:$E,'Ausgaben Vorlage'!J$6)</f>
        <v>0</v>
      </c>
      <c r="K298" s="21">
        <f>SUMIFS(Einzelbeträge!$D:$D,Einzelbeträge!$C:$C,'Ausgaben Vorlage'!$C298,Einzelbeträge!$E:$E,'Ausgaben Vorlage'!K$6)</f>
        <v>0</v>
      </c>
      <c r="L298" s="21">
        <f>SUMIFS(Einzelbeträge!$D:$D,Einzelbeträge!$C:$C,'Ausgaben Vorlage'!$C298,Einzelbeträge!$E:$E,'Ausgaben Vorlage'!L$6)</f>
        <v>0</v>
      </c>
      <c r="M298" s="21">
        <f>SUMIFS(Einzelbeträge!$D:$D,Einzelbeträge!$C:$C,'Ausgaben Vorlage'!$C298,Einzelbeträge!$E:$E,'Ausgaben Vorlage'!M$6)</f>
        <v>0</v>
      </c>
      <c r="N298" s="35">
        <f>SUMIFS(Einzelbeträge!$D:$D,Einzelbeträge!$C:$C,'Ausgaben Vorlage'!$C298,Einzelbeträge!$E:$E,'Ausgaben Vorlage'!N$6)</f>
        <v>0</v>
      </c>
      <c r="O298" s="6"/>
    </row>
    <row r="299" spans="2:15" x14ac:dyDescent="0.35">
      <c r="B299" s="5"/>
      <c r="C299" s="30">
        <f t="shared" si="24"/>
        <v>45925</v>
      </c>
      <c r="D299" s="46">
        <f>SUMIFS(Einzelbeträge!$D:$D,Einzelbeträge!$C:$C,'Ausgaben Vorlage'!$C299)</f>
        <v>0</v>
      </c>
      <c r="E299" s="21">
        <f>SUMIFS(Einzelbeträge!$D:$D,Einzelbeträge!$C:$C,'Ausgaben Vorlage'!$C299,Einzelbeträge!$E:$E,'Ausgaben Vorlage'!E$6)</f>
        <v>0</v>
      </c>
      <c r="F299" s="21">
        <f>SUMIFS(Einzelbeträge!$D:$D,Einzelbeträge!$C:$C,'Ausgaben Vorlage'!$C299,Einzelbeträge!$E:$E,'Ausgaben Vorlage'!F$6)</f>
        <v>0</v>
      </c>
      <c r="G299" s="21">
        <f>SUMIFS(Einzelbeträge!$D:$D,Einzelbeträge!$C:$C,'Ausgaben Vorlage'!$C299,Einzelbeträge!$E:$E,'Ausgaben Vorlage'!G$6)</f>
        <v>0</v>
      </c>
      <c r="H299" s="21">
        <f>SUMIFS(Einzelbeträge!$D:$D,Einzelbeträge!$C:$C,'Ausgaben Vorlage'!$C299,Einzelbeträge!$E:$E,'Ausgaben Vorlage'!H$6)</f>
        <v>0</v>
      </c>
      <c r="I299" s="21">
        <f>SUMIFS(Einzelbeträge!$D:$D,Einzelbeträge!$C:$C,'Ausgaben Vorlage'!$C299,Einzelbeträge!$E:$E,'Ausgaben Vorlage'!I$6)</f>
        <v>0</v>
      </c>
      <c r="J299" s="21">
        <f>SUMIFS(Einzelbeträge!$D:$D,Einzelbeträge!$C:$C,'Ausgaben Vorlage'!$C299,Einzelbeträge!$E:$E,'Ausgaben Vorlage'!J$6)</f>
        <v>0</v>
      </c>
      <c r="K299" s="21">
        <f>SUMIFS(Einzelbeträge!$D:$D,Einzelbeträge!$C:$C,'Ausgaben Vorlage'!$C299,Einzelbeträge!$E:$E,'Ausgaben Vorlage'!K$6)</f>
        <v>0</v>
      </c>
      <c r="L299" s="21">
        <f>SUMIFS(Einzelbeträge!$D:$D,Einzelbeträge!$C:$C,'Ausgaben Vorlage'!$C299,Einzelbeträge!$E:$E,'Ausgaben Vorlage'!L$6)</f>
        <v>0</v>
      </c>
      <c r="M299" s="21">
        <f>SUMIFS(Einzelbeträge!$D:$D,Einzelbeträge!$C:$C,'Ausgaben Vorlage'!$C299,Einzelbeträge!$E:$E,'Ausgaben Vorlage'!M$6)</f>
        <v>0</v>
      </c>
      <c r="N299" s="35">
        <f>SUMIFS(Einzelbeträge!$D:$D,Einzelbeträge!$C:$C,'Ausgaben Vorlage'!$C299,Einzelbeträge!$E:$E,'Ausgaben Vorlage'!N$6)</f>
        <v>0</v>
      </c>
      <c r="O299" s="6"/>
    </row>
    <row r="300" spans="2:15" x14ac:dyDescent="0.35">
      <c r="B300" s="5"/>
      <c r="C300" s="30">
        <f t="shared" si="24"/>
        <v>45926</v>
      </c>
      <c r="D300" s="46">
        <f>SUMIFS(Einzelbeträge!$D:$D,Einzelbeträge!$C:$C,'Ausgaben Vorlage'!$C300)</f>
        <v>0</v>
      </c>
      <c r="E300" s="21">
        <f>SUMIFS(Einzelbeträge!$D:$D,Einzelbeträge!$C:$C,'Ausgaben Vorlage'!$C300,Einzelbeträge!$E:$E,'Ausgaben Vorlage'!E$6)</f>
        <v>0</v>
      </c>
      <c r="F300" s="21">
        <f>SUMIFS(Einzelbeträge!$D:$D,Einzelbeträge!$C:$C,'Ausgaben Vorlage'!$C300,Einzelbeträge!$E:$E,'Ausgaben Vorlage'!F$6)</f>
        <v>0</v>
      </c>
      <c r="G300" s="21">
        <f>SUMIFS(Einzelbeträge!$D:$D,Einzelbeträge!$C:$C,'Ausgaben Vorlage'!$C300,Einzelbeträge!$E:$E,'Ausgaben Vorlage'!G$6)</f>
        <v>0</v>
      </c>
      <c r="H300" s="21">
        <f>SUMIFS(Einzelbeträge!$D:$D,Einzelbeträge!$C:$C,'Ausgaben Vorlage'!$C300,Einzelbeträge!$E:$E,'Ausgaben Vorlage'!H$6)</f>
        <v>0</v>
      </c>
      <c r="I300" s="21">
        <f>SUMIFS(Einzelbeträge!$D:$D,Einzelbeträge!$C:$C,'Ausgaben Vorlage'!$C300,Einzelbeträge!$E:$E,'Ausgaben Vorlage'!I$6)</f>
        <v>0</v>
      </c>
      <c r="J300" s="21">
        <f>SUMIFS(Einzelbeträge!$D:$D,Einzelbeträge!$C:$C,'Ausgaben Vorlage'!$C300,Einzelbeträge!$E:$E,'Ausgaben Vorlage'!J$6)</f>
        <v>0</v>
      </c>
      <c r="K300" s="21">
        <f>SUMIFS(Einzelbeträge!$D:$D,Einzelbeträge!$C:$C,'Ausgaben Vorlage'!$C300,Einzelbeträge!$E:$E,'Ausgaben Vorlage'!K$6)</f>
        <v>0</v>
      </c>
      <c r="L300" s="21">
        <f>SUMIFS(Einzelbeträge!$D:$D,Einzelbeträge!$C:$C,'Ausgaben Vorlage'!$C300,Einzelbeträge!$E:$E,'Ausgaben Vorlage'!L$6)</f>
        <v>0</v>
      </c>
      <c r="M300" s="21">
        <f>SUMIFS(Einzelbeträge!$D:$D,Einzelbeträge!$C:$C,'Ausgaben Vorlage'!$C300,Einzelbeträge!$E:$E,'Ausgaben Vorlage'!M$6)</f>
        <v>0</v>
      </c>
      <c r="N300" s="35">
        <f>SUMIFS(Einzelbeträge!$D:$D,Einzelbeträge!$C:$C,'Ausgaben Vorlage'!$C300,Einzelbeträge!$E:$E,'Ausgaben Vorlage'!N$6)</f>
        <v>0</v>
      </c>
      <c r="O300" s="6"/>
    </row>
    <row r="301" spans="2:15" x14ac:dyDescent="0.35">
      <c r="B301" s="5"/>
      <c r="C301" s="30">
        <f t="shared" si="24"/>
        <v>45927</v>
      </c>
      <c r="D301" s="46">
        <f>SUMIFS(Einzelbeträge!$D:$D,Einzelbeträge!$C:$C,'Ausgaben Vorlage'!$C301)</f>
        <v>0</v>
      </c>
      <c r="E301" s="21">
        <f>SUMIFS(Einzelbeträge!$D:$D,Einzelbeträge!$C:$C,'Ausgaben Vorlage'!$C301,Einzelbeträge!$E:$E,'Ausgaben Vorlage'!E$6)</f>
        <v>0</v>
      </c>
      <c r="F301" s="21">
        <f>SUMIFS(Einzelbeträge!$D:$D,Einzelbeträge!$C:$C,'Ausgaben Vorlage'!$C301,Einzelbeträge!$E:$E,'Ausgaben Vorlage'!F$6)</f>
        <v>0</v>
      </c>
      <c r="G301" s="21">
        <f>SUMIFS(Einzelbeträge!$D:$D,Einzelbeträge!$C:$C,'Ausgaben Vorlage'!$C301,Einzelbeträge!$E:$E,'Ausgaben Vorlage'!G$6)</f>
        <v>0</v>
      </c>
      <c r="H301" s="21">
        <f>SUMIFS(Einzelbeträge!$D:$D,Einzelbeträge!$C:$C,'Ausgaben Vorlage'!$C301,Einzelbeträge!$E:$E,'Ausgaben Vorlage'!H$6)</f>
        <v>0</v>
      </c>
      <c r="I301" s="21">
        <f>SUMIFS(Einzelbeträge!$D:$D,Einzelbeträge!$C:$C,'Ausgaben Vorlage'!$C301,Einzelbeträge!$E:$E,'Ausgaben Vorlage'!I$6)</f>
        <v>0</v>
      </c>
      <c r="J301" s="21">
        <f>SUMIFS(Einzelbeträge!$D:$D,Einzelbeträge!$C:$C,'Ausgaben Vorlage'!$C301,Einzelbeträge!$E:$E,'Ausgaben Vorlage'!J$6)</f>
        <v>0</v>
      </c>
      <c r="K301" s="21">
        <f>SUMIFS(Einzelbeträge!$D:$D,Einzelbeträge!$C:$C,'Ausgaben Vorlage'!$C301,Einzelbeträge!$E:$E,'Ausgaben Vorlage'!K$6)</f>
        <v>0</v>
      </c>
      <c r="L301" s="21">
        <f>SUMIFS(Einzelbeträge!$D:$D,Einzelbeträge!$C:$C,'Ausgaben Vorlage'!$C301,Einzelbeträge!$E:$E,'Ausgaben Vorlage'!L$6)</f>
        <v>0</v>
      </c>
      <c r="M301" s="21">
        <f>SUMIFS(Einzelbeträge!$D:$D,Einzelbeträge!$C:$C,'Ausgaben Vorlage'!$C301,Einzelbeträge!$E:$E,'Ausgaben Vorlage'!M$6)</f>
        <v>0</v>
      </c>
      <c r="N301" s="35">
        <f>SUMIFS(Einzelbeträge!$D:$D,Einzelbeträge!$C:$C,'Ausgaben Vorlage'!$C301,Einzelbeträge!$E:$E,'Ausgaben Vorlage'!N$6)</f>
        <v>0</v>
      </c>
      <c r="O301" s="6"/>
    </row>
    <row r="302" spans="2:15" x14ac:dyDescent="0.35">
      <c r="B302" s="5"/>
      <c r="C302" s="30">
        <f t="shared" si="24"/>
        <v>45928</v>
      </c>
      <c r="D302" s="46">
        <f>SUMIFS(Einzelbeträge!$D:$D,Einzelbeträge!$C:$C,'Ausgaben Vorlage'!$C302)</f>
        <v>0</v>
      </c>
      <c r="E302" s="21">
        <f>SUMIFS(Einzelbeträge!$D:$D,Einzelbeträge!$C:$C,'Ausgaben Vorlage'!$C302,Einzelbeträge!$E:$E,'Ausgaben Vorlage'!E$6)</f>
        <v>0</v>
      </c>
      <c r="F302" s="21">
        <f>SUMIFS(Einzelbeträge!$D:$D,Einzelbeträge!$C:$C,'Ausgaben Vorlage'!$C302,Einzelbeträge!$E:$E,'Ausgaben Vorlage'!F$6)</f>
        <v>0</v>
      </c>
      <c r="G302" s="21">
        <f>SUMIFS(Einzelbeträge!$D:$D,Einzelbeträge!$C:$C,'Ausgaben Vorlage'!$C302,Einzelbeträge!$E:$E,'Ausgaben Vorlage'!G$6)</f>
        <v>0</v>
      </c>
      <c r="H302" s="21">
        <f>SUMIFS(Einzelbeträge!$D:$D,Einzelbeträge!$C:$C,'Ausgaben Vorlage'!$C302,Einzelbeträge!$E:$E,'Ausgaben Vorlage'!H$6)</f>
        <v>0</v>
      </c>
      <c r="I302" s="21">
        <f>SUMIFS(Einzelbeträge!$D:$D,Einzelbeträge!$C:$C,'Ausgaben Vorlage'!$C302,Einzelbeträge!$E:$E,'Ausgaben Vorlage'!I$6)</f>
        <v>0</v>
      </c>
      <c r="J302" s="21">
        <f>SUMIFS(Einzelbeträge!$D:$D,Einzelbeträge!$C:$C,'Ausgaben Vorlage'!$C302,Einzelbeträge!$E:$E,'Ausgaben Vorlage'!J$6)</f>
        <v>0</v>
      </c>
      <c r="K302" s="21">
        <f>SUMIFS(Einzelbeträge!$D:$D,Einzelbeträge!$C:$C,'Ausgaben Vorlage'!$C302,Einzelbeträge!$E:$E,'Ausgaben Vorlage'!K$6)</f>
        <v>0</v>
      </c>
      <c r="L302" s="21">
        <f>SUMIFS(Einzelbeträge!$D:$D,Einzelbeträge!$C:$C,'Ausgaben Vorlage'!$C302,Einzelbeträge!$E:$E,'Ausgaben Vorlage'!L$6)</f>
        <v>0</v>
      </c>
      <c r="M302" s="21">
        <f>SUMIFS(Einzelbeträge!$D:$D,Einzelbeträge!$C:$C,'Ausgaben Vorlage'!$C302,Einzelbeträge!$E:$E,'Ausgaben Vorlage'!M$6)</f>
        <v>0</v>
      </c>
      <c r="N302" s="35">
        <f>SUMIFS(Einzelbeträge!$D:$D,Einzelbeträge!$C:$C,'Ausgaben Vorlage'!$C302,Einzelbeträge!$E:$E,'Ausgaben Vorlage'!N$6)</f>
        <v>0</v>
      </c>
      <c r="O302" s="6"/>
    </row>
    <row r="303" spans="2:15" x14ac:dyDescent="0.35">
      <c r="B303" s="5"/>
      <c r="C303" s="30">
        <f t="shared" si="24"/>
        <v>45929</v>
      </c>
      <c r="D303" s="46">
        <f>SUMIFS(Einzelbeträge!$D:$D,Einzelbeträge!$C:$C,'Ausgaben Vorlage'!$C303)</f>
        <v>0</v>
      </c>
      <c r="E303" s="21">
        <f>SUMIFS(Einzelbeträge!$D:$D,Einzelbeträge!$C:$C,'Ausgaben Vorlage'!$C303,Einzelbeträge!$E:$E,'Ausgaben Vorlage'!E$6)</f>
        <v>0</v>
      </c>
      <c r="F303" s="21">
        <f>SUMIFS(Einzelbeträge!$D:$D,Einzelbeträge!$C:$C,'Ausgaben Vorlage'!$C303,Einzelbeträge!$E:$E,'Ausgaben Vorlage'!F$6)</f>
        <v>0</v>
      </c>
      <c r="G303" s="21">
        <f>SUMIFS(Einzelbeträge!$D:$D,Einzelbeträge!$C:$C,'Ausgaben Vorlage'!$C303,Einzelbeträge!$E:$E,'Ausgaben Vorlage'!G$6)</f>
        <v>0</v>
      </c>
      <c r="H303" s="21">
        <f>SUMIFS(Einzelbeträge!$D:$D,Einzelbeträge!$C:$C,'Ausgaben Vorlage'!$C303,Einzelbeträge!$E:$E,'Ausgaben Vorlage'!H$6)</f>
        <v>0</v>
      </c>
      <c r="I303" s="21">
        <f>SUMIFS(Einzelbeträge!$D:$D,Einzelbeträge!$C:$C,'Ausgaben Vorlage'!$C303,Einzelbeträge!$E:$E,'Ausgaben Vorlage'!I$6)</f>
        <v>0</v>
      </c>
      <c r="J303" s="21">
        <f>SUMIFS(Einzelbeträge!$D:$D,Einzelbeträge!$C:$C,'Ausgaben Vorlage'!$C303,Einzelbeträge!$E:$E,'Ausgaben Vorlage'!J$6)</f>
        <v>0</v>
      </c>
      <c r="K303" s="21">
        <f>SUMIFS(Einzelbeträge!$D:$D,Einzelbeträge!$C:$C,'Ausgaben Vorlage'!$C303,Einzelbeträge!$E:$E,'Ausgaben Vorlage'!K$6)</f>
        <v>0</v>
      </c>
      <c r="L303" s="21">
        <f>SUMIFS(Einzelbeträge!$D:$D,Einzelbeträge!$C:$C,'Ausgaben Vorlage'!$C303,Einzelbeträge!$E:$E,'Ausgaben Vorlage'!L$6)</f>
        <v>0</v>
      </c>
      <c r="M303" s="21">
        <f>SUMIFS(Einzelbeträge!$D:$D,Einzelbeträge!$C:$C,'Ausgaben Vorlage'!$C303,Einzelbeträge!$E:$E,'Ausgaben Vorlage'!M$6)</f>
        <v>0</v>
      </c>
      <c r="N303" s="35">
        <f>SUMIFS(Einzelbeträge!$D:$D,Einzelbeträge!$C:$C,'Ausgaben Vorlage'!$C303,Einzelbeträge!$E:$E,'Ausgaben Vorlage'!N$6)</f>
        <v>0</v>
      </c>
      <c r="O303" s="6"/>
    </row>
    <row r="304" spans="2:15" x14ac:dyDescent="0.35">
      <c r="B304" s="5"/>
      <c r="C304" s="31">
        <f t="shared" si="24"/>
        <v>45930</v>
      </c>
      <c r="D304" s="47">
        <f>SUMIFS(Einzelbeträge!$D:$D,Einzelbeträge!$C:$C,'Ausgaben Vorlage'!$C304)</f>
        <v>0</v>
      </c>
      <c r="E304" s="37">
        <f>SUMIFS(Einzelbeträge!$D:$D,Einzelbeträge!$C:$C,'Ausgaben Vorlage'!$C304,Einzelbeträge!$E:$E,'Ausgaben Vorlage'!E$6)</f>
        <v>0</v>
      </c>
      <c r="F304" s="37">
        <f>SUMIFS(Einzelbeträge!$D:$D,Einzelbeträge!$C:$C,'Ausgaben Vorlage'!$C304,Einzelbeträge!$E:$E,'Ausgaben Vorlage'!F$6)</f>
        <v>0</v>
      </c>
      <c r="G304" s="37">
        <f>SUMIFS(Einzelbeträge!$D:$D,Einzelbeträge!$C:$C,'Ausgaben Vorlage'!$C304,Einzelbeträge!$E:$E,'Ausgaben Vorlage'!G$6)</f>
        <v>0</v>
      </c>
      <c r="H304" s="37">
        <f>SUMIFS(Einzelbeträge!$D:$D,Einzelbeträge!$C:$C,'Ausgaben Vorlage'!$C304,Einzelbeträge!$E:$E,'Ausgaben Vorlage'!H$6)</f>
        <v>0</v>
      </c>
      <c r="I304" s="37">
        <f>SUMIFS(Einzelbeträge!$D:$D,Einzelbeträge!$C:$C,'Ausgaben Vorlage'!$C304,Einzelbeträge!$E:$E,'Ausgaben Vorlage'!I$6)</f>
        <v>0</v>
      </c>
      <c r="J304" s="37">
        <f>SUMIFS(Einzelbeträge!$D:$D,Einzelbeträge!$C:$C,'Ausgaben Vorlage'!$C304,Einzelbeträge!$E:$E,'Ausgaben Vorlage'!J$6)</f>
        <v>0</v>
      </c>
      <c r="K304" s="37">
        <f>SUMIFS(Einzelbeträge!$D:$D,Einzelbeträge!$C:$C,'Ausgaben Vorlage'!$C304,Einzelbeträge!$E:$E,'Ausgaben Vorlage'!K$6)</f>
        <v>0</v>
      </c>
      <c r="L304" s="37">
        <f>SUMIFS(Einzelbeträge!$D:$D,Einzelbeträge!$C:$C,'Ausgaben Vorlage'!$C304,Einzelbeträge!$E:$E,'Ausgaben Vorlage'!L$6)</f>
        <v>0</v>
      </c>
      <c r="M304" s="37">
        <f>SUMIFS(Einzelbeträge!$D:$D,Einzelbeträge!$C:$C,'Ausgaben Vorlage'!$C304,Einzelbeträge!$E:$E,'Ausgaben Vorlage'!M$6)</f>
        <v>0</v>
      </c>
      <c r="N304" s="38">
        <f>SUMIFS(Einzelbeträge!$D:$D,Einzelbeträge!$C:$C,'Ausgaben Vorlage'!$C304,Einzelbeträge!$E:$E,'Ausgaben Vorlage'!N$6)</f>
        <v>0</v>
      </c>
      <c r="O304" s="6"/>
    </row>
    <row r="305" spans="2:15" x14ac:dyDescent="0.35">
      <c r="B305" s="5"/>
      <c r="C305" s="22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6"/>
    </row>
    <row r="306" spans="2:15" x14ac:dyDescent="0.35">
      <c r="B306" s="5"/>
      <c r="C306" s="16" t="s">
        <v>26</v>
      </c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6"/>
    </row>
    <row r="307" spans="2:15" x14ac:dyDescent="0.35">
      <c r="B307" s="5"/>
      <c r="C307" s="1" t="s">
        <v>7</v>
      </c>
      <c r="D307" s="16" t="s">
        <v>6</v>
      </c>
      <c r="E307" s="42" t="s">
        <v>0</v>
      </c>
      <c r="F307" s="42" t="s">
        <v>1</v>
      </c>
      <c r="G307" s="42" t="s">
        <v>3</v>
      </c>
      <c r="H307" s="42" t="s">
        <v>2</v>
      </c>
      <c r="I307" s="42" t="s">
        <v>42</v>
      </c>
      <c r="J307" s="42" t="s">
        <v>65</v>
      </c>
      <c r="K307" s="42" t="s">
        <v>64</v>
      </c>
      <c r="L307" s="42" t="s">
        <v>63</v>
      </c>
      <c r="M307" s="42" t="s">
        <v>62</v>
      </c>
      <c r="N307" s="43" t="s">
        <v>61</v>
      </c>
      <c r="O307" s="6"/>
    </row>
    <row r="308" spans="2:15" x14ac:dyDescent="0.35">
      <c r="B308" s="5"/>
      <c r="C308" s="40">
        <f>C304+1</f>
        <v>45931</v>
      </c>
      <c r="D308" s="45">
        <f>SUMIFS(Einzelbeträge!$D:$D,Einzelbeträge!$C:$C,'Ausgaben Vorlage'!$C308)</f>
        <v>0</v>
      </c>
      <c r="E308" s="32">
        <f>SUMIFS(Einzelbeträge!$D:$D,Einzelbeträge!$C:$C,'Ausgaben Vorlage'!$C308,Einzelbeträge!$E:$E,'Ausgaben Vorlage'!E$6)</f>
        <v>0</v>
      </c>
      <c r="F308" s="32">
        <f>SUMIFS(Einzelbeträge!$D:$D,Einzelbeträge!$C:$C,'Ausgaben Vorlage'!$C308,Einzelbeträge!$E:$E,'Ausgaben Vorlage'!F$6)</f>
        <v>0</v>
      </c>
      <c r="G308" s="32">
        <f>SUMIFS(Einzelbeträge!$D:$D,Einzelbeträge!$C:$C,'Ausgaben Vorlage'!$C308,Einzelbeträge!$E:$E,'Ausgaben Vorlage'!G$6)</f>
        <v>0</v>
      </c>
      <c r="H308" s="32">
        <f>SUMIFS(Einzelbeträge!$D:$D,Einzelbeträge!$C:$C,'Ausgaben Vorlage'!$C308,Einzelbeträge!$E:$E,'Ausgaben Vorlage'!H$6)</f>
        <v>0</v>
      </c>
      <c r="I308" s="32">
        <f>SUMIFS(Einzelbeträge!$D:$D,Einzelbeträge!$C:$C,'Ausgaben Vorlage'!$C308,Einzelbeträge!$E:$E,'Ausgaben Vorlage'!I$6)</f>
        <v>0</v>
      </c>
      <c r="J308" s="32">
        <f>SUMIFS(Einzelbeträge!$D:$D,Einzelbeträge!$C:$C,'Ausgaben Vorlage'!$C308,Einzelbeträge!$E:$E,'Ausgaben Vorlage'!J$6)</f>
        <v>0</v>
      </c>
      <c r="K308" s="32">
        <f>SUMIFS(Einzelbeträge!$D:$D,Einzelbeträge!$C:$C,'Ausgaben Vorlage'!$C308,Einzelbeträge!$E:$E,'Ausgaben Vorlage'!K$6)</f>
        <v>0</v>
      </c>
      <c r="L308" s="32">
        <f>SUMIFS(Einzelbeträge!$D:$D,Einzelbeträge!$C:$C,'Ausgaben Vorlage'!$C308,Einzelbeträge!$E:$E,'Ausgaben Vorlage'!L$6)</f>
        <v>0</v>
      </c>
      <c r="M308" s="32">
        <f>SUMIFS(Einzelbeträge!$D:$D,Einzelbeträge!$C:$C,'Ausgaben Vorlage'!$C308,Einzelbeträge!$E:$E,'Ausgaben Vorlage'!M$6)</f>
        <v>0</v>
      </c>
      <c r="N308" s="33">
        <f>SUMIFS(Einzelbeträge!$D:$D,Einzelbeträge!$C:$C,'Ausgaben Vorlage'!$C308,Einzelbeträge!$E:$E,'Ausgaben Vorlage'!N$6)</f>
        <v>0</v>
      </c>
      <c r="O308" s="6"/>
    </row>
    <row r="309" spans="2:15" x14ac:dyDescent="0.35">
      <c r="B309" s="5"/>
      <c r="C309" s="40">
        <f>C308+1</f>
        <v>45932</v>
      </c>
      <c r="D309" s="46">
        <f>SUMIFS(Einzelbeträge!$D:$D,Einzelbeträge!$C:$C,'Ausgaben Vorlage'!$C309)</f>
        <v>0</v>
      </c>
      <c r="E309" s="21">
        <f>SUMIFS(Einzelbeträge!$D:$D,Einzelbeträge!$C:$C,'Ausgaben Vorlage'!$C309,Einzelbeträge!$E:$E,'Ausgaben Vorlage'!E$6)</f>
        <v>0</v>
      </c>
      <c r="F309" s="21">
        <f>SUMIFS(Einzelbeträge!$D:$D,Einzelbeträge!$C:$C,'Ausgaben Vorlage'!$C309,Einzelbeträge!$E:$E,'Ausgaben Vorlage'!F$6)</f>
        <v>0</v>
      </c>
      <c r="G309" s="21">
        <f>SUMIFS(Einzelbeträge!$D:$D,Einzelbeträge!$C:$C,'Ausgaben Vorlage'!$C309,Einzelbeträge!$E:$E,'Ausgaben Vorlage'!G$6)</f>
        <v>0</v>
      </c>
      <c r="H309" s="21">
        <f>SUMIFS(Einzelbeträge!$D:$D,Einzelbeträge!$C:$C,'Ausgaben Vorlage'!$C309,Einzelbeträge!$E:$E,'Ausgaben Vorlage'!H$6)</f>
        <v>0</v>
      </c>
      <c r="I309" s="21">
        <f>SUMIFS(Einzelbeträge!$D:$D,Einzelbeträge!$C:$C,'Ausgaben Vorlage'!$C309,Einzelbeträge!$E:$E,'Ausgaben Vorlage'!I$6)</f>
        <v>0</v>
      </c>
      <c r="J309" s="21">
        <f>SUMIFS(Einzelbeträge!$D:$D,Einzelbeträge!$C:$C,'Ausgaben Vorlage'!$C309,Einzelbeträge!$E:$E,'Ausgaben Vorlage'!J$6)</f>
        <v>0</v>
      </c>
      <c r="K309" s="21">
        <f>SUMIFS(Einzelbeträge!$D:$D,Einzelbeträge!$C:$C,'Ausgaben Vorlage'!$C309,Einzelbeträge!$E:$E,'Ausgaben Vorlage'!K$6)</f>
        <v>0</v>
      </c>
      <c r="L309" s="21">
        <f>SUMIFS(Einzelbeträge!$D:$D,Einzelbeträge!$C:$C,'Ausgaben Vorlage'!$C309,Einzelbeträge!$E:$E,'Ausgaben Vorlage'!L$6)</f>
        <v>0</v>
      </c>
      <c r="M309" s="21">
        <f>SUMIFS(Einzelbeträge!$D:$D,Einzelbeträge!$C:$C,'Ausgaben Vorlage'!$C309,Einzelbeträge!$E:$E,'Ausgaben Vorlage'!M$6)</f>
        <v>0</v>
      </c>
      <c r="N309" s="35">
        <f>SUMIFS(Einzelbeträge!$D:$D,Einzelbeträge!$C:$C,'Ausgaben Vorlage'!$C309,Einzelbeträge!$E:$E,'Ausgaben Vorlage'!N$6)</f>
        <v>0</v>
      </c>
      <c r="O309" s="6"/>
    </row>
    <row r="310" spans="2:15" x14ac:dyDescent="0.35">
      <c r="B310" s="5"/>
      <c r="C310" s="40">
        <f t="shared" ref="C310:C338" si="25">C309+1</f>
        <v>45933</v>
      </c>
      <c r="D310" s="46">
        <f>SUMIFS(Einzelbeträge!$D:$D,Einzelbeträge!$C:$C,'Ausgaben Vorlage'!$C310)</f>
        <v>0</v>
      </c>
      <c r="E310" s="21">
        <f>SUMIFS(Einzelbeträge!$D:$D,Einzelbeträge!$C:$C,'Ausgaben Vorlage'!$C310,Einzelbeträge!$E:$E,'Ausgaben Vorlage'!E$6)</f>
        <v>0</v>
      </c>
      <c r="F310" s="21">
        <f>SUMIFS(Einzelbeträge!$D:$D,Einzelbeträge!$C:$C,'Ausgaben Vorlage'!$C310,Einzelbeträge!$E:$E,'Ausgaben Vorlage'!F$6)</f>
        <v>0</v>
      </c>
      <c r="G310" s="21">
        <f>SUMIFS(Einzelbeträge!$D:$D,Einzelbeträge!$C:$C,'Ausgaben Vorlage'!$C310,Einzelbeträge!$E:$E,'Ausgaben Vorlage'!G$6)</f>
        <v>0</v>
      </c>
      <c r="H310" s="21">
        <f>SUMIFS(Einzelbeträge!$D:$D,Einzelbeträge!$C:$C,'Ausgaben Vorlage'!$C310,Einzelbeträge!$E:$E,'Ausgaben Vorlage'!H$6)</f>
        <v>0</v>
      </c>
      <c r="I310" s="21">
        <f>SUMIFS(Einzelbeträge!$D:$D,Einzelbeträge!$C:$C,'Ausgaben Vorlage'!$C310,Einzelbeträge!$E:$E,'Ausgaben Vorlage'!I$6)</f>
        <v>0</v>
      </c>
      <c r="J310" s="21">
        <f>SUMIFS(Einzelbeträge!$D:$D,Einzelbeträge!$C:$C,'Ausgaben Vorlage'!$C310,Einzelbeträge!$E:$E,'Ausgaben Vorlage'!J$6)</f>
        <v>0</v>
      </c>
      <c r="K310" s="21">
        <f>SUMIFS(Einzelbeträge!$D:$D,Einzelbeträge!$C:$C,'Ausgaben Vorlage'!$C310,Einzelbeträge!$E:$E,'Ausgaben Vorlage'!K$6)</f>
        <v>0</v>
      </c>
      <c r="L310" s="21">
        <f>SUMIFS(Einzelbeträge!$D:$D,Einzelbeträge!$C:$C,'Ausgaben Vorlage'!$C310,Einzelbeträge!$E:$E,'Ausgaben Vorlage'!L$6)</f>
        <v>0</v>
      </c>
      <c r="M310" s="21">
        <f>SUMIFS(Einzelbeträge!$D:$D,Einzelbeträge!$C:$C,'Ausgaben Vorlage'!$C310,Einzelbeträge!$E:$E,'Ausgaben Vorlage'!M$6)</f>
        <v>0</v>
      </c>
      <c r="N310" s="35">
        <f>SUMIFS(Einzelbeträge!$D:$D,Einzelbeträge!$C:$C,'Ausgaben Vorlage'!$C310,Einzelbeträge!$E:$E,'Ausgaben Vorlage'!N$6)</f>
        <v>0</v>
      </c>
      <c r="O310" s="6"/>
    </row>
    <row r="311" spans="2:15" x14ac:dyDescent="0.35">
      <c r="B311" s="5"/>
      <c r="C311" s="40">
        <f t="shared" si="25"/>
        <v>45934</v>
      </c>
      <c r="D311" s="46">
        <f>SUMIFS(Einzelbeträge!$D:$D,Einzelbeträge!$C:$C,'Ausgaben Vorlage'!$C311)</f>
        <v>0</v>
      </c>
      <c r="E311" s="21">
        <f>SUMIFS(Einzelbeträge!$D:$D,Einzelbeträge!$C:$C,'Ausgaben Vorlage'!$C311,Einzelbeträge!$E:$E,'Ausgaben Vorlage'!E$6)</f>
        <v>0</v>
      </c>
      <c r="F311" s="21">
        <f>SUMIFS(Einzelbeträge!$D:$D,Einzelbeträge!$C:$C,'Ausgaben Vorlage'!$C311,Einzelbeträge!$E:$E,'Ausgaben Vorlage'!F$6)</f>
        <v>0</v>
      </c>
      <c r="G311" s="21">
        <f>SUMIFS(Einzelbeträge!$D:$D,Einzelbeträge!$C:$C,'Ausgaben Vorlage'!$C311,Einzelbeträge!$E:$E,'Ausgaben Vorlage'!G$6)</f>
        <v>0</v>
      </c>
      <c r="H311" s="21">
        <f>SUMIFS(Einzelbeträge!$D:$D,Einzelbeträge!$C:$C,'Ausgaben Vorlage'!$C311,Einzelbeträge!$E:$E,'Ausgaben Vorlage'!H$6)</f>
        <v>0</v>
      </c>
      <c r="I311" s="21">
        <f>SUMIFS(Einzelbeträge!$D:$D,Einzelbeträge!$C:$C,'Ausgaben Vorlage'!$C311,Einzelbeträge!$E:$E,'Ausgaben Vorlage'!I$6)</f>
        <v>0</v>
      </c>
      <c r="J311" s="21">
        <f>SUMIFS(Einzelbeträge!$D:$D,Einzelbeträge!$C:$C,'Ausgaben Vorlage'!$C311,Einzelbeträge!$E:$E,'Ausgaben Vorlage'!J$6)</f>
        <v>0</v>
      </c>
      <c r="K311" s="21">
        <f>SUMIFS(Einzelbeträge!$D:$D,Einzelbeträge!$C:$C,'Ausgaben Vorlage'!$C311,Einzelbeträge!$E:$E,'Ausgaben Vorlage'!K$6)</f>
        <v>0</v>
      </c>
      <c r="L311" s="21">
        <f>SUMIFS(Einzelbeträge!$D:$D,Einzelbeträge!$C:$C,'Ausgaben Vorlage'!$C311,Einzelbeträge!$E:$E,'Ausgaben Vorlage'!L$6)</f>
        <v>0</v>
      </c>
      <c r="M311" s="21">
        <f>SUMIFS(Einzelbeträge!$D:$D,Einzelbeträge!$C:$C,'Ausgaben Vorlage'!$C311,Einzelbeträge!$E:$E,'Ausgaben Vorlage'!M$6)</f>
        <v>0</v>
      </c>
      <c r="N311" s="35">
        <f>SUMIFS(Einzelbeträge!$D:$D,Einzelbeträge!$C:$C,'Ausgaben Vorlage'!$C311,Einzelbeträge!$E:$E,'Ausgaben Vorlage'!N$6)</f>
        <v>0</v>
      </c>
      <c r="O311" s="6"/>
    </row>
    <row r="312" spans="2:15" x14ac:dyDescent="0.35">
      <c r="B312" s="5"/>
      <c r="C312" s="40">
        <f t="shared" si="25"/>
        <v>45935</v>
      </c>
      <c r="D312" s="46">
        <f>SUMIFS(Einzelbeträge!$D:$D,Einzelbeträge!$C:$C,'Ausgaben Vorlage'!$C312)</f>
        <v>0</v>
      </c>
      <c r="E312" s="21">
        <f>SUMIFS(Einzelbeträge!$D:$D,Einzelbeträge!$C:$C,'Ausgaben Vorlage'!$C312,Einzelbeträge!$E:$E,'Ausgaben Vorlage'!E$6)</f>
        <v>0</v>
      </c>
      <c r="F312" s="21">
        <f>SUMIFS(Einzelbeträge!$D:$D,Einzelbeträge!$C:$C,'Ausgaben Vorlage'!$C312,Einzelbeträge!$E:$E,'Ausgaben Vorlage'!F$6)</f>
        <v>0</v>
      </c>
      <c r="G312" s="21">
        <f>SUMIFS(Einzelbeträge!$D:$D,Einzelbeträge!$C:$C,'Ausgaben Vorlage'!$C312,Einzelbeträge!$E:$E,'Ausgaben Vorlage'!G$6)</f>
        <v>0</v>
      </c>
      <c r="H312" s="21">
        <f>SUMIFS(Einzelbeträge!$D:$D,Einzelbeträge!$C:$C,'Ausgaben Vorlage'!$C312,Einzelbeträge!$E:$E,'Ausgaben Vorlage'!H$6)</f>
        <v>0</v>
      </c>
      <c r="I312" s="21">
        <f>SUMIFS(Einzelbeträge!$D:$D,Einzelbeträge!$C:$C,'Ausgaben Vorlage'!$C312,Einzelbeträge!$E:$E,'Ausgaben Vorlage'!I$6)</f>
        <v>0</v>
      </c>
      <c r="J312" s="21">
        <f>SUMIFS(Einzelbeträge!$D:$D,Einzelbeträge!$C:$C,'Ausgaben Vorlage'!$C312,Einzelbeträge!$E:$E,'Ausgaben Vorlage'!J$6)</f>
        <v>0</v>
      </c>
      <c r="K312" s="21">
        <f>SUMIFS(Einzelbeträge!$D:$D,Einzelbeträge!$C:$C,'Ausgaben Vorlage'!$C312,Einzelbeträge!$E:$E,'Ausgaben Vorlage'!K$6)</f>
        <v>0</v>
      </c>
      <c r="L312" s="21">
        <f>SUMIFS(Einzelbeträge!$D:$D,Einzelbeträge!$C:$C,'Ausgaben Vorlage'!$C312,Einzelbeträge!$E:$E,'Ausgaben Vorlage'!L$6)</f>
        <v>0</v>
      </c>
      <c r="M312" s="21">
        <f>SUMIFS(Einzelbeträge!$D:$D,Einzelbeträge!$C:$C,'Ausgaben Vorlage'!$C312,Einzelbeträge!$E:$E,'Ausgaben Vorlage'!M$6)</f>
        <v>0</v>
      </c>
      <c r="N312" s="35">
        <f>SUMIFS(Einzelbeträge!$D:$D,Einzelbeträge!$C:$C,'Ausgaben Vorlage'!$C312,Einzelbeträge!$E:$E,'Ausgaben Vorlage'!N$6)</f>
        <v>0</v>
      </c>
      <c r="O312" s="6"/>
    </row>
    <row r="313" spans="2:15" x14ac:dyDescent="0.35">
      <c r="B313" s="5"/>
      <c r="C313" s="40">
        <f t="shared" si="25"/>
        <v>45936</v>
      </c>
      <c r="D313" s="46">
        <f>SUMIFS(Einzelbeträge!$D:$D,Einzelbeträge!$C:$C,'Ausgaben Vorlage'!$C313)</f>
        <v>0</v>
      </c>
      <c r="E313" s="21">
        <f>SUMIFS(Einzelbeträge!$D:$D,Einzelbeträge!$C:$C,'Ausgaben Vorlage'!$C313,Einzelbeträge!$E:$E,'Ausgaben Vorlage'!E$6)</f>
        <v>0</v>
      </c>
      <c r="F313" s="21">
        <f>SUMIFS(Einzelbeträge!$D:$D,Einzelbeträge!$C:$C,'Ausgaben Vorlage'!$C313,Einzelbeträge!$E:$E,'Ausgaben Vorlage'!F$6)</f>
        <v>0</v>
      </c>
      <c r="G313" s="21">
        <f>SUMIFS(Einzelbeträge!$D:$D,Einzelbeträge!$C:$C,'Ausgaben Vorlage'!$C313,Einzelbeträge!$E:$E,'Ausgaben Vorlage'!G$6)</f>
        <v>0</v>
      </c>
      <c r="H313" s="21">
        <f>SUMIFS(Einzelbeträge!$D:$D,Einzelbeträge!$C:$C,'Ausgaben Vorlage'!$C313,Einzelbeträge!$E:$E,'Ausgaben Vorlage'!H$6)</f>
        <v>0</v>
      </c>
      <c r="I313" s="21">
        <f>SUMIFS(Einzelbeträge!$D:$D,Einzelbeträge!$C:$C,'Ausgaben Vorlage'!$C313,Einzelbeträge!$E:$E,'Ausgaben Vorlage'!I$6)</f>
        <v>0</v>
      </c>
      <c r="J313" s="21">
        <f>SUMIFS(Einzelbeträge!$D:$D,Einzelbeträge!$C:$C,'Ausgaben Vorlage'!$C313,Einzelbeträge!$E:$E,'Ausgaben Vorlage'!J$6)</f>
        <v>0</v>
      </c>
      <c r="K313" s="21">
        <f>SUMIFS(Einzelbeträge!$D:$D,Einzelbeträge!$C:$C,'Ausgaben Vorlage'!$C313,Einzelbeträge!$E:$E,'Ausgaben Vorlage'!K$6)</f>
        <v>0</v>
      </c>
      <c r="L313" s="21">
        <f>SUMIFS(Einzelbeträge!$D:$D,Einzelbeträge!$C:$C,'Ausgaben Vorlage'!$C313,Einzelbeträge!$E:$E,'Ausgaben Vorlage'!L$6)</f>
        <v>0</v>
      </c>
      <c r="M313" s="21">
        <f>SUMIFS(Einzelbeträge!$D:$D,Einzelbeträge!$C:$C,'Ausgaben Vorlage'!$C313,Einzelbeträge!$E:$E,'Ausgaben Vorlage'!M$6)</f>
        <v>0</v>
      </c>
      <c r="N313" s="35">
        <f>SUMIFS(Einzelbeträge!$D:$D,Einzelbeträge!$C:$C,'Ausgaben Vorlage'!$C313,Einzelbeträge!$E:$E,'Ausgaben Vorlage'!N$6)</f>
        <v>0</v>
      </c>
      <c r="O313" s="6"/>
    </row>
    <row r="314" spans="2:15" x14ac:dyDescent="0.35">
      <c r="B314" s="5"/>
      <c r="C314" s="40">
        <f t="shared" si="25"/>
        <v>45937</v>
      </c>
      <c r="D314" s="46">
        <f>SUMIFS(Einzelbeträge!$D:$D,Einzelbeträge!$C:$C,'Ausgaben Vorlage'!$C314)</f>
        <v>0</v>
      </c>
      <c r="E314" s="21">
        <f>SUMIFS(Einzelbeträge!$D:$D,Einzelbeträge!$C:$C,'Ausgaben Vorlage'!$C314,Einzelbeträge!$E:$E,'Ausgaben Vorlage'!E$6)</f>
        <v>0</v>
      </c>
      <c r="F314" s="21">
        <f>SUMIFS(Einzelbeträge!$D:$D,Einzelbeträge!$C:$C,'Ausgaben Vorlage'!$C314,Einzelbeträge!$E:$E,'Ausgaben Vorlage'!F$6)</f>
        <v>0</v>
      </c>
      <c r="G314" s="21">
        <f>SUMIFS(Einzelbeträge!$D:$D,Einzelbeträge!$C:$C,'Ausgaben Vorlage'!$C314,Einzelbeträge!$E:$E,'Ausgaben Vorlage'!G$6)</f>
        <v>0</v>
      </c>
      <c r="H314" s="21">
        <f>SUMIFS(Einzelbeträge!$D:$D,Einzelbeträge!$C:$C,'Ausgaben Vorlage'!$C314,Einzelbeträge!$E:$E,'Ausgaben Vorlage'!H$6)</f>
        <v>0</v>
      </c>
      <c r="I314" s="21">
        <f>SUMIFS(Einzelbeträge!$D:$D,Einzelbeträge!$C:$C,'Ausgaben Vorlage'!$C314,Einzelbeträge!$E:$E,'Ausgaben Vorlage'!I$6)</f>
        <v>0</v>
      </c>
      <c r="J314" s="21">
        <f>SUMIFS(Einzelbeträge!$D:$D,Einzelbeträge!$C:$C,'Ausgaben Vorlage'!$C314,Einzelbeträge!$E:$E,'Ausgaben Vorlage'!J$6)</f>
        <v>0</v>
      </c>
      <c r="K314" s="21">
        <f>SUMIFS(Einzelbeträge!$D:$D,Einzelbeträge!$C:$C,'Ausgaben Vorlage'!$C314,Einzelbeträge!$E:$E,'Ausgaben Vorlage'!K$6)</f>
        <v>0</v>
      </c>
      <c r="L314" s="21">
        <f>SUMIFS(Einzelbeträge!$D:$D,Einzelbeträge!$C:$C,'Ausgaben Vorlage'!$C314,Einzelbeträge!$E:$E,'Ausgaben Vorlage'!L$6)</f>
        <v>0</v>
      </c>
      <c r="M314" s="21">
        <f>SUMIFS(Einzelbeträge!$D:$D,Einzelbeträge!$C:$C,'Ausgaben Vorlage'!$C314,Einzelbeträge!$E:$E,'Ausgaben Vorlage'!M$6)</f>
        <v>0</v>
      </c>
      <c r="N314" s="35">
        <f>SUMIFS(Einzelbeträge!$D:$D,Einzelbeträge!$C:$C,'Ausgaben Vorlage'!$C314,Einzelbeträge!$E:$E,'Ausgaben Vorlage'!N$6)</f>
        <v>0</v>
      </c>
      <c r="O314" s="6"/>
    </row>
    <row r="315" spans="2:15" x14ac:dyDescent="0.35">
      <c r="B315" s="5"/>
      <c r="C315" s="40">
        <f t="shared" si="25"/>
        <v>45938</v>
      </c>
      <c r="D315" s="46">
        <f>SUMIFS(Einzelbeträge!$D:$D,Einzelbeträge!$C:$C,'Ausgaben Vorlage'!$C315)</f>
        <v>0</v>
      </c>
      <c r="E315" s="21">
        <f>SUMIFS(Einzelbeträge!$D:$D,Einzelbeträge!$C:$C,'Ausgaben Vorlage'!$C315,Einzelbeträge!$E:$E,'Ausgaben Vorlage'!E$6)</f>
        <v>0</v>
      </c>
      <c r="F315" s="21">
        <f>SUMIFS(Einzelbeträge!$D:$D,Einzelbeträge!$C:$C,'Ausgaben Vorlage'!$C315,Einzelbeträge!$E:$E,'Ausgaben Vorlage'!F$6)</f>
        <v>0</v>
      </c>
      <c r="G315" s="21">
        <f>SUMIFS(Einzelbeträge!$D:$D,Einzelbeträge!$C:$C,'Ausgaben Vorlage'!$C315,Einzelbeträge!$E:$E,'Ausgaben Vorlage'!G$6)</f>
        <v>0</v>
      </c>
      <c r="H315" s="21">
        <f>SUMIFS(Einzelbeträge!$D:$D,Einzelbeträge!$C:$C,'Ausgaben Vorlage'!$C315,Einzelbeträge!$E:$E,'Ausgaben Vorlage'!H$6)</f>
        <v>0</v>
      </c>
      <c r="I315" s="21">
        <f>SUMIFS(Einzelbeträge!$D:$D,Einzelbeträge!$C:$C,'Ausgaben Vorlage'!$C315,Einzelbeträge!$E:$E,'Ausgaben Vorlage'!I$6)</f>
        <v>0</v>
      </c>
      <c r="J315" s="21">
        <f>SUMIFS(Einzelbeträge!$D:$D,Einzelbeträge!$C:$C,'Ausgaben Vorlage'!$C315,Einzelbeträge!$E:$E,'Ausgaben Vorlage'!J$6)</f>
        <v>0</v>
      </c>
      <c r="K315" s="21">
        <f>SUMIFS(Einzelbeträge!$D:$D,Einzelbeträge!$C:$C,'Ausgaben Vorlage'!$C315,Einzelbeträge!$E:$E,'Ausgaben Vorlage'!K$6)</f>
        <v>0</v>
      </c>
      <c r="L315" s="21">
        <f>SUMIFS(Einzelbeträge!$D:$D,Einzelbeträge!$C:$C,'Ausgaben Vorlage'!$C315,Einzelbeträge!$E:$E,'Ausgaben Vorlage'!L$6)</f>
        <v>0</v>
      </c>
      <c r="M315" s="21">
        <f>SUMIFS(Einzelbeträge!$D:$D,Einzelbeträge!$C:$C,'Ausgaben Vorlage'!$C315,Einzelbeträge!$E:$E,'Ausgaben Vorlage'!M$6)</f>
        <v>0</v>
      </c>
      <c r="N315" s="35">
        <f>SUMIFS(Einzelbeträge!$D:$D,Einzelbeträge!$C:$C,'Ausgaben Vorlage'!$C315,Einzelbeträge!$E:$E,'Ausgaben Vorlage'!N$6)</f>
        <v>0</v>
      </c>
      <c r="O315" s="6"/>
    </row>
    <row r="316" spans="2:15" x14ac:dyDescent="0.35">
      <c r="B316" s="5"/>
      <c r="C316" s="40">
        <f t="shared" si="25"/>
        <v>45939</v>
      </c>
      <c r="D316" s="46">
        <f>SUMIFS(Einzelbeträge!$D:$D,Einzelbeträge!$C:$C,'Ausgaben Vorlage'!$C316)</f>
        <v>0</v>
      </c>
      <c r="E316" s="21">
        <f>SUMIFS(Einzelbeträge!$D:$D,Einzelbeträge!$C:$C,'Ausgaben Vorlage'!$C316,Einzelbeträge!$E:$E,'Ausgaben Vorlage'!E$6)</f>
        <v>0</v>
      </c>
      <c r="F316" s="21">
        <f>SUMIFS(Einzelbeträge!$D:$D,Einzelbeträge!$C:$C,'Ausgaben Vorlage'!$C316,Einzelbeträge!$E:$E,'Ausgaben Vorlage'!F$6)</f>
        <v>0</v>
      </c>
      <c r="G316" s="21">
        <f>SUMIFS(Einzelbeträge!$D:$D,Einzelbeträge!$C:$C,'Ausgaben Vorlage'!$C316,Einzelbeträge!$E:$E,'Ausgaben Vorlage'!G$6)</f>
        <v>0</v>
      </c>
      <c r="H316" s="21">
        <f>SUMIFS(Einzelbeträge!$D:$D,Einzelbeträge!$C:$C,'Ausgaben Vorlage'!$C316,Einzelbeträge!$E:$E,'Ausgaben Vorlage'!H$6)</f>
        <v>0</v>
      </c>
      <c r="I316" s="21">
        <f>SUMIFS(Einzelbeträge!$D:$D,Einzelbeträge!$C:$C,'Ausgaben Vorlage'!$C316,Einzelbeträge!$E:$E,'Ausgaben Vorlage'!I$6)</f>
        <v>0</v>
      </c>
      <c r="J316" s="21">
        <f>SUMIFS(Einzelbeträge!$D:$D,Einzelbeträge!$C:$C,'Ausgaben Vorlage'!$C316,Einzelbeträge!$E:$E,'Ausgaben Vorlage'!J$6)</f>
        <v>0</v>
      </c>
      <c r="K316" s="21">
        <f>SUMIFS(Einzelbeträge!$D:$D,Einzelbeträge!$C:$C,'Ausgaben Vorlage'!$C316,Einzelbeträge!$E:$E,'Ausgaben Vorlage'!K$6)</f>
        <v>0</v>
      </c>
      <c r="L316" s="21">
        <f>SUMIFS(Einzelbeträge!$D:$D,Einzelbeträge!$C:$C,'Ausgaben Vorlage'!$C316,Einzelbeträge!$E:$E,'Ausgaben Vorlage'!L$6)</f>
        <v>0</v>
      </c>
      <c r="M316" s="21">
        <f>SUMIFS(Einzelbeträge!$D:$D,Einzelbeträge!$C:$C,'Ausgaben Vorlage'!$C316,Einzelbeträge!$E:$E,'Ausgaben Vorlage'!M$6)</f>
        <v>0</v>
      </c>
      <c r="N316" s="35">
        <f>SUMIFS(Einzelbeträge!$D:$D,Einzelbeträge!$C:$C,'Ausgaben Vorlage'!$C316,Einzelbeträge!$E:$E,'Ausgaben Vorlage'!N$6)</f>
        <v>0</v>
      </c>
      <c r="O316" s="6"/>
    </row>
    <row r="317" spans="2:15" x14ac:dyDescent="0.35">
      <c r="B317" s="5"/>
      <c r="C317" s="40">
        <f t="shared" si="25"/>
        <v>45940</v>
      </c>
      <c r="D317" s="46">
        <f>SUMIFS(Einzelbeträge!$D:$D,Einzelbeträge!$C:$C,'Ausgaben Vorlage'!$C317)</f>
        <v>0</v>
      </c>
      <c r="E317" s="21">
        <f>SUMIFS(Einzelbeträge!$D:$D,Einzelbeträge!$C:$C,'Ausgaben Vorlage'!$C317,Einzelbeträge!$E:$E,'Ausgaben Vorlage'!E$6)</f>
        <v>0</v>
      </c>
      <c r="F317" s="21">
        <f>SUMIFS(Einzelbeträge!$D:$D,Einzelbeträge!$C:$C,'Ausgaben Vorlage'!$C317,Einzelbeträge!$E:$E,'Ausgaben Vorlage'!F$6)</f>
        <v>0</v>
      </c>
      <c r="G317" s="21">
        <f>SUMIFS(Einzelbeträge!$D:$D,Einzelbeträge!$C:$C,'Ausgaben Vorlage'!$C317,Einzelbeträge!$E:$E,'Ausgaben Vorlage'!G$6)</f>
        <v>0</v>
      </c>
      <c r="H317" s="21">
        <f>SUMIFS(Einzelbeträge!$D:$D,Einzelbeträge!$C:$C,'Ausgaben Vorlage'!$C317,Einzelbeträge!$E:$E,'Ausgaben Vorlage'!H$6)</f>
        <v>0</v>
      </c>
      <c r="I317" s="21">
        <f>SUMIFS(Einzelbeträge!$D:$D,Einzelbeträge!$C:$C,'Ausgaben Vorlage'!$C317,Einzelbeträge!$E:$E,'Ausgaben Vorlage'!I$6)</f>
        <v>0</v>
      </c>
      <c r="J317" s="21">
        <f>SUMIFS(Einzelbeträge!$D:$D,Einzelbeträge!$C:$C,'Ausgaben Vorlage'!$C317,Einzelbeträge!$E:$E,'Ausgaben Vorlage'!J$6)</f>
        <v>0</v>
      </c>
      <c r="K317" s="21">
        <f>SUMIFS(Einzelbeträge!$D:$D,Einzelbeträge!$C:$C,'Ausgaben Vorlage'!$C317,Einzelbeträge!$E:$E,'Ausgaben Vorlage'!K$6)</f>
        <v>0</v>
      </c>
      <c r="L317" s="21">
        <f>SUMIFS(Einzelbeträge!$D:$D,Einzelbeträge!$C:$C,'Ausgaben Vorlage'!$C317,Einzelbeträge!$E:$E,'Ausgaben Vorlage'!L$6)</f>
        <v>0</v>
      </c>
      <c r="M317" s="21">
        <f>SUMIFS(Einzelbeträge!$D:$D,Einzelbeträge!$C:$C,'Ausgaben Vorlage'!$C317,Einzelbeträge!$E:$E,'Ausgaben Vorlage'!M$6)</f>
        <v>0</v>
      </c>
      <c r="N317" s="35">
        <f>SUMIFS(Einzelbeträge!$D:$D,Einzelbeträge!$C:$C,'Ausgaben Vorlage'!$C317,Einzelbeträge!$E:$E,'Ausgaben Vorlage'!N$6)</f>
        <v>0</v>
      </c>
      <c r="O317" s="6"/>
    </row>
    <row r="318" spans="2:15" x14ac:dyDescent="0.35">
      <c r="B318" s="5"/>
      <c r="C318" s="40">
        <f t="shared" si="25"/>
        <v>45941</v>
      </c>
      <c r="D318" s="46">
        <f>SUMIFS(Einzelbeträge!$D:$D,Einzelbeträge!$C:$C,'Ausgaben Vorlage'!$C318)</f>
        <v>0</v>
      </c>
      <c r="E318" s="21">
        <f>SUMIFS(Einzelbeträge!$D:$D,Einzelbeträge!$C:$C,'Ausgaben Vorlage'!$C318,Einzelbeträge!$E:$E,'Ausgaben Vorlage'!E$6)</f>
        <v>0</v>
      </c>
      <c r="F318" s="21">
        <f>SUMIFS(Einzelbeträge!$D:$D,Einzelbeträge!$C:$C,'Ausgaben Vorlage'!$C318,Einzelbeträge!$E:$E,'Ausgaben Vorlage'!F$6)</f>
        <v>0</v>
      </c>
      <c r="G318" s="21">
        <f>SUMIFS(Einzelbeträge!$D:$D,Einzelbeträge!$C:$C,'Ausgaben Vorlage'!$C318,Einzelbeträge!$E:$E,'Ausgaben Vorlage'!G$6)</f>
        <v>0</v>
      </c>
      <c r="H318" s="21">
        <f>SUMIFS(Einzelbeträge!$D:$D,Einzelbeträge!$C:$C,'Ausgaben Vorlage'!$C318,Einzelbeträge!$E:$E,'Ausgaben Vorlage'!H$6)</f>
        <v>0</v>
      </c>
      <c r="I318" s="21">
        <f>SUMIFS(Einzelbeträge!$D:$D,Einzelbeträge!$C:$C,'Ausgaben Vorlage'!$C318,Einzelbeträge!$E:$E,'Ausgaben Vorlage'!I$6)</f>
        <v>0</v>
      </c>
      <c r="J318" s="21">
        <f>SUMIFS(Einzelbeträge!$D:$D,Einzelbeträge!$C:$C,'Ausgaben Vorlage'!$C318,Einzelbeträge!$E:$E,'Ausgaben Vorlage'!J$6)</f>
        <v>0</v>
      </c>
      <c r="K318" s="21">
        <f>SUMIFS(Einzelbeträge!$D:$D,Einzelbeträge!$C:$C,'Ausgaben Vorlage'!$C318,Einzelbeträge!$E:$E,'Ausgaben Vorlage'!K$6)</f>
        <v>0</v>
      </c>
      <c r="L318" s="21">
        <f>SUMIFS(Einzelbeträge!$D:$D,Einzelbeträge!$C:$C,'Ausgaben Vorlage'!$C318,Einzelbeträge!$E:$E,'Ausgaben Vorlage'!L$6)</f>
        <v>0</v>
      </c>
      <c r="M318" s="21">
        <f>SUMIFS(Einzelbeträge!$D:$D,Einzelbeträge!$C:$C,'Ausgaben Vorlage'!$C318,Einzelbeträge!$E:$E,'Ausgaben Vorlage'!M$6)</f>
        <v>0</v>
      </c>
      <c r="N318" s="35">
        <f>SUMIFS(Einzelbeträge!$D:$D,Einzelbeträge!$C:$C,'Ausgaben Vorlage'!$C318,Einzelbeträge!$E:$E,'Ausgaben Vorlage'!N$6)</f>
        <v>0</v>
      </c>
      <c r="O318" s="6"/>
    </row>
    <row r="319" spans="2:15" x14ac:dyDescent="0.35">
      <c r="B319" s="5"/>
      <c r="C319" s="40">
        <f t="shared" si="25"/>
        <v>45942</v>
      </c>
      <c r="D319" s="46">
        <f>SUMIFS(Einzelbeträge!$D:$D,Einzelbeträge!$C:$C,'Ausgaben Vorlage'!$C319)</f>
        <v>0</v>
      </c>
      <c r="E319" s="21">
        <f>SUMIFS(Einzelbeträge!$D:$D,Einzelbeträge!$C:$C,'Ausgaben Vorlage'!$C319,Einzelbeträge!$E:$E,'Ausgaben Vorlage'!E$6)</f>
        <v>0</v>
      </c>
      <c r="F319" s="21">
        <f>SUMIFS(Einzelbeträge!$D:$D,Einzelbeträge!$C:$C,'Ausgaben Vorlage'!$C319,Einzelbeträge!$E:$E,'Ausgaben Vorlage'!F$6)</f>
        <v>0</v>
      </c>
      <c r="G319" s="21">
        <f>SUMIFS(Einzelbeträge!$D:$D,Einzelbeträge!$C:$C,'Ausgaben Vorlage'!$C319,Einzelbeträge!$E:$E,'Ausgaben Vorlage'!G$6)</f>
        <v>0</v>
      </c>
      <c r="H319" s="21">
        <f>SUMIFS(Einzelbeträge!$D:$D,Einzelbeträge!$C:$C,'Ausgaben Vorlage'!$C319,Einzelbeträge!$E:$E,'Ausgaben Vorlage'!H$6)</f>
        <v>0</v>
      </c>
      <c r="I319" s="21">
        <f>SUMIFS(Einzelbeträge!$D:$D,Einzelbeträge!$C:$C,'Ausgaben Vorlage'!$C319,Einzelbeträge!$E:$E,'Ausgaben Vorlage'!I$6)</f>
        <v>0</v>
      </c>
      <c r="J319" s="21">
        <f>SUMIFS(Einzelbeträge!$D:$D,Einzelbeträge!$C:$C,'Ausgaben Vorlage'!$C319,Einzelbeträge!$E:$E,'Ausgaben Vorlage'!J$6)</f>
        <v>0</v>
      </c>
      <c r="K319" s="21">
        <f>SUMIFS(Einzelbeträge!$D:$D,Einzelbeträge!$C:$C,'Ausgaben Vorlage'!$C319,Einzelbeträge!$E:$E,'Ausgaben Vorlage'!K$6)</f>
        <v>0</v>
      </c>
      <c r="L319" s="21">
        <f>SUMIFS(Einzelbeträge!$D:$D,Einzelbeträge!$C:$C,'Ausgaben Vorlage'!$C319,Einzelbeträge!$E:$E,'Ausgaben Vorlage'!L$6)</f>
        <v>0</v>
      </c>
      <c r="M319" s="21">
        <f>SUMIFS(Einzelbeträge!$D:$D,Einzelbeträge!$C:$C,'Ausgaben Vorlage'!$C319,Einzelbeträge!$E:$E,'Ausgaben Vorlage'!M$6)</f>
        <v>0</v>
      </c>
      <c r="N319" s="35">
        <f>SUMIFS(Einzelbeträge!$D:$D,Einzelbeträge!$C:$C,'Ausgaben Vorlage'!$C319,Einzelbeträge!$E:$E,'Ausgaben Vorlage'!N$6)</f>
        <v>0</v>
      </c>
      <c r="O319" s="6"/>
    </row>
    <row r="320" spans="2:15" x14ac:dyDescent="0.35">
      <c r="B320" s="5"/>
      <c r="C320" s="40">
        <f t="shared" si="25"/>
        <v>45943</v>
      </c>
      <c r="D320" s="46">
        <f>SUMIFS(Einzelbeträge!$D:$D,Einzelbeträge!$C:$C,'Ausgaben Vorlage'!$C320)</f>
        <v>0</v>
      </c>
      <c r="E320" s="21">
        <f>SUMIFS(Einzelbeträge!$D:$D,Einzelbeträge!$C:$C,'Ausgaben Vorlage'!$C320,Einzelbeträge!$E:$E,'Ausgaben Vorlage'!E$6)</f>
        <v>0</v>
      </c>
      <c r="F320" s="21">
        <f>SUMIFS(Einzelbeträge!$D:$D,Einzelbeträge!$C:$C,'Ausgaben Vorlage'!$C320,Einzelbeträge!$E:$E,'Ausgaben Vorlage'!F$6)</f>
        <v>0</v>
      </c>
      <c r="G320" s="21">
        <f>SUMIFS(Einzelbeträge!$D:$D,Einzelbeträge!$C:$C,'Ausgaben Vorlage'!$C320,Einzelbeträge!$E:$E,'Ausgaben Vorlage'!G$6)</f>
        <v>0</v>
      </c>
      <c r="H320" s="21">
        <f>SUMIFS(Einzelbeträge!$D:$D,Einzelbeträge!$C:$C,'Ausgaben Vorlage'!$C320,Einzelbeträge!$E:$E,'Ausgaben Vorlage'!H$6)</f>
        <v>0</v>
      </c>
      <c r="I320" s="21">
        <f>SUMIFS(Einzelbeträge!$D:$D,Einzelbeträge!$C:$C,'Ausgaben Vorlage'!$C320,Einzelbeträge!$E:$E,'Ausgaben Vorlage'!I$6)</f>
        <v>0</v>
      </c>
      <c r="J320" s="21">
        <f>SUMIFS(Einzelbeträge!$D:$D,Einzelbeträge!$C:$C,'Ausgaben Vorlage'!$C320,Einzelbeträge!$E:$E,'Ausgaben Vorlage'!J$6)</f>
        <v>0</v>
      </c>
      <c r="K320" s="21">
        <f>SUMIFS(Einzelbeträge!$D:$D,Einzelbeträge!$C:$C,'Ausgaben Vorlage'!$C320,Einzelbeträge!$E:$E,'Ausgaben Vorlage'!K$6)</f>
        <v>0</v>
      </c>
      <c r="L320" s="21">
        <f>SUMIFS(Einzelbeträge!$D:$D,Einzelbeträge!$C:$C,'Ausgaben Vorlage'!$C320,Einzelbeträge!$E:$E,'Ausgaben Vorlage'!L$6)</f>
        <v>0</v>
      </c>
      <c r="M320" s="21">
        <f>SUMIFS(Einzelbeträge!$D:$D,Einzelbeträge!$C:$C,'Ausgaben Vorlage'!$C320,Einzelbeträge!$E:$E,'Ausgaben Vorlage'!M$6)</f>
        <v>0</v>
      </c>
      <c r="N320" s="35">
        <f>SUMIFS(Einzelbeträge!$D:$D,Einzelbeträge!$C:$C,'Ausgaben Vorlage'!$C320,Einzelbeträge!$E:$E,'Ausgaben Vorlage'!N$6)</f>
        <v>0</v>
      </c>
      <c r="O320" s="6"/>
    </row>
    <row r="321" spans="2:15" x14ac:dyDescent="0.35">
      <c r="B321" s="5"/>
      <c r="C321" s="40">
        <f t="shared" si="25"/>
        <v>45944</v>
      </c>
      <c r="D321" s="46">
        <f>SUMIFS(Einzelbeträge!$D:$D,Einzelbeträge!$C:$C,'Ausgaben Vorlage'!$C321)</f>
        <v>0</v>
      </c>
      <c r="E321" s="21">
        <f>SUMIFS(Einzelbeträge!$D:$D,Einzelbeträge!$C:$C,'Ausgaben Vorlage'!$C321,Einzelbeträge!$E:$E,'Ausgaben Vorlage'!E$6)</f>
        <v>0</v>
      </c>
      <c r="F321" s="21">
        <f>SUMIFS(Einzelbeträge!$D:$D,Einzelbeträge!$C:$C,'Ausgaben Vorlage'!$C321,Einzelbeträge!$E:$E,'Ausgaben Vorlage'!F$6)</f>
        <v>0</v>
      </c>
      <c r="G321" s="21">
        <f>SUMIFS(Einzelbeträge!$D:$D,Einzelbeträge!$C:$C,'Ausgaben Vorlage'!$C321,Einzelbeträge!$E:$E,'Ausgaben Vorlage'!G$6)</f>
        <v>0</v>
      </c>
      <c r="H321" s="21">
        <f>SUMIFS(Einzelbeträge!$D:$D,Einzelbeträge!$C:$C,'Ausgaben Vorlage'!$C321,Einzelbeträge!$E:$E,'Ausgaben Vorlage'!H$6)</f>
        <v>0</v>
      </c>
      <c r="I321" s="21">
        <f>SUMIFS(Einzelbeträge!$D:$D,Einzelbeträge!$C:$C,'Ausgaben Vorlage'!$C321,Einzelbeträge!$E:$E,'Ausgaben Vorlage'!I$6)</f>
        <v>0</v>
      </c>
      <c r="J321" s="21">
        <f>SUMIFS(Einzelbeträge!$D:$D,Einzelbeträge!$C:$C,'Ausgaben Vorlage'!$C321,Einzelbeträge!$E:$E,'Ausgaben Vorlage'!J$6)</f>
        <v>0</v>
      </c>
      <c r="K321" s="21">
        <f>SUMIFS(Einzelbeträge!$D:$D,Einzelbeträge!$C:$C,'Ausgaben Vorlage'!$C321,Einzelbeträge!$E:$E,'Ausgaben Vorlage'!K$6)</f>
        <v>0</v>
      </c>
      <c r="L321" s="21">
        <f>SUMIFS(Einzelbeträge!$D:$D,Einzelbeträge!$C:$C,'Ausgaben Vorlage'!$C321,Einzelbeträge!$E:$E,'Ausgaben Vorlage'!L$6)</f>
        <v>0</v>
      </c>
      <c r="M321" s="21">
        <f>SUMIFS(Einzelbeträge!$D:$D,Einzelbeträge!$C:$C,'Ausgaben Vorlage'!$C321,Einzelbeträge!$E:$E,'Ausgaben Vorlage'!M$6)</f>
        <v>0</v>
      </c>
      <c r="N321" s="35">
        <f>SUMIFS(Einzelbeträge!$D:$D,Einzelbeträge!$C:$C,'Ausgaben Vorlage'!$C321,Einzelbeträge!$E:$E,'Ausgaben Vorlage'!N$6)</f>
        <v>0</v>
      </c>
      <c r="O321" s="6"/>
    </row>
    <row r="322" spans="2:15" x14ac:dyDescent="0.35">
      <c r="B322" s="5"/>
      <c r="C322" s="40">
        <f t="shared" si="25"/>
        <v>45945</v>
      </c>
      <c r="D322" s="46">
        <f>SUMIFS(Einzelbeträge!$D:$D,Einzelbeträge!$C:$C,'Ausgaben Vorlage'!$C322)</f>
        <v>0</v>
      </c>
      <c r="E322" s="21">
        <f>SUMIFS(Einzelbeträge!$D:$D,Einzelbeträge!$C:$C,'Ausgaben Vorlage'!$C322,Einzelbeträge!$E:$E,'Ausgaben Vorlage'!E$6)</f>
        <v>0</v>
      </c>
      <c r="F322" s="21">
        <f>SUMIFS(Einzelbeträge!$D:$D,Einzelbeträge!$C:$C,'Ausgaben Vorlage'!$C322,Einzelbeträge!$E:$E,'Ausgaben Vorlage'!F$6)</f>
        <v>0</v>
      </c>
      <c r="G322" s="21">
        <f>SUMIFS(Einzelbeträge!$D:$D,Einzelbeträge!$C:$C,'Ausgaben Vorlage'!$C322,Einzelbeträge!$E:$E,'Ausgaben Vorlage'!G$6)</f>
        <v>0</v>
      </c>
      <c r="H322" s="21">
        <f>SUMIFS(Einzelbeträge!$D:$D,Einzelbeträge!$C:$C,'Ausgaben Vorlage'!$C322,Einzelbeträge!$E:$E,'Ausgaben Vorlage'!H$6)</f>
        <v>0</v>
      </c>
      <c r="I322" s="21">
        <f>SUMIFS(Einzelbeträge!$D:$D,Einzelbeträge!$C:$C,'Ausgaben Vorlage'!$C322,Einzelbeträge!$E:$E,'Ausgaben Vorlage'!I$6)</f>
        <v>0</v>
      </c>
      <c r="J322" s="21">
        <f>SUMIFS(Einzelbeträge!$D:$D,Einzelbeträge!$C:$C,'Ausgaben Vorlage'!$C322,Einzelbeträge!$E:$E,'Ausgaben Vorlage'!J$6)</f>
        <v>0</v>
      </c>
      <c r="K322" s="21">
        <f>SUMIFS(Einzelbeträge!$D:$D,Einzelbeträge!$C:$C,'Ausgaben Vorlage'!$C322,Einzelbeträge!$E:$E,'Ausgaben Vorlage'!K$6)</f>
        <v>0</v>
      </c>
      <c r="L322" s="21">
        <f>SUMIFS(Einzelbeträge!$D:$D,Einzelbeträge!$C:$C,'Ausgaben Vorlage'!$C322,Einzelbeträge!$E:$E,'Ausgaben Vorlage'!L$6)</f>
        <v>0</v>
      </c>
      <c r="M322" s="21">
        <f>SUMIFS(Einzelbeträge!$D:$D,Einzelbeträge!$C:$C,'Ausgaben Vorlage'!$C322,Einzelbeträge!$E:$E,'Ausgaben Vorlage'!M$6)</f>
        <v>0</v>
      </c>
      <c r="N322" s="35">
        <f>SUMIFS(Einzelbeträge!$D:$D,Einzelbeträge!$C:$C,'Ausgaben Vorlage'!$C322,Einzelbeträge!$E:$E,'Ausgaben Vorlage'!N$6)</f>
        <v>0</v>
      </c>
      <c r="O322" s="6"/>
    </row>
    <row r="323" spans="2:15" x14ac:dyDescent="0.35">
      <c r="B323" s="5"/>
      <c r="C323" s="40">
        <f t="shared" si="25"/>
        <v>45946</v>
      </c>
      <c r="D323" s="46">
        <f>SUMIFS(Einzelbeträge!$D:$D,Einzelbeträge!$C:$C,'Ausgaben Vorlage'!$C323)</f>
        <v>0</v>
      </c>
      <c r="E323" s="21">
        <f>SUMIFS(Einzelbeträge!$D:$D,Einzelbeträge!$C:$C,'Ausgaben Vorlage'!$C323,Einzelbeträge!$E:$E,'Ausgaben Vorlage'!E$6)</f>
        <v>0</v>
      </c>
      <c r="F323" s="21">
        <f>SUMIFS(Einzelbeträge!$D:$D,Einzelbeträge!$C:$C,'Ausgaben Vorlage'!$C323,Einzelbeträge!$E:$E,'Ausgaben Vorlage'!F$6)</f>
        <v>0</v>
      </c>
      <c r="G323" s="21">
        <f>SUMIFS(Einzelbeträge!$D:$D,Einzelbeträge!$C:$C,'Ausgaben Vorlage'!$C323,Einzelbeträge!$E:$E,'Ausgaben Vorlage'!G$6)</f>
        <v>0</v>
      </c>
      <c r="H323" s="21">
        <f>SUMIFS(Einzelbeträge!$D:$D,Einzelbeträge!$C:$C,'Ausgaben Vorlage'!$C323,Einzelbeträge!$E:$E,'Ausgaben Vorlage'!H$6)</f>
        <v>0</v>
      </c>
      <c r="I323" s="21">
        <f>SUMIFS(Einzelbeträge!$D:$D,Einzelbeträge!$C:$C,'Ausgaben Vorlage'!$C323,Einzelbeträge!$E:$E,'Ausgaben Vorlage'!I$6)</f>
        <v>0</v>
      </c>
      <c r="J323" s="21">
        <f>SUMIFS(Einzelbeträge!$D:$D,Einzelbeträge!$C:$C,'Ausgaben Vorlage'!$C323,Einzelbeträge!$E:$E,'Ausgaben Vorlage'!J$6)</f>
        <v>0</v>
      </c>
      <c r="K323" s="21">
        <f>SUMIFS(Einzelbeträge!$D:$D,Einzelbeträge!$C:$C,'Ausgaben Vorlage'!$C323,Einzelbeträge!$E:$E,'Ausgaben Vorlage'!K$6)</f>
        <v>0</v>
      </c>
      <c r="L323" s="21">
        <f>SUMIFS(Einzelbeträge!$D:$D,Einzelbeträge!$C:$C,'Ausgaben Vorlage'!$C323,Einzelbeträge!$E:$E,'Ausgaben Vorlage'!L$6)</f>
        <v>0</v>
      </c>
      <c r="M323" s="21">
        <f>SUMIFS(Einzelbeträge!$D:$D,Einzelbeträge!$C:$C,'Ausgaben Vorlage'!$C323,Einzelbeträge!$E:$E,'Ausgaben Vorlage'!M$6)</f>
        <v>0</v>
      </c>
      <c r="N323" s="35">
        <f>SUMIFS(Einzelbeträge!$D:$D,Einzelbeträge!$C:$C,'Ausgaben Vorlage'!$C323,Einzelbeträge!$E:$E,'Ausgaben Vorlage'!N$6)</f>
        <v>0</v>
      </c>
      <c r="O323" s="6"/>
    </row>
    <row r="324" spans="2:15" x14ac:dyDescent="0.35">
      <c r="B324" s="5"/>
      <c r="C324" s="40">
        <f t="shared" si="25"/>
        <v>45947</v>
      </c>
      <c r="D324" s="46">
        <f>SUMIFS(Einzelbeträge!$D:$D,Einzelbeträge!$C:$C,'Ausgaben Vorlage'!$C324)</f>
        <v>0</v>
      </c>
      <c r="E324" s="21">
        <f>SUMIFS(Einzelbeträge!$D:$D,Einzelbeträge!$C:$C,'Ausgaben Vorlage'!$C324,Einzelbeträge!$E:$E,'Ausgaben Vorlage'!E$6)</f>
        <v>0</v>
      </c>
      <c r="F324" s="21">
        <f>SUMIFS(Einzelbeträge!$D:$D,Einzelbeträge!$C:$C,'Ausgaben Vorlage'!$C324,Einzelbeträge!$E:$E,'Ausgaben Vorlage'!F$6)</f>
        <v>0</v>
      </c>
      <c r="G324" s="21">
        <f>SUMIFS(Einzelbeträge!$D:$D,Einzelbeträge!$C:$C,'Ausgaben Vorlage'!$C324,Einzelbeträge!$E:$E,'Ausgaben Vorlage'!G$6)</f>
        <v>0</v>
      </c>
      <c r="H324" s="21">
        <f>SUMIFS(Einzelbeträge!$D:$D,Einzelbeträge!$C:$C,'Ausgaben Vorlage'!$C324,Einzelbeträge!$E:$E,'Ausgaben Vorlage'!H$6)</f>
        <v>0</v>
      </c>
      <c r="I324" s="21">
        <f>SUMIFS(Einzelbeträge!$D:$D,Einzelbeträge!$C:$C,'Ausgaben Vorlage'!$C324,Einzelbeträge!$E:$E,'Ausgaben Vorlage'!I$6)</f>
        <v>0</v>
      </c>
      <c r="J324" s="21">
        <f>SUMIFS(Einzelbeträge!$D:$D,Einzelbeträge!$C:$C,'Ausgaben Vorlage'!$C324,Einzelbeträge!$E:$E,'Ausgaben Vorlage'!J$6)</f>
        <v>0</v>
      </c>
      <c r="K324" s="21">
        <f>SUMIFS(Einzelbeträge!$D:$D,Einzelbeträge!$C:$C,'Ausgaben Vorlage'!$C324,Einzelbeträge!$E:$E,'Ausgaben Vorlage'!K$6)</f>
        <v>0</v>
      </c>
      <c r="L324" s="21">
        <f>SUMIFS(Einzelbeträge!$D:$D,Einzelbeträge!$C:$C,'Ausgaben Vorlage'!$C324,Einzelbeträge!$E:$E,'Ausgaben Vorlage'!L$6)</f>
        <v>0</v>
      </c>
      <c r="M324" s="21">
        <f>SUMIFS(Einzelbeträge!$D:$D,Einzelbeträge!$C:$C,'Ausgaben Vorlage'!$C324,Einzelbeträge!$E:$E,'Ausgaben Vorlage'!M$6)</f>
        <v>0</v>
      </c>
      <c r="N324" s="35">
        <f>SUMIFS(Einzelbeträge!$D:$D,Einzelbeträge!$C:$C,'Ausgaben Vorlage'!$C324,Einzelbeträge!$E:$E,'Ausgaben Vorlage'!N$6)</f>
        <v>0</v>
      </c>
      <c r="O324" s="6"/>
    </row>
    <row r="325" spans="2:15" x14ac:dyDescent="0.35">
      <c r="B325" s="5"/>
      <c r="C325" s="40">
        <f t="shared" si="25"/>
        <v>45948</v>
      </c>
      <c r="D325" s="46">
        <f>SUMIFS(Einzelbeträge!$D:$D,Einzelbeträge!$C:$C,'Ausgaben Vorlage'!$C325)</f>
        <v>0</v>
      </c>
      <c r="E325" s="21">
        <f>SUMIFS(Einzelbeträge!$D:$D,Einzelbeträge!$C:$C,'Ausgaben Vorlage'!$C325,Einzelbeträge!$E:$E,'Ausgaben Vorlage'!E$6)</f>
        <v>0</v>
      </c>
      <c r="F325" s="21">
        <f>SUMIFS(Einzelbeträge!$D:$D,Einzelbeträge!$C:$C,'Ausgaben Vorlage'!$C325,Einzelbeträge!$E:$E,'Ausgaben Vorlage'!F$6)</f>
        <v>0</v>
      </c>
      <c r="G325" s="21">
        <f>SUMIFS(Einzelbeträge!$D:$D,Einzelbeträge!$C:$C,'Ausgaben Vorlage'!$C325,Einzelbeträge!$E:$E,'Ausgaben Vorlage'!G$6)</f>
        <v>0</v>
      </c>
      <c r="H325" s="21">
        <f>SUMIFS(Einzelbeträge!$D:$D,Einzelbeträge!$C:$C,'Ausgaben Vorlage'!$C325,Einzelbeträge!$E:$E,'Ausgaben Vorlage'!H$6)</f>
        <v>0</v>
      </c>
      <c r="I325" s="21">
        <f>SUMIFS(Einzelbeträge!$D:$D,Einzelbeträge!$C:$C,'Ausgaben Vorlage'!$C325,Einzelbeträge!$E:$E,'Ausgaben Vorlage'!I$6)</f>
        <v>0</v>
      </c>
      <c r="J325" s="21">
        <f>SUMIFS(Einzelbeträge!$D:$D,Einzelbeträge!$C:$C,'Ausgaben Vorlage'!$C325,Einzelbeträge!$E:$E,'Ausgaben Vorlage'!J$6)</f>
        <v>0</v>
      </c>
      <c r="K325" s="21">
        <f>SUMIFS(Einzelbeträge!$D:$D,Einzelbeträge!$C:$C,'Ausgaben Vorlage'!$C325,Einzelbeträge!$E:$E,'Ausgaben Vorlage'!K$6)</f>
        <v>0</v>
      </c>
      <c r="L325" s="21">
        <f>SUMIFS(Einzelbeträge!$D:$D,Einzelbeträge!$C:$C,'Ausgaben Vorlage'!$C325,Einzelbeträge!$E:$E,'Ausgaben Vorlage'!L$6)</f>
        <v>0</v>
      </c>
      <c r="M325" s="21">
        <f>SUMIFS(Einzelbeträge!$D:$D,Einzelbeträge!$C:$C,'Ausgaben Vorlage'!$C325,Einzelbeträge!$E:$E,'Ausgaben Vorlage'!M$6)</f>
        <v>0</v>
      </c>
      <c r="N325" s="35">
        <f>SUMIFS(Einzelbeträge!$D:$D,Einzelbeträge!$C:$C,'Ausgaben Vorlage'!$C325,Einzelbeträge!$E:$E,'Ausgaben Vorlage'!N$6)</f>
        <v>0</v>
      </c>
      <c r="O325" s="6"/>
    </row>
    <row r="326" spans="2:15" x14ac:dyDescent="0.35">
      <c r="B326" s="5"/>
      <c r="C326" s="40">
        <f t="shared" si="25"/>
        <v>45949</v>
      </c>
      <c r="D326" s="46">
        <f>SUMIFS(Einzelbeträge!$D:$D,Einzelbeträge!$C:$C,'Ausgaben Vorlage'!$C326)</f>
        <v>0</v>
      </c>
      <c r="E326" s="21">
        <f>SUMIFS(Einzelbeträge!$D:$D,Einzelbeträge!$C:$C,'Ausgaben Vorlage'!$C326,Einzelbeträge!$E:$E,'Ausgaben Vorlage'!E$6)</f>
        <v>0</v>
      </c>
      <c r="F326" s="21">
        <f>SUMIFS(Einzelbeträge!$D:$D,Einzelbeträge!$C:$C,'Ausgaben Vorlage'!$C326,Einzelbeträge!$E:$E,'Ausgaben Vorlage'!F$6)</f>
        <v>0</v>
      </c>
      <c r="G326" s="21">
        <f>SUMIFS(Einzelbeträge!$D:$D,Einzelbeträge!$C:$C,'Ausgaben Vorlage'!$C326,Einzelbeträge!$E:$E,'Ausgaben Vorlage'!G$6)</f>
        <v>0</v>
      </c>
      <c r="H326" s="21">
        <f>SUMIFS(Einzelbeträge!$D:$D,Einzelbeträge!$C:$C,'Ausgaben Vorlage'!$C326,Einzelbeträge!$E:$E,'Ausgaben Vorlage'!H$6)</f>
        <v>0</v>
      </c>
      <c r="I326" s="21">
        <f>SUMIFS(Einzelbeträge!$D:$D,Einzelbeträge!$C:$C,'Ausgaben Vorlage'!$C326,Einzelbeträge!$E:$E,'Ausgaben Vorlage'!I$6)</f>
        <v>0</v>
      </c>
      <c r="J326" s="21">
        <f>SUMIFS(Einzelbeträge!$D:$D,Einzelbeträge!$C:$C,'Ausgaben Vorlage'!$C326,Einzelbeträge!$E:$E,'Ausgaben Vorlage'!J$6)</f>
        <v>0</v>
      </c>
      <c r="K326" s="21">
        <f>SUMIFS(Einzelbeträge!$D:$D,Einzelbeträge!$C:$C,'Ausgaben Vorlage'!$C326,Einzelbeträge!$E:$E,'Ausgaben Vorlage'!K$6)</f>
        <v>0</v>
      </c>
      <c r="L326" s="21">
        <f>SUMIFS(Einzelbeträge!$D:$D,Einzelbeträge!$C:$C,'Ausgaben Vorlage'!$C326,Einzelbeträge!$E:$E,'Ausgaben Vorlage'!L$6)</f>
        <v>0</v>
      </c>
      <c r="M326" s="21">
        <f>SUMIFS(Einzelbeträge!$D:$D,Einzelbeträge!$C:$C,'Ausgaben Vorlage'!$C326,Einzelbeträge!$E:$E,'Ausgaben Vorlage'!M$6)</f>
        <v>0</v>
      </c>
      <c r="N326" s="35">
        <f>SUMIFS(Einzelbeträge!$D:$D,Einzelbeträge!$C:$C,'Ausgaben Vorlage'!$C326,Einzelbeträge!$E:$E,'Ausgaben Vorlage'!N$6)</f>
        <v>0</v>
      </c>
      <c r="O326" s="6"/>
    </row>
    <row r="327" spans="2:15" x14ac:dyDescent="0.35">
      <c r="B327" s="5"/>
      <c r="C327" s="40">
        <f t="shared" si="25"/>
        <v>45950</v>
      </c>
      <c r="D327" s="46">
        <f>SUMIFS(Einzelbeträge!$D:$D,Einzelbeträge!$C:$C,'Ausgaben Vorlage'!$C327)</f>
        <v>0</v>
      </c>
      <c r="E327" s="21">
        <f>SUMIFS(Einzelbeträge!$D:$D,Einzelbeträge!$C:$C,'Ausgaben Vorlage'!$C327,Einzelbeträge!$E:$E,'Ausgaben Vorlage'!E$6)</f>
        <v>0</v>
      </c>
      <c r="F327" s="21">
        <f>SUMIFS(Einzelbeträge!$D:$D,Einzelbeträge!$C:$C,'Ausgaben Vorlage'!$C327,Einzelbeträge!$E:$E,'Ausgaben Vorlage'!F$6)</f>
        <v>0</v>
      </c>
      <c r="G327" s="21">
        <f>SUMIFS(Einzelbeträge!$D:$D,Einzelbeträge!$C:$C,'Ausgaben Vorlage'!$C327,Einzelbeträge!$E:$E,'Ausgaben Vorlage'!G$6)</f>
        <v>0</v>
      </c>
      <c r="H327" s="21">
        <f>SUMIFS(Einzelbeträge!$D:$D,Einzelbeträge!$C:$C,'Ausgaben Vorlage'!$C327,Einzelbeträge!$E:$E,'Ausgaben Vorlage'!H$6)</f>
        <v>0</v>
      </c>
      <c r="I327" s="21">
        <f>SUMIFS(Einzelbeträge!$D:$D,Einzelbeträge!$C:$C,'Ausgaben Vorlage'!$C327,Einzelbeträge!$E:$E,'Ausgaben Vorlage'!I$6)</f>
        <v>0</v>
      </c>
      <c r="J327" s="21">
        <f>SUMIFS(Einzelbeträge!$D:$D,Einzelbeträge!$C:$C,'Ausgaben Vorlage'!$C327,Einzelbeträge!$E:$E,'Ausgaben Vorlage'!J$6)</f>
        <v>0</v>
      </c>
      <c r="K327" s="21">
        <f>SUMIFS(Einzelbeträge!$D:$D,Einzelbeträge!$C:$C,'Ausgaben Vorlage'!$C327,Einzelbeträge!$E:$E,'Ausgaben Vorlage'!K$6)</f>
        <v>0</v>
      </c>
      <c r="L327" s="21">
        <f>SUMIFS(Einzelbeträge!$D:$D,Einzelbeträge!$C:$C,'Ausgaben Vorlage'!$C327,Einzelbeträge!$E:$E,'Ausgaben Vorlage'!L$6)</f>
        <v>0</v>
      </c>
      <c r="M327" s="21">
        <f>SUMIFS(Einzelbeträge!$D:$D,Einzelbeträge!$C:$C,'Ausgaben Vorlage'!$C327,Einzelbeträge!$E:$E,'Ausgaben Vorlage'!M$6)</f>
        <v>0</v>
      </c>
      <c r="N327" s="35">
        <f>SUMIFS(Einzelbeträge!$D:$D,Einzelbeträge!$C:$C,'Ausgaben Vorlage'!$C327,Einzelbeträge!$E:$E,'Ausgaben Vorlage'!N$6)</f>
        <v>0</v>
      </c>
      <c r="O327" s="6"/>
    </row>
    <row r="328" spans="2:15" x14ac:dyDescent="0.35">
      <c r="B328" s="5"/>
      <c r="C328" s="40">
        <f t="shared" si="25"/>
        <v>45951</v>
      </c>
      <c r="D328" s="46">
        <f>SUMIFS(Einzelbeträge!$D:$D,Einzelbeträge!$C:$C,'Ausgaben Vorlage'!$C328)</f>
        <v>0</v>
      </c>
      <c r="E328" s="21">
        <f>SUMIFS(Einzelbeträge!$D:$D,Einzelbeträge!$C:$C,'Ausgaben Vorlage'!$C328,Einzelbeträge!$E:$E,'Ausgaben Vorlage'!E$6)</f>
        <v>0</v>
      </c>
      <c r="F328" s="21">
        <f>SUMIFS(Einzelbeträge!$D:$D,Einzelbeträge!$C:$C,'Ausgaben Vorlage'!$C328,Einzelbeträge!$E:$E,'Ausgaben Vorlage'!F$6)</f>
        <v>0</v>
      </c>
      <c r="G328" s="21">
        <f>SUMIFS(Einzelbeträge!$D:$D,Einzelbeträge!$C:$C,'Ausgaben Vorlage'!$C328,Einzelbeträge!$E:$E,'Ausgaben Vorlage'!G$6)</f>
        <v>0</v>
      </c>
      <c r="H328" s="21">
        <f>SUMIFS(Einzelbeträge!$D:$D,Einzelbeträge!$C:$C,'Ausgaben Vorlage'!$C328,Einzelbeträge!$E:$E,'Ausgaben Vorlage'!H$6)</f>
        <v>0</v>
      </c>
      <c r="I328" s="21">
        <f>SUMIFS(Einzelbeträge!$D:$D,Einzelbeträge!$C:$C,'Ausgaben Vorlage'!$C328,Einzelbeträge!$E:$E,'Ausgaben Vorlage'!I$6)</f>
        <v>0</v>
      </c>
      <c r="J328" s="21">
        <f>SUMIFS(Einzelbeträge!$D:$D,Einzelbeträge!$C:$C,'Ausgaben Vorlage'!$C328,Einzelbeträge!$E:$E,'Ausgaben Vorlage'!J$6)</f>
        <v>0</v>
      </c>
      <c r="K328" s="21">
        <f>SUMIFS(Einzelbeträge!$D:$D,Einzelbeträge!$C:$C,'Ausgaben Vorlage'!$C328,Einzelbeträge!$E:$E,'Ausgaben Vorlage'!K$6)</f>
        <v>0</v>
      </c>
      <c r="L328" s="21">
        <f>SUMIFS(Einzelbeträge!$D:$D,Einzelbeträge!$C:$C,'Ausgaben Vorlage'!$C328,Einzelbeträge!$E:$E,'Ausgaben Vorlage'!L$6)</f>
        <v>0</v>
      </c>
      <c r="M328" s="21">
        <f>SUMIFS(Einzelbeträge!$D:$D,Einzelbeträge!$C:$C,'Ausgaben Vorlage'!$C328,Einzelbeträge!$E:$E,'Ausgaben Vorlage'!M$6)</f>
        <v>0</v>
      </c>
      <c r="N328" s="35">
        <f>SUMIFS(Einzelbeträge!$D:$D,Einzelbeträge!$C:$C,'Ausgaben Vorlage'!$C328,Einzelbeträge!$E:$E,'Ausgaben Vorlage'!N$6)</f>
        <v>0</v>
      </c>
      <c r="O328" s="6"/>
    </row>
    <row r="329" spans="2:15" x14ac:dyDescent="0.35">
      <c r="B329" s="5"/>
      <c r="C329" s="40">
        <f t="shared" si="25"/>
        <v>45952</v>
      </c>
      <c r="D329" s="46">
        <f>SUMIFS(Einzelbeträge!$D:$D,Einzelbeträge!$C:$C,'Ausgaben Vorlage'!$C329)</f>
        <v>0</v>
      </c>
      <c r="E329" s="21">
        <f>SUMIFS(Einzelbeträge!$D:$D,Einzelbeträge!$C:$C,'Ausgaben Vorlage'!$C329,Einzelbeträge!$E:$E,'Ausgaben Vorlage'!E$6)</f>
        <v>0</v>
      </c>
      <c r="F329" s="21">
        <f>SUMIFS(Einzelbeträge!$D:$D,Einzelbeträge!$C:$C,'Ausgaben Vorlage'!$C329,Einzelbeträge!$E:$E,'Ausgaben Vorlage'!F$6)</f>
        <v>0</v>
      </c>
      <c r="G329" s="21">
        <f>SUMIFS(Einzelbeträge!$D:$D,Einzelbeträge!$C:$C,'Ausgaben Vorlage'!$C329,Einzelbeträge!$E:$E,'Ausgaben Vorlage'!G$6)</f>
        <v>0</v>
      </c>
      <c r="H329" s="21">
        <f>SUMIFS(Einzelbeträge!$D:$D,Einzelbeträge!$C:$C,'Ausgaben Vorlage'!$C329,Einzelbeträge!$E:$E,'Ausgaben Vorlage'!H$6)</f>
        <v>0</v>
      </c>
      <c r="I329" s="21">
        <f>SUMIFS(Einzelbeträge!$D:$D,Einzelbeträge!$C:$C,'Ausgaben Vorlage'!$C329,Einzelbeträge!$E:$E,'Ausgaben Vorlage'!I$6)</f>
        <v>0</v>
      </c>
      <c r="J329" s="21">
        <f>SUMIFS(Einzelbeträge!$D:$D,Einzelbeträge!$C:$C,'Ausgaben Vorlage'!$C329,Einzelbeträge!$E:$E,'Ausgaben Vorlage'!J$6)</f>
        <v>0</v>
      </c>
      <c r="K329" s="21">
        <f>SUMIFS(Einzelbeträge!$D:$D,Einzelbeträge!$C:$C,'Ausgaben Vorlage'!$C329,Einzelbeträge!$E:$E,'Ausgaben Vorlage'!K$6)</f>
        <v>0</v>
      </c>
      <c r="L329" s="21">
        <f>SUMIFS(Einzelbeträge!$D:$D,Einzelbeträge!$C:$C,'Ausgaben Vorlage'!$C329,Einzelbeträge!$E:$E,'Ausgaben Vorlage'!L$6)</f>
        <v>0</v>
      </c>
      <c r="M329" s="21">
        <f>SUMIFS(Einzelbeträge!$D:$D,Einzelbeträge!$C:$C,'Ausgaben Vorlage'!$C329,Einzelbeträge!$E:$E,'Ausgaben Vorlage'!M$6)</f>
        <v>0</v>
      </c>
      <c r="N329" s="35">
        <f>SUMIFS(Einzelbeträge!$D:$D,Einzelbeträge!$C:$C,'Ausgaben Vorlage'!$C329,Einzelbeträge!$E:$E,'Ausgaben Vorlage'!N$6)</f>
        <v>0</v>
      </c>
      <c r="O329" s="6"/>
    </row>
    <row r="330" spans="2:15" x14ac:dyDescent="0.35">
      <c r="B330" s="5"/>
      <c r="C330" s="40">
        <f t="shared" si="25"/>
        <v>45953</v>
      </c>
      <c r="D330" s="46">
        <f>SUMIFS(Einzelbeträge!$D:$D,Einzelbeträge!$C:$C,'Ausgaben Vorlage'!$C330)</f>
        <v>0</v>
      </c>
      <c r="E330" s="21">
        <f>SUMIFS(Einzelbeträge!$D:$D,Einzelbeträge!$C:$C,'Ausgaben Vorlage'!$C330,Einzelbeträge!$E:$E,'Ausgaben Vorlage'!E$6)</f>
        <v>0</v>
      </c>
      <c r="F330" s="21">
        <f>SUMIFS(Einzelbeträge!$D:$D,Einzelbeträge!$C:$C,'Ausgaben Vorlage'!$C330,Einzelbeträge!$E:$E,'Ausgaben Vorlage'!F$6)</f>
        <v>0</v>
      </c>
      <c r="G330" s="21">
        <f>SUMIFS(Einzelbeträge!$D:$D,Einzelbeträge!$C:$C,'Ausgaben Vorlage'!$C330,Einzelbeträge!$E:$E,'Ausgaben Vorlage'!G$6)</f>
        <v>0</v>
      </c>
      <c r="H330" s="21">
        <f>SUMIFS(Einzelbeträge!$D:$D,Einzelbeträge!$C:$C,'Ausgaben Vorlage'!$C330,Einzelbeträge!$E:$E,'Ausgaben Vorlage'!H$6)</f>
        <v>0</v>
      </c>
      <c r="I330" s="21">
        <f>SUMIFS(Einzelbeträge!$D:$D,Einzelbeträge!$C:$C,'Ausgaben Vorlage'!$C330,Einzelbeträge!$E:$E,'Ausgaben Vorlage'!I$6)</f>
        <v>0</v>
      </c>
      <c r="J330" s="21">
        <f>SUMIFS(Einzelbeträge!$D:$D,Einzelbeträge!$C:$C,'Ausgaben Vorlage'!$C330,Einzelbeträge!$E:$E,'Ausgaben Vorlage'!J$6)</f>
        <v>0</v>
      </c>
      <c r="K330" s="21">
        <f>SUMIFS(Einzelbeträge!$D:$D,Einzelbeträge!$C:$C,'Ausgaben Vorlage'!$C330,Einzelbeträge!$E:$E,'Ausgaben Vorlage'!K$6)</f>
        <v>0</v>
      </c>
      <c r="L330" s="21">
        <f>SUMIFS(Einzelbeträge!$D:$D,Einzelbeträge!$C:$C,'Ausgaben Vorlage'!$C330,Einzelbeträge!$E:$E,'Ausgaben Vorlage'!L$6)</f>
        <v>0</v>
      </c>
      <c r="M330" s="21">
        <f>SUMIFS(Einzelbeträge!$D:$D,Einzelbeträge!$C:$C,'Ausgaben Vorlage'!$C330,Einzelbeträge!$E:$E,'Ausgaben Vorlage'!M$6)</f>
        <v>0</v>
      </c>
      <c r="N330" s="35">
        <f>SUMIFS(Einzelbeträge!$D:$D,Einzelbeträge!$C:$C,'Ausgaben Vorlage'!$C330,Einzelbeträge!$E:$E,'Ausgaben Vorlage'!N$6)</f>
        <v>0</v>
      </c>
      <c r="O330" s="6"/>
    </row>
    <row r="331" spans="2:15" x14ac:dyDescent="0.35">
      <c r="B331" s="5"/>
      <c r="C331" s="40">
        <f t="shared" si="25"/>
        <v>45954</v>
      </c>
      <c r="D331" s="46">
        <f>SUMIFS(Einzelbeträge!$D:$D,Einzelbeträge!$C:$C,'Ausgaben Vorlage'!$C331)</f>
        <v>0</v>
      </c>
      <c r="E331" s="21">
        <f>SUMIFS(Einzelbeträge!$D:$D,Einzelbeträge!$C:$C,'Ausgaben Vorlage'!$C331,Einzelbeträge!$E:$E,'Ausgaben Vorlage'!E$6)</f>
        <v>0</v>
      </c>
      <c r="F331" s="21">
        <f>SUMIFS(Einzelbeträge!$D:$D,Einzelbeträge!$C:$C,'Ausgaben Vorlage'!$C331,Einzelbeträge!$E:$E,'Ausgaben Vorlage'!F$6)</f>
        <v>0</v>
      </c>
      <c r="G331" s="21">
        <f>SUMIFS(Einzelbeträge!$D:$D,Einzelbeträge!$C:$C,'Ausgaben Vorlage'!$C331,Einzelbeträge!$E:$E,'Ausgaben Vorlage'!G$6)</f>
        <v>0</v>
      </c>
      <c r="H331" s="21">
        <f>SUMIFS(Einzelbeträge!$D:$D,Einzelbeträge!$C:$C,'Ausgaben Vorlage'!$C331,Einzelbeträge!$E:$E,'Ausgaben Vorlage'!H$6)</f>
        <v>0</v>
      </c>
      <c r="I331" s="21">
        <f>SUMIFS(Einzelbeträge!$D:$D,Einzelbeträge!$C:$C,'Ausgaben Vorlage'!$C331,Einzelbeträge!$E:$E,'Ausgaben Vorlage'!I$6)</f>
        <v>0</v>
      </c>
      <c r="J331" s="21">
        <f>SUMIFS(Einzelbeträge!$D:$D,Einzelbeträge!$C:$C,'Ausgaben Vorlage'!$C331,Einzelbeträge!$E:$E,'Ausgaben Vorlage'!J$6)</f>
        <v>0</v>
      </c>
      <c r="K331" s="21">
        <f>SUMIFS(Einzelbeträge!$D:$D,Einzelbeträge!$C:$C,'Ausgaben Vorlage'!$C331,Einzelbeträge!$E:$E,'Ausgaben Vorlage'!K$6)</f>
        <v>0</v>
      </c>
      <c r="L331" s="21">
        <f>SUMIFS(Einzelbeträge!$D:$D,Einzelbeträge!$C:$C,'Ausgaben Vorlage'!$C331,Einzelbeträge!$E:$E,'Ausgaben Vorlage'!L$6)</f>
        <v>0</v>
      </c>
      <c r="M331" s="21">
        <f>SUMIFS(Einzelbeträge!$D:$D,Einzelbeträge!$C:$C,'Ausgaben Vorlage'!$C331,Einzelbeträge!$E:$E,'Ausgaben Vorlage'!M$6)</f>
        <v>0</v>
      </c>
      <c r="N331" s="35">
        <f>SUMIFS(Einzelbeträge!$D:$D,Einzelbeträge!$C:$C,'Ausgaben Vorlage'!$C331,Einzelbeträge!$E:$E,'Ausgaben Vorlage'!N$6)</f>
        <v>0</v>
      </c>
      <c r="O331" s="6"/>
    </row>
    <row r="332" spans="2:15" x14ac:dyDescent="0.35">
      <c r="B332" s="5"/>
      <c r="C332" s="40">
        <f t="shared" si="25"/>
        <v>45955</v>
      </c>
      <c r="D332" s="46">
        <f>SUMIFS(Einzelbeträge!$D:$D,Einzelbeträge!$C:$C,'Ausgaben Vorlage'!$C332)</f>
        <v>0</v>
      </c>
      <c r="E332" s="21">
        <f>SUMIFS(Einzelbeträge!$D:$D,Einzelbeträge!$C:$C,'Ausgaben Vorlage'!$C332,Einzelbeträge!$E:$E,'Ausgaben Vorlage'!E$6)</f>
        <v>0</v>
      </c>
      <c r="F332" s="21">
        <f>SUMIFS(Einzelbeträge!$D:$D,Einzelbeträge!$C:$C,'Ausgaben Vorlage'!$C332,Einzelbeträge!$E:$E,'Ausgaben Vorlage'!F$6)</f>
        <v>0</v>
      </c>
      <c r="G332" s="21">
        <f>SUMIFS(Einzelbeträge!$D:$D,Einzelbeträge!$C:$C,'Ausgaben Vorlage'!$C332,Einzelbeträge!$E:$E,'Ausgaben Vorlage'!G$6)</f>
        <v>0</v>
      </c>
      <c r="H332" s="21">
        <f>SUMIFS(Einzelbeträge!$D:$D,Einzelbeträge!$C:$C,'Ausgaben Vorlage'!$C332,Einzelbeträge!$E:$E,'Ausgaben Vorlage'!H$6)</f>
        <v>0</v>
      </c>
      <c r="I332" s="21">
        <f>SUMIFS(Einzelbeträge!$D:$D,Einzelbeträge!$C:$C,'Ausgaben Vorlage'!$C332,Einzelbeträge!$E:$E,'Ausgaben Vorlage'!I$6)</f>
        <v>0</v>
      </c>
      <c r="J332" s="21">
        <f>SUMIFS(Einzelbeträge!$D:$D,Einzelbeträge!$C:$C,'Ausgaben Vorlage'!$C332,Einzelbeträge!$E:$E,'Ausgaben Vorlage'!J$6)</f>
        <v>0</v>
      </c>
      <c r="K332" s="21">
        <f>SUMIFS(Einzelbeträge!$D:$D,Einzelbeträge!$C:$C,'Ausgaben Vorlage'!$C332,Einzelbeträge!$E:$E,'Ausgaben Vorlage'!K$6)</f>
        <v>0</v>
      </c>
      <c r="L332" s="21">
        <f>SUMIFS(Einzelbeträge!$D:$D,Einzelbeträge!$C:$C,'Ausgaben Vorlage'!$C332,Einzelbeträge!$E:$E,'Ausgaben Vorlage'!L$6)</f>
        <v>0</v>
      </c>
      <c r="M332" s="21">
        <f>SUMIFS(Einzelbeträge!$D:$D,Einzelbeträge!$C:$C,'Ausgaben Vorlage'!$C332,Einzelbeträge!$E:$E,'Ausgaben Vorlage'!M$6)</f>
        <v>0</v>
      </c>
      <c r="N332" s="35">
        <f>SUMIFS(Einzelbeträge!$D:$D,Einzelbeträge!$C:$C,'Ausgaben Vorlage'!$C332,Einzelbeträge!$E:$E,'Ausgaben Vorlage'!N$6)</f>
        <v>0</v>
      </c>
      <c r="O332" s="6"/>
    </row>
    <row r="333" spans="2:15" x14ac:dyDescent="0.35">
      <c r="B333" s="5"/>
      <c r="C333" s="40">
        <f t="shared" si="25"/>
        <v>45956</v>
      </c>
      <c r="D333" s="46">
        <f>SUMIFS(Einzelbeträge!$D:$D,Einzelbeträge!$C:$C,'Ausgaben Vorlage'!$C333)</f>
        <v>0</v>
      </c>
      <c r="E333" s="21">
        <f>SUMIFS(Einzelbeträge!$D:$D,Einzelbeträge!$C:$C,'Ausgaben Vorlage'!$C333,Einzelbeträge!$E:$E,'Ausgaben Vorlage'!E$6)</f>
        <v>0</v>
      </c>
      <c r="F333" s="21">
        <f>SUMIFS(Einzelbeträge!$D:$D,Einzelbeträge!$C:$C,'Ausgaben Vorlage'!$C333,Einzelbeträge!$E:$E,'Ausgaben Vorlage'!F$6)</f>
        <v>0</v>
      </c>
      <c r="G333" s="21">
        <f>SUMIFS(Einzelbeträge!$D:$D,Einzelbeträge!$C:$C,'Ausgaben Vorlage'!$C333,Einzelbeträge!$E:$E,'Ausgaben Vorlage'!G$6)</f>
        <v>0</v>
      </c>
      <c r="H333" s="21">
        <f>SUMIFS(Einzelbeträge!$D:$D,Einzelbeträge!$C:$C,'Ausgaben Vorlage'!$C333,Einzelbeträge!$E:$E,'Ausgaben Vorlage'!H$6)</f>
        <v>0</v>
      </c>
      <c r="I333" s="21">
        <f>SUMIFS(Einzelbeträge!$D:$D,Einzelbeträge!$C:$C,'Ausgaben Vorlage'!$C333,Einzelbeträge!$E:$E,'Ausgaben Vorlage'!I$6)</f>
        <v>0</v>
      </c>
      <c r="J333" s="21">
        <f>SUMIFS(Einzelbeträge!$D:$D,Einzelbeträge!$C:$C,'Ausgaben Vorlage'!$C333,Einzelbeträge!$E:$E,'Ausgaben Vorlage'!J$6)</f>
        <v>0</v>
      </c>
      <c r="K333" s="21">
        <f>SUMIFS(Einzelbeträge!$D:$D,Einzelbeträge!$C:$C,'Ausgaben Vorlage'!$C333,Einzelbeträge!$E:$E,'Ausgaben Vorlage'!K$6)</f>
        <v>0</v>
      </c>
      <c r="L333" s="21">
        <f>SUMIFS(Einzelbeträge!$D:$D,Einzelbeträge!$C:$C,'Ausgaben Vorlage'!$C333,Einzelbeträge!$E:$E,'Ausgaben Vorlage'!L$6)</f>
        <v>0</v>
      </c>
      <c r="M333" s="21">
        <f>SUMIFS(Einzelbeträge!$D:$D,Einzelbeträge!$C:$C,'Ausgaben Vorlage'!$C333,Einzelbeträge!$E:$E,'Ausgaben Vorlage'!M$6)</f>
        <v>0</v>
      </c>
      <c r="N333" s="35">
        <f>SUMIFS(Einzelbeträge!$D:$D,Einzelbeträge!$C:$C,'Ausgaben Vorlage'!$C333,Einzelbeträge!$E:$E,'Ausgaben Vorlage'!N$6)</f>
        <v>0</v>
      </c>
      <c r="O333" s="6"/>
    </row>
    <row r="334" spans="2:15" x14ac:dyDescent="0.35">
      <c r="B334" s="5"/>
      <c r="C334" s="40">
        <f t="shared" si="25"/>
        <v>45957</v>
      </c>
      <c r="D334" s="46">
        <f>SUMIFS(Einzelbeträge!$D:$D,Einzelbeträge!$C:$C,'Ausgaben Vorlage'!$C334)</f>
        <v>0</v>
      </c>
      <c r="E334" s="21">
        <f>SUMIFS(Einzelbeträge!$D:$D,Einzelbeträge!$C:$C,'Ausgaben Vorlage'!$C334,Einzelbeträge!$E:$E,'Ausgaben Vorlage'!E$6)</f>
        <v>0</v>
      </c>
      <c r="F334" s="21">
        <f>SUMIFS(Einzelbeträge!$D:$D,Einzelbeträge!$C:$C,'Ausgaben Vorlage'!$C334,Einzelbeträge!$E:$E,'Ausgaben Vorlage'!F$6)</f>
        <v>0</v>
      </c>
      <c r="G334" s="21">
        <f>SUMIFS(Einzelbeträge!$D:$D,Einzelbeträge!$C:$C,'Ausgaben Vorlage'!$C334,Einzelbeträge!$E:$E,'Ausgaben Vorlage'!G$6)</f>
        <v>0</v>
      </c>
      <c r="H334" s="21">
        <f>SUMIFS(Einzelbeträge!$D:$D,Einzelbeträge!$C:$C,'Ausgaben Vorlage'!$C334,Einzelbeträge!$E:$E,'Ausgaben Vorlage'!H$6)</f>
        <v>0</v>
      </c>
      <c r="I334" s="21">
        <f>SUMIFS(Einzelbeträge!$D:$D,Einzelbeträge!$C:$C,'Ausgaben Vorlage'!$C334,Einzelbeträge!$E:$E,'Ausgaben Vorlage'!I$6)</f>
        <v>0</v>
      </c>
      <c r="J334" s="21">
        <f>SUMIFS(Einzelbeträge!$D:$D,Einzelbeträge!$C:$C,'Ausgaben Vorlage'!$C334,Einzelbeträge!$E:$E,'Ausgaben Vorlage'!J$6)</f>
        <v>0</v>
      </c>
      <c r="K334" s="21">
        <f>SUMIFS(Einzelbeträge!$D:$D,Einzelbeträge!$C:$C,'Ausgaben Vorlage'!$C334,Einzelbeträge!$E:$E,'Ausgaben Vorlage'!K$6)</f>
        <v>0</v>
      </c>
      <c r="L334" s="21">
        <f>SUMIFS(Einzelbeträge!$D:$D,Einzelbeträge!$C:$C,'Ausgaben Vorlage'!$C334,Einzelbeträge!$E:$E,'Ausgaben Vorlage'!L$6)</f>
        <v>0</v>
      </c>
      <c r="M334" s="21">
        <f>SUMIFS(Einzelbeträge!$D:$D,Einzelbeträge!$C:$C,'Ausgaben Vorlage'!$C334,Einzelbeträge!$E:$E,'Ausgaben Vorlage'!M$6)</f>
        <v>0</v>
      </c>
      <c r="N334" s="35">
        <f>SUMIFS(Einzelbeträge!$D:$D,Einzelbeträge!$C:$C,'Ausgaben Vorlage'!$C334,Einzelbeträge!$E:$E,'Ausgaben Vorlage'!N$6)</f>
        <v>0</v>
      </c>
      <c r="O334" s="6"/>
    </row>
    <row r="335" spans="2:15" x14ac:dyDescent="0.35">
      <c r="B335" s="5"/>
      <c r="C335" s="40">
        <f t="shared" si="25"/>
        <v>45958</v>
      </c>
      <c r="D335" s="46">
        <f>SUMIFS(Einzelbeträge!$D:$D,Einzelbeträge!$C:$C,'Ausgaben Vorlage'!$C335)</f>
        <v>0</v>
      </c>
      <c r="E335" s="21">
        <f>SUMIFS(Einzelbeträge!$D:$D,Einzelbeträge!$C:$C,'Ausgaben Vorlage'!$C335,Einzelbeträge!$E:$E,'Ausgaben Vorlage'!E$6)</f>
        <v>0</v>
      </c>
      <c r="F335" s="21">
        <f>SUMIFS(Einzelbeträge!$D:$D,Einzelbeträge!$C:$C,'Ausgaben Vorlage'!$C335,Einzelbeträge!$E:$E,'Ausgaben Vorlage'!F$6)</f>
        <v>0</v>
      </c>
      <c r="G335" s="21">
        <f>SUMIFS(Einzelbeträge!$D:$D,Einzelbeträge!$C:$C,'Ausgaben Vorlage'!$C335,Einzelbeträge!$E:$E,'Ausgaben Vorlage'!G$6)</f>
        <v>0</v>
      </c>
      <c r="H335" s="21">
        <f>SUMIFS(Einzelbeträge!$D:$D,Einzelbeträge!$C:$C,'Ausgaben Vorlage'!$C335,Einzelbeträge!$E:$E,'Ausgaben Vorlage'!H$6)</f>
        <v>0</v>
      </c>
      <c r="I335" s="21">
        <f>SUMIFS(Einzelbeträge!$D:$D,Einzelbeträge!$C:$C,'Ausgaben Vorlage'!$C335,Einzelbeträge!$E:$E,'Ausgaben Vorlage'!I$6)</f>
        <v>0</v>
      </c>
      <c r="J335" s="21">
        <f>SUMIFS(Einzelbeträge!$D:$D,Einzelbeträge!$C:$C,'Ausgaben Vorlage'!$C335,Einzelbeträge!$E:$E,'Ausgaben Vorlage'!J$6)</f>
        <v>0</v>
      </c>
      <c r="K335" s="21">
        <f>SUMIFS(Einzelbeträge!$D:$D,Einzelbeträge!$C:$C,'Ausgaben Vorlage'!$C335,Einzelbeträge!$E:$E,'Ausgaben Vorlage'!K$6)</f>
        <v>0</v>
      </c>
      <c r="L335" s="21">
        <f>SUMIFS(Einzelbeträge!$D:$D,Einzelbeträge!$C:$C,'Ausgaben Vorlage'!$C335,Einzelbeträge!$E:$E,'Ausgaben Vorlage'!L$6)</f>
        <v>0</v>
      </c>
      <c r="M335" s="21">
        <f>SUMIFS(Einzelbeträge!$D:$D,Einzelbeträge!$C:$C,'Ausgaben Vorlage'!$C335,Einzelbeträge!$E:$E,'Ausgaben Vorlage'!M$6)</f>
        <v>0</v>
      </c>
      <c r="N335" s="35">
        <f>SUMIFS(Einzelbeträge!$D:$D,Einzelbeträge!$C:$C,'Ausgaben Vorlage'!$C335,Einzelbeträge!$E:$E,'Ausgaben Vorlage'!N$6)</f>
        <v>0</v>
      </c>
      <c r="O335" s="6"/>
    </row>
    <row r="336" spans="2:15" x14ac:dyDescent="0.35">
      <c r="B336" s="5"/>
      <c r="C336" s="40">
        <f t="shared" si="25"/>
        <v>45959</v>
      </c>
      <c r="D336" s="46">
        <f>SUMIFS(Einzelbeträge!$D:$D,Einzelbeträge!$C:$C,'Ausgaben Vorlage'!$C336)</f>
        <v>0</v>
      </c>
      <c r="E336" s="21">
        <f>SUMIFS(Einzelbeträge!$D:$D,Einzelbeträge!$C:$C,'Ausgaben Vorlage'!$C336,Einzelbeträge!$E:$E,'Ausgaben Vorlage'!E$6)</f>
        <v>0</v>
      </c>
      <c r="F336" s="21">
        <f>SUMIFS(Einzelbeträge!$D:$D,Einzelbeträge!$C:$C,'Ausgaben Vorlage'!$C336,Einzelbeträge!$E:$E,'Ausgaben Vorlage'!F$6)</f>
        <v>0</v>
      </c>
      <c r="G336" s="21">
        <f>SUMIFS(Einzelbeträge!$D:$D,Einzelbeträge!$C:$C,'Ausgaben Vorlage'!$C336,Einzelbeträge!$E:$E,'Ausgaben Vorlage'!G$6)</f>
        <v>0</v>
      </c>
      <c r="H336" s="21">
        <f>SUMIFS(Einzelbeträge!$D:$D,Einzelbeträge!$C:$C,'Ausgaben Vorlage'!$C336,Einzelbeträge!$E:$E,'Ausgaben Vorlage'!H$6)</f>
        <v>0</v>
      </c>
      <c r="I336" s="21">
        <f>SUMIFS(Einzelbeträge!$D:$D,Einzelbeträge!$C:$C,'Ausgaben Vorlage'!$C336,Einzelbeträge!$E:$E,'Ausgaben Vorlage'!I$6)</f>
        <v>0</v>
      </c>
      <c r="J336" s="21">
        <f>SUMIFS(Einzelbeträge!$D:$D,Einzelbeträge!$C:$C,'Ausgaben Vorlage'!$C336,Einzelbeträge!$E:$E,'Ausgaben Vorlage'!J$6)</f>
        <v>0</v>
      </c>
      <c r="K336" s="21">
        <f>SUMIFS(Einzelbeträge!$D:$D,Einzelbeträge!$C:$C,'Ausgaben Vorlage'!$C336,Einzelbeträge!$E:$E,'Ausgaben Vorlage'!K$6)</f>
        <v>0</v>
      </c>
      <c r="L336" s="21">
        <f>SUMIFS(Einzelbeträge!$D:$D,Einzelbeträge!$C:$C,'Ausgaben Vorlage'!$C336,Einzelbeträge!$E:$E,'Ausgaben Vorlage'!L$6)</f>
        <v>0</v>
      </c>
      <c r="M336" s="21">
        <f>SUMIFS(Einzelbeträge!$D:$D,Einzelbeträge!$C:$C,'Ausgaben Vorlage'!$C336,Einzelbeträge!$E:$E,'Ausgaben Vorlage'!M$6)</f>
        <v>0</v>
      </c>
      <c r="N336" s="35">
        <f>SUMIFS(Einzelbeträge!$D:$D,Einzelbeträge!$C:$C,'Ausgaben Vorlage'!$C336,Einzelbeträge!$E:$E,'Ausgaben Vorlage'!N$6)</f>
        <v>0</v>
      </c>
      <c r="O336" s="6"/>
    </row>
    <row r="337" spans="2:15" x14ac:dyDescent="0.35">
      <c r="B337" s="5"/>
      <c r="C337" s="40">
        <f t="shared" si="25"/>
        <v>45960</v>
      </c>
      <c r="D337" s="46">
        <f>SUMIFS(Einzelbeträge!$D:$D,Einzelbeträge!$C:$C,'Ausgaben Vorlage'!$C337)</f>
        <v>0</v>
      </c>
      <c r="E337" s="21">
        <f>SUMIFS(Einzelbeträge!$D:$D,Einzelbeträge!$C:$C,'Ausgaben Vorlage'!$C337,Einzelbeträge!$E:$E,'Ausgaben Vorlage'!E$6)</f>
        <v>0</v>
      </c>
      <c r="F337" s="21">
        <f>SUMIFS(Einzelbeträge!$D:$D,Einzelbeträge!$C:$C,'Ausgaben Vorlage'!$C337,Einzelbeträge!$E:$E,'Ausgaben Vorlage'!F$6)</f>
        <v>0</v>
      </c>
      <c r="G337" s="21">
        <f>SUMIFS(Einzelbeträge!$D:$D,Einzelbeträge!$C:$C,'Ausgaben Vorlage'!$C337,Einzelbeträge!$E:$E,'Ausgaben Vorlage'!G$6)</f>
        <v>0</v>
      </c>
      <c r="H337" s="21">
        <f>SUMIFS(Einzelbeträge!$D:$D,Einzelbeträge!$C:$C,'Ausgaben Vorlage'!$C337,Einzelbeträge!$E:$E,'Ausgaben Vorlage'!H$6)</f>
        <v>0</v>
      </c>
      <c r="I337" s="21">
        <f>SUMIFS(Einzelbeträge!$D:$D,Einzelbeträge!$C:$C,'Ausgaben Vorlage'!$C337,Einzelbeträge!$E:$E,'Ausgaben Vorlage'!I$6)</f>
        <v>0</v>
      </c>
      <c r="J337" s="21">
        <f>SUMIFS(Einzelbeträge!$D:$D,Einzelbeträge!$C:$C,'Ausgaben Vorlage'!$C337,Einzelbeträge!$E:$E,'Ausgaben Vorlage'!J$6)</f>
        <v>0</v>
      </c>
      <c r="K337" s="21">
        <f>SUMIFS(Einzelbeträge!$D:$D,Einzelbeträge!$C:$C,'Ausgaben Vorlage'!$C337,Einzelbeträge!$E:$E,'Ausgaben Vorlage'!K$6)</f>
        <v>0</v>
      </c>
      <c r="L337" s="21">
        <f>SUMIFS(Einzelbeträge!$D:$D,Einzelbeträge!$C:$C,'Ausgaben Vorlage'!$C337,Einzelbeträge!$E:$E,'Ausgaben Vorlage'!L$6)</f>
        <v>0</v>
      </c>
      <c r="M337" s="21">
        <f>SUMIFS(Einzelbeträge!$D:$D,Einzelbeträge!$C:$C,'Ausgaben Vorlage'!$C337,Einzelbeträge!$E:$E,'Ausgaben Vorlage'!M$6)</f>
        <v>0</v>
      </c>
      <c r="N337" s="35">
        <f>SUMIFS(Einzelbeträge!$D:$D,Einzelbeträge!$C:$C,'Ausgaben Vorlage'!$C337,Einzelbeträge!$E:$E,'Ausgaben Vorlage'!N$6)</f>
        <v>0</v>
      </c>
      <c r="O337" s="6"/>
    </row>
    <row r="338" spans="2:15" x14ac:dyDescent="0.35">
      <c r="B338" s="5"/>
      <c r="C338" s="31">
        <f t="shared" si="25"/>
        <v>45961</v>
      </c>
      <c r="D338" s="47">
        <f>SUMIFS(Einzelbeträge!$D:$D,Einzelbeträge!$C:$C,'Ausgaben Vorlage'!$C338)</f>
        <v>0</v>
      </c>
      <c r="E338" s="37">
        <f>SUMIFS(Einzelbeträge!$D:$D,Einzelbeträge!$C:$C,'Ausgaben Vorlage'!$C338,Einzelbeträge!$E:$E,'Ausgaben Vorlage'!E$6)</f>
        <v>0</v>
      </c>
      <c r="F338" s="37">
        <f>SUMIFS(Einzelbeträge!$D:$D,Einzelbeträge!$C:$C,'Ausgaben Vorlage'!$C338,Einzelbeträge!$E:$E,'Ausgaben Vorlage'!F$6)</f>
        <v>0</v>
      </c>
      <c r="G338" s="37">
        <f>SUMIFS(Einzelbeträge!$D:$D,Einzelbeträge!$C:$C,'Ausgaben Vorlage'!$C338,Einzelbeträge!$E:$E,'Ausgaben Vorlage'!G$6)</f>
        <v>0</v>
      </c>
      <c r="H338" s="37">
        <f>SUMIFS(Einzelbeträge!$D:$D,Einzelbeträge!$C:$C,'Ausgaben Vorlage'!$C338,Einzelbeträge!$E:$E,'Ausgaben Vorlage'!H$6)</f>
        <v>0</v>
      </c>
      <c r="I338" s="37">
        <f>SUMIFS(Einzelbeträge!$D:$D,Einzelbeträge!$C:$C,'Ausgaben Vorlage'!$C338,Einzelbeträge!$E:$E,'Ausgaben Vorlage'!I$6)</f>
        <v>0</v>
      </c>
      <c r="J338" s="37">
        <f>SUMIFS(Einzelbeträge!$D:$D,Einzelbeträge!$C:$C,'Ausgaben Vorlage'!$C338,Einzelbeträge!$E:$E,'Ausgaben Vorlage'!J$6)</f>
        <v>0</v>
      </c>
      <c r="K338" s="37">
        <f>SUMIFS(Einzelbeträge!$D:$D,Einzelbeträge!$C:$C,'Ausgaben Vorlage'!$C338,Einzelbeträge!$E:$E,'Ausgaben Vorlage'!K$6)</f>
        <v>0</v>
      </c>
      <c r="L338" s="37">
        <f>SUMIFS(Einzelbeträge!$D:$D,Einzelbeträge!$C:$C,'Ausgaben Vorlage'!$C338,Einzelbeträge!$E:$E,'Ausgaben Vorlage'!L$6)</f>
        <v>0</v>
      </c>
      <c r="M338" s="37">
        <f>SUMIFS(Einzelbeträge!$D:$D,Einzelbeträge!$C:$C,'Ausgaben Vorlage'!$C338,Einzelbeträge!$E:$E,'Ausgaben Vorlage'!M$6)</f>
        <v>0</v>
      </c>
      <c r="N338" s="38">
        <f>SUMIFS(Einzelbeträge!$D:$D,Einzelbeträge!$C:$C,'Ausgaben Vorlage'!$C338,Einzelbeträge!$E:$E,'Ausgaben Vorlage'!N$6)</f>
        <v>0</v>
      </c>
      <c r="O338" s="6"/>
    </row>
    <row r="339" spans="2:15" x14ac:dyDescent="0.35">
      <c r="B339" s="5"/>
      <c r="C339" s="22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6"/>
    </row>
    <row r="340" spans="2:15" x14ac:dyDescent="0.35">
      <c r="B340" s="5"/>
      <c r="C340" s="16" t="s">
        <v>35</v>
      </c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6"/>
    </row>
    <row r="341" spans="2:15" x14ac:dyDescent="0.35">
      <c r="B341" s="5"/>
      <c r="C341" s="1" t="s">
        <v>7</v>
      </c>
      <c r="D341" s="16" t="s">
        <v>6</v>
      </c>
      <c r="E341" s="42" t="s">
        <v>0</v>
      </c>
      <c r="F341" s="42" t="s">
        <v>1</v>
      </c>
      <c r="G341" s="42" t="s">
        <v>3</v>
      </c>
      <c r="H341" s="42" t="s">
        <v>2</v>
      </c>
      <c r="I341" s="42" t="s">
        <v>42</v>
      </c>
      <c r="J341" s="42" t="s">
        <v>65</v>
      </c>
      <c r="K341" s="42" t="s">
        <v>64</v>
      </c>
      <c r="L341" s="42" t="s">
        <v>63</v>
      </c>
      <c r="M341" s="42" t="s">
        <v>62</v>
      </c>
      <c r="N341" s="43" t="s">
        <v>61</v>
      </c>
      <c r="O341" s="6"/>
    </row>
    <row r="342" spans="2:15" x14ac:dyDescent="0.35">
      <c r="B342" s="5"/>
      <c r="C342" s="48">
        <f>C338+1</f>
        <v>45962</v>
      </c>
      <c r="D342" s="45">
        <f>SUMIFS(Einzelbeträge!$D:$D,Einzelbeträge!$C:$C,'Ausgaben Vorlage'!$C342)</f>
        <v>0</v>
      </c>
      <c r="E342" s="32">
        <f>SUMIFS(Einzelbeträge!$D:$D,Einzelbeträge!$C:$C,'Ausgaben Vorlage'!$C342,Einzelbeträge!$E:$E,'Ausgaben Vorlage'!E$6)</f>
        <v>0</v>
      </c>
      <c r="F342" s="32">
        <f>SUMIFS(Einzelbeträge!$D:$D,Einzelbeträge!$C:$C,'Ausgaben Vorlage'!$C342,Einzelbeträge!$E:$E,'Ausgaben Vorlage'!F$6)</f>
        <v>0</v>
      </c>
      <c r="G342" s="32">
        <f>SUMIFS(Einzelbeträge!$D:$D,Einzelbeträge!$C:$C,'Ausgaben Vorlage'!$C342,Einzelbeträge!$E:$E,'Ausgaben Vorlage'!G$6)</f>
        <v>0</v>
      </c>
      <c r="H342" s="32">
        <f>SUMIFS(Einzelbeträge!$D:$D,Einzelbeträge!$C:$C,'Ausgaben Vorlage'!$C342,Einzelbeträge!$E:$E,'Ausgaben Vorlage'!H$6)</f>
        <v>0</v>
      </c>
      <c r="I342" s="32">
        <f>SUMIFS(Einzelbeträge!$D:$D,Einzelbeträge!$C:$C,'Ausgaben Vorlage'!$C342,Einzelbeträge!$E:$E,'Ausgaben Vorlage'!I$6)</f>
        <v>0</v>
      </c>
      <c r="J342" s="32">
        <f>SUMIFS(Einzelbeträge!$D:$D,Einzelbeträge!$C:$C,'Ausgaben Vorlage'!$C342,Einzelbeträge!$E:$E,'Ausgaben Vorlage'!J$6)</f>
        <v>0</v>
      </c>
      <c r="K342" s="32">
        <f>SUMIFS(Einzelbeträge!$D:$D,Einzelbeträge!$C:$C,'Ausgaben Vorlage'!$C342,Einzelbeträge!$E:$E,'Ausgaben Vorlage'!K$6)</f>
        <v>0</v>
      </c>
      <c r="L342" s="32">
        <f>SUMIFS(Einzelbeträge!$D:$D,Einzelbeträge!$C:$C,'Ausgaben Vorlage'!$C342,Einzelbeträge!$E:$E,'Ausgaben Vorlage'!L$6)</f>
        <v>0</v>
      </c>
      <c r="M342" s="32">
        <f>SUMIFS(Einzelbeträge!$D:$D,Einzelbeträge!$C:$C,'Ausgaben Vorlage'!$C342,Einzelbeträge!$E:$E,'Ausgaben Vorlage'!M$6)</f>
        <v>0</v>
      </c>
      <c r="N342" s="33">
        <f>SUMIFS(Einzelbeträge!$D:$D,Einzelbeträge!$C:$C,'Ausgaben Vorlage'!$C342,Einzelbeträge!$E:$E,'Ausgaben Vorlage'!N$6)</f>
        <v>0</v>
      </c>
      <c r="O342" s="6"/>
    </row>
    <row r="343" spans="2:15" x14ac:dyDescent="0.35">
      <c r="B343" s="5"/>
      <c r="C343" s="30">
        <f>C342+1</f>
        <v>45963</v>
      </c>
      <c r="D343" s="46">
        <f>SUMIFS(Einzelbeträge!$D:$D,Einzelbeträge!$C:$C,'Ausgaben Vorlage'!$C343)</f>
        <v>0</v>
      </c>
      <c r="E343" s="21">
        <f>SUMIFS(Einzelbeträge!$D:$D,Einzelbeträge!$C:$C,'Ausgaben Vorlage'!$C343,Einzelbeträge!$E:$E,'Ausgaben Vorlage'!E$6)</f>
        <v>0</v>
      </c>
      <c r="F343" s="21">
        <f>SUMIFS(Einzelbeträge!$D:$D,Einzelbeträge!$C:$C,'Ausgaben Vorlage'!$C343,Einzelbeträge!$E:$E,'Ausgaben Vorlage'!F$6)</f>
        <v>0</v>
      </c>
      <c r="G343" s="21">
        <f>SUMIFS(Einzelbeträge!$D:$D,Einzelbeträge!$C:$C,'Ausgaben Vorlage'!$C343,Einzelbeträge!$E:$E,'Ausgaben Vorlage'!G$6)</f>
        <v>0</v>
      </c>
      <c r="H343" s="21">
        <f>SUMIFS(Einzelbeträge!$D:$D,Einzelbeträge!$C:$C,'Ausgaben Vorlage'!$C343,Einzelbeträge!$E:$E,'Ausgaben Vorlage'!H$6)</f>
        <v>0</v>
      </c>
      <c r="I343" s="21">
        <f>SUMIFS(Einzelbeträge!$D:$D,Einzelbeträge!$C:$C,'Ausgaben Vorlage'!$C343,Einzelbeträge!$E:$E,'Ausgaben Vorlage'!I$6)</f>
        <v>0</v>
      </c>
      <c r="J343" s="21">
        <f>SUMIFS(Einzelbeträge!$D:$D,Einzelbeträge!$C:$C,'Ausgaben Vorlage'!$C343,Einzelbeträge!$E:$E,'Ausgaben Vorlage'!J$6)</f>
        <v>0</v>
      </c>
      <c r="K343" s="21">
        <f>SUMIFS(Einzelbeträge!$D:$D,Einzelbeträge!$C:$C,'Ausgaben Vorlage'!$C343,Einzelbeträge!$E:$E,'Ausgaben Vorlage'!K$6)</f>
        <v>0</v>
      </c>
      <c r="L343" s="21">
        <f>SUMIFS(Einzelbeträge!$D:$D,Einzelbeträge!$C:$C,'Ausgaben Vorlage'!$C343,Einzelbeträge!$E:$E,'Ausgaben Vorlage'!L$6)</f>
        <v>0</v>
      </c>
      <c r="M343" s="21">
        <f>SUMIFS(Einzelbeträge!$D:$D,Einzelbeträge!$C:$C,'Ausgaben Vorlage'!$C343,Einzelbeträge!$E:$E,'Ausgaben Vorlage'!M$6)</f>
        <v>0</v>
      </c>
      <c r="N343" s="35">
        <f>SUMIFS(Einzelbeträge!$D:$D,Einzelbeträge!$C:$C,'Ausgaben Vorlage'!$C343,Einzelbeträge!$E:$E,'Ausgaben Vorlage'!N$6)</f>
        <v>0</v>
      </c>
      <c r="O343" s="6"/>
    </row>
    <row r="344" spans="2:15" x14ac:dyDescent="0.35">
      <c r="B344" s="5"/>
      <c r="C344" s="30">
        <f t="shared" ref="C344:C371" si="26">C343+1</f>
        <v>45964</v>
      </c>
      <c r="D344" s="46">
        <f>SUMIFS(Einzelbeträge!$D:$D,Einzelbeträge!$C:$C,'Ausgaben Vorlage'!$C344)</f>
        <v>0</v>
      </c>
      <c r="E344" s="21">
        <f>SUMIFS(Einzelbeträge!$D:$D,Einzelbeträge!$C:$C,'Ausgaben Vorlage'!$C344,Einzelbeträge!$E:$E,'Ausgaben Vorlage'!E$6)</f>
        <v>0</v>
      </c>
      <c r="F344" s="21">
        <f>SUMIFS(Einzelbeträge!$D:$D,Einzelbeträge!$C:$C,'Ausgaben Vorlage'!$C344,Einzelbeträge!$E:$E,'Ausgaben Vorlage'!F$6)</f>
        <v>0</v>
      </c>
      <c r="G344" s="21">
        <f>SUMIFS(Einzelbeträge!$D:$D,Einzelbeträge!$C:$C,'Ausgaben Vorlage'!$C344,Einzelbeträge!$E:$E,'Ausgaben Vorlage'!G$6)</f>
        <v>0</v>
      </c>
      <c r="H344" s="21">
        <f>SUMIFS(Einzelbeträge!$D:$D,Einzelbeträge!$C:$C,'Ausgaben Vorlage'!$C344,Einzelbeträge!$E:$E,'Ausgaben Vorlage'!H$6)</f>
        <v>0</v>
      </c>
      <c r="I344" s="21">
        <f>SUMIFS(Einzelbeträge!$D:$D,Einzelbeträge!$C:$C,'Ausgaben Vorlage'!$C344,Einzelbeträge!$E:$E,'Ausgaben Vorlage'!I$6)</f>
        <v>0</v>
      </c>
      <c r="J344" s="21">
        <f>SUMIFS(Einzelbeträge!$D:$D,Einzelbeträge!$C:$C,'Ausgaben Vorlage'!$C344,Einzelbeträge!$E:$E,'Ausgaben Vorlage'!J$6)</f>
        <v>0</v>
      </c>
      <c r="K344" s="21">
        <f>SUMIFS(Einzelbeträge!$D:$D,Einzelbeträge!$C:$C,'Ausgaben Vorlage'!$C344,Einzelbeträge!$E:$E,'Ausgaben Vorlage'!K$6)</f>
        <v>0</v>
      </c>
      <c r="L344" s="21">
        <f>SUMIFS(Einzelbeträge!$D:$D,Einzelbeträge!$C:$C,'Ausgaben Vorlage'!$C344,Einzelbeträge!$E:$E,'Ausgaben Vorlage'!L$6)</f>
        <v>0</v>
      </c>
      <c r="M344" s="21">
        <f>SUMIFS(Einzelbeträge!$D:$D,Einzelbeträge!$C:$C,'Ausgaben Vorlage'!$C344,Einzelbeträge!$E:$E,'Ausgaben Vorlage'!M$6)</f>
        <v>0</v>
      </c>
      <c r="N344" s="35">
        <f>SUMIFS(Einzelbeträge!$D:$D,Einzelbeträge!$C:$C,'Ausgaben Vorlage'!$C344,Einzelbeträge!$E:$E,'Ausgaben Vorlage'!N$6)</f>
        <v>0</v>
      </c>
      <c r="O344" s="6"/>
    </row>
    <row r="345" spans="2:15" x14ac:dyDescent="0.35">
      <c r="B345" s="5"/>
      <c r="C345" s="30">
        <f t="shared" si="26"/>
        <v>45965</v>
      </c>
      <c r="D345" s="46">
        <f>SUMIFS(Einzelbeträge!$D:$D,Einzelbeträge!$C:$C,'Ausgaben Vorlage'!$C345)</f>
        <v>0</v>
      </c>
      <c r="E345" s="21">
        <f>SUMIFS(Einzelbeträge!$D:$D,Einzelbeträge!$C:$C,'Ausgaben Vorlage'!$C345,Einzelbeträge!$E:$E,'Ausgaben Vorlage'!E$6)</f>
        <v>0</v>
      </c>
      <c r="F345" s="21">
        <f>SUMIFS(Einzelbeträge!$D:$D,Einzelbeträge!$C:$C,'Ausgaben Vorlage'!$C345,Einzelbeträge!$E:$E,'Ausgaben Vorlage'!F$6)</f>
        <v>0</v>
      </c>
      <c r="G345" s="21">
        <f>SUMIFS(Einzelbeträge!$D:$D,Einzelbeträge!$C:$C,'Ausgaben Vorlage'!$C345,Einzelbeträge!$E:$E,'Ausgaben Vorlage'!G$6)</f>
        <v>0</v>
      </c>
      <c r="H345" s="21">
        <f>SUMIFS(Einzelbeträge!$D:$D,Einzelbeträge!$C:$C,'Ausgaben Vorlage'!$C345,Einzelbeträge!$E:$E,'Ausgaben Vorlage'!H$6)</f>
        <v>0</v>
      </c>
      <c r="I345" s="21">
        <f>SUMIFS(Einzelbeträge!$D:$D,Einzelbeträge!$C:$C,'Ausgaben Vorlage'!$C345,Einzelbeträge!$E:$E,'Ausgaben Vorlage'!I$6)</f>
        <v>0</v>
      </c>
      <c r="J345" s="21">
        <f>SUMIFS(Einzelbeträge!$D:$D,Einzelbeträge!$C:$C,'Ausgaben Vorlage'!$C345,Einzelbeträge!$E:$E,'Ausgaben Vorlage'!J$6)</f>
        <v>0</v>
      </c>
      <c r="K345" s="21">
        <f>SUMIFS(Einzelbeträge!$D:$D,Einzelbeträge!$C:$C,'Ausgaben Vorlage'!$C345,Einzelbeträge!$E:$E,'Ausgaben Vorlage'!K$6)</f>
        <v>0</v>
      </c>
      <c r="L345" s="21">
        <f>SUMIFS(Einzelbeträge!$D:$D,Einzelbeträge!$C:$C,'Ausgaben Vorlage'!$C345,Einzelbeträge!$E:$E,'Ausgaben Vorlage'!L$6)</f>
        <v>0</v>
      </c>
      <c r="M345" s="21">
        <f>SUMIFS(Einzelbeträge!$D:$D,Einzelbeträge!$C:$C,'Ausgaben Vorlage'!$C345,Einzelbeträge!$E:$E,'Ausgaben Vorlage'!M$6)</f>
        <v>0</v>
      </c>
      <c r="N345" s="35">
        <f>SUMIFS(Einzelbeträge!$D:$D,Einzelbeträge!$C:$C,'Ausgaben Vorlage'!$C345,Einzelbeträge!$E:$E,'Ausgaben Vorlage'!N$6)</f>
        <v>0</v>
      </c>
      <c r="O345" s="6"/>
    </row>
    <row r="346" spans="2:15" x14ac:dyDescent="0.35">
      <c r="B346" s="5"/>
      <c r="C346" s="30">
        <f t="shared" si="26"/>
        <v>45966</v>
      </c>
      <c r="D346" s="46">
        <f>SUMIFS(Einzelbeträge!$D:$D,Einzelbeträge!$C:$C,'Ausgaben Vorlage'!$C346)</f>
        <v>0</v>
      </c>
      <c r="E346" s="21">
        <f>SUMIFS(Einzelbeträge!$D:$D,Einzelbeträge!$C:$C,'Ausgaben Vorlage'!$C346,Einzelbeträge!$E:$E,'Ausgaben Vorlage'!E$6)</f>
        <v>0</v>
      </c>
      <c r="F346" s="21">
        <f>SUMIFS(Einzelbeträge!$D:$D,Einzelbeträge!$C:$C,'Ausgaben Vorlage'!$C346,Einzelbeträge!$E:$E,'Ausgaben Vorlage'!F$6)</f>
        <v>0</v>
      </c>
      <c r="G346" s="21">
        <f>SUMIFS(Einzelbeträge!$D:$D,Einzelbeträge!$C:$C,'Ausgaben Vorlage'!$C346,Einzelbeträge!$E:$E,'Ausgaben Vorlage'!G$6)</f>
        <v>0</v>
      </c>
      <c r="H346" s="21">
        <f>SUMIFS(Einzelbeträge!$D:$D,Einzelbeträge!$C:$C,'Ausgaben Vorlage'!$C346,Einzelbeträge!$E:$E,'Ausgaben Vorlage'!H$6)</f>
        <v>0</v>
      </c>
      <c r="I346" s="21">
        <f>SUMIFS(Einzelbeträge!$D:$D,Einzelbeträge!$C:$C,'Ausgaben Vorlage'!$C346,Einzelbeträge!$E:$E,'Ausgaben Vorlage'!I$6)</f>
        <v>0</v>
      </c>
      <c r="J346" s="21">
        <f>SUMIFS(Einzelbeträge!$D:$D,Einzelbeträge!$C:$C,'Ausgaben Vorlage'!$C346,Einzelbeträge!$E:$E,'Ausgaben Vorlage'!J$6)</f>
        <v>0</v>
      </c>
      <c r="K346" s="21">
        <f>SUMIFS(Einzelbeträge!$D:$D,Einzelbeträge!$C:$C,'Ausgaben Vorlage'!$C346,Einzelbeträge!$E:$E,'Ausgaben Vorlage'!K$6)</f>
        <v>0</v>
      </c>
      <c r="L346" s="21">
        <f>SUMIFS(Einzelbeträge!$D:$D,Einzelbeträge!$C:$C,'Ausgaben Vorlage'!$C346,Einzelbeträge!$E:$E,'Ausgaben Vorlage'!L$6)</f>
        <v>0</v>
      </c>
      <c r="M346" s="21">
        <f>SUMIFS(Einzelbeträge!$D:$D,Einzelbeträge!$C:$C,'Ausgaben Vorlage'!$C346,Einzelbeträge!$E:$E,'Ausgaben Vorlage'!M$6)</f>
        <v>0</v>
      </c>
      <c r="N346" s="35">
        <f>SUMIFS(Einzelbeträge!$D:$D,Einzelbeträge!$C:$C,'Ausgaben Vorlage'!$C346,Einzelbeträge!$E:$E,'Ausgaben Vorlage'!N$6)</f>
        <v>0</v>
      </c>
      <c r="O346" s="6"/>
    </row>
    <row r="347" spans="2:15" x14ac:dyDescent="0.35">
      <c r="B347" s="5"/>
      <c r="C347" s="30">
        <f t="shared" si="26"/>
        <v>45967</v>
      </c>
      <c r="D347" s="46">
        <f>SUMIFS(Einzelbeträge!$D:$D,Einzelbeträge!$C:$C,'Ausgaben Vorlage'!$C347)</f>
        <v>0</v>
      </c>
      <c r="E347" s="21">
        <f>SUMIFS(Einzelbeträge!$D:$D,Einzelbeträge!$C:$C,'Ausgaben Vorlage'!$C347,Einzelbeträge!$E:$E,'Ausgaben Vorlage'!E$6)</f>
        <v>0</v>
      </c>
      <c r="F347" s="21">
        <f>SUMIFS(Einzelbeträge!$D:$D,Einzelbeträge!$C:$C,'Ausgaben Vorlage'!$C347,Einzelbeträge!$E:$E,'Ausgaben Vorlage'!F$6)</f>
        <v>0</v>
      </c>
      <c r="G347" s="21">
        <f>SUMIFS(Einzelbeträge!$D:$D,Einzelbeträge!$C:$C,'Ausgaben Vorlage'!$C347,Einzelbeträge!$E:$E,'Ausgaben Vorlage'!G$6)</f>
        <v>0</v>
      </c>
      <c r="H347" s="21">
        <f>SUMIFS(Einzelbeträge!$D:$D,Einzelbeträge!$C:$C,'Ausgaben Vorlage'!$C347,Einzelbeträge!$E:$E,'Ausgaben Vorlage'!H$6)</f>
        <v>0</v>
      </c>
      <c r="I347" s="21">
        <f>SUMIFS(Einzelbeträge!$D:$D,Einzelbeträge!$C:$C,'Ausgaben Vorlage'!$C347,Einzelbeträge!$E:$E,'Ausgaben Vorlage'!I$6)</f>
        <v>0</v>
      </c>
      <c r="J347" s="21">
        <f>SUMIFS(Einzelbeträge!$D:$D,Einzelbeträge!$C:$C,'Ausgaben Vorlage'!$C347,Einzelbeträge!$E:$E,'Ausgaben Vorlage'!J$6)</f>
        <v>0</v>
      </c>
      <c r="K347" s="21">
        <f>SUMIFS(Einzelbeträge!$D:$D,Einzelbeträge!$C:$C,'Ausgaben Vorlage'!$C347,Einzelbeträge!$E:$E,'Ausgaben Vorlage'!K$6)</f>
        <v>0</v>
      </c>
      <c r="L347" s="21">
        <f>SUMIFS(Einzelbeträge!$D:$D,Einzelbeträge!$C:$C,'Ausgaben Vorlage'!$C347,Einzelbeträge!$E:$E,'Ausgaben Vorlage'!L$6)</f>
        <v>0</v>
      </c>
      <c r="M347" s="21">
        <f>SUMIFS(Einzelbeträge!$D:$D,Einzelbeträge!$C:$C,'Ausgaben Vorlage'!$C347,Einzelbeträge!$E:$E,'Ausgaben Vorlage'!M$6)</f>
        <v>0</v>
      </c>
      <c r="N347" s="35">
        <f>SUMIFS(Einzelbeträge!$D:$D,Einzelbeträge!$C:$C,'Ausgaben Vorlage'!$C347,Einzelbeträge!$E:$E,'Ausgaben Vorlage'!N$6)</f>
        <v>0</v>
      </c>
      <c r="O347" s="6"/>
    </row>
    <row r="348" spans="2:15" x14ac:dyDescent="0.35">
      <c r="B348" s="5"/>
      <c r="C348" s="30">
        <f t="shared" si="26"/>
        <v>45968</v>
      </c>
      <c r="D348" s="46">
        <f>SUMIFS(Einzelbeträge!$D:$D,Einzelbeträge!$C:$C,'Ausgaben Vorlage'!$C348)</f>
        <v>0</v>
      </c>
      <c r="E348" s="21">
        <f>SUMIFS(Einzelbeträge!$D:$D,Einzelbeträge!$C:$C,'Ausgaben Vorlage'!$C348,Einzelbeträge!$E:$E,'Ausgaben Vorlage'!E$6)</f>
        <v>0</v>
      </c>
      <c r="F348" s="21">
        <f>SUMIFS(Einzelbeträge!$D:$D,Einzelbeträge!$C:$C,'Ausgaben Vorlage'!$C348,Einzelbeträge!$E:$E,'Ausgaben Vorlage'!F$6)</f>
        <v>0</v>
      </c>
      <c r="G348" s="21">
        <f>SUMIFS(Einzelbeträge!$D:$D,Einzelbeträge!$C:$C,'Ausgaben Vorlage'!$C348,Einzelbeträge!$E:$E,'Ausgaben Vorlage'!G$6)</f>
        <v>0</v>
      </c>
      <c r="H348" s="21">
        <f>SUMIFS(Einzelbeträge!$D:$D,Einzelbeträge!$C:$C,'Ausgaben Vorlage'!$C348,Einzelbeträge!$E:$E,'Ausgaben Vorlage'!H$6)</f>
        <v>0</v>
      </c>
      <c r="I348" s="21">
        <f>SUMIFS(Einzelbeträge!$D:$D,Einzelbeträge!$C:$C,'Ausgaben Vorlage'!$C348,Einzelbeträge!$E:$E,'Ausgaben Vorlage'!I$6)</f>
        <v>0</v>
      </c>
      <c r="J348" s="21">
        <f>SUMIFS(Einzelbeträge!$D:$D,Einzelbeträge!$C:$C,'Ausgaben Vorlage'!$C348,Einzelbeträge!$E:$E,'Ausgaben Vorlage'!J$6)</f>
        <v>0</v>
      </c>
      <c r="K348" s="21">
        <f>SUMIFS(Einzelbeträge!$D:$D,Einzelbeträge!$C:$C,'Ausgaben Vorlage'!$C348,Einzelbeträge!$E:$E,'Ausgaben Vorlage'!K$6)</f>
        <v>0</v>
      </c>
      <c r="L348" s="21">
        <f>SUMIFS(Einzelbeträge!$D:$D,Einzelbeträge!$C:$C,'Ausgaben Vorlage'!$C348,Einzelbeträge!$E:$E,'Ausgaben Vorlage'!L$6)</f>
        <v>0</v>
      </c>
      <c r="M348" s="21">
        <f>SUMIFS(Einzelbeträge!$D:$D,Einzelbeträge!$C:$C,'Ausgaben Vorlage'!$C348,Einzelbeträge!$E:$E,'Ausgaben Vorlage'!M$6)</f>
        <v>0</v>
      </c>
      <c r="N348" s="35">
        <f>SUMIFS(Einzelbeträge!$D:$D,Einzelbeträge!$C:$C,'Ausgaben Vorlage'!$C348,Einzelbeträge!$E:$E,'Ausgaben Vorlage'!N$6)</f>
        <v>0</v>
      </c>
      <c r="O348" s="6"/>
    </row>
    <row r="349" spans="2:15" x14ac:dyDescent="0.35">
      <c r="B349" s="5"/>
      <c r="C349" s="30">
        <f t="shared" si="26"/>
        <v>45969</v>
      </c>
      <c r="D349" s="46">
        <f>SUMIFS(Einzelbeträge!$D:$D,Einzelbeträge!$C:$C,'Ausgaben Vorlage'!$C349)</f>
        <v>0</v>
      </c>
      <c r="E349" s="21">
        <f>SUMIFS(Einzelbeträge!$D:$D,Einzelbeträge!$C:$C,'Ausgaben Vorlage'!$C349,Einzelbeträge!$E:$E,'Ausgaben Vorlage'!E$6)</f>
        <v>0</v>
      </c>
      <c r="F349" s="21">
        <f>SUMIFS(Einzelbeträge!$D:$D,Einzelbeträge!$C:$C,'Ausgaben Vorlage'!$C349,Einzelbeträge!$E:$E,'Ausgaben Vorlage'!F$6)</f>
        <v>0</v>
      </c>
      <c r="G349" s="21">
        <f>SUMIFS(Einzelbeträge!$D:$D,Einzelbeträge!$C:$C,'Ausgaben Vorlage'!$C349,Einzelbeträge!$E:$E,'Ausgaben Vorlage'!G$6)</f>
        <v>0</v>
      </c>
      <c r="H349" s="21">
        <f>SUMIFS(Einzelbeträge!$D:$D,Einzelbeträge!$C:$C,'Ausgaben Vorlage'!$C349,Einzelbeträge!$E:$E,'Ausgaben Vorlage'!H$6)</f>
        <v>0</v>
      </c>
      <c r="I349" s="21">
        <f>SUMIFS(Einzelbeträge!$D:$D,Einzelbeträge!$C:$C,'Ausgaben Vorlage'!$C349,Einzelbeträge!$E:$E,'Ausgaben Vorlage'!I$6)</f>
        <v>0</v>
      </c>
      <c r="J349" s="21">
        <f>SUMIFS(Einzelbeträge!$D:$D,Einzelbeträge!$C:$C,'Ausgaben Vorlage'!$C349,Einzelbeträge!$E:$E,'Ausgaben Vorlage'!J$6)</f>
        <v>0</v>
      </c>
      <c r="K349" s="21">
        <f>SUMIFS(Einzelbeträge!$D:$D,Einzelbeträge!$C:$C,'Ausgaben Vorlage'!$C349,Einzelbeträge!$E:$E,'Ausgaben Vorlage'!K$6)</f>
        <v>0</v>
      </c>
      <c r="L349" s="21">
        <f>SUMIFS(Einzelbeträge!$D:$D,Einzelbeträge!$C:$C,'Ausgaben Vorlage'!$C349,Einzelbeträge!$E:$E,'Ausgaben Vorlage'!L$6)</f>
        <v>0</v>
      </c>
      <c r="M349" s="21">
        <f>SUMIFS(Einzelbeträge!$D:$D,Einzelbeträge!$C:$C,'Ausgaben Vorlage'!$C349,Einzelbeträge!$E:$E,'Ausgaben Vorlage'!M$6)</f>
        <v>0</v>
      </c>
      <c r="N349" s="35">
        <f>SUMIFS(Einzelbeträge!$D:$D,Einzelbeträge!$C:$C,'Ausgaben Vorlage'!$C349,Einzelbeträge!$E:$E,'Ausgaben Vorlage'!N$6)</f>
        <v>0</v>
      </c>
      <c r="O349" s="6"/>
    </row>
    <row r="350" spans="2:15" x14ac:dyDescent="0.35">
      <c r="B350" s="5"/>
      <c r="C350" s="30">
        <f t="shared" si="26"/>
        <v>45970</v>
      </c>
      <c r="D350" s="46">
        <f>SUMIFS(Einzelbeträge!$D:$D,Einzelbeträge!$C:$C,'Ausgaben Vorlage'!$C350)</f>
        <v>0</v>
      </c>
      <c r="E350" s="21">
        <f>SUMIFS(Einzelbeträge!$D:$D,Einzelbeträge!$C:$C,'Ausgaben Vorlage'!$C350,Einzelbeträge!$E:$E,'Ausgaben Vorlage'!E$6)</f>
        <v>0</v>
      </c>
      <c r="F350" s="21">
        <f>SUMIFS(Einzelbeträge!$D:$D,Einzelbeträge!$C:$C,'Ausgaben Vorlage'!$C350,Einzelbeträge!$E:$E,'Ausgaben Vorlage'!F$6)</f>
        <v>0</v>
      </c>
      <c r="G350" s="21">
        <f>SUMIFS(Einzelbeträge!$D:$D,Einzelbeträge!$C:$C,'Ausgaben Vorlage'!$C350,Einzelbeträge!$E:$E,'Ausgaben Vorlage'!G$6)</f>
        <v>0</v>
      </c>
      <c r="H350" s="21">
        <f>SUMIFS(Einzelbeträge!$D:$D,Einzelbeträge!$C:$C,'Ausgaben Vorlage'!$C350,Einzelbeträge!$E:$E,'Ausgaben Vorlage'!H$6)</f>
        <v>0</v>
      </c>
      <c r="I350" s="21">
        <f>SUMIFS(Einzelbeträge!$D:$D,Einzelbeträge!$C:$C,'Ausgaben Vorlage'!$C350,Einzelbeträge!$E:$E,'Ausgaben Vorlage'!I$6)</f>
        <v>0</v>
      </c>
      <c r="J350" s="21">
        <f>SUMIFS(Einzelbeträge!$D:$D,Einzelbeträge!$C:$C,'Ausgaben Vorlage'!$C350,Einzelbeträge!$E:$E,'Ausgaben Vorlage'!J$6)</f>
        <v>0</v>
      </c>
      <c r="K350" s="21">
        <f>SUMIFS(Einzelbeträge!$D:$D,Einzelbeträge!$C:$C,'Ausgaben Vorlage'!$C350,Einzelbeträge!$E:$E,'Ausgaben Vorlage'!K$6)</f>
        <v>0</v>
      </c>
      <c r="L350" s="21">
        <f>SUMIFS(Einzelbeträge!$D:$D,Einzelbeträge!$C:$C,'Ausgaben Vorlage'!$C350,Einzelbeträge!$E:$E,'Ausgaben Vorlage'!L$6)</f>
        <v>0</v>
      </c>
      <c r="M350" s="21">
        <f>SUMIFS(Einzelbeträge!$D:$D,Einzelbeträge!$C:$C,'Ausgaben Vorlage'!$C350,Einzelbeträge!$E:$E,'Ausgaben Vorlage'!M$6)</f>
        <v>0</v>
      </c>
      <c r="N350" s="35">
        <f>SUMIFS(Einzelbeträge!$D:$D,Einzelbeträge!$C:$C,'Ausgaben Vorlage'!$C350,Einzelbeträge!$E:$E,'Ausgaben Vorlage'!N$6)</f>
        <v>0</v>
      </c>
      <c r="O350" s="6"/>
    </row>
    <row r="351" spans="2:15" x14ac:dyDescent="0.35">
      <c r="B351" s="5"/>
      <c r="C351" s="30">
        <f t="shared" si="26"/>
        <v>45971</v>
      </c>
      <c r="D351" s="46">
        <f>SUMIFS(Einzelbeträge!$D:$D,Einzelbeträge!$C:$C,'Ausgaben Vorlage'!$C351)</f>
        <v>0</v>
      </c>
      <c r="E351" s="21">
        <f>SUMIFS(Einzelbeträge!$D:$D,Einzelbeträge!$C:$C,'Ausgaben Vorlage'!$C351,Einzelbeträge!$E:$E,'Ausgaben Vorlage'!E$6)</f>
        <v>0</v>
      </c>
      <c r="F351" s="21">
        <f>SUMIFS(Einzelbeträge!$D:$D,Einzelbeträge!$C:$C,'Ausgaben Vorlage'!$C351,Einzelbeträge!$E:$E,'Ausgaben Vorlage'!F$6)</f>
        <v>0</v>
      </c>
      <c r="G351" s="21">
        <f>SUMIFS(Einzelbeträge!$D:$D,Einzelbeträge!$C:$C,'Ausgaben Vorlage'!$C351,Einzelbeträge!$E:$E,'Ausgaben Vorlage'!G$6)</f>
        <v>0</v>
      </c>
      <c r="H351" s="21">
        <f>SUMIFS(Einzelbeträge!$D:$D,Einzelbeträge!$C:$C,'Ausgaben Vorlage'!$C351,Einzelbeträge!$E:$E,'Ausgaben Vorlage'!H$6)</f>
        <v>0</v>
      </c>
      <c r="I351" s="21">
        <f>SUMIFS(Einzelbeträge!$D:$D,Einzelbeträge!$C:$C,'Ausgaben Vorlage'!$C351,Einzelbeträge!$E:$E,'Ausgaben Vorlage'!I$6)</f>
        <v>0</v>
      </c>
      <c r="J351" s="21">
        <f>SUMIFS(Einzelbeträge!$D:$D,Einzelbeträge!$C:$C,'Ausgaben Vorlage'!$C351,Einzelbeträge!$E:$E,'Ausgaben Vorlage'!J$6)</f>
        <v>0</v>
      </c>
      <c r="K351" s="21">
        <f>SUMIFS(Einzelbeträge!$D:$D,Einzelbeträge!$C:$C,'Ausgaben Vorlage'!$C351,Einzelbeträge!$E:$E,'Ausgaben Vorlage'!K$6)</f>
        <v>0</v>
      </c>
      <c r="L351" s="21">
        <f>SUMIFS(Einzelbeträge!$D:$D,Einzelbeträge!$C:$C,'Ausgaben Vorlage'!$C351,Einzelbeträge!$E:$E,'Ausgaben Vorlage'!L$6)</f>
        <v>0</v>
      </c>
      <c r="M351" s="21">
        <f>SUMIFS(Einzelbeträge!$D:$D,Einzelbeträge!$C:$C,'Ausgaben Vorlage'!$C351,Einzelbeträge!$E:$E,'Ausgaben Vorlage'!M$6)</f>
        <v>0</v>
      </c>
      <c r="N351" s="35">
        <f>SUMIFS(Einzelbeträge!$D:$D,Einzelbeträge!$C:$C,'Ausgaben Vorlage'!$C351,Einzelbeträge!$E:$E,'Ausgaben Vorlage'!N$6)</f>
        <v>0</v>
      </c>
      <c r="O351" s="6"/>
    </row>
    <row r="352" spans="2:15" x14ac:dyDescent="0.35">
      <c r="B352" s="5"/>
      <c r="C352" s="30">
        <f t="shared" si="26"/>
        <v>45972</v>
      </c>
      <c r="D352" s="46">
        <f>SUMIFS(Einzelbeträge!$D:$D,Einzelbeträge!$C:$C,'Ausgaben Vorlage'!$C352)</f>
        <v>0</v>
      </c>
      <c r="E352" s="21">
        <f>SUMIFS(Einzelbeträge!$D:$D,Einzelbeträge!$C:$C,'Ausgaben Vorlage'!$C352,Einzelbeträge!$E:$E,'Ausgaben Vorlage'!E$6)</f>
        <v>0</v>
      </c>
      <c r="F352" s="21">
        <f>SUMIFS(Einzelbeträge!$D:$D,Einzelbeträge!$C:$C,'Ausgaben Vorlage'!$C352,Einzelbeträge!$E:$E,'Ausgaben Vorlage'!F$6)</f>
        <v>0</v>
      </c>
      <c r="G352" s="21">
        <f>SUMIFS(Einzelbeträge!$D:$D,Einzelbeträge!$C:$C,'Ausgaben Vorlage'!$C352,Einzelbeträge!$E:$E,'Ausgaben Vorlage'!G$6)</f>
        <v>0</v>
      </c>
      <c r="H352" s="21">
        <f>SUMIFS(Einzelbeträge!$D:$D,Einzelbeträge!$C:$C,'Ausgaben Vorlage'!$C352,Einzelbeträge!$E:$E,'Ausgaben Vorlage'!H$6)</f>
        <v>0</v>
      </c>
      <c r="I352" s="21">
        <f>SUMIFS(Einzelbeträge!$D:$D,Einzelbeträge!$C:$C,'Ausgaben Vorlage'!$C352,Einzelbeträge!$E:$E,'Ausgaben Vorlage'!I$6)</f>
        <v>0</v>
      </c>
      <c r="J352" s="21">
        <f>SUMIFS(Einzelbeträge!$D:$D,Einzelbeträge!$C:$C,'Ausgaben Vorlage'!$C352,Einzelbeträge!$E:$E,'Ausgaben Vorlage'!J$6)</f>
        <v>0</v>
      </c>
      <c r="K352" s="21">
        <f>SUMIFS(Einzelbeträge!$D:$D,Einzelbeträge!$C:$C,'Ausgaben Vorlage'!$C352,Einzelbeträge!$E:$E,'Ausgaben Vorlage'!K$6)</f>
        <v>0</v>
      </c>
      <c r="L352" s="21">
        <f>SUMIFS(Einzelbeträge!$D:$D,Einzelbeträge!$C:$C,'Ausgaben Vorlage'!$C352,Einzelbeträge!$E:$E,'Ausgaben Vorlage'!L$6)</f>
        <v>0</v>
      </c>
      <c r="M352" s="21">
        <f>SUMIFS(Einzelbeträge!$D:$D,Einzelbeträge!$C:$C,'Ausgaben Vorlage'!$C352,Einzelbeträge!$E:$E,'Ausgaben Vorlage'!M$6)</f>
        <v>0</v>
      </c>
      <c r="N352" s="35">
        <f>SUMIFS(Einzelbeträge!$D:$D,Einzelbeträge!$C:$C,'Ausgaben Vorlage'!$C352,Einzelbeträge!$E:$E,'Ausgaben Vorlage'!N$6)</f>
        <v>0</v>
      </c>
      <c r="O352" s="6"/>
    </row>
    <row r="353" spans="2:15" x14ac:dyDescent="0.35">
      <c r="B353" s="5"/>
      <c r="C353" s="30">
        <f t="shared" si="26"/>
        <v>45973</v>
      </c>
      <c r="D353" s="46">
        <f>SUMIFS(Einzelbeträge!$D:$D,Einzelbeträge!$C:$C,'Ausgaben Vorlage'!$C353)</f>
        <v>0</v>
      </c>
      <c r="E353" s="21">
        <f>SUMIFS(Einzelbeträge!$D:$D,Einzelbeträge!$C:$C,'Ausgaben Vorlage'!$C353,Einzelbeträge!$E:$E,'Ausgaben Vorlage'!E$6)</f>
        <v>0</v>
      </c>
      <c r="F353" s="21">
        <f>SUMIFS(Einzelbeträge!$D:$D,Einzelbeträge!$C:$C,'Ausgaben Vorlage'!$C353,Einzelbeträge!$E:$E,'Ausgaben Vorlage'!F$6)</f>
        <v>0</v>
      </c>
      <c r="G353" s="21">
        <f>SUMIFS(Einzelbeträge!$D:$D,Einzelbeträge!$C:$C,'Ausgaben Vorlage'!$C353,Einzelbeträge!$E:$E,'Ausgaben Vorlage'!G$6)</f>
        <v>0</v>
      </c>
      <c r="H353" s="21">
        <f>SUMIFS(Einzelbeträge!$D:$D,Einzelbeträge!$C:$C,'Ausgaben Vorlage'!$C353,Einzelbeträge!$E:$E,'Ausgaben Vorlage'!H$6)</f>
        <v>0</v>
      </c>
      <c r="I353" s="21">
        <f>SUMIFS(Einzelbeträge!$D:$D,Einzelbeträge!$C:$C,'Ausgaben Vorlage'!$C353,Einzelbeträge!$E:$E,'Ausgaben Vorlage'!I$6)</f>
        <v>0</v>
      </c>
      <c r="J353" s="21">
        <f>SUMIFS(Einzelbeträge!$D:$D,Einzelbeträge!$C:$C,'Ausgaben Vorlage'!$C353,Einzelbeträge!$E:$E,'Ausgaben Vorlage'!J$6)</f>
        <v>0</v>
      </c>
      <c r="K353" s="21">
        <f>SUMIFS(Einzelbeträge!$D:$D,Einzelbeträge!$C:$C,'Ausgaben Vorlage'!$C353,Einzelbeträge!$E:$E,'Ausgaben Vorlage'!K$6)</f>
        <v>0</v>
      </c>
      <c r="L353" s="21">
        <f>SUMIFS(Einzelbeträge!$D:$D,Einzelbeträge!$C:$C,'Ausgaben Vorlage'!$C353,Einzelbeträge!$E:$E,'Ausgaben Vorlage'!L$6)</f>
        <v>0</v>
      </c>
      <c r="M353" s="21">
        <f>SUMIFS(Einzelbeträge!$D:$D,Einzelbeträge!$C:$C,'Ausgaben Vorlage'!$C353,Einzelbeträge!$E:$E,'Ausgaben Vorlage'!M$6)</f>
        <v>0</v>
      </c>
      <c r="N353" s="35">
        <f>SUMIFS(Einzelbeträge!$D:$D,Einzelbeträge!$C:$C,'Ausgaben Vorlage'!$C353,Einzelbeträge!$E:$E,'Ausgaben Vorlage'!N$6)</f>
        <v>0</v>
      </c>
      <c r="O353" s="6"/>
    </row>
    <row r="354" spans="2:15" x14ac:dyDescent="0.35">
      <c r="B354" s="5"/>
      <c r="C354" s="30">
        <f t="shared" si="26"/>
        <v>45974</v>
      </c>
      <c r="D354" s="46">
        <f>SUMIFS(Einzelbeträge!$D:$D,Einzelbeträge!$C:$C,'Ausgaben Vorlage'!$C354)</f>
        <v>0</v>
      </c>
      <c r="E354" s="21">
        <f>SUMIFS(Einzelbeträge!$D:$D,Einzelbeträge!$C:$C,'Ausgaben Vorlage'!$C354,Einzelbeträge!$E:$E,'Ausgaben Vorlage'!E$6)</f>
        <v>0</v>
      </c>
      <c r="F354" s="21">
        <f>SUMIFS(Einzelbeträge!$D:$D,Einzelbeträge!$C:$C,'Ausgaben Vorlage'!$C354,Einzelbeträge!$E:$E,'Ausgaben Vorlage'!F$6)</f>
        <v>0</v>
      </c>
      <c r="G354" s="21">
        <f>SUMIFS(Einzelbeträge!$D:$D,Einzelbeträge!$C:$C,'Ausgaben Vorlage'!$C354,Einzelbeträge!$E:$E,'Ausgaben Vorlage'!G$6)</f>
        <v>0</v>
      </c>
      <c r="H354" s="21">
        <f>SUMIFS(Einzelbeträge!$D:$D,Einzelbeträge!$C:$C,'Ausgaben Vorlage'!$C354,Einzelbeträge!$E:$E,'Ausgaben Vorlage'!H$6)</f>
        <v>0</v>
      </c>
      <c r="I354" s="21">
        <f>SUMIFS(Einzelbeträge!$D:$D,Einzelbeträge!$C:$C,'Ausgaben Vorlage'!$C354,Einzelbeträge!$E:$E,'Ausgaben Vorlage'!I$6)</f>
        <v>0</v>
      </c>
      <c r="J354" s="21">
        <f>SUMIFS(Einzelbeträge!$D:$D,Einzelbeträge!$C:$C,'Ausgaben Vorlage'!$C354,Einzelbeträge!$E:$E,'Ausgaben Vorlage'!J$6)</f>
        <v>0</v>
      </c>
      <c r="K354" s="21">
        <f>SUMIFS(Einzelbeträge!$D:$D,Einzelbeträge!$C:$C,'Ausgaben Vorlage'!$C354,Einzelbeträge!$E:$E,'Ausgaben Vorlage'!K$6)</f>
        <v>0</v>
      </c>
      <c r="L354" s="21">
        <f>SUMIFS(Einzelbeträge!$D:$D,Einzelbeträge!$C:$C,'Ausgaben Vorlage'!$C354,Einzelbeträge!$E:$E,'Ausgaben Vorlage'!L$6)</f>
        <v>0</v>
      </c>
      <c r="M354" s="21">
        <f>SUMIFS(Einzelbeträge!$D:$D,Einzelbeträge!$C:$C,'Ausgaben Vorlage'!$C354,Einzelbeträge!$E:$E,'Ausgaben Vorlage'!M$6)</f>
        <v>0</v>
      </c>
      <c r="N354" s="35">
        <f>SUMIFS(Einzelbeträge!$D:$D,Einzelbeträge!$C:$C,'Ausgaben Vorlage'!$C354,Einzelbeträge!$E:$E,'Ausgaben Vorlage'!N$6)</f>
        <v>0</v>
      </c>
      <c r="O354" s="6"/>
    </row>
    <row r="355" spans="2:15" x14ac:dyDescent="0.35">
      <c r="B355" s="5"/>
      <c r="C355" s="30">
        <f t="shared" si="26"/>
        <v>45975</v>
      </c>
      <c r="D355" s="46">
        <f>SUMIFS(Einzelbeträge!$D:$D,Einzelbeträge!$C:$C,'Ausgaben Vorlage'!$C355)</f>
        <v>0</v>
      </c>
      <c r="E355" s="21">
        <f>SUMIFS(Einzelbeträge!$D:$D,Einzelbeträge!$C:$C,'Ausgaben Vorlage'!$C355,Einzelbeträge!$E:$E,'Ausgaben Vorlage'!E$6)</f>
        <v>0</v>
      </c>
      <c r="F355" s="21">
        <f>SUMIFS(Einzelbeträge!$D:$D,Einzelbeträge!$C:$C,'Ausgaben Vorlage'!$C355,Einzelbeträge!$E:$E,'Ausgaben Vorlage'!F$6)</f>
        <v>0</v>
      </c>
      <c r="G355" s="21">
        <f>SUMIFS(Einzelbeträge!$D:$D,Einzelbeträge!$C:$C,'Ausgaben Vorlage'!$C355,Einzelbeträge!$E:$E,'Ausgaben Vorlage'!G$6)</f>
        <v>0</v>
      </c>
      <c r="H355" s="21">
        <f>SUMIFS(Einzelbeträge!$D:$D,Einzelbeträge!$C:$C,'Ausgaben Vorlage'!$C355,Einzelbeträge!$E:$E,'Ausgaben Vorlage'!H$6)</f>
        <v>0</v>
      </c>
      <c r="I355" s="21">
        <f>SUMIFS(Einzelbeträge!$D:$D,Einzelbeträge!$C:$C,'Ausgaben Vorlage'!$C355,Einzelbeträge!$E:$E,'Ausgaben Vorlage'!I$6)</f>
        <v>0</v>
      </c>
      <c r="J355" s="21">
        <f>SUMIFS(Einzelbeträge!$D:$D,Einzelbeträge!$C:$C,'Ausgaben Vorlage'!$C355,Einzelbeträge!$E:$E,'Ausgaben Vorlage'!J$6)</f>
        <v>0</v>
      </c>
      <c r="K355" s="21">
        <f>SUMIFS(Einzelbeträge!$D:$D,Einzelbeträge!$C:$C,'Ausgaben Vorlage'!$C355,Einzelbeträge!$E:$E,'Ausgaben Vorlage'!K$6)</f>
        <v>0</v>
      </c>
      <c r="L355" s="21">
        <f>SUMIFS(Einzelbeträge!$D:$D,Einzelbeträge!$C:$C,'Ausgaben Vorlage'!$C355,Einzelbeträge!$E:$E,'Ausgaben Vorlage'!L$6)</f>
        <v>0</v>
      </c>
      <c r="M355" s="21">
        <f>SUMIFS(Einzelbeträge!$D:$D,Einzelbeträge!$C:$C,'Ausgaben Vorlage'!$C355,Einzelbeträge!$E:$E,'Ausgaben Vorlage'!M$6)</f>
        <v>0</v>
      </c>
      <c r="N355" s="35">
        <f>SUMIFS(Einzelbeträge!$D:$D,Einzelbeträge!$C:$C,'Ausgaben Vorlage'!$C355,Einzelbeträge!$E:$E,'Ausgaben Vorlage'!N$6)</f>
        <v>0</v>
      </c>
      <c r="O355" s="6"/>
    </row>
    <row r="356" spans="2:15" x14ac:dyDescent="0.35">
      <c r="B356" s="5"/>
      <c r="C356" s="30">
        <f t="shared" si="26"/>
        <v>45976</v>
      </c>
      <c r="D356" s="46">
        <f>SUMIFS(Einzelbeträge!$D:$D,Einzelbeträge!$C:$C,'Ausgaben Vorlage'!$C356)</f>
        <v>0</v>
      </c>
      <c r="E356" s="21">
        <f>SUMIFS(Einzelbeträge!$D:$D,Einzelbeträge!$C:$C,'Ausgaben Vorlage'!$C356,Einzelbeträge!$E:$E,'Ausgaben Vorlage'!E$6)</f>
        <v>0</v>
      </c>
      <c r="F356" s="21">
        <f>SUMIFS(Einzelbeträge!$D:$D,Einzelbeträge!$C:$C,'Ausgaben Vorlage'!$C356,Einzelbeträge!$E:$E,'Ausgaben Vorlage'!F$6)</f>
        <v>0</v>
      </c>
      <c r="G356" s="21">
        <f>SUMIFS(Einzelbeträge!$D:$D,Einzelbeträge!$C:$C,'Ausgaben Vorlage'!$C356,Einzelbeträge!$E:$E,'Ausgaben Vorlage'!G$6)</f>
        <v>0</v>
      </c>
      <c r="H356" s="21">
        <f>SUMIFS(Einzelbeträge!$D:$D,Einzelbeträge!$C:$C,'Ausgaben Vorlage'!$C356,Einzelbeträge!$E:$E,'Ausgaben Vorlage'!H$6)</f>
        <v>0</v>
      </c>
      <c r="I356" s="21">
        <f>SUMIFS(Einzelbeträge!$D:$D,Einzelbeträge!$C:$C,'Ausgaben Vorlage'!$C356,Einzelbeträge!$E:$E,'Ausgaben Vorlage'!I$6)</f>
        <v>0</v>
      </c>
      <c r="J356" s="21">
        <f>SUMIFS(Einzelbeträge!$D:$D,Einzelbeträge!$C:$C,'Ausgaben Vorlage'!$C356,Einzelbeträge!$E:$E,'Ausgaben Vorlage'!J$6)</f>
        <v>0</v>
      </c>
      <c r="K356" s="21">
        <f>SUMIFS(Einzelbeträge!$D:$D,Einzelbeträge!$C:$C,'Ausgaben Vorlage'!$C356,Einzelbeträge!$E:$E,'Ausgaben Vorlage'!K$6)</f>
        <v>0</v>
      </c>
      <c r="L356" s="21">
        <f>SUMIFS(Einzelbeträge!$D:$D,Einzelbeträge!$C:$C,'Ausgaben Vorlage'!$C356,Einzelbeträge!$E:$E,'Ausgaben Vorlage'!L$6)</f>
        <v>0</v>
      </c>
      <c r="M356" s="21">
        <f>SUMIFS(Einzelbeträge!$D:$D,Einzelbeträge!$C:$C,'Ausgaben Vorlage'!$C356,Einzelbeträge!$E:$E,'Ausgaben Vorlage'!M$6)</f>
        <v>0</v>
      </c>
      <c r="N356" s="35">
        <f>SUMIFS(Einzelbeträge!$D:$D,Einzelbeträge!$C:$C,'Ausgaben Vorlage'!$C356,Einzelbeträge!$E:$E,'Ausgaben Vorlage'!N$6)</f>
        <v>0</v>
      </c>
      <c r="O356" s="6"/>
    </row>
    <row r="357" spans="2:15" x14ac:dyDescent="0.35">
      <c r="B357" s="5"/>
      <c r="C357" s="30">
        <f t="shared" si="26"/>
        <v>45977</v>
      </c>
      <c r="D357" s="46">
        <f>SUMIFS(Einzelbeträge!$D:$D,Einzelbeträge!$C:$C,'Ausgaben Vorlage'!$C357)</f>
        <v>0</v>
      </c>
      <c r="E357" s="21">
        <f>SUMIFS(Einzelbeträge!$D:$D,Einzelbeträge!$C:$C,'Ausgaben Vorlage'!$C357,Einzelbeträge!$E:$E,'Ausgaben Vorlage'!E$6)</f>
        <v>0</v>
      </c>
      <c r="F357" s="21">
        <f>SUMIFS(Einzelbeträge!$D:$D,Einzelbeträge!$C:$C,'Ausgaben Vorlage'!$C357,Einzelbeträge!$E:$E,'Ausgaben Vorlage'!F$6)</f>
        <v>0</v>
      </c>
      <c r="G357" s="21">
        <f>SUMIFS(Einzelbeträge!$D:$D,Einzelbeträge!$C:$C,'Ausgaben Vorlage'!$C357,Einzelbeträge!$E:$E,'Ausgaben Vorlage'!G$6)</f>
        <v>0</v>
      </c>
      <c r="H357" s="21">
        <f>SUMIFS(Einzelbeträge!$D:$D,Einzelbeträge!$C:$C,'Ausgaben Vorlage'!$C357,Einzelbeträge!$E:$E,'Ausgaben Vorlage'!H$6)</f>
        <v>0</v>
      </c>
      <c r="I357" s="21">
        <f>SUMIFS(Einzelbeträge!$D:$D,Einzelbeträge!$C:$C,'Ausgaben Vorlage'!$C357,Einzelbeträge!$E:$E,'Ausgaben Vorlage'!I$6)</f>
        <v>0</v>
      </c>
      <c r="J357" s="21">
        <f>SUMIFS(Einzelbeträge!$D:$D,Einzelbeträge!$C:$C,'Ausgaben Vorlage'!$C357,Einzelbeträge!$E:$E,'Ausgaben Vorlage'!J$6)</f>
        <v>0</v>
      </c>
      <c r="K357" s="21">
        <f>SUMIFS(Einzelbeträge!$D:$D,Einzelbeträge!$C:$C,'Ausgaben Vorlage'!$C357,Einzelbeträge!$E:$E,'Ausgaben Vorlage'!K$6)</f>
        <v>0</v>
      </c>
      <c r="L357" s="21">
        <f>SUMIFS(Einzelbeträge!$D:$D,Einzelbeträge!$C:$C,'Ausgaben Vorlage'!$C357,Einzelbeträge!$E:$E,'Ausgaben Vorlage'!L$6)</f>
        <v>0</v>
      </c>
      <c r="M357" s="21">
        <f>SUMIFS(Einzelbeträge!$D:$D,Einzelbeträge!$C:$C,'Ausgaben Vorlage'!$C357,Einzelbeträge!$E:$E,'Ausgaben Vorlage'!M$6)</f>
        <v>0</v>
      </c>
      <c r="N357" s="35">
        <f>SUMIFS(Einzelbeträge!$D:$D,Einzelbeträge!$C:$C,'Ausgaben Vorlage'!$C357,Einzelbeträge!$E:$E,'Ausgaben Vorlage'!N$6)</f>
        <v>0</v>
      </c>
      <c r="O357" s="6"/>
    </row>
    <row r="358" spans="2:15" x14ac:dyDescent="0.35">
      <c r="B358" s="5"/>
      <c r="C358" s="30">
        <f t="shared" si="26"/>
        <v>45978</v>
      </c>
      <c r="D358" s="46">
        <f>SUMIFS(Einzelbeträge!$D:$D,Einzelbeträge!$C:$C,'Ausgaben Vorlage'!$C358)</f>
        <v>0</v>
      </c>
      <c r="E358" s="21">
        <f>SUMIFS(Einzelbeträge!$D:$D,Einzelbeträge!$C:$C,'Ausgaben Vorlage'!$C358,Einzelbeträge!$E:$E,'Ausgaben Vorlage'!E$6)</f>
        <v>0</v>
      </c>
      <c r="F358" s="21">
        <f>SUMIFS(Einzelbeträge!$D:$D,Einzelbeträge!$C:$C,'Ausgaben Vorlage'!$C358,Einzelbeträge!$E:$E,'Ausgaben Vorlage'!F$6)</f>
        <v>0</v>
      </c>
      <c r="G358" s="21">
        <f>SUMIFS(Einzelbeträge!$D:$D,Einzelbeträge!$C:$C,'Ausgaben Vorlage'!$C358,Einzelbeträge!$E:$E,'Ausgaben Vorlage'!G$6)</f>
        <v>0</v>
      </c>
      <c r="H358" s="21">
        <f>SUMIFS(Einzelbeträge!$D:$D,Einzelbeträge!$C:$C,'Ausgaben Vorlage'!$C358,Einzelbeträge!$E:$E,'Ausgaben Vorlage'!H$6)</f>
        <v>0</v>
      </c>
      <c r="I358" s="21">
        <f>SUMIFS(Einzelbeträge!$D:$D,Einzelbeträge!$C:$C,'Ausgaben Vorlage'!$C358,Einzelbeträge!$E:$E,'Ausgaben Vorlage'!I$6)</f>
        <v>0</v>
      </c>
      <c r="J358" s="21">
        <f>SUMIFS(Einzelbeträge!$D:$D,Einzelbeträge!$C:$C,'Ausgaben Vorlage'!$C358,Einzelbeträge!$E:$E,'Ausgaben Vorlage'!J$6)</f>
        <v>0</v>
      </c>
      <c r="K358" s="21">
        <f>SUMIFS(Einzelbeträge!$D:$D,Einzelbeträge!$C:$C,'Ausgaben Vorlage'!$C358,Einzelbeträge!$E:$E,'Ausgaben Vorlage'!K$6)</f>
        <v>0</v>
      </c>
      <c r="L358" s="21">
        <f>SUMIFS(Einzelbeträge!$D:$D,Einzelbeträge!$C:$C,'Ausgaben Vorlage'!$C358,Einzelbeträge!$E:$E,'Ausgaben Vorlage'!L$6)</f>
        <v>0</v>
      </c>
      <c r="M358" s="21">
        <f>SUMIFS(Einzelbeträge!$D:$D,Einzelbeträge!$C:$C,'Ausgaben Vorlage'!$C358,Einzelbeträge!$E:$E,'Ausgaben Vorlage'!M$6)</f>
        <v>0</v>
      </c>
      <c r="N358" s="35">
        <f>SUMIFS(Einzelbeträge!$D:$D,Einzelbeträge!$C:$C,'Ausgaben Vorlage'!$C358,Einzelbeträge!$E:$E,'Ausgaben Vorlage'!N$6)</f>
        <v>0</v>
      </c>
      <c r="O358" s="6"/>
    </row>
    <row r="359" spans="2:15" x14ac:dyDescent="0.35">
      <c r="B359" s="5"/>
      <c r="C359" s="30">
        <f t="shared" si="26"/>
        <v>45979</v>
      </c>
      <c r="D359" s="46">
        <f>SUMIFS(Einzelbeträge!$D:$D,Einzelbeträge!$C:$C,'Ausgaben Vorlage'!$C359)</f>
        <v>0</v>
      </c>
      <c r="E359" s="21">
        <f>SUMIFS(Einzelbeträge!$D:$D,Einzelbeträge!$C:$C,'Ausgaben Vorlage'!$C359,Einzelbeträge!$E:$E,'Ausgaben Vorlage'!E$6)</f>
        <v>0</v>
      </c>
      <c r="F359" s="21">
        <f>SUMIFS(Einzelbeträge!$D:$D,Einzelbeträge!$C:$C,'Ausgaben Vorlage'!$C359,Einzelbeträge!$E:$E,'Ausgaben Vorlage'!F$6)</f>
        <v>0</v>
      </c>
      <c r="G359" s="21">
        <f>SUMIFS(Einzelbeträge!$D:$D,Einzelbeträge!$C:$C,'Ausgaben Vorlage'!$C359,Einzelbeträge!$E:$E,'Ausgaben Vorlage'!G$6)</f>
        <v>0</v>
      </c>
      <c r="H359" s="21">
        <f>SUMIFS(Einzelbeträge!$D:$D,Einzelbeträge!$C:$C,'Ausgaben Vorlage'!$C359,Einzelbeträge!$E:$E,'Ausgaben Vorlage'!H$6)</f>
        <v>0</v>
      </c>
      <c r="I359" s="21">
        <f>SUMIFS(Einzelbeträge!$D:$D,Einzelbeträge!$C:$C,'Ausgaben Vorlage'!$C359,Einzelbeträge!$E:$E,'Ausgaben Vorlage'!I$6)</f>
        <v>0</v>
      </c>
      <c r="J359" s="21">
        <f>SUMIFS(Einzelbeträge!$D:$D,Einzelbeträge!$C:$C,'Ausgaben Vorlage'!$C359,Einzelbeträge!$E:$E,'Ausgaben Vorlage'!J$6)</f>
        <v>0</v>
      </c>
      <c r="K359" s="21">
        <f>SUMIFS(Einzelbeträge!$D:$D,Einzelbeträge!$C:$C,'Ausgaben Vorlage'!$C359,Einzelbeträge!$E:$E,'Ausgaben Vorlage'!K$6)</f>
        <v>0</v>
      </c>
      <c r="L359" s="21">
        <f>SUMIFS(Einzelbeträge!$D:$D,Einzelbeträge!$C:$C,'Ausgaben Vorlage'!$C359,Einzelbeträge!$E:$E,'Ausgaben Vorlage'!L$6)</f>
        <v>0</v>
      </c>
      <c r="M359" s="21">
        <f>SUMIFS(Einzelbeträge!$D:$D,Einzelbeträge!$C:$C,'Ausgaben Vorlage'!$C359,Einzelbeträge!$E:$E,'Ausgaben Vorlage'!M$6)</f>
        <v>0</v>
      </c>
      <c r="N359" s="35">
        <f>SUMIFS(Einzelbeträge!$D:$D,Einzelbeträge!$C:$C,'Ausgaben Vorlage'!$C359,Einzelbeträge!$E:$E,'Ausgaben Vorlage'!N$6)</f>
        <v>0</v>
      </c>
      <c r="O359" s="6"/>
    </row>
    <row r="360" spans="2:15" x14ac:dyDescent="0.35">
      <c r="B360" s="5"/>
      <c r="C360" s="30">
        <f t="shared" si="26"/>
        <v>45980</v>
      </c>
      <c r="D360" s="46">
        <f>SUMIFS(Einzelbeträge!$D:$D,Einzelbeträge!$C:$C,'Ausgaben Vorlage'!$C360)</f>
        <v>0</v>
      </c>
      <c r="E360" s="21">
        <f>SUMIFS(Einzelbeträge!$D:$D,Einzelbeträge!$C:$C,'Ausgaben Vorlage'!$C360,Einzelbeträge!$E:$E,'Ausgaben Vorlage'!E$6)</f>
        <v>0</v>
      </c>
      <c r="F360" s="21">
        <f>SUMIFS(Einzelbeträge!$D:$D,Einzelbeträge!$C:$C,'Ausgaben Vorlage'!$C360,Einzelbeträge!$E:$E,'Ausgaben Vorlage'!F$6)</f>
        <v>0</v>
      </c>
      <c r="G360" s="21">
        <f>SUMIFS(Einzelbeträge!$D:$D,Einzelbeträge!$C:$C,'Ausgaben Vorlage'!$C360,Einzelbeträge!$E:$E,'Ausgaben Vorlage'!G$6)</f>
        <v>0</v>
      </c>
      <c r="H360" s="21">
        <f>SUMIFS(Einzelbeträge!$D:$D,Einzelbeträge!$C:$C,'Ausgaben Vorlage'!$C360,Einzelbeträge!$E:$E,'Ausgaben Vorlage'!H$6)</f>
        <v>0</v>
      </c>
      <c r="I360" s="21">
        <f>SUMIFS(Einzelbeträge!$D:$D,Einzelbeträge!$C:$C,'Ausgaben Vorlage'!$C360,Einzelbeträge!$E:$E,'Ausgaben Vorlage'!I$6)</f>
        <v>0</v>
      </c>
      <c r="J360" s="21">
        <f>SUMIFS(Einzelbeträge!$D:$D,Einzelbeträge!$C:$C,'Ausgaben Vorlage'!$C360,Einzelbeträge!$E:$E,'Ausgaben Vorlage'!J$6)</f>
        <v>0</v>
      </c>
      <c r="K360" s="21">
        <f>SUMIFS(Einzelbeträge!$D:$D,Einzelbeträge!$C:$C,'Ausgaben Vorlage'!$C360,Einzelbeträge!$E:$E,'Ausgaben Vorlage'!K$6)</f>
        <v>0</v>
      </c>
      <c r="L360" s="21">
        <f>SUMIFS(Einzelbeträge!$D:$D,Einzelbeträge!$C:$C,'Ausgaben Vorlage'!$C360,Einzelbeträge!$E:$E,'Ausgaben Vorlage'!L$6)</f>
        <v>0</v>
      </c>
      <c r="M360" s="21">
        <f>SUMIFS(Einzelbeträge!$D:$D,Einzelbeträge!$C:$C,'Ausgaben Vorlage'!$C360,Einzelbeträge!$E:$E,'Ausgaben Vorlage'!M$6)</f>
        <v>0</v>
      </c>
      <c r="N360" s="35">
        <f>SUMIFS(Einzelbeträge!$D:$D,Einzelbeträge!$C:$C,'Ausgaben Vorlage'!$C360,Einzelbeträge!$E:$E,'Ausgaben Vorlage'!N$6)</f>
        <v>0</v>
      </c>
      <c r="O360" s="6"/>
    </row>
    <row r="361" spans="2:15" x14ac:dyDescent="0.35">
      <c r="B361" s="5"/>
      <c r="C361" s="30">
        <f t="shared" si="26"/>
        <v>45981</v>
      </c>
      <c r="D361" s="46">
        <f>SUMIFS(Einzelbeträge!$D:$D,Einzelbeträge!$C:$C,'Ausgaben Vorlage'!$C361)</f>
        <v>0</v>
      </c>
      <c r="E361" s="21">
        <f>SUMIFS(Einzelbeträge!$D:$D,Einzelbeträge!$C:$C,'Ausgaben Vorlage'!$C361,Einzelbeträge!$E:$E,'Ausgaben Vorlage'!E$6)</f>
        <v>0</v>
      </c>
      <c r="F361" s="21">
        <f>SUMIFS(Einzelbeträge!$D:$D,Einzelbeträge!$C:$C,'Ausgaben Vorlage'!$C361,Einzelbeträge!$E:$E,'Ausgaben Vorlage'!F$6)</f>
        <v>0</v>
      </c>
      <c r="G361" s="21">
        <f>SUMIFS(Einzelbeträge!$D:$D,Einzelbeträge!$C:$C,'Ausgaben Vorlage'!$C361,Einzelbeträge!$E:$E,'Ausgaben Vorlage'!G$6)</f>
        <v>0</v>
      </c>
      <c r="H361" s="21">
        <f>SUMIFS(Einzelbeträge!$D:$D,Einzelbeträge!$C:$C,'Ausgaben Vorlage'!$C361,Einzelbeträge!$E:$E,'Ausgaben Vorlage'!H$6)</f>
        <v>0</v>
      </c>
      <c r="I361" s="21">
        <f>SUMIFS(Einzelbeträge!$D:$D,Einzelbeträge!$C:$C,'Ausgaben Vorlage'!$C361,Einzelbeträge!$E:$E,'Ausgaben Vorlage'!I$6)</f>
        <v>0</v>
      </c>
      <c r="J361" s="21">
        <f>SUMIFS(Einzelbeträge!$D:$D,Einzelbeträge!$C:$C,'Ausgaben Vorlage'!$C361,Einzelbeträge!$E:$E,'Ausgaben Vorlage'!J$6)</f>
        <v>0</v>
      </c>
      <c r="K361" s="21">
        <f>SUMIFS(Einzelbeträge!$D:$D,Einzelbeträge!$C:$C,'Ausgaben Vorlage'!$C361,Einzelbeträge!$E:$E,'Ausgaben Vorlage'!K$6)</f>
        <v>0</v>
      </c>
      <c r="L361" s="21">
        <f>SUMIFS(Einzelbeträge!$D:$D,Einzelbeträge!$C:$C,'Ausgaben Vorlage'!$C361,Einzelbeträge!$E:$E,'Ausgaben Vorlage'!L$6)</f>
        <v>0</v>
      </c>
      <c r="M361" s="21">
        <f>SUMIFS(Einzelbeträge!$D:$D,Einzelbeträge!$C:$C,'Ausgaben Vorlage'!$C361,Einzelbeträge!$E:$E,'Ausgaben Vorlage'!M$6)</f>
        <v>0</v>
      </c>
      <c r="N361" s="35">
        <f>SUMIFS(Einzelbeträge!$D:$D,Einzelbeträge!$C:$C,'Ausgaben Vorlage'!$C361,Einzelbeträge!$E:$E,'Ausgaben Vorlage'!N$6)</f>
        <v>0</v>
      </c>
      <c r="O361" s="6"/>
    </row>
    <row r="362" spans="2:15" x14ac:dyDescent="0.35">
      <c r="B362" s="5"/>
      <c r="C362" s="30">
        <f t="shared" si="26"/>
        <v>45982</v>
      </c>
      <c r="D362" s="46">
        <f>SUMIFS(Einzelbeträge!$D:$D,Einzelbeträge!$C:$C,'Ausgaben Vorlage'!$C362)</f>
        <v>0</v>
      </c>
      <c r="E362" s="21">
        <f>SUMIFS(Einzelbeträge!$D:$D,Einzelbeträge!$C:$C,'Ausgaben Vorlage'!$C362,Einzelbeträge!$E:$E,'Ausgaben Vorlage'!E$6)</f>
        <v>0</v>
      </c>
      <c r="F362" s="21">
        <f>SUMIFS(Einzelbeträge!$D:$D,Einzelbeträge!$C:$C,'Ausgaben Vorlage'!$C362,Einzelbeträge!$E:$E,'Ausgaben Vorlage'!F$6)</f>
        <v>0</v>
      </c>
      <c r="G362" s="21">
        <f>SUMIFS(Einzelbeträge!$D:$D,Einzelbeträge!$C:$C,'Ausgaben Vorlage'!$C362,Einzelbeträge!$E:$E,'Ausgaben Vorlage'!G$6)</f>
        <v>0</v>
      </c>
      <c r="H362" s="21">
        <f>SUMIFS(Einzelbeträge!$D:$D,Einzelbeträge!$C:$C,'Ausgaben Vorlage'!$C362,Einzelbeträge!$E:$E,'Ausgaben Vorlage'!H$6)</f>
        <v>0</v>
      </c>
      <c r="I362" s="21">
        <f>SUMIFS(Einzelbeträge!$D:$D,Einzelbeträge!$C:$C,'Ausgaben Vorlage'!$C362,Einzelbeträge!$E:$E,'Ausgaben Vorlage'!I$6)</f>
        <v>0</v>
      </c>
      <c r="J362" s="21">
        <f>SUMIFS(Einzelbeträge!$D:$D,Einzelbeträge!$C:$C,'Ausgaben Vorlage'!$C362,Einzelbeträge!$E:$E,'Ausgaben Vorlage'!J$6)</f>
        <v>0</v>
      </c>
      <c r="K362" s="21">
        <f>SUMIFS(Einzelbeträge!$D:$D,Einzelbeträge!$C:$C,'Ausgaben Vorlage'!$C362,Einzelbeträge!$E:$E,'Ausgaben Vorlage'!K$6)</f>
        <v>0</v>
      </c>
      <c r="L362" s="21">
        <f>SUMIFS(Einzelbeträge!$D:$D,Einzelbeträge!$C:$C,'Ausgaben Vorlage'!$C362,Einzelbeträge!$E:$E,'Ausgaben Vorlage'!L$6)</f>
        <v>0</v>
      </c>
      <c r="M362" s="21">
        <f>SUMIFS(Einzelbeträge!$D:$D,Einzelbeträge!$C:$C,'Ausgaben Vorlage'!$C362,Einzelbeträge!$E:$E,'Ausgaben Vorlage'!M$6)</f>
        <v>0</v>
      </c>
      <c r="N362" s="35">
        <f>SUMIFS(Einzelbeträge!$D:$D,Einzelbeträge!$C:$C,'Ausgaben Vorlage'!$C362,Einzelbeträge!$E:$E,'Ausgaben Vorlage'!N$6)</f>
        <v>0</v>
      </c>
      <c r="O362" s="6"/>
    </row>
    <row r="363" spans="2:15" x14ac:dyDescent="0.35">
      <c r="B363" s="5"/>
      <c r="C363" s="30">
        <f t="shared" si="26"/>
        <v>45983</v>
      </c>
      <c r="D363" s="46">
        <f>SUMIFS(Einzelbeträge!$D:$D,Einzelbeträge!$C:$C,'Ausgaben Vorlage'!$C363)</f>
        <v>0</v>
      </c>
      <c r="E363" s="21">
        <f>SUMIFS(Einzelbeträge!$D:$D,Einzelbeträge!$C:$C,'Ausgaben Vorlage'!$C363,Einzelbeträge!$E:$E,'Ausgaben Vorlage'!E$6)</f>
        <v>0</v>
      </c>
      <c r="F363" s="21">
        <f>SUMIFS(Einzelbeträge!$D:$D,Einzelbeträge!$C:$C,'Ausgaben Vorlage'!$C363,Einzelbeträge!$E:$E,'Ausgaben Vorlage'!F$6)</f>
        <v>0</v>
      </c>
      <c r="G363" s="21">
        <f>SUMIFS(Einzelbeträge!$D:$D,Einzelbeträge!$C:$C,'Ausgaben Vorlage'!$C363,Einzelbeträge!$E:$E,'Ausgaben Vorlage'!G$6)</f>
        <v>0</v>
      </c>
      <c r="H363" s="21">
        <f>SUMIFS(Einzelbeträge!$D:$D,Einzelbeträge!$C:$C,'Ausgaben Vorlage'!$C363,Einzelbeträge!$E:$E,'Ausgaben Vorlage'!H$6)</f>
        <v>0</v>
      </c>
      <c r="I363" s="21">
        <f>SUMIFS(Einzelbeträge!$D:$D,Einzelbeträge!$C:$C,'Ausgaben Vorlage'!$C363,Einzelbeträge!$E:$E,'Ausgaben Vorlage'!I$6)</f>
        <v>0</v>
      </c>
      <c r="J363" s="21">
        <f>SUMIFS(Einzelbeträge!$D:$D,Einzelbeträge!$C:$C,'Ausgaben Vorlage'!$C363,Einzelbeträge!$E:$E,'Ausgaben Vorlage'!J$6)</f>
        <v>0</v>
      </c>
      <c r="K363" s="21">
        <f>SUMIFS(Einzelbeträge!$D:$D,Einzelbeträge!$C:$C,'Ausgaben Vorlage'!$C363,Einzelbeträge!$E:$E,'Ausgaben Vorlage'!K$6)</f>
        <v>0</v>
      </c>
      <c r="L363" s="21">
        <f>SUMIFS(Einzelbeträge!$D:$D,Einzelbeträge!$C:$C,'Ausgaben Vorlage'!$C363,Einzelbeträge!$E:$E,'Ausgaben Vorlage'!L$6)</f>
        <v>0</v>
      </c>
      <c r="M363" s="21">
        <f>SUMIFS(Einzelbeträge!$D:$D,Einzelbeträge!$C:$C,'Ausgaben Vorlage'!$C363,Einzelbeträge!$E:$E,'Ausgaben Vorlage'!M$6)</f>
        <v>0</v>
      </c>
      <c r="N363" s="35">
        <f>SUMIFS(Einzelbeträge!$D:$D,Einzelbeträge!$C:$C,'Ausgaben Vorlage'!$C363,Einzelbeträge!$E:$E,'Ausgaben Vorlage'!N$6)</f>
        <v>0</v>
      </c>
      <c r="O363" s="6"/>
    </row>
    <row r="364" spans="2:15" x14ac:dyDescent="0.35">
      <c r="B364" s="5"/>
      <c r="C364" s="30">
        <f t="shared" si="26"/>
        <v>45984</v>
      </c>
      <c r="D364" s="46">
        <f>SUMIFS(Einzelbeträge!$D:$D,Einzelbeträge!$C:$C,'Ausgaben Vorlage'!$C364)</f>
        <v>0</v>
      </c>
      <c r="E364" s="21">
        <f>SUMIFS(Einzelbeträge!$D:$D,Einzelbeträge!$C:$C,'Ausgaben Vorlage'!$C364,Einzelbeträge!$E:$E,'Ausgaben Vorlage'!E$6)</f>
        <v>0</v>
      </c>
      <c r="F364" s="21">
        <f>SUMIFS(Einzelbeträge!$D:$D,Einzelbeträge!$C:$C,'Ausgaben Vorlage'!$C364,Einzelbeträge!$E:$E,'Ausgaben Vorlage'!F$6)</f>
        <v>0</v>
      </c>
      <c r="G364" s="21">
        <f>SUMIFS(Einzelbeträge!$D:$D,Einzelbeträge!$C:$C,'Ausgaben Vorlage'!$C364,Einzelbeträge!$E:$E,'Ausgaben Vorlage'!G$6)</f>
        <v>0</v>
      </c>
      <c r="H364" s="21">
        <f>SUMIFS(Einzelbeträge!$D:$D,Einzelbeträge!$C:$C,'Ausgaben Vorlage'!$C364,Einzelbeträge!$E:$E,'Ausgaben Vorlage'!H$6)</f>
        <v>0</v>
      </c>
      <c r="I364" s="21">
        <f>SUMIFS(Einzelbeträge!$D:$D,Einzelbeträge!$C:$C,'Ausgaben Vorlage'!$C364,Einzelbeträge!$E:$E,'Ausgaben Vorlage'!I$6)</f>
        <v>0</v>
      </c>
      <c r="J364" s="21">
        <f>SUMIFS(Einzelbeträge!$D:$D,Einzelbeträge!$C:$C,'Ausgaben Vorlage'!$C364,Einzelbeträge!$E:$E,'Ausgaben Vorlage'!J$6)</f>
        <v>0</v>
      </c>
      <c r="K364" s="21">
        <f>SUMIFS(Einzelbeträge!$D:$D,Einzelbeträge!$C:$C,'Ausgaben Vorlage'!$C364,Einzelbeträge!$E:$E,'Ausgaben Vorlage'!K$6)</f>
        <v>0</v>
      </c>
      <c r="L364" s="21">
        <f>SUMIFS(Einzelbeträge!$D:$D,Einzelbeträge!$C:$C,'Ausgaben Vorlage'!$C364,Einzelbeträge!$E:$E,'Ausgaben Vorlage'!L$6)</f>
        <v>0</v>
      </c>
      <c r="M364" s="21">
        <f>SUMIFS(Einzelbeträge!$D:$D,Einzelbeträge!$C:$C,'Ausgaben Vorlage'!$C364,Einzelbeträge!$E:$E,'Ausgaben Vorlage'!M$6)</f>
        <v>0</v>
      </c>
      <c r="N364" s="35">
        <f>SUMIFS(Einzelbeträge!$D:$D,Einzelbeträge!$C:$C,'Ausgaben Vorlage'!$C364,Einzelbeträge!$E:$E,'Ausgaben Vorlage'!N$6)</f>
        <v>0</v>
      </c>
      <c r="O364" s="6"/>
    </row>
    <row r="365" spans="2:15" x14ac:dyDescent="0.35">
      <c r="B365" s="5"/>
      <c r="C365" s="30">
        <f t="shared" si="26"/>
        <v>45985</v>
      </c>
      <c r="D365" s="46">
        <f>SUMIFS(Einzelbeträge!$D:$D,Einzelbeträge!$C:$C,'Ausgaben Vorlage'!$C365)</f>
        <v>0</v>
      </c>
      <c r="E365" s="21">
        <f>SUMIFS(Einzelbeträge!$D:$D,Einzelbeträge!$C:$C,'Ausgaben Vorlage'!$C365,Einzelbeträge!$E:$E,'Ausgaben Vorlage'!E$6)</f>
        <v>0</v>
      </c>
      <c r="F365" s="21">
        <f>SUMIFS(Einzelbeträge!$D:$D,Einzelbeträge!$C:$C,'Ausgaben Vorlage'!$C365,Einzelbeträge!$E:$E,'Ausgaben Vorlage'!F$6)</f>
        <v>0</v>
      </c>
      <c r="G365" s="21">
        <f>SUMIFS(Einzelbeträge!$D:$D,Einzelbeträge!$C:$C,'Ausgaben Vorlage'!$C365,Einzelbeträge!$E:$E,'Ausgaben Vorlage'!G$6)</f>
        <v>0</v>
      </c>
      <c r="H365" s="21">
        <f>SUMIFS(Einzelbeträge!$D:$D,Einzelbeträge!$C:$C,'Ausgaben Vorlage'!$C365,Einzelbeträge!$E:$E,'Ausgaben Vorlage'!H$6)</f>
        <v>0</v>
      </c>
      <c r="I365" s="21">
        <f>SUMIFS(Einzelbeträge!$D:$D,Einzelbeträge!$C:$C,'Ausgaben Vorlage'!$C365,Einzelbeträge!$E:$E,'Ausgaben Vorlage'!I$6)</f>
        <v>0</v>
      </c>
      <c r="J365" s="21">
        <f>SUMIFS(Einzelbeträge!$D:$D,Einzelbeträge!$C:$C,'Ausgaben Vorlage'!$C365,Einzelbeträge!$E:$E,'Ausgaben Vorlage'!J$6)</f>
        <v>0</v>
      </c>
      <c r="K365" s="21">
        <f>SUMIFS(Einzelbeträge!$D:$D,Einzelbeträge!$C:$C,'Ausgaben Vorlage'!$C365,Einzelbeträge!$E:$E,'Ausgaben Vorlage'!K$6)</f>
        <v>0</v>
      </c>
      <c r="L365" s="21">
        <f>SUMIFS(Einzelbeträge!$D:$D,Einzelbeträge!$C:$C,'Ausgaben Vorlage'!$C365,Einzelbeträge!$E:$E,'Ausgaben Vorlage'!L$6)</f>
        <v>0</v>
      </c>
      <c r="M365" s="21">
        <f>SUMIFS(Einzelbeträge!$D:$D,Einzelbeträge!$C:$C,'Ausgaben Vorlage'!$C365,Einzelbeträge!$E:$E,'Ausgaben Vorlage'!M$6)</f>
        <v>0</v>
      </c>
      <c r="N365" s="35">
        <f>SUMIFS(Einzelbeträge!$D:$D,Einzelbeträge!$C:$C,'Ausgaben Vorlage'!$C365,Einzelbeträge!$E:$E,'Ausgaben Vorlage'!N$6)</f>
        <v>0</v>
      </c>
      <c r="O365" s="6"/>
    </row>
    <row r="366" spans="2:15" x14ac:dyDescent="0.35">
      <c r="B366" s="5"/>
      <c r="C366" s="30">
        <f t="shared" si="26"/>
        <v>45986</v>
      </c>
      <c r="D366" s="46">
        <f>SUMIFS(Einzelbeträge!$D:$D,Einzelbeträge!$C:$C,'Ausgaben Vorlage'!$C366)</f>
        <v>0</v>
      </c>
      <c r="E366" s="21">
        <f>SUMIFS(Einzelbeträge!$D:$D,Einzelbeträge!$C:$C,'Ausgaben Vorlage'!$C366,Einzelbeträge!$E:$E,'Ausgaben Vorlage'!E$6)</f>
        <v>0</v>
      </c>
      <c r="F366" s="21">
        <f>SUMIFS(Einzelbeträge!$D:$D,Einzelbeträge!$C:$C,'Ausgaben Vorlage'!$C366,Einzelbeträge!$E:$E,'Ausgaben Vorlage'!F$6)</f>
        <v>0</v>
      </c>
      <c r="G366" s="21">
        <f>SUMIFS(Einzelbeträge!$D:$D,Einzelbeträge!$C:$C,'Ausgaben Vorlage'!$C366,Einzelbeträge!$E:$E,'Ausgaben Vorlage'!G$6)</f>
        <v>0</v>
      </c>
      <c r="H366" s="21">
        <f>SUMIFS(Einzelbeträge!$D:$D,Einzelbeträge!$C:$C,'Ausgaben Vorlage'!$C366,Einzelbeträge!$E:$E,'Ausgaben Vorlage'!H$6)</f>
        <v>0</v>
      </c>
      <c r="I366" s="21">
        <f>SUMIFS(Einzelbeträge!$D:$D,Einzelbeträge!$C:$C,'Ausgaben Vorlage'!$C366,Einzelbeträge!$E:$E,'Ausgaben Vorlage'!I$6)</f>
        <v>0</v>
      </c>
      <c r="J366" s="21">
        <f>SUMIFS(Einzelbeträge!$D:$D,Einzelbeträge!$C:$C,'Ausgaben Vorlage'!$C366,Einzelbeträge!$E:$E,'Ausgaben Vorlage'!J$6)</f>
        <v>0</v>
      </c>
      <c r="K366" s="21">
        <f>SUMIFS(Einzelbeträge!$D:$D,Einzelbeträge!$C:$C,'Ausgaben Vorlage'!$C366,Einzelbeträge!$E:$E,'Ausgaben Vorlage'!K$6)</f>
        <v>0</v>
      </c>
      <c r="L366" s="21">
        <f>SUMIFS(Einzelbeträge!$D:$D,Einzelbeträge!$C:$C,'Ausgaben Vorlage'!$C366,Einzelbeträge!$E:$E,'Ausgaben Vorlage'!L$6)</f>
        <v>0</v>
      </c>
      <c r="M366" s="21">
        <f>SUMIFS(Einzelbeträge!$D:$D,Einzelbeträge!$C:$C,'Ausgaben Vorlage'!$C366,Einzelbeträge!$E:$E,'Ausgaben Vorlage'!M$6)</f>
        <v>0</v>
      </c>
      <c r="N366" s="35">
        <f>SUMIFS(Einzelbeträge!$D:$D,Einzelbeträge!$C:$C,'Ausgaben Vorlage'!$C366,Einzelbeträge!$E:$E,'Ausgaben Vorlage'!N$6)</f>
        <v>0</v>
      </c>
      <c r="O366" s="6"/>
    </row>
    <row r="367" spans="2:15" x14ac:dyDescent="0.35">
      <c r="B367" s="5"/>
      <c r="C367" s="30">
        <f t="shared" si="26"/>
        <v>45987</v>
      </c>
      <c r="D367" s="46">
        <f>SUMIFS(Einzelbeträge!$D:$D,Einzelbeträge!$C:$C,'Ausgaben Vorlage'!$C367)</f>
        <v>0</v>
      </c>
      <c r="E367" s="21">
        <f>SUMIFS(Einzelbeträge!$D:$D,Einzelbeträge!$C:$C,'Ausgaben Vorlage'!$C367,Einzelbeträge!$E:$E,'Ausgaben Vorlage'!E$6)</f>
        <v>0</v>
      </c>
      <c r="F367" s="21">
        <f>SUMIFS(Einzelbeträge!$D:$D,Einzelbeträge!$C:$C,'Ausgaben Vorlage'!$C367,Einzelbeträge!$E:$E,'Ausgaben Vorlage'!F$6)</f>
        <v>0</v>
      </c>
      <c r="G367" s="21">
        <f>SUMIFS(Einzelbeträge!$D:$D,Einzelbeträge!$C:$C,'Ausgaben Vorlage'!$C367,Einzelbeträge!$E:$E,'Ausgaben Vorlage'!G$6)</f>
        <v>0</v>
      </c>
      <c r="H367" s="21">
        <f>SUMIFS(Einzelbeträge!$D:$D,Einzelbeträge!$C:$C,'Ausgaben Vorlage'!$C367,Einzelbeträge!$E:$E,'Ausgaben Vorlage'!H$6)</f>
        <v>0</v>
      </c>
      <c r="I367" s="21">
        <f>SUMIFS(Einzelbeträge!$D:$D,Einzelbeträge!$C:$C,'Ausgaben Vorlage'!$C367,Einzelbeträge!$E:$E,'Ausgaben Vorlage'!I$6)</f>
        <v>0</v>
      </c>
      <c r="J367" s="21">
        <f>SUMIFS(Einzelbeträge!$D:$D,Einzelbeträge!$C:$C,'Ausgaben Vorlage'!$C367,Einzelbeträge!$E:$E,'Ausgaben Vorlage'!J$6)</f>
        <v>0</v>
      </c>
      <c r="K367" s="21">
        <f>SUMIFS(Einzelbeträge!$D:$D,Einzelbeträge!$C:$C,'Ausgaben Vorlage'!$C367,Einzelbeträge!$E:$E,'Ausgaben Vorlage'!K$6)</f>
        <v>0</v>
      </c>
      <c r="L367" s="21">
        <f>SUMIFS(Einzelbeträge!$D:$D,Einzelbeträge!$C:$C,'Ausgaben Vorlage'!$C367,Einzelbeträge!$E:$E,'Ausgaben Vorlage'!L$6)</f>
        <v>0</v>
      </c>
      <c r="M367" s="21">
        <f>SUMIFS(Einzelbeträge!$D:$D,Einzelbeträge!$C:$C,'Ausgaben Vorlage'!$C367,Einzelbeträge!$E:$E,'Ausgaben Vorlage'!M$6)</f>
        <v>0</v>
      </c>
      <c r="N367" s="35">
        <f>SUMIFS(Einzelbeträge!$D:$D,Einzelbeträge!$C:$C,'Ausgaben Vorlage'!$C367,Einzelbeträge!$E:$E,'Ausgaben Vorlage'!N$6)</f>
        <v>0</v>
      </c>
      <c r="O367" s="6"/>
    </row>
    <row r="368" spans="2:15" x14ac:dyDescent="0.35">
      <c r="B368" s="5"/>
      <c r="C368" s="30">
        <f t="shared" si="26"/>
        <v>45988</v>
      </c>
      <c r="D368" s="46">
        <f>SUMIFS(Einzelbeträge!$D:$D,Einzelbeträge!$C:$C,'Ausgaben Vorlage'!$C368)</f>
        <v>0</v>
      </c>
      <c r="E368" s="21">
        <f>SUMIFS(Einzelbeträge!$D:$D,Einzelbeträge!$C:$C,'Ausgaben Vorlage'!$C368,Einzelbeträge!$E:$E,'Ausgaben Vorlage'!E$6)</f>
        <v>0</v>
      </c>
      <c r="F368" s="21">
        <f>SUMIFS(Einzelbeträge!$D:$D,Einzelbeträge!$C:$C,'Ausgaben Vorlage'!$C368,Einzelbeträge!$E:$E,'Ausgaben Vorlage'!F$6)</f>
        <v>0</v>
      </c>
      <c r="G368" s="21">
        <f>SUMIFS(Einzelbeträge!$D:$D,Einzelbeträge!$C:$C,'Ausgaben Vorlage'!$C368,Einzelbeträge!$E:$E,'Ausgaben Vorlage'!G$6)</f>
        <v>0</v>
      </c>
      <c r="H368" s="21">
        <f>SUMIFS(Einzelbeträge!$D:$D,Einzelbeträge!$C:$C,'Ausgaben Vorlage'!$C368,Einzelbeträge!$E:$E,'Ausgaben Vorlage'!H$6)</f>
        <v>0</v>
      </c>
      <c r="I368" s="21">
        <f>SUMIFS(Einzelbeträge!$D:$D,Einzelbeträge!$C:$C,'Ausgaben Vorlage'!$C368,Einzelbeträge!$E:$E,'Ausgaben Vorlage'!I$6)</f>
        <v>0</v>
      </c>
      <c r="J368" s="21">
        <f>SUMIFS(Einzelbeträge!$D:$D,Einzelbeträge!$C:$C,'Ausgaben Vorlage'!$C368,Einzelbeträge!$E:$E,'Ausgaben Vorlage'!J$6)</f>
        <v>0</v>
      </c>
      <c r="K368" s="21">
        <f>SUMIFS(Einzelbeträge!$D:$D,Einzelbeträge!$C:$C,'Ausgaben Vorlage'!$C368,Einzelbeträge!$E:$E,'Ausgaben Vorlage'!K$6)</f>
        <v>0</v>
      </c>
      <c r="L368" s="21">
        <f>SUMIFS(Einzelbeträge!$D:$D,Einzelbeträge!$C:$C,'Ausgaben Vorlage'!$C368,Einzelbeträge!$E:$E,'Ausgaben Vorlage'!L$6)</f>
        <v>0</v>
      </c>
      <c r="M368" s="21">
        <f>SUMIFS(Einzelbeträge!$D:$D,Einzelbeträge!$C:$C,'Ausgaben Vorlage'!$C368,Einzelbeträge!$E:$E,'Ausgaben Vorlage'!M$6)</f>
        <v>0</v>
      </c>
      <c r="N368" s="35">
        <f>SUMIFS(Einzelbeträge!$D:$D,Einzelbeträge!$C:$C,'Ausgaben Vorlage'!$C368,Einzelbeträge!$E:$E,'Ausgaben Vorlage'!N$6)</f>
        <v>0</v>
      </c>
      <c r="O368" s="6"/>
    </row>
    <row r="369" spans="2:15" x14ac:dyDescent="0.35">
      <c r="B369" s="5"/>
      <c r="C369" s="30">
        <f t="shared" si="26"/>
        <v>45989</v>
      </c>
      <c r="D369" s="46">
        <f>SUMIFS(Einzelbeträge!$D:$D,Einzelbeträge!$C:$C,'Ausgaben Vorlage'!$C369)</f>
        <v>0</v>
      </c>
      <c r="E369" s="21">
        <f>SUMIFS(Einzelbeträge!$D:$D,Einzelbeträge!$C:$C,'Ausgaben Vorlage'!$C369,Einzelbeträge!$E:$E,'Ausgaben Vorlage'!E$6)</f>
        <v>0</v>
      </c>
      <c r="F369" s="21">
        <f>SUMIFS(Einzelbeträge!$D:$D,Einzelbeträge!$C:$C,'Ausgaben Vorlage'!$C369,Einzelbeträge!$E:$E,'Ausgaben Vorlage'!F$6)</f>
        <v>0</v>
      </c>
      <c r="G369" s="21">
        <f>SUMIFS(Einzelbeträge!$D:$D,Einzelbeträge!$C:$C,'Ausgaben Vorlage'!$C369,Einzelbeträge!$E:$E,'Ausgaben Vorlage'!G$6)</f>
        <v>0</v>
      </c>
      <c r="H369" s="21">
        <f>SUMIFS(Einzelbeträge!$D:$D,Einzelbeträge!$C:$C,'Ausgaben Vorlage'!$C369,Einzelbeträge!$E:$E,'Ausgaben Vorlage'!H$6)</f>
        <v>0</v>
      </c>
      <c r="I369" s="21">
        <f>SUMIFS(Einzelbeträge!$D:$D,Einzelbeträge!$C:$C,'Ausgaben Vorlage'!$C369,Einzelbeträge!$E:$E,'Ausgaben Vorlage'!I$6)</f>
        <v>0</v>
      </c>
      <c r="J369" s="21">
        <f>SUMIFS(Einzelbeträge!$D:$D,Einzelbeträge!$C:$C,'Ausgaben Vorlage'!$C369,Einzelbeträge!$E:$E,'Ausgaben Vorlage'!J$6)</f>
        <v>0</v>
      </c>
      <c r="K369" s="21">
        <f>SUMIFS(Einzelbeträge!$D:$D,Einzelbeträge!$C:$C,'Ausgaben Vorlage'!$C369,Einzelbeträge!$E:$E,'Ausgaben Vorlage'!K$6)</f>
        <v>0</v>
      </c>
      <c r="L369" s="21">
        <f>SUMIFS(Einzelbeträge!$D:$D,Einzelbeträge!$C:$C,'Ausgaben Vorlage'!$C369,Einzelbeträge!$E:$E,'Ausgaben Vorlage'!L$6)</f>
        <v>0</v>
      </c>
      <c r="M369" s="21">
        <f>SUMIFS(Einzelbeträge!$D:$D,Einzelbeträge!$C:$C,'Ausgaben Vorlage'!$C369,Einzelbeträge!$E:$E,'Ausgaben Vorlage'!M$6)</f>
        <v>0</v>
      </c>
      <c r="N369" s="35">
        <f>SUMIFS(Einzelbeträge!$D:$D,Einzelbeträge!$C:$C,'Ausgaben Vorlage'!$C369,Einzelbeträge!$E:$E,'Ausgaben Vorlage'!N$6)</f>
        <v>0</v>
      </c>
      <c r="O369" s="6"/>
    </row>
    <row r="370" spans="2:15" x14ac:dyDescent="0.35">
      <c r="B370" s="5"/>
      <c r="C370" s="30">
        <f t="shared" si="26"/>
        <v>45990</v>
      </c>
      <c r="D370" s="46">
        <f>SUMIFS(Einzelbeträge!$D:$D,Einzelbeträge!$C:$C,'Ausgaben Vorlage'!$C370)</f>
        <v>0</v>
      </c>
      <c r="E370" s="21">
        <f>SUMIFS(Einzelbeträge!$D:$D,Einzelbeträge!$C:$C,'Ausgaben Vorlage'!$C370,Einzelbeträge!$E:$E,'Ausgaben Vorlage'!E$6)</f>
        <v>0</v>
      </c>
      <c r="F370" s="21">
        <f>SUMIFS(Einzelbeträge!$D:$D,Einzelbeträge!$C:$C,'Ausgaben Vorlage'!$C370,Einzelbeträge!$E:$E,'Ausgaben Vorlage'!F$6)</f>
        <v>0</v>
      </c>
      <c r="G370" s="21">
        <f>SUMIFS(Einzelbeträge!$D:$D,Einzelbeträge!$C:$C,'Ausgaben Vorlage'!$C370,Einzelbeträge!$E:$E,'Ausgaben Vorlage'!G$6)</f>
        <v>0</v>
      </c>
      <c r="H370" s="21">
        <f>SUMIFS(Einzelbeträge!$D:$D,Einzelbeträge!$C:$C,'Ausgaben Vorlage'!$C370,Einzelbeträge!$E:$E,'Ausgaben Vorlage'!H$6)</f>
        <v>0</v>
      </c>
      <c r="I370" s="21">
        <f>SUMIFS(Einzelbeträge!$D:$D,Einzelbeträge!$C:$C,'Ausgaben Vorlage'!$C370,Einzelbeträge!$E:$E,'Ausgaben Vorlage'!I$6)</f>
        <v>0</v>
      </c>
      <c r="J370" s="21">
        <f>SUMIFS(Einzelbeträge!$D:$D,Einzelbeträge!$C:$C,'Ausgaben Vorlage'!$C370,Einzelbeträge!$E:$E,'Ausgaben Vorlage'!J$6)</f>
        <v>0</v>
      </c>
      <c r="K370" s="21">
        <f>SUMIFS(Einzelbeträge!$D:$D,Einzelbeträge!$C:$C,'Ausgaben Vorlage'!$C370,Einzelbeträge!$E:$E,'Ausgaben Vorlage'!K$6)</f>
        <v>0</v>
      </c>
      <c r="L370" s="21">
        <f>SUMIFS(Einzelbeträge!$D:$D,Einzelbeträge!$C:$C,'Ausgaben Vorlage'!$C370,Einzelbeträge!$E:$E,'Ausgaben Vorlage'!L$6)</f>
        <v>0</v>
      </c>
      <c r="M370" s="21">
        <f>SUMIFS(Einzelbeträge!$D:$D,Einzelbeträge!$C:$C,'Ausgaben Vorlage'!$C370,Einzelbeträge!$E:$E,'Ausgaben Vorlage'!M$6)</f>
        <v>0</v>
      </c>
      <c r="N370" s="35">
        <f>SUMIFS(Einzelbeträge!$D:$D,Einzelbeträge!$C:$C,'Ausgaben Vorlage'!$C370,Einzelbeträge!$E:$E,'Ausgaben Vorlage'!N$6)</f>
        <v>0</v>
      </c>
      <c r="O370" s="6"/>
    </row>
    <row r="371" spans="2:15" x14ac:dyDescent="0.35">
      <c r="B371" s="5"/>
      <c r="C371" s="31">
        <f t="shared" si="26"/>
        <v>45991</v>
      </c>
      <c r="D371" s="47">
        <f>SUMIFS(Einzelbeträge!$D:$D,Einzelbeträge!$C:$C,'Ausgaben Vorlage'!$C371)</f>
        <v>0</v>
      </c>
      <c r="E371" s="37">
        <f>SUMIFS(Einzelbeträge!$D:$D,Einzelbeträge!$C:$C,'Ausgaben Vorlage'!$C371,Einzelbeträge!$E:$E,'Ausgaben Vorlage'!E$6)</f>
        <v>0</v>
      </c>
      <c r="F371" s="37">
        <f>SUMIFS(Einzelbeträge!$D:$D,Einzelbeträge!$C:$C,'Ausgaben Vorlage'!$C371,Einzelbeträge!$E:$E,'Ausgaben Vorlage'!F$6)</f>
        <v>0</v>
      </c>
      <c r="G371" s="37">
        <f>SUMIFS(Einzelbeträge!$D:$D,Einzelbeträge!$C:$C,'Ausgaben Vorlage'!$C371,Einzelbeträge!$E:$E,'Ausgaben Vorlage'!G$6)</f>
        <v>0</v>
      </c>
      <c r="H371" s="37">
        <f>SUMIFS(Einzelbeträge!$D:$D,Einzelbeträge!$C:$C,'Ausgaben Vorlage'!$C371,Einzelbeträge!$E:$E,'Ausgaben Vorlage'!H$6)</f>
        <v>0</v>
      </c>
      <c r="I371" s="37">
        <f>SUMIFS(Einzelbeträge!$D:$D,Einzelbeträge!$C:$C,'Ausgaben Vorlage'!$C371,Einzelbeträge!$E:$E,'Ausgaben Vorlage'!I$6)</f>
        <v>0</v>
      </c>
      <c r="J371" s="37">
        <f>SUMIFS(Einzelbeträge!$D:$D,Einzelbeträge!$C:$C,'Ausgaben Vorlage'!$C371,Einzelbeträge!$E:$E,'Ausgaben Vorlage'!J$6)</f>
        <v>0</v>
      </c>
      <c r="K371" s="37">
        <f>SUMIFS(Einzelbeträge!$D:$D,Einzelbeträge!$C:$C,'Ausgaben Vorlage'!$C371,Einzelbeträge!$E:$E,'Ausgaben Vorlage'!K$6)</f>
        <v>0</v>
      </c>
      <c r="L371" s="37">
        <f>SUMIFS(Einzelbeträge!$D:$D,Einzelbeträge!$C:$C,'Ausgaben Vorlage'!$C371,Einzelbeträge!$E:$E,'Ausgaben Vorlage'!L$6)</f>
        <v>0</v>
      </c>
      <c r="M371" s="37">
        <f>SUMIFS(Einzelbeträge!$D:$D,Einzelbeträge!$C:$C,'Ausgaben Vorlage'!$C371,Einzelbeträge!$E:$E,'Ausgaben Vorlage'!M$6)</f>
        <v>0</v>
      </c>
      <c r="N371" s="38">
        <f>SUMIFS(Einzelbeträge!$D:$D,Einzelbeträge!$C:$C,'Ausgaben Vorlage'!$C371,Einzelbeträge!$E:$E,'Ausgaben Vorlage'!N$6)</f>
        <v>0</v>
      </c>
      <c r="O371" s="6"/>
    </row>
    <row r="372" spans="2:15" x14ac:dyDescent="0.35">
      <c r="B372" s="5"/>
      <c r="C372" s="22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6"/>
    </row>
    <row r="373" spans="2:15" x14ac:dyDescent="0.35">
      <c r="B373" s="5"/>
      <c r="C373" s="16" t="s">
        <v>28</v>
      </c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6"/>
    </row>
    <row r="374" spans="2:15" x14ac:dyDescent="0.35">
      <c r="B374" s="5"/>
      <c r="C374" s="1" t="s">
        <v>7</v>
      </c>
      <c r="D374" s="16" t="s">
        <v>6</v>
      </c>
      <c r="E374" s="42" t="s">
        <v>0</v>
      </c>
      <c r="F374" s="42" t="s">
        <v>1</v>
      </c>
      <c r="G374" s="42" t="s">
        <v>3</v>
      </c>
      <c r="H374" s="42" t="s">
        <v>2</v>
      </c>
      <c r="I374" s="42" t="s">
        <v>42</v>
      </c>
      <c r="J374" s="42" t="s">
        <v>65</v>
      </c>
      <c r="K374" s="42" t="s">
        <v>64</v>
      </c>
      <c r="L374" s="42" t="s">
        <v>63</v>
      </c>
      <c r="M374" s="42" t="s">
        <v>62</v>
      </c>
      <c r="N374" s="43" t="s">
        <v>61</v>
      </c>
      <c r="O374" s="6"/>
    </row>
    <row r="375" spans="2:15" x14ac:dyDescent="0.35">
      <c r="B375" s="5"/>
      <c r="C375" s="40">
        <f>C371+1</f>
        <v>45992</v>
      </c>
      <c r="D375" s="45">
        <f>SUMIFS(Einzelbeträge!$D:$D,Einzelbeträge!$C:$C,'Ausgaben Vorlage'!$C375)</f>
        <v>0</v>
      </c>
      <c r="E375" s="32">
        <f>SUMIFS(Einzelbeträge!$D:$D,Einzelbeträge!$C:$C,'Ausgaben Vorlage'!$C375,Einzelbeträge!$E:$E,'Ausgaben Vorlage'!E$6)</f>
        <v>0</v>
      </c>
      <c r="F375" s="32">
        <f>SUMIFS(Einzelbeträge!$D:$D,Einzelbeträge!$C:$C,'Ausgaben Vorlage'!$C375,Einzelbeträge!$E:$E,'Ausgaben Vorlage'!F$6)</f>
        <v>0</v>
      </c>
      <c r="G375" s="32">
        <f>SUMIFS(Einzelbeträge!$D:$D,Einzelbeträge!$C:$C,'Ausgaben Vorlage'!$C375,Einzelbeträge!$E:$E,'Ausgaben Vorlage'!G$6)</f>
        <v>0</v>
      </c>
      <c r="H375" s="32">
        <f>SUMIFS(Einzelbeträge!$D:$D,Einzelbeträge!$C:$C,'Ausgaben Vorlage'!$C375,Einzelbeträge!$E:$E,'Ausgaben Vorlage'!H$6)</f>
        <v>0</v>
      </c>
      <c r="I375" s="32">
        <f>SUMIFS(Einzelbeträge!$D:$D,Einzelbeträge!$C:$C,'Ausgaben Vorlage'!$C375,Einzelbeträge!$E:$E,'Ausgaben Vorlage'!I$6)</f>
        <v>0</v>
      </c>
      <c r="J375" s="32">
        <f>SUMIFS(Einzelbeträge!$D:$D,Einzelbeträge!$C:$C,'Ausgaben Vorlage'!$C375,Einzelbeträge!$E:$E,'Ausgaben Vorlage'!J$6)</f>
        <v>0</v>
      </c>
      <c r="K375" s="32">
        <f>SUMIFS(Einzelbeträge!$D:$D,Einzelbeträge!$C:$C,'Ausgaben Vorlage'!$C375,Einzelbeträge!$E:$E,'Ausgaben Vorlage'!K$6)</f>
        <v>0</v>
      </c>
      <c r="L375" s="32">
        <f>SUMIFS(Einzelbeträge!$D:$D,Einzelbeträge!$C:$C,'Ausgaben Vorlage'!$C375,Einzelbeträge!$E:$E,'Ausgaben Vorlage'!L$6)</f>
        <v>0</v>
      </c>
      <c r="M375" s="32">
        <f>SUMIFS(Einzelbeträge!$D:$D,Einzelbeträge!$C:$C,'Ausgaben Vorlage'!$C375,Einzelbeträge!$E:$E,'Ausgaben Vorlage'!M$6)</f>
        <v>0</v>
      </c>
      <c r="N375" s="33">
        <f>SUMIFS(Einzelbeträge!$D:$D,Einzelbeträge!$C:$C,'Ausgaben Vorlage'!$C375,Einzelbeträge!$E:$E,'Ausgaben Vorlage'!N$6)</f>
        <v>0</v>
      </c>
      <c r="O375" s="6"/>
    </row>
    <row r="376" spans="2:15" x14ac:dyDescent="0.35">
      <c r="B376" s="5"/>
      <c r="C376" s="40">
        <f>C375+1</f>
        <v>45993</v>
      </c>
      <c r="D376" s="46">
        <f>SUMIFS(Einzelbeträge!$D:$D,Einzelbeträge!$C:$C,'Ausgaben Vorlage'!$C376)</f>
        <v>0</v>
      </c>
      <c r="E376" s="21">
        <f>SUMIFS(Einzelbeträge!$D:$D,Einzelbeträge!$C:$C,'Ausgaben Vorlage'!$C376,Einzelbeträge!$E:$E,'Ausgaben Vorlage'!E$6)</f>
        <v>0</v>
      </c>
      <c r="F376" s="21">
        <f>SUMIFS(Einzelbeträge!$D:$D,Einzelbeträge!$C:$C,'Ausgaben Vorlage'!$C376,Einzelbeträge!$E:$E,'Ausgaben Vorlage'!F$6)</f>
        <v>0</v>
      </c>
      <c r="G376" s="21">
        <f>SUMIFS(Einzelbeträge!$D:$D,Einzelbeträge!$C:$C,'Ausgaben Vorlage'!$C376,Einzelbeträge!$E:$E,'Ausgaben Vorlage'!G$6)</f>
        <v>0</v>
      </c>
      <c r="H376" s="21">
        <f>SUMIFS(Einzelbeträge!$D:$D,Einzelbeträge!$C:$C,'Ausgaben Vorlage'!$C376,Einzelbeträge!$E:$E,'Ausgaben Vorlage'!H$6)</f>
        <v>0</v>
      </c>
      <c r="I376" s="21">
        <f>SUMIFS(Einzelbeträge!$D:$D,Einzelbeträge!$C:$C,'Ausgaben Vorlage'!$C376,Einzelbeträge!$E:$E,'Ausgaben Vorlage'!I$6)</f>
        <v>0</v>
      </c>
      <c r="J376" s="21">
        <f>SUMIFS(Einzelbeträge!$D:$D,Einzelbeträge!$C:$C,'Ausgaben Vorlage'!$C376,Einzelbeträge!$E:$E,'Ausgaben Vorlage'!J$6)</f>
        <v>0</v>
      </c>
      <c r="K376" s="21">
        <f>SUMIFS(Einzelbeträge!$D:$D,Einzelbeträge!$C:$C,'Ausgaben Vorlage'!$C376,Einzelbeträge!$E:$E,'Ausgaben Vorlage'!K$6)</f>
        <v>0</v>
      </c>
      <c r="L376" s="21">
        <f>SUMIFS(Einzelbeträge!$D:$D,Einzelbeträge!$C:$C,'Ausgaben Vorlage'!$C376,Einzelbeträge!$E:$E,'Ausgaben Vorlage'!L$6)</f>
        <v>0</v>
      </c>
      <c r="M376" s="21">
        <f>SUMIFS(Einzelbeträge!$D:$D,Einzelbeträge!$C:$C,'Ausgaben Vorlage'!$C376,Einzelbeträge!$E:$E,'Ausgaben Vorlage'!M$6)</f>
        <v>0</v>
      </c>
      <c r="N376" s="35">
        <f>SUMIFS(Einzelbeträge!$D:$D,Einzelbeträge!$C:$C,'Ausgaben Vorlage'!$C376,Einzelbeträge!$E:$E,'Ausgaben Vorlage'!N$6)</f>
        <v>0</v>
      </c>
      <c r="O376" s="6"/>
    </row>
    <row r="377" spans="2:15" x14ac:dyDescent="0.35">
      <c r="B377" s="5"/>
      <c r="C377" s="40">
        <f t="shared" ref="C377:C405" si="27">C376+1</f>
        <v>45994</v>
      </c>
      <c r="D377" s="46">
        <f>SUMIFS(Einzelbeträge!$D:$D,Einzelbeträge!$C:$C,'Ausgaben Vorlage'!$C377)</f>
        <v>0</v>
      </c>
      <c r="E377" s="21">
        <f>SUMIFS(Einzelbeträge!$D:$D,Einzelbeträge!$C:$C,'Ausgaben Vorlage'!$C377,Einzelbeträge!$E:$E,'Ausgaben Vorlage'!E$6)</f>
        <v>0</v>
      </c>
      <c r="F377" s="21">
        <f>SUMIFS(Einzelbeträge!$D:$D,Einzelbeträge!$C:$C,'Ausgaben Vorlage'!$C377,Einzelbeträge!$E:$E,'Ausgaben Vorlage'!F$6)</f>
        <v>0</v>
      </c>
      <c r="G377" s="21">
        <f>SUMIFS(Einzelbeträge!$D:$D,Einzelbeträge!$C:$C,'Ausgaben Vorlage'!$C377,Einzelbeträge!$E:$E,'Ausgaben Vorlage'!G$6)</f>
        <v>0</v>
      </c>
      <c r="H377" s="21">
        <f>SUMIFS(Einzelbeträge!$D:$D,Einzelbeträge!$C:$C,'Ausgaben Vorlage'!$C377,Einzelbeträge!$E:$E,'Ausgaben Vorlage'!H$6)</f>
        <v>0</v>
      </c>
      <c r="I377" s="21">
        <f>SUMIFS(Einzelbeträge!$D:$D,Einzelbeträge!$C:$C,'Ausgaben Vorlage'!$C377,Einzelbeträge!$E:$E,'Ausgaben Vorlage'!I$6)</f>
        <v>0</v>
      </c>
      <c r="J377" s="21">
        <f>SUMIFS(Einzelbeträge!$D:$D,Einzelbeträge!$C:$C,'Ausgaben Vorlage'!$C377,Einzelbeträge!$E:$E,'Ausgaben Vorlage'!J$6)</f>
        <v>0</v>
      </c>
      <c r="K377" s="21">
        <f>SUMIFS(Einzelbeträge!$D:$D,Einzelbeträge!$C:$C,'Ausgaben Vorlage'!$C377,Einzelbeträge!$E:$E,'Ausgaben Vorlage'!K$6)</f>
        <v>0</v>
      </c>
      <c r="L377" s="21">
        <f>SUMIFS(Einzelbeträge!$D:$D,Einzelbeträge!$C:$C,'Ausgaben Vorlage'!$C377,Einzelbeträge!$E:$E,'Ausgaben Vorlage'!L$6)</f>
        <v>0</v>
      </c>
      <c r="M377" s="21">
        <f>SUMIFS(Einzelbeträge!$D:$D,Einzelbeträge!$C:$C,'Ausgaben Vorlage'!$C377,Einzelbeträge!$E:$E,'Ausgaben Vorlage'!M$6)</f>
        <v>0</v>
      </c>
      <c r="N377" s="35">
        <f>SUMIFS(Einzelbeträge!$D:$D,Einzelbeträge!$C:$C,'Ausgaben Vorlage'!$C377,Einzelbeträge!$E:$E,'Ausgaben Vorlage'!N$6)</f>
        <v>0</v>
      </c>
      <c r="O377" s="6"/>
    </row>
    <row r="378" spans="2:15" x14ac:dyDescent="0.35">
      <c r="B378" s="5"/>
      <c r="C378" s="40">
        <f t="shared" si="27"/>
        <v>45995</v>
      </c>
      <c r="D378" s="46">
        <f>SUMIFS(Einzelbeträge!$D:$D,Einzelbeträge!$C:$C,'Ausgaben Vorlage'!$C378)</f>
        <v>0</v>
      </c>
      <c r="E378" s="21">
        <f>SUMIFS(Einzelbeträge!$D:$D,Einzelbeträge!$C:$C,'Ausgaben Vorlage'!$C378,Einzelbeträge!$E:$E,'Ausgaben Vorlage'!E$6)</f>
        <v>0</v>
      </c>
      <c r="F378" s="21">
        <f>SUMIFS(Einzelbeträge!$D:$D,Einzelbeträge!$C:$C,'Ausgaben Vorlage'!$C378,Einzelbeträge!$E:$E,'Ausgaben Vorlage'!F$6)</f>
        <v>0</v>
      </c>
      <c r="G378" s="21">
        <f>SUMIFS(Einzelbeträge!$D:$D,Einzelbeträge!$C:$C,'Ausgaben Vorlage'!$C378,Einzelbeträge!$E:$E,'Ausgaben Vorlage'!G$6)</f>
        <v>0</v>
      </c>
      <c r="H378" s="21">
        <f>SUMIFS(Einzelbeträge!$D:$D,Einzelbeträge!$C:$C,'Ausgaben Vorlage'!$C378,Einzelbeträge!$E:$E,'Ausgaben Vorlage'!H$6)</f>
        <v>0</v>
      </c>
      <c r="I378" s="21">
        <f>SUMIFS(Einzelbeträge!$D:$D,Einzelbeträge!$C:$C,'Ausgaben Vorlage'!$C378,Einzelbeträge!$E:$E,'Ausgaben Vorlage'!I$6)</f>
        <v>0</v>
      </c>
      <c r="J378" s="21">
        <f>SUMIFS(Einzelbeträge!$D:$D,Einzelbeträge!$C:$C,'Ausgaben Vorlage'!$C378,Einzelbeträge!$E:$E,'Ausgaben Vorlage'!J$6)</f>
        <v>0</v>
      </c>
      <c r="K378" s="21">
        <f>SUMIFS(Einzelbeträge!$D:$D,Einzelbeträge!$C:$C,'Ausgaben Vorlage'!$C378,Einzelbeträge!$E:$E,'Ausgaben Vorlage'!K$6)</f>
        <v>0</v>
      </c>
      <c r="L378" s="21">
        <f>SUMIFS(Einzelbeträge!$D:$D,Einzelbeträge!$C:$C,'Ausgaben Vorlage'!$C378,Einzelbeträge!$E:$E,'Ausgaben Vorlage'!L$6)</f>
        <v>0</v>
      </c>
      <c r="M378" s="21">
        <f>SUMIFS(Einzelbeträge!$D:$D,Einzelbeträge!$C:$C,'Ausgaben Vorlage'!$C378,Einzelbeträge!$E:$E,'Ausgaben Vorlage'!M$6)</f>
        <v>0</v>
      </c>
      <c r="N378" s="35">
        <f>SUMIFS(Einzelbeträge!$D:$D,Einzelbeträge!$C:$C,'Ausgaben Vorlage'!$C378,Einzelbeträge!$E:$E,'Ausgaben Vorlage'!N$6)</f>
        <v>0</v>
      </c>
      <c r="O378" s="6"/>
    </row>
    <row r="379" spans="2:15" x14ac:dyDescent="0.35">
      <c r="B379" s="5"/>
      <c r="C379" s="40">
        <f t="shared" si="27"/>
        <v>45996</v>
      </c>
      <c r="D379" s="46">
        <f>SUMIFS(Einzelbeträge!$D:$D,Einzelbeträge!$C:$C,'Ausgaben Vorlage'!$C379)</f>
        <v>0</v>
      </c>
      <c r="E379" s="21">
        <f>SUMIFS(Einzelbeträge!$D:$D,Einzelbeträge!$C:$C,'Ausgaben Vorlage'!$C379,Einzelbeträge!$E:$E,'Ausgaben Vorlage'!E$6)</f>
        <v>0</v>
      </c>
      <c r="F379" s="21">
        <f>SUMIFS(Einzelbeträge!$D:$D,Einzelbeträge!$C:$C,'Ausgaben Vorlage'!$C379,Einzelbeträge!$E:$E,'Ausgaben Vorlage'!F$6)</f>
        <v>0</v>
      </c>
      <c r="G379" s="21">
        <f>SUMIFS(Einzelbeträge!$D:$D,Einzelbeträge!$C:$C,'Ausgaben Vorlage'!$C379,Einzelbeträge!$E:$E,'Ausgaben Vorlage'!G$6)</f>
        <v>0</v>
      </c>
      <c r="H379" s="21">
        <f>SUMIFS(Einzelbeträge!$D:$D,Einzelbeträge!$C:$C,'Ausgaben Vorlage'!$C379,Einzelbeträge!$E:$E,'Ausgaben Vorlage'!H$6)</f>
        <v>0</v>
      </c>
      <c r="I379" s="21">
        <f>SUMIFS(Einzelbeträge!$D:$D,Einzelbeträge!$C:$C,'Ausgaben Vorlage'!$C379,Einzelbeträge!$E:$E,'Ausgaben Vorlage'!I$6)</f>
        <v>0</v>
      </c>
      <c r="J379" s="21">
        <f>SUMIFS(Einzelbeträge!$D:$D,Einzelbeträge!$C:$C,'Ausgaben Vorlage'!$C379,Einzelbeträge!$E:$E,'Ausgaben Vorlage'!J$6)</f>
        <v>0</v>
      </c>
      <c r="K379" s="21">
        <f>SUMIFS(Einzelbeträge!$D:$D,Einzelbeträge!$C:$C,'Ausgaben Vorlage'!$C379,Einzelbeträge!$E:$E,'Ausgaben Vorlage'!K$6)</f>
        <v>0</v>
      </c>
      <c r="L379" s="21">
        <f>SUMIFS(Einzelbeträge!$D:$D,Einzelbeträge!$C:$C,'Ausgaben Vorlage'!$C379,Einzelbeträge!$E:$E,'Ausgaben Vorlage'!L$6)</f>
        <v>0</v>
      </c>
      <c r="M379" s="21">
        <f>SUMIFS(Einzelbeträge!$D:$D,Einzelbeträge!$C:$C,'Ausgaben Vorlage'!$C379,Einzelbeträge!$E:$E,'Ausgaben Vorlage'!M$6)</f>
        <v>0</v>
      </c>
      <c r="N379" s="35">
        <f>SUMIFS(Einzelbeträge!$D:$D,Einzelbeträge!$C:$C,'Ausgaben Vorlage'!$C379,Einzelbeträge!$E:$E,'Ausgaben Vorlage'!N$6)</f>
        <v>0</v>
      </c>
      <c r="O379" s="6"/>
    </row>
    <row r="380" spans="2:15" x14ac:dyDescent="0.35">
      <c r="B380" s="5"/>
      <c r="C380" s="40">
        <f t="shared" si="27"/>
        <v>45997</v>
      </c>
      <c r="D380" s="46">
        <f>SUMIFS(Einzelbeträge!$D:$D,Einzelbeträge!$C:$C,'Ausgaben Vorlage'!$C380)</f>
        <v>0</v>
      </c>
      <c r="E380" s="21">
        <f>SUMIFS(Einzelbeträge!$D:$D,Einzelbeträge!$C:$C,'Ausgaben Vorlage'!$C380,Einzelbeträge!$E:$E,'Ausgaben Vorlage'!E$6)</f>
        <v>0</v>
      </c>
      <c r="F380" s="21">
        <f>SUMIFS(Einzelbeträge!$D:$D,Einzelbeträge!$C:$C,'Ausgaben Vorlage'!$C380,Einzelbeträge!$E:$E,'Ausgaben Vorlage'!F$6)</f>
        <v>0</v>
      </c>
      <c r="G380" s="21">
        <f>SUMIFS(Einzelbeträge!$D:$D,Einzelbeträge!$C:$C,'Ausgaben Vorlage'!$C380,Einzelbeträge!$E:$E,'Ausgaben Vorlage'!G$6)</f>
        <v>0</v>
      </c>
      <c r="H380" s="21">
        <f>SUMIFS(Einzelbeträge!$D:$D,Einzelbeträge!$C:$C,'Ausgaben Vorlage'!$C380,Einzelbeträge!$E:$E,'Ausgaben Vorlage'!H$6)</f>
        <v>0</v>
      </c>
      <c r="I380" s="21">
        <f>SUMIFS(Einzelbeträge!$D:$D,Einzelbeträge!$C:$C,'Ausgaben Vorlage'!$C380,Einzelbeträge!$E:$E,'Ausgaben Vorlage'!I$6)</f>
        <v>0</v>
      </c>
      <c r="J380" s="21">
        <f>SUMIFS(Einzelbeträge!$D:$D,Einzelbeträge!$C:$C,'Ausgaben Vorlage'!$C380,Einzelbeträge!$E:$E,'Ausgaben Vorlage'!J$6)</f>
        <v>0</v>
      </c>
      <c r="K380" s="21">
        <f>SUMIFS(Einzelbeträge!$D:$D,Einzelbeträge!$C:$C,'Ausgaben Vorlage'!$C380,Einzelbeträge!$E:$E,'Ausgaben Vorlage'!K$6)</f>
        <v>0</v>
      </c>
      <c r="L380" s="21">
        <f>SUMIFS(Einzelbeträge!$D:$D,Einzelbeträge!$C:$C,'Ausgaben Vorlage'!$C380,Einzelbeträge!$E:$E,'Ausgaben Vorlage'!L$6)</f>
        <v>0</v>
      </c>
      <c r="M380" s="21">
        <f>SUMIFS(Einzelbeträge!$D:$D,Einzelbeträge!$C:$C,'Ausgaben Vorlage'!$C380,Einzelbeträge!$E:$E,'Ausgaben Vorlage'!M$6)</f>
        <v>0</v>
      </c>
      <c r="N380" s="35">
        <f>SUMIFS(Einzelbeträge!$D:$D,Einzelbeträge!$C:$C,'Ausgaben Vorlage'!$C380,Einzelbeträge!$E:$E,'Ausgaben Vorlage'!N$6)</f>
        <v>0</v>
      </c>
      <c r="O380" s="6"/>
    </row>
    <row r="381" spans="2:15" x14ac:dyDescent="0.35">
      <c r="B381" s="5"/>
      <c r="C381" s="40">
        <f t="shared" si="27"/>
        <v>45998</v>
      </c>
      <c r="D381" s="46">
        <f>SUMIFS(Einzelbeträge!$D:$D,Einzelbeträge!$C:$C,'Ausgaben Vorlage'!$C381)</f>
        <v>0</v>
      </c>
      <c r="E381" s="21">
        <f>SUMIFS(Einzelbeträge!$D:$D,Einzelbeträge!$C:$C,'Ausgaben Vorlage'!$C381,Einzelbeträge!$E:$E,'Ausgaben Vorlage'!E$6)</f>
        <v>0</v>
      </c>
      <c r="F381" s="21">
        <f>SUMIFS(Einzelbeträge!$D:$D,Einzelbeträge!$C:$C,'Ausgaben Vorlage'!$C381,Einzelbeträge!$E:$E,'Ausgaben Vorlage'!F$6)</f>
        <v>0</v>
      </c>
      <c r="G381" s="21">
        <f>SUMIFS(Einzelbeträge!$D:$D,Einzelbeträge!$C:$C,'Ausgaben Vorlage'!$C381,Einzelbeträge!$E:$E,'Ausgaben Vorlage'!G$6)</f>
        <v>0</v>
      </c>
      <c r="H381" s="21">
        <f>SUMIFS(Einzelbeträge!$D:$D,Einzelbeträge!$C:$C,'Ausgaben Vorlage'!$C381,Einzelbeträge!$E:$E,'Ausgaben Vorlage'!H$6)</f>
        <v>0</v>
      </c>
      <c r="I381" s="21">
        <f>SUMIFS(Einzelbeträge!$D:$D,Einzelbeträge!$C:$C,'Ausgaben Vorlage'!$C381,Einzelbeträge!$E:$E,'Ausgaben Vorlage'!I$6)</f>
        <v>0</v>
      </c>
      <c r="J381" s="21">
        <f>SUMIFS(Einzelbeträge!$D:$D,Einzelbeträge!$C:$C,'Ausgaben Vorlage'!$C381,Einzelbeträge!$E:$E,'Ausgaben Vorlage'!J$6)</f>
        <v>0</v>
      </c>
      <c r="K381" s="21">
        <f>SUMIFS(Einzelbeträge!$D:$D,Einzelbeträge!$C:$C,'Ausgaben Vorlage'!$C381,Einzelbeträge!$E:$E,'Ausgaben Vorlage'!K$6)</f>
        <v>0</v>
      </c>
      <c r="L381" s="21">
        <f>SUMIFS(Einzelbeträge!$D:$D,Einzelbeträge!$C:$C,'Ausgaben Vorlage'!$C381,Einzelbeträge!$E:$E,'Ausgaben Vorlage'!L$6)</f>
        <v>0</v>
      </c>
      <c r="M381" s="21">
        <f>SUMIFS(Einzelbeträge!$D:$D,Einzelbeträge!$C:$C,'Ausgaben Vorlage'!$C381,Einzelbeträge!$E:$E,'Ausgaben Vorlage'!M$6)</f>
        <v>0</v>
      </c>
      <c r="N381" s="35">
        <f>SUMIFS(Einzelbeträge!$D:$D,Einzelbeträge!$C:$C,'Ausgaben Vorlage'!$C381,Einzelbeträge!$E:$E,'Ausgaben Vorlage'!N$6)</f>
        <v>0</v>
      </c>
      <c r="O381" s="6"/>
    </row>
    <row r="382" spans="2:15" x14ac:dyDescent="0.35">
      <c r="B382" s="5"/>
      <c r="C382" s="40">
        <f t="shared" si="27"/>
        <v>45999</v>
      </c>
      <c r="D382" s="46">
        <f>SUMIFS(Einzelbeträge!$D:$D,Einzelbeträge!$C:$C,'Ausgaben Vorlage'!$C382)</f>
        <v>0</v>
      </c>
      <c r="E382" s="21">
        <f>SUMIFS(Einzelbeträge!$D:$D,Einzelbeträge!$C:$C,'Ausgaben Vorlage'!$C382,Einzelbeträge!$E:$E,'Ausgaben Vorlage'!E$6)</f>
        <v>0</v>
      </c>
      <c r="F382" s="21">
        <f>SUMIFS(Einzelbeträge!$D:$D,Einzelbeträge!$C:$C,'Ausgaben Vorlage'!$C382,Einzelbeträge!$E:$E,'Ausgaben Vorlage'!F$6)</f>
        <v>0</v>
      </c>
      <c r="G382" s="21">
        <f>SUMIFS(Einzelbeträge!$D:$D,Einzelbeträge!$C:$C,'Ausgaben Vorlage'!$C382,Einzelbeträge!$E:$E,'Ausgaben Vorlage'!G$6)</f>
        <v>0</v>
      </c>
      <c r="H382" s="21">
        <f>SUMIFS(Einzelbeträge!$D:$D,Einzelbeträge!$C:$C,'Ausgaben Vorlage'!$C382,Einzelbeträge!$E:$E,'Ausgaben Vorlage'!H$6)</f>
        <v>0</v>
      </c>
      <c r="I382" s="21">
        <f>SUMIFS(Einzelbeträge!$D:$D,Einzelbeträge!$C:$C,'Ausgaben Vorlage'!$C382,Einzelbeträge!$E:$E,'Ausgaben Vorlage'!I$6)</f>
        <v>0</v>
      </c>
      <c r="J382" s="21">
        <f>SUMIFS(Einzelbeträge!$D:$D,Einzelbeträge!$C:$C,'Ausgaben Vorlage'!$C382,Einzelbeträge!$E:$E,'Ausgaben Vorlage'!J$6)</f>
        <v>0</v>
      </c>
      <c r="K382" s="21">
        <f>SUMIFS(Einzelbeträge!$D:$D,Einzelbeträge!$C:$C,'Ausgaben Vorlage'!$C382,Einzelbeträge!$E:$E,'Ausgaben Vorlage'!K$6)</f>
        <v>0</v>
      </c>
      <c r="L382" s="21">
        <f>SUMIFS(Einzelbeträge!$D:$D,Einzelbeträge!$C:$C,'Ausgaben Vorlage'!$C382,Einzelbeträge!$E:$E,'Ausgaben Vorlage'!L$6)</f>
        <v>0</v>
      </c>
      <c r="M382" s="21">
        <f>SUMIFS(Einzelbeträge!$D:$D,Einzelbeträge!$C:$C,'Ausgaben Vorlage'!$C382,Einzelbeträge!$E:$E,'Ausgaben Vorlage'!M$6)</f>
        <v>0</v>
      </c>
      <c r="N382" s="35">
        <f>SUMIFS(Einzelbeträge!$D:$D,Einzelbeträge!$C:$C,'Ausgaben Vorlage'!$C382,Einzelbeträge!$E:$E,'Ausgaben Vorlage'!N$6)</f>
        <v>0</v>
      </c>
      <c r="O382" s="6"/>
    </row>
    <row r="383" spans="2:15" x14ac:dyDescent="0.35">
      <c r="B383" s="5"/>
      <c r="C383" s="40">
        <f t="shared" si="27"/>
        <v>46000</v>
      </c>
      <c r="D383" s="46">
        <f>SUMIFS(Einzelbeträge!$D:$D,Einzelbeträge!$C:$C,'Ausgaben Vorlage'!$C383)</f>
        <v>0</v>
      </c>
      <c r="E383" s="21">
        <f>SUMIFS(Einzelbeträge!$D:$D,Einzelbeträge!$C:$C,'Ausgaben Vorlage'!$C383,Einzelbeträge!$E:$E,'Ausgaben Vorlage'!E$6)</f>
        <v>0</v>
      </c>
      <c r="F383" s="21">
        <f>SUMIFS(Einzelbeträge!$D:$D,Einzelbeträge!$C:$C,'Ausgaben Vorlage'!$C383,Einzelbeträge!$E:$E,'Ausgaben Vorlage'!F$6)</f>
        <v>0</v>
      </c>
      <c r="G383" s="21">
        <f>SUMIFS(Einzelbeträge!$D:$D,Einzelbeträge!$C:$C,'Ausgaben Vorlage'!$C383,Einzelbeträge!$E:$E,'Ausgaben Vorlage'!G$6)</f>
        <v>0</v>
      </c>
      <c r="H383" s="21">
        <f>SUMIFS(Einzelbeträge!$D:$D,Einzelbeträge!$C:$C,'Ausgaben Vorlage'!$C383,Einzelbeträge!$E:$E,'Ausgaben Vorlage'!H$6)</f>
        <v>0</v>
      </c>
      <c r="I383" s="21">
        <f>SUMIFS(Einzelbeträge!$D:$D,Einzelbeträge!$C:$C,'Ausgaben Vorlage'!$C383,Einzelbeträge!$E:$E,'Ausgaben Vorlage'!I$6)</f>
        <v>0</v>
      </c>
      <c r="J383" s="21">
        <f>SUMIFS(Einzelbeträge!$D:$D,Einzelbeträge!$C:$C,'Ausgaben Vorlage'!$C383,Einzelbeträge!$E:$E,'Ausgaben Vorlage'!J$6)</f>
        <v>0</v>
      </c>
      <c r="K383" s="21">
        <f>SUMIFS(Einzelbeträge!$D:$D,Einzelbeträge!$C:$C,'Ausgaben Vorlage'!$C383,Einzelbeträge!$E:$E,'Ausgaben Vorlage'!K$6)</f>
        <v>0</v>
      </c>
      <c r="L383" s="21">
        <f>SUMIFS(Einzelbeträge!$D:$D,Einzelbeträge!$C:$C,'Ausgaben Vorlage'!$C383,Einzelbeträge!$E:$E,'Ausgaben Vorlage'!L$6)</f>
        <v>0</v>
      </c>
      <c r="M383" s="21">
        <f>SUMIFS(Einzelbeträge!$D:$D,Einzelbeträge!$C:$C,'Ausgaben Vorlage'!$C383,Einzelbeträge!$E:$E,'Ausgaben Vorlage'!M$6)</f>
        <v>0</v>
      </c>
      <c r="N383" s="35">
        <f>SUMIFS(Einzelbeträge!$D:$D,Einzelbeträge!$C:$C,'Ausgaben Vorlage'!$C383,Einzelbeträge!$E:$E,'Ausgaben Vorlage'!N$6)</f>
        <v>0</v>
      </c>
      <c r="O383" s="6"/>
    </row>
    <row r="384" spans="2:15" x14ac:dyDescent="0.35">
      <c r="B384" s="5"/>
      <c r="C384" s="40">
        <f t="shared" si="27"/>
        <v>46001</v>
      </c>
      <c r="D384" s="46">
        <f>SUMIFS(Einzelbeträge!$D:$D,Einzelbeträge!$C:$C,'Ausgaben Vorlage'!$C384)</f>
        <v>0</v>
      </c>
      <c r="E384" s="21">
        <f>SUMIFS(Einzelbeträge!$D:$D,Einzelbeträge!$C:$C,'Ausgaben Vorlage'!$C384,Einzelbeträge!$E:$E,'Ausgaben Vorlage'!E$6)</f>
        <v>0</v>
      </c>
      <c r="F384" s="21">
        <f>SUMIFS(Einzelbeträge!$D:$D,Einzelbeträge!$C:$C,'Ausgaben Vorlage'!$C384,Einzelbeträge!$E:$E,'Ausgaben Vorlage'!F$6)</f>
        <v>0</v>
      </c>
      <c r="G384" s="21">
        <f>SUMIFS(Einzelbeträge!$D:$D,Einzelbeträge!$C:$C,'Ausgaben Vorlage'!$C384,Einzelbeträge!$E:$E,'Ausgaben Vorlage'!G$6)</f>
        <v>0</v>
      </c>
      <c r="H384" s="21">
        <f>SUMIFS(Einzelbeträge!$D:$D,Einzelbeträge!$C:$C,'Ausgaben Vorlage'!$C384,Einzelbeträge!$E:$E,'Ausgaben Vorlage'!H$6)</f>
        <v>0</v>
      </c>
      <c r="I384" s="21">
        <f>SUMIFS(Einzelbeträge!$D:$D,Einzelbeträge!$C:$C,'Ausgaben Vorlage'!$C384,Einzelbeträge!$E:$E,'Ausgaben Vorlage'!I$6)</f>
        <v>0</v>
      </c>
      <c r="J384" s="21">
        <f>SUMIFS(Einzelbeträge!$D:$D,Einzelbeträge!$C:$C,'Ausgaben Vorlage'!$C384,Einzelbeträge!$E:$E,'Ausgaben Vorlage'!J$6)</f>
        <v>0</v>
      </c>
      <c r="K384" s="21">
        <f>SUMIFS(Einzelbeträge!$D:$D,Einzelbeträge!$C:$C,'Ausgaben Vorlage'!$C384,Einzelbeträge!$E:$E,'Ausgaben Vorlage'!K$6)</f>
        <v>0</v>
      </c>
      <c r="L384" s="21">
        <f>SUMIFS(Einzelbeträge!$D:$D,Einzelbeträge!$C:$C,'Ausgaben Vorlage'!$C384,Einzelbeträge!$E:$E,'Ausgaben Vorlage'!L$6)</f>
        <v>0</v>
      </c>
      <c r="M384" s="21">
        <f>SUMIFS(Einzelbeträge!$D:$D,Einzelbeträge!$C:$C,'Ausgaben Vorlage'!$C384,Einzelbeträge!$E:$E,'Ausgaben Vorlage'!M$6)</f>
        <v>0</v>
      </c>
      <c r="N384" s="35">
        <f>SUMIFS(Einzelbeträge!$D:$D,Einzelbeträge!$C:$C,'Ausgaben Vorlage'!$C384,Einzelbeträge!$E:$E,'Ausgaben Vorlage'!N$6)</f>
        <v>0</v>
      </c>
      <c r="O384" s="6"/>
    </row>
    <row r="385" spans="2:15" x14ac:dyDescent="0.35">
      <c r="B385" s="5"/>
      <c r="C385" s="40">
        <f t="shared" si="27"/>
        <v>46002</v>
      </c>
      <c r="D385" s="46">
        <f>SUMIFS(Einzelbeträge!$D:$D,Einzelbeträge!$C:$C,'Ausgaben Vorlage'!$C385)</f>
        <v>0</v>
      </c>
      <c r="E385" s="21">
        <f>SUMIFS(Einzelbeträge!$D:$D,Einzelbeträge!$C:$C,'Ausgaben Vorlage'!$C385,Einzelbeträge!$E:$E,'Ausgaben Vorlage'!E$6)</f>
        <v>0</v>
      </c>
      <c r="F385" s="21">
        <f>SUMIFS(Einzelbeträge!$D:$D,Einzelbeträge!$C:$C,'Ausgaben Vorlage'!$C385,Einzelbeträge!$E:$E,'Ausgaben Vorlage'!F$6)</f>
        <v>0</v>
      </c>
      <c r="G385" s="21">
        <f>SUMIFS(Einzelbeträge!$D:$D,Einzelbeträge!$C:$C,'Ausgaben Vorlage'!$C385,Einzelbeträge!$E:$E,'Ausgaben Vorlage'!G$6)</f>
        <v>0</v>
      </c>
      <c r="H385" s="21">
        <f>SUMIFS(Einzelbeträge!$D:$D,Einzelbeträge!$C:$C,'Ausgaben Vorlage'!$C385,Einzelbeträge!$E:$E,'Ausgaben Vorlage'!H$6)</f>
        <v>0</v>
      </c>
      <c r="I385" s="21">
        <f>SUMIFS(Einzelbeträge!$D:$D,Einzelbeträge!$C:$C,'Ausgaben Vorlage'!$C385,Einzelbeträge!$E:$E,'Ausgaben Vorlage'!I$6)</f>
        <v>0</v>
      </c>
      <c r="J385" s="21">
        <f>SUMIFS(Einzelbeträge!$D:$D,Einzelbeträge!$C:$C,'Ausgaben Vorlage'!$C385,Einzelbeträge!$E:$E,'Ausgaben Vorlage'!J$6)</f>
        <v>0</v>
      </c>
      <c r="K385" s="21">
        <f>SUMIFS(Einzelbeträge!$D:$D,Einzelbeträge!$C:$C,'Ausgaben Vorlage'!$C385,Einzelbeträge!$E:$E,'Ausgaben Vorlage'!K$6)</f>
        <v>0</v>
      </c>
      <c r="L385" s="21">
        <f>SUMIFS(Einzelbeträge!$D:$D,Einzelbeträge!$C:$C,'Ausgaben Vorlage'!$C385,Einzelbeträge!$E:$E,'Ausgaben Vorlage'!L$6)</f>
        <v>0</v>
      </c>
      <c r="M385" s="21">
        <f>SUMIFS(Einzelbeträge!$D:$D,Einzelbeträge!$C:$C,'Ausgaben Vorlage'!$C385,Einzelbeträge!$E:$E,'Ausgaben Vorlage'!M$6)</f>
        <v>0</v>
      </c>
      <c r="N385" s="35">
        <f>SUMIFS(Einzelbeträge!$D:$D,Einzelbeträge!$C:$C,'Ausgaben Vorlage'!$C385,Einzelbeträge!$E:$E,'Ausgaben Vorlage'!N$6)</f>
        <v>0</v>
      </c>
      <c r="O385" s="6"/>
    </row>
    <row r="386" spans="2:15" x14ac:dyDescent="0.35">
      <c r="B386" s="5"/>
      <c r="C386" s="40">
        <f t="shared" si="27"/>
        <v>46003</v>
      </c>
      <c r="D386" s="46">
        <f>SUMIFS(Einzelbeträge!$D:$D,Einzelbeträge!$C:$C,'Ausgaben Vorlage'!$C386)</f>
        <v>0</v>
      </c>
      <c r="E386" s="21">
        <f>SUMIFS(Einzelbeträge!$D:$D,Einzelbeträge!$C:$C,'Ausgaben Vorlage'!$C386,Einzelbeträge!$E:$E,'Ausgaben Vorlage'!E$6)</f>
        <v>0</v>
      </c>
      <c r="F386" s="21">
        <f>SUMIFS(Einzelbeträge!$D:$D,Einzelbeträge!$C:$C,'Ausgaben Vorlage'!$C386,Einzelbeträge!$E:$E,'Ausgaben Vorlage'!F$6)</f>
        <v>0</v>
      </c>
      <c r="G386" s="21">
        <f>SUMIFS(Einzelbeträge!$D:$D,Einzelbeträge!$C:$C,'Ausgaben Vorlage'!$C386,Einzelbeträge!$E:$E,'Ausgaben Vorlage'!G$6)</f>
        <v>0</v>
      </c>
      <c r="H386" s="21">
        <f>SUMIFS(Einzelbeträge!$D:$D,Einzelbeträge!$C:$C,'Ausgaben Vorlage'!$C386,Einzelbeträge!$E:$E,'Ausgaben Vorlage'!H$6)</f>
        <v>0</v>
      </c>
      <c r="I386" s="21">
        <f>SUMIFS(Einzelbeträge!$D:$D,Einzelbeträge!$C:$C,'Ausgaben Vorlage'!$C386,Einzelbeträge!$E:$E,'Ausgaben Vorlage'!I$6)</f>
        <v>0</v>
      </c>
      <c r="J386" s="21">
        <f>SUMIFS(Einzelbeträge!$D:$D,Einzelbeträge!$C:$C,'Ausgaben Vorlage'!$C386,Einzelbeträge!$E:$E,'Ausgaben Vorlage'!J$6)</f>
        <v>0</v>
      </c>
      <c r="K386" s="21">
        <f>SUMIFS(Einzelbeträge!$D:$D,Einzelbeträge!$C:$C,'Ausgaben Vorlage'!$C386,Einzelbeträge!$E:$E,'Ausgaben Vorlage'!K$6)</f>
        <v>0</v>
      </c>
      <c r="L386" s="21">
        <f>SUMIFS(Einzelbeträge!$D:$D,Einzelbeträge!$C:$C,'Ausgaben Vorlage'!$C386,Einzelbeträge!$E:$E,'Ausgaben Vorlage'!L$6)</f>
        <v>0</v>
      </c>
      <c r="M386" s="21">
        <f>SUMIFS(Einzelbeträge!$D:$D,Einzelbeträge!$C:$C,'Ausgaben Vorlage'!$C386,Einzelbeträge!$E:$E,'Ausgaben Vorlage'!M$6)</f>
        <v>0</v>
      </c>
      <c r="N386" s="35">
        <f>SUMIFS(Einzelbeträge!$D:$D,Einzelbeträge!$C:$C,'Ausgaben Vorlage'!$C386,Einzelbeträge!$E:$E,'Ausgaben Vorlage'!N$6)</f>
        <v>0</v>
      </c>
      <c r="O386" s="6"/>
    </row>
    <row r="387" spans="2:15" x14ac:dyDescent="0.35">
      <c r="B387" s="5"/>
      <c r="C387" s="40">
        <f t="shared" si="27"/>
        <v>46004</v>
      </c>
      <c r="D387" s="46">
        <f>SUMIFS(Einzelbeträge!$D:$D,Einzelbeträge!$C:$C,'Ausgaben Vorlage'!$C387)</f>
        <v>0</v>
      </c>
      <c r="E387" s="21">
        <f>SUMIFS(Einzelbeträge!$D:$D,Einzelbeträge!$C:$C,'Ausgaben Vorlage'!$C387,Einzelbeträge!$E:$E,'Ausgaben Vorlage'!E$6)</f>
        <v>0</v>
      </c>
      <c r="F387" s="21">
        <f>SUMIFS(Einzelbeträge!$D:$D,Einzelbeträge!$C:$C,'Ausgaben Vorlage'!$C387,Einzelbeträge!$E:$E,'Ausgaben Vorlage'!F$6)</f>
        <v>0</v>
      </c>
      <c r="G387" s="21">
        <f>SUMIFS(Einzelbeträge!$D:$D,Einzelbeträge!$C:$C,'Ausgaben Vorlage'!$C387,Einzelbeträge!$E:$E,'Ausgaben Vorlage'!G$6)</f>
        <v>0</v>
      </c>
      <c r="H387" s="21">
        <f>SUMIFS(Einzelbeträge!$D:$D,Einzelbeträge!$C:$C,'Ausgaben Vorlage'!$C387,Einzelbeträge!$E:$E,'Ausgaben Vorlage'!H$6)</f>
        <v>0</v>
      </c>
      <c r="I387" s="21">
        <f>SUMIFS(Einzelbeträge!$D:$D,Einzelbeträge!$C:$C,'Ausgaben Vorlage'!$C387,Einzelbeträge!$E:$E,'Ausgaben Vorlage'!I$6)</f>
        <v>0</v>
      </c>
      <c r="J387" s="21">
        <f>SUMIFS(Einzelbeträge!$D:$D,Einzelbeträge!$C:$C,'Ausgaben Vorlage'!$C387,Einzelbeträge!$E:$E,'Ausgaben Vorlage'!J$6)</f>
        <v>0</v>
      </c>
      <c r="K387" s="21">
        <f>SUMIFS(Einzelbeträge!$D:$D,Einzelbeträge!$C:$C,'Ausgaben Vorlage'!$C387,Einzelbeträge!$E:$E,'Ausgaben Vorlage'!K$6)</f>
        <v>0</v>
      </c>
      <c r="L387" s="21">
        <f>SUMIFS(Einzelbeträge!$D:$D,Einzelbeträge!$C:$C,'Ausgaben Vorlage'!$C387,Einzelbeträge!$E:$E,'Ausgaben Vorlage'!L$6)</f>
        <v>0</v>
      </c>
      <c r="M387" s="21">
        <f>SUMIFS(Einzelbeträge!$D:$D,Einzelbeträge!$C:$C,'Ausgaben Vorlage'!$C387,Einzelbeträge!$E:$E,'Ausgaben Vorlage'!M$6)</f>
        <v>0</v>
      </c>
      <c r="N387" s="35">
        <f>SUMIFS(Einzelbeträge!$D:$D,Einzelbeträge!$C:$C,'Ausgaben Vorlage'!$C387,Einzelbeträge!$E:$E,'Ausgaben Vorlage'!N$6)</f>
        <v>0</v>
      </c>
      <c r="O387" s="6"/>
    </row>
    <row r="388" spans="2:15" x14ac:dyDescent="0.35">
      <c r="B388" s="5"/>
      <c r="C388" s="40">
        <f t="shared" si="27"/>
        <v>46005</v>
      </c>
      <c r="D388" s="46">
        <f>SUMIFS(Einzelbeträge!$D:$D,Einzelbeträge!$C:$C,'Ausgaben Vorlage'!$C388)</f>
        <v>0</v>
      </c>
      <c r="E388" s="21">
        <f>SUMIFS(Einzelbeträge!$D:$D,Einzelbeträge!$C:$C,'Ausgaben Vorlage'!$C388,Einzelbeträge!$E:$E,'Ausgaben Vorlage'!E$6)</f>
        <v>0</v>
      </c>
      <c r="F388" s="21">
        <f>SUMIFS(Einzelbeträge!$D:$D,Einzelbeträge!$C:$C,'Ausgaben Vorlage'!$C388,Einzelbeträge!$E:$E,'Ausgaben Vorlage'!F$6)</f>
        <v>0</v>
      </c>
      <c r="G388" s="21">
        <f>SUMIFS(Einzelbeträge!$D:$D,Einzelbeträge!$C:$C,'Ausgaben Vorlage'!$C388,Einzelbeträge!$E:$E,'Ausgaben Vorlage'!G$6)</f>
        <v>0</v>
      </c>
      <c r="H388" s="21">
        <f>SUMIFS(Einzelbeträge!$D:$D,Einzelbeträge!$C:$C,'Ausgaben Vorlage'!$C388,Einzelbeträge!$E:$E,'Ausgaben Vorlage'!H$6)</f>
        <v>0</v>
      </c>
      <c r="I388" s="21">
        <f>SUMIFS(Einzelbeträge!$D:$D,Einzelbeträge!$C:$C,'Ausgaben Vorlage'!$C388,Einzelbeträge!$E:$E,'Ausgaben Vorlage'!I$6)</f>
        <v>0</v>
      </c>
      <c r="J388" s="21">
        <f>SUMIFS(Einzelbeträge!$D:$D,Einzelbeträge!$C:$C,'Ausgaben Vorlage'!$C388,Einzelbeträge!$E:$E,'Ausgaben Vorlage'!J$6)</f>
        <v>0</v>
      </c>
      <c r="K388" s="21">
        <f>SUMIFS(Einzelbeträge!$D:$D,Einzelbeträge!$C:$C,'Ausgaben Vorlage'!$C388,Einzelbeträge!$E:$E,'Ausgaben Vorlage'!K$6)</f>
        <v>0</v>
      </c>
      <c r="L388" s="21">
        <f>SUMIFS(Einzelbeträge!$D:$D,Einzelbeträge!$C:$C,'Ausgaben Vorlage'!$C388,Einzelbeträge!$E:$E,'Ausgaben Vorlage'!L$6)</f>
        <v>0</v>
      </c>
      <c r="M388" s="21">
        <f>SUMIFS(Einzelbeträge!$D:$D,Einzelbeträge!$C:$C,'Ausgaben Vorlage'!$C388,Einzelbeträge!$E:$E,'Ausgaben Vorlage'!M$6)</f>
        <v>0</v>
      </c>
      <c r="N388" s="35">
        <f>SUMIFS(Einzelbeträge!$D:$D,Einzelbeträge!$C:$C,'Ausgaben Vorlage'!$C388,Einzelbeträge!$E:$E,'Ausgaben Vorlage'!N$6)</f>
        <v>0</v>
      </c>
      <c r="O388" s="6"/>
    </row>
    <row r="389" spans="2:15" x14ac:dyDescent="0.35">
      <c r="B389" s="5"/>
      <c r="C389" s="40">
        <f t="shared" si="27"/>
        <v>46006</v>
      </c>
      <c r="D389" s="46">
        <f>SUMIFS(Einzelbeträge!$D:$D,Einzelbeträge!$C:$C,'Ausgaben Vorlage'!$C389)</f>
        <v>0</v>
      </c>
      <c r="E389" s="21">
        <f>SUMIFS(Einzelbeträge!$D:$D,Einzelbeträge!$C:$C,'Ausgaben Vorlage'!$C389,Einzelbeträge!$E:$E,'Ausgaben Vorlage'!E$6)</f>
        <v>0</v>
      </c>
      <c r="F389" s="21">
        <f>SUMIFS(Einzelbeträge!$D:$D,Einzelbeträge!$C:$C,'Ausgaben Vorlage'!$C389,Einzelbeträge!$E:$E,'Ausgaben Vorlage'!F$6)</f>
        <v>0</v>
      </c>
      <c r="G389" s="21">
        <f>SUMIFS(Einzelbeträge!$D:$D,Einzelbeträge!$C:$C,'Ausgaben Vorlage'!$C389,Einzelbeträge!$E:$E,'Ausgaben Vorlage'!G$6)</f>
        <v>0</v>
      </c>
      <c r="H389" s="21">
        <f>SUMIFS(Einzelbeträge!$D:$D,Einzelbeträge!$C:$C,'Ausgaben Vorlage'!$C389,Einzelbeträge!$E:$E,'Ausgaben Vorlage'!H$6)</f>
        <v>0</v>
      </c>
      <c r="I389" s="21">
        <f>SUMIFS(Einzelbeträge!$D:$D,Einzelbeträge!$C:$C,'Ausgaben Vorlage'!$C389,Einzelbeträge!$E:$E,'Ausgaben Vorlage'!I$6)</f>
        <v>0</v>
      </c>
      <c r="J389" s="21">
        <f>SUMIFS(Einzelbeträge!$D:$D,Einzelbeträge!$C:$C,'Ausgaben Vorlage'!$C389,Einzelbeträge!$E:$E,'Ausgaben Vorlage'!J$6)</f>
        <v>0</v>
      </c>
      <c r="K389" s="21">
        <f>SUMIFS(Einzelbeträge!$D:$D,Einzelbeträge!$C:$C,'Ausgaben Vorlage'!$C389,Einzelbeträge!$E:$E,'Ausgaben Vorlage'!K$6)</f>
        <v>0</v>
      </c>
      <c r="L389" s="21">
        <f>SUMIFS(Einzelbeträge!$D:$D,Einzelbeträge!$C:$C,'Ausgaben Vorlage'!$C389,Einzelbeträge!$E:$E,'Ausgaben Vorlage'!L$6)</f>
        <v>0</v>
      </c>
      <c r="M389" s="21">
        <f>SUMIFS(Einzelbeträge!$D:$D,Einzelbeträge!$C:$C,'Ausgaben Vorlage'!$C389,Einzelbeträge!$E:$E,'Ausgaben Vorlage'!M$6)</f>
        <v>0</v>
      </c>
      <c r="N389" s="35">
        <f>SUMIFS(Einzelbeträge!$D:$D,Einzelbeträge!$C:$C,'Ausgaben Vorlage'!$C389,Einzelbeträge!$E:$E,'Ausgaben Vorlage'!N$6)</f>
        <v>0</v>
      </c>
      <c r="O389" s="6"/>
    </row>
    <row r="390" spans="2:15" x14ac:dyDescent="0.35">
      <c r="B390" s="5"/>
      <c r="C390" s="40">
        <f t="shared" si="27"/>
        <v>46007</v>
      </c>
      <c r="D390" s="46">
        <f>SUMIFS(Einzelbeträge!$D:$D,Einzelbeträge!$C:$C,'Ausgaben Vorlage'!$C390)</f>
        <v>0</v>
      </c>
      <c r="E390" s="21">
        <f>SUMIFS(Einzelbeträge!$D:$D,Einzelbeträge!$C:$C,'Ausgaben Vorlage'!$C390,Einzelbeträge!$E:$E,'Ausgaben Vorlage'!E$6)</f>
        <v>0</v>
      </c>
      <c r="F390" s="21">
        <f>SUMIFS(Einzelbeträge!$D:$D,Einzelbeträge!$C:$C,'Ausgaben Vorlage'!$C390,Einzelbeträge!$E:$E,'Ausgaben Vorlage'!F$6)</f>
        <v>0</v>
      </c>
      <c r="G390" s="21">
        <f>SUMIFS(Einzelbeträge!$D:$D,Einzelbeträge!$C:$C,'Ausgaben Vorlage'!$C390,Einzelbeträge!$E:$E,'Ausgaben Vorlage'!G$6)</f>
        <v>0</v>
      </c>
      <c r="H390" s="21">
        <f>SUMIFS(Einzelbeträge!$D:$D,Einzelbeträge!$C:$C,'Ausgaben Vorlage'!$C390,Einzelbeträge!$E:$E,'Ausgaben Vorlage'!H$6)</f>
        <v>0</v>
      </c>
      <c r="I390" s="21">
        <f>SUMIFS(Einzelbeträge!$D:$D,Einzelbeträge!$C:$C,'Ausgaben Vorlage'!$C390,Einzelbeträge!$E:$E,'Ausgaben Vorlage'!I$6)</f>
        <v>0</v>
      </c>
      <c r="J390" s="21">
        <f>SUMIFS(Einzelbeträge!$D:$D,Einzelbeträge!$C:$C,'Ausgaben Vorlage'!$C390,Einzelbeträge!$E:$E,'Ausgaben Vorlage'!J$6)</f>
        <v>0</v>
      </c>
      <c r="K390" s="21">
        <f>SUMIFS(Einzelbeträge!$D:$D,Einzelbeträge!$C:$C,'Ausgaben Vorlage'!$C390,Einzelbeträge!$E:$E,'Ausgaben Vorlage'!K$6)</f>
        <v>0</v>
      </c>
      <c r="L390" s="21">
        <f>SUMIFS(Einzelbeträge!$D:$D,Einzelbeträge!$C:$C,'Ausgaben Vorlage'!$C390,Einzelbeträge!$E:$E,'Ausgaben Vorlage'!L$6)</f>
        <v>0</v>
      </c>
      <c r="M390" s="21">
        <f>SUMIFS(Einzelbeträge!$D:$D,Einzelbeträge!$C:$C,'Ausgaben Vorlage'!$C390,Einzelbeträge!$E:$E,'Ausgaben Vorlage'!M$6)</f>
        <v>0</v>
      </c>
      <c r="N390" s="35">
        <f>SUMIFS(Einzelbeträge!$D:$D,Einzelbeträge!$C:$C,'Ausgaben Vorlage'!$C390,Einzelbeträge!$E:$E,'Ausgaben Vorlage'!N$6)</f>
        <v>0</v>
      </c>
      <c r="O390" s="6"/>
    </row>
    <row r="391" spans="2:15" x14ac:dyDescent="0.35">
      <c r="B391" s="5"/>
      <c r="C391" s="40">
        <f t="shared" si="27"/>
        <v>46008</v>
      </c>
      <c r="D391" s="46">
        <f>SUMIFS(Einzelbeträge!$D:$D,Einzelbeträge!$C:$C,'Ausgaben Vorlage'!$C391)</f>
        <v>0</v>
      </c>
      <c r="E391" s="21">
        <f>SUMIFS(Einzelbeträge!$D:$D,Einzelbeträge!$C:$C,'Ausgaben Vorlage'!$C391,Einzelbeträge!$E:$E,'Ausgaben Vorlage'!E$6)</f>
        <v>0</v>
      </c>
      <c r="F391" s="21">
        <f>SUMIFS(Einzelbeträge!$D:$D,Einzelbeträge!$C:$C,'Ausgaben Vorlage'!$C391,Einzelbeträge!$E:$E,'Ausgaben Vorlage'!F$6)</f>
        <v>0</v>
      </c>
      <c r="G391" s="21">
        <f>SUMIFS(Einzelbeträge!$D:$D,Einzelbeträge!$C:$C,'Ausgaben Vorlage'!$C391,Einzelbeträge!$E:$E,'Ausgaben Vorlage'!G$6)</f>
        <v>0</v>
      </c>
      <c r="H391" s="21">
        <f>SUMIFS(Einzelbeträge!$D:$D,Einzelbeträge!$C:$C,'Ausgaben Vorlage'!$C391,Einzelbeträge!$E:$E,'Ausgaben Vorlage'!H$6)</f>
        <v>0</v>
      </c>
      <c r="I391" s="21">
        <f>SUMIFS(Einzelbeträge!$D:$D,Einzelbeträge!$C:$C,'Ausgaben Vorlage'!$C391,Einzelbeträge!$E:$E,'Ausgaben Vorlage'!I$6)</f>
        <v>0</v>
      </c>
      <c r="J391" s="21">
        <f>SUMIFS(Einzelbeträge!$D:$D,Einzelbeträge!$C:$C,'Ausgaben Vorlage'!$C391,Einzelbeträge!$E:$E,'Ausgaben Vorlage'!J$6)</f>
        <v>0</v>
      </c>
      <c r="K391" s="21">
        <f>SUMIFS(Einzelbeträge!$D:$D,Einzelbeträge!$C:$C,'Ausgaben Vorlage'!$C391,Einzelbeträge!$E:$E,'Ausgaben Vorlage'!K$6)</f>
        <v>0</v>
      </c>
      <c r="L391" s="21">
        <f>SUMIFS(Einzelbeträge!$D:$D,Einzelbeträge!$C:$C,'Ausgaben Vorlage'!$C391,Einzelbeträge!$E:$E,'Ausgaben Vorlage'!L$6)</f>
        <v>0</v>
      </c>
      <c r="M391" s="21">
        <f>SUMIFS(Einzelbeträge!$D:$D,Einzelbeträge!$C:$C,'Ausgaben Vorlage'!$C391,Einzelbeträge!$E:$E,'Ausgaben Vorlage'!M$6)</f>
        <v>0</v>
      </c>
      <c r="N391" s="35">
        <f>SUMIFS(Einzelbeträge!$D:$D,Einzelbeträge!$C:$C,'Ausgaben Vorlage'!$C391,Einzelbeträge!$E:$E,'Ausgaben Vorlage'!N$6)</f>
        <v>0</v>
      </c>
      <c r="O391" s="6"/>
    </row>
    <row r="392" spans="2:15" x14ac:dyDescent="0.35">
      <c r="B392" s="5"/>
      <c r="C392" s="40">
        <f t="shared" si="27"/>
        <v>46009</v>
      </c>
      <c r="D392" s="46">
        <f>SUMIFS(Einzelbeträge!$D:$D,Einzelbeträge!$C:$C,'Ausgaben Vorlage'!$C392)</f>
        <v>0</v>
      </c>
      <c r="E392" s="21">
        <f>SUMIFS(Einzelbeträge!$D:$D,Einzelbeträge!$C:$C,'Ausgaben Vorlage'!$C392,Einzelbeträge!$E:$E,'Ausgaben Vorlage'!E$6)</f>
        <v>0</v>
      </c>
      <c r="F392" s="21">
        <f>SUMIFS(Einzelbeträge!$D:$D,Einzelbeträge!$C:$C,'Ausgaben Vorlage'!$C392,Einzelbeträge!$E:$E,'Ausgaben Vorlage'!F$6)</f>
        <v>0</v>
      </c>
      <c r="G392" s="21">
        <f>SUMIFS(Einzelbeträge!$D:$D,Einzelbeträge!$C:$C,'Ausgaben Vorlage'!$C392,Einzelbeträge!$E:$E,'Ausgaben Vorlage'!G$6)</f>
        <v>0</v>
      </c>
      <c r="H392" s="21">
        <f>SUMIFS(Einzelbeträge!$D:$D,Einzelbeträge!$C:$C,'Ausgaben Vorlage'!$C392,Einzelbeträge!$E:$E,'Ausgaben Vorlage'!H$6)</f>
        <v>0</v>
      </c>
      <c r="I392" s="21">
        <f>SUMIFS(Einzelbeträge!$D:$D,Einzelbeträge!$C:$C,'Ausgaben Vorlage'!$C392,Einzelbeträge!$E:$E,'Ausgaben Vorlage'!I$6)</f>
        <v>0</v>
      </c>
      <c r="J392" s="21">
        <f>SUMIFS(Einzelbeträge!$D:$D,Einzelbeträge!$C:$C,'Ausgaben Vorlage'!$C392,Einzelbeträge!$E:$E,'Ausgaben Vorlage'!J$6)</f>
        <v>0</v>
      </c>
      <c r="K392" s="21">
        <f>SUMIFS(Einzelbeträge!$D:$D,Einzelbeträge!$C:$C,'Ausgaben Vorlage'!$C392,Einzelbeträge!$E:$E,'Ausgaben Vorlage'!K$6)</f>
        <v>0</v>
      </c>
      <c r="L392" s="21">
        <f>SUMIFS(Einzelbeträge!$D:$D,Einzelbeträge!$C:$C,'Ausgaben Vorlage'!$C392,Einzelbeträge!$E:$E,'Ausgaben Vorlage'!L$6)</f>
        <v>0</v>
      </c>
      <c r="M392" s="21">
        <f>SUMIFS(Einzelbeträge!$D:$D,Einzelbeträge!$C:$C,'Ausgaben Vorlage'!$C392,Einzelbeträge!$E:$E,'Ausgaben Vorlage'!M$6)</f>
        <v>0</v>
      </c>
      <c r="N392" s="35">
        <f>SUMIFS(Einzelbeträge!$D:$D,Einzelbeträge!$C:$C,'Ausgaben Vorlage'!$C392,Einzelbeträge!$E:$E,'Ausgaben Vorlage'!N$6)</f>
        <v>0</v>
      </c>
      <c r="O392" s="6"/>
    </row>
    <row r="393" spans="2:15" x14ac:dyDescent="0.35">
      <c r="B393" s="5"/>
      <c r="C393" s="40">
        <f t="shared" si="27"/>
        <v>46010</v>
      </c>
      <c r="D393" s="46">
        <f>SUMIFS(Einzelbeträge!$D:$D,Einzelbeträge!$C:$C,'Ausgaben Vorlage'!$C393)</f>
        <v>0</v>
      </c>
      <c r="E393" s="21">
        <f>SUMIFS(Einzelbeträge!$D:$D,Einzelbeträge!$C:$C,'Ausgaben Vorlage'!$C393,Einzelbeträge!$E:$E,'Ausgaben Vorlage'!E$6)</f>
        <v>0</v>
      </c>
      <c r="F393" s="21">
        <f>SUMIFS(Einzelbeträge!$D:$D,Einzelbeträge!$C:$C,'Ausgaben Vorlage'!$C393,Einzelbeträge!$E:$E,'Ausgaben Vorlage'!F$6)</f>
        <v>0</v>
      </c>
      <c r="G393" s="21">
        <f>SUMIFS(Einzelbeträge!$D:$D,Einzelbeträge!$C:$C,'Ausgaben Vorlage'!$C393,Einzelbeträge!$E:$E,'Ausgaben Vorlage'!G$6)</f>
        <v>0</v>
      </c>
      <c r="H393" s="21">
        <f>SUMIFS(Einzelbeträge!$D:$D,Einzelbeträge!$C:$C,'Ausgaben Vorlage'!$C393,Einzelbeträge!$E:$E,'Ausgaben Vorlage'!H$6)</f>
        <v>0</v>
      </c>
      <c r="I393" s="21">
        <f>SUMIFS(Einzelbeträge!$D:$D,Einzelbeträge!$C:$C,'Ausgaben Vorlage'!$C393,Einzelbeträge!$E:$E,'Ausgaben Vorlage'!I$6)</f>
        <v>0</v>
      </c>
      <c r="J393" s="21">
        <f>SUMIFS(Einzelbeträge!$D:$D,Einzelbeträge!$C:$C,'Ausgaben Vorlage'!$C393,Einzelbeträge!$E:$E,'Ausgaben Vorlage'!J$6)</f>
        <v>0</v>
      </c>
      <c r="K393" s="21">
        <f>SUMIFS(Einzelbeträge!$D:$D,Einzelbeträge!$C:$C,'Ausgaben Vorlage'!$C393,Einzelbeträge!$E:$E,'Ausgaben Vorlage'!K$6)</f>
        <v>0</v>
      </c>
      <c r="L393" s="21">
        <f>SUMIFS(Einzelbeträge!$D:$D,Einzelbeträge!$C:$C,'Ausgaben Vorlage'!$C393,Einzelbeträge!$E:$E,'Ausgaben Vorlage'!L$6)</f>
        <v>0</v>
      </c>
      <c r="M393" s="21">
        <f>SUMIFS(Einzelbeträge!$D:$D,Einzelbeträge!$C:$C,'Ausgaben Vorlage'!$C393,Einzelbeträge!$E:$E,'Ausgaben Vorlage'!M$6)</f>
        <v>0</v>
      </c>
      <c r="N393" s="35">
        <f>SUMIFS(Einzelbeträge!$D:$D,Einzelbeträge!$C:$C,'Ausgaben Vorlage'!$C393,Einzelbeträge!$E:$E,'Ausgaben Vorlage'!N$6)</f>
        <v>0</v>
      </c>
      <c r="O393" s="6"/>
    </row>
    <row r="394" spans="2:15" x14ac:dyDescent="0.35">
      <c r="B394" s="5"/>
      <c r="C394" s="40">
        <f t="shared" si="27"/>
        <v>46011</v>
      </c>
      <c r="D394" s="46">
        <f>SUMIFS(Einzelbeträge!$D:$D,Einzelbeträge!$C:$C,'Ausgaben Vorlage'!$C394)</f>
        <v>0</v>
      </c>
      <c r="E394" s="21">
        <f>SUMIFS(Einzelbeträge!$D:$D,Einzelbeträge!$C:$C,'Ausgaben Vorlage'!$C394,Einzelbeträge!$E:$E,'Ausgaben Vorlage'!E$6)</f>
        <v>0</v>
      </c>
      <c r="F394" s="21">
        <f>SUMIFS(Einzelbeträge!$D:$D,Einzelbeträge!$C:$C,'Ausgaben Vorlage'!$C394,Einzelbeträge!$E:$E,'Ausgaben Vorlage'!F$6)</f>
        <v>0</v>
      </c>
      <c r="G394" s="21">
        <f>SUMIFS(Einzelbeträge!$D:$D,Einzelbeträge!$C:$C,'Ausgaben Vorlage'!$C394,Einzelbeträge!$E:$E,'Ausgaben Vorlage'!G$6)</f>
        <v>0</v>
      </c>
      <c r="H394" s="21">
        <f>SUMIFS(Einzelbeträge!$D:$D,Einzelbeträge!$C:$C,'Ausgaben Vorlage'!$C394,Einzelbeträge!$E:$E,'Ausgaben Vorlage'!H$6)</f>
        <v>0</v>
      </c>
      <c r="I394" s="21">
        <f>SUMIFS(Einzelbeträge!$D:$D,Einzelbeträge!$C:$C,'Ausgaben Vorlage'!$C394,Einzelbeträge!$E:$E,'Ausgaben Vorlage'!I$6)</f>
        <v>0</v>
      </c>
      <c r="J394" s="21">
        <f>SUMIFS(Einzelbeträge!$D:$D,Einzelbeträge!$C:$C,'Ausgaben Vorlage'!$C394,Einzelbeträge!$E:$E,'Ausgaben Vorlage'!J$6)</f>
        <v>0</v>
      </c>
      <c r="K394" s="21">
        <f>SUMIFS(Einzelbeträge!$D:$D,Einzelbeträge!$C:$C,'Ausgaben Vorlage'!$C394,Einzelbeträge!$E:$E,'Ausgaben Vorlage'!K$6)</f>
        <v>0</v>
      </c>
      <c r="L394" s="21">
        <f>SUMIFS(Einzelbeträge!$D:$D,Einzelbeträge!$C:$C,'Ausgaben Vorlage'!$C394,Einzelbeträge!$E:$E,'Ausgaben Vorlage'!L$6)</f>
        <v>0</v>
      </c>
      <c r="M394" s="21">
        <f>SUMIFS(Einzelbeträge!$D:$D,Einzelbeträge!$C:$C,'Ausgaben Vorlage'!$C394,Einzelbeträge!$E:$E,'Ausgaben Vorlage'!M$6)</f>
        <v>0</v>
      </c>
      <c r="N394" s="35">
        <f>SUMIFS(Einzelbeträge!$D:$D,Einzelbeträge!$C:$C,'Ausgaben Vorlage'!$C394,Einzelbeträge!$E:$E,'Ausgaben Vorlage'!N$6)</f>
        <v>0</v>
      </c>
      <c r="O394" s="6"/>
    </row>
    <row r="395" spans="2:15" x14ac:dyDescent="0.35">
      <c r="B395" s="5"/>
      <c r="C395" s="40">
        <f t="shared" si="27"/>
        <v>46012</v>
      </c>
      <c r="D395" s="46">
        <f>SUMIFS(Einzelbeträge!$D:$D,Einzelbeträge!$C:$C,'Ausgaben Vorlage'!$C395)</f>
        <v>0</v>
      </c>
      <c r="E395" s="21">
        <f>SUMIFS(Einzelbeträge!$D:$D,Einzelbeträge!$C:$C,'Ausgaben Vorlage'!$C395,Einzelbeträge!$E:$E,'Ausgaben Vorlage'!E$6)</f>
        <v>0</v>
      </c>
      <c r="F395" s="21">
        <f>SUMIFS(Einzelbeträge!$D:$D,Einzelbeträge!$C:$C,'Ausgaben Vorlage'!$C395,Einzelbeträge!$E:$E,'Ausgaben Vorlage'!F$6)</f>
        <v>0</v>
      </c>
      <c r="G395" s="21">
        <f>SUMIFS(Einzelbeträge!$D:$D,Einzelbeträge!$C:$C,'Ausgaben Vorlage'!$C395,Einzelbeträge!$E:$E,'Ausgaben Vorlage'!G$6)</f>
        <v>0</v>
      </c>
      <c r="H395" s="21">
        <f>SUMIFS(Einzelbeträge!$D:$D,Einzelbeträge!$C:$C,'Ausgaben Vorlage'!$C395,Einzelbeträge!$E:$E,'Ausgaben Vorlage'!H$6)</f>
        <v>0</v>
      </c>
      <c r="I395" s="21">
        <f>SUMIFS(Einzelbeträge!$D:$D,Einzelbeträge!$C:$C,'Ausgaben Vorlage'!$C395,Einzelbeträge!$E:$E,'Ausgaben Vorlage'!I$6)</f>
        <v>0</v>
      </c>
      <c r="J395" s="21">
        <f>SUMIFS(Einzelbeträge!$D:$D,Einzelbeträge!$C:$C,'Ausgaben Vorlage'!$C395,Einzelbeträge!$E:$E,'Ausgaben Vorlage'!J$6)</f>
        <v>0</v>
      </c>
      <c r="K395" s="21">
        <f>SUMIFS(Einzelbeträge!$D:$D,Einzelbeträge!$C:$C,'Ausgaben Vorlage'!$C395,Einzelbeträge!$E:$E,'Ausgaben Vorlage'!K$6)</f>
        <v>0</v>
      </c>
      <c r="L395" s="21">
        <f>SUMIFS(Einzelbeträge!$D:$D,Einzelbeträge!$C:$C,'Ausgaben Vorlage'!$C395,Einzelbeträge!$E:$E,'Ausgaben Vorlage'!L$6)</f>
        <v>0</v>
      </c>
      <c r="M395" s="21">
        <f>SUMIFS(Einzelbeträge!$D:$D,Einzelbeträge!$C:$C,'Ausgaben Vorlage'!$C395,Einzelbeträge!$E:$E,'Ausgaben Vorlage'!M$6)</f>
        <v>0</v>
      </c>
      <c r="N395" s="35">
        <f>SUMIFS(Einzelbeträge!$D:$D,Einzelbeträge!$C:$C,'Ausgaben Vorlage'!$C395,Einzelbeträge!$E:$E,'Ausgaben Vorlage'!N$6)</f>
        <v>0</v>
      </c>
      <c r="O395" s="6"/>
    </row>
    <row r="396" spans="2:15" x14ac:dyDescent="0.35">
      <c r="B396" s="5"/>
      <c r="C396" s="40">
        <f t="shared" si="27"/>
        <v>46013</v>
      </c>
      <c r="D396" s="46">
        <f>SUMIFS(Einzelbeträge!$D:$D,Einzelbeträge!$C:$C,'Ausgaben Vorlage'!$C396)</f>
        <v>0</v>
      </c>
      <c r="E396" s="21">
        <f>SUMIFS(Einzelbeträge!$D:$D,Einzelbeträge!$C:$C,'Ausgaben Vorlage'!$C396,Einzelbeträge!$E:$E,'Ausgaben Vorlage'!E$6)</f>
        <v>0</v>
      </c>
      <c r="F396" s="21">
        <f>SUMIFS(Einzelbeträge!$D:$D,Einzelbeträge!$C:$C,'Ausgaben Vorlage'!$C396,Einzelbeträge!$E:$E,'Ausgaben Vorlage'!F$6)</f>
        <v>0</v>
      </c>
      <c r="G396" s="21">
        <f>SUMIFS(Einzelbeträge!$D:$D,Einzelbeträge!$C:$C,'Ausgaben Vorlage'!$C396,Einzelbeträge!$E:$E,'Ausgaben Vorlage'!G$6)</f>
        <v>0</v>
      </c>
      <c r="H396" s="21">
        <f>SUMIFS(Einzelbeträge!$D:$D,Einzelbeträge!$C:$C,'Ausgaben Vorlage'!$C396,Einzelbeträge!$E:$E,'Ausgaben Vorlage'!H$6)</f>
        <v>0</v>
      </c>
      <c r="I396" s="21">
        <f>SUMIFS(Einzelbeträge!$D:$D,Einzelbeträge!$C:$C,'Ausgaben Vorlage'!$C396,Einzelbeträge!$E:$E,'Ausgaben Vorlage'!I$6)</f>
        <v>0</v>
      </c>
      <c r="J396" s="21">
        <f>SUMIFS(Einzelbeträge!$D:$D,Einzelbeträge!$C:$C,'Ausgaben Vorlage'!$C396,Einzelbeträge!$E:$E,'Ausgaben Vorlage'!J$6)</f>
        <v>0</v>
      </c>
      <c r="K396" s="21">
        <f>SUMIFS(Einzelbeträge!$D:$D,Einzelbeträge!$C:$C,'Ausgaben Vorlage'!$C396,Einzelbeträge!$E:$E,'Ausgaben Vorlage'!K$6)</f>
        <v>0</v>
      </c>
      <c r="L396" s="21">
        <f>SUMIFS(Einzelbeträge!$D:$D,Einzelbeträge!$C:$C,'Ausgaben Vorlage'!$C396,Einzelbeträge!$E:$E,'Ausgaben Vorlage'!L$6)</f>
        <v>0</v>
      </c>
      <c r="M396" s="21">
        <f>SUMIFS(Einzelbeträge!$D:$D,Einzelbeträge!$C:$C,'Ausgaben Vorlage'!$C396,Einzelbeträge!$E:$E,'Ausgaben Vorlage'!M$6)</f>
        <v>0</v>
      </c>
      <c r="N396" s="35">
        <f>SUMIFS(Einzelbeträge!$D:$D,Einzelbeträge!$C:$C,'Ausgaben Vorlage'!$C396,Einzelbeträge!$E:$E,'Ausgaben Vorlage'!N$6)</f>
        <v>0</v>
      </c>
      <c r="O396" s="6"/>
    </row>
    <row r="397" spans="2:15" x14ac:dyDescent="0.35">
      <c r="B397" s="5"/>
      <c r="C397" s="40">
        <f t="shared" si="27"/>
        <v>46014</v>
      </c>
      <c r="D397" s="46">
        <f>SUMIFS(Einzelbeträge!$D:$D,Einzelbeträge!$C:$C,'Ausgaben Vorlage'!$C397)</f>
        <v>0</v>
      </c>
      <c r="E397" s="21">
        <f>SUMIFS(Einzelbeträge!$D:$D,Einzelbeträge!$C:$C,'Ausgaben Vorlage'!$C397,Einzelbeträge!$E:$E,'Ausgaben Vorlage'!E$6)</f>
        <v>0</v>
      </c>
      <c r="F397" s="21">
        <f>SUMIFS(Einzelbeträge!$D:$D,Einzelbeträge!$C:$C,'Ausgaben Vorlage'!$C397,Einzelbeträge!$E:$E,'Ausgaben Vorlage'!F$6)</f>
        <v>0</v>
      </c>
      <c r="G397" s="21">
        <f>SUMIFS(Einzelbeträge!$D:$D,Einzelbeträge!$C:$C,'Ausgaben Vorlage'!$C397,Einzelbeträge!$E:$E,'Ausgaben Vorlage'!G$6)</f>
        <v>0</v>
      </c>
      <c r="H397" s="21">
        <f>SUMIFS(Einzelbeträge!$D:$D,Einzelbeträge!$C:$C,'Ausgaben Vorlage'!$C397,Einzelbeträge!$E:$E,'Ausgaben Vorlage'!H$6)</f>
        <v>0</v>
      </c>
      <c r="I397" s="21">
        <f>SUMIFS(Einzelbeträge!$D:$D,Einzelbeträge!$C:$C,'Ausgaben Vorlage'!$C397,Einzelbeträge!$E:$E,'Ausgaben Vorlage'!I$6)</f>
        <v>0</v>
      </c>
      <c r="J397" s="21">
        <f>SUMIFS(Einzelbeträge!$D:$D,Einzelbeträge!$C:$C,'Ausgaben Vorlage'!$C397,Einzelbeträge!$E:$E,'Ausgaben Vorlage'!J$6)</f>
        <v>0</v>
      </c>
      <c r="K397" s="21">
        <f>SUMIFS(Einzelbeträge!$D:$D,Einzelbeträge!$C:$C,'Ausgaben Vorlage'!$C397,Einzelbeträge!$E:$E,'Ausgaben Vorlage'!K$6)</f>
        <v>0</v>
      </c>
      <c r="L397" s="21">
        <f>SUMIFS(Einzelbeträge!$D:$D,Einzelbeträge!$C:$C,'Ausgaben Vorlage'!$C397,Einzelbeträge!$E:$E,'Ausgaben Vorlage'!L$6)</f>
        <v>0</v>
      </c>
      <c r="M397" s="21">
        <f>SUMIFS(Einzelbeträge!$D:$D,Einzelbeträge!$C:$C,'Ausgaben Vorlage'!$C397,Einzelbeträge!$E:$E,'Ausgaben Vorlage'!M$6)</f>
        <v>0</v>
      </c>
      <c r="N397" s="35">
        <f>SUMIFS(Einzelbeträge!$D:$D,Einzelbeträge!$C:$C,'Ausgaben Vorlage'!$C397,Einzelbeträge!$E:$E,'Ausgaben Vorlage'!N$6)</f>
        <v>0</v>
      </c>
      <c r="O397" s="6"/>
    </row>
    <row r="398" spans="2:15" x14ac:dyDescent="0.35">
      <c r="B398" s="5"/>
      <c r="C398" s="40">
        <f t="shared" si="27"/>
        <v>46015</v>
      </c>
      <c r="D398" s="46">
        <f>SUMIFS(Einzelbeträge!$D:$D,Einzelbeträge!$C:$C,'Ausgaben Vorlage'!$C398)</f>
        <v>0</v>
      </c>
      <c r="E398" s="21">
        <f>SUMIFS(Einzelbeträge!$D:$D,Einzelbeträge!$C:$C,'Ausgaben Vorlage'!$C398,Einzelbeträge!$E:$E,'Ausgaben Vorlage'!E$6)</f>
        <v>0</v>
      </c>
      <c r="F398" s="21">
        <f>SUMIFS(Einzelbeträge!$D:$D,Einzelbeträge!$C:$C,'Ausgaben Vorlage'!$C398,Einzelbeträge!$E:$E,'Ausgaben Vorlage'!F$6)</f>
        <v>0</v>
      </c>
      <c r="G398" s="21">
        <f>SUMIFS(Einzelbeträge!$D:$D,Einzelbeträge!$C:$C,'Ausgaben Vorlage'!$C398,Einzelbeträge!$E:$E,'Ausgaben Vorlage'!G$6)</f>
        <v>0</v>
      </c>
      <c r="H398" s="21">
        <f>SUMIFS(Einzelbeträge!$D:$D,Einzelbeträge!$C:$C,'Ausgaben Vorlage'!$C398,Einzelbeträge!$E:$E,'Ausgaben Vorlage'!H$6)</f>
        <v>0</v>
      </c>
      <c r="I398" s="21">
        <f>SUMIFS(Einzelbeträge!$D:$D,Einzelbeträge!$C:$C,'Ausgaben Vorlage'!$C398,Einzelbeträge!$E:$E,'Ausgaben Vorlage'!I$6)</f>
        <v>0</v>
      </c>
      <c r="J398" s="21">
        <f>SUMIFS(Einzelbeträge!$D:$D,Einzelbeträge!$C:$C,'Ausgaben Vorlage'!$C398,Einzelbeträge!$E:$E,'Ausgaben Vorlage'!J$6)</f>
        <v>0</v>
      </c>
      <c r="K398" s="21">
        <f>SUMIFS(Einzelbeträge!$D:$D,Einzelbeträge!$C:$C,'Ausgaben Vorlage'!$C398,Einzelbeträge!$E:$E,'Ausgaben Vorlage'!K$6)</f>
        <v>0</v>
      </c>
      <c r="L398" s="21">
        <f>SUMIFS(Einzelbeträge!$D:$D,Einzelbeträge!$C:$C,'Ausgaben Vorlage'!$C398,Einzelbeträge!$E:$E,'Ausgaben Vorlage'!L$6)</f>
        <v>0</v>
      </c>
      <c r="M398" s="21">
        <f>SUMIFS(Einzelbeträge!$D:$D,Einzelbeträge!$C:$C,'Ausgaben Vorlage'!$C398,Einzelbeträge!$E:$E,'Ausgaben Vorlage'!M$6)</f>
        <v>0</v>
      </c>
      <c r="N398" s="35">
        <f>SUMIFS(Einzelbeträge!$D:$D,Einzelbeträge!$C:$C,'Ausgaben Vorlage'!$C398,Einzelbeträge!$E:$E,'Ausgaben Vorlage'!N$6)</f>
        <v>0</v>
      </c>
      <c r="O398" s="6"/>
    </row>
    <row r="399" spans="2:15" x14ac:dyDescent="0.35">
      <c r="B399" s="5"/>
      <c r="C399" s="40">
        <f t="shared" si="27"/>
        <v>46016</v>
      </c>
      <c r="D399" s="46">
        <f>SUMIFS(Einzelbeträge!$D:$D,Einzelbeträge!$C:$C,'Ausgaben Vorlage'!$C399)</f>
        <v>0</v>
      </c>
      <c r="E399" s="21">
        <f>SUMIFS(Einzelbeträge!$D:$D,Einzelbeträge!$C:$C,'Ausgaben Vorlage'!$C399,Einzelbeträge!$E:$E,'Ausgaben Vorlage'!E$6)</f>
        <v>0</v>
      </c>
      <c r="F399" s="21">
        <f>SUMIFS(Einzelbeträge!$D:$D,Einzelbeträge!$C:$C,'Ausgaben Vorlage'!$C399,Einzelbeträge!$E:$E,'Ausgaben Vorlage'!F$6)</f>
        <v>0</v>
      </c>
      <c r="G399" s="21">
        <f>SUMIFS(Einzelbeträge!$D:$D,Einzelbeträge!$C:$C,'Ausgaben Vorlage'!$C399,Einzelbeträge!$E:$E,'Ausgaben Vorlage'!G$6)</f>
        <v>0</v>
      </c>
      <c r="H399" s="21">
        <f>SUMIFS(Einzelbeträge!$D:$D,Einzelbeträge!$C:$C,'Ausgaben Vorlage'!$C399,Einzelbeträge!$E:$E,'Ausgaben Vorlage'!H$6)</f>
        <v>0</v>
      </c>
      <c r="I399" s="21">
        <f>SUMIFS(Einzelbeträge!$D:$D,Einzelbeträge!$C:$C,'Ausgaben Vorlage'!$C399,Einzelbeträge!$E:$E,'Ausgaben Vorlage'!I$6)</f>
        <v>0</v>
      </c>
      <c r="J399" s="21">
        <f>SUMIFS(Einzelbeträge!$D:$D,Einzelbeträge!$C:$C,'Ausgaben Vorlage'!$C399,Einzelbeträge!$E:$E,'Ausgaben Vorlage'!J$6)</f>
        <v>0</v>
      </c>
      <c r="K399" s="21">
        <f>SUMIFS(Einzelbeträge!$D:$D,Einzelbeträge!$C:$C,'Ausgaben Vorlage'!$C399,Einzelbeträge!$E:$E,'Ausgaben Vorlage'!K$6)</f>
        <v>0</v>
      </c>
      <c r="L399" s="21">
        <f>SUMIFS(Einzelbeträge!$D:$D,Einzelbeträge!$C:$C,'Ausgaben Vorlage'!$C399,Einzelbeträge!$E:$E,'Ausgaben Vorlage'!L$6)</f>
        <v>0</v>
      </c>
      <c r="M399" s="21">
        <f>SUMIFS(Einzelbeträge!$D:$D,Einzelbeträge!$C:$C,'Ausgaben Vorlage'!$C399,Einzelbeträge!$E:$E,'Ausgaben Vorlage'!M$6)</f>
        <v>0</v>
      </c>
      <c r="N399" s="35">
        <f>SUMIFS(Einzelbeträge!$D:$D,Einzelbeträge!$C:$C,'Ausgaben Vorlage'!$C399,Einzelbeträge!$E:$E,'Ausgaben Vorlage'!N$6)</f>
        <v>0</v>
      </c>
      <c r="O399" s="6"/>
    </row>
    <row r="400" spans="2:15" x14ac:dyDescent="0.35">
      <c r="B400" s="5"/>
      <c r="C400" s="40">
        <f t="shared" si="27"/>
        <v>46017</v>
      </c>
      <c r="D400" s="46">
        <f>SUMIFS(Einzelbeträge!$D:$D,Einzelbeträge!$C:$C,'Ausgaben Vorlage'!$C400)</f>
        <v>0</v>
      </c>
      <c r="E400" s="21">
        <f>SUMIFS(Einzelbeträge!$D:$D,Einzelbeträge!$C:$C,'Ausgaben Vorlage'!$C400,Einzelbeträge!$E:$E,'Ausgaben Vorlage'!E$6)</f>
        <v>0</v>
      </c>
      <c r="F400" s="21">
        <f>SUMIFS(Einzelbeträge!$D:$D,Einzelbeträge!$C:$C,'Ausgaben Vorlage'!$C400,Einzelbeträge!$E:$E,'Ausgaben Vorlage'!F$6)</f>
        <v>0</v>
      </c>
      <c r="G400" s="21">
        <f>SUMIFS(Einzelbeträge!$D:$D,Einzelbeträge!$C:$C,'Ausgaben Vorlage'!$C400,Einzelbeträge!$E:$E,'Ausgaben Vorlage'!G$6)</f>
        <v>0</v>
      </c>
      <c r="H400" s="21">
        <f>SUMIFS(Einzelbeträge!$D:$D,Einzelbeträge!$C:$C,'Ausgaben Vorlage'!$C400,Einzelbeträge!$E:$E,'Ausgaben Vorlage'!H$6)</f>
        <v>0</v>
      </c>
      <c r="I400" s="21">
        <f>SUMIFS(Einzelbeträge!$D:$D,Einzelbeträge!$C:$C,'Ausgaben Vorlage'!$C400,Einzelbeträge!$E:$E,'Ausgaben Vorlage'!I$6)</f>
        <v>0</v>
      </c>
      <c r="J400" s="21">
        <f>SUMIFS(Einzelbeträge!$D:$D,Einzelbeträge!$C:$C,'Ausgaben Vorlage'!$C400,Einzelbeträge!$E:$E,'Ausgaben Vorlage'!J$6)</f>
        <v>0</v>
      </c>
      <c r="K400" s="21">
        <f>SUMIFS(Einzelbeträge!$D:$D,Einzelbeträge!$C:$C,'Ausgaben Vorlage'!$C400,Einzelbeträge!$E:$E,'Ausgaben Vorlage'!K$6)</f>
        <v>0</v>
      </c>
      <c r="L400" s="21">
        <f>SUMIFS(Einzelbeträge!$D:$D,Einzelbeträge!$C:$C,'Ausgaben Vorlage'!$C400,Einzelbeträge!$E:$E,'Ausgaben Vorlage'!L$6)</f>
        <v>0</v>
      </c>
      <c r="M400" s="21">
        <f>SUMIFS(Einzelbeträge!$D:$D,Einzelbeträge!$C:$C,'Ausgaben Vorlage'!$C400,Einzelbeträge!$E:$E,'Ausgaben Vorlage'!M$6)</f>
        <v>0</v>
      </c>
      <c r="N400" s="35">
        <f>SUMIFS(Einzelbeträge!$D:$D,Einzelbeträge!$C:$C,'Ausgaben Vorlage'!$C400,Einzelbeträge!$E:$E,'Ausgaben Vorlage'!N$6)</f>
        <v>0</v>
      </c>
      <c r="O400" s="6"/>
    </row>
    <row r="401" spans="2:15" x14ac:dyDescent="0.35">
      <c r="B401" s="5"/>
      <c r="C401" s="40">
        <f t="shared" si="27"/>
        <v>46018</v>
      </c>
      <c r="D401" s="46">
        <f>SUMIFS(Einzelbeträge!$D:$D,Einzelbeträge!$C:$C,'Ausgaben Vorlage'!$C401)</f>
        <v>0</v>
      </c>
      <c r="E401" s="21">
        <f>SUMIFS(Einzelbeträge!$D:$D,Einzelbeträge!$C:$C,'Ausgaben Vorlage'!$C401,Einzelbeträge!$E:$E,'Ausgaben Vorlage'!E$6)</f>
        <v>0</v>
      </c>
      <c r="F401" s="21">
        <f>SUMIFS(Einzelbeträge!$D:$D,Einzelbeträge!$C:$C,'Ausgaben Vorlage'!$C401,Einzelbeträge!$E:$E,'Ausgaben Vorlage'!F$6)</f>
        <v>0</v>
      </c>
      <c r="G401" s="21">
        <f>SUMIFS(Einzelbeträge!$D:$D,Einzelbeträge!$C:$C,'Ausgaben Vorlage'!$C401,Einzelbeträge!$E:$E,'Ausgaben Vorlage'!G$6)</f>
        <v>0</v>
      </c>
      <c r="H401" s="21">
        <f>SUMIFS(Einzelbeträge!$D:$D,Einzelbeträge!$C:$C,'Ausgaben Vorlage'!$C401,Einzelbeträge!$E:$E,'Ausgaben Vorlage'!H$6)</f>
        <v>0</v>
      </c>
      <c r="I401" s="21">
        <f>SUMIFS(Einzelbeträge!$D:$D,Einzelbeträge!$C:$C,'Ausgaben Vorlage'!$C401,Einzelbeträge!$E:$E,'Ausgaben Vorlage'!I$6)</f>
        <v>0</v>
      </c>
      <c r="J401" s="21">
        <f>SUMIFS(Einzelbeträge!$D:$D,Einzelbeträge!$C:$C,'Ausgaben Vorlage'!$C401,Einzelbeträge!$E:$E,'Ausgaben Vorlage'!J$6)</f>
        <v>0</v>
      </c>
      <c r="K401" s="21">
        <f>SUMIFS(Einzelbeträge!$D:$D,Einzelbeträge!$C:$C,'Ausgaben Vorlage'!$C401,Einzelbeträge!$E:$E,'Ausgaben Vorlage'!K$6)</f>
        <v>0</v>
      </c>
      <c r="L401" s="21">
        <f>SUMIFS(Einzelbeträge!$D:$D,Einzelbeträge!$C:$C,'Ausgaben Vorlage'!$C401,Einzelbeträge!$E:$E,'Ausgaben Vorlage'!L$6)</f>
        <v>0</v>
      </c>
      <c r="M401" s="21">
        <f>SUMIFS(Einzelbeträge!$D:$D,Einzelbeträge!$C:$C,'Ausgaben Vorlage'!$C401,Einzelbeträge!$E:$E,'Ausgaben Vorlage'!M$6)</f>
        <v>0</v>
      </c>
      <c r="N401" s="35">
        <f>SUMIFS(Einzelbeträge!$D:$D,Einzelbeträge!$C:$C,'Ausgaben Vorlage'!$C401,Einzelbeträge!$E:$E,'Ausgaben Vorlage'!N$6)</f>
        <v>0</v>
      </c>
      <c r="O401" s="6"/>
    </row>
    <row r="402" spans="2:15" x14ac:dyDescent="0.35">
      <c r="B402" s="5"/>
      <c r="C402" s="40">
        <f t="shared" si="27"/>
        <v>46019</v>
      </c>
      <c r="D402" s="46">
        <f>SUMIFS(Einzelbeträge!$D:$D,Einzelbeträge!$C:$C,'Ausgaben Vorlage'!$C402)</f>
        <v>0</v>
      </c>
      <c r="E402" s="21">
        <f>SUMIFS(Einzelbeträge!$D:$D,Einzelbeträge!$C:$C,'Ausgaben Vorlage'!$C402,Einzelbeträge!$E:$E,'Ausgaben Vorlage'!E$6)</f>
        <v>0</v>
      </c>
      <c r="F402" s="21">
        <f>SUMIFS(Einzelbeträge!$D:$D,Einzelbeträge!$C:$C,'Ausgaben Vorlage'!$C402,Einzelbeträge!$E:$E,'Ausgaben Vorlage'!F$6)</f>
        <v>0</v>
      </c>
      <c r="G402" s="21">
        <f>SUMIFS(Einzelbeträge!$D:$D,Einzelbeträge!$C:$C,'Ausgaben Vorlage'!$C402,Einzelbeträge!$E:$E,'Ausgaben Vorlage'!G$6)</f>
        <v>0</v>
      </c>
      <c r="H402" s="21">
        <f>SUMIFS(Einzelbeträge!$D:$D,Einzelbeträge!$C:$C,'Ausgaben Vorlage'!$C402,Einzelbeträge!$E:$E,'Ausgaben Vorlage'!H$6)</f>
        <v>0</v>
      </c>
      <c r="I402" s="21">
        <f>SUMIFS(Einzelbeträge!$D:$D,Einzelbeträge!$C:$C,'Ausgaben Vorlage'!$C402,Einzelbeträge!$E:$E,'Ausgaben Vorlage'!I$6)</f>
        <v>0</v>
      </c>
      <c r="J402" s="21">
        <f>SUMIFS(Einzelbeträge!$D:$D,Einzelbeträge!$C:$C,'Ausgaben Vorlage'!$C402,Einzelbeträge!$E:$E,'Ausgaben Vorlage'!J$6)</f>
        <v>0</v>
      </c>
      <c r="K402" s="21">
        <f>SUMIFS(Einzelbeträge!$D:$D,Einzelbeträge!$C:$C,'Ausgaben Vorlage'!$C402,Einzelbeträge!$E:$E,'Ausgaben Vorlage'!K$6)</f>
        <v>0</v>
      </c>
      <c r="L402" s="21">
        <f>SUMIFS(Einzelbeträge!$D:$D,Einzelbeträge!$C:$C,'Ausgaben Vorlage'!$C402,Einzelbeträge!$E:$E,'Ausgaben Vorlage'!L$6)</f>
        <v>0</v>
      </c>
      <c r="M402" s="21">
        <f>SUMIFS(Einzelbeträge!$D:$D,Einzelbeträge!$C:$C,'Ausgaben Vorlage'!$C402,Einzelbeträge!$E:$E,'Ausgaben Vorlage'!M$6)</f>
        <v>0</v>
      </c>
      <c r="N402" s="35">
        <f>SUMIFS(Einzelbeträge!$D:$D,Einzelbeträge!$C:$C,'Ausgaben Vorlage'!$C402,Einzelbeträge!$E:$E,'Ausgaben Vorlage'!N$6)</f>
        <v>0</v>
      </c>
      <c r="O402" s="6"/>
    </row>
    <row r="403" spans="2:15" x14ac:dyDescent="0.35">
      <c r="B403" s="5"/>
      <c r="C403" s="40">
        <f t="shared" si="27"/>
        <v>46020</v>
      </c>
      <c r="D403" s="46">
        <f>SUMIFS(Einzelbeträge!$D:$D,Einzelbeträge!$C:$C,'Ausgaben Vorlage'!$C403)</f>
        <v>0</v>
      </c>
      <c r="E403" s="21">
        <f>SUMIFS(Einzelbeträge!$D:$D,Einzelbeträge!$C:$C,'Ausgaben Vorlage'!$C403,Einzelbeträge!$E:$E,'Ausgaben Vorlage'!E$6)</f>
        <v>0</v>
      </c>
      <c r="F403" s="21">
        <f>SUMIFS(Einzelbeträge!$D:$D,Einzelbeträge!$C:$C,'Ausgaben Vorlage'!$C403,Einzelbeträge!$E:$E,'Ausgaben Vorlage'!F$6)</f>
        <v>0</v>
      </c>
      <c r="G403" s="21">
        <f>SUMIFS(Einzelbeträge!$D:$D,Einzelbeträge!$C:$C,'Ausgaben Vorlage'!$C403,Einzelbeträge!$E:$E,'Ausgaben Vorlage'!G$6)</f>
        <v>0</v>
      </c>
      <c r="H403" s="21">
        <f>SUMIFS(Einzelbeträge!$D:$D,Einzelbeträge!$C:$C,'Ausgaben Vorlage'!$C403,Einzelbeträge!$E:$E,'Ausgaben Vorlage'!H$6)</f>
        <v>0</v>
      </c>
      <c r="I403" s="21">
        <f>SUMIFS(Einzelbeträge!$D:$D,Einzelbeträge!$C:$C,'Ausgaben Vorlage'!$C403,Einzelbeträge!$E:$E,'Ausgaben Vorlage'!I$6)</f>
        <v>0</v>
      </c>
      <c r="J403" s="21">
        <f>SUMIFS(Einzelbeträge!$D:$D,Einzelbeträge!$C:$C,'Ausgaben Vorlage'!$C403,Einzelbeträge!$E:$E,'Ausgaben Vorlage'!J$6)</f>
        <v>0</v>
      </c>
      <c r="K403" s="21">
        <f>SUMIFS(Einzelbeträge!$D:$D,Einzelbeträge!$C:$C,'Ausgaben Vorlage'!$C403,Einzelbeträge!$E:$E,'Ausgaben Vorlage'!K$6)</f>
        <v>0</v>
      </c>
      <c r="L403" s="21">
        <f>SUMIFS(Einzelbeträge!$D:$D,Einzelbeträge!$C:$C,'Ausgaben Vorlage'!$C403,Einzelbeträge!$E:$E,'Ausgaben Vorlage'!L$6)</f>
        <v>0</v>
      </c>
      <c r="M403" s="21">
        <f>SUMIFS(Einzelbeträge!$D:$D,Einzelbeträge!$C:$C,'Ausgaben Vorlage'!$C403,Einzelbeträge!$E:$E,'Ausgaben Vorlage'!M$6)</f>
        <v>0</v>
      </c>
      <c r="N403" s="35">
        <f>SUMIFS(Einzelbeträge!$D:$D,Einzelbeträge!$C:$C,'Ausgaben Vorlage'!$C403,Einzelbeträge!$E:$E,'Ausgaben Vorlage'!N$6)</f>
        <v>0</v>
      </c>
      <c r="O403" s="6"/>
    </row>
    <row r="404" spans="2:15" x14ac:dyDescent="0.35">
      <c r="B404" s="5"/>
      <c r="C404" s="40">
        <f t="shared" si="27"/>
        <v>46021</v>
      </c>
      <c r="D404" s="46">
        <f>SUMIFS(Einzelbeträge!$D:$D,Einzelbeträge!$C:$C,'Ausgaben Vorlage'!$C404)</f>
        <v>0</v>
      </c>
      <c r="E404" s="21">
        <f>SUMIFS(Einzelbeträge!$D:$D,Einzelbeträge!$C:$C,'Ausgaben Vorlage'!$C404,Einzelbeträge!$E:$E,'Ausgaben Vorlage'!E$6)</f>
        <v>0</v>
      </c>
      <c r="F404" s="21">
        <f>SUMIFS(Einzelbeträge!$D:$D,Einzelbeträge!$C:$C,'Ausgaben Vorlage'!$C404,Einzelbeträge!$E:$E,'Ausgaben Vorlage'!F$6)</f>
        <v>0</v>
      </c>
      <c r="G404" s="21">
        <f>SUMIFS(Einzelbeträge!$D:$D,Einzelbeträge!$C:$C,'Ausgaben Vorlage'!$C404,Einzelbeträge!$E:$E,'Ausgaben Vorlage'!G$6)</f>
        <v>0</v>
      </c>
      <c r="H404" s="21">
        <f>SUMIFS(Einzelbeträge!$D:$D,Einzelbeträge!$C:$C,'Ausgaben Vorlage'!$C404,Einzelbeträge!$E:$E,'Ausgaben Vorlage'!H$6)</f>
        <v>0</v>
      </c>
      <c r="I404" s="21">
        <f>SUMIFS(Einzelbeträge!$D:$D,Einzelbeträge!$C:$C,'Ausgaben Vorlage'!$C404,Einzelbeträge!$E:$E,'Ausgaben Vorlage'!I$6)</f>
        <v>0</v>
      </c>
      <c r="J404" s="21">
        <f>SUMIFS(Einzelbeträge!$D:$D,Einzelbeträge!$C:$C,'Ausgaben Vorlage'!$C404,Einzelbeträge!$E:$E,'Ausgaben Vorlage'!J$6)</f>
        <v>0</v>
      </c>
      <c r="K404" s="21">
        <f>SUMIFS(Einzelbeträge!$D:$D,Einzelbeträge!$C:$C,'Ausgaben Vorlage'!$C404,Einzelbeträge!$E:$E,'Ausgaben Vorlage'!K$6)</f>
        <v>0</v>
      </c>
      <c r="L404" s="21">
        <f>SUMIFS(Einzelbeträge!$D:$D,Einzelbeträge!$C:$C,'Ausgaben Vorlage'!$C404,Einzelbeträge!$E:$E,'Ausgaben Vorlage'!L$6)</f>
        <v>0</v>
      </c>
      <c r="M404" s="21">
        <f>SUMIFS(Einzelbeträge!$D:$D,Einzelbeträge!$C:$C,'Ausgaben Vorlage'!$C404,Einzelbeträge!$E:$E,'Ausgaben Vorlage'!M$6)</f>
        <v>0</v>
      </c>
      <c r="N404" s="35">
        <f>SUMIFS(Einzelbeträge!$D:$D,Einzelbeträge!$C:$C,'Ausgaben Vorlage'!$C404,Einzelbeträge!$E:$E,'Ausgaben Vorlage'!N$6)</f>
        <v>0</v>
      </c>
      <c r="O404" s="6"/>
    </row>
    <row r="405" spans="2:15" x14ac:dyDescent="0.35">
      <c r="B405" s="5"/>
      <c r="C405" s="31">
        <f t="shared" si="27"/>
        <v>46022</v>
      </c>
      <c r="D405" s="47">
        <f>SUMIFS(Einzelbeträge!$D:$D,Einzelbeträge!$C:$C,'Ausgaben Vorlage'!$C405)</f>
        <v>0</v>
      </c>
      <c r="E405" s="37">
        <f>SUMIFS(Einzelbeträge!$D:$D,Einzelbeträge!$C:$C,'Ausgaben Vorlage'!$C405,Einzelbeträge!$E:$E,'Ausgaben Vorlage'!E$6)</f>
        <v>0</v>
      </c>
      <c r="F405" s="37">
        <f>SUMIFS(Einzelbeträge!$D:$D,Einzelbeträge!$C:$C,'Ausgaben Vorlage'!$C405,Einzelbeträge!$E:$E,'Ausgaben Vorlage'!F$6)</f>
        <v>0</v>
      </c>
      <c r="G405" s="37">
        <f>SUMIFS(Einzelbeträge!$D:$D,Einzelbeträge!$C:$C,'Ausgaben Vorlage'!$C405,Einzelbeträge!$E:$E,'Ausgaben Vorlage'!G$6)</f>
        <v>0</v>
      </c>
      <c r="H405" s="37">
        <f>SUMIFS(Einzelbeträge!$D:$D,Einzelbeträge!$C:$C,'Ausgaben Vorlage'!$C405,Einzelbeträge!$E:$E,'Ausgaben Vorlage'!H$6)</f>
        <v>0</v>
      </c>
      <c r="I405" s="37">
        <f>SUMIFS(Einzelbeträge!$D:$D,Einzelbeträge!$C:$C,'Ausgaben Vorlage'!$C405,Einzelbeträge!$E:$E,'Ausgaben Vorlage'!I$6)</f>
        <v>0</v>
      </c>
      <c r="J405" s="37">
        <f>SUMIFS(Einzelbeträge!$D:$D,Einzelbeträge!$C:$C,'Ausgaben Vorlage'!$C405,Einzelbeträge!$E:$E,'Ausgaben Vorlage'!J$6)</f>
        <v>0</v>
      </c>
      <c r="K405" s="37">
        <f>SUMIFS(Einzelbeträge!$D:$D,Einzelbeträge!$C:$C,'Ausgaben Vorlage'!$C405,Einzelbeträge!$E:$E,'Ausgaben Vorlage'!K$6)</f>
        <v>0</v>
      </c>
      <c r="L405" s="37">
        <f>SUMIFS(Einzelbeträge!$D:$D,Einzelbeträge!$C:$C,'Ausgaben Vorlage'!$C405,Einzelbeträge!$E:$E,'Ausgaben Vorlage'!L$6)</f>
        <v>0</v>
      </c>
      <c r="M405" s="37">
        <f>SUMIFS(Einzelbeträge!$D:$D,Einzelbeträge!$C:$C,'Ausgaben Vorlage'!$C405,Einzelbeträge!$E:$E,'Ausgaben Vorlage'!M$6)</f>
        <v>0</v>
      </c>
      <c r="N405" s="38">
        <f>SUMIFS(Einzelbeträge!$D:$D,Einzelbeträge!$C:$C,'Ausgaben Vorlage'!$C405,Einzelbeträge!$E:$E,'Ausgaben Vorlage'!N$6)</f>
        <v>0</v>
      </c>
      <c r="O405" s="6"/>
    </row>
    <row r="406" spans="2:15" ht="15" thickBot="1" x14ac:dyDescent="0.4">
      <c r="B406" s="8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10"/>
    </row>
  </sheetData>
  <conditionalFormatting sqref="C69">
    <cfRule type="containsBlanks" dxfId="22" priority="2">
      <formula>LEN(TRIM(C69))=0</formula>
    </cfRule>
  </conditionalFormatting>
  <conditionalFormatting sqref="D69:N69">
    <cfRule type="expression" dxfId="21" priority="1">
      <formula>$C$69=" 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8" operator="equal" id="{88D10328-651E-4D46-97E2-375ED2B7CEBC}">
            <xm:f>Eingabe!$M$5*7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9" operator="lessThan" id="{EA4D74AF-99F7-4E1F-A174-928A99E0F0E1}">
            <xm:f>Eingabe!$M$5*7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0" operator="greaterThan" id="{6716EB5C-D876-4D75-8B47-D6E955596001}">
            <xm:f>Eingabe!$M$5*7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S6:AC58</xm:sqref>
        </x14:conditionalFormatting>
        <x14:conditionalFormatting xmlns:xm="http://schemas.microsoft.com/office/excel/2006/main">
          <x14:cfRule type="cellIs" priority="21" operator="equal" id="{0F96A942-26BC-434B-B6CE-6F6721AE09CE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22" operator="lessThan" id="{62ECA037-4B49-4DE0-9293-B7EA55E56F88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23" operator="greaterThan" id="{0F97D1CC-D9ED-471B-85EB-E1447E879EF0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D7:N37 D41:N68 D74:N103 D107:N136 D140:N170 D174:N203 D207:N237 D241:N271 D275:N304 D308:N338 D342:N371 D375:N405</xm:sqref>
        </x14:conditionalFormatting>
        <x14:conditionalFormatting xmlns:xm="http://schemas.microsoft.com/office/excel/2006/main">
          <x14:cfRule type="cellIs" priority="17" operator="greaterThan" id="{99E3DC4B-426B-4D37-A5AC-B9DAF74966EE}">
            <xm:f>Eingabe!$M$5*31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2" operator="equal" id="{08F72595-EE31-407E-9D1F-4F215005EB71}">
            <xm:f>Eingabe!$M$5*DAY(DATE(YEAR($C$7),MONTH(C41)+1,1)-1)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3" operator="lessThan" id="{AE731FB3-4EAB-4043-98E3-5E56CFBF7193}">
            <xm:f>Eingabe!$M$5*DAY(DATE(YEAR($C$7),MONTH(C41)+1,1)-1)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4" operator="greaterThan" id="{665AB4B5-A826-4BA7-BBBD-FDBB6FE630F0}">
            <xm:f>Eingabe!$M$5*DAY(DATE(YEAR($C$7),MONTH(C41)+1,1)-1)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AH7:AR7</xm:sqref>
        </x14:conditionalFormatting>
        <x14:conditionalFormatting xmlns:xm="http://schemas.microsoft.com/office/excel/2006/main">
          <x14:cfRule type="cellIs" priority="15" operator="equal" id="{96FBFF1C-3043-43E6-AFA4-25D1BDD54C82}">
            <xm:f>Eingabe!$M$5*31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16" operator="lessThan" id="{6195C7A8-B05B-43F6-B63A-721B21452549}">
            <xm:f>Eingabe!$M$5*31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AH6:AR6 AH8:AR8 AH10:AR10 AH12:AR13 AH15:AR15 AH17:AR17</xm:sqref>
        </x14:conditionalFormatting>
        <x14:conditionalFormatting xmlns:xm="http://schemas.microsoft.com/office/excel/2006/main">
          <x14:cfRule type="cellIs" priority="9" operator="equal" id="{919EB8ED-54A7-4847-9B76-2180AC20E511}">
            <xm:f>Eingabe!$M$5*30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10" operator="lessThan" id="{E8F8222C-3E5E-436D-9E9C-8EFF581B8E51}">
            <xm:f>Eingabe!$M$5*30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11" operator="greaterThan" id="{6AD80196-E506-45D9-A770-B26105198F27}">
            <xm:f>Eingabe!$M$5*30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AH9:AR9 AH11:AR11 AH14:AR14 AH16:AR16</xm:sqref>
        </x14:conditionalFormatting>
        <x14:conditionalFormatting xmlns:xm="http://schemas.microsoft.com/office/excel/2006/main">
          <x14:cfRule type="cellIs" priority="6" operator="equal" id="{A6D8D800-4690-4B2D-8D29-CE8AB789B9D0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7" operator="lessThan" id="{514BD349-2144-49A2-B420-4A29E2CC6B27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8" operator="greaterThan" id="{3063F08F-1FA8-47DB-AD51-44A3E26D3037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D73:N73</xm:sqref>
        </x14:conditionalFormatting>
        <x14:conditionalFormatting xmlns:xm="http://schemas.microsoft.com/office/excel/2006/main">
          <x14:cfRule type="cellIs" priority="3" operator="equal" id="{4E602837-26E3-40CF-A25A-446C002C726F}">
            <xm:f>Eingabe!$M$5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ellIs" priority="4" operator="lessThan" id="{26E97D80-CB97-40D6-A314-D868EF7457C0}">
            <xm:f>Eingabe!$M$5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ellIs" priority="5" operator="greaterThan" id="{5691614C-6C79-4407-88E8-D00ADB8E49B2}">
            <xm:f>Eingabe!$M$5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D69:N69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Eingabe</vt:lpstr>
      <vt:lpstr>Übersicht</vt:lpstr>
      <vt:lpstr>Budget 2026</vt:lpstr>
      <vt:lpstr>Ausgaben 2026</vt:lpstr>
      <vt:lpstr>Budget 2025</vt:lpstr>
      <vt:lpstr>Ausgaben 2025</vt:lpstr>
      <vt:lpstr>Budget 2024</vt:lpstr>
      <vt:lpstr>Ausgaben 2024</vt:lpstr>
      <vt:lpstr>Budget 2023</vt:lpstr>
      <vt:lpstr>Ausgaben 2023</vt:lpstr>
      <vt:lpstr>Einzelbeträge</vt:lpstr>
      <vt:lpstr>Budget 2027</vt:lpstr>
      <vt:lpstr>Ausgaben 2027</vt:lpstr>
      <vt:lpstr>Budget 2028</vt:lpstr>
      <vt:lpstr>Ausgaben 2028</vt:lpstr>
      <vt:lpstr>Budget Vorlage</vt:lpstr>
      <vt:lpstr>Ausgaben Vorlage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Wortmann</dc:creator>
  <cp:lastModifiedBy>Sarah Wortmann</cp:lastModifiedBy>
  <dcterms:created xsi:type="dcterms:W3CDTF">2023-08-13T14:07:46Z</dcterms:created>
  <dcterms:modified xsi:type="dcterms:W3CDTF">2026-04-18T14:30:52Z</dcterms:modified>
</cp:coreProperties>
</file>